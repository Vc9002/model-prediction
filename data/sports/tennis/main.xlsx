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781" headerRowCount="1">
  <autoFilter ref="A1:DQ781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COUNTA('Picks'!$A$2:$A$781)</f>
        <v/>
      </c>
      <c r="C4" s="6">
        <f>COUNTIF('Picks'!$U$2:$U$781,"open")</f>
        <v/>
      </c>
      <c r="E4" s="6">
        <f>COUNTIF('Picks'!$U$2:$U$781,"settled")</f>
        <v/>
      </c>
      <c r="G4" s="6">
        <f>IF(COUNTIFS('Picks'!$U$2:$U$781,"settled",'Picks'!$V$2:$V$781,"win")+COUNTIFS('Picks'!$U$2:$U$781,"settled",'Picks'!$V$2:$V$781,"loss")&gt;=$L$2,"Ready","Insufficient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COUNTIF('Picks'!$BX$2:$BX$781,"&gt;0")</f>
        <v/>
      </c>
      <c r="C7" s="6">
        <f>COUNTIFS('Picks'!$BX$2:$BX$781,"&gt;0",'Picks'!$V$2:$V$781,"win")&amp;"-"&amp;COUNTIFS('Picks'!$BX$2:$BX$781,"&gt;0",'Picks'!$V$2:$V$781,"loss")</f>
        <v/>
      </c>
      <c r="E7" s="7">
        <f>IFERROR(COUNTIFS('Picks'!$BX$2:$BX$781,"&gt;0",'Picks'!$V$2:$V$781,"win")/(COUNTIFS('Picks'!$BX$2:$BX$781,"&gt;0",'Picks'!$V$2:$V$781,"win")+COUNTIFS('Picks'!$BX$2:$BX$781,"&gt;0",'Picks'!$V$2:$V$781,"loss")),0)</f>
        <v/>
      </c>
      <c r="G7" s="7">
        <f>IFERROR(SUM('Picks'!$BY$2:$BY$781)/SUM('Picks'!$BX$2:$BX$781),0)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SUM('Picks'!$BY$2:$BY$781)</f>
        <v/>
      </c>
      <c r="C10" s="9">
        <f>IFERROR(AVERAGEIF('Picks'!$AB$2:$AB$781,"&lt;&gt;",'Picks'!$AB$2:$AB$781),0)</f>
        <v/>
      </c>
      <c r="E10" s="6">
        <f>COUNTIFS('Picks'!$AM$2:$AM$781,"QUALIFIED_SHADOW_CALL",'Picks'!$U$2:$U$781,"settled")</f>
        <v/>
      </c>
      <c r="G10" s="8">
        <f>SUMIFS('Picks'!$AC$2:$AC$781,'Picks'!$AM$2:$AM$781,"QUALIFIED_SHADOW_CALL")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COUNTIFS('Picks'!$H$2:$H$781,$A14,'Picks'!$U$2:$U$781,"settled")</f>
        <v/>
      </c>
      <c r="C14" s="13">
        <f>COUNTIFS('Picks'!$H$2:$H$781,$A14,'Picks'!$U$2:$U$781,"settled",'Picks'!$V$2:$V$781,"win")</f>
        <v/>
      </c>
      <c r="D14" s="13">
        <f>COUNTIFS('Picks'!$H$2:$H$781,$A14,'Picks'!$U$2:$U$781,"settled",'Picks'!$V$2:$V$781,"loss")</f>
        <v/>
      </c>
      <c r="E14" s="14">
        <f>IFERROR(C14/(C14+D14),0)</f>
        <v/>
      </c>
      <c r="F14" s="15">
        <f>SUMIFS('Picks'!$BY$2:$BY$781,'Picks'!$H$2:$H$781,$A14)</f>
        <v/>
      </c>
      <c r="G14" s="16">
        <f>IFERROR(AVERAGEIFS('Picks'!$AB$2:$AB$781,'Picks'!$H$2:$H$781,$A14,'Picks'!$U$2:$U$781,"settled"),0)</f>
        <v/>
      </c>
    </row>
    <row r="15">
      <c r="A15" s="17" t="inlineStr">
        <is>
          <t>spread</t>
        </is>
      </c>
      <c r="B15" s="18">
        <f>COUNTIFS('Picks'!$H$2:$H$781,$A15,'Picks'!$U$2:$U$781,"settled")</f>
        <v/>
      </c>
      <c r="C15" s="18">
        <f>COUNTIFS('Picks'!$H$2:$H$781,$A15,'Picks'!$U$2:$U$781,"settled",'Picks'!$V$2:$V$781,"win")</f>
        <v/>
      </c>
      <c r="D15" s="18">
        <f>COUNTIFS('Picks'!$H$2:$H$781,$A15,'Picks'!$U$2:$U$781,"settled",'Picks'!$V$2:$V$781,"loss")</f>
        <v/>
      </c>
      <c r="E15" s="19">
        <f>IFERROR(C15/(C15+D15),0)</f>
        <v/>
      </c>
      <c r="F15" s="20">
        <f>SUMIFS('Picks'!$BY$2:$BY$781,'Picks'!$H$2:$H$781,$A15)</f>
        <v/>
      </c>
      <c r="G15" s="21">
        <f>IFERROR(AVERAGEIFS('Picks'!$AB$2:$AB$781,'Picks'!$H$2:$H$781,$A15,'Picks'!$U$2:$U$781,"settled"),0)</f>
        <v/>
      </c>
    </row>
    <row r="16">
      <c r="A16" s="12" t="inlineStr">
        <is>
          <t>total</t>
        </is>
      </c>
      <c r="B16" s="13">
        <f>COUNTIFS('Picks'!$H$2:$H$781,$A16,'Picks'!$U$2:$U$781,"settled")</f>
        <v/>
      </c>
      <c r="C16" s="13">
        <f>COUNTIFS('Picks'!$H$2:$H$781,$A16,'Picks'!$U$2:$U$781,"settled",'Picks'!$V$2:$V$781,"win")</f>
        <v/>
      </c>
      <c r="D16" s="13">
        <f>COUNTIFS('Picks'!$H$2:$H$781,$A16,'Picks'!$U$2:$U$781,"settled",'Picks'!$V$2:$V$781,"loss")</f>
        <v/>
      </c>
      <c r="E16" s="14">
        <f>IFERROR(C16/(C16+D16),0)</f>
        <v/>
      </c>
      <c r="F16" s="15">
        <f>SUMIFS('Picks'!$BY$2:$BY$781,'Picks'!$H$2:$H$781,$A16)</f>
        <v/>
      </c>
      <c r="G16" s="16">
        <f>IFERROR(AVERAGEIFS('Picks'!$AB$2:$AB$781,'Picks'!$H$2:$H$781,$A16,'Picks'!$U$2:$U$781,"settled"),0)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0.590164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0.669967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0.34965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0.420168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0.559471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0.480769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0.480769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0.74026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0.51</v>
      </c>
      <c r="AB11" s="28" t="n">
        <v>0.000196</v>
      </c>
      <c r="AC11" s="30" t="n">
        <v>0.9615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0.51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0.509804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0.420168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0.54</v>
      </c>
      <c r="AB15" s="28" t="n">
        <v>0.000829</v>
      </c>
      <c r="AC15" s="30" t="n">
        <v>1.0684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0.539171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0.509804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0.590164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0.45045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0.669967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0.390625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0.530516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0.490196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0.530516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0.590164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0.420168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0.409836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0.659864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0.440529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0.420168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4ae706cb87284e44</t>
        </is>
      </c>
      <c r="B31" s="24" t="inlineStr">
        <is>
          <t>2026-08-07T21:56:48.826537Z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122</v>
      </c>
      <c r="M31" s="27" t="n">
        <v>2.22</v>
      </c>
      <c r="N31" s="28" t="n">
        <v>0.45045</v>
      </c>
      <c r="O31" s="28" t="n">
        <v>0.592411</v>
      </c>
      <c r="P31" s="28" t="n">
        <v>0.05</v>
      </c>
      <c r="Q31" s="28" t="n">
        <v>0.141961</v>
      </c>
      <c r="R31" s="26" t="n">
        <v>91</v>
      </c>
      <c r="S31" s="29" t="n">
        <v>1.25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0</v>
      </c>
      <c r="Y31" s="25" t="n"/>
      <c r="Z31" s="26" t="n">
        <v>122</v>
      </c>
      <c r="AA31" s="28" t="n">
        <v>0.45</v>
      </c>
      <c r="AB31" s="28" t="n">
        <v>-0.00045</v>
      </c>
      <c r="AC31" s="30" t="n">
        <v>1.525</v>
      </c>
      <c r="AD31" s="24" t="inlineStr">
        <is>
          <t>2026-08-08T04:03:11.057660Z</t>
        </is>
      </c>
      <c r="AE31" s="31" t="inlineStr">
        <is>
          <t>Surface-blended Elo on Hard: Thiago Agustin Tirante p=0.592 vs Alexei Popyrin. Executable ask 0.4500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2026-08-07T21:56:07.767044Z</t>
        </is>
      </c>
      <c r="BI31" s="24" t="inlineStr">
        <is>
          <t>["same_event","same_team_same_day","same_league_same_day"]</t>
        </is>
      </c>
      <c r="BJ31" s="25" t="n"/>
      <c r="BK31" s="26" t="n">
        <v>122</v>
      </c>
      <c r="BL31" s="27" t="n">
        <v>2.22</v>
      </c>
      <c r="BM31" s="28" t="n">
        <v>0.45045</v>
      </c>
      <c r="BN31" s="28" t="n"/>
      <c r="BO31" s="28" t="n"/>
      <c r="BP31" s="25" t="n"/>
      <c r="BQ31" s="27" t="n">
        <v>2.22</v>
      </c>
      <c r="BR31" s="28" t="n">
        <v>0.45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0.45045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a364612e1095454b</t>
        </is>
      </c>
      <c r="B32" s="24" t="inlineStr">
        <is>
          <t>2026-08-09T14:00:10.713543Z</t>
        </is>
      </c>
      <c r="C32" s="24" t="inlineStr">
        <is>
          <t>2026-08-09T16:30Z</t>
        </is>
      </c>
      <c r="D32" s="24" t="inlineStr">
        <is>
          <t>421-2026:182177</t>
        </is>
      </c>
      <c r="E32" s="24" t="inlineStr">
        <is>
          <t>TENNIS</t>
        </is>
      </c>
      <c r="F32" s="24" t="inlineStr">
        <is>
          <t>Elena Rybakina</t>
        </is>
      </c>
      <c r="G32" s="24" t="inlineStr">
        <is>
          <t>Liudmila Samsonova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-300</v>
      </c>
      <c r="M32" s="27" t="n">
        <v>1.333333</v>
      </c>
      <c r="N32" s="28" t="n">
        <v>0.75</v>
      </c>
      <c r="O32" s="28" t="n">
        <v>0.9112749999999999</v>
      </c>
      <c r="P32" s="28" t="n">
        <v>0.05</v>
      </c>
      <c r="Q32" s="28" t="n">
        <v>0.161275</v>
      </c>
      <c r="R32" s="26" t="n">
        <v>100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-300</v>
      </c>
      <c r="AA32" s="28" t="n">
        <v>0.75</v>
      </c>
      <c r="AB32" s="28" t="n">
        <v>0</v>
      </c>
      <c r="AC32" s="30" t="n">
        <v>0.6667</v>
      </c>
      <c r="AD32" s="24" t="inlineStr">
        <is>
          <t>2026-08-09T20:24:26.522023Z</t>
        </is>
      </c>
      <c r="AE32" s="31" t="inlineStr">
        <is>
          <t>Surface-blended Elo on Hard: Elena Rybakina p=0.911 vs Liudmila Samsonova. Executable ask 0.7500 (aec-wta-liusam-eleryb-2026-08-09).</t>
        </is>
      </c>
      <c r="AF32" s="31" t="inlineStr">
        <is>
          <t>Surface-blended Elo model; singles only, WTA+ATP market coverage, not yet locked-holdout qualified -- promoted by explicit operator directive, not genuine walk-forward validation.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Elena Rybakina</t>
        </is>
      </c>
      <c r="AQ32" s="24" t="inlineStr">
        <is>
          <t>Elena Rybakina</t>
        </is>
      </c>
      <c r="AR32" s="24" t="inlineStr">
        <is>
          <t>Elena Rybakina</t>
        </is>
      </c>
      <c r="AS32" s="24" t="inlineStr">
        <is>
          <t>Liudmila Samsonova</t>
        </is>
      </c>
      <c r="AT32" s="24" t="inlineStr">
        <is>
          <t>Liudmila Samsonova</t>
        </is>
      </c>
      <c r="AU32" s="24" t="inlineStr">
        <is>
          <t>Liudmila Samsonova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3ab056fefe04713e3c294da76c8adb2866b0dc46556ed32322a0426dd344a0e4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3ab056fefe04713e3c294da76c8adb2866b0dc46556ed32322a0426dd344a0e4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3ab056fefe04713e3c294da76c8adb2866b0dc46556ed32322a0426dd344a0e4</t>
        </is>
      </c>
      <c r="BH32" s="24" t="inlineStr">
        <is>
          <t>2026-08-09T13:58:22.617706Z</t>
        </is>
      </c>
      <c r="BI32" s="24" t="inlineStr">
        <is>
          <t>["same_event","same_team_same_day","same_league_same_day"]</t>
        </is>
      </c>
      <c r="BJ32" s="25" t="n"/>
      <c r="BK32" s="26" t="n">
        <v>-300</v>
      </c>
      <c r="BL32" s="27" t="n">
        <v>1.333333</v>
      </c>
      <c r="BM32" s="28" t="n">
        <v>0.75</v>
      </c>
      <c r="BN32" s="28" t="n"/>
      <c r="BO32" s="28" t="n"/>
      <c r="BP32" s="25" t="n"/>
      <c r="BQ32" s="27" t="n">
        <v>1.333333</v>
      </c>
      <c r="BR32" s="28" t="n">
        <v>0.75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0.75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8e56cc99125a4404</t>
        </is>
      </c>
      <c r="B33" s="24" t="inlineStr">
        <is>
          <t>2026-08-09T14:00:10.713543Z</t>
        </is>
      </c>
      <c r="C33" s="24" t="inlineStr">
        <is>
          <t>2026-08-09T16:30Z</t>
        </is>
      </c>
      <c r="D33" s="24" t="inlineStr">
        <is>
          <t>421-2026:181739</t>
        </is>
      </c>
      <c r="E33" s="24" t="inlineStr">
        <is>
          <t>TENNIS</t>
        </is>
      </c>
      <c r="F33" s="24" t="inlineStr">
        <is>
          <t>Daniel Merida</t>
        </is>
      </c>
      <c r="G33" s="24" t="inlineStr">
        <is>
          <t>Tallon Griekspoor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117</v>
      </c>
      <c r="M33" s="27" t="n">
        <v>2.17</v>
      </c>
      <c r="N33" s="28" t="n">
        <v>0.460829</v>
      </c>
      <c r="O33" s="28" t="n">
        <v>0.5573360000000001</v>
      </c>
      <c r="P33" s="28" t="n">
        <v>0.05</v>
      </c>
      <c r="Q33" s="28" t="n">
        <v>0.096507</v>
      </c>
      <c r="R33" s="26" t="n">
        <v>68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117</v>
      </c>
      <c r="AA33" s="28" t="n">
        <v>0.46</v>
      </c>
      <c r="AB33" s="28" t="n">
        <v>-0.000829</v>
      </c>
      <c r="AC33" s="30" t="n">
        <v>1.17</v>
      </c>
      <c r="AD33" s="24" t="inlineStr">
        <is>
          <t>2026-08-09T20:24:26.781078Z</t>
        </is>
      </c>
      <c r="AE33" s="31" t="inlineStr">
        <is>
          <t>Surface-blended Elo on Hard: Daniel Merida p=0.557 vs Tallon Griekspoor. Executable ask 0.4600 (aec-atp-talgri-danagu-2026-08-08).</t>
        </is>
      </c>
      <c r="AF33" s="31" t="inlineStr">
        <is>
          <t>Surface-blended Elo model; singles only, WTA+ATP market coverage, not yet locked-holdout qualified -- promoted by explicit operator directive, not genuine walk-forward validation.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Daniel Merida</t>
        </is>
      </c>
      <c r="AQ33" s="24" t="inlineStr">
        <is>
          <t>Daniel Merida</t>
        </is>
      </c>
      <c r="AR33" s="24" t="inlineStr">
        <is>
          <t>Daniel Merida</t>
        </is>
      </c>
      <c r="AS33" s="24" t="inlineStr">
        <is>
          <t>Tallon Griekspoor</t>
        </is>
      </c>
      <c r="AT33" s="24" t="inlineStr">
        <is>
          <t>Tallon Griekspoor</t>
        </is>
      </c>
      <c r="AU33" s="24" t="inlineStr">
        <is>
          <t>Tallon Griekspoor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3ab056fefe04713e3c294da76c8adb2866b0dc46556ed32322a0426dd344a0e4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3ab056fefe04713e3c294da76c8adb2866b0dc46556ed32322a0426dd344a0e4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3ab056fefe04713e3c294da76c8adb2866b0dc46556ed32322a0426dd344a0e4</t>
        </is>
      </c>
      <c r="BH33" s="24" t="inlineStr">
        <is>
          <t>2026-08-09T13:58:24.994988Z</t>
        </is>
      </c>
      <c r="BI33" s="24" t="inlineStr">
        <is>
          <t>["same_event","same_team_same_day","same_league_same_day"]</t>
        </is>
      </c>
      <c r="BJ33" s="25" t="n"/>
      <c r="BK33" s="26" t="n">
        <v>117</v>
      </c>
      <c r="BL33" s="27" t="n">
        <v>2.17</v>
      </c>
      <c r="BM33" s="28" t="n">
        <v>0.460829</v>
      </c>
      <c r="BN33" s="28" t="n"/>
      <c r="BO33" s="28" t="n"/>
      <c r="BP33" s="25" t="n"/>
      <c r="BQ33" s="27" t="n">
        <v>2.17</v>
      </c>
      <c r="BR33" s="28" t="n">
        <v>0.46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0.460829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fe273b8f60d24457</t>
        </is>
      </c>
      <c r="B34" s="24" t="inlineStr">
        <is>
          <t>2026-08-09T17:06:49.007603Z</t>
        </is>
      </c>
      <c r="C34" s="24" t="inlineStr">
        <is>
          <t>2026-08-09T18:00Z</t>
        </is>
      </c>
      <c r="D34" s="24" t="inlineStr">
        <is>
          <t>421-2026:182197</t>
        </is>
      </c>
      <c r="E34" s="24" t="inlineStr">
        <is>
          <t>TENNIS</t>
        </is>
      </c>
      <c r="F34" s="24" t="inlineStr">
        <is>
          <t>Coco Gauff</t>
        </is>
      </c>
      <c r="G34" s="24" t="inlineStr">
        <is>
          <t>Alina Korneeva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-317</v>
      </c>
      <c r="M34" s="27" t="n">
        <v>1.315457</v>
      </c>
      <c r="N34" s="28" t="n">
        <v>0.760192</v>
      </c>
      <c r="O34" s="28" t="n">
        <v>0.846981</v>
      </c>
      <c r="P34" s="28" t="n">
        <v>0.05</v>
      </c>
      <c r="Q34" s="28" t="n">
        <v>0.08678900000000001</v>
      </c>
      <c r="R34" s="26" t="n">
        <v>63</v>
      </c>
      <c r="S34" s="29" t="n">
        <v>2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>
        <v>-317</v>
      </c>
      <c r="AA34" s="28" t="n">
        <v>0.76</v>
      </c>
      <c r="AB34" s="28" t="n">
        <v>-0.000192</v>
      </c>
      <c r="AC34" s="30" t="n">
        <v>0.6309</v>
      </c>
      <c r="AD34" s="24" t="inlineStr">
        <is>
          <t>2026-08-09T23:28:59.274460Z</t>
        </is>
      </c>
      <c r="AE34" s="31" t="inlineStr">
        <is>
          <t>Surface-blended Elo on Hard: Coco Gauff p=0.847 vs Alina Korneeva. Executable ask 0.7600 (aec-wta-alikor-cocgau-2026-08-09).</t>
        </is>
      </c>
      <c r="AF34" s="31" t="inlineStr">
        <is>
          <t>Surface-blended Elo model; singles only, WTA+ATP market coverage, not yet locked-holdout qualified -- promoted by explicit operator directive, not genuine walk-forward validation.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Coco Gauff</t>
        </is>
      </c>
      <c r="AQ34" s="24" t="inlineStr">
        <is>
          <t>Coco Gauff</t>
        </is>
      </c>
      <c r="AR34" s="24" t="inlineStr">
        <is>
          <t>Coco Gauff</t>
        </is>
      </c>
      <c r="AS34" s="24" t="inlineStr">
        <is>
          <t>Alina Korneeva</t>
        </is>
      </c>
      <c r="AT34" s="24" t="inlineStr">
        <is>
          <t>Alina Korneeva</t>
        </is>
      </c>
      <c r="AU34" s="24" t="inlineStr">
        <is>
          <t>Alina Korneeva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3ab056fefe04713e3c294da76c8adb2866b0dc46556ed32322a0426dd344a0e4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3ab056fefe04713e3c294da76c8adb2866b0dc46556ed32322a0426dd344a0e4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3ab056fefe04713e3c294da76c8adb2866b0dc46556ed32322a0426dd344a0e4</t>
        </is>
      </c>
      <c r="BH34" s="24" t="inlineStr">
        <is>
          <t>2026-08-09T17:05:49.061688Z</t>
        </is>
      </c>
      <c r="BI34" s="24" t="inlineStr">
        <is>
          <t>["same_event","same_team_same_day","same_league_same_day"]</t>
        </is>
      </c>
      <c r="BJ34" s="25" t="n"/>
      <c r="BK34" s="26" t="n">
        <v>-317</v>
      </c>
      <c r="BL34" s="27" t="n">
        <v>1.315457</v>
      </c>
      <c r="BM34" s="28" t="n">
        <v>0.760192</v>
      </c>
      <c r="BN34" s="28" t="n"/>
      <c r="BO34" s="28" t="n"/>
      <c r="BP34" s="25" t="n"/>
      <c r="BQ34" s="27" t="n">
        <v>1.315457</v>
      </c>
      <c r="BR34" s="28" t="n">
        <v>0.76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0.760192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2e228163a3ae43db</t>
        </is>
      </c>
      <c r="B35" s="24" t="inlineStr">
        <is>
          <t>2026-08-09T20:27:13.230036Z</t>
        </is>
      </c>
      <c r="C35" s="24" t="inlineStr">
        <is>
          <t>2026-08-09T22:00Z</t>
        </is>
      </c>
      <c r="D35" s="24" t="inlineStr">
        <is>
          <t>421-2026:181772</t>
        </is>
      </c>
      <c r="E35" s="24" t="inlineStr">
        <is>
          <t>TENNIS</t>
        </is>
      </c>
      <c r="F35" s="24" t="inlineStr">
        <is>
          <t>Ben Shelton</t>
        </is>
      </c>
      <c r="G35" s="24" t="inlineStr">
        <is>
          <t>Joao Fonseca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-127</v>
      </c>
      <c r="M35" s="27" t="n">
        <v>1.787402</v>
      </c>
      <c r="N35" s="28" t="n">
        <v>0.5594710000000001</v>
      </c>
      <c r="O35" s="28" t="n">
        <v>0.620733</v>
      </c>
      <c r="P35" s="28" t="n">
        <v>0.05</v>
      </c>
      <c r="Q35" s="28" t="n">
        <v>0.061262</v>
      </c>
      <c r="R35" s="26" t="n">
        <v>51</v>
      </c>
      <c r="S35" s="29" t="n">
        <v>1.5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-127</v>
      </c>
      <c r="AA35" s="28" t="n">
        <v>0.5600000000000001</v>
      </c>
      <c r="AB35" s="28" t="n">
        <v>0.000529</v>
      </c>
      <c r="AC35" s="30" t="n">
        <v>1.1811</v>
      </c>
      <c r="AD35" s="24" t="inlineStr">
        <is>
          <t>2026-08-10T02:33:54.286304Z</t>
        </is>
      </c>
      <c r="AE35" s="31" t="inlineStr">
        <is>
          <t>Surface-blended Elo on Hard: Ben Shelton p=0.621 vs Joao Fonseca. Executable ask 0.5600 (aec-atp-joafon-benshe-2026-08-10).</t>
        </is>
      </c>
      <c r="AF35" s="31" t="inlineStr">
        <is>
          <t>Surface-blended Elo model; singles only, WTA+ATP market coverage, not yet locked-holdout qualified -- promoted by explicit operator directive, not genuine walk-forward validation.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Ben Shelton</t>
        </is>
      </c>
      <c r="AQ35" s="24" t="inlineStr">
        <is>
          <t>Ben Shelton</t>
        </is>
      </c>
      <c r="AR35" s="24" t="inlineStr">
        <is>
          <t>Ben Shelton</t>
        </is>
      </c>
      <c r="AS35" s="24" t="inlineStr">
        <is>
          <t>Joao Fonseca</t>
        </is>
      </c>
      <c r="AT35" s="24" t="inlineStr">
        <is>
          <t>Joao Fonseca</t>
        </is>
      </c>
      <c r="AU35" s="24" t="inlineStr">
        <is>
          <t>Joao Fonseca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3ab056fefe04713e3c294da76c8adb2866b0dc46556ed32322a0426dd344a0e4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3ab056fefe04713e3c294da76c8adb2866b0dc46556ed32322a0426dd344a0e4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3ab056fefe04713e3c294da76c8adb2866b0dc46556ed32322a0426dd344a0e4</t>
        </is>
      </c>
      <c r="BH35" s="24" t="inlineStr">
        <is>
          <t>2026-08-09T20:26:49.889205Z</t>
        </is>
      </c>
      <c r="BI35" s="24" t="inlineStr">
        <is>
          <t>["same_event","same_team_same_day","same_league_same_day"]</t>
        </is>
      </c>
      <c r="BJ35" s="25" t="n"/>
      <c r="BK35" s="26" t="n">
        <v>-127</v>
      </c>
      <c r="BL35" s="27" t="n">
        <v>1.787402</v>
      </c>
      <c r="BM35" s="28" t="n">
        <v>0.5594710000000001</v>
      </c>
      <c r="BN35" s="28" t="n"/>
      <c r="BO35" s="28" t="n"/>
      <c r="BP35" s="25" t="n"/>
      <c r="BQ35" s="27" t="n">
        <v>1.787402</v>
      </c>
      <c r="BR35" s="28" t="n">
        <v>0.5600000000000001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0.559471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6725e3e0f7d2467e</t>
        </is>
      </c>
      <c r="B36" s="24" t="inlineStr">
        <is>
          <t>2026-08-09T23:32:17.957013Z</t>
        </is>
      </c>
      <c r="C36" s="24" t="inlineStr">
        <is>
          <t>2026-08-10T00:30Z</t>
        </is>
      </c>
      <c r="D36" s="24" t="inlineStr">
        <is>
          <t>421-2026:182189</t>
        </is>
      </c>
      <c r="E36" s="24" t="inlineStr">
        <is>
          <t>TENNIS</t>
        </is>
      </c>
      <c r="F36" s="24" t="inlineStr">
        <is>
          <t>Belinda Bencic</t>
        </is>
      </c>
      <c r="G36" s="24" t="inlineStr">
        <is>
          <t>Alexandra Eala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-117</v>
      </c>
      <c r="M36" s="27" t="n">
        <v>1.854701</v>
      </c>
      <c r="N36" s="28" t="n">
        <v>0.539171</v>
      </c>
      <c r="O36" s="28" t="n">
        <v>0.646782</v>
      </c>
      <c r="P36" s="28" t="n">
        <v>0.05</v>
      </c>
      <c r="Q36" s="28" t="n">
        <v>0.107611</v>
      </c>
      <c r="R36" s="26" t="n">
        <v>74</v>
      </c>
      <c r="S36" s="29" t="n">
        <v>1.75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-117</v>
      </c>
      <c r="AA36" s="28" t="n">
        <v>0.54</v>
      </c>
      <c r="AB36" s="28" t="n">
        <v>0.000829</v>
      </c>
      <c r="AC36" s="30" t="n">
        <v>1.4957</v>
      </c>
      <c r="AD36" s="24" t="inlineStr">
        <is>
          <t>2026-08-10T02:33:54.881626Z</t>
        </is>
      </c>
      <c r="AE36" s="31" t="inlineStr">
        <is>
          <t>Surface-blended Elo on Hard: Belinda Bencic p=0.647 vs Alexandra Eala. Executable ask 0.5400 (aec-wta-aleeal-belben-2026-08-09).</t>
        </is>
      </c>
      <c r="AF36" s="31" t="inlineStr">
        <is>
          <t>Surface-blended Elo model; singles only, WTA+ATP market coverage, not yet locked-holdout qualified -- promoted by explicit operator directive, not genuine walk-forward validation.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Belinda Bencic</t>
        </is>
      </c>
      <c r="AQ36" s="24" t="inlineStr">
        <is>
          <t>Belinda Bencic</t>
        </is>
      </c>
      <c r="AR36" s="24" t="inlineStr">
        <is>
          <t>Belinda Bencic</t>
        </is>
      </c>
      <c r="AS36" s="24" t="inlineStr">
        <is>
          <t>Alexandra Eala</t>
        </is>
      </c>
      <c r="AT36" s="24" t="inlineStr">
        <is>
          <t>Alexandra Eala</t>
        </is>
      </c>
      <c r="AU36" s="24" t="inlineStr">
        <is>
          <t>Alexandra Eala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3ab056fefe04713e3c294da76c8adb2866b0dc46556ed32322a0426dd344a0e4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3ab056fefe04713e3c294da76c8adb2866b0dc46556ed32322a0426dd344a0e4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3ab056fefe04713e3c294da76c8adb2866b0dc46556ed32322a0426dd344a0e4</t>
        </is>
      </c>
      <c r="BH36" s="24" t="inlineStr">
        <is>
          <t>2026-08-09T23:31:36.249636Z</t>
        </is>
      </c>
      <c r="BI36" s="24" t="inlineStr">
        <is>
          <t>["same_event","same_team_same_day","same_league_same_day"]</t>
        </is>
      </c>
      <c r="BJ36" s="25" t="n"/>
      <c r="BK36" s="26" t="n">
        <v>-117</v>
      </c>
      <c r="BL36" s="27" t="n">
        <v>1.854701</v>
      </c>
      <c r="BM36" s="28" t="n">
        <v>0.539171</v>
      </c>
      <c r="BN36" s="28" t="n"/>
      <c r="BO36" s="28" t="n"/>
      <c r="BP36" s="25" t="n"/>
      <c r="BQ36" s="27" t="n">
        <v>1.854701</v>
      </c>
      <c r="BR36" s="28" t="n">
        <v>0.54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0.539171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190d2b81db0c41d2</t>
        </is>
      </c>
      <c r="B37" s="24" t="inlineStr">
        <is>
          <t>2026-08-10T16:35:12.075143Z</t>
        </is>
      </c>
      <c r="C37" s="24" t="inlineStr">
        <is>
          <t>2026-08-11T00:30Z</t>
        </is>
      </c>
      <c r="D37" s="24" t="inlineStr">
        <is>
          <t>421-2026:182217</t>
        </is>
      </c>
      <c r="E37" s="24" t="inlineStr">
        <is>
          <t>TENNIS</t>
        </is>
      </c>
      <c r="F37" s="24" t="inlineStr">
        <is>
          <t>Elina Svitolina</t>
        </is>
      </c>
      <c r="G37" s="24" t="inlineStr">
        <is>
          <t>Ekaterina Alexandrova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-245</v>
      </c>
      <c r="M37" s="27" t="n">
        <v>1.408163</v>
      </c>
      <c r="N37" s="28" t="n">
        <v>0.710145</v>
      </c>
      <c r="O37" s="28" t="n">
        <v>0.765165</v>
      </c>
      <c r="P37" s="28" t="n">
        <v>0.05</v>
      </c>
      <c r="Q37" s="28" t="n">
        <v>0.05502</v>
      </c>
      <c r="R37" s="26" t="n">
        <v>48</v>
      </c>
      <c r="S37" s="29" t="n">
        <v>2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-245</v>
      </c>
      <c r="AA37" s="28" t="n">
        <v>0.71</v>
      </c>
      <c r="AB37" s="28" t="n">
        <v>-0.000145</v>
      </c>
      <c r="AC37" s="30" t="n">
        <v>0.8163</v>
      </c>
      <c r="AD37" s="24" t="inlineStr">
        <is>
          <t>2026-08-12T21:13:46.977830Z</t>
        </is>
      </c>
      <c r="AE37" s="31" t="inlineStr">
        <is>
          <t>Surface-blended Elo on Hard: Elina Svitolina p=0.765 vs Ekaterina Alexandrova. Executable ask 0.7100 (aec-wta-ekaale-elisvi-2026-08-11).</t>
        </is>
      </c>
      <c r="AF37" s="31" t="inlineStr">
        <is>
          <t>Surface-blended Elo model; singles only, WTA+ATP market coverage, not yet locked-holdout qualified -- promoted by explicit operator directive, not genuine walk-forward validation.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Elina Svitolina</t>
        </is>
      </c>
      <c r="AQ37" s="24" t="inlineStr">
        <is>
          <t>Elina Svitolina</t>
        </is>
      </c>
      <c r="AR37" s="24" t="inlineStr">
        <is>
          <t>Elina Svitolina</t>
        </is>
      </c>
      <c r="AS37" s="24" t="inlineStr">
        <is>
          <t>Ekaterina Alexandrova</t>
        </is>
      </c>
      <c r="AT37" s="24" t="inlineStr">
        <is>
          <t>Ekaterina Alexandrova</t>
        </is>
      </c>
      <c r="AU37" s="24" t="inlineStr">
        <is>
          <t>Ekaterina Alexandrova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3ab056fefe04713e3c294da76c8adb2866b0dc46556ed32322a0426dd344a0e4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3ab056fefe04713e3c294da76c8adb2866b0dc46556ed32322a0426dd344a0e4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3ab056fefe04713e3c294da76c8adb2866b0dc46556ed32322a0426dd344a0e4</t>
        </is>
      </c>
      <c r="BH37" s="24" t="inlineStr">
        <is>
          <t>2026-08-10T16:34:18.936432Z</t>
        </is>
      </c>
      <c r="BI37" s="24" t="inlineStr">
        <is>
          <t>["same_event","same_team_same_day","same_league_same_day"]</t>
        </is>
      </c>
      <c r="BJ37" s="25" t="n"/>
      <c r="BK37" s="26" t="n">
        <v>-245</v>
      </c>
      <c r="BL37" s="27" t="n">
        <v>1.408163</v>
      </c>
      <c r="BM37" s="28" t="n">
        <v>0.710145</v>
      </c>
      <c r="BN37" s="28" t="n"/>
      <c r="BO37" s="28" t="n"/>
      <c r="BP37" s="25" t="n"/>
      <c r="BQ37" s="27" t="n">
        <v>1.408163</v>
      </c>
      <c r="BR37" s="28" t="n">
        <v>0.71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0.710145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bcfef55f34a1481a</t>
        </is>
      </c>
      <c r="B38" s="24" t="inlineStr">
        <is>
          <t>2026-08-10T16:35:12.075143Z</t>
        </is>
      </c>
      <c r="C38" s="24" t="inlineStr">
        <is>
          <t>2026-08-10T22:00Z</t>
        </is>
      </c>
      <c r="D38" s="24" t="inlineStr">
        <is>
          <t>421-2026:181722</t>
        </is>
      </c>
      <c r="E38" s="24" t="inlineStr">
        <is>
          <t>TENNIS</t>
        </is>
      </c>
      <c r="F38" s="24" t="inlineStr">
        <is>
          <t>Arthur Fils</t>
        </is>
      </c>
      <c r="G38" s="24" t="inlineStr">
        <is>
          <t>Rafael Jodar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117</v>
      </c>
      <c r="M38" s="27" t="n">
        <v>2.17</v>
      </c>
      <c r="N38" s="28" t="n">
        <v>0.460829</v>
      </c>
      <c r="O38" s="28" t="n">
        <v>0.609065</v>
      </c>
      <c r="P38" s="28" t="n">
        <v>0.05</v>
      </c>
      <c r="Q38" s="28" t="n">
        <v>0.148236</v>
      </c>
      <c r="R38" s="26" t="n">
        <v>94</v>
      </c>
      <c r="S38" s="29" t="n">
        <v>1.5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0</v>
      </c>
      <c r="X38" s="26" t="n">
        <v>1</v>
      </c>
      <c r="Y38" s="25" t="n"/>
      <c r="Z38" s="26" t="n">
        <v>117</v>
      </c>
      <c r="AA38" s="28" t="n">
        <v>0.46</v>
      </c>
      <c r="AB38" s="28" t="n">
        <v>-0.000829</v>
      </c>
      <c r="AC38" s="30" t="n">
        <v>-1.5</v>
      </c>
      <c r="AD38" s="24" t="inlineStr">
        <is>
          <t>2026-08-12T21:13:47.249123Z</t>
        </is>
      </c>
      <c r="AE38" s="31" t="inlineStr">
        <is>
          <t>Surface-blended Elo on Hard: Arthur Fils p=0.609 vs Rafael Jodar. Executable ask 0.4600 (aec-atp-rafjod-artfil-2026-08-11).</t>
        </is>
      </c>
      <c r="AF38" s="31" t="inlineStr">
        <is>
          <t>Surface-blended Elo model; singles only, WTA+ATP market coverage, not yet locked-holdout qualified -- promoted by explicit operator directive, not genuine walk-forward validation.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Arthur Fils</t>
        </is>
      </c>
      <c r="AQ38" s="24" t="inlineStr">
        <is>
          <t>Arthur Fils</t>
        </is>
      </c>
      <c r="AR38" s="24" t="inlineStr">
        <is>
          <t>Arthur Fils</t>
        </is>
      </c>
      <c r="AS38" s="24" t="inlineStr">
        <is>
          <t>Rafael Jodar</t>
        </is>
      </c>
      <c r="AT38" s="24" t="inlineStr">
        <is>
          <t>Rafael Jodar</t>
        </is>
      </c>
      <c r="AU38" s="24" t="inlineStr">
        <is>
          <t>Rafael Jodar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3ab056fefe04713e3c294da76c8adb2866b0dc46556ed32322a0426dd344a0e4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3ab056fefe04713e3c294da76c8adb2866b0dc46556ed32322a0426dd344a0e4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3ab056fefe04713e3c294da76c8adb2866b0dc46556ed32322a0426dd344a0e4</t>
        </is>
      </c>
      <c r="BH38" s="24" t="inlineStr">
        <is>
          <t>2026-08-10T16:34:20.296833Z</t>
        </is>
      </c>
      <c r="BI38" s="24" t="inlineStr">
        <is>
          <t>["same_event","same_team_same_day","same_league_same_day"]</t>
        </is>
      </c>
      <c r="BJ38" s="25" t="n"/>
      <c r="BK38" s="26" t="n">
        <v>117</v>
      </c>
      <c r="BL38" s="27" t="n">
        <v>2.17</v>
      </c>
      <c r="BM38" s="28" t="n">
        <v>0.460829</v>
      </c>
      <c r="BN38" s="28" t="n"/>
      <c r="BO38" s="28" t="n"/>
      <c r="BP38" s="25" t="n"/>
      <c r="BQ38" s="27" t="n">
        <v>2.17</v>
      </c>
      <c r="BR38" s="28" t="n">
        <v>0.46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0.460829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5f2a09f640414434</t>
        </is>
      </c>
      <c r="B39" s="24" t="inlineStr">
        <is>
          <t>2026-08-13T13:45:46.281726Z</t>
        </is>
      </c>
      <c r="C39" s="24" t="inlineStr">
        <is>
          <t>2026-08-13T16:30Z</t>
        </is>
      </c>
      <c r="D39" s="24" t="inlineStr">
        <is>
          <t>718-2026:184475</t>
        </is>
      </c>
      <c r="E39" s="24" t="inlineStr">
        <is>
          <t>TENNIS</t>
        </is>
      </c>
      <c r="F39" s="24" t="inlineStr">
        <is>
          <t>Polina Kudermetova</t>
        </is>
      </c>
      <c r="G39" s="24" t="inlineStr">
        <is>
          <t>Wang Xiyu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150</v>
      </c>
      <c r="M39" s="27" t="n">
        <v>2.5</v>
      </c>
      <c r="N39" s="28" t="n">
        <v>0.4</v>
      </c>
      <c r="O39" s="28" t="n">
        <v>0.57778</v>
      </c>
      <c r="P39" s="28" t="n">
        <v>0.05</v>
      </c>
      <c r="Q39" s="28" t="n">
        <v>0.17778</v>
      </c>
      <c r="R39" s="26" t="n">
        <v>100</v>
      </c>
      <c r="S39" s="29" t="n">
        <v>1.25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>
        <v>150</v>
      </c>
      <c r="AA39" s="28" t="n">
        <v>0.4</v>
      </c>
      <c r="AB39" s="28" t="n">
        <v>0</v>
      </c>
      <c r="AC39" s="30" t="n">
        <v>-1.25</v>
      </c>
      <c r="AD39" s="24" t="inlineStr">
        <is>
          <t>2026-08-13T19:17:50.559489Z</t>
        </is>
      </c>
      <c r="AE39" s="31" t="inlineStr">
        <is>
          <t>Surface-blended Elo on Hard: Polina Kudermetova p=0.578 vs Wang Xiyu. Executable ask 0.4000 (aec-wta-xiywan-polkud-2026-08-13).</t>
        </is>
      </c>
      <c r="AF39" s="31" t="inlineStr">
        <is>
          <t>Surface-blended Elo model; singles only, WTA+ATP market coverage, not yet locked-holdout qualified -- promoted by explicit operator directive, not genuine walk-forward validation.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Polina Kudermetova</t>
        </is>
      </c>
      <c r="AQ39" s="24" t="inlineStr">
        <is>
          <t>Polina Kudermetova</t>
        </is>
      </c>
      <c r="AR39" s="24" t="inlineStr">
        <is>
          <t>Polina Kudermetova</t>
        </is>
      </c>
      <c r="AS39" s="24" t="inlineStr">
        <is>
          <t>Wang Xiyu</t>
        </is>
      </c>
      <c r="AT39" s="24" t="inlineStr">
        <is>
          <t>Wang Xiyu</t>
        </is>
      </c>
      <c r="AU39" s="24" t="inlineStr">
        <is>
          <t>Wang Xiyu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3ab056fefe04713e3c294da76c8adb2866b0dc46556ed32322a0426dd344a0e4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3ab056fefe04713e3c294da76c8adb2866b0dc46556ed32322a0426dd344a0e4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3ab056fefe04713e3c294da76c8adb2866b0dc46556ed32322a0426dd344a0e4</t>
        </is>
      </c>
      <c r="BH39" s="24" t="inlineStr">
        <is>
          <t>2026-08-13T13:44:36.206620Z</t>
        </is>
      </c>
      <c r="BI39" s="24" t="inlineStr">
        <is>
          <t>["same_event","same_team_same_day","same_league_same_day"]</t>
        </is>
      </c>
      <c r="BJ39" s="25" t="n"/>
      <c r="BK39" s="26" t="n">
        <v>150</v>
      </c>
      <c r="BL39" s="27" t="n">
        <v>2.5</v>
      </c>
      <c r="BM39" s="28" t="n">
        <v>0.4</v>
      </c>
      <c r="BN39" s="28" t="n"/>
      <c r="BO39" s="28" t="n"/>
      <c r="BP39" s="25" t="n"/>
      <c r="BQ39" s="27" t="n">
        <v>2.5</v>
      </c>
      <c r="BR39" s="28" t="n">
        <v>0.4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7ce4747dd03946e3</t>
        </is>
      </c>
      <c r="B40" s="24" t="inlineStr">
        <is>
          <t>2026-08-16T14:35:44.017110Z</t>
        </is>
      </c>
      <c r="C40" s="24" t="inlineStr">
        <is>
          <t>2026-08-16T15:00Z</t>
        </is>
      </c>
      <c r="D40" s="24" t="inlineStr">
        <is>
          <t>718-2026:182336</t>
        </is>
      </c>
      <c r="E40" s="24" t="inlineStr">
        <is>
          <t>TENNIS</t>
        </is>
      </c>
      <c r="F40" s="24" t="inlineStr">
        <is>
          <t>Viktorija Golubic</t>
        </is>
      </c>
      <c r="G40" s="24" t="inlineStr">
        <is>
          <t>Janice Tjen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108</v>
      </c>
      <c r="M40" s="27" t="n">
        <v>2.08</v>
      </c>
      <c r="N40" s="28" t="n">
        <v>0.480769</v>
      </c>
      <c r="O40" s="28" t="n">
        <v>0.661023</v>
      </c>
      <c r="P40" s="28" t="n">
        <v>0.05</v>
      </c>
      <c r="Q40" s="28" t="n">
        <v>0.180254</v>
      </c>
      <c r="R40" s="26" t="n">
        <v>100</v>
      </c>
      <c r="S40" s="29" t="n">
        <v>1.75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loss</t>
        </is>
      </c>
      <c r="W40" s="26" t="n">
        <v>0</v>
      </c>
      <c r="X40" s="26" t="n">
        <v>1</v>
      </c>
      <c r="Y40" s="25" t="n"/>
      <c r="Z40" s="26" t="n">
        <v>108</v>
      </c>
      <c r="AA40" s="28" t="n">
        <v>0.48</v>
      </c>
      <c r="AB40" s="28" t="n">
        <v>-0.000769</v>
      </c>
      <c r="AC40" s="30" t="n">
        <v>-1.75</v>
      </c>
      <c r="AD40" s="24" t="inlineStr">
        <is>
          <t>2026-08-17T05:22:54.868408Z</t>
        </is>
      </c>
      <c r="AE40" s="31" t="inlineStr">
        <is>
          <t>Surface-blended Elo on Hard: Viktorija Golubic p=0.661 vs Janice Tjen. Executable ask 0.4800 (aec-wta-jantje-vikgol-2026-08-16).</t>
        </is>
      </c>
      <c r="AF40" s="31" t="inlineStr">
        <is>
          <t>Surface-blended Elo model; singles only, WTA+ATP market coverage, not yet locked-holdout qualified -- promoted by explicit operator directive, not genuine walk-forward validation.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Viktorija Golubic</t>
        </is>
      </c>
      <c r="AQ40" s="24" t="inlineStr">
        <is>
          <t>Viktorija Golubic</t>
        </is>
      </c>
      <c r="AR40" s="24" t="inlineStr">
        <is>
          <t>Viktorija Golubic</t>
        </is>
      </c>
      <c r="AS40" s="24" t="inlineStr">
        <is>
          <t>Janice Tjen</t>
        </is>
      </c>
      <c r="AT40" s="24" t="inlineStr">
        <is>
          <t>Janice Tjen</t>
        </is>
      </c>
      <c r="AU40" s="24" t="inlineStr">
        <is>
          <t>Janice Tjen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3ab056fefe04713e3c294da76c8adb2866b0dc46556ed32322a0426dd344a0e4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3ab056fefe04713e3c294da76c8adb2866b0dc46556ed32322a0426dd344a0e4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3ab056fefe04713e3c294da76c8adb2866b0dc46556ed32322a0426dd344a0e4</t>
        </is>
      </c>
      <c r="BH40" s="24" t="inlineStr">
        <is>
          <t>2026-08-16T14:33:16.521530Z</t>
        </is>
      </c>
      <c r="BI40" s="24" t="inlineStr">
        <is>
          <t>["same_event","same_team_same_day","same_league_same_day"]</t>
        </is>
      </c>
      <c r="BJ40" s="25" t="n"/>
      <c r="BK40" s="26" t="n">
        <v>108</v>
      </c>
      <c r="BL40" s="27" t="n">
        <v>2.08</v>
      </c>
      <c r="BM40" s="28" t="n">
        <v>0.480769</v>
      </c>
      <c r="BN40" s="28" t="n"/>
      <c r="BO40" s="28" t="n"/>
      <c r="BP40" s="25" t="n"/>
      <c r="BQ40" s="27" t="n">
        <v>2.08</v>
      </c>
      <c r="BR40" s="28" t="n">
        <v>0.48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0.480769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2aa18363b2fc4f5d</t>
        </is>
      </c>
      <c r="B41" s="24" t="inlineStr">
        <is>
          <t>2026-08-16T14:35:44.017110Z</t>
        </is>
      </c>
      <c r="C41" s="24" t="inlineStr">
        <is>
          <t>2026-08-16T15:00Z</t>
        </is>
      </c>
      <c r="D41" s="24" t="inlineStr">
        <is>
          <t>718-2026:182365</t>
        </is>
      </c>
      <c r="E41" s="24" t="inlineStr">
        <is>
          <t>TENNIS</t>
        </is>
      </c>
      <c r="F41" s="24" t="inlineStr">
        <is>
          <t>Elena Rybakina</t>
        </is>
      </c>
      <c r="G41" s="24" t="inlineStr">
        <is>
          <t>Taylor Townsend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0.843799</v>
      </c>
      <c r="P41" s="28" t="n">
        <v>0.05</v>
      </c>
      <c r="Q41" s="28" t="n">
        <v>0.083607</v>
      </c>
      <c r="R41" s="26" t="n">
        <v>62</v>
      </c>
      <c r="S41" s="29" t="n">
        <v>2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>
        <v>-317</v>
      </c>
      <c r="AA41" s="28" t="n">
        <v>0.76</v>
      </c>
      <c r="AB41" s="28" t="n">
        <v>-0.000192</v>
      </c>
      <c r="AC41" s="30" t="n">
        <v>0.6309</v>
      </c>
      <c r="AD41" s="24" t="inlineStr">
        <is>
          <t>2026-08-16T17:39:04.593036Z</t>
        </is>
      </c>
      <c r="AE41" s="31" t="inlineStr">
        <is>
          <t>Surface-blended Elo on Hard: Elena Rybakina p=0.844 vs Taylor Townsend. Executable ask 0.7600 (aec-wta-taytow-eleryb-2026-08-15).</t>
        </is>
      </c>
      <c r="AF41" s="31" t="inlineStr">
        <is>
          <t>Surface-blended Elo model; singles only, WTA+ATP market coverage, not yet locked-holdout qualified -- promoted by explicit operator directive, not genuine walk-forward validation.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Elena Rybakina</t>
        </is>
      </c>
      <c r="AQ41" s="24" t="inlineStr">
        <is>
          <t>Elena Rybakina</t>
        </is>
      </c>
      <c r="AR41" s="24" t="inlineStr">
        <is>
          <t>Elena Rybakina</t>
        </is>
      </c>
      <c r="AS41" s="24" t="inlineStr">
        <is>
          <t>Taylor Townsend</t>
        </is>
      </c>
      <c r="AT41" s="24" t="inlineStr">
        <is>
          <t>Taylor Townsend</t>
        </is>
      </c>
      <c r="AU41" s="24" t="inlineStr">
        <is>
          <t>Taylor Townsend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3ab056fefe04713e3c294da76c8adb2866b0dc46556ed32322a0426dd344a0e4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3ab056fefe04713e3c294da76c8adb2866b0dc46556ed32322a0426dd344a0e4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3ab056fefe04713e3c294da76c8adb2866b0dc46556ed32322a0426dd344a0e4</t>
        </is>
      </c>
      <c r="BH41" s="24" t="inlineStr">
        <is>
          <t>2026-08-16T14:33:15.112501Z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/>
      <c r="BO41" s="28" t="n"/>
      <c r="BP41" s="25" t="n"/>
      <c r="BQ41" s="27" t="n">
        <v>1.315457</v>
      </c>
      <c r="BR41" s="28" t="n">
        <v>0.76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0.760192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6530d84cde704873</t>
        </is>
      </c>
      <c r="B42" s="24" t="inlineStr">
        <is>
          <t>2026-08-16T14:35:44.017110Z</t>
        </is>
      </c>
      <c r="C42" s="24" t="inlineStr">
        <is>
          <t>2026-08-16T15:00Z</t>
        </is>
      </c>
      <c r="D42" s="24" t="inlineStr">
        <is>
          <t>718-2026:182440</t>
        </is>
      </c>
      <c r="E42" s="24" t="inlineStr">
        <is>
          <t>TENNIS</t>
        </is>
      </c>
      <c r="F42" s="24" t="inlineStr">
        <is>
          <t>Donna Vekic</t>
        </is>
      </c>
      <c r="G42" s="24" t="inlineStr">
        <is>
          <t>Wang Xinyu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0.567542</v>
      </c>
      <c r="P42" s="28" t="n">
        <v>0.05</v>
      </c>
      <c r="Q42" s="28" t="n">
        <v>0.117092</v>
      </c>
      <c r="R42" s="26" t="n">
        <v>79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-1</v>
      </c>
      <c r="AD42" s="24" t="inlineStr">
        <is>
          <t>2026-08-16T17:39:05.264870Z</t>
        </is>
      </c>
      <c r="AE42" s="31" t="inlineStr">
        <is>
          <t>Surface-blended Elo on Hard: Donna Vekic p=0.568 vs Wang Xinyu. Executable ask 0.4500 (aec-wta-xinwan-donvek-2026-08-15).</t>
        </is>
      </c>
      <c r="AF42" s="31" t="inlineStr">
        <is>
          <t>Surface-blended Elo model; singles only, WTA+ATP market coverage, not yet locked-holdout qualified -- promoted by explicit operator directive, not genuine walk-forward validation.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Donna Vekic</t>
        </is>
      </c>
      <c r="AQ42" s="24" t="inlineStr">
        <is>
          <t>Donna Vekic</t>
        </is>
      </c>
      <c r="AR42" s="24" t="inlineStr">
        <is>
          <t>Donna Vekic</t>
        </is>
      </c>
      <c r="AS42" s="24" t="inlineStr">
        <is>
          <t>Wang Xinyu</t>
        </is>
      </c>
      <c r="AT42" s="24" t="inlineStr">
        <is>
          <t>Wang Xinyu</t>
        </is>
      </c>
      <c r="AU42" s="24" t="inlineStr">
        <is>
          <t>Wang Xinyu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3ab056fefe04713e3c294da76c8adb2866b0dc46556ed32322a0426dd344a0e4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3ab056fefe04713e3c294da76c8adb2866b0dc46556ed32322a0426dd344a0e4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3ab056fefe04713e3c294da76c8adb2866b0dc46556ed32322a0426dd344a0e4</t>
        </is>
      </c>
      <c r="BH42" s="24" t="inlineStr">
        <is>
          <t>2026-08-16T14:33:18.330777Z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0.45045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cf70ae82bfd84ef8</t>
        </is>
      </c>
      <c r="B43" s="24" t="inlineStr">
        <is>
          <t>2026-08-16T14:35:44.017110Z</t>
        </is>
      </c>
      <c r="C43" s="24" t="inlineStr">
        <is>
          <t>2026-08-16T15:00Z</t>
        </is>
      </c>
      <c r="D43" s="24" t="inlineStr">
        <is>
          <t>718-2026:181887</t>
        </is>
      </c>
      <c r="E43" s="24" t="inlineStr">
        <is>
          <t>TENNIS</t>
        </is>
      </c>
      <c r="F43" s="24" t="inlineStr">
        <is>
          <t>Michael Zheng</t>
        </is>
      </c>
      <c r="G43" s="24" t="inlineStr">
        <is>
          <t>Ugo Humbert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0.608246</v>
      </c>
      <c r="P43" s="28" t="n">
        <v>0.05</v>
      </c>
      <c r="Q43" s="28" t="n">
        <v>0.089015</v>
      </c>
      <c r="R43" s="26" t="n">
        <v>65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>
        <v>-108</v>
      </c>
      <c r="AA43" s="28" t="n">
        <v>0.52</v>
      </c>
      <c r="AB43" s="28" t="n">
        <v>0.000769</v>
      </c>
      <c r="AC43" s="30" t="n">
        <v>-1.5</v>
      </c>
      <c r="AD43" s="24" t="inlineStr">
        <is>
          <t>2026-08-16T17:39:05.914306Z</t>
        </is>
      </c>
      <c r="AE43" s="31" t="inlineStr">
        <is>
          <t>Surface-blended Elo on Hard: Michael Zheng p=0.392 vs Ugo Humbert. Executable ask 0.5200 (aec-atp-ugohum-miczhe-2026-08-15).</t>
        </is>
      </c>
      <c r="AF43" s="31" t="inlineStr">
        <is>
          <t>Surface-blended Elo model; singles only, WTA+ATP market coverage, not yet locked-holdout qualified -- promoted by explicit operator directive, not genuine walk-forward validation.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Michael Zheng</t>
        </is>
      </c>
      <c r="AQ43" s="24" t="inlineStr">
        <is>
          <t>Michael Zheng</t>
        </is>
      </c>
      <c r="AR43" s="24" t="inlineStr">
        <is>
          <t>Michael Zheng</t>
        </is>
      </c>
      <c r="AS43" s="24" t="inlineStr">
        <is>
          <t>Ugo Humbert</t>
        </is>
      </c>
      <c r="AT43" s="24" t="inlineStr">
        <is>
          <t>Ugo Humbert</t>
        </is>
      </c>
      <c r="AU43" s="24" t="inlineStr">
        <is>
          <t>Ugo Humbert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3ab056fefe04713e3c294da76c8adb2866b0dc46556ed32322a0426dd344a0e4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3ab056fefe04713e3c294da76c8adb2866b0dc46556ed32322a0426dd344a0e4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3ab056fefe04713e3c294da76c8adb2866b0dc46556ed32322a0426dd344a0e4</t>
        </is>
      </c>
      <c r="BH43" s="24" t="inlineStr">
        <is>
          <t>2026-08-16T14:33:34.826929Z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>
        <v>1.925926</v>
      </c>
      <c r="BR43" s="28" t="n">
        <v>0.52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0.519231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e715219d2e824abb</t>
        </is>
      </c>
      <c r="B44" s="24" t="inlineStr">
        <is>
          <t>2026-08-16T14:35:44.017110Z</t>
        </is>
      </c>
      <c r="C44" s="24" t="inlineStr">
        <is>
          <t>2026-08-16T16:30Z</t>
        </is>
      </c>
      <c r="D44" s="24" t="inlineStr">
        <is>
          <t>718-2026:181908</t>
        </is>
      </c>
      <c r="E44" s="24" t="inlineStr">
        <is>
          <t>TENNIS</t>
        </is>
      </c>
      <c r="F44" s="24" t="inlineStr">
        <is>
          <t>Felix Auger-Aliassime</t>
        </is>
      </c>
      <c r="G44" s="24" t="inlineStr">
        <is>
          <t>Stefanos Tsitsipas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-127</v>
      </c>
      <c r="M44" s="27" t="n">
        <v>1.787402</v>
      </c>
      <c r="N44" s="28" t="n">
        <v>0.5594710000000001</v>
      </c>
      <c r="O44" s="28" t="n">
        <v>0.699835</v>
      </c>
      <c r="P44" s="28" t="n">
        <v>0.05</v>
      </c>
      <c r="Q44" s="28" t="n">
        <v>0.140364</v>
      </c>
      <c r="R44" s="26" t="n">
        <v>90</v>
      </c>
      <c r="S44" s="29" t="n">
        <v>2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>
        <v>-127</v>
      </c>
      <c r="AA44" s="28" t="n">
        <v>0.5600000000000001</v>
      </c>
      <c r="AB44" s="28" t="n">
        <v>0.000529</v>
      </c>
      <c r="AC44" s="30" t="n">
        <v>1.5748</v>
      </c>
      <c r="AD44" s="24" t="inlineStr">
        <is>
          <t>2026-08-17T05:22:56.128958Z</t>
        </is>
      </c>
      <c r="AE44" s="31" t="inlineStr">
        <is>
          <t>Surface-blended Elo on Hard: Felix Auger-Aliassime p=0.700 vs Stefanos Tsitsipas. Executable ask 0.5600 (aec-atp-stetsi-felaug-2026-08-15).</t>
        </is>
      </c>
      <c r="AF44" s="31" t="inlineStr">
        <is>
          <t>Surface-blended Elo model; singles only, WTA+ATP market coverage, not yet locked-holdout qualified -- promoted by explicit operator directive, not genuine walk-forward validation.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Felix Auger-Aliassime</t>
        </is>
      </c>
      <c r="AQ44" s="24" t="inlineStr">
        <is>
          <t>Felix Auger-Aliassime</t>
        </is>
      </c>
      <c r="AR44" s="24" t="inlineStr">
        <is>
          <t>Felix Auger-Aliassime</t>
        </is>
      </c>
      <c r="AS44" s="24" t="inlineStr">
        <is>
          <t>Stefanos Tsitsipas</t>
        </is>
      </c>
      <c r="AT44" s="24" t="inlineStr">
        <is>
          <t>Stefanos Tsitsipas</t>
        </is>
      </c>
      <c r="AU44" s="24" t="inlineStr">
        <is>
          <t>Stefanos Tsitsipas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3ab056fefe04713e3c294da76c8adb2866b0dc46556ed32322a0426dd344a0e4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3ab056fefe04713e3c294da76c8adb2866b0dc46556ed32322a0426dd344a0e4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3ab056fefe04713e3c294da76c8adb2866b0dc46556ed32322a0426dd344a0e4</t>
        </is>
      </c>
      <c r="BH44" s="24" t="inlineStr">
        <is>
          <t>2026-08-16T14:33:38.615489Z</t>
        </is>
      </c>
      <c r="BI44" s="24" t="inlineStr">
        <is>
          <t>["same_event","same_team_same_day","same_league_same_day"]</t>
        </is>
      </c>
      <c r="BJ44" s="25" t="n"/>
      <c r="BK44" s="26" t="n">
        <v>-127</v>
      </c>
      <c r="BL44" s="27" t="n">
        <v>1.787402</v>
      </c>
      <c r="BM44" s="28" t="n">
        <v>0.5594710000000001</v>
      </c>
      <c r="BN44" s="28" t="n"/>
      <c r="BO44" s="28" t="n"/>
      <c r="BP44" s="25" t="n"/>
      <c r="BQ44" s="27" t="n">
        <v>1.787402</v>
      </c>
      <c r="BR44" s="28" t="n">
        <v>0.5600000000000001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0.559471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f6a351ced603495b</t>
        </is>
      </c>
      <c r="B45" s="24" t="inlineStr">
        <is>
          <t>2026-08-16T17:44:11.146468Z</t>
        </is>
      </c>
      <c r="C45" s="24" t="inlineStr">
        <is>
          <t>2026-08-16T21:00Z</t>
        </is>
      </c>
      <c r="D45" s="24" t="inlineStr">
        <is>
          <t>718-2026:182363</t>
        </is>
      </c>
      <c r="E45" s="24" t="inlineStr">
        <is>
          <t>TENNIS</t>
        </is>
      </c>
      <c r="F45" s="24" t="inlineStr">
        <is>
          <t>Anastasia Potapova</t>
        </is>
      </c>
      <c r="G45" s="24" t="inlineStr">
        <is>
          <t>Sloane Stephens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-194</v>
      </c>
      <c r="M45" s="27" t="n">
        <v>1.515464</v>
      </c>
      <c r="N45" s="28" t="n">
        <v>0.659864</v>
      </c>
      <c r="O45" s="28" t="n">
        <v>0.742704</v>
      </c>
      <c r="P45" s="28" t="n">
        <v>0.05</v>
      </c>
      <c r="Q45" s="28" t="n">
        <v>0.08284</v>
      </c>
      <c r="R45" s="26" t="n">
        <v>61</v>
      </c>
      <c r="S45" s="29" t="n">
        <v>2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loss</t>
        </is>
      </c>
      <c r="W45" s="26" t="n">
        <v>0</v>
      </c>
      <c r="X45" s="26" t="n">
        <v>1</v>
      </c>
      <c r="Y45" s="25" t="n"/>
      <c r="Z45" s="26" t="n">
        <v>-194</v>
      </c>
      <c r="AA45" s="28" t="n">
        <v>0.66</v>
      </c>
      <c r="AB45" s="28" t="n">
        <v>0.000136</v>
      </c>
      <c r="AC45" s="30" t="n">
        <v>-2</v>
      </c>
      <c r="AD45" s="24" t="inlineStr">
        <is>
          <t>2026-08-17T05:23:03.560183Z</t>
        </is>
      </c>
      <c r="AE45" s="31" t="inlineStr">
        <is>
          <t>Surface-blended Elo on Hard: Anastasia Potapova p=0.743 vs Sloane Stephens. Executable ask 0.6600 (aec-wta-sloste-anapot-2026-08-16).</t>
        </is>
      </c>
      <c r="AF45" s="31" t="inlineStr">
        <is>
          <t>Surface-blended Elo model; singles only, WTA+ATP market coverage, not yet locked-holdout qualified -- promoted by explicit operator directive, not genuine walk-forward validation.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Anastasia Potapova</t>
        </is>
      </c>
      <c r="AQ45" s="24" t="inlineStr">
        <is>
          <t>Anastasia Potapova</t>
        </is>
      </c>
      <c r="AR45" s="24" t="inlineStr">
        <is>
          <t>Anastasia Potapova</t>
        </is>
      </c>
      <c r="AS45" s="24" t="inlineStr">
        <is>
          <t>Sloane Stephens</t>
        </is>
      </c>
      <c r="AT45" s="24" t="inlineStr">
        <is>
          <t>Sloane Stephens</t>
        </is>
      </c>
      <c r="AU45" s="24" t="inlineStr">
        <is>
          <t>Sloane Stephens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3ab056fefe04713e3c294da76c8adb2866b0dc46556ed32322a0426dd344a0e4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3ab056fefe04713e3c294da76c8adb2866b0dc46556ed32322a0426dd344a0e4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3ab056fefe04713e3c294da76c8adb2866b0dc46556ed32322a0426dd344a0e4</t>
        </is>
      </c>
      <c r="BH45" s="24" t="inlineStr">
        <is>
          <t>2026-08-16T17:42:54.600351Z</t>
        </is>
      </c>
      <c r="BI45" s="24" t="inlineStr">
        <is>
          <t>["same_event","same_team_same_day","same_league_same_day"]</t>
        </is>
      </c>
      <c r="BJ45" s="25" t="n"/>
      <c r="BK45" s="26" t="n">
        <v>-194</v>
      </c>
      <c r="BL45" s="27" t="n">
        <v>1.515464</v>
      </c>
      <c r="BM45" s="28" t="n">
        <v>0.659864</v>
      </c>
      <c r="BN45" s="28" t="n"/>
      <c r="BO45" s="28" t="n"/>
      <c r="BP45" s="25" t="n"/>
      <c r="BQ45" s="27" t="n">
        <v>1.515464</v>
      </c>
      <c r="BR45" s="28" t="n">
        <v>0.66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0.659864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e7846d32b48c4d03</t>
        </is>
      </c>
      <c r="B46" s="24" t="inlineStr">
        <is>
          <t>2026-08-16T17:44:11.146468Z</t>
        </is>
      </c>
      <c r="C46" s="24" t="inlineStr">
        <is>
          <t>2026-08-16T23:00Z</t>
        </is>
      </c>
      <c r="D46" s="24" t="inlineStr">
        <is>
          <t>718-2026:182433</t>
        </is>
      </c>
      <c r="E46" s="24" t="inlineStr">
        <is>
          <t>TENNIS</t>
        </is>
      </c>
      <c r="F46" s="24" t="inlineStr">
        <is>
          <t>Liudmila Samsonova</t>
        </is>
      </c>
      <c r="G46" s="24" t="inlineStr">
        <is>
          <t>Coco Gauff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-300</v>
      </c>
      <c r="M46" s="27" t="n">
        <v>1.333333</v>
      </c>
      <c r="N46" s="28" t="n">
        <v>0.75</v>
      </c>
      <c r="O46" s="28" t="n">
        <v>0.826366</v>
      </c>
      <c r="P46" s="28" t="n">
        <v>0.05</v>
      </c>
      <c r="Q46" s="28" t="n">
        <v>0.076366</v>
      </c>
      <c r="R46" s="26" t="n">
        <v>58</v>
      </c>
      <c r="S46" s="29" t="n">
        <v>2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-300</v>
      </c>
      <c r="AA46" s="28" t="n">
        <v>0.75</v>
      </c>
      <c r="AB46" s="28" t="n">
        <v>0</v>
      </c>
      <c r="AC46" s="30" t="n">
        <v>0.6667</v>
      </c>
      <c r="AD46" s="24" t="inlineStr">
        <is>
          <t>2026-08-17T05:23:04.870426Z</t>
        </is>
      </c>
      <c r="AE46" s="31" t="inlineStr">
        <is>
          <t>Surface-blended Elo on Hard: Liudmila Samsonova p=0.174 vs Coco Gauff. Executable ask 0.7500 (aec-wta-cocgau-liusam-2026-08-16).</t>
        </is>
      </c>
      <c r="AF46" s="31" t="inlineStr">
        <is>
          <t>Surface-blended Elo model; singles only, WTA+ATP market coverage, not yet locked-holdout qualified -- promoted by explicit operator directive, not genuine walk-forward validation.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Liudmila Samsonova</t>
        </is>
      </c>
      <c r="AQ46" s="24" t="inlineStr">
        <is>
          <t>Liudmila Samsonova</t>
        </is>
      </c>
      <c r="AR46" s="24" t="inlineStr">
        <is>
          <t>Liudmila Samsonova</t>
        </is>
      </c>
      <c r="AS46" s="24" t="inlineStr">
        <is>
          <t>Coco Gauff</t>
        </is>
      </c>
      <c r="AT46" s="24" t="inlineStr">
        <is>
          <t>Coco Gauff</t>
        </is>
      </c>
      <c r="AU46" s="24" t="inlineStr">
        <is>
          <t>Coco Gauff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3ab056fefe04713e3c294da76c8adb2866b0dc46556ed32322a0426dd344a0e4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3ab056fefe04713e3c294da76c8adb2866b0dc46556ed32322a0426dd344a0e4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3ab056fefe04713e3c294da76c8adb2866b0dc46556ed32322a0426dd344a0e4</t>
        </is>
      </c>
      <c r="BH46" s="24" t="inlineStr">
        <is>
          <t>2026-08-16T17:42:55.209721Z</t>
        </is>
      </c>
      <c r="BI46" s="24" t="inlineStr">
        <is>
          <t>["same_event","same_team_same_day","same_league_same_day"]</t>
        </is>
      </c>
      <c r="BJ46" s="25" t="n"/>
      <c r="BK46" s="26" t="n">
        <v>-300</v>
      </c>
      <c r="BL46" s="27" t="n">
        <v>1.333333</v>
      </c>
      <c r="BM46" s="28" t="n">
        <v>0.75</v>
      </c>
      <c r="BN46" s="28" t="n"/>
      <c r="BO46" s="28" t="n"/>
      <c r="BP46" s="25" t="n"/>
      <c r="BQ46" s="27" t="n">
        <v>1.333333</v>
      </c>
      <c r="BR46" s="28" t="n">
        <v>0.75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0.75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14308b6dafff4afd</t>
        </is>
      </c>
      <c r="B47" s="24" t="inlineStr">
        <is>
          <t>2026-08-16T17:44:11.146468Z</t>
        </is>
      </c>
      <c r="C47" s="24" t="inlineStr">
        <is>
          <t>2026-08-16T18:00Z</t>
        </is>
      </c>
      <c r="D47" s="24" t="inlineStr">
        <is>
          <t>718-2026:181893</t>
        </is>
      </c>
      <c r="E47" s="24" t="inlineStr">
        <is>
          <t>TENNIS</t>
        </is>
      </c>
      <c r="F47" s="24" t="inlineStr">
        <is>
          <t>Aleksandar Kovacevic</t>
        </is>
      </c>
      <c r="G47" s="24" t="inlineStr">
        <is>
          <t>Brandon Nakashima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-285</v>
      </c>
      <c r="M47" s="27" t="n">
        <v>1.350877</v>
      </c>
      <c r="N47" s="28" t="n">
        <v>0.74026</v>
      </c>
      <c r="O47" s="28" t="n">
        <v>0.792744</v>
      </c>
      <c r="P47" s="28" t="n">
        <v>0.05</v>
      </c>
      <c r="Q47" s="28" t="n">
        <v>0.052484</v>
      </c>
      <c r="R47" s="26" t="n">
        <v>46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-285</v>
      </c>
      <c r="AA47" s="28" t="n">
        <v>0.74</v>
      </c>
      <c r="AB47" s="28" t="n">
        <v>-0.00026</v>
      </c>
      <c r="AC47" s="30" t="n">
        <v>0.7018</v>
      </c>
      <c r="AD47" s="24" t="inlineStr">
        <is>
          <t>2026-08-17T05:23:06.024904Z</t>
        </is>
      </c>
      <c r="AE47" s="31" t="inlineStr">
        <is>
          <t>Surface-blended Elo on Hard: Aleksandar Kovacevic p=0.207 vs Brandon Nakashima. Executable ask 0.7400 (aec-atp-branak-alekov-2026-08-16).</t>
        </is>
      </c>
      <c r="AF47" s="31" t="inlineStr">
        <is>
          <t>Surface-blended Elo model; singles only, WTA+ATP market coverage, not yet locked-holdout qualified -- promoted by explicit operator directive, not genuine walk-forward validation.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Aleksandar Kovacevic</t>
        </is>
      </c>
      <c r="AQ47" s="24" t="inlineStr">
        <is>
          <t>Aleksandar Kovacevic</t>
        </is>
      </c>
      <c r="AR47" s="24" t="inlineStr">
        <is>
          <t>Aleksandar Kovacevic</t>
        </is>
      </c>
      <c r="AS47" s="24" t="inlineStr">
        <is>
          <t>Brandon Nakashima</t>
        </is>
      </c>
      <c r="AT47" s="24" t="inlineStr">
        <is>
          <t>Brandon Nakashima</t>
        </is>
      </c>
      <c r="AU47" s="24" t="inlineStr">
        <is>
          <t>Brandon Nakashima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3ab056fefe04713e3c294da76c8adb2866b0dc46556ed32322a0426dd344a0e4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3ab056fefe04713e3c294da76c8adb2866b0dc46556ed32322a0426dd344a0e4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3ab056fefe04713e3c294da76c8adb2866b0dc46556ed32322a0426dd344a0e4</t>
        </is>
      </c>
      <c r="BH47" s="24" t="inlineStr">
        <is>
          <t>2026-08-16T17:43:02.499615Z</t>
        </is>
      </c>
      <c r="BI47" s="24" t="inlineStr">
        <is>
          <t>["same_event","same_team_same_day","same_league_same_day"]</t>
        </is>
      </c>
      <c r="BJ47" s="25" t="n"/>
      <c r="BK47" s="26" t="n">
        <v>-285</v>
      </c>
      <c r="BL47" s="27" t="n">
        <v>1.350877</v>
      </c>
      <c r="BM47" s="28" t="n">
        <v>0.74026</v>
      </c>
      <c r="BN47" s="28" t="n"/>
      <c r="BO47" s="28" t="n"/>
      <c r="BP47" s="25" t="n"/>
      <c r="BQ47" s="27" t="n">
        <v>1.350877</v>
      </c>
      <c r="BR47" s="28" t="n">
        <v>0.74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0.74026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39d8a51baf5d42d2</t>
        </is>
      </c>
      <c r="B48" s="24" t="inlineStr">
        <is>
          <t>2026-08-16T17:44:11.146468Z</t>
        </is>
      </c>
      <c r="C48" s="24" t="inlineStr">
        <is>
          <t>2026-08-16T18:00Z</t>
        </is>
      </c>
      <c r="D48" s="24" t="inlineStr">
        <is>
          <t>718-2026:181914</t>
        </is>
      </c>
      <c r="E48" s="24" t="inlineStr">
        <is>
          <t>TENNIS</t>
        </is>
      </c>
      <c r="F48" s="24" t="inlineStr">
        <is>
          <t>Francisco Cerundolo</t>
        </is>
      </c>
      <c r="G48" s="24" t="inlineStr">
        <is>
          <t>Nuno Borges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122</v>
      </c>
      <c r="M48" s="27" t="n">
        <v>2.22</v>
      </c>
      <c r="N48" s="28" t="n">
        <v>0.45045</v>
      </c>
      <c r="O48" s="28" t="n">
        <v>0.64866</v>
      </c>
      <c r="P48" s="28" t="n">
        <v>0.05</v>
      </c>
      <c r="Q48" s="28" t="n">
        <v>0.19821</v>
      </c>
      <c r="R48" s="26" t="n">
        <v>100</v>
      </c>
      <c r="S48" s="29" t="n">
        <v>1.75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0</v>
      </c>
      <c r="X48" s="26" t="n">
        <v>1</v>
      </c>
      <c r="Y48" s="25" t="n"/>
      <c r="Z48" s="26" t="n">
        <v>122</v>
      </c>
      <c r="AA48" s="28" t="n">
        <v>0.45</v>
      </c>
      <c r="AB48" s="28" t="n">
        <v>-0.00045</v>
      </c>
      <c r="AC48" s="30" t="n">
        <v>-1.75</v>
      </c>
      <c r="AD48" s="24" t="inlineStr">
        <is>
          <t>2026-08-17T05:23:07.292763Z</t>
        </is>
      </c>
      <c r="AE48" s="31" t="inlineStr">
        <is>
          <t>Surface-blended Elo on Hard: Francisco Cerundolo p=0.649 vs Nuno Borges. Executable ask 0.4500 (aec-atp-nunbor-fracer-2026-08-16).</t>
        </is>
      </c>
      <c r="AF48" s="31" t="inlineStr">
        <is>
          <t>Surface-blended Elo model; singles only, WTA+ATP market coverage, not yet locked-holdout qualified -- promoted by explicit operator directive, not genuine walk-forward validation.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Francisco Cerundolo</t>
        </is>
      </c>
      <c r="AQ48" s="24" t="inlineStr">
        <is>
          <t>Francisco Cerundolo</t>
        </is>
      </c>
      <c r="AR48" s="24" t="inlineStr">
        <is>
          <t>Francisco Cerundolo</t>
        </is>
      </c>
      <c r="AS48" s="24" t="inlineStr">
        <is>
          <t>Nuno Borges</t>
        </is>
      </c>
      <c r="AT48" s="24" t="inlineStr">
        <is>
          <t>Nuno Borges</t>
        </is>
      </c>
      <c r="AU48" s="24" t="inlineStr">
        <is>
          <t>Nuno Borges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3ab056fefe04713e3c294da76c8adb2866b0dc46556ed32322a0426dd344a0e4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3ab056fefe04713e3c294da76c8adb2866b0dc46556ed32322a0426dd344a0e4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3ab056fefe04713e3c294da76c8adb2866b0dc46556ed32322a0426dd344a0e4</t>
        </is>
      </c>
      <c r="BH48" s="24" t="inlineStr">
        <is>
          <t>2026-08-16T17:43:01.511245Z</t>
        </is>
      </c>
      <c r="BI48" s="24" t="inlineStr">
        <is>
          <t>["same_event","same_team_same_day","same_league_same_day"]</t>
        </is>
      </c>
      <c r="BJ48" s="25" t="n"/>
      <c r="BK48" s="26" t="n">
        <v>122</v>
      </c>
      <c r="BL48" s="27" t="n">
        <v>2.22</v>
      </c>
      <c r="BM48" s="28" t="n">
        <v>0.45045</v>
      </c>
      <c r="BN48" s="28" t="n"/>
      <c r="BO48" s="28" t="n"/>
      <c r="BP48" s="25" t="n"/>
      <c r="BQ48" s="27" t="n">
        <v>2.22</v>
      </c>
      <c r="BR48" s="28" t="n">
        <v>0.45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0.45045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ef34e1d136544dd6</t>
        </is>
      </c>
      <c r="B49" s="24" t="inlineStr">
        <is>
          <t>2026-08-16T17:44:11.146468Z</t>
        </is>
      </c>
      <c r="C49" s="24" t="inlineStr">
        <is>
          <t>2026-08-16T19:30Z</t>
        </is>
      </c>
      <c r="D49" s="24" t="inlineStr">
        <is>
          <t>718-2026:181931</t>
        </is>
      </c>
      <c r="E49" s="24" t="inlineStr">
        <is>
          <t>TENNIS</t>
        </is>
      </c>
      <c r="F49" s="24" t="inlineStr">
        <is>
          <t>Zizou Bergs</t>
        </is>
      </c>
      <c r="G49" s="24" t="inlineStr">
        <is>
          <t>Daniel Merida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0.5985009999999999</v>
      </c>
      <c r="P49" s="28" t="n">
        <v>0.05</v>
      </c>
      <c r="Q49" s="28" t="n">
        <v>0.05933</v>
      </c>
      <c r="R49" s="26" t="n">
        <v>50</v>
      </c>
      <c r="S49" s="29" t="n">
        <v>1.25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1.0684</v>
      </c>
      <c r="AD49" s="24" t="inlineStr">
        <is>
          <t>2026-08-17T05:23:08.457383Z</t>
        </is>
      </c>
      <c r="AE49" s="31" t="inlineStr">
        <is>
          <t>Surface-blended Elo on Hard: Zizou Bergs p=0.401 vs Daniel Merida. Executable ask 0.5400 (aec-atp-danagu-zizber-2026-08-16).</t>
        </is>
      </c>
      <c r="AF49" s="31" t="inlineStr">
        <is>
          <t>Surface-blended Elo model; singles only, WTA+ATP market coverage, not yet locked-holdout qualified -- promoted by explicit operator directive, not genuine walk-forward validation.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Zizou Bergs</t>
        </is>
      </c>
      <c r="AQ49" s="24" t="inlineStr">
        <is>
          <t>Zizou Bergs</t>
        </is>
      </c>
      <c r="AR49" s="24" t="inlineStr">
        <is>
          <t>Zizou Bergs</t>
        </is>
      </c>
      <c r="AS49" s="24" t="inlineStr">
        <is>
          <t>Daniel Merida</t>
        </is>
      </c>
      <c r="AT49" s="24" t="inlineStr">
        <is>
          <t>Daniel Merida</t>
        </is>
      </c>
      <c r="AU49" s="24" t="inlineStr">
        <is>
          <t>Daniel Merida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3ab056fefe04713e3c294da76c8adb2866b0dc46556ed32322a0426dd344a0e4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3ab056fefe04713e3c294da76c8adb2866b0dc46556ed32322a0426dd344a0e4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3ab056fefe04713e3c294da76c8adb2866b0dc46556ed32322a0426dd344a0e4</t>
        </is>
      </c>
      <c r="BH49" s="24" t="inlineStr">
        <is>
          <t>2026-08-16T17:43:04.084353Z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f23ebfd1db404117</t>
        </is>
      </c>
      <c r="B50" s="24" t="inlineStr">
        <is>
          <t>2026-08-16T17:44:11.146468Z</t>
        </is>
      </c>
      <c r="C50" s="24" t="inlineStr">
        <is>
          <t>2026-08-17T00:30Z</t>
        </is>
      </c>
      <c r="D50" s="24" t="inlineStr">
        <is>
          <t>718-2026:181936</t>
        </is>
      </c>
      <c r="E50" s="24" t="inlineStr">
        <is>
          <t>TENNIS</t>
        </is>
      </c>
      <c r="F50" s="24" t="inlineStr">
        <is>
          <t>Frances Tiafoe</t>
        </is>
      </c>
      <c r="G50" s="24" t="inlineStr">
        <is>
          <t>Lorenzo Sonego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-163</v>
      </c>
      <c r="M50" s="27" t="n">
        <v>1.613497</v>
      </c>
      <c r="N50" s="28" t="n">
        <v>0.619772</v>
      </c>
      <c r="O50" s="28" t="n">
        <v>0.7210839999999999</v>
      </c>
      <c r="P50" s="28" t="n">
        <v>0.05</v>
      </c>
      <c r="Q50" s="28" t="n">
        <v>0.101312</v>
      </c>
      <c r="R50" s="26" t="n">
        <v>71</v>
      </c>
      <c r="S50" s="29" t="n">
        <v>2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-163</v>
      </c>
      <c r="AA50" s="28" t="n">
        <v>0.62</v>
      </c>
      <c r="AB50" s="28" t="n">
        <v>0.000228</v>
      </c>
      <c r="AC50" s="30" t="n">
        <v>1.227</v>
      </c>
      <c r="AD50" s="24" t="inlineStr">
        <is>
          <t>2026-08-17T05:23:09.694349Z</t>
        </is>
      </c>
      <c r="AE50" s="31" t="inlineStr">
        <is>
          <t>Surface-blended Elo on Hard: Frances Tiafoe p=0.721 vs Lorenzo Sonego. Executable ask 0.6200 (aec-atp-lorson-fratia-2026-08-15).</t>
        </is>
      </c>
      <c r="AF50" s="31" t="inlineStr">
        <is>
          <t>Surface-blended Elo model; singles only, WTA+ATP market coverage, not yet locked-holdout qualified -- promoted by explicit operator directive, not genuine walk-forward validation.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Frances Tiafoe</t>
        </is>
      </c>
      <c r="AQ50" s="24" t="inlineStr">
        <is>
          <t>Frances Tiafoe</t>
        </is>
      </c>
      <c r="AR50" s="24" t="inlineStr">
        <is>
          <t>Frances Tiafoe</t>
        </is>
      </c>
      <c r="AS50" s="24" t="inlineStr">
        <is>
          <t>Lorenzo Sonego</t>
        </is>
      </c>
      <c r="AT50" s="24" t="inlineStr">
        <is>
          <t>Lorenzo Sonego</t>
        </is>
      </c>
      <c r="AU50" s="24" t="inlineStr">
        <is>
          <t>Lorenzo Sonego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3ab056fefe04713e3c294da76c8adb2866b0dc46556ed32322a0426dd344a0e4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3ab056fefe04713e3c294da76c8adb2866b0dc46556ed32322a0426dd344a0e4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3ab056fefe04713e3c294da76c8adb2866b0dc46556ed32322a0426dd344a0e4</t>
        </is>
      </c>
      <c r="BH50" s="24" t="inlineStr">
        <is>
          <t>2026-08-16T17:43:07.722272Z</t>
        </is>
      </c>
      <c r="BI50" s="24" t="inlineStr">
        <is>
          <t>["same_event","same_team_same_day","same_league_same_day"]</t>
        </is>
      </c>
      <c r="BJ50" s="25" t="n"/>
      <c r="BK50" s="26" t="n">
        <v>-163</v>
      </c>
      <c r="BL50" s="27" t="n">
        <v>1.613497</v>
      </c>
      <c r="BM50" s="28" t="n">
        <v>0.619772</v>
      </c>
      <c r="BN50" s="28" t="n"/>
      <c r="BO50" s="28" t="n"/>
      <c r="BP50" s="25" t="n"/>
      <c r="BQ50" s="27" t="n">
        <v>1.613497</v>
      </c>
      <c r="BR50" s="28" t="n">
        <v>0.62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0.619772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14041b4ee019402c</t>
        </is>
      </c>
      <c r="B51" s="24" t="inlineStr">
        <is>
          <t>2026-08-17T08:39:31.988406Z</t>
        </is>
      </c>
      <c r="C51" s="24" t="inlineStr">
        <is>
          <t>2026-08-17T16:30Z</t>
        </is>
      </c>
      <c r="D51" s="24" t="inlineStr">
        <is>
          <t>718-2026:182371</t>
        </is>
      </c>
      <c r="E51" s="24" t="inlineStr">
        <is>
          <t>TENNIS</t>
        </is>
      </c>
      <c r="F51" s="24" t="inlineStr">
        <is>
          <t>Anna Kalinskaya</t>
        </is>
      </c>
      <c r="G51" s="24" t="inlineStr">
        <is>
          <t>Sorana Cirstea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0.565212</v>
      </c>
      <c r="P51" s="28" t="n">
        <v>0.05</v>
      </c>
      <c r="Q51" s="28" t="n">
        <v>0.055408</v>
      </c>
      <c r="R51" s="26" t="n">
        <v>48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-104</v>
      </c>
      <c r="AA51" s="28" t="n">
        <v>0.51</v>
      </c>
      <c r="AB51" s="28" t="n">
        <v>0.000196</v>
      </c>
      <c r="AC51" s="30" t="n">
        <v>0.9615</v>
      </c>
      <c r="AD51" s="24" t="inlineStr">
        <is>
          <t>2026-08-18T15:11:26.247417Z</t>
        </is>
      </c>
      <c r="AE51" s="31" t="inlineStr">
        <is>
          <t>Surface-blended Elo on Hard: Anna Kalinskaya p=0.435 vs Sorana Cirstea. Executable ask 0.5100 (aec-wta-sorcir-annkal-2026-08-17).</t>
        </is>
      </c>
      <c r="AF51" s="31" t="inlineStr">
        <is>
          <t>Surface-blended Elo model; singles only, WTA+ATP market coverage, not yet locked-holdout qualified -- promoted by explicit operator directive, not genuine walk-forward validation.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Anna Kalinskaya</t>
        </is>
      </c>
      <c r="AQ51" s="24" t="inlineStr">
        <is>
          <t>Anna Kalinskaya</t>
        </is>
      </c>
      <c r="AR51" s="24" t="inlineStr">
        <is>
          <t>Anna Kalinskaya</t>
        </is>
      </c>
      <c r="AS51" s="24" t="inlineStr">
        <is>
          <t>Sorana Cirstea</t>
        </is>
      </c>
      <c r="AT51" s="24" t="inlineStr">
        <is>
          <t>Sorana Cirstea</t>
        </is>
      </c>
      <c r="AU51" s="24" t="inlineStr">
        <is>
          <t>Sorana Cirstea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3ab056fefe04713e3c294da76c8adb2866b0dc46556ed32322a0426dd344a0e4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3ab056fefe04713e3c294da76c8adb2866b0dc46556ed32322a0426dd344a0e4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3ab056fefe04713e3c294da76c8adb2866b0dc46556ed32322a0426dd344a0e4</t>
        </is>
      </c>
      <c r="BH51" s="24" t="inlineStr">
        <is>
          <t>2026-08-17T08:38:18.207366Z</t>
        </is>
      </c>
      <c r="BI51" s="24" t="inlineStr">
        <is>
          <t>["same_event","same_team_same_day","same_league_same_day"]</t>
        </is>
      </c>
      <c r="BJ51" s="25" t="n"/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>
        <v>1.961538</v>
      </c>
      <c r="BR51" s="28" t="n">
        <v>0.51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a2bbc822b5384c21</t>
        </is>
      </c>
      <c r="B52" s="24" t="inlineStr">
        <is>
          <t>2026-08-17T08:39:31.988406Z</t>
        </is>
      </c>
      <c r="C52" s="24" t="inlineStr">
        <is>
          <t>2026-08-17T15:00Z</t>
        </is>
      </c>
      <c r="D52" s="24" t="inlineStr">
        <is>
          <t>718-2026:181922</t>
        </is>
      </c>
      <c r="E52" s="24" t="inlineStr">
        <is>
          <t>TENNIS</t>
        </is>
      </c>
      <c r="F52" s="24" t="inlineStr">
        <is>
          <t>Martin Landaluce</t>
        </is>
      </c>
      <c r="G52" s="24" t="inlineStr">
        <is>
          <t>Thiago Agustin Tirante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0.622451</v>
      </c>
      <c r="P52" s="28" t="n">
        <v>0.05</v>
      </c>
      <c r="Q52" s="28" t="n">
        <v>0.051636</v>
      </c>
      <c r="R52" s="26" t="n">
        <v>46</v>
      </c>
      <c r="S52" s="29" t="n">
        <v>1.5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1.1278</v>
      </c>
      <c r="AD52" s="24" t="inlineStr">
        <is>
          <t>2026-08-18T15:11:26.863385Z</t>
        </is>
      </c>
      <c r="AE52" s="31" t="inlineStr">
        <is>
          <t>Surface-blended Elo on Hard: Martin Landaluce p=0.378 vs Thiago Agustin Tirante. Executable ask 0.5700 (aec-atp-thitir-marlan-2026-08-17).</t>
        </is>
      </c>
      <c r="AF52" s="31" t="inlineStr">
        <is>
          <t>Surface-blended Elo model; singles only, WTA+ATP market coverage, not yet locked-holdout qualified -- promoted by explicit operator directive, not genuine walk-forward validation.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Martin Landaluce</t>
        </is>
      </c>
      <c r="AQ52" s="24" t="inlineStr">
        <is>
          <t>Martin Landaluce</t>
        </is>
      </c>
      <c r="AR52" s="24" t="inlineStr">
        <is>
          <t>Martin Landaluce</t>
        </is>
      </c>
      <c r="AS52" s="24" t="inlineStr">
        <is>
          <t>Thiago Agustin Tirante</t>
        </is>
      </c>
      <c r="AT52" s="24" t="inlineStr">
        <is>
          <t>Thiago Agustin Tirante</t>
        </is>
      </c>
      <c r="AU52" s="24" t="inlineStr">
        <is>
          <t>Thiago Agustin Tirante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3ab056fefe04713e3c294da76c8adb2866b0dc46556ed32322a0426dd344a0e4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3ab056fefe04713e3c294da76c8adb2866b0dc46556ed32322a0426dd344a0e4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3ab056fefe04713e3c294da76c8adb2866b0dc46556ed32322a0426dd344a0e4</t>
        </is>
      </c>
      <c r="BH52" s="24" t="inlineStr">
        <is>
          <t>2026-08-17T08:38:24.771179Z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94d4dfafec184e7f</t>
        </is>
      </c>
      <c r="B53" s="24" t="inlineStr">
        <is>
          <t>2026-08-17T08:39:31.988406Z</t>
        </is>
      </c>
      <c r="C53" s="24" t="inlineStr">
        <is>
          <t>2026-08-17T15:00Z</t>
        </is>
      </c>
      <c r="D53" s="24" t="inlineStr">
        <is>
          <t>718-2026:181925</t>
        </is>
      </c>
      <c r="E53" s="24" t="inlineStr">
        <is>
          <t>TENNIS</t>
        </is>
      </c>
      <c r="F53" s="24" t="inlineStr">
        <is>
          <t>Flavio Cobolli</t>
        </is>
      </c>
      <c r="G53" s="24" t="inlineStr">
        <is>
          <t>Alexander Blockx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0.584203</v>
      </c>
      <c r="P53" s="28" t="n">
        <v>0.05</v>
      </c>
      <c r="Q53" s="28" t="n">
        <v>0.103434</v>
      </c>
      <c r="R53" s="26" t="n">
        <v>72</v>
      </c>
      <c r="S53" s="29" t="n">
        <v>1.25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>
        <v>108</v>
      </c>
      <c r="AA53" s="28" t="n">
        <v>0.48</v>
      </c>
      <c r="AB53" s="28" t="n">
        <v>-0.000769</v>
      </c>
      <c r="AC53" s="30" t="n">
        <v>1.35</v>
      </c>
      <c r="AD53" s="24" t="inlineStr">
        <is>
          <t>2026-08-18T15:11:27.503758Z</t>
        </is>
      </c>
      <c r="AE53" s="31" t="inlineStr">
        <is>
          <t>Surface-blended Elo on Hard: Flavio Cobolli p=0.584 vs Alexander Blockx. Executable ask 0.4800 (aec-atp-aleblo-flacob-2026-08-16).</t>
        </is>
      </c>
      <c r="AF53" s="31" t="inlineStr">
        <is>
          <t>Surface-blended Elo model; singles only, WTA+ATP market coverage, not yet locked-holdout qualified -- promoted by explicit operator directive, not genuine walk-forward validation.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Flavio Cobolli</t>
        </is>
      </c>
      <c r="AQ53" s="24" t="inlineStr">
        <is>
          <t>Flavio Cobolli</t>
        </is>
      </c>
      <c r="AR53" s="24" t="inlineStr">
        <is>
          <t>Flavio Cobolli</t>
        </is>
      </c>
      <c r="AS53" s="24" t="inlineStr">
        <is>
          <t>Alexander Blockx</t>
        </is>
      </c>
      <c r="AT53" s="24" t="inlineStr">
        <is>
          <t>Alexander Blockx</t>
        </is>
      </c>
      <c r="AU53" s="24" t="inlineStr">
        <is>
          <t>Alexander Blockx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3ab056fefe04713e3c294da76c8adb2866b0dc46556ed32322a0426dd344a0e4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3ab056fefe04713e3c294da76c8adb2866b0dc46556ed32322a0426dd344a0e4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3ab056fefe04713e3c294da76c8adb2866b0dc46556ed32322a0426dd344a0e4</t>
        </is>
      </c>
      <c r="BH53" s="24" t="inlineStr">
        <is>
          <t>2026-08-17T08:38:23.875765Z</t>
        </is>
      </c>
      <c r="BI53" s="24" t="inlineStr">
        <is>
          <t>["same_event","same_team_same_day","same_league_same_day"]</t>
        </is>
      </c>
      <c r="BJ53" s="25" t="n"/>
      <c r="BK53" s="26" t="n">
        <v>108</v>
      </c>
      <c r="BL53" s="27" t="n">
        <v>2.08</v>
      </c>
      <c r="BM53" s="28" t="n">
        <v>0.480769</v>
      </c>
      <c r="BN53" s="28" t="n"/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6a7be944b839470b</t>
        </is>
      </c>
      <c r="B54" s="24" t="inlineStr">
        <is>
          <t>2026-08-20T22:23:17.589475Z</t>
        </is>
      </c>
      <c r="C54" s="24" t="inlineStr">
        <is>
          <t>2026-08-20T23:00Z</t>
        </is>
      </c>
      <c r="D54" s="24" t="inlineStr">
        <is>
          <t>718-2026:182381</t>
        </is>
      </c>
      <c r="E54" s="24" t="inlineStr">
        <is>
          <t>TENNIS</t>
        </is>
      </c>
      <c r="F54" s="24" t="inlineStr">
        <is>
          <t>Elena Rybakina</t>
        </is>
      </c>
      <c r="G54" s="24" t="inlineStr">
        <is>
          <t>Iga Swiatek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138</v>
      </c>
      <c r="M54" s="27" t="n">
        <v>2.38</v>
      </c>
      <c r="N54" s="28" t="n">
        <v>0.420168</v>
      </c>
      <c r="O54" s="28" t="n">
        <v>0.652459</v>
      </c>
      <c r="P54" s="28" t="n">
        <v>0.05</v>
      </c>
      <c r="Q54" s="28" t="n">
        <v>0.232291</v>
      </c>
      <c r="R54" s="26" t="n">
        <v>100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1</v>
      </c>
      <c r="Y54" s="25" t="n"/>
      <c r="Z54" s="26" t="n">
        <v>138</v>
      </c>
      <c r="AA54" s="28" t="n">
        <v>0.42</v>
      </c>
      <c r="AB54" s="28" t="n">
        <v>-0.000168</v>
      </c>
      <c r="AC54" s="30" t="n">
        <v>-1.75</v>
      </c>
      <c r="AD54" s="24" t="inlineStr">
        <is>
          <t>2026-08-21T01:24:58.520351Z</t>
        </is>
      </c>
      <c r="AE54" s="31" t="inlineStr">
        <is>
          <t>Surface-blended Elo on Hard: Elena Rybakina p=0.652 vs Iga Swiatek. Executable ask 0.4200 (aec-wta-igaswi-eleryb-2026-08-20).</t>
        </is>
      </c>
      <c r="AF54" s="31" t="inlineStr">
        <is>
          <t>Surface-blended Elo model; singles only, WTA+ATP market coverage, not yet locked-holdout qualified -- promoted by explicit operator directive, not genuine walk-forward validation.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Elena Rybakina</t>
        </is>
      </c>
      <c r="AQ54" s="24" t="inlineStr">
        <is>
          <t>Elena Rybakina</t>
        </is>
      </c>
      <c r="AR54" s="24" t="inlineStr">
        <is>
          <t>Elena Rybakina</t>
        </is>
      </c>
      <c r="AS54" s="24" t="inlineStr">
        <is>
          <t>Iga Swiatek</t>
        </is>
      </c>
      <c r="AT54" s="24" t="inlineStr">
        <is>
          <t>Iga Swiatek</t>
        </is>
      </c>
      <c r="AU54" s="24" t="inlineStr">
        <is>
          <t>Iga Swiatek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3ab056fefe04713e3c294da76c8adb2866b0dc46556ed32322a0426dd344a0e4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3ab056fefe04713e3c294da76c8adb2866b0dc46556ed32322a0426dd344a0e4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3ab056fefe04713e3c294da76c8adb2866b0dc46556ed32322a0426dd344a0e4</t>
        </is>
      </c>
      <c r="BH54" s="24" t="inlineStr">
        <is>
          <t>2026-08-20T22:22:47.828656Z</t>
        </is>
      </c>
      <c r="BI54" s="24" t="inlineStr">
        <is>
          <t>["same_event","same_team_same_day","same_league_same_day"]</t>
        </is>
      </c>
      <c r="BJ54" s="25" t="n"/>
      <c r="BK54" s="26" t="n">
        <v>138</v>
      </c>
      <c r="BL54" s="27" t="n">
        <v>2.38</v>
      </c>
      <c r="BM54" s="28" t="n">
        <v>0.420168</v>
      </c>
      <c r="BN54" s="28" t="n"/>
      <c r="BO54" s="28" t="n"/>
      <c r="BP54" s="25" t="n"/>
      <c r="BQ54" s="27" t="n">
        <v>2.38</v>
      </c>
      <c r="BR54" s="28" t="n">
        <v>0.42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0.420168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cf3935749f8344ef</t>
        </is>
      </c>
      <c r="B55" s="24" t="inlineStr">
        <is>
          <t>2026-08-22T15:58:34.411574Z</t>
        </is>
      </c>
      <c r="C55" s="24" t="inlineStr">
        <is>
          <t>2026-08-22T19:00Z</t>
        </is>
      </c>
      <c r="D55" s="24" t="inlineStr">
        <is>
          <t>718-2026:182426</t>
        </is>
      </c>
      <c r="E55" s="24" t="inlineStr">
        <is>
          <t>TENNIS</t>
        </is>
      </c>
      <c r="F55" s="24" t="inlineStr">
        <is>
          <t>Iga Swiatek</t>
        </is>
      </c>
      <c r="G55" s="24" t="inlineStr">
        <is>
          <t>Jessica Pegula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212</v>
      </c>
      <c r="M55" s="27" t="n">
        <v>3.12</v>
      </c>
      <c r="N55" s="28" t="n">
        <v>0.320513</v>
      </c>
      <c r="O55" s="28" t="n">
        <v>0.577989</v>
      </c>
      <c r="P55" s="28" t="n">
        <v>0.05</v>
      </c>
      <c r="Q55" s="28" t="n">
        <v>0.257476</v>
      </c>
      <c r="R55" s="26" t="n">
        <v>100</v>
      </c>
      <c r="S55" s="29" t="n">
        <v>1.25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212</v>
      </c>
      <c r="AA55" s="28" t="n">
        <v>0.32</v>
      </c>
      <c r="AB55" s="28" t="n">
        <v>-0.000513</v>
      </c>
      <c r="AC55" s="30" t="n">
        <v>2.65</v>
      </c>
      <c r="AD55" s="24" t="inlineStr">
        <is>
          <t>2026-08-22T22:56:36.365526Z</t>
        </is>
      </c>
      <c r="AE55" s="31" t="inlineStr">
        <is>
          <t>Surface-blended Elo on Hard: Iga Swiatek p=0.422 vs Jessica Pegula. Executable ask 0.3200 (aec-wta-jespeg-igaswi-2026-08-22).</t>
        </is>
      </c>
      <c r="AF55" s="31" t="inlineStr">
        <is>
          <t>Surface-blended Elo model; singles only, WTA+ATP market coverage, not yet locked-holdout qualified -- promoted by explicit operator directive, not genuine walk-forward validation.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Iga Swiatek</t>
        </is>
      </c>
      <c r="AQ55" s="24" t="inlineStr">
        <is>
          <t>Iga Swiatek</t>
        </is>
      </c>
      <c r="AR55" s="24" t="inlineStr">
        <is>
          <t>Iga Swiatek</t>
        </is>
      </c>
      <c r="AS55" s="24" t="inlineStr">
        <is>
          <t>Jessica Pegula</t>
        </is>
      </c>
      <c r="AT55" s="24" t="inlineStr">
        <is>
          <t>Jessica Pegula</t>
        </is>
      </c>
      <c r="AU55" s="24" t="inlineStr">
        <is>
          <t>Jessica Pegula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d777da58446bc099047b154203518e2585ef1a678f613f2b430f2589f7bf5cff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d777da58446bc099047b154203518e2585ef1a678f613f2b430f2589f7bf5cff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d777da58446bc099047b154203518e2585ef1a678f613f2b430f2589f7bf5cff</t>
        </is>
      </c>
      <c r="BH55" s="24" t="inlineStr">
        <is>
          <t>2026-08-22T15:41:04.345822Z</t>
        </is>
      </c>
      <c r="BI55" s="24" t="inlineStr">
        <is>
          <t>["same_event","same_team_same_day","same_league_same_day"]</t>
        </is>
      </c>
      <c r="BJ55" s="25" t="n"/>
      <c r="BK55" s="26" t="n">
        <v>212</v>
      </c>
      <c r="BL55" s="27" t="n">
        <v>3.12</v>
      </c>
      <c r="BM55" s="28" t="n">
        <v>0.320513</v>
      </c>
      <c r="BN55" s="28" t="n"/>
      <c r="BO55" s="28" t="n"/>
      <c r="BP55" s="25" t="n"/>
      <c r="BQ55" s="27" t="n">
        <v>3.12</v>
      </c>
      <c r="BR55" s="28" t="n">
        <v>0.32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0.320513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f59d959dbf8144a8</t>
        </is>
      </c>
      <c r="B56" s="24" t="inlineStr">
        <is>
          <t>2026-08-23T16:10:25.532907Z</t>
        </is>
      </c>
      <c r="C56" s="24" t="inlineStr">
        <is>
          <t>2026-08-24T00:00Z</t>
        </is>
      </c>
      <c r="D56" s="24" t="inlineStr">
        <is>
          <t>363-2026:184484</t>
        </is>
      </c>
      <c r="E56" s="24" t="inlineStr">
        <is>
          <t>TENNIS</t>
        </is>
      </c>
      <c r="F56" s="24" t="inlineStr">
        <is>
          <t>Darwin Blanch</t>
        </is>
      </c>
      <c r="G56" s="24" t="inlineStr">
        <is>
          <t>Rinky Hijikata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-203</v>
      </c>
      <c r="M56" s="27" t="n">
        <v>1.492611</v>
      </c>
      <c r="N56" s="28" t="n">
        <v>0.669967</v>
      </c>
      <c r="O56" s="28" t="n">
        <v>0.723741</v>
      </c>
      <c r="P56" s="28" t="n">
        <v>0.05</v>
      </c>
      <c r="Q56" s="28" t="n">
        <v>0.053774</v>
      </c>
      <c r="R56" s="26" t="n">
        <v>47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-213</v>
      </c>
      <c r="AA56" s="28" t="n">
        <v>0.68</v>
      </c>
      <c r="AB56" s="28" t="n">
        <v>0.010033</v>
      </c>
      <c r="AC56" s="30" t="n">
        <v>0.4926</v>
      </c>
      <c r="AD56" s="24" t="inlineStr">
        <is>
          <t>2026-08-24T04:41:41.391181Z</t>
        </is>
      </c>
      <c r="AE56" s="31" t="inlineStr">
        <is>
          <t>Surface-blended Elo on Hard: Darwin Blanch p=0.276 vs Rinky Hijikata. Executable ask 0.6700 (aec-atp-rinhij-darbla-2026-08-24).</t>
        </is>
      </c>
      <c r="AF56" s="31" t="inlineStr">
        <is>
          <t>Surface-blended Elo model; singles only, WTA+ATP market coverage, not yet locked-holdout qualified -- promoted by explicit operator directive, not genuine walk-forward validation.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Darwin Blanch</t>
        </is>
      </c>
      <c r="AQ56" s="24" t="inlineStr">
        <is>
          <t>Darwin Blanch</t>
        </is>
      </c>
      <c r="AR56" s="24" t="inlineStr">
        <is>
          <t>Darwin Blanch</t>
        </is>
      </c>
      <c r="AS56" s="24" t="inlineStr">
        <is>
          <t>Rinky Hijikata</t>
        </is>
      </c>
      <c r="AT56" s="24" t="inlineStr">
        <is>
          <t>Rinky Hijikata</t>
        </is>
      </c>
      <c r="AU56" s="24" t="inlineStr">
        <is>
          <t>Rinky Hijikata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d777da58446bc099047b154203518e2585ef1a678f613f2b430f2589f7bf5cff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d777da58446bc099047b154203518e2585ef1a678f613f2b430f2589f7bf5cff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d777da58446bc099047b154203518e2585ef1a678f613f2b430f2589f7bf5cff</t>
        </is>
      </c>
      <c r="BH56" s="24" t="inlineStr">
        <is>
          <t>2026-08-23T16:08:41.575254Z</t>
        </is>
      </c>
      <c r="BI56" s="24" t="inlineStr">
        <is>
          <t>["same_event","same_team_same_day","same_league_same_day"]</t>
        </is>
      </c>
      <c r="BJ56" s="25" t="n"/>
      <c r="BK56" s="26" t="n">
        <v>-203</v>
      </c>
      <c r="BL56" s="27" t="n">
        <v>1.492611</v>
      </c>
      <c r="BM56" s="28" t="n">
        <v>0.669967</v>
      </c>
      <c r="BN56" s="28" t="n"/>
      <c r="BO56" s="28" t="n"/>
      <c r="BP56" s="25" t="n"/>
      <c r="BQ56" s="27" t="n">
        <v>1.469484</v>
      </c>
      <c r="BR56" s="28" t="n">
        <v>0.68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0.669967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0035a603dba44ba1</t>
        </is>
      </c>
      <c r="B57" s="24" t="inlineStr">
        <is>
          <t>2026-08-23T18:48:17.183011Z</t>
        </is>
      </c>
      <c r="C57" s="24" t="inlineStr">
        <is>
          <t>2026-08-23T19:00Z</t>
        </is>
      </c>
      <c r="D57" s="24" t="inlineStr">
        <is>
          <t>363-2026:184504</t>
        </is>
      </c>
      <c r="E57" s="24" t="inlineStr">
        <is>
          <t>TENNIS</t>
        </is>
      </c>
      <c r="F57" s="24" t="inlineStr">
        <is>
          <t>Miomir Kecmanovic</t>
        </is>
      </c>
      <c r="G57" s="24" t="inlineStr">
        <is>
          <t>Sho Shimabukuro</t>
        </is>
      </c>
      <c r="H57" s="24" t="inlineStr">
        <is>
          <t>spread</t>
        </is>
      </c>
      <c r="I57" s="24" t="inlineStr">
        <is>
          <t>home</t>
        </is>
      </c>
      <c r="J57" s="25" t="n">
        <v>-3.5</v>
      </c>
      <c r="K57" s="24" t="inlineStr">
        <is>
          <t>polymarket_us</t>
        </is>
      </c>
      <c r="L57" s="26" t="n">
        <v>-117</v>
      </c>
      <c r="M57" s="27" t="n">
        <v>1.854701</v>
      </c>
      <c r="N57" s="28" t="n">
        <v>0.539171</v>
      </c>
      <c r="O57" s="28" t="n">
        <v>0.8177</v>
      </c>
      <c r="P57" s="28" t="n">
        <v>0.05</v>
      </c>
      <c r="Q57" s="28" t="n">
        <v>0.278529</v>
      </c>
      <c r="R57" s="26" t="n">
        <v>100</v>
      </c>
      <c r="S57" s="29" t="n">
        <v>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>
        <v>12</v>
      </c>
      <c r="X57" s="26" t="n">
        <v>7</v>
      </c>
      <c r="Y57" s="25" t="n"/>
      <c r="Z57" s="26" t="n"/>
      <c r="AA57" s="28" t="n"/>
      <c r="AB57" s="28" t="n"/>
      <c r="AC57" s="30" t="n">
        <v>-2</v>
      </c>
      <c r="AD57" s="24" t="inlineStr">
        <is>
          <t>2026-08-24T04:13:28.290615Z</t>
        </is>
      </c>
      <c r="AE57" s="31" t="inlineStr">
        <is>
          <t>Markov Game Handicap: Miomir Kecmanovic +3.5 vs Sho Shimabukuro Executable ask 0.5400 (asc-atp-shoshi-miokec-2026-08-24-gs-pos-3pt5).</t>
        </is>
      </c>
      <c r="AF57" s="31" t="inlineStr">
        <is>
          <t>Surface-blended Elo model; singles only, WTA+ATP market coverage, not yet locked-holdout qualified -- promoted by explicit operator directive, not genuine walk-forward validation.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Miomir Kecmanovic</t>
        </is>
      </c>
      <c r="AQ57" s="24" t="inlineStr">
        <is>
          <t>Miomir Kecmanovic</t>
        </is>
      </c>
      <c r="AR57" s="24" t="inlineStr">
        <is>
          <t>Miomir Kecmanovic</t>
        </is>
      </c>
      <c r="AS57" s="24" t="inlineStr">
        <is>
          <t>Sho Shimabukuro</t>
        </is>
      </c>
      <c r="AT57" s="24" t="inlineStr">
        <is>
          <t>Sho Shimabukuro</t>
        </is>
      </c>
      <c r="AU57" s="24" t="inlineStr">
        <is>
          <t>Sho Shimabukuro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d777da58446bc099047b154203518e2585ef1a678f613f2b430f2589f7bf5cff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d777da58446bc099047b154203518e2585ef1a678f613f2b430f2589f7bf5cff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d777da58446bc099047b154203518e2585ef1a678f613f2b430f2589f7bf5cff</t>
        </is>
      </c>
      <c r="BH57" s="24" t="inlineStr">
        <is>
          <t>2026-08-23T18:44:14.981914Z</t>
        </is>
      </c>
      <c r="BI57" s="24" t="inlineStr">
        <is>
          <t>["same_event","same_team_same_day","same_league_same_day"]</t>
        </is>
      </c>
      <c r="BJ57" s="25" t="n">
        <v>-3.5</v>
      </c>
      <c r="BK57" s="26" t="n">
        <v>-117</v>
      </c>
      <c r="BL57" s="27" t="n">
        <v>1.854701</v>
      </c>
      <c r="BM57" s="28" t="n">
        <v>0.539171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0.539171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8ee520a46902400c</t>
        </is>
      </c>
      <c r="B58" s="24" t="inlineStr">
        <is>
          <t>2026-08-23T18:48:17.183011Z</t>
        </is>
      </c>
      <c r="C58" s="24" t="inlineStr">
        <is>
          <t>2026-08-23T19:00Z</t>
        </is>
      </c>
      <c r="D58" s="24" t="inlineStr">
        <is>
          <t>363-2026:184504</t>
        </is>
      </c>
      <c r="E58" s="24" t="inlineStr">
        <is>
          <t>TENNIS</t>
        </is>
      </c>
      <c r="F58" s="24" t="inlineStr">
        <is>
          <t>Miomir Kecmanovic</t>
        </is>
      </c>
      <c r="G58" s="24" t="inlineStr">
        <is>
          <t>Sho Shimabukuro</t>
        </is>
      </c>
      <c r="H58" s="24" t="inlineStr">
        <is>
          <t>total</t>
        </is>
      </c>
      <c r="I58" s="24" t="inlineStr">
        <is>
          <t>over</t>
        </is>
      </c>
      <c r="J58" s="25" t="n">
        <v>22.5</v>
      </c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0.490196</v>
      </c>
      <c r="O58" s="28" t="n">
        <v>0.7876</v>
      </c>
      <c r="P58" s="28" t="n">
        <v>0.05</v>
      </c>
      <c r="Q58" s="28" t="n">
        <v>0.297404</v>
      </c>
      <c r="R58" s="26" t="n">
        <v>100</v>
      </c>
      <c r="S58" s="29" t="n">
        <v>2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12</v>
      </c>
      <c r="X58" s="26" t="n">
        <v>7</v>
      </c>
      <c r="Y58" s="25" t="n"/>
      <c r="Z58" s="26" t="n"/>
      <c r="AA58" s="28" t="n"/>
      <c r="AB58" s="28" t="n"/>
      <c r="AC58" s="30" t="n">
        <v>-2</v>
      </c>
      <c r="AD58" s="24" t="inlineStr">
        <is>
          <t>2026-08-24T04:13:40.844064Z</t>
        </is>
      </c>
      <c r="AE58" s="31" t="inlineStr">
        <is>
          <t>Markov Total Games: OVER 22.5 (Exp: 25.9 games) Executable ask 0.4900 (tsc-atp-shoshi-miokec-2026-08-24-tg-22pt5).</t>
        </is>
      </c>
      <c r="AF58" s="31" t="inlineStr">
        <is>
          <t>Surface-blended Elo model; singles only, WTA+ATP market coverage, not yet locked-holdout qualified -- promoted by explicit operator directive, not genuine walk-forward validation.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Miomir Kecmanovic</t>
        </is>
      </c>
      <c r="AQ58" s="24" t="inlineStr">
        <is>
          <t>Miomir Kecmanovic</t>
        </is>
      </c>
      <c r="AR58" s="24" t="inlineStr">
        <is>
          <t>Miomir Kecmanovic</t>
        </is>
      </c>
      <c r="AS58" s="24" t="inlineStr">
        <is>
          <t>Sho Shimabukuro</t>
        </is>
      </c>
      <c r="AT58" s="24" t="inlineStr">
        <is>
          <t>Sho Shimabukuro</t>
        </is>
      </c>
      <c r="AU58" s="24" t="inlineStr">
        <is>
          <t>Sho Shimabukuro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d777da58446bc099047b154203518e2585ef1a678f613f2b430f2589f7bf5cff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d777da58446bc099047b154203518e2585ef1a678f613f2b430f2589f7bf5cff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d777da58446bc099047b154203518e2585ef1a678f613f2b430f2589f7bf5cff</t>
        </is>
      </c>
      <c r="BH58" s="24" t="inlineStr">
        <is>
          <t>2026-08-23T18:44:14.988725Z</t>
        </is>
      </c>
      <c r="BI58" s="24" t="inlineStr">
        <is>
          <t>["same_event","same_team_same_day","same_league_same_day"]</t>
        </is>
      </c>
      <c r="BJ58" s="25" t="n">
        <v>22.5</v>
      </c>
      <c r="BK58" s="26" t="n">
        <v>104</v>
      </c>
      <c r="BL58" s="27" t="n">
        <v>2.04</v>
      </c>
      <c r="BM58" s="28" t="n">
        <v>0.490196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0.490196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2fa39ca76a0e419c</t>
        </is>
      </c>
      <c r="B59" s="24" t="inlineStr">
        <is>
          <t>2026-08-23T18:48:17.183011Z</t>
        </is>
      </c>
      <c r="C59" s="24" t="inlineStr">
        <is>
          <t>2026-08-23T19:00Z</t>
        </is>
      </c>
      <c r="D59" s="24" t="inlineStr">
        <is>
          <t>363-2026:184494</t>
        </is>
      </c>
      <c r="E59" s="24" t="inlineStr">
        <is>
          <t>TENNIS</t>
        </is>
      </c>
      <c r="F59" s="24" t="inlineStr">
        <is>
          <t>Jenson Brooksby</t>
        </is>
      </c>
      <c r="G59" s="24" t="inlineStr">
        <is>
          <t>Giovanni Mpetshi Perricard</t>
        </is>
      </c>
      <c r="H59" s="24" t="inlineStr">
        <is>
          <t>spread</t>
        </is>
      </c>
      <c r="I59" s="24" t="inlineStr">
        <is>
          <t>home</t>
        </is>
      </c>
      <c r="J59" s="25" t="n">
        <v>-1.5</v>
      </c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0.6299</v>
      </c>
      <c r="P59" s="28" t="n">
        <v>0.05</v>
      </c>
      <c r="Q59" s="28" t="n">
        <v>0.17945</v>
      </c>
      <c r="R59" s="26" t="n">
        <v>100</v>
      </c>
      <c r="S59" s="29" t="n">
        <v>1.75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loss</t>
        </is>
      </c>
      <c r="W59" s="26" t="n">
        <v>12</v>
      </c>
      <c r="X59" s="26" t="n">
        <v>5</v>
      </c>
      <c r="Y59" s="25" t="n"/>
      <c r="Z59" s="26" t="n"/>
      <c r="AA59" s="28" t="n"/>
      <c r="AB59" s="28" t="n"/>
      <c r="AC59" s="30" t="n">
        <v>-1.75</v>
      </c>
      <c r="AD59" s="24" t="inlineStr">
        <is>
          <t>2026-08-24T04:13:32.302943Z</t>
        </is>
      </c>
      <c r="AE59" s="31" t="inlineStr">
        <is>
          <t>Markov Game Handicap: Jenson Brooksby +1.5 vs Giovanni Mpetshi Perricard Executable ask 0.4500 (asc-atp-gioper-jenbro-2026-08-24-gs-pos-1pt5).</t>
        </is>
      </c>
      <c r="AF59" s="31" t="inlineStr">
        <is>
          <t>Surface-blended Elo model; singles only, WTA+ATP market coverage, not yet locked-holdout qualified -- promoted by explicit operator directive, not genuine walk-forward validation.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Jenson Brooksby</t>
        </is>
      </c>
      <c r="AQ59" s="24" t="inlineStr">
        <is>
          <t>Jenson Brooksby</t>
        </is>
      </c>
      <c r="AR59" s="24" t="inlineStr">
        <is>
          <t>Jenson Brooksby</t>
        </is>
      </c>
      <c r="AS59" s="24" t="inlineStr">
        <is>
          <t>Giovanni Mpetshi Perricard</t>
        </is>
      </c>
      <c r="AT59" s="24" t="inlineStr">
        <is>
          <t>Giovanni Mpetshi Perricard</t>
        </is>
      </c>
      <c r="AU59" s="24" t="inlineStr">
        <is>
          <t>Giovanni Mpetshi Perricard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d777da58446bc099047b154203518e2585ef1a678f613f2b430f2589f7bf5cff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d777da58446bc099047b154203518e2585ef1a678f613f2b430f2589f7bf5cff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d777da58446bc099047b154203518e2585ef1a678f613f2b430f2589f7bf5cff</t>
        </is>
      </c>
      <c r="BH59" s="24" t="inlineStr">
        <is>
          <t>2026-08-23T18:44:15.194027Z</t>
        </is>
      </c>
      <c r="BI59" s="24" t="inlineStr">
        <is>
          <t>["same_event","same_team_same_day","same_league_same_day"]</t>
        </is>
      </c>
      <c r="BJ59" s="25" t="n">
        <v>-1.5</v>
      </c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0.45045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c16b2578fd014f12</t>
        </is>
      </c>
      <c r="B60" s="24" t="inlineStr">
        <is>
          <t>2026-08-23T18:48:17.183011Z</t>
        </is>
      </c>
      <c r="C60" s="24" t="inlineStr">
        <is>
          <t>2026-08-23T19:00Z</t>
        </is>
      </c>
      <c r="D60" s="24" t="inlineStr">
        <is>
          <t>363-2026:184494</t>
        </is>
      </c>
      <c r="E60" s="24" t="inlineStr">
        <is>
          <t>TENNIS</t>
        </is>
      </c>
      <c r="F60" s="24" t="inlineStr">
        <is>
          <t>Jenson Brooksby</t>
        </is>
      </c>
      <c r="G60" s="24" t="inlineStr">
        <is>
          <t>Giovanni Mpetshi Perricard</t>
        </is>
      </c>
      <c r="H60" s="24" t="inlineStr">
        <is>
          <t>total</t>
        </is>
      </c>
      <c r="I60" s="24" t="inlineStr">
        <is>
          <t>over</t>
        </is>
      </c>
      <c r="J60" s="25" t="n">
        <v>23.5</v>
      </c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0.7078</v>
      </c>
      <c r="P60" s="28" t="n">
        <v>0.05</v>
      </c>
      <c r="Q60" s="28" t="n">
        <v>0.2078</v>
      </c>
      <c r="R60" s="26" t="n">
        <v>100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>
        <v>12</v>
      </c>
      <c r="X60" s="26" t="n">
        <v>5</v>
      </c>
      <c r="Y60" s="25" t="n"/>
      <c r="Z60" s="26" t="n"/>
      <c r="AA60" s="28" t="n"/>
      <c r="AB60" s="28" t="n"/>
      <c r="AC60" s="30" t="n">
        <v>-2</v>
      </c>
      <c r="AD60" s="24" t="inlineStr">
        <is>
          <t>2026-08-24T04:13:45.248622Z</t>
        </is>
      </c>
      <c r="AE60" s="31" t="inlineStr">
        <is>
          <t>Markov Total Games: OVER 23.5 (Exp: 25.8 games) Executable ask 0.5000 (tsc-atp-gioper-jenbro-2026-08-24-tg-23pt5).</t>
        </is>
      </c>
      <c r="AF60" s="31" t="inlineStr">
        <is>
          <t>Surface-blended Elo model; singles only, WTA+ATP market coverage, not yet locked-holdout qualified -- promoted by explicit operator directive, not genuine walk-forward validation.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Jenson Brooksby</t>
        </is>
      </c>
      <c r="AQ60" s="24" t="inlineStr">
        <is>
          <t>Jenson Brooksby</t>
        </is>
      </c>
      <c r="AR60" s="24" t="inlineStr">
        <is>
          <t>Jenson Brooksby</t>
        </is>
      </c>
      <c r="AS60" s="24" t="inlineStr">
        <is>
          <t>Giovanni Mpetshi Perricard</t>
        </is>
      </c>
      <c r="AT60" s="24" t="inlineStr">
        <is>
          <t>Giovanni Mpetshi Perricard</t>
        </is>
      </c>
      <c r="AU60" s="24" t="inlineStr">
        <is>
          <t>Giovanni Mpetshi Perricard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d777da58446bc099047b154203518e2585ef1a678f613f2b430f2589f7bf5cff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d777da58446bc099047b154203518e2585ef1a678f613f2b430f2589f7bf5cff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d777da58446bc099047b154203518e2585ef1a678f613f2b430f2589f7bf5cff</t>
        </is>
      </c>
      <c r="BH60" s="24" t="inlineStr">
        <is>
          <t>2026-08-23T18:44:15.012701Z</t>
        </is>
      </c>
      <c r="BI60" s="24" t="inlineStr">
        <is>
          <t>["same_event","same_team_same_day","same_league_same_day"]</t>
        </is>
      </c>
      <c r="BJ60" s="25" t="n">
        <v>23.5</v>
      </c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370f0b94d6ab477e</t>
        </is>
      </c>
      <c r="B61" s="24" t="inlineStr">
        <is>
          <t>2026-08-23T19:19:48.323387Z</t>
        </is>
      </c>
      <c r="C61" s="24" t="inlineStr">
        <is>
          <t>2026-08-23T20:00Z</t>
        </is>
      </c>
      <c r="D61" s="24" t="inlineStr">
        <is>
          <t>363-2026:184497</t>
        </is>
      </c>
      <c r="E61" s="24" t="inlineStr">
        <is>
          <t>TENNIS</t>
        </is>
      </c>
      <c r="F61" s="24" t="inlineStr">
        <is>
          <t>Wu Yibing</t>
        </is>
      </c>
      <c r="G61" s="24" t="inlineStr">
        <is>
          <t>Francisco Comesana</t>
        </is>
      </c>
      <c r="H61" s="24" t="inlineStr">
        <is>
          <t>spread</t>
        </is>
      </c>
      <c r="I61" s="24" t="inlineStr">
        <is>
          <t>home</t>
        </is>
      </c>
      <c r="J61" s="25" t="n">
        <v>-2.5</v>
      </c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0.68</v>
      </c>
      <c r="P61" s="28" t="n">
        <v>0.05</v>
      </c>
      <c r="Q61" s="28" t="n">
        <v>0.189804</v>
      </c>
      <c r="R61" s="26" t="n">
        <v>100</v>
      </c>
      <c r="S61" s="29" t="n">
        <v>2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12</v>
      </c>
      <c r="Y61" s="25" t="n"/>
      <c r="Z61" s="26" t="n"/>
      <c r="AA61" s="28" t="n"/>
      <c r="AB61" s="28" t="n"/>
      <c r="AC61" s="30" t="n">
        <v>2.08</v>
      </c>
      <c r="AD61" s="24" t="inlineStr">
        <is>
          <t>2026-08-24T04:13:32.674206Z</t>
        </is>
      </c>
      <c r="AE61" s="31" t="inlineStr">
        <is>
          <t>Markov Game Handicap: Wu Yibing +2.5 vs Francisco Comesana Executable ask 0.4900 (asc-atp-fracom-yibwu-2026-08-24-gs-pos-2pt5).</t>
        </is>
      </c>
      <c r="AF61" s="31" t="inlineStr">
        <is>
          <t>Surface-blended Elo model; singles only, WTA+ATP market coverage, not yet locked-holdout qualified -- promoted by explicit operator directive, not genuine walk-forward validation.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Wu Yibing</t>
        </is>
      </c>
      <c r="AQ61" s="24" t="inlineStr">
        <is>
          <t>Wu Yibing</t>
        </is>
      </c>
      <c r="AR61" s="24" t="inlineStr">
        <is>
          <t>Wu Yibing</t>
        </is>
      </c>
      <c r="AS61" s="24" t="inlineStr">
        <is>
          <t>Francisco Comesana</t>
        </is>
      </c>
      <c r="AT61" s="24" t="inlineStr">
        <is>
          <t>Francisco Comesana</t>
        </is>
      </c>
      <c r="AU61" s="24" t="inlineStr">
        <is>
          <t>Francisco Comesana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d777da58446bc099047b154203518e2585ef1a678f613f2b430f2589f7bf5cff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d777da58446bc099047b154203518e2585ef1a678f613f2b430f2589f7bf5cff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d777da58446bc099047b154203518e2585ef1a678f613f2b430f2589f7bf5cff</t>
        </is>
      </c>
      <c r="BH61" s="24" t="inlineStr">
        <is>
          <t>2026-08-23T19:16:39.011330Z</t>
        </is>
      </c>
      <c r="BI61" s="24" t="inlineStr">
        <is>
          <t>["same_event","same_team_same_day","same_league_same_day"]</t>
        </is>
      </c>
      <c r="BJ61" s="25" t="n">
        <v>-2.5</v>
      </c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0.490196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ce5a76a066df4917</t>
        </is>
      </c>
      <c r="B62" s="24" t="inlineStr">
        <is>
          <t>2026-08-23T19:19:48.323387Z</t>
        </is>
      </c>
      <c r="C62" s="24" t="inlineStr">
        <is>
          <t>2026-08-23T20:00Z</t>
        </is>
      </c>
      <c r="D62" s="24" t="inlineStr">
        <is>
          <t>363-2026:184497</t>
        </is>
      </c>
      <c r="E62" s="24" t="inlineStr">
        <is>
          <t>TENNIS</t>
        </is>
      </c>
      <c r="F62" s="24" t="inlineStr">
        <is>
          <t>Wu Yibing</t>
        </is>
      </c>
      <c r="G62" s="24" t="inlineStr">
        <is>
          <t>Francisco Comesana</t>
        </is>
      </c>
      <c r="H62" s="24" t="inlineStr">
        <is>
          <t>total</t>
        </is>
      </c>
      <c r="I62" s="24" t="inlineStr">
        <is>
          <t>over</t>
        </is>
      </c>
      <c r="J62" s="25" t="n">
        <v>23.5</v>
      </c>
      <c r="K62" s="24" t="inlineStr">
        <is>
          <t>polymarket_us</t>
        </is>
      </c>
      <c r="L62" s="26" t="n">
        <v>122</v>
      </c>
      <c r="M62" s="27" t="n">
        <v>2.22</v>
      </c>
      <c r="N62" s="28" t="n">
        <v>0.45045</v>
      </c>
      <c r="O62" s="28" t="n">
        <v>0.6629</v>
      </c>
      <c r="P62" s="28" t="n">
        <v>0.05</v>
      </c>
      <c r="Q62" s="28" t="n">
        <v>0.21245</v>
      </c>
      <c r="R62" s="26" t="n">
        <v>100</v>
      </c>
      <c r="S62" s="29" t="n">
        <v>2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12</v>
      </c>
      <c r="Y62" s="25" t="n"/>
      <c r="Z62" s="26" t="n"/>
      <c r="AA62" s="28" t="n"/>
      <c r="AB62" s="28" t="n"/>
      <c r="AC62" s="30" t="n">
        <v>-2</v>
      </c>
      <c r="AD62" s="24" t="inlineStr">
        <is>
          <t>2026-08-24T04:13:47.420439Z</t>
        </is>
      </c>
      <c r="AE62" s="31" t="inlineStr">
        <is>
          <t>Markov Total Games: OVER 23.5 (Exp: 25.3 games) Executable ask 0.4500 (tsc-atp-fracom-yibwu-2026-08-24-tg-23pt5).</t>
        </is>
      </c>
      <c r="AF62" s="31" t="inlineStr">
        <is>
          <t>Surface-blended Elo model; singles only, WTA+ATP market coverage, not yet locked-holdout qualified -- promoted by explicit operator directive, not genuine walk-forward validation.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Wu Yibing</t>
        </is>
      </c>
      <c r="AQ62" s="24" t="inlineStr">
        <is>
          <t>Wu Yibing</t>
        </is>
      </c>
      <c r="AR62" s="24" t="inlineStr">
        <is>
          <t>Wu Yibing</t>
        </is>
      </c>
      <c r="AS62" s="24" t="inlineStr">
        <is>
          <t>Francisco Comesana</t>
        </is>
      </c>
      <c r="AT62" s="24" t="inlineStr">
        <is>
          <t>Francisco Comesana</t>
        </is>
      </c>
      <c r="AU62" s="24" t="inlineStr">
        <is>
          <t>Francisco Comesana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d777da58446bc099047b154203518e2585ef1a678f613f2b430f2589f7bf5cff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d777da58446bc099047b154203518e2585ef1a678f613f2b430f2589f7bf5cff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d777da58446bc099047b154203518e2585ef1a678f613f2b430f2589f7bf5cff</t>
        </is>
      </c>
      <c r="BH62" s="24" t="inlineStr">
        <is>
          <t>2026-08-23T19:16:39.013470Z</t>
        </is>
      </c>
      <c r="BI62" s="24" t="inlineStr">
        <is>
          <t>["same_event","same_team_same_day","same_league_same_day"]</t>
        </is>
      </c>
      <c r="BJ62" s="25" t="n">
        <v>23.5</v>
      </c>
      <c r="BK62" s="26" t="n">
        <v>122</v>
      </c>
      <c r="BL62" s="27" t="n">
        <v>2.22</v>
      </c>
      <c r="BM62" s="28" t="n">
        <v>0.45045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0.45045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de34250cdace41bd</t>
        </is>
      </c>
      <c r="B63" s="24" t="inlineStr">
        <is>
          <t>2026-08-23T20:27:44.305840Z</t>
        </is>
      </c>
      <c r="C63" s="24" t="inlineStr">
        <is>
          <t>2026-08-23T21:00Z</t>
        </is>
      </c>
      <c r="D63" s="24" t="inlineStr">
        <is>
          <t>341-2026:184521</t>
        </is>
      </c>
      <c r="E63" s="24" t="inlineStr">
        <is>
          <t>TENNIS</t>
        </is>
      </c>
      <c r="F63" s="24" t="inlineStr">
        <is>
          <t>Kamilla Rakhimova</t>
        </is>
      </c>
      <c r="G63" s="24" t="inlineStr">
        <is>
          <t>Maria Timofeeva</t>
        </is>
      </c>
      <c r="H63" s="24" t="inlineStr">
        <is>
          <t>total</t>
        </is>
      </c>
      <c r="I63" s="24" t="inlineStr">
        <is>
          <t>over</t>
        </is>
      </c>
      <c r="J63" s="25" t="n">
        <v>22.5</v>
      </c>
      <c r="K63" s="24" t="inlineStr">
        <is>
          <t>polymarket_us</t>
        </is>
      </c>
      <c r="L63" s="26" t="n">
        <v>122</v>
      </c>
      <c r="M63" s="27" t="n">
        <v>2.22</v>
      </c>
      <c r="N63" s="28" t="n">
        <v>0.45045</v>
      </c>
      <c r="O63" s="28" t="n">
        <v>0.7819</v>
      </c>
      <c r="P63" s="28" t="n">
        <v>0.05</v>
      </c>
      <c r="Q63" s="28" t="n">
        <v>0.33145</v>
      </c>
      <c r="R63" s="26" t="n">
        <v>100</v>
      </c>
      <c r="S63" s="29" t="n">
        <v>2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15</v>
      </c>
      <c r="X63" s="26" t="n">
        <v>16</v>
      </c>
      <c r="Y63" s="25" t="n"/>
      <c r="Z63" s="26" t="n"/>
      <c r="AA63" s="28" t="n"/>
      <c r="AB63" s="28" t="n"/>
      <c r="AC63" s="30" t="n">
        <v>2.44</v>
      </c>
      <c r="AD63" s="24" t="inlineStr">
        <is>
          <t>2026-08-24T04:13:48.477517Z</t>
        </is>
      </c>
      <c r="AE63" s="31" t="inlineStr">
        <is>
          <t>Markov Total Games: OVER 22.5 (Exp: 25.8 games) Executable ask 0.4500 (tsc-wta-martim-kamrak-2026-08-23-tg-22pt5).</t>
        </is>
      </c>
      <c r="AF63" s="31" t="inlineStr">
        <is>
          <t>Surface-blended Elo model; singles only, WTA+ATP market coverage, not yet locked-holdout qualified -- promoted by explicit operator directive, not genuine walk-forward validation.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Kamilla Rakhimova</t>
        </is>
      </c>
      <c r="AQ63" s="24" t="inlineStr">
        <is>
          <t>Kamilla Rakhimova</t>
        </is>
      </c>
      <c r="AR63" s="24" t="inlineStr">
        <is>
          <t>Kamilla Rakhimova</t>
        </is>
      </c>
      <c r="AS63" s="24" t="inlineStr">
        <is>
          <t>Maria Timofeeva</t>
        </is>
      </c>
      <c r="AT63" s="24" t="inlineStr">
        <is>
          <t>Maria Timofeeva</t>
        </is>
      </c>
      <c r="AU63" s="24" t="inlineStr">
        <is>
          <t>Maria Timofeeva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d777da58446bc099047b154203518e2585ef1a678f613f2b430f2589f7bf5cff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d777da58446bc099047b154203518e2585ef1a678f613f2b430f2589f7bf5cff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d777da58446bc099047b154203518e2585ef1a678f613f2b430f2589f7bf5cff</t>
        </is>
      </c>
      <c r="BH63" s="24" t="inlineStr">
        <is>
          <t>2026-08-23T20:25:02.984216Z</t>
        </is>
      </c>
      <c r="BI63" s="24" t="inlineStr">
        <is>
          <t>["same_event","same_team_same_day","same_league_same_day"]</t>
        </is>
      </c>
      <c r="BJ63" s="25" t="n">
        <v>22.5</v>
      </c>
      <c r="BK63" s="26" t="n">
        <v>122</v>
      </c>
      <c r="BL63" s="27" t="n">
        <v>2.22</v>
      </c>
      <c r="BM63" s="28" t="n">
        <v>0.45045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0.45045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ec15fb8a51134dca</t>
        </is>
      </c>
      <c r="B64" s="24" t="inlineStr">
        <is>
          <t>2026-08-23T20:27:44.305840Z</t>
        </is>
      </c>
      <c r="C64" s="24" t="inlineStr">
        <is>
          <t>2026-08-23T21:00Z</t>
        </is>
      </c>
      <c r="D64" s="24" t="inlineStr">
        <is>
          <t>341-2026:184521</t>
        </is>
      </c>
      <c r="E64" s="24" t="inlineStr">
        <is>
          <t>TENNIS</t>
        </is>
      </c>
      <c r="F64" s="24" t="inlineStr">
        <is>
          <t>Kamilla Rakhimova</t>
        </is>
      </c>
      <c r="G64" s="24" t="inlineStr">
        <is>
          <t>Maria Timofeeva</t>
        </is>
      </c>
      <c r="H64" s="24" t="inlineStr">
        <is>
          <t>spread</t>
        </is>
      </c>
      <c r="I64" s="24" t="inlineStr">
        <is>
          <t>home</t>
        </is>
      </c>
      <c r="J64" s="25" t="n">
        <v>-2.5</v>
      </c>
      <c r="K64" s="24" t="inlineStr">
        <is>
          <t>polymarket_us</t>
        </is>
      </c>
      <c r="L64" s="26" t="n">
        <v>113</v>
      </c>
      <c r="M64" s="27" t="n">
        <v>2.13</v>
      </c>
      <c r="N64" s="28" t="n">
        <v>0.469484</v>
      </c>
      <c r="O64" s="28" t="n">
        <v>0.7499</v>
      </c>
      <c r="P64" s="28" t="n">
        <v>0.05</v>
      </c>
      <c r="Q64" s="28" t="n">
        <v>0.280416</v>
      </c>
      <c r="R64" s="26" t="n">
        <v>100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loss</t>
        </is>
      </c>
      <c r="W64" s="26" t="n">
        <v>15</v>
      </c>
      <c r="X64" s="26" t="n">
        <v>16</v>
      </c>
      <c r="Y64" s="25" t="n"/>
      <c r="Z64" s="26" t="n"/>
      <c r="AA64" s="28" t="n"/>
      <c r="AB64" s="28" t="n"/>
      <c r="AC64" s="30" t="n">
        <v>-2</v>
      </c>
      <c r="AD64" s="24" t="inlineStr">
        <is>
          <t>2026-08-24T04:13:50.291604Z</t>
        </is>
      </c>
      <c r="AE64" s="31" t="inlineStr">
        <is>
          <t>Markov Game Handicap: Kamilla Rakhimova +2.5 vs Maria Timofeeva Executable ask 0.4700 (asc-wta-martim-kamrak-2026-08-23-gs-pos-2pt5).</t>
        </is>
      </c>
      <c r="AF64" s="31" t="inlineStr">
        <is>
          <t>Surface-blended Elo model; singles only, WTA+ATP market coverage, not yet locked-holdout qualified -- promoted by explicit operator directive, not genuine walk-forward validation.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Kamilla Rakhimova</t>
        </is>
      </c>
      <c r="AQ64" s="24" t="inlineStr">
        <is>
          <t>Kamilla Rakhimova</t>
        </is>
      </c>
      <c r="AR64" s="24" t="inlineStr">
        <is>
          <t>Kamilla Rakhimova</t>
        </is>
      </c>
      <c r="AS64" s="24" t="inlineStr">
        <is>
          <t>Maria Timofeeva</t>
        </is>
      </c>
      <c r="AT64" s="24" t="inlineStr">
        <is>
          <t>Maria Timofeeva</t>
        </is>
      </c>
      <c r="AU64" s="24" t="inlineStr">
        <is>
          <t>Maria Timofeeva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d777da58446bc099047b154203518e2585ef1a678f613f2b430f2589f7bf5cff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d777da58446bc099047b154203518e2585ef1a678f613f2b430f2589f7bf5cff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d777da58446bc099047b154203518e2585ef1a678f613f2b430f2589f7bf5cff</t>
        </is>
      </c>
      <c r="BH64" s="24" t="inlineStr">
        <is>
          <t>2026-08-23T20:25:02.983051Z</t>
        </is>
      </c>
      <c r="BI64" s="24" t="inlineStr">
        <is>
          <t>["same_event","same_team_same_day","same_league_same_day"]</t>
        </is>
      </c>
      <c r="BJ64" s="25" t="n">
        <v>-2.5</v>
      </c>
      <c r="BK64" s="26" t="n">
        <v>113</v>
      </c>
      <c r="BL64" s="27" t="n">
        <v>2.13</v>
      </c>
      <c r="BM64" s="28" t="n">
        <v>0.469484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0.469484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f9a9a405b9b1407a</t>
        </is>
      </c>
      <c r="B65" s="24" t="inlineStr">
        <is>
          <t>2026-08-23T20:27:44.305840Z</t>
        </is>
      </c>
      <c r="C65" s="24" t="inlineStr">
        <is>
          <t>2026-08-23T21:00Z</t>
        </is>
      </c>
      <c r="D65" s="24" t="inlineStr">
        <is>
          <t>341-2026:184520</t>
        </is>
      </c>
      <c r="E65" s="24" t="inlineStr">
        <is>
          <t>TENNIS</t>
        </is>
      </c>
      <c r="F65" s="24" t="inlineStr">
        <is>
          <t>Darja Vidmanova</t>
        </is>
      </c>
      <c r="G65" s="24" t="inlineStr">
        <is>
          <t>Panna Udvardy</t>
        </is>
      </c>
      <c r="H65" s="24" t="inlineStr">
        <is>
          <t>total</t>
        </is>
      </c>
      <c r="I65" s="24" t="inlineStr">
        <is>
          <t>over</t>
        </is>
      </c>
      <c r="J65" s="25" t="n">
        <v>22.5</v>
      </c>
      <c r="K65" s="24" t="inlineStr">
        <is>
          <t>polymarket_us</t>
        </is>
      </c>
      <c r="L65" s="26" t="n">
        <v>122</v>
      </c>
      <c r="M65" s="27" t="n">
        <v>2.22</v>
      </c>
      <c r="N65" s="28" t="n">
        <v>0.45045</v>
      </c>
      <c r="O65" s="28" t="n">
        <v>0.7723</v>
      </c>
      <c r="P65" s="28" t="n">
        <v>0.05</v>
      </c>
      <c r="Q65" s="28" t="n">
        <v>0.32185</v>
      </c>
      <c r="R65" s="26" t="n">
        <v>100</v>
      </c>
      <c r="S65" s="29" t="n">
        <v>2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15</v>
      </c>
      <c r="X65" s="26" t="n">
        <v>12</v>
      </c>
      <c r="Y65" s="25" t="n"/>
      <c r="Z65" s="26" t="n"/>
      <c r="AA65" s="28" t="n"/>
      <c r="AB65" s="28" t="n"/>
      <c r="AC65" s="30" t="n">
        <v>2.44</v>
      </c>
      <c r="AD65" s="24" t="inlineStr">
        <is>
          <t>2026-08-24T04:13:51.414436Z</t>
        </is>
      </c>
      <c r="AE65" s="31" t="inlineStr">
        <is>
          <t>Markov Total Games: OVER 22.5 (Exp: 25.6 games) Executable ask 0.4500 (tsc-wta-panudv-darvid-2026-08-23-tg-22pt5).</t>
        </is>
      </c>
      <c r="AF65" s="31" t="inlineStr">
        <is>
          <t>Surface-blended Elo model; singles only, WTA+ATP market coverage, not yet locked-holdout qualified -- promoted by explicit operator directive, not genuine walk-forward validation.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Darja Vidmanova</t>
        </is>
      </c>
      <c r="AQ65" s="24" t="inlineStr">
        <is>
          <t>Darja Vidmanova</t>
        </is>
      </c>
      <c r="AR65" s="24" t="inlineStr">
        <is>
          <t>Darja Vidmanova</t>
        </is>
      </c>
      <c r="AS65" s="24" t="inlineStr">
        <is>
          <t>Panna Udvardy</t>
        </is>
      </c>
      <c r="AT65" s="24" t="inlineStr">
        <is>
          <t>Panna Udvardy</t>
        </is>
      </c>
      <c r="AU65" s="24" t="inlineStr">
        <is>
          <t>Panna Udvardy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d777da58446bc099047b154203518e2585ef1a678f613f2b430f2589f7bf5cff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d777da58446bc099047b154203518e2585ef1a678f613f2b430f2589f7bf5cff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d777da58446bc099047b154203518e2585ef1a678f613f2b430f2589f7bf5cff</t>
        </is>
      </c>
      <c r="BH65" s="24" t="inlineStr">
        <is>
          <t>2026-08-23T15:50:54.091786Z</t>
        </is>
      </c>
      <c r="BI65" s="24" t="inlineStr">
        <is>
          <t>["same_event","same_team_same_day","same_league_same_day"]</t>
        </is>
      </c>
      <c r="BJ65" s="25" t="n">
        <v>22.5</v>
      </c>
      <c r="BK65" s="26" t="n">
        <v>122</v>
      </c>
      <c r="BL65" s="27" t="n">
        <v>2.22</v>
      </c>
      <c r="BM65" s="28" t="n">
        <v>0.45045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0.45045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a835688135054ef6</t>
        </is>
      </c>
      <c r="B66" s="24" t="inlineStr">
        <is>
          <t>2026-08-23T20:27:44.305840Z</t>
        </is>
      </c>
      <c r="C66" s="24" t="inlineStr">
        <is>
          <t>2026-08-23T21:00Z</t>
        </is>
      </c>
      <c r="D66" s="24" t="inlineStr">
        <is>
          <t>341-2026:184520</t>
        </is>
      </c>
      <c r="E66" s="24" t="inlineStr">
        <is>
          <t>TENNIS</t>
        </is>
      </c>
      <c r="F66" s="24" t="inlineStr">
        <is>
          <t>Darja Vidmanova</t>
        </is>
      </c>
      <c r="G66" s="24" t="inlineStr">
        <is>
          <t>Panna Udvardy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203</v>
      </c>
      <c r="M66" s="27" t="n">
        <v>3.03</v>
      </c>
      <c r="N66" s="28" t="n">
        <v>0.330033</v>
      </c>
      <c r="O66" s="28" t="n">
        <v>0.5522</v>
      </c>
      <c r="P66" s="28" t="n">
        <v>0.05</v>
      </c>
      <c r="Q66" s="28" t="n">
        <v>0.222167</v>
      </c>
      <c r="R66" s="26" t="n">
        <v>100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194</v>
      </c>
      <c r="AA66" s="28" t="n">
        <v>0.34</v>
      </c>
      <c r="AB66" s="28" t="n">
        <v>0.009967</v>
      </c>
      <c r="AC66" s="30" t="n">
        <v>-2</v>
      </c>
      <c r="AD66" s="24" t="inlineStr">
        <is>
          <t>2026-08-24T01:29:29.395826Z</t>
        </is>
      </c>
      <c r="AE66" s="31" t="inlineStr">
        <is>
          <t>Surface-blended Elo on Hard: Darja Vidmanova p=0.448 vs Panna Udvardy. Executable ask 0.3300 (aec-wta-panudv-darvid-2026-08-23).</t>
        </is>
      </c>
      <c r="AF66" s="31" t="inlineStr">
        <is>
          <t>Surface-blended Elo model; singles only, WTA+ATP market coverage, not yet locked-holdout qualified -- promoted by explicit operator directive, not genuine walk-forward validation.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Darja Vidmanova</t>
        </is>
      </c>
      <c r="AQ66" s="24" t="inlineStr">
        <is>
          <t>Darja Vidmanova</t>
        </is>
      </c>
      <c r="AR66" s="24" t="inlineStr">
        <is>
          <t>Darja Vidmanova</t>
        </is>
      </c>
      <c r="AS66" s="24" t="inlineStr">
        <is>
          <t>Panna Udvardy</t>
        </is>
      </c>
      <c r="AT66" s="24" t="inlineStr">
        <is>
          <t>Panna Udvardy</t>
        </is>
      </c>
      <c r="AU66" s="24" t="inlineStr">
        <is>
          <t>Panna Udvardy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d777da58446bc099047b154203518e2585ef1a678f613f2b430f2589f7bf5cff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d777da58446bc099047b154203518e2585ef1a678f613f2b430f2589f7bf5cff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d777da58446bc099047b154203518e2585ef1a678f613f2b430f2589f7bf5cff</t>
        </is>
      </c>
      <c r="BH66" s="24" t="inlineStr">
        <is>
          <t>2026-08-23T15:50:54.102169Z</t>
        </is>
      </c>
      <c r="BI66" s="24" t="inlineStr">
        <is>
          <t>["same_event","same_team_same_day","same_league_same_day"]</t>
        </is>
      </c>
      <c r="BJ66" s="25" t="n"/>
      <c r="BK66" s="26" t="n">
        <v>203</v>
      </c>
      <c r="BL66" s="27" t="n">
        <v>3.03</v>
      </c>
      <c r="BM66" s="28" t="n">
        <v>0.330033</v>
      </c>
      <c r="BN66" s="28" t="n"/>
      <c r="BO66" s="28" t="n"/>
      <c r="BP66" s="25" t="n"/>
      <c r="BQ66" s="27" t="n">
        <v>2.94</v>
      </c>
      <c r="BR66" s="28" t="n">
        <v>0.34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0.330033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b3efe2edca574790</t>
        </is>
      </c>
      <c r="B67" s="24" t="inlineStr">
        <is>
          <t>2026-08-23T20:27:44.305840Z</t>
        </is>
      </c>
      <c r="C67" s="24" t="inlineStr">
        <is>
          <t>2026-08-23T21:00Z</t>
        </is>
      </c>
      <c r="D67" s="24" t="inlineStr">
        <is>
          <t>341-2026:184520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Panna Udvardy</t>
        </is>
      </c>
      <c r="H67" s="24" t="inlineStr">
        <is>
          <t>spread</t>
        </is>
      </c>
      <c r="I67" s="24" t="inlineStr">
        <is>
          <t>home</t>
        </is>
      </c>
      <c r="J67" s="25" t="n">
        <v>-2.5</v>
      </c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0.7591</v>
      </c>
      <c r="P67" s="28" t="n">
        <v>0.05</v>
      </c>
      <c r="Q67" s="28" t="n">
        <v>0.30865</v>
      </c>
      <c r="R67" s="26" t="n">
        <v>100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loss</t>
        </is>
      </c>
      <c r="W67" s="26" t="n">
        <v>15</v>
      </c>
      <c r="X67" s="26" t="n">
        <v>12</v>
      </c>
      <c r="Y67" s="25" t="n"/>
      <c r="Z67" s="26" t="n"/>
      <c r="AA67" s="28" t="n"/>
      <c r="AB67" s="28" t="n"/>
      <c r="AC67" s="30" t="n">
        <v>-2</v>
      </c>
      <c r="AD67" s="24" t="inlineStr">
        <is>
          <t>2026-08-24T04:13:44.134142Z</t>
        </is>
      </c>
      <c r="AE67" s="31" t="inlineStr">
        <is>
          <t>Markov Game Handicap: Darja Vidmanova +2.5 vs Panna Udvardy Executable ask 0.4500 (asc-wta-panudv-darvid-2026-08-23-gs-pos-2pt5).</t>
        </is>
      </c>
      <c r="AF67" s="31" t="inlineStr">
        <is>
          <t>Surface-blended Elo model; singles only, WTA+ATP market coverage, not yet locked-holdout qualified -- promoted by explicit operator directive, not genuine walk-forward validation.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Panna Udvardy</t>
        </is>
      </c>
      <c r="AT67" s="24" t="inlineStr">
        <is>
          <t>Panna Udvardy</t>
        </is>
      </c>
      <c r="AU67" s="24" t="inlineStr">
        <is>
          <t>Panna Udvardy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d777da58446bc099047b154203518e2585ef1a678f613f2b430f2589f7bf5cff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d777da58446bc099047b154203518e2585ef1a678f613f2b430f2589f7bf5cff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d777da58446bc099047b154203518e2585ef1a678f613f2b430f2589f7bf5cff</t>
        </is>
      </c>
      <c r="BH67" s="24" t="inlineStr">
        <is>
          <t>2026-08-23T20:25:02.748048Z</t>
        </is>
      </c>
      <c r="BI67" s="24" t="inlineStr">
        <is>
          <t>["same_event","same_team_same_day","same_league_same_day"]</t>
        </is>
      </c>
      <c r="BJ67" s="25" t="n">
        <v>-2.5</v>
      </c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0.45045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470086e71aef4dc3</t>
        </is>
      </c>
      <c r="B68" s="24" t="inlineStr">
        <is>
          <t>2026-08-23T20:27:44.305840Z</t>
        </is>
      </c>
      <c r="C68" s="24" t="inlineStr">
        <is>
          <t>2026-08-23T22:30Z</t>
        </is>
      </c>
      <c r="D68" s="24" t="inlineStr">
        <is>
          <t>341-2026:184522</t>
        </is>
      </c>
      <c r="E68" s="24" t="inlineStr">
        <is>
          <t>TENNIS</t>
        </is>
      </c>
      <c r="F68" s="24" t="inlineStr">
        <is>
          <t>En-Shuo Liang</t>
        </is>
      </c>
      <c r="G68" s="24" t="inlineStr">
        <is>
          <t>Anna Bondar</t>
        </is>
      </c>
      <c r="H68" s="24" t="inlineStr">
        <is>
          <t>spread</t>
        </is>
      </c>
      <c r="I68" s="24" t="inlineStr">
        <is>
          <t>away</t>
        </is>
      </c>
      <c r="J68" s="25" t="n">
        <v>-3.5</v>
      </c>
      <c r="K68" s="24" t="inlineStr">
        <is>
          <t>polymarket_us</t>
        </is>
      </c>
      <c r="L68" s="26" t="n">
        <v>144</v>
      </c>
      <c r="M68" s="27" t="n">
        <v>2.44</v>
      </c>
      <c r="N68" s="28" t="n">
        <v>0.409836</v>
      </c>
      <c r="O68" s="28" t="n">
        <v>0.794</v>
      </c>
      <c r="P68" s="28" t="n">
        <v>0.05</v>
      </c>
      <c r="Q68" s="28" t="n">
        <v>0.384164</v>
      </c>
      <c r="R68" s="26" t="n">
        <v>100</v>
      </c>
      <c r="S68" s="29" t="n">
        <v>2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loss</t>
        </is>
      </c>
      <c r="W68" s="26" t="n">
        <v>10</v>
      </c>
      <c r="X68" s="26" t="n">
        <v>16</v>
      </c>
      <c r="Y68" s="25" t="n"/>
      <c r="Z68" s="26" t="n"/>
      <c r="AA68" s="28" t="n"/>
      <c r="AB68" s="28" t="n"/>
      <c r="AC68" s="30" t="n">
        <v>-2</v>
      </c>
      <c r="AD68" s="24" t="inlineStr">
        <is>
          <t>2026-08-24T04:13:34.507827Z</t>
        </is>
      </c>
      <c r="AE68" s="31" t="inlineStr">
        <is>
          <t>Markov Game Handicap: En-Shuo Liang -3.5 vs Anna Bondar Executable ask 0.4100 (asc-wta-annbon-enslia-2026-08-23-gs-neg-3pt5).</t>
        </is>
      </c>
      <c r="AF68" s="31" t="inlineStr">
        <is>
          <t>Surface-blended Elo model; singles only, WTA+ATP market coverage, not yet locked-holdout qualified -- promoted by explicit operator directive, not genuine walk-forward validation.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En-Shuo Liang</t>
        </is>
      </c>
      <c r="AQ68" s="24" t="inlineStr">
        <is>
          <t>En-Shuo Liang</t>
        </is>
      </c>
      <c r="AR68" s="24" t="inlineStr">
        <is>
          <t>En-Shuo Liang</t>
        </is>
      </c>
      <c r="AS68" s="24" t="inlineStr">
        <is>
          <t>Anna Bondar</t>
        </is>
      </c>
      <c r="AT68" s="24" t="inlineStr">
        <is>
          <t>Anna Bondar</t>
        </is>
      </c>
      <c r="AU68" s="24" t="inlineStr">
        <is>
          <t>Anna Bondar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d777da58446bc099047b154203518e2585ef1a678f613f2b430f2589f7bf5cff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d777da58446bc099047b154203518e2585ef1a678f613f2b430f2589f7bf5cff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d777da58446bc099047b154203518e2585ef1a678f613f2b430f2589f7bf5cff</t>
        </is>
      </c>
      <c r="BH68" s="24" t="inlineStr">
        <is>
          <t>2026-08-23T20:25:03.083577Z</t>
        </is>
      </c>
      <c r="BI68" s="24" t="inlineStr">
        <is>
          <t>["same_event","same_team_same_day","same_league_same_day"]</t>
        </is>
      </c>
      <c r="BJ68" s="25" t="n">
        <v>-3.5</v>
      </c>
      <c r="BK68" s="26" t="n">
        <v>144</v>
      </c>
      <c r="BL68" s="27" t="n">
        <v>2.44</v>
      </c>
      <c r="BM68" s="28" t="n">
        <v>0.409836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0.409836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ffa6bbb807cc409d</t>
        </is>
      </c>
      <c r="B69" s="24" t="inlineStr">
        <is>
          <t>2026-08-23T20:27:44.305840Z</t>
        </is>
      </c>
      <c r="C69" s="24" t="inlineStr">
        <is>
          <t>2026-08-23T22:30Z</t>
        </is>
      </c>
      <c r="D69" s="24" t="inlineStr">
        <is>
          <t>341-2026:184522</t>
        </is>
      </c>
      <c r="E69" s="24" t="inlineStr">
        <is>
          <t>TENNIS</t>
        </is>
      </c>
      <c r="F69" s="24" t="inlineStr">
        <is>
          <t>En-Shuo Liang</t>
        </is>
      </c>
      <c r="G69" s="24" t="inlineStr">
        <is>
          <t>Anna Bondar</t>
        </is>
      </c>
      <c r="H69" s="24" t="inlineStr">
        <is>
          <t>total</t>
        </is>
      </c>
      <c r="I69" s="24" t="inlineStr">
        <is>
          <t>over</t>
        </is>
      </c>
      <c r="J69" s="25" t="n">
        <v>21.5</v>
      </c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0.844</v>
      </c>
      <c r="P69" s="28" t="n">
        <v>0.05</v>
      </c>
      <c r="Q69" s="28" t="n">
        <v>0.39355</v>
      </c>
      <c r="R69" s="26" t="n">
        <v>100</v>
      </c>
      <c r="S69" s="29" t="n">
        <v>2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16</v>
      </c>
      <c r="Y69" s="25" t="n"/>
      <c r="Z69" s="26" t="n"/>
      <c r="AA69" s="28" t="n"/>
      <c r="AB69" s="28" t="n"/>
      <c r="AC69" s="30" t="n">
        <v>2.44</v>
      </c>
      <c r="AD69" s="24" t="inlineStr">
        <is>
          <t>2026-08-24T04:13:52.472545Z</t>
        </is>
      </c>
      <c r="AE69" s="31" t="inlineStr">
        <is>
          <t>Markov Total Games: OVER 21.5 (Exp: 25.7 games) Executable ask 0.4500 (tsc-wta-annbon-enslia-2026-08-23-tg-21pt5).</t>
        </is>
      </c>
      <c r="AF69" s="31" t="inlineStr">
        <is>
          <t>Surface-blended Elo model; singles only, WTA+ATP market coverage, not yet locked-holdout qualified -- promoted by explicit operator directive, not genuine walk-forward validation.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En-Shuo Liang</t>
        </is>
      </c>
      <c r="AQ69" s="24" t="inlineStr">
        <is>
          <t>En-Shuo Liang</t>
        </is>
      </c>
      <c r="AR69" s="24" t="inlineStr">
        <is>
          <t>En-Shuo Liang</t>
        </is>
      </c>
      <c r="AS69" s="24" t="inlineStr">
        <is>
          <t>Anna Bondar</t>
        </is>
      </c>
      <c r="AT69" s="24" t="inlineStr">
        <is>
          <t>Anna Bondar</t>
        </is>
      </c>
      <c r="AU69" s="24" t="inlineStr">
        <is>
          <t>Anna Bondar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d777da58446bc099047b154203518e2585ef1a678f613f2b430f2589f7bf5cff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d777da58446bc099047b154203518e2585ef1a678f613f2b430f2589f7bf5cff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d777da58446bc099047b154203518e2585ef1a678f613f2b430f2589f7bf5cff</t>
        </is>
      </c>
      <c r="BH69" s="24" t="inlineStr">
        <is>
          <t>2026-08-23T20:25:03.121233Z</t>
        </is>
      </c>
      <c r="BI69" s="24" t="inlineStr">
        <is>
          <t>["same_event","same_team_same_day","same_league_same_day"]</t>
        </is>
      </c>
      <c r="BJ69" s="25" t="n">
        <v>21.5</v>
      </c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0.45045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2f01da27c29046e4</t>
        </is>
      </c>
      <c r="B70" s="24" t="inlineStr">
        <is>
          <t>2026-08-23T20:27:44.305840Z</t>
        </is>
      </c>
      <c r="C70" s="24" t="inlineStr">
        <is>
          <t>2026-08-23T22:30Z</t>
        </is>
      </c>
      <c r="D70" s="24" t="inlineStr">
        <is>
          <t>341-2026:184519</t>
        </is>
      </c>
      <c r="E70" s="24" t="inlineStr">
        <is>
          <t>TENNIS</t>
        </is>
      </c>
      <c r="F70" s="24" t="inlineStr">
        <is>
          <t>Yulia Putintseva</t>
        </is>
      </c>
      <c r="G70" s="24" t="inlineStr">
        <is>
          <t>Maya Joint</t>
        </is>
      </c>
      <c r="H70" s="24" t="inlineStr">
        <is>
          <t>total</t>
        </is>
      </c>
      <c r="I70" s="24" t="inlineStr">
        <is>
          <t>over</t>
        </is>
      </c>
      <c r="J70" s="25" t="n">
        <v>22.5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0.7713</v>
      </c>
      <c r="P70" s="28" t="n">
        <v>0.05</v>
      </c>
      <c r="Q70" s="28" t="n">
        <v>0.342115</v>
      </c>
      <c r="R70" s="26" t="n">
        <v>100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loss</t>
        </is>
      </c>
      <c r="W70" s="26" t="n">
        <v>10</v>
      </c>
      <c r="X70" s="26" t="n">
        <v>12</v>
      </c>
      <c r="Y70" s="25" t="n"/>
      <c r="Z70" s="26" t="n"/>
      <c r="AA70" s="28" t="n"/>
      <c r="AB70" s="28" t="n"/>
      <c r="AC70" s="30" t="n">
        <v>-2</v>
      </c>
      <c r="AD70" s="24" t="inlineStr">
        <is>
          <t>2026-08-24T04:13:31.953280Z</t>
        </is>
      </c>
      <c r="AE70" s="31" t="inlineStr">
        <is>
          <t>Markov Total Games: OVER 22.5 (Exp: 25.6 games) Executable ask 0.4300 (tsc-wta-mayjoi-yulput-2026-08-24-tg-22pt5).</t>
        </is>
      </c>
      <c r="AF70" s="31" t="inlineStr">
        <is>
          <t>Surface-blended Elo model; singles only, WTA+ATP market coverage, not yet locked-holdout qualified -- promoted by explicit operator directive, not genuine walk-forward validation.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Yulia Putintseva</t>
        </is>
      </c>
      <c r="AQ70" s="24" t="inlineStr">
        <is>
          <t>Yulia Putintseva</t>
        </is>
      </c>
      <c r="AR70" s="24" t="inlineStr">
        <is>
          <t>Yulia Putintseva</t>
        </is>
      </c>
      <c r="AS70" s="24" t="inlineStr">
        <is>
          <t>Maya Joint</t>
        </is>
      </c>
      <c r="AT70" s="24" t="inlineStr">
        <is>
          <t>Maya Joint</t>
        </is>
      </c>
      <c r="AU70" s="24" t="inlineStr">
        <is>
          <t>Maya Joint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d777da58446bc099047b154203518e2585ef1a678f613f2b430f2589f7bf5cff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d777da58446bc099047b154203518e2585ef1a678f613f2b430f2589f7bf5cff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d777da58446bc099047b154203518e2585ef1a678f613f2b430f2589f7bf5cff</t>
        </is>
      </c>
      <c r="BH70" s="24" t="inlineStr">
        <is>
          <t>2026-08-23T20:25:03.220295Z</t>
        </is>
      </c>
      <c r="BI70" s="24" t="inlineStr">
        <is>
          <t>["same_event","same_team_same_day","same_league_same_day"]</t>
        </is>
      </c>
      <c r="BJ70" s="25" t="n">
        <v>22.5</v>
      </c>
      <c r="BK70" s="26" t="n">
        <v>133</v>
      </c>
      <c r="BL70" s="27" t="n">
        <v>2.33</v>
      </c>
      <c r="BM70" s="28" t="n">
        <v>0.429185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0.429185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2c73b0a014ae44a4</t>
        </is>
      </c>
      <c r="B71" s="24" t="inlineStr">
        <is>
          <t>2026-08-23T20:27:44.305840Z</t>
        </is>
      </c>
      <c r="C71" s="24" t="inlineStr">
        <is>
          <t>2026-08-23T22:30Z</t>
        </is>
      </c>
      <c r="D71" s="24" t="inlineStr">
        <is>
          <t>341-2026:184519</t>
        </is>
      </c>
      <c r="E71" s="24" t="inlineStr">
        <is>
          <t>TENNIS</t>
        </is>
      </c>
      <c r="F71" s="24" t="inlineStr">
        <is>
          <t>Yulia Putintseva</t>
        </is>
      </c>
      <c r="G71" s="24" t="inlineStr">
        <is>
          <t>Maya Joint</t>
        </is>
      </c>
      <c r="H71" s="24" t="inlineStr">
        <is>
          <t>spread</t>
        </is>
      </c>
      <c r="I71" s="24" t="inlineStr">
        <is>
          <t>home</t>
        </is>
      </c>
      <c r="J71" s="25" t="n">
        <v>-2.5</v>
      </c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0.7067</v>
      </c>
      <c r="P71" s="28" t="n">
        <v>0.05</v>
      </c>
      <c r="Q71" s="28" t="n">
        <v>0.15715</v>
      </c>
      <c r="R71" s="26" t="n">
        <v>99</v>
      </c>
      <c r="S71" s="29" t="n">
        <v>1.75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loss</t>
        </is>
      </c>
      <c r="W71" s="26" t="n">
        <v>10</v>
      </c>
      <c r="X71" s="26" t="n">
        <v>12</v>
      </c>
      <c r="Y71" s="25" t="n"/>
      <c r="Z71" s="26" t="n"/>
      <c r="AA71" s="28" t="n"/>
      <c r="AB71" s="28" t="n"/>
      <c r="AC71" s="30" t="n">
        <v>-1.75</v>
      </c>
      <c r="AD71" s="24" t="inlineStr">
        <is>
          <t>2026-08-24T04:13:31.600766Z</t>
        </is>
      </c>
      <c r="AE71" s="31" t="inlineStr">
        <is>
          <t>Markov Game Handicap: Yulia Putintseva +2.5 vs Maya Joint Executable ask 0.5500 (asc-wta-mayjoi-yulput-2026-08-24-gs-pos-2pt5).</t>
        </is>
      </c>
      <c r="AF71" s="31" t="inlineStr">
        <is>
          <t>Surface-blended Elo model; singles only, WTA+ATP market coverage, not yet locked-holdout qualified -- promoted by explicit operator directive, not genuine walk-forward validation.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Yulia Putintseva</t>
        </is>
      </c>
      <c r="AQ71" s="24" t="inlineStr">
        <is>
          <t>Yulia Putintseva</t>
        </is>
      </c>
      <c r="AR71" s="24" t="inlineStr">
        <is>
          <t>Yulia Putintseva</t>
        </is>
      </c>
      <c r="AS71" s="24" t="inlineStr">
        <is>
          <t>Maya Joint</t>
        </is>
      </c>
      <c r="AT71" s="24" t="inlineStr">
        <is>
          <t>Maya Joint</t>
        </is>
      </c>
      <c r="AU71" s="24" t="inlineStr">
        <is>
          <t>Maya Joint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d777da58446bc099047b154203518e2585ef1a678f613f2b430f2589f7bf5cff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d777da58446bc099047b154203518e2585ef1a678f613f2b430f2589f7bf5cff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d777da58446bc099047b154203518e2585ef1a678f613f2b430f2589f7bf5cff</t>
        </is>
      </c>
      <c r="BH71" s="24" t="inlineStr">
        <is>
          <t>2026-08-23T20:25:03.185678Z</t>
        </is>
      </c>
      <c r="BI71" s="24" t="inlineStr">
        <is>
          <t>["same_event","same_team_same_day","same_league_same_day"]</t>
        </is>
      </c>
      <c r="BJ71" s="25" t="n">
        <v>-2.5</v>
      </c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2b722a3d251e4f2a</t>
        </is>
      </c>
      <c r="B72" s="24" t="inlineStr">
        <is>
          <t>2026-08-23T20:27:44.305840Z</t>
        </is>
      </c>
      <c r="C72" s="24" t="inlineStr">
        <is>
          <t>2026-08-23T20:30Z</t>
        </is>
      </c>
      <c r="D72" s="24" t="inlineStr">
        <is>
          <t>718-2026:181963</t>
        </is>
      </c>
      <c r="E72" s="24" t="inlineStr">
        <is>
          <t>TENNIS</t>
        </is>
      </c>
      <c r="F72" s="24" t="inlineStr">
        <is>
          <t>Frances Tiafoe</t>
        </is>
      </c>
      <c r="G72" s="24" t="inlineStr">
        <is>
          <t>Arthur Fils</t>
        </is>
      </c>
      <c r="H72" s="24" t="inlineStr">
        <is>
          <t>total</t>
        </is>
      </c>
      <c r="I72" s="24" t="inlineStr">
        <is>
          <t>over</t>
        </is>
      </c>
      <c r="J72" s="25" t="n">
        <v>23.5</v>
      </c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0.6848</v>
      </c>
      <c r="P72" s="28" t="n">
        <v>0.05</v>
      </c>
      <c r="Q72" s="28" t="n">
        <v>0.23435</v>
      </c>
      <c r="R72" s="26" t="n">
        <v>100</v>
      </c>
      <c r="S72" s="29" t="n">
        <v>2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loss</t>
        </is>
      </c>
      <c r="W72" s="26" t="n">
        <v>9</v>
      </c>
      <c r="X72" s="26" t="n">
        <v>13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2026-08-24T04:13:31.251205Z</t>
        </is>
      </c>
      <c r="AE72" s="31" t="inlineStr">
        <is>
          <t>Markov Total Games: OVER 23.5 (Exp: 25.5 games) Executable ask 0.4500 (tsc-atp-artfil-fratia-2026-08-24-tg-23pt5).</t>
        </is>
      </c>
      <c r="AF72" s="31" t="inlineStr">
        <is>
          <t>Surface-blended Elo model; singles only, WTA+ATP market coverage, not yet locked-holdout qualified -- promoted by explicit operator directive, not genuine walk-forward validation.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Frances Tiafoe</t>
        </is>
      </c>
      <c r="AQ72" s="24" t="inlineStr">
        <is>
          <t>Frances Tiafoe</t>
        </is>
      </c>
      <c r="AR72" s="24" t="inlineStr">
        <is>
          <t>Frances Tiafoe</t>
        </is>
      </c>
      <c r="AS72" s="24" t="inlineStr">
        <is>
          <t>Arthur Fils</t>
        </is>
      </c>
      <c r="AT72" s="24" t="inlineStr">
        <is>
          <t>Arthur Fils</t>
        </is>
      </c>
      <c r="AU72" s="24" t="inlineStr">
        <is>
          <t>Arthur Fils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d777da58446bc099047b154203518e2585ef1a678f613f2b430f2589f7bf5cff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d777da58446bc099047b154203518e2585ef1a678f613f2b430f2589f7bf5cff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d777da58446bc099047b154203518e2585ef1a678f613f2b430f2589f7bf5cff</t>
        </is>
      </c>
      <c r="BH72" s="24" t="inlineStr">
        <is>
          <t>2026-08-23T20:25:03.843349Z</t>
        </is>
      </c>
      <c r="BI72" s="24" t="inlineStr">
        <is>
          <t>["same_event","same_team_same_day","same_league_same_day"]</t>
        </is>
      </c>
      <c r="BJ72" s="25" t="n">
        <v>23.5</v>
      </c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0.45045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ba5a0f17dee3464a</t>
        </is>
      </c>
      <c r="B73" s="24" t="inlineStr">
        <is>
          <t>2026-08-23T20:27:44.305840Z</t>
        </is>
      </c>
      <c r="C73" s="24" t="inlineStr">
        <is>
          <t>2026-08-23T20:30Z</t>
        </is>
      </c>
      <c r="D73" s="24" t="inlineStr">
        <is>
          <t>718-2026:181963</t>
        </is>
      </c>
      <c r="E73" s="24" t="inlineStr">
        <is>
          <t>TENNIS</t>
        </is>
      </c>
      <c r="F73" s="24" t="inlineStr">
        <is>
          <t>Frances Tiafoe</t>
        </is>
      </c>
      <c r="G73" s="24" t="inlineStr">
        <is>
          <t>Arthur Fils</t>
        </is>
      </c>
      <c r="H73" s="24" t="inlineStr">
        <is>
          <t>spread</t>
        </is>
      </c>
      <c r="I73" s="24" t="inlineStr">
        <is>
          <t>away</t>
        </is>
      </c>
      <c r="J73" s="25" t="n">
        <v>-2.5</v>
      </c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0.6993</v>
      </c>
      <c r="P73" s="28" t="n">
        <v>0.05</v>
      </c>
      <c r="Q73" s="28" t="n">
        <v>0.229816</v>
      </c>
      <c r="R73" s="26" t="n">
        <v>100</v>
      </c>
      <c r="S73" s="29" t="n">
        <v>2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loss</t>
        </is>
      </c>
      <c r="W73" s="26" t="n">
        <v>9</v>
      </c>
      <c r="X73" s="26" t="n">
        <v>13</v>
      </c>
      <c r="Y73" s="25" t="n"/>
      <c r="Z73" s="26" t="n"/>
      <c r="AA73" s="28" t="n"/>
      <c r="AB73" s="28" t="n"/>
      <c r="AC73" s="30" t="n">
        <v>-2</v>
      </c>
      <c r="AD73" s="24" t="inlineStr">
        <is>
          <t>2026-08-24T04:13:44.887822Z</t>
        </is>
      </c>
      <c r="AE73" s="31" t="inlineStr">
        <is>
          <t>Markov Game Handicap: Frances Tiafoe -2.5 vs Arthur Fils Executable ask 0.4700 (asc-atp-artfil-fratia-2026-08-24-gs-neg-2pt5).</t>
        </is>
      </c>
      <c r="AF73" s="31" t="inlineStr">
        <is>
          <t>Surface-blended Elo model; singles only, WTA+ATP market coverage, not yet locked-holdout qualified -- promoted by explicit operator directive, not genuine walk-forward validation.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Frances Tiafoe</t>
        </is>
      </c>
      <c r="AQ73" s="24" t="inlineStr">
        <is>
          <t>Frances Tiafoe</t>
        </is>
      </c>
      <c r="AR73" s="24" t="inlineStr">
        <is>
          <t>Frances Tiafoe</t>
        </is>
      </c>
      <c r="AS73" s="24" t="inlineStr">
        <is>
          <t>Arthur Fils</t>
        </is>
      </c>
      <c r="AT73" s="24" t="inlineStr">
        <is>
          <t>Arthur Fils</t>
        </is>
      </c>
      <c r="AU73" s="24" t="inlineStr">
        <is>
          <t>Arthur Fils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d777da58446bc099047b154203518e2585ef1a678f613f2b430f2589f7bf5cff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d777da58446bc099047b154203518e2585ef1a678f613f2b430f2589f7bf5cff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d777da58446bc099047b154203518e2585ef1a678f613f2b430f2589f7bf5cff</t>
        </is>
      </c>
      <c r="BH73" s="24" t="inlineStr">
        <is>
          <t>2026-08-23T20:25:03.848401Z</t>
        </is>
      </c>
      <c r="BI73" s="24" t="inlineStr">
        <is>
          <t>["same_event","same_team_same_day","same_league_same_day"]</t>
        </is>
      </c>
      <c r="BJ73" s="25" t="n">
        <v>-2.5</v>
      </c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0.469484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b4955dc589644d81</t>
        </is>
      </c>
      <c r="B74" s="24" t="inlineStr">
        <is>
          <t>2026-08-23T20:27:44.305840Z</t>
        </is>
      </c>
      <c r="C74" s="24" t="inlineStr">
        <is>
          <t>2026-08-23T20:50Z</t>
        </is>
      </c>
      <c r="D74" s="24" t="inlineStr">
        <is>
          <t>363-2026:184482</t>
        </is>
      </c>
      <c r="E74" s="24" t="inlineStr">
        <is>
          <t>TENNIS</t>
        </is>
      </c>
      <c r="F74" s="24" t="inlineStr">
        <is>
          <t>Mattia Bellucci</t>
        </is>
      </c>
      <c r="G74" s="24" t="inlineStr">
        <is>
          <t>Martin Landaluce</t>
        </is>
      </c>
      <c r="H74" s="24" t="inlineStr">
        <is>
          <t>total</t>
        </is>
      </c>
      <c r="I74" s="24" t="inlineStr">
        <is>
          <t>over</t>
        </is>
      </c>
      <c r="J74" s="25" t="n">
        <v>23.5</v>
      </c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0.6949</v>
      </c>
      <c r="P74" s="28" t="n">
        <v>0.05</v>
      </c>
      <c r="Q74" s="28" t="n">
        <v>0.225416</v>
      </c>
      <c r="R74" s="26" t="n">
        <v>100</v>
      </c>
      <c r="S74" s="29" t="n">
        <v>2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win</t>
        </is>
      </c>
      <c r="W74" s="26" t="n">
        <v>18</v>
      </c>
      <c r="X74" s="26" t="n">
        <v>12</v>
      </c>
      <c r="Y74" s="25" t="n"/>
      <c r="Z74" s="26" t="n"/>
      <c r="AA74" s="28" t="n"/>
      <c r="AB74" s="28" t="n"/>
      <c r="AC74" s="30" t="n">
        <v>2.26</v>
      </c>
      <c r="AD74" s="24" t="inlineStr">
        <is>
          <t>2026-08-24T04:13:44.484889Z</t>
        </is>
      </c>
      <c r="AE74" s="31" t="inlineStr">
        <is>
          <t>Markov Total Games: OVER 23.5 (Exp: 25.6 games) Executable ask 0.4700 (tsc-atp-marlan-matbel-2026-08-24-tg-23pt5).</t>
        </is>
      </c>
      <c r="AF74" s="31" t="inlineStr">
        <is>
          <t>Surface-blended Elo model; singles only, WTA+ATP market coverage, not yet locked-holdout qualified -- promoted by explicit operator directive, not genuine walk-forward validation.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Mattia Bellucci</t>
        </is>
      </c>
      <c r="AQ74" s="24" t="inlineStr">
        <is>
          <t>Mattia Bellucci</t>
        </is>
      </c>
      <c r="AR74" s="24" t="inlineStr">
        <is>
          <t>Mattia Bellucci</t>
        </is>
      </c>
      <c r="AS74" s="24" t="inlineStr">
        <is>
          <t>Martin Landaluce</t>
        </is>
      </c>
      <c r="AT74" s="24" t="inlineStr">
        <is>
          <t>Martin Landaluce</t>
        </is>
      </c>
      <c r="AU74" s="24" t="inlineStr">
        <is>
          <t>Martin Landaluce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d777da58446bc099047b154203518e2585ef1a678f613f2b430f2589f7bf5cff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d777da58446bc099047b154203518e2585ef1a678f613f2b430f2589f7bf5cff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d777da58446bc099047b154203518e2585ef1a678f613f2b430f2589f7bf5cff</t>
        </is>
      </c>
      <c r="BH74" s="24" t="inlineStr">
        <is>
          <t>2026-08-23T20:25:03.467292Z</t>
        </is>
      </c>
      <c r="BI74" s="24" t="inlineStr">
        <is>
          <t>["same_event","same_team_same_day","same_league_same_day"]</t>
        </is>
      </c>
      <c r="BJ74" s="25" t="n">
        <v>23.5</v>
      </c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fd1be16be5984666</t>
        </is>
      </c>
      <c r="B75" s="24" t="inlineStr">
        <is>
          <t>2026-08-23T20:27:44.305840Z</t>
        </is>
      </c>
      <c r="C75" s="24" t="inlineStr">
        <is>
          <t>2026-08-23T20:50Z</t>
        </is>
      </c>
      <c r="D75" s="24" t="inlineStr">
        <is>
          <t>363-2026:184482</t>
        </is>
      </c>
      <c r="E75" s="24" t="inlineStr">
        <is>
          <t>TENNIS</t>
        </is>
      </c>
      <c r="F75" s="24" t="inlineStr">
        <is>
          <t>Mattia Bellucci</t>
        </is>
      </c>
      <c r="G75" s="24" t="inlineStr">
        <is>
          <t>Martin Landaluce</t>
        </is>
      </c>
      <c r="H75" s="24" t="inlineStr">
        <is>
          <t>spread</t>
        </is>
      </c>
      <c r="I75" s="24" t="inlineStr">
        <is>
          <t>away</t>
        </is>
      </c>
      <c r="J75" s="25" t="n">
        <v>-2.5</v>
      </c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0.7082000000000001</v>
      </c>
      <c r="P75" s="28" t="n">
        <v>0.05</v>
      </c>
      <c r="Q75" s="28" t="n">
        <v>0.118036</v>
      </c>
      <c r="R75" s="26" t="n">
        <v>79</v>
      </c>
      <c r="S75" s="29" t="n">
        <v>1.5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18</v>
      </c>
      <c r="X75" s="26" t="n">
        <v>12</v>
      </c>
      <c r="Y75" s="25" t="n"/>
      <c r="Z75" s="26" t="n"/>
      <c r="AA75" s="28" t="n"/>
      <c r="AB75" s="28" t="n"/>
      <c r="AC75" s="30" t="n">
        <v>1.0417</v>
      </c>
      <c r="AD75" s="24" t="inlineStr">
        <is>
          <t>2026-08-24T04:13:52.115951Z</t>
        </is>
      </c>
      <c r="AE75" s="31" t="inlineStr">
        <is>
          <t>Markov Game Handicap: Mattia Bellucci -2.5 vs Martin Landaluce Executable ask 0.5900 (asc-atp-marlan-matbel-2026-08-24-gs-neg-2pt5).</t>
        </is>
      </c>
      <c r="AF75" s="31" t="inlineStr">
        <is>
          <t>Surface-blended Elo model; singles only, WTA+ATP market coverage, not yet locked-holdout qualified -- promoted by explicit operator directive, not genuine walk-forward validation.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Mattia Bellucci</t>
        </is>
      </c>
      <c r="AQ75" s="24" t="inlineStr">
        <is>
          <t>Mattia Bellucci</t>
        </is>
      </c>
      <c r="AR75" s="24" t="inlineStr">
        <is>
          <t>Mattia Bellucci</t>
        </is>
      </c>
      <c r="AS75" s="24" t="inlineStr">
        <is>
          <t>Martin Landaluce</t>
        </is>
      </c>
      <c r="AT75" s="24" t="inlineStr">
        <is>
          <t>Martin Landaluce</t>
        </is>
      </c>
      <c r="AU75" s="24" t="inlineStr">
        <is>
          <t>Martin Landaluce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d777da58446bc099047b154203518e2585ef1a678f613f2b430f2589f7bf5cff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d777da58446bc099047b154203518e2585ef1a678f613f2b430f2589f7bf5cff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d777da58446bc099047b154203518e2585ef1a678f613f2b430f2589f7bf5cff</t>
        </is>
      </c>
      <c r="BH75" s="24" t="inlineStr">
        <is>
          <t>2026-08-23T20:25:03.466261Z</t>
        </is>
      </c>
      <c r="BI75" s="24" t="inlineStr">
        <is>
          <t>["same_event","same_team_same_day","same_league_same_day"]</t>
        </is>
      </c>
      <c r="BJ75" s="25" t="n">
        <v>-2.5</v>
      </c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1c82033806ad4824</t>
        </is>
      </c>
      <c r="B76" s="24" t="inlineStr">
        <is>
          <t>2026-08-23T20:27:44.305840Z</t>
        </is>
      </c>
      <c r="C76" s="24" t="inlineStr">
        <is>
          <t>2026-08-23T22:30Z</t>
        </is>
      </c>
      <c r="D76" s="24" t="inlineStr">
        <is>
          <t>363-2026:184481</t>
        </is>
      </c>
      <c r="E76" s="24" t="inlineStr">
        <is>
          <t>TENNIS</t>
        </is>
      </c>
      <c r="F76" s="24" t="inlineStr">
        <is>
          <t>Adolfo Daniel Vallejo</t>
        </is>
      </c>
      <c r="G76" s="24" t="inlineStr">
        <is>
          <t>Pablo Carreno Busta</t>
        </is>
      </c>
      <c r="H76" s="24" t="inlineStr">
        <is>
          <t>total</t>
        </is>
      </c>
      <c r="I76" s="24" t="inlineStr">
        <is>
          <t>over</t>
        </is>
      </c>
      <c r="J76" s="25" t="n">
        <v>23.5</v>
      </c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0.7203000000000001</v>
      </c>
      <c r="P76" s="28" t="n">
        <v>0.05</v>
      </c>
      <c r="Q76" s="28" t="n">
        <v>0.291115</v>
      </c>
      <c r="R76" s="26" t="n">
        <v>100</v>
      </c>
      <c r="S76" s="29" t="n">
        <v>2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push</t>
        </is>
      </c>
      <c r="W76" s="26" t="n">
        <v>1</v>
      </c>
      <c r="X76" s="26" t="n">
        <v>0</v>
      </c>
      <c r="Y76" s="25" t="n"/>
      <c r="Z76" s="26" t="n"/>
      <c r="AA76" s="28" t="n"/>
      <c r="AB76" s="28" t="n"/>
      <c r="AC76" s="30" t="n">
        <v>0</v>
      </c>
      <c r="AD76" s="24" t="inlineStr">
        <is>
          <t>2026-08-24T04:13:30.492775Z</t>
        </is>
      </c>
      <c r="AE76" s="31" t="inlineStr">
        <is>
          <t>Markov Total Games: OVER 23.5 (Exp: 26.0 games) Executable ask 0.4300 (tsc-atp-pabbus-adoval-2026-08-24-tg-23pt5).</t>
        </is>
      </c>
      <c r="AF76" s="31" t="inlineStr">
        <is>
          <t>Surface-blended Elo model; singles only, WTA+ATP market coverage, not yet locked-holdout qualified -- promoted by explicit operator directive, not genuine walk-forward validation.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Adolfo Daniel Vallejo</t>
        </is>
      </c>
      <c r="AQ76" s="24" t="inlineStr">
        <is>
          <t>Adolfo Daniel Vallejo</t>
        </is>
      </c>
      <c r="AR76" s="24" t="inlineStr">
        <is>
          <t>Adolfo Daniel Vallejo</t>
        </is>
      </c>
      <c r="AS76" s="24" t="inlineStr">
        <is>
          <t>Pablo Carreno Busta</t>
        </is>
      </c>
      <c r="AT76" s="24" t="inlineStr">
        <is>
          <t>Pablo Carreno Busta</t>
        </is>
      </c>
      <c r="AU76" s="24" t="inlineStr">
        <is>
          <t>Pablo Carreno Busta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d777da58446bc099047b154203518e2585ef1a678f613f2b430f2589f7bf5cff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d777da58446bc099047b154203518e2585ef1a678f613f2b430f2589f7bf5cff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d777da58446bc099047b154203518e2585ef1a678f613f2b430f2589f7bf5cff</t>
        </is>
      </c>
      <c r="BH76" s="24" t="inlineStr">
        <is>
          <t>2026-08-23T20:25:03.950811Z</t>
        </is>
      </c>
      <c r="BI76" s="24" t="inlineStr">
        <is>
          <t>["same_event","same_team_same_day","same_league_same_day"]</t>
        </is>
      </c>
      <c r="BJ76" s="25" t="n">
        <v>23.5</v>
      </c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TENNIS_DERIVATIVE_RESULT_UNGRADEABLE_FROM_OFFICIAL_SCORE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0.429185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74a73bb89a3e46ee</t>
        </is>
      </c>
      <c r="B77" s="24" t="inlineStr">
        <is>
          <t>2026-08-23T20:27:44.305840Z</t>
        </is>
      </c>
      <c r="C77" s="24" t="inlineStr">
        <is>
          <t>2026-08-23T22:30Z</t>
        </is>
      </c>
      <c r="D77" s="24" t="inlineStr">
        <is>
          <t>363-2026:184481</t>
        </is>
      </c>
      <c r="E77" s="24" t="inlineStr">
        <is>
          <t>TENNIS</t>
        </is>
      </c>
      <c r="F77" s="24" t="inlineStr">
        <is>
          <t>Adolfo Daniel Vallejo</t>
        </is>
      </c>
      <c r="G77" s="24" t="inlineStr">
        <is>
          <t>Pablo Carreno Busta</t>
        </is>
      </c>
      <c r="H77" s="24" t="inlineStr">
        <is>
          <t>spread</t>
        </is>
      </c>
      <c r="I77" s="24" t="inlineStr">
        <is>
          <t>away</t>
        </is>
      </c>
      <c r="J77" s="25" t="n">
        <v>-2.5</v>
      </c>
      <c r="K77" s="24" t="inlineStr">
        <is>
          <t>polymarket_us</t>
        </is>
      </c>
      <c r="L77" s="26" t="n">
        <v>-127</v>
      </c>
      <c r="M77" s="27" t="n">
        <v>1.787402</v>
      </c>
      <c r="N77" s="28" t="n">
        <v>0.5594710000000001</v>
      </c>
      <c r="O77" s="28" t="n">
        <v>0.7374000000000001</v>
      </c>
      <c r="P77" s="28" t="n">
        <v>0.05</v>
      </c>
      <c r="Q77" s="28" t="n">
        <v>0.177929</v>
      </c>
      <c r="R77" s="26" t="n">
        <v>100</v>
      </c>
      <c r="S77" s="29" t="n">
        <v>1.75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push</t>
        </is>
      </c>
      <c r="W77" s="26" t="n">
        <v>1</v>
      </c>
      <c r="X77" s="26" t="n">
        <v>0</v>
      </c>
      <c r="Y77" s="25" t="n"/>
      <c r="Z77" s="26" t="n"/>
      <c r="AA77" s="28" t="n"/>
      <c r="AB77" s="28" t="n"/>
      <c r="AC77" s="30" t="n">
        <v>0</v>
      </c>
      <c r="AD77" s="24" t="inlineStr">
        <is>
          <t>2026-08-24T04:13:37.546258Z</t>
        </is>
      </c>
      <c r="AE77" s="31" t="inlineStr">
        <is>
          <t>Markov Game Handicap: Adolfo Daniel Vallejo -2.5 vs Pablo Carreno Busta Executable ask 0.5600 (asc-atp-pabbus-adoval-2026-08-24-gs-neg-2pt5).</t>
        </is>
      </c>
      <c r="AF77" s="31" t="inlineStr">
        <is>
          <t>Surface-blended Elo model; singles only, WTA+ATP market coverage, not yet locked-holdout qualified -- promoted by explicit operator directive, not genuine walk-forward validation.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Adolfo Daniel Vallejo</t>
        </is>
      </c>
      <c r="AQ77" s="24" t="inlineStr">
        <is>
          <t>Adolfo Daniel Vallejo</t>
        </is>
      </c>
      <c r="AR77" s="24" t="inlineStr">
        <is>
          <t>Adolfo Daniel Vallejo</t>
        </is>
      </c>
      <c r="AS77" s="24" t="inlineStr">
        <is>
          <t>Pablo Carreno Busta</t>
        </is>
      </c>
      <c r="AT77" s="24" t="inlineStr">
        <is>
          <t>Pablo Carreno Busta</t>
        </is>
      </c>
      <c r="AU77" s="24" t="inlineStr">
        <is>
          <t>Pablo Carreno Busta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d777da58446bc099047b154203518e2585ef1a678f613f2b430f2589f7bf5cff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d777da58446bc099047b154203518e2585ef1a678f613f2b430f2589f7bf5cff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d777da58446bc099047b154203518e2585ef1a678f613f2b430f2589f7bf5cff</t>
        </is>
      </c>
      <c r="BH77" s="24" t="inlineStr">
        <is>
          <t>2026-08-23T20:25:03.956811Z</t>
        </is>
      </c>
      <c r="BI77" s="24" t="inlineStr">
        <is>
          <t>["same_event","same_team_same_day","same_league_same_day"]</t>
        </is>
      </c>
      <c r="BJ77" s="25" t="n">
        <v>-2.5</v>
      </c>
      <c r="BK77" s="26" t="n">
        <v>-127</v>
      </c>
      <c r="BL77" s="27" t="n">
        <v>1.787402</v>
      </c>
      <c r="BM77" s="28" t="n">
        <v>0.5594710000000001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TENNIS_DERIVATIVE_RESULT_UNGRADEABLE_FROM_OFFICIAL_SCORE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0.559471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5cefab3d99f745b9</t>
        </is>
      </c>
      <c r="B78" s="24" t="inlineStr">
        <is>
          <t>2026-08-23T22:31:14.888082Z</t>
        </is>
      </c>
      <c r="C78" s="24" t="inlineStr">
        <is>
          <t>2026-08-23T23:00Z</t>
        </is>
      </c>
      <c r="D78" s="24" t="inlineStr">
        <is>
          <t>718-2026:182424</t>
        </is>
      </c>
      <c r="E78" s="24" t="inlineStr">
        <is>
          <t>TENNIS</t>
        </is>
      </c>
      <c r="F78" s="24" t="inlineStr">
        <is>
          <t>Jessica Pegula</t>
        </is>
      </c>
      <c r="G78" s="24" t="inlineStr">
        <is>
          <t>Coco Gauff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</v>
      </c>
      <c r="O78" s="28" t="n">
        <v>0.5753</v>
      </c>
      <c r="P78" s="28" t="n">
        <v>0.05</v>
      </c>
      <c r="Q78" s="28" t="n">
        <v>0.1753</v>
      </c>
      <c r="R78" s="26" t="n">
        <v>100</v>
      </c>
      <c r="S78" s="29" t="n">
        <v>1.75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loss</t>
        </is>
      </c>
      <c r="W78" s="26" t="n">
        <v>0</v>
      </c>
      <c r="X78" s="26" t="n">
        <v>1</v>
      </c>
      <c r="Y78" s="25" t="n"/>
      <c r="Z78" s="26" t="n">
        <v>150</v>
      </c>
      <c r="AA78" s="28" t="n">
        <v>0.4</v>
      </c>
      <c r="AB78" s="28" t="n">
        <v>0</v>
      </c>
      <c r="AC78" s="30" t="n">
        <v>-1.75</v>
      </c>
      <c r="AD78" s="24" t="inlineStr">
        <is>
          <t>2026-08-24T01:29:56.551083Z</t>
        </is>
      </c>
      <c r="AE78" s="31" t="inlineStr">
        <is>
          <t>Surface-blended Elo on Hard: Jessica Pegula p=0.575 vs Coco Gauff. Executable ask 0.4000 (aec-wta-cocgau-jespeg-2026-08-24).</t>
        </is>
      </c>
      <c r="AF78" s="31" t="inlineStr">
        <is>
          <t>Surface-blended Elo model; singles only, WTA+ATP market coverage, not yet locked-holdout qualified -- promoted by explicit operator directive, not genuine walk-forward validation.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Jessica Pegula</t>
        </is>
      </c>
      <c r="AQ78" s="24" t="inlineStr">
        <is>
          <t>Jessica Pegula</t>
        </is>
      </c>
      <c r="AR78" s="24" t="inlineStr">
        <is>
          <t>Jessica Pegula</t>
        </is>
      </c>
      <c r="AS78" s="24" t="inlineStr">
        <is>
          <t>Coco Gauff</t>
        </is>
      </c>
      <c r="AT78" s="24" t="inlineStr">
        <is>
          <t>Coco Gauff</t>
        </is>
      </c>
      <c r="AU78" s="24" t="inlineStr">
        <is>
          <t>Coco Gauff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d777da58446bc099047b154203518e2585ef1a678f613f2b430f2589f7bf5cff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d777da58446bc099047b154203518e2585ef1a678f613f2b430f2589f7bf5cff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d777da58446bc099047b154203518e2585ef1a678f613f2b430f2589f7bf5cff</t>
        </is>
      </c>
      <c r="BH78" s="24" t="inlineStr">
        <is>
          <t>2026-08-23T22:30:33.243694Z</t>
        </is>
      </c>
      <c r="BI78" s="24" t="inlineStr">
        <is>
          <t>["same_event","same_team_same_day","same_league_same_day"]</t>
        </is>
      </c>
      <c r="BJ78" s="25" t="n"/>
      <c r="BK78" s="26" t="n">
        <v>150</v>
      </c>
      <c r="BL78" s="27" t="n">
        <v>2.5</v>
      </c>
      <c r="BM78" s="28" t="n">
        <v>0.4</v>
      </c>
      <c r="BN78" s="28" t="n"/>
      <c r="BO78" s="28" t="n"/>
      <c r="BP78" s="25" t="n"/>
      <c r="BQ78" s="27" t="n">
        <v>2.5</v>
      </c>
      <c r="BR78" s="28" t="n">
        <v>0.4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79e04497b8ee411a</t>
        </is>
      </c>
      <c r="B79" s="24" t="inlineStr">
        <is>
          <t>2026-08-23T22:31:14.888082Z</t>
        </is>
      </c>
      <c r="C79" s="24" t="inlineStr">
        <is>
          <t>2026-08-23T23:00Z</t>
        </is>
      </c>
      <c r="D79" s="24" t="inlineStr">
        <is>
          <t>718-2026:182424</t>
        </is>
      </c>
      <c r="E79" s="24" t="inlineStr">
        <is>
          <t>TENNIS</t>
        </is>
      </c>
      <c r="F79" s="24" t="inlineStr">
        <is>
          <t>Jessica Pegula</t>
        </is>
      </c>
      <c r="G79" s="24" t="inlineStr">
        <is>
          <t>Coco Gauff</t>
        </is>
      </c>
      <c r="H79" s="24" t="inlineStr">
        <is>
          <t>spread</t>
        </is>
      </c>
      <c r="I79" s="24" t="inlineStr">
        <is>
          <t>away</t>
        </is>
      </c>
      <c r="J79" s="25" t="n">
        <v>-2.5</v>
      </c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0.7697000000000001</v>
      </c>
      <c r="P79" s="28" t="n">
        <v>0.05</v>
      </c>
      <c r="Q79" s="28" t="n">
        <v>0.259896</v>
      </c>
      <c r="R79" s="26" t="n">
        <v>100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6</v>
      </c>
      <c r="X79" s="26" t="n">
        <v>12</v>
      </c>
      <c r="Y79" s="25" t="n"/>
      <c r="Z79" s="26" t="n"/>
      <c r="AA79" s="28" t="n"/>
      <c r="AB79" s="28" t="n"/>
      <c r="AC79" s="30" t="n">
        <v>-2</v>
      </c>
      <c r="AD79" s="24" t="inlineStr">
        <is>
          <t>2026-08-24T04:13:38.608477Z</t>
        </is>
      </c>
      <c r="AE79" s="31" t="inlineStr">
        <is>
          <t>Markov Game Handicap: Jessica Pegula -2.5 vs Coco Gauff Executable ask 0.5100 (asc-wta-cocgau-jespeg-2026-08-24-gs-neg-2pt5).</t>
        </is>
      </c>
      <c r="AF79" s="31" t="inlineStr">
        <is>
          <t>Surface-blended Elo model; singles only, WTA+ATP market coverage, not yet locked-holdout qualified -- promoted by explicit operator directive, not genuine walk-forward validation.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Jessica Pegula</t>
        </is>
      </c>
      <c r="AQ79" s="24" t="inlineStr">
        <is>
          <t>Jessica Pegula</t>
        </is>
      </c>
      <c r="AR79" s="24" t="inlineStr">
        <is>
          <t>Jessica Pegula</t>
        </is>
      </c>
      <c r="AS79" s="24" t="inlineStr">
        <is>
          <t>Coco Gauff</t>
        </is>
      </c>
      <c r="AT79" s="24" t="inlineStr">
        <is>
          <t>Coco Gauff</t>
        </is>
      </c>
      <c r="AU79" s="24" t="inlineStr">
        <is>
          <t>Coco Gauff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d777da58446bc099047b154203518e2585ef1a678f613f2b430f2589f7bf5cff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d777da58446bc099047b154203518e2585ef1a678f613f2b430f2589f7bf5cff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d777da58446bc099047b154203518e2585ef1a678f613f2b430f2589f7bf5cff</t>
        </is>
      </c>
      <c r="BH79" s="24" t="inlineStr">
        <is>
          <t>2026-08-23T22:30:33.276344Z</t>
        </is>
      </c>
      <c r="BI79" s="24" t="inlineStr">
        <is>
          <t>["same_event","same_team_same_day","same_league_same_day"]</t>
        </is>
      </c>
      <c r="BJ79" s="25" t="n">
        <v>-2.5</v>
      </c>
      <c r="BK79" s="26" t="n">
        <v>-104</v>
      </c>
      <c r="BL79" s="27" t="n">
        <v>1.961538</v>
      </c>
      <c r="BM79" s="28" t="n">
        <v>0.509804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0.509804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4fce69a79c1749bf</t>
        </is>
      </c>
      <c r="B80" s="24" t="inlineStr">
        <is>
          <t>2026-08-23T22:31:14.888082Z</t>
        </is>
      </c>
      <c r="C80" s="24" t="inlineStr">
        <is>
          <t>2026-08-23T23:00Z</t>
        </is>
      </c>
      <c r="D80" s="24" t="inlineStr">
        <is>
          <t>718-2026:182424</t>
        </is>
      </c>
      <c r="E80" s="24" t="inlineStr">
        <is>
          <t>TENNIS</t>
        </is>
      </c>
      <c r="F80" s="24" t="inlineStr">
        <is>
          <t>Jessica Pegula</t>
        </is>
      </c>
      <c r="G80" s="24" t="inlineStr">
        <is>
          <t>Coco Gauff</t>
        </is>
      </c>
      <c r="H80" s="24" t="inlineStr">
        <is>
          <t>total</t>
        </is>
      </c>
      <c r="I80" s="24" t="inlineStr">
        <is>
          <t>over</t>
        </is>
      </c>
      <c r="J80" s="25" t="n">
        <v>22.5</v>
      </c>
      <c r="K80" s="24" t="inlineStr">
        <is>
          <t>polymarket_us</t>
        </is>
      </c>
      <c r="L80" s="26" t="n">
        <v>117</v>
      </c>
      <c r="M80" s="27" t="n">
        <v>2.17</v>
      </c>
      <c r="N80" s="28" t="n">
        <v>0.460829</v>
      </c>
      <c r="O80" s="28" t="n">
        <v>0.7605</v>
      </c>
      <c r="P80" s="28" t="n">
        <v>0.05</v>
      </c>
      <c r="Q80" s="28" t="n">
        <v>0.299671</v>
      </c>
      <c r="R80" s="26" t="n">
        <v>100</v>
      </c>
      <c r="S80" s="29" t="n">
        <v>2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6</v>
      </c>
      <c r="X80" s="26" t="n">
        <v>12</v>
      </c>
      <c r="Y80" s="25" t="n"/>
      <c r="Z80" s="26" t="n"/>
      <c r="AA80" s="28" t="n"/>
      <c r="AB80" s="28" t="n"/>
      <c r="AC80" s="30" t="n">
        <v>-2</v>
      </c>
      <c r="AD80" s="24" t="inlineStr">
        <is>
          <t>2026-08-24T04:13:35.276367Z</t>
        </is>
      </c>
      <c r="AE80" s="31" t="inlineStr">
        <is>
          <t>Markov Total Games: OVER 22.5 (Exp: 25.5 games) Executable ask 0.4600 (tsc-wta-cocgau-jespeg-2026-08-24-tg-22pt5).</t>
        </is>
      </c>
      <c r="AF80" s="31" t="inlineStr">
        <is>
          <t>Surface-blended Elo model; singles only, WTA+ATP market coverage, not yet locked-holdout qualified -- promoted by explicit operator directive, not genuine walk-forward validation.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Jessica Pegula</t>
        </is>
      </c>
      <c r="AQ80" s="24" t="inlineStr">
        <is>
          <t>Jessica Pegula</t>
        </is>
      </c>
      <c r="AR80" s="24" t="inlineStr">
        <is>
          <t>Jessica Pegula</t>
        </is>
      </c>
      <c r="AS80" s="24" t="inlineStr">
        <is>
          <t>Coco Gauff</t>
        </is>
      </c>
      <c r="AT80" s="24" t="inlineStr">
        <is>
          <t>Coco Gauff</t>
        </is>
      </c>
      <c r="AU80" s="24" t="inlineStr">
        <is>
          <t>Coco Gauff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d777da58446bc099047b154203518e2585ef1a678f613f2b430f2589f7bf5cff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d777da58446bc099047b154203518e2585ef1a678f613f2b430f2589f7bf5cff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d777da58446bc099047b154203518e2585ef1a678f613f2b430f2589f7bf5cff</t>
        </is>
      </c>
      <c r="BH80" s="24" t="inlineStr">
        <is>
          <t>2026-08-23T22:30:33.286897Z</t>
        </is>
      </c>
      <c r="BI80" s="24" t="inlineStr">
        <is>
          <t>["same_event","same_team_same_day","same_league_same_day"]</t>
        </is>
      </c>
      <c r="BJ80" s="25" t="n">
        <v>22.5</v>
      </c>
      <c r="BK80" s="26" t="n">
        <v>117</v>
      </c>
      <c r="BL80" s="27" t="n">
        <v>2.17</v>
      </c>
      <c r="BM80" s="28" t="n">
        <v>0.460829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0.460829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20c310a39eac47ea</t>
        </is>
      </c>
      <c r="B81" s="24" t="inlineStr">
        <is>
          <t>2026-08-23T22:31:14.888082Z</t>
        </is>
      </c>
      <c r="C81" s="24" t="inlineStr">
        <is>
          <t>2026-08-24T01:00Z</t>
        </is>
      </c>
      <c r="D81" s="24" t="inlineStr">
        <is>
          <t>341-2026:182510</t>
        </is>
      </c>
      <c r="E81" s="24" t="inlineStr">
        <is>
          <t>TENNIS</t>
        </is>
      </c>
      <c r="F81" s="24" t="inlineStr">
        <is>
          <t>Nikola Bartunkova</t>
        </is>
      </c>
      <c r="G81" s="24" t="inlineStr">
        <is>
          <t>Antonia Ruzic</t>
        </is>
      </c>
      <c r="H81" s="24" t="inlineStr">
        <is>
          <t>total</t>
        </is>
      </c>
      <c r="I81" s="24" t="inlineStr">
        <is>
          <t>over</t>
        </is>
      </c>
      <c r="J81" s="25" t="n">
        <v>21.5</v>
      </c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0.8159</v>
      </c>
      <c r="P81" s="28" t="n">
        <v>0.05</v>
      </c>
      <c r="Q81" s="28" t="n">
        <v>0.346416</v>
      </c>
      <c r="R81" s="26" t="n">
        <v>100</v>
      </c>
      <c r="S81" s="29" t="n">
        <v>2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12</v>
      </c>
      <c r="X81" s="26" t="n">
        <v>7</v>
      </c>
      <c r="Y81" s="25" t="n"/>
      <c r="Z81" s="26" t="n"/>
      <c r="AA81" s="28" t="n"/>
      <c r="AB81" s="28" t="n"/>
      <c r="AC81" s="30" t="n">
        <v>-2</v>
      </c>
      <c r="AD81" s="24" t="inlineStr">
        <is>
          <t>2026-08-24T04:59:25.188880Z</t>
        </is>
      </c>
      <c r="AE81" s="31" t="inlineStr">
        <is>
          <t>Markov Total Games: OVER 21.5 (Exp: 25.3 games) Executable ask 0.4700 (tsc-wta-antruz-nikbar-2026-08-23-tg-21pt5).</t>
        </is>
      </c>
      <c r="AF81" s="31" t="inlineStr">
        <is>
          <t>Surface-blended Elo model; singles only, WTA+ATP market coverage, not yet locked-holdout qualified -- promoted by explicit operator directive, not genuine walk-forward validation.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Nikola Bartunkova</t>
        </is>
      </c>
      <c r="AQ81" s="24" t="inlineStr">
        <is>
          <t>Nikola Bartunkova</t>
        </is>
      </c>
      <c r="AR81" s="24" t="inlineStr">
        <is>
          <t>Nikola Bartunkova</t>
        </is>
      </c>
      <c r="AS81" s="24" t="inlineStr">
        <is>
          <t>Antonia Ruzic</t>
        </is>
      </c>
      <c r="AT81" s="24" t="inlineStr">
        <is>
          <t>Antonia Ruzic</t>
        </is>
      </c>
      <c r="AU81" s="24" t="inlineStr">
        <is>
          <t>Antonia Ruzic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d777da58446bc099047b154203518e2585ef1a678f613f2b430f2589f7bf5cff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d777da58446bc099047b154203518e2585ef1a678f613f2b430f2589f7bf5cff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d777da58446bc099047b154203518e2585ef1a678f613f2b430f2589f7bf5cff</t>
        </is>
      </c>
      <c r="BH81" s="24" t="inlineStr">
        <is>
          <t>2026-08-23T22:30:33.370707Z</t>
        </is>
      </c>
      <c r="BI81" s="24" t="inlineStr">
        <is>
          <t>["same_event","same_team_same_day","same_league_same_day"]</t>
        </is>
      </c>
      <c r="BJ81" s="25" t="n">
        <v>21.5</v>
      </c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0.469484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a207b60efac84bfc</t>
        </is>
      </c>
      <c r="B82" s="24" t="inlineStr">
        <is>
          <t>2026-08-23T22:31:14.888082Z</t>
        </is>
      </c>
      <c r="C82" s="24" t="inlineStr">
        <is>
          <t>2026-08-24T01:00Z</t>
        </is>
      </c>
      <c r="D82" s="24" t="inlineStr">
        <is>
          <t>341-2026:182510</t>
        </is>
      </c>
      <c r="E82" s="24" t="inlineStr">
        <is>
          <t>TENNIS</t>
        </is>
      </c>
      <c r="F82" s="24" t="inlineStr">
        <is>
          <t>Nikola Bartunkova</t>
        </is>
      </c>
      <c r="G82" s="24" t="inlineStr">
        <is>
          <t>Antonia Ruzic</t>
        </is>
      </c>
      <c r="H82" s="24" t="inlineStr">
        <is>
          <t>spread</t>
        </is>
      </c>
      <c r="I82" s="24" t="inlineStr">
        <is>
          <t>home</t>
        </is>
      </c>
      <c r="J82" s="25" t="n">
        <v>-3.5</v>
      </c>
      <c r="K82" s="24" t="inlineStr">
        <is>
          <t>polymarket_us</t>
        </is>
      </c>
      <c r="L82" s="26" t="n">
        <v>122</v>
      </c>
      <c r="M82" s="27" t="n">
        <v>2.22</v>
      </c>
      <c r="N82" s="28" t="n">
        <v>0.45045</v>
      </c>
      <c r="O82" s="28" t="n">
        <v>0.7644</v>
      </c>
      <c r="P82" s="28" t="n">
        <v>0.05</v>
      </c>
      <c r="Q82" s="28" t="n">
        <v>0.31395</v>
      </c>
      <c r="R82" s="26" t="n">
        <v>100</v>
      </c>
      <c r="S82" s="29" t="n">
        <v>2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12</v>
      </c>
      <c r="X82" s="26" t="n">
        <v>7</v>
      </c>
      <c r="Y82" s="25" t="n"/>
      <c r="Z82" s="26" t="n"/>
      <c r="AA82" s="28" t="n"/>
      <c r="AB82" s="28" t="n"/>
      <c r="AC82" s="30" t="n">
        <v>-2</v>
      </c>
      <c r="AD82" s="24" t="inlineStr">
        <is>
          <t>2026-08-24T04:59:26.089051Z</t>
        </is>
      </c>
      <c r="AE82" s="31" t="inlineStr">
        <is>
          <t>Markov Game Handicap: Nikola Bartunkova +3.5 vs Antonia Ruzic Executable ask 0.4500 (asc-wta-antruz-nikbar-2026-08-23-gs-pos-3pt5).</t>
        </is>
      </c>
      <c r="AF82" s="31" t="inlineStr">
        <is>
          <t>Surface-blended Elo model; singles only, WTA+ATP market coverage, not yet locked-holdout qualified -- promoted by explicit operator directive, not genuine walk-forward validation.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Nikola Bartunkova</t>
        </is>
      </c>
      <c r="AQ82" s="24" t="inlineStr">
        <is>
          <t>Nikola Bartunkova</t>
        </is>
      </c>
      <c r="AR82" s="24" t="inlineStr">
        <is>
          <t>Nikola Bartunkova</t>
        </is>
      </c>
      <c r="AS82" s="24" t="inlineStr">
        <is>
          <t>Antonia Ruzic</t>
        </is>
      </c>
      <c r="AT82" s="24" t="inlineStr">
        <is>
          <t>Antonia Ruzic</t>
        </is>
      </c>
      <c r="AU82" s="24" t="inlineStr">
        <is>
          <t>Antonia Ruzic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d777da58446bc099047b154203518e2585ef1a678f613f2b430f2589f7bf5cff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d777da58446bc099047b154203518e2585ef1a678f613f2b430f2589f7bf5cff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d777da58446bc099047b154203518e2585ef1a678f613f2b430f2589f7bf5cff</t>
        </is>
      </c>
      <c r="BH82" s="24" t="inlineStr">
        <is>
          <t>2026-08-23T22:30:33.369445Z</t>
        </is>
      </c>
      <c r="BI82" s="24" t="inlineStr">
        <is>
          <t>["same_event","same_team_same_day","same_league_same_day"]</t>
        </is>
      </c>
      <c r="BJ82" s="25" t="n">
        <v>-3.5</v>
      </c>
      <c r="BK82" s="26" t="n">
        <v>122</v>
      </c>
      <c r="BL82" s="27" t="n">
        <v>2.22</v>
      </c>
      <c r="BM82" s="28" t="n">
        <v>0.45045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0.45045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a20a29bafb454873</t>
        </is>
      </c>
      <c r="B83" s="24" t="inlineStr">
        <is>
          <t>2026-08-23T22:31:14.888082Z</t>
        </is>
      </c>
      <c r="C83" s="24" t="inlineStr">
        <is>
          <t>2026-08-24T01:30Z</t>
        </is>
      </c>
      <c r="D83" s="24" t="inlineStr">
        <is>
          <t>341-2026:182487</t>
        </is>
      </c>
      <c r="E83" s="24" t="inlineStr">
        <is>
          <t>TENNIS</t>
        </is>
      </c>
      <c r="F83" s="24" t="inlineStr">
        <is>
          <t>Yuliia Starodubtseva</t>
        </is>
      </c>
      <c r="G83" s="24" t="inlineStr">
        <is>
          <t>Lilli Tagger</t>
        </is>
      </c>
      <c r="H83" s="24" t="inlineStr">
        <is>
          <t>spread</t>
        </is>
      </c>
      <c r="I83" s="24" t="inlineStr">
        <is>
          <t>away</t>
        </is>
      </c>
      <c r="J83" s="25" t="n">
        <v>-3.5</v>
      </c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0.7733</v>
      </c>
      <c r="P83" s="28" t="n">
        <v>0.05</v>
      </c>
      <c r="Q83" s="28" t="n">
        <v>0.2733</v>
      </c>
      <c r="R83" s="26" t="n">
        <v>100</v>
      </c>
      <c r="S83" s="29" t="n">
        <v>2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>
        <v>12</v>
      </c>
      <c r="X83" s="26" t="n">
        <v>7</v>
      </c>
      <c r="Y83" s="25" t="n"/>
      <c r="Z83" s="26" t="n"/>
      <c r="AA83" s="28" t="n"/>
      <c r="AB83" s="28" t="n"/>
      <c r="AC83" s="30" t="n">
        <v>2</v>
      </c>
      <c r="AD83" s="24" t="inlineStr">
        <is>
          <t>2026-08-24T04:41:46.595194Z</t>
        </is>
      </c>
      <c r="AE83" s="31" t="inlineStr">
        <is>
          <t>Markov Game Handicap: Yuliia Starodubtseva -3.5 vs Lilli Tagger Executable ask 0.5000 (asc-wta-liltag-yulsta-2026-08-23-gs-neg-3pt5).</t>
        </is>
      </c>
      <c r="AF83" s="31" t="inlineStr">
        <is>
          <t>Surface-blended Elo model; singles only, WTA+ATP market coverage, not yet locked-holdout qualified -- promoted by explicit operator directive, not genuine walk-forward validation.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Yuliia Starodubtseva</t>
        </is>
      </c>
      <c r="AQ83" s="24" t="inlineStr">
        <is>
          <t>Yuliia Starodubtseva</t>
        </is>
      </c>
      <c r="AR83" s="24" t="inlineStr">
        <is>
          <t>Yuliia Starodubtseva</t>
        </is>
      </c>
      <c r="AS83" s="24" t="inlineStr">
        <is>
          <t>Lilli Tagger</t>
        </is>
      </c>
      <c r="AT83" s="24" t="inlineStr">
        <is>
          <t>Lilli Tagger</t>
        </is>
      </c>
      <c r="AU83" s="24" t="inlineStr">
        <is>
          <t>Lilli Tagger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d777da58446bc099047b154203518e2585ef1a678f613f2b430f2589f7bf5cff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d777da58446bc099047b154203518e2585ef1a678f613f2b430f2589f7bf5cff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d777da58446bc099047b154203518e2585ef1a678f613f2b430f2589f7bf5cff</t>
        </is>
      </c>
      <c r="BH83" s="24" t="inlineStr">
        <is>
          <t>2026-08-23T22:30:33.443156Z</t>
        </is>
      </c>
      <c r="BI83" s="24" t="inlineStr">
        <is>
          <t>["same_event","same_team_same_day","same_league_same_day"]</t>
        </is>
      </c>
      <c r="BJ83" s="25" t="n">
        <v>-3.5</v>
      </c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d528f0024f174cf6</t>
        </is>
      </c>
      <c r="B84" s="24" t="inlineStr">
        <is>
          <t>2026-08-23T22:31:14.888082Z</t>
        </is>
      </c>
      <c r="C84" s="24" t="inlineStr">
        <is>
          <t>2026-08-24T01:30Z</t>
        </is>
      </c>
      <c r="D84" s="24" t="inlineStr">
        <is>
          <t>341-2026:182487</t>
        </is>
      </c>
      <c r="E84" s="24" t="inlineStr">
        <is>
          <t>TENNIS</t>
        </is>
      </c>
      <c r="F84" s="24" t="inlineStr">
        <is>
          <t>Yuliia Starodubtseva</t>
        </is>
      </c>
      <c r="G84" s="24" t="inlineStr">
        <is>
          <t>Lilli Tagger</t>
        </is>
      </c>
      <c r="H84" s="24" t="inlineStr">
        <is>
          <t>total</t>
        </is>
      </c>
      <c r="I84" s="24" t="inlineStr">
        <is>
          <t>over</t>
        </is>
      </c>
      <c r="J84" s="25" t="n">
        <v>22.5</v>
      </c>
      <c r="K84" s="24" t="inlineStr">
        <is>
          <t>polymarket_us</t>
        </is>
      </c>
      <c r="L84" s="26" t="n">
        <v>138</v>
      </c>
      <c r="M84" s="27" t="n">
        <v>2.38</v>
      </c>
      <c r="N84" s="28" t="n">
        <v>0.420168</v>
      </c>
      <c r="O84" s="28" t="n">
        <v>0.7563</v>
      </c>
      <c r="P84" s="28" t="n">
        <v>0.05</v>
      </c>
      <c r="Q84" s="28" t="n">
        <v>0.336132</v>
      </c>
      <c r="R84" s="26" t="n">
        <v>100</v>
      </c>
      <c r="S84" s="29" t="n">
        <v>2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loss</t>
        </is>
      </c>
      <c r="W84" s="26" t="n">
        <v>12</v>
      </c>
      <c r="X84" s="26" t="n">
        <v>7</v>
      </c>
      <c r="Y84" s="25" t="n"/>
      <c r="Z84" s="26" t="n"/>
      <c r="AA84" s="28" t="n"/>
      <c r="AB84" s="28" t="n"/>
      <c r="AC84" s="30" t="n">
        <v>-2</v>
      </c>
      <c r="AD84" s="24" t="inlineStr">
        <is>
          <t>2026-08-24T04:41:47.880893Z</t>
        </is>
      </c>
      <c r="AE84" s="31" t="inlineStr">
        <is>
          <t>Markov Total Games: OVER 22.5 (Exp: 25.4 games) Executable ask 0.4200 (tsc-wta-liltag-yulsta-2026-08-23-tg-22pt5).</t>
        </is>
      </c>
      <c r="AF84" s="31" t="inlineStr">
        <is>
          <t>Surface-blended Elo model; singles only, WTA+ATP market coverage, not yet locked-holdout qualified -- promoted by explicit operator directive, not genuine walk-forward validation.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Yuliia Starodubtseva</t>
        </is>
      </c>
      <c r="AQ84" s="24" t="inlineStr">
        <is>
          <t>Yuliia Starodubtseva</t>
        </is>
      </c>
      <c r="AR84" s="24" t="inlineStr">
        <is>
          <t>Yuliia Starodubtseva</t>
        </is>
      </c>
      <c r="AS84" s="24" t="inlineStr">
        <is>
          <t>Lilli Tagger</t>
        </is>
      </c>
      <c r="AT84" s="24" t="inlineStr">
        <is>
          <t>Lilli Tagger</t>
        </is>
      </c>
      <c r="AU84" s="24" t="inlineStr">
        <is>
          <t>Lilli Tagger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d777da58446bc099047b154203518e2585ef1a678f613f2b430f2589f7bf5cff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d777da58446bc099047b154203518e2585ef1a678f613f2b430f2589f7bf5cff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d777da58446bc099047b154203518e2585ef1a678f613f2b430f2589f7bf5cff</t>
        </is>
      </c>
      <c r="BH84" s="24" t="inlineStr">
        <is>
          <t>2026-08-23T22:30:33.484948Z</t>
        </is>
      </c>
      <c r="BI84" s="24" t="inlineStr">
        <is>
          <t>["same_event","same_team_same_day","same_league_same_day"]</t>
        </is>
      </c>
      <c r="BJ84" s="25" t="n">
        <v>22.5</v>
      </c>
      <c r="BK84" s="26" t="n">
        <v>138</v>
      </c>
      <c r="BL84" s="27" t="n">
        <v>2.38</v>
      </c>
      <c r="BM84" s="28" t="n">
        <v>0.420168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0.420168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b121d1c3960d41b7</t>
        </is>
      </c>
      <c r="B85" s="24" t="inlineStr">
        <is>
          <t>2026-08-23T22:31:14.888082Z</t>
        </is>
      </c>
      <c r="C85" s="24" t="inlineStr">
        <is>
          <t>2026-08-24T00:00Z</t>
        </is>
      </c>
      <c r="D85" s="24" t="inlineStr">
        <is>
          <t>363-2026:184484</t>
        </is>
      </c>
      <c r="E85" s="24" t="inlineStr">
        <is>
          <t>TENNIS</t>
        </is>
      </c>
      <c r="F85" s="24" t="inlineStr">
        <is>
          <t>Darwin Blanch</t>
        </is>
      </c>
      <c r="G85" s="24" t="inlineStr">
        <is>
          <t>Rinky Hijikata</t>
        </is>
      </c>
      <c r="H85" s="24" t="inlineStr">
        <is>
          <t>spread</t>
        </is>
      </c>
      <c r="I85" s="24" t="inlineStr">
        <is>
          <t>away</t>
        </is>
      </c>
      <c r="J85" s="25" t="n">
        <v>-2.5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0.6139</v>
      </c>
      <c r="P85" s="28" t="n">
        <v>0.05</v>
      </c>
      <c r="Q85" s="28" t="n">
        <v>0.153071</v>
      </c>
      <c r="R85" s="26" t="n">
        <v>97</v>
      </c>
      <c r="S85" s="29" t="n">
        <v>1.75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loss</t>
        </is>
      </c>
      <c r="W85" s="26" t="n">
        <v>10</v>
      </c>
      <c r="X85" s="26" t="n">
        <v>13</v>
      </c>
      <c r="Y85" s="25" t="n"/>
      <c r="Z85" s="26" t="n"/>
      <c r="AA85" s="28" t="n"/>
      <c r="AB85" s="28" t="n"/>
      <c r="AC85" s="30" t="n">
        <v>-1.75</v>
      </c>
      <c r="AD85" s="24" t="inlineStr">
        <is>
          <t>2026-08-24T04:13:43.064961Z</t>
        </is>
      </c>
      <c r="AE85" s="31" t="inlineStr">
        <is>
          <t>Markov Game Handicap: Darwin Blanch -2.5 vs Rinky Hijikata Executable ask 0.4600 (asc-atp-rinhij-darbla-2026-08-24-gs-neg-2pt5).</t>
        </is>
      </c>
      <c r="AF85" s="31" t="inlineStr">
        <is>
          <t>Surface-blended Elo model; singles only, WTA+ATP market coverage, not yet locked-holdout qualified -- promoted by explicit operator directive, not genuine walk-forward validation.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Darwin Blanch</t>
        </is>
      </c>
      <c r="AQ85" s="24" t="inlineStr">
        <is>
          <t>Darwin Blanch</t>
        </is>
      </c>
      <c r="AR85" s="24" t="inlineStr">
        <is>
          <t>Darwin Blanch</t>
        </is>
      </c>
      <c r="AS85" s="24" t="inlineStr">
        <is>
          <t>Rinky Hijikata</t>
        </is>
      </c>
      <c r="AT85" s="24" t="inlineStr">
        <is>
          <t>Rinky Hijikata</t>
        </is>
      </c>
      <c r="AU85" s="24" t="inlineStr">
        <is>
          <t>Rinky Hijikata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d777da58446bc099047b154203518e2585ef1a678f613f2b430f2589f7bf5cff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d777da58446bc099047b154203518e2585ef1a678f613f2b430f2589f7bf5cff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d777da58446bc099047b154203518e2585ef1a678f613f2b430f2589f7bf5cff</t>
        </is>
      </c>
      <c r="BH85" s="24" t="inlineStr">
        <is>
          <t>2026-08-23T22:30:33.743624Z</t>
        </is>
      </c>
      <c r="BI85" s="24" t="inlineStr">
        <is>
          <t>["same_event","same_team_same_day","same_league_same_day"]</t>
        </is>
      </c>
      <c r="BJ85" s="25" t="n">
        <v>-2.5</v>
      </c>
      <c r="BK85" s="26" t="n">
        <v>117</v>
      </c>
      <c r="BL85" s="27" t="n">
        <v>2.17</v>
      </c>
      <c r="BM85" s="28" t="n">
        <v>0.460829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0.460829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f718cd6bacfb4925</t>
        </is>
      </c>
      <c r="B86" s="24" t="inlineStr">
        <is>
          <t>2026-08-23T22:31:14.888082Z</t>
        </is>
      </c>
      <c r="C86" s="24" t="inlineStr">
        <is>
          <t>2026-08-24T00:00Z</t>
        </is>
      </c>
      <c r="D86" s="24" t="inlineStr">
        <is>
          <t>363-2026:184484</t>
        </is>
      </c>
      <c r="E86" s="24" t="inlineStr">
        <is>
          <t>TENNIS</t>
        </is>
      </c>
      <c r="F86" s="24" t="inlineStr">
        <is>
          <t>Darwin Blanch</t>
        </is>
      </c>
      <c r="G86" s="24" t="inlineStr">
        <is>
          <t>Rinky Hijikata</t>
        </is>
      </c>
      <c r="H86" s="24" t="inlineStr">
        <is>
          <t>total</t>
        </is>
      </c>
      <c r="I86" s="24" t="inlineStr">
        <is>
          <t>over</t>
        </is>
      </c>
      <c r="J86" s="25" t="n">
        <v>23.5</v>
      </c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0.45045</v>
      </c>
      <c r="O86" s="28" t="n">
        <v>0.588</v>
      </c>
      <c r="P86" s="28" t="n">
        <v>0.05</v>
      </c>
      <c r="Q86" s="28" t="n">
        <v>0.13755</v>
      </c>
      <c r="R86" s="26" t="n">
        <v>89</v>
      </c>
      <c r="S86" s="29" t="n">
        <v>1.5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10</v>
      </c>
      <c r="X86" s="26" t="n">
        <v>13</v>
      </c>
      <c r="Y86" s="25" t="n"/>
      <c r="Z86" s="26" t="n"/>
      <c r="AA86" s="28" t="n"/>
      <c r="AB86" s="28" t="n"/>
      <c r="AC86" s="30" t="n">
        <v>-1.5</v>
      </c>
      <c r="AD86" s="24" t="inlineStr">
        <is>
          <t>2026-08-24T04:13:51.061349Z</t>
        </is>
      </c>
      <c r="AE86" s="31" t="inlineStr">
        <is>
          <t>Markov Total Games: OVER 23.5 (Exp: 24.4 games) Executable ask 0.4500 (tsc-atp-rinhij-darbla-2026-08-24-tg-23pt5).</t>
        </is>
      </c>
      <c r="AF86" s="31" t="inlineStr">
        <is>
          <t>Surface-blended Elo model; singles only, WTA+ATP market coverage, not yet locked-holdout qualified -- promoted by explicit operator directive, not genuine walk-forward validation.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Darwin Blanch</t>
        </is>
      </c>
      <c r="AQ86" s="24" t="inlineStr">
        <is>
          <t>Darwin Blanch</t>
        </is>
      </c>
      <c r="AR86" s="24" t="inlineStr">
        <is>
          <t>Darwin Blanch</t>
        </is>
      </c>
      <c r="AS86" s="24" t="inlineStr">
        <is>
          <t>Rinky Hijikata</t>
        </is>
      </c>
      <c r="AT86" s="24" t="inlineStr">
        <is>
          <t>Rinky Hijikata</t>
        </is>
      </c>
      <c r="AU86" s="24" t="inlineStr">
        <is>
          <t>Rinky Hijikata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d777da58446bc099047b154203518e2585ef1a678f613f2b430f2589f7bf5cff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d777da58446bc099047b154203518e2585ef1a678f613f2b430f2589f7bf5cff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d777da58446bc099047b154203518e2585ef1a678f613f2b430f2589f7bf5cff</t>
        </is>
      </c>
      <c r="BH86" s="24" t="inlineStr">
        <is>
          <t>2026-08-23T22:30:33.763788Z</t>
        </is>
      </c>
      <c r="BI86" s="24" t="inlineStr">
        <is>
          <t>["same_event","same_team_same_day","same_league_same_day"]</t>
        </is>
      </c>
      <c r="BJ86" s="25" t="n">
        <v>23.5</v>
      </c>
      <c r="BK86" s="26" t="n">
        <v>122</v>
      </c>
      <c r="BL86" s="27" t="n">
        <v>2.22</v>
      </c>
      <c r="BM86" s="28" t="n">
        <v>0.45045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0.45045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86c152c5eafd41cf</t>
        </is>
      </c>
      <c r="B87" s="24" t="inlineStr">
        <is>
          <t>2026-08-24T01:37:44.499467Z</t>
        </is>
      </c>
      <c r="C87" s="24" t="inlineStr">
        <is>
          <t>2026-08-24T03:00Z</t>
        </is>
      </c>
      <c r="D87" s="24" t="inlineStr">
        <is>
          <t>341-2026:182490</t>
        </is>
      </c>
      <c r="E87" s="24" t="inlineStr">
        <is>
          <t>TENNIS</t>
        </is>
      </c>
      <c r="F87" s="24" t="inlineStr">
        <is>
          <t>Oleksandra Oliynykova</t>
        </is>
      </c>
      <c r="G87" s="24" t="inlineStr">
        <is>
          <t>Mayar Sherif</t>
        </is>
      </c>
      <c r="H87" s="24" t="inlineStr">
        <is>
          <t>spread</t>
        </is>
      </c>
      <c r="I87" s="24" t="inlineStr">
        <is>
          <t>home</t>
        </is>
      </c>
      <c r="J87" s="25" t="n">
        <v>-1.5</v>
      </c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0.6745</v>
      </c>
      <c r="P87" s="28" t="n">
        <v>0.05</v>
      </c>
      <c r="Q87" s="28" t="n">
        <v>0.115029</v>
      </c>
      <c r="R87" s="26" t="n">
        <v>78</v>
      </c>
      <c r="S87" s="29" t="n">
        <v>1.5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12</v>
      </c>
      <c r="X87" s="26" t="n">
        <v>7</v>
      </c>
      <c r="Y87" s="25" t="n"/>
      <c r="Z87" s="26" t="n"/>
      <c r="AA87" s="28" t="n"/>
      <c r="AB87" s="28" t="n"/>
      <c r="AC87" s="30" t="n">
        <v>-1.5</v>
      </c>
      <c r="AD87" s="24" t="inlineStr">
        <is>
          <t>2026-08-24T08:41:42.240147Z</t>
        </is>
      </c>
      <c r="AE87" s="31" t="inlineStr">
        <is>
          <t>Markov Game Handicap: Oleksandra Oliynykova +1.5 vs Mayar Sherif Executable ask 0.5600 (asc-wta-mayshe-oleoli-2026-08-23-gs-pos-1pt5).</t>
        </is>
      </c>
      <c r="AF87" s="31" t="inlineStr">
        <is>
          <t>Surface-blended Elo model; singles only, WTA+ATP market coverage, not yet locked-holdout qualified -- promoted by explicit operator directive, not genuine walk-forward validation.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Oleksandra Oliynykova</t>
        </is>
      </c>
      <c r="AQ87" s="24" t="inlineStr">
        <is>
          <t>Oleksandra Oliynykova</t>
        </is>
      </c>
      <c r="AR87" s="24" t="inlineStr">
        <is>
          <t>Oleksandra Oliynykova</t>
        </is>
      </c>
      <c r="AS87" s="24" t="inlineStr">
        <is>
          <t>Mayar Sherif</t>
        </is>
      </c>
      <c r="AT87" s="24" t="inlineStr">
        <is>
          <t>Mayar Sherif</t>
        </is>
      </c>
      <c r="AU87" s="24" t="inlineStr">
        <is>
          <t>Mayar Sherif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d777da58446bc099047b154203518e2585ef1a678f613f2b430f2589f7bf5cff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d777da58446bc099047b154203518e2585ef1a678f613f2b430f2589f7bf5cff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d777da58446bc099047b154203518e2585ef1a678f613f2b430f2589f7bf5cff</t>
        </is>
      </c>
      <c r="BH87" s="24" t="inlineStr">
        <is>
          <t>2026-08-24T01:37:25.992769Z</t>
        </is>
      </c>
      <c r="BI87" s="24" t="inlineStr">
        <is>
          <t>["same_event","same_team_same_day","same_league_same_day"]</t>
        </is>
      </c>
      <c r="BJ87" s="25" t="n">
        <v>-1.5</v>
      </c>
      <c r="BK87" s="26" t="n">
        <v>-127</v>
      </c>
      <c r="BL87" s="27" t="n">
        <v>1.787402</v>
      </c>
      <c r="BM87" s="28" t="n">
        <v>0.5594710000000001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0.559471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81713eb68c4b4e71</t>
        </is>
      </c>
      <c r="B88" s="24" t="inlineStr">
        <is>
          <t>2026-08-24T01:37:44.499467Z</t>
        </is>
      </c>
      <c r="C88" s="24" t="inlineStr">
        <is>
          <t>2026-08-24T03:00Z</t>
        </is>
      </c>
      <c r="D88" s="24" t="inlineStr">
        <is>
          <t>341-2026:182490</t>
        </is>
      </c>
      <c r="E88" s="24" t="inlineStr">
        <is>
          <t>TENNIS</t>
        </is>
      </c>
      <c r="F88" s="24" t="inlineStr">
        <is>
          <t>Oleksandra Oliynykova</t>
        </is>
      </c>
      <c r="G88" s="24" t="inlineStr">
        <is>
          <t>Mayar Sherif</t>
        </is>
      </c>
      <c r="H88" s="24" t="inlineStr">
        <is>
          <t>total</t>
        </is>
      </c>
      <c r="I88" s="24" t="inlineStr">
        <is>
          <t>over</t>
        </is>
      </c>
      <c r="J88" s="25" t="n">
        <v>22.5</v>
      </c>
      <c r="K88" s="24" t="inlineStr">
        <is>
          <t>polymarket_us</t>
        </is>
      </c>
      <c r="L88" s="26" t="n">
        <v>127</v>
      </c>
      <c r="M88" s="27" t="n">
        <v>2.27</v>
      </c>
      <c r="N88" s="28" t="n">
        <v>0.440529</v>
      </c>
      <c r="O88" s="28" t="n">
        <v>0.7726</v>
      </c>
      <c r="P88" s="28" t="n">
        <v>0.05</v>
      </c>
      <c r="Q88" s="28" t="n">
        <v>0.332071</v>
      </c>
      <c r="R88" s="26" t="n">
        <v>100</v>
      </c>
      <c r="S88" s="29" t="n">
        <v>2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loss</t>
        </is>
      </c>
      <c r="W88" s="26" t="n">
        <v>12</v>
      </c>
      <c r="X88" s="26" t="n">
        <v>7</v>
      </c>
      <c r="Y88" s="25" t="n"/>
      <c r="Z88" s="26" t="n"/>
      <c r="AA88" s="28" t="n"/>
      <c r="AB88" s="28" t="n"/>
      <c r="AC88" s="30" t="n">
        <v>-2</v>
      </c>
      <c r="AD88" s="24" t="inlineStr">
        <is>
          <t>2026-08-24T08:41:42.655792Z</t>
        </is>
      </c>
      <c r="AE88" s="31" t="inlineStr">
        <is>
          <t>Markov Total Games: OVER 22.5 (Exp: 25.6 games) Executable ask 0.4400 (tsc-wta-mayshe-oleoli-2026-08-23-tg-22pt5).</t>
        </is>
      </c>
      <c r="AF88" s="31" t="inlineStr">
        <is>
          <t>Surface-blended Elo model; singles only, WTA+ATP market coverage, not yet locked-holdout qualified -- promoted by explicit operator directive, not genuine walk-forward validation.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Oleksandra Oliynykova</t>
        </is>
      </c>
      <c r="AQ88" s="24" t="inlineStr">
        <is>
          <t>Oleksandra Oliynykova</t>
        </is>
      </c>
      <c r="AR88" s="24" t="inlineStr">
        <is>
          <t>Oleksandra Oliynykova</t>
        </is>
      </c>
      <c r="AS88" s="24" t="inlineStr">
        <is>
          <t>Mayar Sherif</t>
        </is>
      </c>
      <c r="AT88" s="24" t="inlineStr">
        <is>
          <t>Mayar Sherif</t>
        </is>
      </c>
      <c r="AU88" s="24" t="inlineStr">
        <is>
          <t>Mayar Sherif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d777da58446bc099047b154203518e2585ef1a678f613f2b430f2589f7bf5cff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d777da58446bc099047b154203518e2585ef1a678f613f2b430f2589f7bf5cff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d777da58446bc099047b154203518e2585ef1a678f613f2b430f2589f7bf5cff</t>
        </is>
      </c>
      <c r="BH88" s="24" t="inlineStr">
        <is>
          <t>2026-08-24T01:37:26.011364Z</t>
        </is>
      </c>
      <c r="BI88" s="24" t="inlineStr">
        <is>
          <t>["same_event","same_team_same_day","same_league_same_day"]</t>
        </is>
      </c>
      <c r="BJ88" s="25" t="n">
        <v>22.5</v>
      </c>
      <c r="BK88" s="26" t="n">
        <v>127</v>
      </c>
      <c r="BL88" s="27" t="n">
        <v>2.27</v>
      </c>
      <c r="BM88" s="28" t="n">
        <v>0.440529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0.440529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f19c204df90a479f</t>
        </is>
      </c>
      <c r="B89" s="24" t="inlineStr">
        <is>
          <t>2026-08-24T15:00:21.020915Z</t>
        </is>
      </c>
      <c r="C89" s="24" t="inlineStr">
        <is>
          <t>2026-08-24T15:05Z</t>
        </is>
      </c>
      <c r="D89" s="24" t="inlineStr">
        <is>
          <t>1075-2026:182125</t>
        </is>
      </c>
      <c r="E89" s="24" t="inlineStr">
        <is>
          <t>TENNIS</t>
        </is>
      </c>
      <c r="F89" s="24" t="inlineStr">
        <is>
          <t>Julia Grabher</t>
        </is>
      </c>
      <c r="G89" s="24" t="inlineStr">
        <is>
          <t>Veronika Erjavec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122</v>
      </c>
      <c r="M89" s="27" t="n">
        <v>2.22</v>
      </c>
      <c r="N89" s="28" t="n">
        <v>0.45045</v>
      </c>
      <c r="O89" s="28" t="n">
        <v>0.584</v>
      </c>
      <c r="P89" s="28" t="n">
        <v>0.05</v>
      </c>
      <c r="Q89" s="28" t="n">
        <v>0.13355</v>
      </c>
      <c r="R89" s="26" t="n">
        <v>87</v>
      </c>
      <c r="S89" s="29" t="n">
        <v>1.5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127</v>
      </c>
      <c r="AA89" s="28" t="n">
        <v>0.44</v>
      </c>
      <c r="AB89" s="28" t="n">
        <v>-0.01045</v>
      </c>
      <c r="AC89" s="30" t="n">
        <v>-1.5</v>
      </c>
      <c r="AD89" s="24" t="inlineStr">
        <is>
          <t>2026-08-24T18:06:21.623786Z</t>
        </is>
      </c>
      <c r="AE89" s="31" t="inlineStr">
        <is>
          <t>Surface-blended Elo on Hard: Julia Grabher p=0.416 vs Veronika Erjavec. Executable ask 0.4500 (aec-wta-vererj-julgra-2026-08-23).</t>
        </is>
      </c>
      <c r="AF89" s="31" t="inlineStr">
        <is>
          <t>Surface-blended Elo model; singles only, WTA+ATP market coverage, not yet locked-holdout qualified -- promoted by explicit operator directive, not genuine walk-forward validation.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Julia Grabher</t>
        </is>
      </c>
      <c r="AQ89" s="24" t="inlineStr">
        <is>
          <t>Julia Grabher</t>
        </is>
      </c>
      <c r="AR89" s="24" t="inlineStr">
        <is>
          <t>Julia Grabher</t>
        </is>
      </c>
      <c r="AS89" s="24" t="inlineStr">
        <is>
          <t>Veronika Erjavec</t>
        </is>
      </c>
      <c r="AT89" s="24" t="inlineStr">
        <is>
          <t>Veronika Erjavec</t>
        </is>
      </c>
      <c r="AU89" s="24" t="inlineStr">
        <is>
          <t>Veronika Erjavec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d777da58446bc099047b154203518e2585ef1a678f613f2b430f2589f7bf5cff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d777da58446bc099047b154203518e2585ef1a678f613f2b430f2589f7bf5cff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d777da58446bc099047b154203518e2585ef1a678f613f2b430f2589f7bf5cff</t>
        </is>
      </c>
      <c r="BH89" s="24" t="inlineStr">
        <is>
          <t>2026-08-24T11:51:07.255086Z</t>
        </is>
      </c>
      <c r="BI89" s="24" t="inlineStr">
        <is>
          <t>["same_event","same_team_same_day","same_league_same_day"]</t>
        </is>
      </c>
      <c r="BJ89" s="25" t="n"/>
      <c r="BK89" s="26" t="n">
        <v>122</v>
      </c>
      <c r="BL89" s="27" t="n">
        <v>2.22</v>
      </c>
      <c r="BM89" s="28" t="n">
        <v>0.45045</v>
      </c>
      <c r="BN89" s="28" t="n"/>
      <c r="BO89" s="28" t="n"/>
      <c r="BP89" s="25" t="n"/>
      <c r="BQ89" s="27" t="n">
        <v>2.27</v>
      </c>
      <c r="BR89" s="28" t="n">
        <v>0.44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inlineStr">
        <is>
          <t>03888b3213e09b075f337f708e64d94571d89f5d38ab9cdf6eb6fe1a8e352de6</t>
        </is>
      </c>
      <c r="DE89" s="24" t="inlineStr">
        <is>
          <t>/Users/vincentc9002/model-prediction/data/odds/tennis/2026-08-24/polymarket_snapshots.jsonl</t>
        </is>
      </c>
      <c r="DF89" s="24" t="inlineStr">
        <is>
          <t>498527:2026-08-24T11:51:07.255086Z</t>
        </is>
      </c>
      <c r="DG89" s="24" t="n"/>
      <c r="DH89" s="24" t="n"/>
      <c r="DI89" s="24" t="n"/>
      <c r="DJ89" s="24" t="inlineStr">
        <is>
          <t>0.45045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723d353379f24e79</t>
        </is>
      </c>
      <c r="B90" s="24" t="inlineStr">
        <is>
          <t>2026-08-24T15:00:21.020915Z</t>
        </is>
      </c>
      <c r="C90" s="24" t="inlineStr">
        <is>
          <t>2026-08-24T15:05Z</t>
        </is>
      </c>
      <c r="D90" s="24" t="inlineStr">
        <is>
          <t>189-2026:184695</t>
        </is>
      </c>
      <c r="E90" s="24" t="inlineStr">
        <is>
          <t>TENNIS</t>
        </is>
      </c>
      <c r="F90" s="24" t="inlineStr">
        <is>
          <t>Aliona Falei</t>
        </is>
      </c>
      <c r="G90" s="24" t="inlineStr">
        <is>
          <t>Elena Pridankina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100</v>
      </c>
      <c r="M90" s="27" t="n">
        <v>2</v>
      </c>
      <c r="N90" s="28" t="n">
        <v>0.5</v>
      </c>
      <c r="O90" s="28" t="n">
        <v>0.6317</v>
      </c>
      <c r="P90" s="28" t="n">
        <v>0.05</v>
      </c>
      <c r="Q90" s="28" t="n">
        <v>0.1317</v>
      </c>
      <c r="R90" s="26" t="n">
        <v>86</v>
      </c>
      <c r="S90" s="29" t="n">
        <v>1.5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100</v>
      </c>
      <c r="AA90" s="28" t="n">
        <v>0.5</v>
      </c>
      <c r="AB90" s="28" t="n">
        <v>0</v>
      </c>
      <c r="AC90" s="30" t="n">
        <v>1.5</v>
      </c>
      <c r="AD90" s="24" t="inlineStr">
        <is>
          <t>2026-08-24T16:59:31.051507Z</t>
        </is>
      </c>
      <c r="AE90" s="31" t="inlineStr">
        <is>
          <t>Surface-blended Elo on Hard: Aliona Falei p=0.368 vs Elena Pridankina. Executable ask 0.5000 (aec-wta-elepri-alifal-2026-08-24).</t>
        </is>
      </c>
      <c r="AF90" s="31" t="inlineStr">
        <is>
          <t>Surface-blended Elo model; singles only, WTA+ATP market coverage, not yet locked-holdout qualified -- promoted by explicit operator directive, not genuine walk-forward validation.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Aliona Falei</t>
        </is>
      </c>
      <c r="AQ90" s="24" t="inlineStr">
        <is>
          <t>Aliona Falei</t>
        </is>
      </c>
      <c r="AR90" s="24" t="inlineStr">
        <is>
          <t>Aliona Falei</t>
        </is>
      </c>
      <c r="AS90" s="24" t="inlineStr">
        <is>
          <t>Elena Pridankina</t>
        </is>
      </c>
      <c r="AT90" s="24" t="inlineStr">
        <is>
          <t>Elena Pridankina</t>
        </is>
      </c>
      <c r="AU90" s="24" t="inlineStr">
        <is>
          <t>Elena Pridankina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d777da58446bc099047b154203518e2585ef1a678f613f2b430f2589f7bf5cff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d777da58446bc099047b154203518e2585ef1a678f613f2b430f2589f7bf5cff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d777da58446bc099047b154203518e2585ef1a678f613f2b430f2589f7bf5cff</t>
        </is>
      </c>
      <c r="BH90" s="24" t="inlineStr">
        <is>
          <t>2026-08-24T14:59:18.874680Z</t>
        </is>
      </c>
      <c r="BI90" s="24" t="inlineStr">
        <is>
          <t>["same_event","same_team_same_day","same_league_same_day"]</t>
        </is>
      </c>
      <c r="BJ90" s="25" t="n"/>
      <c r="BK90" s="26" t="n">
        <v>100</v>
      </c>
      <c r="BL90" s="27" t="n">
        <v>2</v>
      </c>
      <c r="BM90" s="28" t="n">
        <v>0.5</v>
      </c>
      <c r="BN90" s="28" t="n"/>
      <c r="BO90" s="28" t="n"/>
      <c r="BP90" s="25" t="n"/>
      <c r="BQ90" s="27" t="n">
        <v>2</v>
      </c>
      <c r="BR90" s="28" t="n">
        <v>0.5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inlineStr">
        <is>
          <t>e9767d9e7fdc7aa12a0c0d7e664f86aef9976ae4da169e311f8044b39fbcc418</t>
        </is>
      </c>
      <c r="DE90" s="24" t="inlineStr">
        <is>
          <t>/Users/vincentc9002/model-prediction/data/odds/tennis/2026-08-24/polymarket_snapshots.jsonl</t>
        </is>
      </c>
      <c r="DF90" s="24" t="inlineStr">
        <is>
          <t>505983:2026-08-24T14:59:18.874680Z</t>
        </is>
      </c>
      <c r="DG90" s="24" t="n"/>
      <c r="DH90" s="24" t="n"/>
      <c r="DI90" s="24" t="n"/>
      <c r="DJ90" s="24" t="inlineStr">
        <is>
          <t>0.5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0df36abd6f47416e</t>
        </is>
      </c>
      <c r="B91" s="24" t="inlineStr">
        <is>
          <t>2026-08-24T15:00:21.020915Z</t>
        </is>
      </c>
      <c r="C91" s="24" t="inlineStr">
        <is>
          <t>2026-08-24T15:05Z</t>
        </is>
      </c>
      <c r="D91" s="24" t="inlineStr">
        <is>
          <t>189-2026:184728</t>
        </is>
      </c>
      <c r="E91" s="24" t="inlineStr">
        <is>
          <t>TENNIS</t>
        </is>
      </c>
      <c r="F91" s="24" t="inlineStr">
        <is>
          <t>Mariam Bolkvadze</t>
        </is>
      </c>
      <c r="G91" s="24" t="inlineStr">
        <is>
          <t>Erika Andreeva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203</v>
      </c>
      <c r="M91" s="27" t="n">
        <v>3.03</v>
      </c>
      <c r="N91" s="28" t="n">
        <v>0.330033</v>
      </c>
      <c r="O91" s="28" t="n">
        <v>0.5849</v>
      </c>
      <c r="P91" s="28" t="n">
        <v>0.05</v>
      </c>
      <c r="Q91" s="28" t="n">
        <v>0.254867</v>
      </c>
      <c r="R91" s="26" t="n">
        <v>100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203</v>
      </c>
      <c r="AA91" s="28" t="n">
        <v>0.33</v>
      </c>
      <c r="AB91" s="28" t="n">
        <v>-3.3e-05</v>
      </c>
      <c r="AC91" s="30" t="n">
        <v>4.06</v>
      </c>
      <c r="AD91" s="24" t="inlineStr">
        <is>
          <t>2026-08-24T18:06:22.655953Z</t>
        </is>
      </c>
      <c r="AE91" s="31" t="inlineStr">
        <is>
          <t>Surface-blended Elo on Hard: Mariam Bolkvadze p=0.585 vs Erika Andreeva. Executable ask 0.3300 (aec-wta-eriand-marbol-2026-08-24).</t>
        </is>
      </c>
      <c r="AF91" s="31" t="inlineStr">
        <is>
          <t>Surface-blended Elo model; singles only, WTA+ATP market coverage, not yet locked-holdout qualified -- promoted by explicit operator directive, not genuine walk-forward validation.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Mariam Bolkvadze</t>
        </is>
      </c>
      <c r="AQ91" s="24" t="inlineStr">
        <is>
          <t>Mariam Bolkvadze</t>
        </is>
      </c>
      <c r="AR91" s="24" t="inlineStr">
        <is>
          <t>Mariam Bolkvadze</t>
        </is>
      </c>
      <c r="AS91" s="24" t="inlineStr">
        <is>
          <t>Erika Andreeva</t>
        </is>
      </c>
      <c r="AT91" s="24" t="inlineStr">
        <is>
          <t>Erika Andreeva</t>
        </is>
      </c>
      <c r="AU91" s="24" t="inlineStr">
        <is>
          <t>Erika Andreeva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d777da58446bc099047b154203518e2585ef1a678f613f2b430f2589f7bf5cff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d777da58446bc099047b154203518e2585ef1a678f613f2b430f2589f7bf5cff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d777da58446bc099047b154203518e2585ef1a678f613f2b430f2589f7bf5cff</t>
        </is>
      </c>
      <c r="BH91" s="24" t="inlineStr">
        <is>
          <t>2026-08-24T14:59:18.917143Z</t>
        </is>
      </c>
      <c r="BI91" s="24" t="inlineStr">
        <is>
          <t>["same_event","same_team_same_day","same_league_same_day"]</t>
        </is>
      </c>
      <c r="BJ91" s="25" t="n"/>
      <c r="BK91" s="26" t="n">
        <v>203</v>
      </c>
      <c r="BL91" s="27" t="n">
        <v>3.03</v>
      </c>
      <c r="BM91" s="28" t="n">
        <v>0.330033</v>
      </c>
      <c r="BN91" s="28" t="n"/>
      <c r="BO91" s="28" t="n"/>
      <c r="BP91" s="25" t="n"/>
      <c r="BQ91" s="27" t="n">
        <v>3.03</v>
      </c>
      <c r="BR91" s="28" t="n">
        <v>0.33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inlineStr">
        <is>
          <t>342987b56aab087b91e23d421d174ecd8a10acfbe78c06528373f2f2596e2f19</t>
        </is>
      </c>
      <c r="DE91" s="24" t="inlineStr">
        <is>
          <t>/Users/vincentc9002/model-prediction/data/odds/tennis/2026-08-24/polymarket_snapshots.jsonl</t>
        </is>
      </c>
      <c r="DF91" s="24" t="inlineStr">
        <is>
          <t>505986:2026-08-24T14:59:18.917143Z</t>
        </is>
      </c>
      <c r="DG91" s="24" t="n"/>
      <c r="DH91" s="24" t="n"/>
      <c r="DI91" s="24" t="n"/>
      <c r="DJ91" s="24" t="inlineStr">
        <is>
          <t>0.330033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6ca83bde85884f1a</t>
        </is>
      </c>
      <c r="B92" s="24" t="inlineStr">
        <is>
          <t>2026-08-24T16:28:07.904064Z</t>
        </is>
      </c>
      <c r="C92" s="24" t="inlineStr">
        <is>
          <t>2026-08-24T16:30Z</t>
        </is>
      </c>
      <c r="D92" s="24" t="inlineStr">
        <is>
          <t>1075-2026:182128</t>
        </is>
      </c>
      <c r="E92" s="24" t="inlineStr">
        <is>
          <t>TENNIS</t>
        </is>
      </c>
      <c r="F92" s="24" t="inlineStr">
        <is>
          <t>Taylah Preston</t>
        </is>
      </c>
      <c r="G92" s="24" t="inlineStr">
        <is>
          <t>Oksana Selekhmeteva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150</v>
      </c>
      <c r="M92" s="27" t="n">
        <v>2.5</v>
      </c>
      <c r="N92" s="28" t="n">
        <v>0.4</v>
      </c>
      <c r="O92" s="28" t="n">
        <v>0.6005</v>
      </c>
      <c r="P92" s="28" t="n">
        <v>0.05</v>
      </c>
      <c r="Q92" s="28" t="n">
        <v>0.2005</v>
      </c>
      <c r="R92" s="26" t="n">
        <v>100</v>
      </c>
      <c r="S92" s="29" t="n">
        <v>2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163</v>
      </c>
      <c r="AA92" s="28" t="n">
        <v>0.38</v>
      </c>
      <c r="AB92" s="28" t="n">
        <v>-0.02</v>
      </c>
      <c r="AC92" s="30" t="n">
        <v>3</v>
      </c>
      <c r="AD92" s="24" t="inlineStr">
        <is>
          <t>2026-08-24T20:36:24.433956Z</t>
        </is>
      </c>
      <c r="AE92" s="31" t="inlineStr">
        <is>
          <t>Surface-blended Elo on Hard: Taylah Preston p=0.399 vs Oksana Selekhmeteva. Executable ask 0.4000 (aec-wta-okssel-taypre-2026-08-24).</t>
        </is>
      </c>
      <c r="AF92" s="31" t="inlineStr">
        <is>
          <t>Surface-blended Elo model; singles only, WTA+ATP market coverage, not yet locked-holdout qualified -- promoted by explicit operator directive, not genuine walk-forward validation.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Taylah Preston</t>
        </is>
      </c>
      <c r="AQ92" s="24" t="inlineStr">
        <is>
          <t>Taylah Preston</t>
        </is>
      </c>
      <c r="AR92" s="24" t="inlineStr">
        <is>
          <t>Taylah Preston</t>
        </is>
      </c>
      <c r="AS92" s="24" t="inlineStr">
        <is>
          <t>Oksana Selekhmeteva</t>
        </is>
      </c>
      <c r="AT92" s="24" t="inlineStr">
        <is>
          <t>Oksana Selekhmeteva</t>
        </is>
      </c>
      <c r="AU92" s="24" t="inlineStr">
        <is>
          <t>Oksana Selekhmeteva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d777da58446bc099047b154203518e2585ef1a678f613f2b430f2589f7bf5cff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d777da58446bc099047b154203518e2585ef1a678f613f2b430f2589f7bf5cff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d777da58446bc099047b154203518e2585ef1a678f613f2b430f2589f7bf5cff</t>
        </is>
      </c>
      <c r="BH92" s="24" t="inlineStr">
        <is>
          <t>2026-08-24T14:59:18.929942Z</t>
        </is>
      </c>
      <c r="BI92" s="24" t="inlineStr">
        <is>
          <t>["same_event","same_team_same_day","same_league_same_day"]</t>
        </is>
      </c>
      <c r="BJ92" s="25" t="n"/>
      <c r="BK92" s="26" t="n">
        <v>150</v>
      </c>
      <c r="BL92" s="27" t="n">
        <v>2.5</v>
      </c>
      <c r="BM92" s="28" t="n">
        <v>0.4</v>
      </c>
      <c r="BN92" s="28" t="n"/>
      <c r="BO92" s="28" t="n"/>
      <c r="BP92" s="25" t="n"/>
      <c r="BQ92" s="27" t="n">
        <v>2.63</v>
      </c>
      <c r="BR92" s="28" t="n">
        <v>0.38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inlineStr">
        <is>
          <t>64843459bafa1736b5fad04d7ae2655a45c407bd814f59dd71881a8b2b503b61</t>
        </is>
      </c>
      <c r="DE92" s="24" t="inlineStr">
        <is>
          <t>/Users/vincentc9002/model-prediction/data/odds/tennis/2026-08-24/polymarket_snapshots.jsonl</t>
        </is>
      </c>
      <c r="DF92" s="24" t="inlineStr">
        <is>
          <t>505221:2026-08-24T14:59:18.929942Z</t>
        </is>
      </c>
      <c r="DG92" s="24" t="n"/>
      <c r="DH92" s="24" t="n"/>
      <c r="DI92" s="24" t="n"/>
      <c r="DJ92" s="24" t="inlineStr">
        <is>
          <t>0.4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1cb6d4e05cf64697</t>
        </is>
      </c>
      <c r="B93" s="24" t="inlineStr">
        <is>
          <t>2026-08-24T16:28:07.904064Z</t>
        </is>
      </c>
      <c r="C93" s="24" t="inlineStr">
        <is>
          <t>2026-08-24T16:30Z</t>
        </is>
      </c>
      <c r="D93" s="24" t="inlineStr">
        <is>
          <t>189-2026:184632</t>
        </is>
      </c>
      <c r="E93" s="24" t="inlineStr">
        <is>
          <t>TENNIS</t>
        </is>
      </c>
      <c r="F93" s="24" t="inlineStr">
        <is>
          <t>Liam Broady</t>
        </is>
      </c>
      <c r="G93" s="24" t="inlineStr">
        <is>
          <t>Marco Cecchinato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257</v>
      </c>
      <c r="M93" s="27" t="n">
        <v>3.57</v>
      </c>
      <c r="N93" s="28" t="n">
        <v>0.280112</v>
      </c>
      <c r="O93" s="28" t="n">
        <v>0.5865</v>
      </c>
      <c r="P93" s="28" t="n">
        <v>0.05</v>
      </c>
      <c r="Q93" s="28" t="n">
        <v>0.306388</v>
      </c>
      <c r="R93" s="26" t="n">
        <v>100</v>
      </c>
      <c r="S93" s="29" t="n">
        <v>2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257</v>
      </c>
      <c r="AA93" s="28" t="n">
        <v>0.28</v>
      </c>
      <c r="AB93" s="28" t="n">
        <v>-0.000112</v>
      </c>
      <c r="AC93" s="30" t="n">
        <v>5.14</v>
      </c>
      <c r="AD93" s="24" t="inlineStr">
        <is>
          <t>2026-08-24T20:36:25.476081Z</t>
        </is>
      </c>
      <c r="AE93" s="31" t="inlineStr">
        <is>
          <t>Surface-blended Elo on Hard: Liam Broady p=0.414 vs Marco Cecchinato. Executable ask 0.2800 (aec-atp-marcec-liabro-2026-08-24).</t>
        </is>
      </c>
      <c r="AF93" s="31" t="inlineStr">
        <is>
          <t>Surface-blended Elo model; singles only, WTA+ATP market coverage, not yet locked-holdout qualified -- promoted by explicit operator directive, not genuine walk-forward validation.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Liam Broady</t>
        </is>
      </c>
      <c r="AQ93" s="24" t="inlineStr">
        <is>
          <t>Liam Broady</t>
        </is>
      </c>
      <c r="AR93" s="24" t="inlineStr">
        <is>
          <t>Liam Broady</t>
        </is>
      </c>
      <c r="AS93" s="24" t="inlineStr">
        <is>
          <t>Marco Cecchinato</t>
        </is>
      </c>
      <c r="AT93" s="24" t="inlineStr">
        <is>
          <t>Marco Cecchinato</t>
        </is>
      </c>
      <c r="AU93" s="24" t="inlineStr">
        <is>
          <t>Marco Cecchinato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d777da58446bc099047b154203518e2585ef1a678f613f2b430f2589f7bf5cff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d777da58446bc099047b154203518e2585ef1a678f613f2b430f2589f7bf5cff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d777da58446bc099047b154203518e2585ef1a678f613f2b430f2589f7bf5cff</t>
        </is>
      </c>
      <c r="BH93" s="24" t="inlineStr">
        <is>
          <t>2026-08-24T16:27:02.758743Z</t>
        </is>
      </c>
      <c r="BI93" s="24" t="inlineStr">
        <is>
          <t>["same_event","same_team_same_day","same_league_same_day"]</t>
        </is>
      </c>
      <c r="BJ93" s="25" t="n"/>
      <c r="BK93" s="26" t="n">
        <v>257</v>
      </c>
      <c r="BL93" s="27" t="n">
        <v>3.57</v>
      </c>
      <c r="BM93" s="28" t="n">
        <v>0.280112</v>
      </c>
      <c r="BN93" s="28" t="n"/>
      <c r="BO93" s="28" t="n"/>
      <c r="BP93" s="25" t="n"/>
      <c r="BQ93" s="27" t="n">
        <v>3.57</v>
      </c>
      <c r="BR93" s="28" t="n">
        <v>0.28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inlineStr">
        <is>
          <t>776434c76098bd515d5a1aa82fc18d7ecaaa31080f043aad3acd127b78a90245</t>
        </is>
      </c>
      <c r="DE93" s="24" t="inlineStr">
        <is>
          <t>/Users/vincentc9002/model-prediction/data/odds/tennis/2026-08-24/polymarket_snapshots.jsonl</t>
        </is>
      </c>
      <c r="DF93" s="24" t="inlineStr">
        <is>
          <t>506013:2026-08-24T16:27:02.758743Z</t>
        </is>
      </c>
      <c r="DG93" s="24" t="n"/>
      <c r="DH93" s="24" t="n"/>
      <c r="DI93" s="24" t="n"/>
      <c r="DJ93" s="24" t="inlineStr">
        <is>
          <t>0.280112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b4a59576d48a4f17</t>
        </is>
      </c>
      <c r="B94" s="24" t="inlineStr">
        <is>
          <t>2026-08-24T16:28:07.904064Z</t>
        </is>
      </c>
      <c r="C94" s="24" t="inlineStr">
        <is>
          <t>2026-08-24T16:30Z</t>
        </is>
      </c>
      <c r="D94" s="24" t="inlineStr">
        <is>
          <t>189-2026:184652</t>
        </is>
      </c>
      <c r="E94" s="24" t="inlineStr">
        <is>
          <t>TENNIS</t>
        </is>
      </c>
      <c r="F94" s="24" t="inlineStr">
        <is>
          <t>Aziz Dougaz</t>
        </is>
      </c>
      <c r="G94" s="24" t="inlineStr">
        <is>
          <t>Federico Agustin Gomez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113</v>
      </c>
      <c r="M94" s="27" t="n">
        <v>2.13</v>
      </c>
      <c r="N94" s="28" t="n">
        <v>0.469484</v>
      </c>
      <c r="O94" s="28" t="n">
        <v>0.6435</v>
      </c>
      <c r="P94" s="28" t="n">
        <v>0.05</v>
      </c>
      <c r="Q94" s="28" t="n">
        <v>0.174016</v>
      </c>
      <c r="R94" s="26" t="n">
        <v>100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113</v>
      </c>
      <c r="AA94" s="28" t="n">
        <v>0.47</v>
      </c>
      <c r="AB94" s="28" t="n">
        <v>0.000516</v>
      </c>
      <c r="AC94" s="30" t="n">
        <v>-1.75</v>
      </c>
      <c r="AD94" s="24" t="inlineStr">
        <is>
          <t>2026-08-24T20:36:26.378249Z</t>
        </is>
      </c>
      <c r="AE94" s="31" t="inlineStr">
        <is>
          <t>Surface-blended Elo on Hard: Aziz Dougaz p=0.357 vs Federico Agustin Gomez. Executable ask 0.4700 (aec-atp-fedgom-azidou-2026-08-24).</t>
        </is>
      </c>
      <c r="AF94" s="31" t="inlineStr">
        <is>
          <t>Surface-blended Elo model; singles only, WTA+ATP market coverage, not yet locked-holdout qualified -- promoted by explicit operator directive, not genuine walk-forward validation.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Aziz Dougaz</t>
        </is>
      </c>
      <c r="AQ94" s="24" t="inlineStr">
        <is>
          <t>Aziz Dougaz</t>
        </is>
      </c>
      <c r="AR94" s="24" t="inlineStr">
        <is>
          <t>Aziz Dougaz</t>
        </is>
      </c>
      <c r="AS94" s="24" t="inlineStr">
        <is>
          <t>Federico Agustin Gomez</t>
        </is>
      </c>
      <c r="AT94" s="24" t="inlineStr">
        <is>
          <t>Federico Agustin Gomez</t>
        </is>
      </c>
      <c r="AU94" s="24" t="inlineStr">
        <is>
          <t>Federico Agustin Gomez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d777da58446bc099047b154203518e2585ef1a678f613f2b430f2589f7bf5cff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d777da58446bc099047b154203518e2585ef1a678f613f2b430f2589f7bf5cff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d777da58446bc099047b154203518e2585ef1a678f613f2b430f2589f7bf5cff</t>
        </is>
      </c>
      <c r="BH94" s="24" t="inlineStr">
        <is>
          <t>2026-08-24T16:27:03.168392Z</t>
        </is>
      </c>
      <c r="BI94" s="24" t="inlineStr">
        <is>
          <t>["same_event","same_team_same_day","same_league_same_day"]</t>
        </is>
      </c>
      <c r="BJ94" s="25" t="n"/>
      <c r="BK94" s="26" t="n">
        <v>113</v>
      </c>
      <c r="BL94" s="27" t="n">
        <v>2.13</v>
      </c>
      <c r="BM94" s="28" t="n">
        <v>0.469484</v>
      </c>
      <c r="BN94" s="28" t="n"/>
      <c r="BO94" s="28" t="n"/>
      <c r="BP94" s="25" t="n"/>
      <c r="BQ94" s="27" t="n">
        <v>2.13</v>
      </c>
      <c r="BR94" s="28" t="n">
        <v>0.47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inlineStr">
        <is>
          <t>5f7900f090b2496e4b69ae85ba79e7905ed9f0148d1a2ccebd68efc4fe51ce23</t>
        </is>
      </c>
      <c r="DE94" s="24" t="inlineStr">
        <is>
          <t>/Users/vincentc9002/model-prediction/data/odds/tennis/2026-08-24/polymarket_snapshots.jsonl</t>
        </is>
      </c>
      <c r="DF94" s="24" t="inlineStr">
        <is>
          <t>506011:2026-08-24T16:27:03.168392Z</t>
        </is>
      </c>
      <c r="DG94" s="24" t="n"/>
      <c r="DH94" s="24" t="n"/>
      <c r="DI94" s="24" t="n"/>
      <c r="DJ94" s="24" t="inlineStr">
        <is>
          <t>0.469484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3e58729776dc4e79</t>
        </is>
      </c>
      <c r="B95" s="24" t="inlineStr">
        <is>
          <t>2026-08-24T17:02:10.415217Z</t>
        </is>
      </c>
      <c r="C95" s="24" t="inlineStr">
        <is>
          <t>2026-08-24T18:00Z</t>
        </is>
      </c>
      <c r="D95" s="24" t="inlineStr">
        <is>
          <t>189-2026:184690</t>
        </is>
      </c>
      <c r="E95" s="24" t="inlineStr">
        <is>
          <t>TENNIS</t>
        </is>
      </c>
      <c r="F95" s="24" t="inlineStr">
        <is>
          <t>Ayana Akli</t>
        </is>
      </c>
      <c r="G95" s="24" t="inlineStr">
        <is>
          <t>Mia Ristic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127</v>
      </c>
      <c r="M95" s="27" t="n">
        <v>2.27</v>
      </c>
      <c r="N95" s="28" t="n">
        <v>0.440529</v>
      </c>
      <c r="O95" s="28" t="n">
        <v>0.571</v>
      </c>
      <c r="P95" s="28" t="n">
        <v>0.05</v>
      </c>
      <c r="Q95" s="28" t="n">
        <v>0.130471</v>
      </c>
      <c r="R95" s="26" t="n">
        <v>85</v>
      </c>
      <c r="S95" s="29" t="n">
        <v>1.5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127</v>
      </c>
      <c r="AA95" s="28" t="n">
        <v>0.44</v>
      </c>
      <c r="AB95" s="28" t="n">
        <v>-0.000529</v>
      </c>
      <c r="AC95" s="30" t="n">
        <v>1.905</v>
      </c>
      <c r="AD95" s="24" t="inlineStr">
        <is>
          <t>2026-08-24T21:13:05.252693Z</t>
        </is>
      </c>
      <c r="AE95" s="31" t="inlineStr">
        <is>
          <t>Surface-blended Elo on Hard: Ayana Akli p=0.429 vs Mia Ristic. Executable ask 0.4400 (aec-wta-miaris-ayaakl-2026-08-24).</t>
        </is>
      </c>
      <c r="AF95" s="31" t="inlineStr">
        <is>
          <t>Surface-blended Elo model; singles only, WTA+ATP market coverage, not yet locked-holdout qualified -- promoted by explicit operator directive, not genuine walk-forward validation.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Ayana Akli</t>
        </is>
      </c>
      <c r="AQ95" s="24" t="inlineStr">
        <is>
          <t>Ayana Akli</t>
        </is>
      </c>
      <c r="AR95" s="24" t="inlineStr">
        <is>
          <t>Ayana Akli</t>
        </is>
      </c>
      <c r="AS95" s="24" t="inlineStr">
        <is>
          <t>Mia Ristic</t>
        </is>
      </c>
      <c r="AT95" s="24" t="inlineStr">
        <is>
          <t>Mia Ristic</t>
        </is>
      </c>
      <c r="AU95" s="24" t="inlineStr">
        <is>
          <t>Mia Ristic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d777da58446bc099047b154203518e2585ef1a678f613f2b430f2589f7bf5cff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d777da58446bc099047b154203518e2585ef1a678f613f2b430f2589f7bf5cff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d777da58446bc099047b154203518e2585ef1a678f613f2b430f2589f7bf5cff</t>
        </is>
      </c>
      <c r="BH95" s="24" t="inlineStr">
        <is>
          <t>2026-08-24T17:01:10.225005Z</t>
        </is>
      </c>
      <c r="BI95" s="24" t="inlineStr">
        <is>
          <t>["same_event","same_team_same_day","same_league_same_day"]</t>
        </is>
      </c>
      <c r="BJ95" s="25" t="n"/>
      <c r="BK95" s="26" t="n">
        <v>127</v>
      </c>
      <c r="BL95" s="27" t="n">
        <v>2.27</v>
      </c>
      <c r="BM95" s="28" t="n">
        <v>0.440529</v>
      </c>
      <c r="BN95" s="28" t="n"/>
      <c r="BO95" s="28" t="n"/>
      <c r="BP95" s="25" t="n"/>
      <c r="BQ95" s="27" t="n">
        <v>2.27</v>
      </c>
      <c r="BR95" s="28" t="n">
        <v>0.44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inlineStr">
        <is>
          <t>7fa97d1dfb5c0b649b95fc1318d219cd515c29f875a59c4a70583bbd872b03b0</t>
        </is>
      </c>
      <c r="DE95" s="24" t="inlineStr">
        <is>
          <t>/Users/vincentc9002/model-prediction/data/odds/tennis/2026-08-24/polymarket_snapshots.jsonl</t>
        </is>
      </c>
      <c r="DF95" s="24" t="inlineStr">
        <is>
          <t>506014:2026-08-24T17:01:10.225005Z</t>
        </is>
      </c>
      <c r="DG95" s="24" t="n"/>
      <c r="DH95" s="24" t="n"/>
      <c r="DI95" s="24" t="n"/>
      <c r="DJ95" s="24" t="inlineStr">
        <is>
          <t>0.440529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edb0ea51796a4ac1</t>
        </is>
      </c>
      <c r="B96" s="24" t="inlineStr">
        <is>
          <t>2026-08-24T17:02:10.415217Z</t>
        </is>
      </c>
      <c r="C96" s="24" t="inlineStr">
        <is>
          <t>2026-08-24T18:00Z</t>
        </is>
      </c>
      <c r="D96" s="24" t="inlineStr">
        <is>
          <t>189-2026:184614</t>
        </is>
      </c>
      <c r="E96" s="24" t="inlineStr">
        <is>
          <t>TENNIS</t>
        </is>
      </c>
      <c r="F96" s="24" t="inlineStr">
        <is>
          <t>Billy Harris</t>
        </is>
      </c>
      <c r="G96" s="24" t="inlineStr">
        <is>
          <t>Gonzalo Bueno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156</v>
      </c>
      <c r="M96" s="27" t="n">
        <v>2.56</v>
      </c>
      <c r="N96" s="28" t="n">
        <v>0.390625</v>
      </c>
      <c r="O96" s="28" t="n">
        <v>0.7012</v>
      </c>
      <c r="P96" s="28" t="n">
        <v>0.05</v>
      </c>
      <c r="Q96" s="28" t="n">
        <v>0.310575</v>
      </c>
      <c r="R96" s="26" t="n">
        <v>100</v>
      </c>
      <c r="S96" s="29" t="n">
        <v>2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156</v>
      </c>
      <c r="AA96" s="28" t="n">
        <v>0.39</v>
      </c>
      <c r="AB96" s="28" t="n">
        <v>-0.000625</v>
      </c>
      <c r="AC96" s="30" t="n">
        <v>-2</v>
      </c>
      <c r="AD96" s="24" t="inlineStr">
        <is>
          <t>2026-08-24T20:36:27.311494Z</t>
        </is>
      </c>
      <c r="AE96" s="31" t="inlineStr">
        <is>
          <t>Surface-blended Elo on Hard: Billy Harris p=0.299 vs Gonzalo Bueno. Executable ask 0.3900 (aec-atp-gonbue-bilhar-2026-08-24).</t>
        </is>
      </c>
      <c r="AF96" s="31" t="inlineStr">
        <is>
          <t>Surface-blended Elo model; singles only, WTA+ATP market coverage, not yet locked-holdout qualified -- promoted by explicit operator directive, not genuine walk-forward validation.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Billy Harris</t>
        </is>
      </c>
      <c r="AQ96" s="24" t="inlineStr">
        <is>
          <t>Billy Harris</t>
        </is>
      </c>
      <c r="AR96" s="24" t="inlineStr">
        <is>
          <t>Billy Harris</t>
        </is>
      </c>
      <c r="AS96" s="24" t="inlineStr">
        <is>
          <t>Gonzalo Bueno</t>
        </is>
      </c>
      <c r="AT96" s="24" t="inlineStr">
        <is>
          <t>Gonzalo Bueno</t>
        </is>
      </c>
      <c r="AU96" s="24" t="inlineStr">
        <is>
          <t>Gonzalo Bueno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d777da58446bc099047b154203518e2585ef1a678f613f2b430f2589f7bf5cff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d777da58446bc099047b154203518e2585ef1a678f613f2b430f2589f7bf5cff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d777da58446bc099047b154203518e2585ef1a678f613f2b430f2589f7bf5cff</t>
        </is>
      </c>
      <c r="BH96" s="24" t="inlineStr">
        <is>
          <t>2026-08-24T17:01:12.064892Z</t>
        </is>
      </c>
      <c r="BI96" s="24" t="inlineStr">
        <is>
          <t>["same_event","same_team_same_day","same_league_same_day"]</t>
        </is>
      </c>
      <c r="BJ96" s="25" t="n"/>
      <c r="BK96" s="26" t="n">
        <v>156</v>
      </c>
      <c r="BL96" s="27" t="n">
        <v>2.56</v>
      </c>
      <c r="BM96" s="28" t="n">
        <v>0.390625</v>
      </c>
      <c r="BN96" s="28" t="n"/>
      <c r="BO96" s="28" t="n"/>
      <c r="BP96" s="25" t="n"/>
      <c r="BQ96" s="27" t="n">
        <v>2.56</v>
      </c>
      <c r="BR96" s="28" t="n">
        <v>0.39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inlineStr">
        <is>
          <t>425ffbe5efd8fabaec4e9742e828d8310e0e9b6fc0957222369b2f77aa4b0555</t>
        </is>
      </c>
      <c r="DE96" s="24" t="inlineStr">
        <is>
          <t>/Users/vincentc9002/model-prediction/data/odds/tennis/2026-08-24/polymarket_snapshots.jsonl</t>
        </is>
      </c>
      <c r="DF96" s="24" t="inlineStr">
        <is>
          <t>506018:2026-08-24T17:01:12.064892Z</t>
        </is>
      </c>
      <c r="DG96" s="24" t="n"/>
      <c r="DH96" s="24" t="n"/>
      <c r="DI96" s="24" t="n"/>
      <c r="DJ96" s="24" t="inlineStr">
        <is>
          <t>0.390625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19a1975ceb764c27</t>
        </is>
      </c>
      <c r="B97" s="24" t="inlineStr">
        <is>
          <t>2026-08-24T17:02:10.415217Z</t>
        </is>
      </c>
      <c r="C97" s="24" t="inlineStr">
        <is>
          <t>2026-08-24T18:00Z</t>
        </is>
      </c>
      <c r="D97" s="24" t="inlineStr">
        <is>
          <t>189-2026:184633</t>
        </is>
      </c>
      <c r="E97" s="24" t="inlineStr">
        <is>
          <t>TENNIS</t>
        </is>
      </c>
      <c r="F97" s="24" t="inlineStr">
        <is>
          <t>Alejandro Moro Canas</t>
        </is>
      </c>
      <c r="G97" s="24" t="inlineStr">
        <is>
          <t>Remy Bertola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170</v>
      </c>
      <c r="M97" s="27" t="n">
        <v>2.7</v>
      </c>
      <c r="N97" s="28" t="n">
        <v>0.37037</v>
      </c>
      <c r="O97" s="28" t="n">
        <v>0.5698</v>
      </c>
      <c r="P97" s="28" t="n">
        <v>0.05</v>
      </c>
      <c r="Q97" s="28" t="n">
        <v>0.19943</v>
      </c>
      <c r="R97" s="26" t="n">
        <v>100</v>
      </c>
      <c r="S97" s="29" t="n">
        <v>2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>
        <v>170</v>
      </c>
      <c r="AA97" s="28" t="n">
        <v>0.37</v>
      </c>
      <c r="AB97" s="28" t="n">
        <v>-0.00037</v>
      </c>
      <c r="AC97" s="30" t="n">
        <v>3.4</v>
      </c>
      <c r="AD97" s="24" t="inlineStr">
        <is>
          <t>2026-08-24T20:36:28.259653Z</t>
        </is>
      </c>
      <c r="AE97" s="31" t="inlineStr">
        <is>
          <t>Surface-blended Elo on Hard: Alejandro Moro Canas p=0.430 vs Remy Bertola. Executable ask 0.3700 (aec-atp-rember-alecan-2026-08-24).</t>
        </is>
      </c>
      <c r="AF97" s="31" t="inlineStr">
        <is>
          <t>Surface-blended Elo model; singles only, WTA+ATP market coverage, not yet locked-holdout qualified -- promoted by explicit operator directive, not genuine walk-forward validation.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Alejandro Moro Canas</t>
        </is>
      </c>
      <c r="AQ97" s="24" t="inlineStr">
        <is>
          <t>Alejandro Moro Canas</t>
        </is>
      </c>
      <c r="AR97" s="24" t="inlineStr">
        <is>
          <t>Alejandro Moro Canas</t>
        </is>
      </c>
      <c r="AS97" s="24" t="inlineStr">
        <is>
          <t>Remy Bertola</t>
        </is>
      </c>
      <c r="AT97" s="24" t="inlineStr">
        <is>
          <t>Remy Bertola</t>
        </is>
      </c>
      <c r="AU97" s="24" t="inlineStr">
        <is>
          <t>Remy Bertola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d777da58446bc099047b154203518e2585ef1a678f613f2b430f2589f7bf5cff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d777da58446bc099047b154203518e2585ef1a678f613f2b430f2589f7bf5cff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d777da58446bc099047b154203518e2585ef1a678f613f2b430f2589f7bf5cff</t>
        </is>
      </c>
      <c r="BH97" s="24" t="inlineStr">
        <is>
          <t>2026-08-24T17:01:13.272494Z</t>
        </is>
      </c>
      <c r="BI97" s="24" t="inlineStr">
        <is>
          <t>["same_event","same_team_same_day","same_league_same_day"]</t>
        </is>
      </c>
      <c r="BJ97" s="25" t="n"/>
      <c r="BK97" s="26" t="n">
        <v>170</v>
      </c>
      <c r="BL97" s="27" t="n">
        <v>2.7</v>
      </c>
      <c r="BM97" s="28" t="n">
        <v>0.37037</v>
      </c>
      <c r="BN97" s="28" t="n"/>
      <c r="BO97" s="28" t="n"/>
      <c r="BP97" s="25" t="n"/>
      <c r="BQ97" s="27" t="n">
        <v>2.7</v>
      </c>
      <c r="BR97" s="28" t="n">
        <v>0.37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inlineStr">
        <is>
          <t>1a5a00a6456ea6634444cfd56bd75d71635463569b9f91ae3664a490b39bdef3</t>
        </is>
      </c>
      <c r="DE97" s="24" t="inlineStr">
        <is>
          <t>/Users/vincentc9002/model-prediction/data/odds/tennis/2026-08-24/polymarket_snapshots.jsonl</t>
        </is>
      </c>
      <c r="DF97" s="24" t="inlineStr">
        <is>
          <t>506024:2026-08-24T17:01:13.272494Z</t>
        </is>
      </c>
      <c r="DG97" s="24" t="n"/>
      <c r="DH97" s="24" t="n"/>
      <c r="DI97" s="24" t="n"/>
      <c r="DJ97" s="24" t="inlineStr">
        <is>
          <t>0.37037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ba15b7f523f04188</t>
        </is>
      </c>
      <c r="B98" s="24" t="inlineStr">
        <is>
          <t>2026-08-24T18:08:56.901017Z</t>
        </is>
      </c>
      <c r="C98" s="24" t="inlineStr">
        <is>
          <t>2026-08-24T19:30Z</t>
        </is>
      </c>
      <c r="D98" s="24" t="inlineStr">
        <is>
          <t>189-2026:184696</t>
        </is>
      </c>
      <c r="E98" s="24" t="inlineStr">
        <is>
          <t>TENNIS</t>
        </is>
      </c>
      <c r="F98" s="24" t="inlineStr">
        <is>
          <t>Linda Fruhvirtova</t>
        </is>
      </c>
      <c r="G98" s="24" t="inlineStr">
        <is>
          <t>Polina Kudermetova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-163</v>
      </c>
      <c r="M98" s="27" t="n">
        <v>1.613497</v>
      </c>
      <c r="N98" s="28" t="n">
        <v>0.619772</v>
      </c>
      <c r="O98" s="28" t="n">
        <v>0.6849</v>
      </c>
      <c r="P98" s="28" t="n">
        <v>0.05</v>
      </c>
      <c r="Q98" s="28" t="n">
        <v>0.06512800000000001</v>
      </c>
      <c r="R98" s="26" t="n">
        <v>53</v>
      </c>
      <c r="S98" s="29" t="n">
        <v>1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-163</v>
      </c>
      <c r="AA98" s="28" t="n">
        <v>0.62</v>
      </c>
      <c r="AB98" s="28" t="n">
        <v>0.000228</v>
      </c>
      <c r="AC98" s="30" t="n">
        <v>-1</v>
      </c>
      <c r="AD98" s="24" t="inlineStr">
        <is>
          <t>2026-08-25T00:19:20.566881Z</t>
        </is>
      </c>
      <c r="AE98" s="31" t="inlineStr">
        <is>
          <t>Surface-blended Elo on Hard: Linda Fruhvirtova p=0.315 vs Polina Kudermetova. Executable ask 0.6200 (aec-wta-polkud-linfru-2026-08-24).</t>
        </is>
      </c>
      <c r="AF98" s="31" t="inlineStr">
        <is>
          <t>Surface-blended Elo model; singles only, WTA+ATP market coverage, not yet locked-holdout qualified -- promoted by explicit operator directive, not genuine walk-forward validation.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Linda Fruhvirtova</t>
        </is>
      </c>
      <c r="AQ98" s="24" t="inlineStr">
        <is>
          <t>Linda Fruhvirtova</t>
        </is>
      </c>
      <c r="AR98" s="24" t="inlineStr">
        <is>
          <t>Linda Fruhvirtova</t>
        </is>
      </c>
      <c r="AS98" s="24" t="inlineStr">
        <is>
          <t>Polina Kudermetova</t>
        </is>
      </c>
      <c r="AT98" s="24" t="inlineStr">
        <is>
          <t>Polina Kudermetova</t>
        </is>
      </c>
      <c r="AU98" s="24" t="inlineStr">
        <is>
          <t>Polina Kudermetova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d777da58446bc099047b154203518e2585ef1a678f613f2b430f2589f7bf5cff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d777da58446bc099047b154203518e2585ef1a678f613f2b430f2589f7bf5cff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d777da58446bc099047b154203518e2585ef1a678f613f2b430f2589f7bf5cff</t>
        </is>
      </c>
      <c r="BH98" s="24" t="inlineStr">
        <is>
          <t>2026-08-24T18:07:57.919080Z</t>
        </is>
      </c>
      <c r="BI98" s="24" t="inlineStr">
        <is>
          <t>["same_event","same_team_same_day","same_league_same_day"]</t>
        </is>
      </c>
      <c r="BJ98" s="25" t="n"/>
      <c r="BK98" s="26" t="n">
        <v>-163</v>
      </c>
      <c r="BL98" s="27" t="n">
        <v>1.613497</v>
      </c>
      <c r="BM98" s="28" t="n">
        <v>0.619772</v>
      </c>
      <c r="BN98" s="28" t="n"/>
      <c r="BO98" s="28" t="n"/>
      <c r="BP98" s="25" t="n"/>
      <c r="BQ98" s="27" t="n">
        <v>1.613497</v>
      </c>
      <c r="BR98" s="28" t="n">
        <v>0.62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inlineStr">
        <is>
          <t>c9d866fe4a52b6d60697ed30f7609d271b301d522e37fd351435eb68b36a4ce4</t>
        </is>
      </c>
      <c r="DE98" s="24" t="inlineStr">
        <is>
          <t>/Users/vincentc9002/model-prediction/data/odds/tennis/2026-08-24/polymarket_snapshots.jsonl</t>
        </is>
      </c>
      <c r="DF98" s="24" t="inlineStr">
        <is>
          <t>506015:2026-08-24T18:07:57.919080Z</t>
        </is>
      </c>
      <c r="DG98" s="24" t="n"/>
      <c r="DH98" s="24" t="n"/>
      <c r="DI98" s="24" t="n"/>
      <c r="DJ98" s="24" t="inlineStr">
        <is>
          <t>0.619772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bab735a33fce4efa</t>
        </is>
      </c>
      <c r="B99" s="24" t="inlineStr">
        <is>
          <t>2026-08-24T18:08:56.901017Z</t>
        </is>
      </c>
      <c r="C99" s="24" t="inlineStr">
        <is>
          <t>2026-08-24T19:30Z</t>
        </is>
      </c>
      <c r="D99" s="24" t="inlineStr">
        <is>
          <t>189-2026:184723</t>
        </is>
      </c>
      <c r="E99" s="24" t="inlineStr">
        <is>
          <t>TENNIS</t>
        </is>
      </c>
      <c r="F99" s="24" t="inlineStr">
        <is>
          <t>Clervie Ngounoue</t>
        </is>
      </c>
      <c r="G99" s="24" t="inlineStr">
        <is>
          <t>Carson Branstine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138</v>
      </c>
      <c r="M99" s="27" t="n">
        <v>2.38</v>
      </c>
      <c r="N99" s="28" t="n">
        <v>0.420168</v>
      </c>
      <c r="O99" s="28" t="n">
        <v>0.6297</v>
      </c>
      <c r="P99" s="28" t="n">
        <v>0.05</v>
      </c>
      <c r="Q99" s="28" t="n">
        <v>0.209532</v>
      </c>
      <c r="R99" s="26" t="n">
        <v>100</v>
      </c>
      <c r="S99" s="29" t="n">
        <v>2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>
        <v>138</v>
      </c>
      <c r="AA99" s="28" t="n">
        <v>0.42</v>
      </c>
      <c r="AB99" s="28" t="n">
        <v>-0.000168</v>
      </c>
      <c r="AC99" s="30" t="n">
        <v>2.76</v>
      </c>
      <c r="AD99" s="24" t="inlineStr">
        <is>
          <t>2026-08-25T00:19:21.785196Z</t>
        </is>
      </c>
      <c r="AE99" s="31" t="inlineStr">
        <is>
          <t>Surface-blended Elo on Hard: Clervie Ngounoue p=0.370 vs Carson Branstine. Executable ask 0.4200 (aec-wta-carbra-clengo-2026-08-24).</t>
        </is>
      </c>
      <c r="AF99" s="31" t="inlineStr">
        <is>
          <t>Surface-blended Elo model; singles only, WTA+ATP market coverage, not yet locked-holdout qualified -- promoted by explicit operator directive, not genuine walk-forward validation.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Clervie Ngounoue</t>
        </is>
      </c>
      <c r="AQ99" s="24" t="inlineStr">
        <is>
          <t>Clervie Ngounoue</t>
        </is>
      </c>
      <c r="AR99" s="24" t="inlineStr">
        <is>
          <t>Clervie Ngounoue</t>
        </is>
      </c>
      <c r="AS99" s="24" t="inlineStr">
        <is>
          <t>Carson Branstine</t>
        </is>
      </c>
      <c r="AT99" s="24" t="inlineStr">
        <is>
          <t>Carson Branstine</t>
        </is>
      </c>
      <c r="AU99" s="24" t="inlineStr">
        <is>
          <t>Carson Branstine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d777da58446bc099047b154203518e2585ef1a678f613f2b430f2589f7bf5cff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d777da58446bc099047b154203518e2585ef1a678f613f2b430f2589f7bf5cff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d777da58446bc099047b154203518e2585ef1a678f613f2b430f2589f7bf5cff</t>
        </is>
      </c>
      <c r="BH99" s="24" t="inlineStr">
        <is>
          <t>2026-08-24T18:07:57.914118Z</t>
        </is>
      </c>
      <c r="BI99" s="24" t="inlineStr">
        <is>
          <t>["same_event","same_team_same_day","same_league_same_day"]</t>
        </is>
      </c>
      <c r="BJ99" s="25" t="n"/>
      <c r="BK99" s="26" t="n">
        <v>138</v>
      </c>
      <c r="BL99" s="27" t="n">
        <v>2.38</v>
      </c>
      <c r="BM99" s="28" t="n">
        <v>0.420168</v>
      </c>
      <c r="BN99" s="28" t="n"/>
      <c r="BO99" s="28" t="n"/>
      <c r="BP99" s="25" t="n"/>
      <c r="BQ99" s="27" t="n">
        <v>2.38</v>
      </c>
      <c r="BR99" s="28" t="n">
        <v>0.42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inlineStr">
        <is>
          <t>455afda77058be84717e78ac8473c75e985b7f066506e9e384fe299ae4bd1b1d</t>
        </is>
      </c>
      <c r="DE99" s="24" t="inlineStr">
        <is>
          <t>/Users/vincentc9002/model-prediction/data/odds/tennis/2026-08-24/polymarket_snapshots.jsonl</t>
        </is>
      </c>
      <c r="DF99" s="24" t="inlineStr">
        <is>
          <t>507405:2026-08-24T18:07:57.914118Z</t>
        </is>
      </c>
      <c r="DG99" s="24" t="n"/>
      <c r="DH99" s="24" t="n"/>
      <c r="DI99" s="24" t="n"/>
      <c r="DJ99" s="24" t="inlineStr">
        <is>
          <t>0.420168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d2a95950573149c1</t>
        </is>
      </c>
      <c r="B100" s="24" t="inlineStr">
        <is>
          <t>2026-08-24T21:15:29.636316Z</t>
        </is>
      </c>
      <c r="C100" s="24" t="inlineStr">
        <is>
          <t>2026-08-24T22:00Z</t>
        </is>
      </c>
      <c r="D100" s="24" t="inlineStr">
        <is>
          <t>1075-2026:182124</t>
        </is>
      </c>
      <c r="E100" s="24" t="inlineStr">
        <is>
          <t>TENNIS</t>
        </is>
      </c>
      <c r="F100" s="24" t="inlineStr">
        <is>
          <t>Sloane Stephens</t>
        </is>
      </c>
      <c r="G100" s="24" t="inlineStr">
        <is>
          <t>Mananchaya Sawangkaew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0.6301</v>
      </c>
      <c r="P100" s="28" t="n">
        <v>0.05</v>
      </c>
      <c r="Q100" s="28" t="n">
        <v>0.120296</v>
      </c>
      <c r="R100" s="26" t="n">
        <v>80</v>
      </c>
      <c r="S100" s="29" t="n">
        <v>1.5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>
        <v>-104</v>
      </c>
      <c r="AA100" s="28" t="n">
        <v>0.51</v>
      </c>
      <c r="AB100" s="28" t="n">
        <v>0.000196</v>
      </c>
      <c r="AC100" s="30" t="n">
        <v>1.4423</v>
      </c>
      <c r="AD100" s="24" t="inlineStr">
        <is>
          <t>2026-08-25T01:12:38.070574Z</t>
        </is>
      </c>
      <c r="AE100" s="31" t="inlineStr">
        <is>
          <t>Surface-blended Elo on Hard: Sloane Stephens p=0.370 vs Mananchaya Sawangkaew. Executable ask 0.5100 (aec-wta-mansaw-sloste-2026-08-23).</t>
        </is>
      </c>
      <c r="AF100" s="31" t="inlineStr">
        <is>
          <t>Surface-blended Elo model; singles only, WTA+ATP market coverage, not yet locked-holdout qualified -- promoted by explicit operator directive, not genuine walk-forward validation.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Sloane Stephens</t>
        </is>
      </c>
      <c r="AQ100" s="24" t="inlineStr">
        <is>
          <t>Sloane Stephens</t>
        </is>
      </c>
      <c r="AR100" s="24" t="inlineStr">
        <is>
          <t>Sloane Stephens</t>
        </is>
      </c>
      <c r="AS100" s="24" t="inlineStr">
        <is>
          <t>Mananchaya Sawangkaew</t>
        </is>
      </c>
      <c r="AT100" s="24" t="inlineStr">
        <is>
          <t>Mananchaya Sawangkaew</t>
        </is>
      </c>
      <c r="AU100" s="24" t="inlineStr">
        <is>
          <t>Mananchaya Sawangkaew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d777da58446bc099047b154203518e2585ef1a678f613f2b430f2589f7bf5cff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d777da58446bc099047b154203518e2585ef1a678f613f2b430f2589f7bf5cff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d777da58446bc099047b154203518e2585ef1a678f613f2b430f2589f7bf5cff</t>
        </is>
      </c>
      <c r="BH100" s="24" t="inlineStr">
        <is>
          <t>2026-08-24T21:14:33.763325Z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>
        <v>1.961538</v>
      </c>
      <c r="BR100" s="28" t="n">
        <v>0.51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inlineStr">
        <is>
          <t>c890c5fd473c809059d5cccae54e1244e701447bd4fc06c89c1a4ae52a103544</t>
        </is>
      </c>
      <c r="DE100" s="24" t="inlineStr">
        <is>
          <t>/Users/vincentc9002/model-prediction/data/odds/tennis/2026-08-24/polymarket_snapshots.jsonl</t>
        </is>
      </c>
      <c r="DF100" s="24" t="inlineStr">
        <is>
          <t>498524:2026-08-24T21:14:33.763325Z</t>
        </is>
      </c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405dd97ade914d69</t>
        </is>
      </c>
      <c r="B101" s="24" t="inlineStr">
        <is>
          <t>2026-08-24T21:15:29.636316Z</t>
        </is>
      </c>
      <c r="C101" s="24" t="inlineStr">
        <is>
          <t>2026-08-24T21:20Z</t>
        </is>
      </c>
      <c r="D101" s="24" t="inlineStr">
        <is>
          <t>189-2026:184703</t>
        </is>
      </c>
      <c r="E101" s="24" t="inlineStr">
        <is>
          <t>TENNIS</t>
        </is>
      </c>
      <c r="F101" s="24" t="inlineStr">
        <is>
          <t>Despina Papamichail</t>
        </is>
      </c>
      <c r="G101" s="24" t="inlineStr">
        <is>
          <t>Laura Pigossi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317</v>
      </c>
      <c r="M101" s="27" t="n">
        <v>4.17</v>
      </c>
      <c r="N101" s="28" t="n">
        <v>0.239808</v>
      </c>
      <c r="O101" s="28" t="n">
        <v>0.5585</v>
      </c>
      <c r="P101" s="28" t="n">
        <v>0.05</v>
      </c>
      <c r="Q101" s="28" t="n">
        <v>0.318692</v>
      </c>
      <c r="R101" s="26" t="n">
        <v>100</v>
      </c>
      <c r="S101" s="29" t="n">
        <v>2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317</v>
      </c>
      <c r="AA101" s="28" t="n">
        <v>0.24</v>
      </c>
      <c r="AB101" s="28" t="n">
        <v>0.000192</v>
      </c>
      <c r="AC101" s="30" t="n">
        <v>6.34</v>
      </c>
      <c r="AD101" s="24" t="inlineStr">
        <is>
          <t>2026-08-25T00:19:22.784692Z</t>
        </is>
      </c>
      <c r="AE101" s="31" t="inlineStr">
        <is>
          <t>Surface-blended Elo on Hard: Despina Papamichail p=0.558 vs Laura Pigossi. Executable ask 0.2400 (aec-wta-laupig-despap-2026-08-24).</t>
        </is>
      </c>
      <c r="AF101" s="31" t="inlineStr">
        <is>
          <t>Surface-blended Elo model; singles only, WTA+ATP market coverage, not yet locked-holdout qualified -- promoted by explicit operator directive, not genuine walk-forward validation.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Despina Papamichail</t>
        </is>
      </c>
      <c r="AQ101" s="24" t="inlineStr">
        <is>
          <t>Despina Papamichail</t>
        </is>
      </c>
      <c r="AR101" s="24" t="inlineStr">
        <is>
          <t>Despina Papamichail</t>
        </is>
      </c>
      <c r="AS101" s="24" t="inlineStr">
        <is>
          <t>Laura Pigossi</t>
        </is>
      </c>
      <c r="AT101" s="24" t="inlineStr">
        <is>
          <t>Laura Pigossi</t>
        </is>
      </c>
      <c r="AU101" s="24" t="inlineStr">
        <is>
          <t>Laura Pigossi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d777da58446bc099047b154203518e2585ef1a678f613f2b430f2589f7bf5cff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d777da58446bc099047b154203518e2585ef1a678f613f2b430f2589f7bf5cff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d777da58446bc099047b154203518e2585ef1a678f613f2b430f2589f7bf5cff</t>
        </is>
      </c>
      <c r="BH101" s="24" t="inlineStr">
        <is>
          <t>2026-08-24T21:14:33.745368Z</t>
        </is>
      </c>
      <c r="BI101" s="24" t="inlineStr">
        <is>
          <t>["same_event","same_team_same_day","same_league_same_day"]</t>
        </is>
      </c>
      <c r="BJ101" s="25" t="n"/>
      <c r="BK101" s="26" t="n">
        <v>317</v>
      </c>
      <c r="BL101" s="27" t="n">
        <v>4.17</v>
      </c>
      <c r="BM101" s="28" t="n">
        <v>0.239808</v>
      </c>
      <c r="BN101" s="28" t="n"/>
      <c r="BO101" s="28" t="n"/>
      <c r="BP101" s="25" t="n"/>
      <c r="BQ101" s="27" t="n">
        <v>4.17</v>
      </c>
      <c r="BR101" s="28" t="n">
        <v>0.24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inlineStr">
        <is>
          <t>f41668b8b62d71745f2a738d607629a61086299e80999b1739beda4cfa3d5763</t>
        </is>
      </c>
      <c r="DE101" s="24" t="inlineStr">
        <is>
          <t>/Users/vincentc9002/model-prediction/data/odds/tennis/2026-08-24/polymarket_snapshots.jsonl</t>
        </is>
      </c>
      <c r="DF101" s="24" t="inlineStr">
        <is>
          <t>506028:2026-08-24T21:14:33.745368Z</t>
        </is>
      </c>
      <c r="DG101" s="24" t="n"/>
      <c r="DH101" s="24" t="n"/>
      <c r="DI101" s="24" t="n"/>
      <c r="DJ101" s="24" t="inlineStr">
        <is>
          <t>0.239808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a18c095a908544e6</t>
        </is>
      </c>
      <c r="B102" s="24" t="inlineStr">
        <is>
          <t>2026-08-24T21:15:29.636316Z</t>
        </is>
      </c>
      <c r="C102" s="24" t="inlineStr">
        <is>
          <t>2026-08-24T21:30Z</t>
        </is>
      </c>
      <c r="D102" s="24" t="inlineStr">
        <is>
          <t>189-2026:184704</t>
        </is>
      </c>
      <c r="E102" s="24" t="inlineStr">
        <is>
          <t>TENNIS</t>
        </is>
      </c>
      <c r="F102" s="24" t="inlineStr">
        <is>
          <t>Katarzyna Kawa</t>
        </is>
      </c>
      <c r="G102" s="24" t="inlineStr">
        <is>
          <t>Ekaterine Gorgodze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-150</v>
      </c>
      <c r="M102" s="27" t="n">
        <v>1.666667</v>
      </c>
      <c r="N102" s="28" t="n">
        <v>0.6</v>
      </c>
      <c r="O102" s="28" t="n">
        <v>0.7129</v>
      </c>
      <c r="P102" s="28" t="n">
        <v>0.05</v>
      </c>
      <c r="Q102" s="28" t="n">
        <v>0.1129</v>
      </c>
      <c r="R102" s="26" t="n">
        <v>76</v>
      </c>
      <c r="S102" s="29" t="n">
        <v>1.5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loss</t>
        </is>
      </c>
      <c r="W102" s="26" t="n">
        <v>0</v>
      </c>
      <c r="X102" s="26" t="n">
        <v>1</v>
      </c>
      <c r="Y102" s="25" t="n"/>
      <c r="Z102" s="26" t="n">
        <v>-150</v>
      </c>
      <c r="AA102" s="28" t="n">
        <v>0.6</v>
      </c>
      <c r="AB102" s="28" t="n">
        <v>0</v>
      </c>
      <c r="AC102" s="30" t="n">
        <v>-1.5</v>
      </c>
      <c r="AD102" s="24" t="inlineStr">
        <is>
          <t>2026-08-25T00:19:23.732401Z</t>
        </is>
      </c>
      <c r="AE102" s="31" t="inlineStr">
        <is>
          <t>Surface-blended Elo on Hard: Katarzyna Kawa p=0.713 vs Ekaterine Gorgodze. Executable ask 0.6000 (aec-wta-ekagor-katkaw-2026-08-24).</t>
        </is>
      </c>
      <c r="AF102" s="31" t="inlineStr">
        <is>
          <t>Surface-blended Elo model; singles only, WTA+ATP market coverage, not yet locked-holdout qualified -- promoted by explicit operator directive, not genuine walk-forward validation.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Katarzyna Kawa</t>
        </is>
      </c>
      <c r="AQ102" s="24" t="inlineStr">
        <is>
          <t>Katarzyna Kawa</t>
        </is>
      </c>
      <c r="AR102" s="24" t="inlineStr">
        <is>
          <t>Katarzyna Kawa</t>
        </is>
      </c>
      <c r="AS102" s="24" t="inlineStr">
        <is>
          <t>Ekaterine Gorgodze</t>
        </is>
      </c>
      <c r="AT102" s="24" t="inlineStr">
        <is>
          <t>Ekaterine Gorgodze</t>
        </is>
      </c>
      <c r="AU102" s="24" t="inlineStr">
        <is>
          <t>Ekaterine Gorgodze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d777da58446bc099047b154203518e2585ef1a678f613f2b430f2589f7bf5cff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d777da58446bc099047b154203518e2585ef1a678f613f2b430f2589f7bf5cff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d777da58446bc099047b154203518e2585ef1a678f613f2b430f2589f7bf5cff</t>
        </is>
      </c>
      <c r="BH102" s="24" t="inlineStr">
        <is>
          <t>2026-08-24T21:14:33.893246Z</t>
        </is>
      </c>
      <c r="BI102" s="24" t="inlineStr">
        <is>
          <t>["same_event","same_team_same_day","same_league_same_day"]</t>
        </is>
      </c>
      <c r="BJ102" s="25" t="n"/>
      <c r="BK102" s="26" t="n">
        <v>-150</v>
      </c>
      <c r="BL102" s="27" t="n">
        <v>1.666667</v>
      </c>
      <c r="BM102" s="28" t="n">
        <v>0.6</v>
      </c>
      <c r="BN102" s="28" t="n"/>
      <c r="BO102" s="28" t="n"/>
      <c r="BP102" s="25" t="n"/>
      <c r="BQ102" s="27" t="n">
        <v>1.666667</v>
      </c>
      <c r="BR102" s="28" t="n">
        <v>0.6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inlineStr">
        <is>
          <t>9ffc294e91c149c829a9f558fcb50c1cf5879f1eebfaf514916a5382b5a38fbd</t>
        </is>
      </c>
      <c r="DE102" s="24" t="inlineStr">
        <is>
          <t>/Users/vincentc9002/model-prediction/data/odds/tennis/2026-08-24/polymarket_snapshots.jsonl</t>
        </is>
      </c>
      <c r="DF102" s="24" t="inlineStr">
        <is>
          <t>506030:2026-08-24T21:14:33.893246Z</t>
        </is>
      </c>
      <c r="DG102" s="24" t="n"/>
      <c r="DH102" s="24" t="n"/>
      <c r="DI102" s="24" t="n"/>
      <c r="DJ102" s="24" t="inlineStr">
        <is>
          <t>0.6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479f153ceae84373</t>
        </is>
      </c>
      <c r="B103" s="24" t="inlineStr">
        <is>
          <t>2026-08-24T21:15:29.636316Z</t>
        </is>
      </c>
      <c r="C103" s="24" t="inlineStr">
        <is>
          <t>2026-08-24T21:50Z</t>
        </is>
      </c>
      <c r="D103" s="24" t="inlineStr">
        <is>
          <t>189-2026:184708</t>
        </is>
      </c>
      <c r="E103" s="24" t="inlineStr">
        <is>
          <t>TENNIS</t>
        </is>
      </c>
      <c r="F103" s="24" t="inlineStr">
        <is>
          <t>Veronika Podrez</t>
        </is>
      </c>
      <c r="G103" s="24" t="inlineStr">
        <is>
          <t>Caroline Dolehide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257</v>
      </c>
      <c r="M103" s="27" t="n">
        <v>3.57</v>
      </c>
      <c r="N103" s="28" t="n">
        <v>0.280112</v>
      </c>
      <c r="O103" s="28" t="n">
        <v>0.6163</v>
      </c>
      <c r="P103" s="28" t="n">
        <v>0.05</v>
      </c>
      <c r="Q103" s="28" t="n">
        <v>0.336188</v>
      </c>
      <c r="R103" s="26" t="n">
        <v>100</v>
      </c>
      <c r="S103" s="29" t="n">
        <v>2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1</v>
      </c>
      <c r="X103" s="26" t="n">
        <v>0</v>
      </c>
      <c r="Y103" s="25" t="n"/>
      <c r="Z103" s="26" t="n">
        <v>257</v>
      </c>
      <c r="AA103" s="28" t="n">
        <v>0.28</v>
      </c>
      <c r="AB103" s="28" t="n">
        <v>-0.000112</v>
      </c>
      <c r="AC103" s="30" t="n">
        <v>5.14</v>
      </c>
      <c r="AD103" s="24" t="inlineStr">
        <is>
          <t>2026-08-25T01:12:40.127697Z</t>
        </is>
      </c>
      <c r="AE103" s="31" t="inlineStr">
        <is>
          <t>Surface-blended Elo on Hard: Veronika Podrez p=0.616 vs Caroline Dolehide. Executable ask 0.2800 (aec-wta-cardol-verpod-2026-08-24).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Veronika Podrez</t>
        </is>
      </c>
      <c r="AQ103" s="24" t="inlineStr">
        <is>
          <t>Veronika Podrez</t>
        </is>
      </c>
      <c r="AR103" s="24" t="inlineStr">
        <is>
          <t>Veronika Podrez</t>
        </is>
      </c>
      <c r="AS103" s="24" t="inlineStr">
        <is>
          <t>Caroline Dolehide</t>
        </is>
      </c>
      <c r="AT103" s="24" t="inlineStr">
        <is>
          <t>Caroline Dolehide</t>
        </is>
      </c>
      <c r="AU103" s="24" t="inlineStr">
        <is>
          <t>Caroline Dolehide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d777da58446bc099047b154203518e2585ef1a678f613f2b430f2589f7bf5cff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d777da58446bc099047b154203518e2585ef1a678f613f2b430f2589f7bf5cff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d777da58446bc099047b154203518e2585ef1a678f613f2b430f2589f7bf5cff</t>
        </is>
      </c>
      <c r="BH103" s="24" t="inlineStr">
        <is>
          <t>2026-08-24T21:14:33.755660Z</t>
        </is>
      </c>
      <c r="BI103" s="24" t="inlineStr">
        <is>
          <t>["same_event","same_team_same_day","same_league_same_day"]</t>
        </is>
      </c>
      <c r="BJ103" s="25" t="n"/>
      <c r="BK103" s="26" t="n">
        <v>257</v>
      </c>
      <c r="BL103" s="27" t="n">
        <v>3.57</v>
      </c>
      <c r="BM103" s="28" t="n">
        <v>0.280112</v>
      </c>
      <c r="BN103" s="28" t="n"/>
      <c r="BO103" s="28" t="n"/>
      <c r="BP103" s="25" t="n"/>
      <c r="BQ103" s="27" t="n">
        <v>3.57</v>
      </c>
      <c r="BR103" s="28" t="n">
        <v>0.28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inlineStr">
        <is>
          <t>4ca37cdb8656d35b1ebd23b993d4ce130279bb3fe2bc1fafde890126e2982b09</t>
        </is>
      </c>
      <c r="DE103" s="24" t="inlineStr">
        <is>
          <t>/Users/vincentc9002/model-prediction/data/odds/tennis/2026-08-24/polymarket_snapshots.jsonl</t>
        </is>
      </c>
      <c r="DF103" s="24" t="inlineStr">
        <is>
          <t>506025:2026-08-24T21:14:33.755660Z</t>
        </is>
      </c>
      <c r="DG103" s="24" t="n"/>
      <c r="DH103" s="24" t="n"/>
      <c r="DI103" s="24" t="n"/>
      <c r="DJ103" s="24" t="inlineStr">
        <is>
          <t>0.280112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754482277bd94788</t>
        </is>
      </c>
      <c r="B104" s="24" t="inlineStr">
        <is>
          <t>2026-08-25T03:26:21.142153Z</t>
        </is>
      </c>
      <c r="C104" s="24" t="inlineStr">
        <is>
          <t>2026-08-25T03:30Z</t>
        </is>
      </c>
      <c r="D104" s="24" t="inlineStr">
        <is>
          <t>341-2026:182504</t>
        </is>
      </c>
      <c r="E104" s="24" t="inlineStr">
        <is>
          <t>TENNIS</t>
        </is>
      </c>
      <c r="F104" s="24" t="inlineStr">
        <is>
          <t>Donna Vekic</t>
        </is>
      </c>
      <c r="G104" s="24" t="inlineStr">
        <is>
          <t>Diane Parry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0.5871</v>
      </c>
      <c r="P104" s="28" t="n">
        <v>0.05</v>
      </c>
      <c r="Q104" s="28" t="n">
        <v>0.007268</v>
      </c>
      <c r="R104" s="26" t="n">
        <v>24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-133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2026-08-25T06:21:43.721876Z</t>
        </is>
      </c>
      <c r="AE104" s="31" t="inlineStr">
        <is>
          <t>Surface-blended Elo on Hard: Donna Vekic p=0.587 vs Diane Parry. Executable ask 0.5800 (aec-wta-diapar-donvek-2026-08-24).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Donna Vekic</t>
        </is>
      </c>
      <c r="AQ104" s="24" t="inlineStr">
        <is>
          <t>Donna Vekic</t>
        </is>
      </c>
      <c r="AR104" s="24" t="inlineStr">
        <is>
          <t>Donna Vekic</t>
        </is>
      </c>
      <c r="AS104" s="24" t="inlineStr">
        <is>
          <t>Diane Parry</t>
        </is>
      </c>
      <c r="AT104" s="24" t="inlineStr">
        <is>
          <t>Diane Parry</t>
        </is>
      </c>
      <c r="AU104" s="24" t="inlineStr">
        <is>
          <t>Diane Parry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d777da58446bc099047b154203518e2585ef1a678f613f2b430f2589f7bf5cff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d777da58446bc099047b154203518e2585ef1a678f613f2b430f2589f7bf5cff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d777da58446bc099047b154203518e2585ef1a678f613f2b430f2589f7bf5cff</t>
        </is>
      </c>
      <c r="BH104" s="24" t="inlineStr">
        <is>
          <t>2026-08-25T02:05:28.584256Z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1.75188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2026-08-25T06:21:43.721876Z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inlineStr">
        <is>
          <t>7768593a1883952d12fe54e93b3f425472190f1b0a4d237dad9298010e75e6e1</t>
        </is>
      </c>
      <c r="DE104" s="24" t="inlineStr">
        <is>
          <t>/Users/vincentc9002/model-prediction/data/odds/tennis/2026-08-24/polymarket_snapshots.jsonl</t>
        </is>
      </c>
      <c r="DF104" s="24" t="inlineStr">
        <is>
          <t>499310:2026-08-25T02:05:28.584256Z</t>
        </is>
      </c>
      <c r="DG104" s="24" t="n"/>
      <c r="DH104" s="24" t="n"/>
      <c r="DI104" s="24" t="n"/>
      <c r="DJ104" s="24" t="inlineStr">
        <is>
          <t>0.579832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6d240fdcae7c4fda</t>
        </is>
      </c>
      <c r="B105" s="24" t="inlineStr">
        <is>
          <t>2026-08-25T13:31:51.589728Z</t>
        </is>
      </c>
      <c r="C105" s="24" t="inlineStr">
        <is>
          <t>2026-08-25T21:00Z</t>
        </is>
      </c>
      <c r="D105" s="24" t="inlineStr">
        <is>
          <t>341-2026:182496</t>
        </is>
      </c>
      <c r="E105" s="24" t="inlineStr">
        <is>
          <t>TENNIS</t>
        </is>
      </c>
      <c r="F105" s="24" t="inlineStr">
        <is>
          <t>Anna Bondar</t>
        </is>
      </c>
      <c r="G105" s="24" t="inlineStr">
        <is>
          <t>Cristina Bucsa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0.5379</v>
      </c>
      <c r="P105" s="28" t="n">
        <v>0.05</v>
      </c>
      <c r="Q105" s="28" t="n">
        <v>-0.032915</v>
      </c>
      <c r="R105" s="26" t="n">
        <v>4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loss</t>
        </is>
      </c>
      <c r="W105" s="26" t="n">
        <v>0</v>
      </c>
      <c r="X105" s="26" t="n">
        <v>1</v>
      </c>
      <c r="Y105" s="25" t="n"/>
      <c r="Z105" s="26" t="n">
        <v>-133</v>
      </c>
      <c r="AA105" s="28" t="n">
        <v>0.57</v>
      </c>
      <c r="AB105" s="28" t="n">
        <v>-0.000815</v>
      </c>
      <c r="AC105" s="30" t="n">
        <v>-1</v>
      </c>
      <c r="AD105" s="24" t="inlineStr">
        <is>
          <t>2026-08-26T12:31:36.579883Z</t>
        </is>
      </c>
      <c r="AE105" s="31" t="inlineStr">
        <is>
          <t>Surface-blended Elo on Hard: Anna Bondar p=0.538 vs Cristina Bucsa. Executable ask 0.5700 (aec-wta-cribuc-annbon-2026-08-25).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Anna Bondar</t>
        </is>
      </c>
      <c r="AQ105" s="24" t="inlineStr">
        <is>
          <t>Anna Bondar</t>
        </is>
      </c>
      <c r="AR105" s="24" t="inlineStr">
        <is>
          <t>Anna Bondar</t>
        </is>
      </c>
      <c r="AS105" s="24" t="inlineStr">
        <is>
          <t>Cristina Bucsa</t>
        </is>
      </c>
      <c r="AT105" s="24" t="inlineStr">
        <is>
          <t>Cristina Bucsa</t>
        </is>
      </c>
      <c r="AU105" s="24" t="inlineStr">
        <is>
          <t>Cristina Bucsa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d777da58446bc099047b154203518e2585ef1a678f613f2b430f2589f7bf5cff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d777da58446bc099047b154203518e2585ef1a678f613f2b430f2589f7bf5cff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d777da58446bc099047b154203518e2585ef1a678f613f2b430f2589f7bf5cff</t>
        </is>
      </c>
      <c r="BH105" s="24" t="inlineStr">
        <is>
          <t>2026-08-25T13:29:43.673327Z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/>
      <c r="BO105" s="28" t="n"/>
      <c r="BP105" s="25" t="n"/>
      <c r="BQ105" s="27" t="n">
        <v>1.75188</v>
      </c>
      <c r="BR105" s="28" t="n">
        <v>0.57</v>
      </c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2026-08-26T12:31:36.579883Z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inlineStr">
        <is>
          <t>1e9ca45bcb65c773effa80107b10e352d1a7d301912f8b97015c48d8c043b55d</t>
        </is>
      </c>
      <c r="DE105" s="24" t="inlineStr">
        <is>
          <t>/Users/vincentc9002/model-prediction/data/odds/tennis/2026-08-25/polymarket_snapshots.jsonl</t>
        </is>
      </c>
      <c r="DF105" s="24" t="inlineStr">
        <is>
          <t>508499:2026-08-25T13:29:43.673327Z</t>
        </is>
      </c>
      <c r="DG105" s="24" t="n"/>
      <c r="DH105" s="24" t="n"/>
      <c r="DI105" s="24" t="n"/>
      <c r="DJ105" s="24" t="inlineStr">
        <is>
          <t>0.570815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64c236e85ae54495</t>
        </is>
      </c>
      <c r="B106" s="24" t="inlineStr">
        <is>
          <t>2026-08-25T13:31:51.589728Z</t>
        </is>
      </c>
      <c r="C106" s="24" t="inlineStr">
        <is>
          <t>2026-08-25T21:30Z</t>
        </is>
      </c>
      <c r="D106" s="24" t="inlineStr">
        <is>
          <t>341-2026:182507</t>
        </is>
      </c>
      <c r="E106" s="24" t="inlineStr">
        <is>
          <t>TENNIS</t>
        </is>
      </c>
      <c r="F106" s="24" t="inlineStr">
        <is>
          <t>Maria Timofeeva</t>
        </is>
      </c>
      <c r="G106" s="24" t="inlineStr">
        <is>
          <t>Zhang Shuai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104</v>
      </c>
      <c r="M106" s="27" t="n">
        <v>2.04</v>
      </c>
      <c r="N106" s="28" t="n">
        <v>0.490196</v>
      </c>
      <c r="O106" s="28" t="n">
        <v>0.5477</v>
      </c>
      <c r="P106" s="28" t="n">
        <v>0.05</v>
      </c>
      <c r="Q106" s="28" t="n">
        <v>0.057504</v>
      </c>
      <c r="R106" s="26" t="n">
        <v>49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104</v>
      </c>
      <c r="AA106" s="28" t="n">
        <v>0.49</v>
      </c>
      <c r="AB106" s="28" t="n">
        <v>-0.000196</v>
      </c>
      <c r="AC106" s="30" t="n">
        <v>1.04</v>
      </c>
      <c r="AD106" s="24" t="inlineStr">
        <is>
          <t>2026-08-26T12:31:37.840380Z</t>
        </is>
      </c>
      <c r="AE106" s="31" t="inlineStr">
        <is>
          <t>Surface-blended Elo on Hard: Maria Timofeeva p=0.548 vs Zhang Shuai. Executable ask 0.4900 (aec-wta-shuzha-martim-2026-08-25).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Maria Timofeeva</t>
        </is>
      </c>
      <c r="AQ106" s="24" t="inlineStr">
        <is>
          <t>Maria Timofeeva</t>
        </is>
      </c>
      <c r="AR106" s="24" t="inlineStr">
        <is>
          <t>Maria Timofeeva</t>
        </is>
      </c>
      <c r="AS106" s="24" t="inlineStr">
        <is>
          <t>Zhang Shuai</t>
        </is>
      </c>
      <c r="AT106" s="24" t="inlineStr">
        <is>
          <t>Zhang Shuai</t>
        </is>
      </c>
      <c r="AU106" s="24" t="inlineStr">
        <is>
          <t>Zhang Shuai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d777da58446bc099047b154203518e2585ef1a678f613f2b430f2589f7bf5cff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d777da58446bc099047b154203518e2585ef1a678f613f2b430f2589f7bf5cff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d777da58446bc099047b154203518e2585ef1a678f613f2b430f2589f7bf5cff</t>
        </is>
      </c>
      <c r="BH106" s="24" t="inlineStr">
        <is>
          <t>2026-08-25T13:29:43.674904Z</t>
        </is>
      </c>
      <c r="BI106" s="24" t="inlineStr">
        <is>
          <t>["same_event","same_team_same_day","same_league_same_day"]</t>
        </is>
      </c>
      <c r="BJ106" s="25" t="n"/>
      <c r="BK106" s="26" t="n">
        <v>104</v>
      </c>
      <c r="BL106" s="27" t="n">
        <v>2.04</v>
      </c>
      <c r="BM106" s="28" t="n">
        <v>0.490196</v>
      </c>
      <c r="BN106" s="28" t="n"/>
      <c r="BO106" s="28" t="n"/>
      <c r="BP106" s="25" t="n"/>
      <c r="BQ106" s="27" t="n">
        <v>2.04</v>
      </c>
      <c r="BR106" s="28" t="n">
        <v>0.49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inlineStr">
        <is>
          <t>4046a577761fb044c3711d249f411d3f3cb576084eeaba51762b0dece6f1362c</t>
        </is>
      </c>
      <c r="DE106" s="24" t="inlineStr">
        <is>
          <t>/Users/vincentc9002/model-prediction/data/odds/tennis/2026-08-25/polymarket_snapshots.jsonl</t>
        </is>
      </c>
      <c r="DF106" s="24" t="inlineStr">
        <is>
          <t>508498:2026-08-25T13:29:43.674904Z</t>
        </is>
      </c>
      <c r="DG106" s="24" t="n"/>
      <c r="DH106" s="24" t="n"/>
      <c r="DI106" s="24" t="n"/>
      <c r="DJ106" s="24" t="inlineStr">
        <is>
          <t>0.490196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4b1647f7343f4dd6</t>
        </is>
      </c>
      <c r="B107" s="24" t="inlineStr">
        <is>
          <t>2026-08-25T13:31:51.589728Z</t>
        </is>
      </c>
      <c r="C107" s="24" t="inlineStr">
        <is>
          <t>2026-08-25T21:30Z</t>
        </is>
      </c>
      <c r="D107" s="24" t="inlineStr">
        <is>
          <t>341-2026:182509</t>
        </is>
      </c>
      <c r="E107" s="24" t="inlineStr">
        <is>
          <t>TENNIS</t>
        </is>
      </c>
      <c r="F107" s="24" t="inlineStr">
        <is>
          <t>Kimberly Birrell</t>
        </is>
      </c>
      <c r="G107" s="24" t="inlineStr">
        <is>
          <t>Darja Vidmanova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0.5058</v>
      </c>
      <c r="P107" s="28" t="n">
        <v>0.05</v>
      </c>
      <c r="Q107" s="28" t="n">
        <v>0.05535</v>
      </c>
      <c r="R107" s="26" t="n">
        <v>48</v>
      </c>
      <c r="S107" s="29" t="n">
        <v>1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122</v>
      </c>
      <c r="AA107" s="28" t="n">
        <v>0.45</v>
      </c>
      <c r="AB107" s="28" t="n">
        <v>-0.00045</v>
      </c>
      <c r="AC107" s="30" t="n">
        <v>-1</v>
      </c>
      <c r="AD107" s="24" t="inlineStr">
        <is>
          <t>2026-08-26T12:31:39.106158Z</t>
        </is>
      </c>
      <c r="AE107" s="31" t="inlineStr">
        <is>
          <t>Surface-blended Elo on Hard: Kimberly Birrell p=0.506 vs Darja Vidmanova. Executable ask 0.4500 (aec-wta-darvid-kimbir-2026-08-25).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Kimberly Birrell</t>
        </is>
      </c>
      <c r="AQ107" s="24" t="inlineStr">
        <is>
          <t>Kimberly Birrell</t>
        </is>
      </c>
      <c r="AR107" s="24" t="inlineStr">
        <is>
          <t>Kimberly Birrell</t>
        </is>
      </c>
      <c r="AS107" s="24" t="inlineStr">
        <is>
          <t>Darja Vidmanova</t>
        </is>
      </c>
      <c r="AT107" s="24" t="inlineStr">
        <is>
          <t>Darja Vidmanova</t>
        </is>
      </c>
      <c r="AU107" s="24" t="inlineStr">
        <is>
          <t>Darja Vidmanova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d777da58446bc099047b154203518e2585ef1a678f613f2b430f2589f7bf5cff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d777da58446bc099047b154203518e2585ef1a678f613f2b430f2589f7bf5cff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d777da58446bc099047b154203518e2585ef1a678f613f2b430f2589f7bf5cff</t>
        </is>
      </c>
      <c r="BH107" s="24" t="inlineStr">
        <is>
          <t>2026-08-25T13:29:43.685367Z</t>
        </is>
      </c>
      <c r="BI107" s="24" t="inlineStr">
        <is>
          <t>["same_event","same_team_same_day","same_league_same_day"]</t>
        </is>
      </c>
      <c r="BJ107" s="25" t="n"/>
      <c r="BK107" s="26" t="n">
        <v>122</v>
      </c>
      <c r="BL107" s="27" t="n">
        <v>2.22</v>
      </c>
      <c r="BM107" s="28" t="n">
        <v>0.45045</v>
      </c>
      <c r="BN107" s="28" t="n"/>
      <c r="BO107" s="28" t="n"/>
      <c r="BP107" s="25" t="n"/>
      <c r="BQ107" s="27" t="n">
        <v>2.22</v>
      </c>
      <c r="BR107" s="28" t="n">
        <v>0.45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inlineStr">
        <is>
          <t>2026-08-26T12:31:39.106158Z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inlineStr">
        <is>
          <t>633df2b4d9eae4b2f3316ee5029b8b5edf331b53656a98820af42c5278f944b1</t>
        </is>
      </c>
      <c r="DE107" s="24" t="inlineStr">
        <is>
          <t>/Users/vincentc9002/model-prediction/data/odds/tennis/2026-08-25/polymarket_snapshots.jsonl</t>
        </is>
      </c>
      <c r="DF107" s="24" t="inlineStr">
        <is>
          <t>508500:2026-08-25T13:29:43.685367Z</t>
        </is>
      </c>
      <c r="DG107" s="24" t="n"/>
      <c r="DH107" s="24" t="n"/>
      <c r="DI107" s="24" t="n"/>
      <c r="DJ107" s="24" t="inlineStr">
        <is>
          <t>0.45045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7d316de3ef7d4d07</t>
        </is>
      </c>
      <c r="B108" s="24" t="inlineStr">
        <is>
          <t>2026-08-25T13:31:51.589728Z</t>
        </is>
      </c>
      <c r="C108" s="24" t="inlineStr">
        <is>
          <t>2026-08-25T22:30Z</t>
        </is>
      </c>
      <c r="D108" s="24" t="inlineStr">
        <is>
          <t>341-2026:182501</t>
        </is>
      </c>
      <c r="E108" s="24" t="inlineStr">
        <is>
          <t>TENNIS</t>
        </is>
      </c>
      <c r="F108" s="24" t="inlineStr">
        <is>
          <t>Yuliia Starodubtseva</t>
        </is>
      </c>
      <c r="G108" s="24" t="inlineStr">
        <is>
          <t>Janice Tjen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0.5649</v>
      </c>
      <c r="P108" s="28" t="n">
        <v>0.05</v>
      </c>
      <c r="Q108" s="28" t="n">
        <v>0.124371</v>
      </c>
      <c r="R108" s="26" t="n">
        <v>82</v>
      </c>
      <c r="S108" s="29" t="n">
        <v>1.5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0</v>
      </c>
      <c r="Y108" s="25" t="n"/>
      <c r="Z108" s="26" t="n"/>
      <c r="AA108" s="28" t="n"/>
      <c r="AB108" s="28" t="n"/>
      <c r="AC108" s="30" t="n">
        <v>1.905</v>
      </c>
      <c r="AD108" s="24" t="inlineStr">
        <is>
          <t>2026-08-26T12:31:40.373245Z</t>
        </is>
      </c>
      <c r="AE108" s="31" t="inlineStr">
        <is>
          <t>Surface-blended Elo on Hard: Yuliia Starodubtseva p=0.565 vs Janice Tjen. Executable ask 0.4400 (aec-wta-jantje-yulsta-2026-08-26).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Yuliia Starodubtseva</t>
        </is>
      </c>
      <c r="AQ108" s="24" t="inlineStr">
        <is>
          <t>Yuliia Starodubtseva</t>
        </is>
      </c>
      <c r="AR108" s="24" t="inlineStr">
        <is>
          <t>Yuliia Starodubtseva</t>
        </is>
      </c>
      <c r="AS108" s="24" t="inlineStr">
        <is>
          <t>Janice Tjen</t>
        </is>
      </c>
      <c r="AT108" s="24" t="inlineStr">
        <is>
          <t>Janice Tjen</t>
        </is>
      </c>
      <c r="AU108" s="24" t="inlineStr">
        <is>
          <t>Janice Tjen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d777da58446bc099047b154203518e2585ef1a678f613f2b430f2589f7bf5cff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d777da58446bc099047b154203518e2585ef1a678f613f2b430f2589f7bf5cff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d777da58446bc099047b154203518e2585ef1a678f613f2b430f2589f7bf5cff</t>
        </is>
      </c>
      <c r="BH108" s="24" t="inlineStr">
        <is>
          <t>2026-08-25T13:29:43.700423Z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inlineStr">
        <is>
          <t>c99bada6e597e09ba6b8674968a19f7b68e14083b84e967c7dfd1fdfc3ceb805</t>
        </is>
      </c>
      <c r="DE108" s="24" t="inlineStr">
        <is>
          <t>/Users/vincentc9002/model-prediction/data/odds/tennis/2026-08-25/polymarket_snapshots.jsonl</t>
        </is>
      </c>
      <c r="DF108" s="24" t="inlineStr">
        <is>
          <t>516435:2026-08-25T13:29:43.700423Z</t>
        </is>
      </c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ab0d733bd4284a6e</t>
        </is>
      </c>
      <c r="B109" s="24" t="inlineStr">
        <is>
          <t>2026-08-25T13:31:51.589728Z</t>
        </is>
      </c>
      <c r="C109" s="24" t="inlineStr">
        <is>
          <t>2026-08-25T23:00Z</t>
        </is>
      </c>
      <c r="D109" s="24" t="inlineStr">
        <is>
          <t>341-2026:182494</t>
        </is>
      </c>
      <c r="E109" s="24" t="inlineStr">
        <is>
          <t>TENNIS</t>
        </is>
      </c>
      <c r="F109" s="24" t="inlineStr">
        <is>
          <t>Maya Joint</t>
        </is>
      </c>
      <c r="G109" s="24" t="inlineStr">
        <is>
          <t>Panna Udvardy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233</v>
      </c>
      <c r="M109" s="27" t="n">
        <v>3.33</v>
      </c>
      <c r="N109" s="28" t="n">
        <v>0.3003</v>
      </c>
      <c r="O109" s="28" t="n">
        <v>0.5109</v>
      </c>
      <c r="P109" s="28" t="n">
        <v>0.05</v>
      </c>
      <c r="Q109" s="28" t="n">
        <v>0.2106</v>
      </c>
      <c r="R109" s="26" t="n">
        <v>100</v>
      </c>
      <c r="S109" s="29" t="n">
        <v>2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233</v>
      </c>
      <c r="AA109" s="28" t="n">
        <v>0.3</v>
      </c>
      <c r="AB109" s="28" t="n">
        <v>-0.0003</v>
      </c>
      <c r="AC109" s="30" t="n">
        <v>4.66</v>
      </c>
      <c r="AD109" s="24" t="inlineStr">
        <is>
          <t>2026-08-26T12:31:41.636493Z</t>
        </is>
      </c>
      <c r="AE109" s="31" t="inlineStr">
        <is>
          <t>Surface-blended Elo on Hard: Maya Joint p=0.489 vs Panna Udvardy. Executable ask 0.3000 (aec-wta-panudv-mayjoi-2026-08-25).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Maya Joint</t>
        </is>
      </c>
      <c r="AQ109" s="24" t="inlineStr">
        <is>
          <t>Maya Joint</t>
        </is>
      </c>
      <c r="AR109" s="24" t="inlineStr">
        <is>
          <t>Maya Joint</t>
        </is>
      </c>
      <c r="AS109" s="24" t="inlineStr">
        <is>
          <t>Panna Udvardy</t>
        </is>
      </c>
      <c r="AT109" s="24" t="inlineStr">
        <is>
          <t>Panna Udvardy</t>
        </is>
      </c>
      <c r="AU109" s="24" t="inlineStr">
        <is>
          <t>Panna Udvardy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d777da58446bc099047b154203518e2585ef1a678f613f2b430f2589f7bf5cff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d777da58446bc099047b154203518e2585ef1a678f613f2b430f2589f7bf5cff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d777da58446bc099047b154203518e2585ef1a678f613f2b430f2589f7bf5cff</t>
        </is>
      </c>
      <c r="BH109" s="24" t="inlineStr">
        <is>
          <t>2026-08-25T13:29:43.692703Z</t>
        </is>
      </c>
      <c r="BI109" s="24" t="inlineStr">
        <is>
          <t>["same_event","same_team_same_day","same_league_same_day"]</t>
        </is>
      </c>
      <c r="BJ109" s="25" t="n"/>
      <c r="BK109" s="26" t="n">
        <v>233</v>
      </c>
      <c r="BL109" s="27" t="n">
        <v>3.33</v>
      </c>
      <c r="BM109" s="28" t="n">
        <v>0.3003</v>
      </c>
      <c r="BN109" s="28" t="n"/>
      <c r="BO109" s="28" t="n"/>
      <c r="BP109" s="25" t="n"/>
      <c r="BQ109" s="27" t="n">
        <v>3.33</v>
      </c>
      <c r="BR109" s="28" t="n">
        <v>0.3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2.330003</v>
      </c>
      <c r="BZ109" s="24" t="inlineStr">
        <is>
          <t>2026-08-26T12:31:41.636493Z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inlineStr">
        <is>
          <t>29f1dfe38f4301ff5b7b80736118174f85ba05a7ad6201da5f230d05783d7c3b</t>
        </is>
      </c>
      <c r="DE109" s="24" t="inlineStr">
        <is>
          <t>/Users/vincentc9002/model-prediction/data/odds/tennis/2026-08-25/polymarket_snapshots.jsonl</t>
        </is>
      </c>
      <c r="DF109" s="24" t="inlineStr">
        <is>
          <t>516510:2026-08-25T13:29:43.692703Z</t>
        </is>
      </c>
      <c r="DG109" s="24" t="n"/>
      <c r="DH109" s="24" t="n"/>
      <c r="DI109" s="24" t="n"/>
      <c r="DJ109" s="24" t="inlineStr">
        <is>
          <t>0.3003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d2f71c1ecc9741d0</t>
        </is>
      </c>
      <c r="B110" s="24" t="inlineStr">
        <is>
          <t>2026-08-25T13:31:51.589728Z</t>
        </is>
      </c>
      <c r="C110" s="24" t="inlineStr">
        <is>
          <t>2026-08-26T01:30Z</t>
        </is>
      </c>
      <c r="D110" s="24" t="inlineStr">
        <is>
          <t>341-2026:182498</t>
        </is>
      </c>
      <c r="E110" s="24" t="inlineStr">
        <is>
          <t>TENNIS</t>
        </is>
      </c>
      <c r="F110" s="24" t="inlineStr">
        <is>
          <t>Diane Parry</t>
        </is>
      </c>
      <c r="G110" s="24" t="inlineStr">
        <is>
          <t>Oleksandra Oliynykova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223</v>
      </c>
      <c r="M110" s="27" t="n">
        <v>3.23</v>
      </c>
      <c r="N110" s="28" t="n">
        <v>0.309598</v>
      </c>
      <c r="O110" s="28" t="n">
        <v>0.5883</v>
      </c>
      <c r="P110" s="28" t="n">
        <v>0.05</v>
      </c>
      <c r="Q110" s="28" t="n">
        <v>0.278702</v>
      </c>
      <c r="R110" s="26" t="n">
        <v>100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loss</t>
        </is>
      </c>
      <c r="W110" s="26" t="n">
        <v>1</v>
      </c>
      <c r="X110" s="26" t="n">
        <v>0</v>
      </c>
      <c r="Y110" s="25" t="n"/>
      <c r="Z110" s="26" t="n">
        <v>223</v>
      </c>
      <c r="AA110" s="28" t="n">
        <v>0.31</v>
      </c>
      <c r="AB110" s="28" t="n">
        <v>0.000402</v>
      </c>
      <c r="AC110" s="30" t="n">
        <v>-2</v>
      </c>
      <c r="AD110" s="24" t="inlineStr">
        <is>
          <t>2026-08-26T12:31:42.900908Z</t>
        </is>
      </c>
      <c r="AE110" s="31" t="inlineStr">
        <is>
          <t>Surface-blended Elo on Hard: Diane Parry p=0.412 vs Oleksandra Oliynykova. Executable ask 0.3100 (aec-wta-oleoli-diapar-2026-08-25).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Diane Parry</t>
        </is>
      </c>
      <c r="AQ110" s="24" t="inlineStr">
        <is>
          <t>Diane Parry</t>
        </is>
      </c>
      <c r="AR110" s="24" t="inlineStr">
        <is>
          <t>Diane Parry</t>
        </is>
      </c>
      <c r="AS110" s="24" t="inlineStr">
        <is>
          <t>Oleksandra Oliynykova</t>
        </is>
      </c>
      <c r="AT110" s="24" t="inlineStr">
        <is>
          <t>Oleksandra Oliynykova</t>
        </is>
      </c>
      <c r="AU110" s="24" t="inlineStr">
        <is>
          <t>Oleksandra Oliynykova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d777da58446bc099047b154203518e2585ef1a678f613f2b430f2589f7bf5cff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d777da58446bc099047b154203518e2585ef1a678f613f2b430f2589f7bf5cff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d777da58446bc099047b154203518e2585ef1a678f613f2b430f2589f7bf5cff</t>
        </is>
      </c>
      <c r="BH110" s="24" t="inlineStr">
        <is>
          <t>2026-08-25T13:29:43.690393Z</t>
        </is>
      </c>
      <c r="BI110" s="24" t="inlineStr">
        <is>
          <t>["same_event","same_team_same_day","same_league_same_day"]</t>
        </is>
      </c>
      <c r="BJ110" s="25" t="n"/>
      <c r="BK110" s="26" t="n">
        <v>223</v>
      </c>
      <c r="BL110" s="27" t="n">
        <v>3.23</v>
      </c>
      <c r="BM110" s="28" t="n">
        <v>0.309598</v>
      </c>
      <c r="BN110" s="28" t="n"/>
      <c r="BO110" s="28" t="n"/>
      <c r="BP110" s="25" t="n"/>
      <c r="BQ110" s="27" t="n">
        <v>3.23</v>
      </c>
      <c r="BR110" s="28" t="n">
        <v>0.31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inlineStr">
        <is>
          <t>edfb278183210341dc93227e38b42bba62fc5ee19fd3e0532401e70d86c27f55</t>
        </is>
      </c>
      <c r="DE110" s="24" t="inlineStr">
        <is>
          <t>/Users/vincentc9002/model-prediction/data/odds/tennis/2026-08-25/polymarket_snapshots.jsonl</t>
        </is>
      </c>
      <c r="DF110" s="24" t="inlineStr">
        <is>
          <t>517412:2026-08-25T13:29:43.690393Z</t>
        </is>
      </c>
      <c r="DG110" s="24" t="n"/>
      <c r="DH110" s="24" t="n"/>
      <c r="DI110" s="24" t="n"/>
      <c r="DJ110" s="24" t="inlineStr">
        <is>
          <t>0.309598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fa1fca85e0db4509</t>
        </is>
      </c>
      <c r="B111" s="24" t="inlineStr">
        <is>
          <t>2026-08-25T13:31:51.589728Z</t>
        </is>
      </c>
      <c r="C111" s="24" t="inlineStr">
        <is>
          <t>2026-08-26T03:00Z</t>
        </is>
      </c>
      <c r="D111" s="24" t="inlineStr">
        <is>
          <t>341-2026:182503</t>
        </is>
      </c>
      <c r="E111" s="24" t="inlineStr">
        <is>
          <t>TENNIS</t>
        </is>
      </c>
      <c r="F111" s="24" t="inlineStr">
        <is>
          <t>Anastasia Potapova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-163</v>
      </c>
      <c r="M111" s="27" t="n">
        <v>1.613497</v>
      </c>
      <c r="N111" s="28" t="n">
        <v>0.619772</v>
      </c>
      <c r="O111" s="28" t="n">
        <v>0.5135</v>
      </c>
      <c r="P111" s="28" t="n">
        <v>0.05</v>
      </c>
      <c r="Q111" s="28" t="n">
        <v>-0.106272</v>
      </c>
      <c r="R111" s="26" t="n">
        <v>0</v>
      </c>
      <c r="S111" s="29" t="n">
        <v>1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-163</v>
      </c>
      <c r="AA111" s="28" t="n">
        <v>0.62</v>
      </c>
      <c r="AB111" s="28" t="n">
        <v>0.000228</v>
      </c>
      <c r="AC111" s="30" t="n">
        <v>0.6135</v>
      </c>
      <c r="AD111" s="24" t="inlineStr">
        <is>
          <t>2026-08-26T12:31:44.162434Z</t>
        </is>
      </c>
      <c r="AE111" s="31" t="inlineStr">
        <is>
          <t>Surface-blended Elo on Hard: Anastasia Potapova p=0.486 vs Nikola Bartunkova. Executable ask 0.6200 (aec-wta-nikbar-anapot-2026-08-25).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Anastasia Potapova</t>
        </is>
      </c>
      <c r="AQ111" s="24" t="inlineStr">
        <is>
          <t>Anastasia Potapova</t>
        </is>
      </c>
      <c r="AR111" s="24" t="inlineStr">
        <is>
          <t>Anastasia Potapova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d777da58446bc099047b154203518e2585ef1a678f613f2b430f2589f7bf5cff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d777da58446bc099047b154203518e2585ef1a678f613f2b430f2589f7bf5cff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d777da58446bc099047b154203518e2585ef1a678f613f2b430f2589f7bf5cff</t>
        </is>
      </c>
      <c r="BH111" s="24" t="inlineStr">
        <is>
          <t>2026-08-25T13:29:43.699639Z</t>
        </is>
      </c>
      <c r="BI111" s="24" t="inlineStr">
        <is>
          <t>["same_event","same_team_same_day","same_league_same_day"]</t>
        </is>
      </c>
      <c r="BJ111" s="25" t="n"/>
      <c r="BK111" s="26" t="n">
        <v>-163</v>
      </c>
      <c r="BL111" s="27" t="n">
        <v>1.613497</v>
      </c>
      <c r="BM111" s="28" t="n">
        <v>0.619772</v>
      </c>
      <c r="BN111" s="28" t="n"/>
      <c r="BO111" s="28" t="n"/>
      <c r="BP111" s="25" t="n"/>
      <c r="BQ111" s="27" t="n">
        <v>1.613497</v>
      </c>
      <c r="BR111" s="28" t="n">
        <v>0.62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0.613497</v>
      </c>
      <c r="BZ111" s="24" t="inlineStr">
        <is>
          <t>2026-08-26T12:31:44.162434Z</t>
        </is>
      </c>
      <c r="CA111" s="31" t="inlineStr">
        <is>
          <t>fixed one-unit hypothetical scoring; no real exposure or execution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inlineStr">
        <is>
          <t>00cc61290aa7752f8f89f69804ba68b1ca549031bced748e49529f7628872c9d</t>
        </is>
      </c>
      <c r="DE111" s="24" t="inlineStr">
        <is>
          <t>/Users/vincentc9002/model-prediction/data/odds/tennis/2026-08-25/polymarket_snapshots.jsonl</t>
        </is>
      </c>
      <c r="DF111" s="24" t="inlineStr">
        <is>
          <t>508993:2026-08-25T13:29:43.699639Z</t>
        </is>
      </c>
      <c r="DG111" s="24" t="n"/>
      <c r="DH111" s="24" t="n"/>
      <c r="DI111" s="24" t="n"/>
      <c r="DJ111" s="24" t="inlineStr">
        <is>
          <t>0.619772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02d020c669cb46f1</t>
        </is>
      </c>
      <c r="B112" s="24" t="inlineStr">
        <is>
          <t>2026-08-25T13:31:51.589728Z</t>
        </is>
      </c>
      <c r="C112" s="24" t="inlineStr">
        <is>
          <t>2026-08-25T15:00Z</t>
        </is>
      </c>
      <c r="D112" s="24" t="inlineStr">
        <is>
          <t>1075-2026:182119</t>
        </is>
      </c>
      <c r="E112" s="24" t="inlineStr">
        <is>
          <t>TENNIS</t>
        </is>
      </c>
      <c r="F112" s="24" t="inlineStr">
        <is>
          <t>Jessica Bouzas Maneiro</t>
        </is>
      </c>
      <c r="G112" s="24" t="inlineStr">
        <is>
          <t>Wang Xiyu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-186</v>
      </c>
      <c r="M112" s="27" t="n">
        <v>1.537634</v>
      </c>
      <c r="N112" s="28" t="n">
        <v>0.65035</v>
      </c>
      <c r="O112" s="28" t="n">
        <v>0.6183</v>
      </c>
      <c r="P112" s="28" t="n">
        <v>0.05</v>
      </c>
      <c r="Q112" s="28" t="n">
        <v>-0.03205</v>
      </c>
      <c r="R112" s="26" t="n">
        <v>4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0.5376</v>
      </c>
      <c r="AD112" s="24" t="inlineStr">
        <is>
          <t>2026-08-26T12:31:45.426627Z</t>
        </is>
      </c>
      <c r="AE112" s="31" t="inlineStr">
        <is>
          <t>Surface-blended Elo on Hard: Jessica Bouzas Maneiro p=0.382 vs Wang Xiyu. Executable ask 0.6500 (aec-wta-xiywan-jesman-2026-08-25).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Jessica Bouzas Maneiro</t>
        </is>
      </c>
      <c r="AQ112" s="24" t="inlineStr">
        <is>
          <t>Jessica Bouzas Maneiro</t>
        </is>
      </c>
      <c r="AR112" s="24" t="inlineStr">
        <is>
          <t>Jessica Bouzas Maneiro</t>
        </is>
      </c>
      <c r="AS112" s="24" t="inlineStr">
        <is>
          <t>Wang Xiyu</t>
        </is>
      </c>
      <c r="AT112" s="24" t="inlineStr">
        <is>
          <t>Wang Xiyu</t>
        </is>
      </c>
      <c r="AU112" s="24" t="inlineStr">
        <is>
          <t>Wang Xiyu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d777da58446bc099047b154203518e2585ef1a678f613f2b430f2589f7bf5cff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d777da58446bc099047b154203518e2585ef1a678f613f2b430f2589f7bf5cff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d777da58446bc099047b154203518e2585ef1a678f613f2b430f2589f7bf5cff</t>
        </is>
      </c>
      <c r="BH112" s="24" t="inlineStr">
        <is>
          <t>2026-08-25T13:29:43.513904Z</t>
        </is>
      </c>
      <c r="BI112" s="24" t="inlineStr">
        <is>
          <t>["same_event","same_team_same_day","same_league_same_day"]</t>
        </is>
      </c>
      <c r="BJ112" s="25" t="n"/>
      <c r="BK112" s="26" t="n">
        <v>-186</v>
      </c>
      <c r="BL112" s="27" t="n">
        <v>1.537634</v>
      </c>
      <c r="BM112" s="28" t="n">
        <v>0.65035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0.5376339999999999</v>
      </c>
      <c r="BZ112" s="24" t="inlineStr">
        <is>
          <t>2026-08-26T12:31:45.426627Z</t>
        </is>
      </c>
      <c r="CA112" s="31" t="inlineStr">
        <is>
          <t>fixed one-unit hypothetical scoring; no real exposure or execution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inlineStr">
        <is>
          <t>67b8fba948eb9764ae93d57f80f1115b6e5795e201366c26e7ecf952dae8e4b0</t>
        </is>
      </c>
      <c r="DE112" s="24" t="inlineStr">
        <is>
          <t>/Users/vincentc9002/model-prediction/data/odds/tennis/2026-08-25/polymarket_snapshots.jsonl</t>
        </is>
      </c>
      <c r="DF112" s="24" t="inlineStr">
        <is>
          <t>512480:2026-08-25T13:29:43.513904Z</t>
        </is>
      </c>
      <c r="DG112" s="24" t="n"/>
      <c r="DH112" s="24" t="n"/>
      <c r="DI112" s="24" t="n"/>
      <c r="DJ112" s="24" t="inlineStr">
        <is>
          <t>0.65035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00c1d5e9183a45a0</t>
        </is>
      </c>
      <c r="B113" s="24" t="inlineStr">
        <is>
          <t>2026-08-25T13:31:51.589728Z</t>
        </is>
      </c>
      <c r="C113" s="24" t="inlineStr">
        <is>
          <t>2026-08-25T16:30Z</t>
        </is>
      </c>
      <c r="D113" s="24" t="inlineStr">
        <is>
          <t>1075-2026:182123</t>
        </is>
      </c>
      <c r="E113" s="24" t="inlineStr">
        <is>
          <t>TENNIS</t>
        </is>
      </c>
      <c r="F113" s="24" t="inlineStr">
        <is>
          <t>Katie Volynets</t>
        </is>
      </c>
      <c r="G113" s="24" t="inlineStr">
        <is>
          <t>Mia Pohankova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-456</v>
      </c>
      <c r="M113" s="27" t="n">
        <v>1.219298</v>
      </c>
      <c r="N113" s="28" t="n">
        <v>0.820144</v>
      </c>
      <c r="O113" s="28" t="n">
        <v>0.7131999999999999</v>
      </c>
      <c r="P113" s="28" t="n">
        <v>0.05</v>
      </c>
      <c r="Q113" s="28" t="n">
        <v>-0.106944</v>
      </c>
      <c r="R113" s="26" t="n">
        <v>0</v>
      </c>
      <c r="S113" s="29" t="n">
        <v>1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0</v>
      </c>
      <c r="Y113" s="25" t="n"/>
      <c r="Z113" s="26" t="n">
        <v>-456</v>
      </c>
      <c r="AA113" s="28" t="n">
        <v>0.82</v>
      </c>
      <c r="AB113" s="28" t="n">
        <v>-0.000144</v>
      </c>
      <c r="AC113" s="30" t="n">
        <v>0.2193</v>
      </c>
      <c r="AD113" s="24" t="inlineStr">
        <is>
          <t>2026-08-26T12:31:46.686781Z</t>
        </is>
      </c>
      <c r="AE113" s="31" t="inlineStr">
        <is>
          <t>Surface-blended Elo on Hard: Katie Volynets p=0.713 vs Mia Pohankova. Executable ask 0.8200 (aec-wta-miapoh-katvol-2026-08-24).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Katie Volynets</t>
        </is>
      </c>
      <c r="AQ113" s="24" t="inlineStr">
        <is>
          <t>Katie Volynets</t>
        </is>
      </c>
      <c r="AR113" s="24" t="inlineStr">
        <is>
          <t>Katie Volynets</t>
        </is>
      </c>
      <c r="AS113" s="24" t="inlineStr">
        <is>
          <t>Mia Pohankova</t>
        </is>
      </c>
      <c r="AT113" s="24" t="inlineStr">
        <is>
          <t>Mia Pohankova</t>
        </is>
      </c>
      <c r="AU113" s="24" t="inlineStr">
        <is>
          <t>Mia Pohankova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d777da58446bc099047b154203518e2585ef1a678f613f2b430f2589f7bf5cff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d777da58446bc099047b154203518e2585ef1a678f613f2b430f2589f7bf5cff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d777da58446bc099047b154203518e2585ef1a678f613f2b430f2589f7bf5cff</t>
        </is>
      </c>
      <c r="BH113" s="24" t="inlineStr">
        <is>
          <t>2026-08-25T13:29:43.542884Z</t>
        </is>
      </c>
      <c r="BI113" s="24" t="inlineStr">
        <is>
          <t>["same_event","same_team_same_day","same_league_same_day"]</t>
        </is>
      </c>
      <c r="BJ113" s="25" t="n"/>
      <c r="BK113" s="26" t="n">
        <v>-456</v>
      </c>
      <c r="BL113" s="27" t="n">
        <v>1.219298</v>
      </c>
      <c r="BM113" s="28" t="n">
        <v>0.820144</v>
      </c>
      <c r="BN113" s="28" t="n"/>
      <c r="BO113" s="28" t="n"/>
      <c r="BP113" s="25" t="n"/>
      <c r="BQ113" s="27" t="n">
        <v>1.219298</v>
      </c>
      <c r="BR113" s="28" t="n">
        <v>0.82</v>
      </c>
      <c r="BS113" s="28" t="n"/>
      <c r="BT113" s="28" t="n"/>
      <c r="BU113" s="25" t="n"/>
      <c r="BV113" s="29" t="n"/>
      <c r="BW113" s="24" t="n"/>
      <c r="BX113" s="30" t="n">
        <v>1</v>
      </c>
      <c r="BY113" s="27" t="n">
        <v>0.219298</v>
      </c>
      <c r="BZ113" s="24" t="inlineStr">
        <is>
          <t>2026-08-26T12:31:46.686781Z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inlineStr">
        <is>
          <t>8224f39a9a97369c9ace1b79e9da3b01b0968dce5cca445da6717e97371403a0</t>
        </is>
      </c>
      <c r="DE113" s="24" t="inlineStr">
        <is>
          <t>/Users/vincentc9002/model-prediction/data/odds/tennis/2026-08-25/polymarket_snapshots.jsonl</t>
        </is>
      </c>
      <c r="DF113" s="24" t="inlineStr">
        <is>
          <t>505517:2026-08-25T13:29:43.542884Z</t>
        </is>
      </c>
      <c r="DG113" s="24" t="n"/>
      <c r="DH113" s="24" t="n"/>
      <c r="DI113" s="24" t="n"/>
      <c r="DJ113" s="24" t="inlineStr">
        <is>
          <t>0.820144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4d7d5ca8cb5d473d</t>
        </is>
      </c>
      <c r="B114" s="24" t="inlineStr">
        <is>
          <t>2026-08-25T13:31:51.589728Z</t>
        </is>
      </c>
      <c r="C114" s="24" t="inlineStr">
        <is>
          <t>2026-08-25T18:00Z</t>
        </is>
      </c>
      <c r="D114" s="24" t="inlineStr">
        <is>
          <t>1075-2026:182135</t>
        </is>
      </c>
      <c r="E114" s="24" t="inlineStr">
        <is>
          <t>TENNIS</t>
        </is>
      </c>
      <c r="F114" s="24" t="inlineStr">
        <is>
          <t>Kylie Collins</t>
        </is>
      </c>
      <c r="G114" s="24" t="inlineStr">
        <is>
          <t>Anastasia Zakharova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-1011</v>
      </c>
      <c r="M114" s="27" t="n">
        <v>1.098912</v>
      </c>
      <c r="N114" s="28" t="n">
        <v>0.909991</v>
      </c>
      <c r="O114" s="28" t="n">
        <v>0.6639</v>
      </c>
      <c r="P114" s="28" t="n">
        <v>0.05</v>
      </c>
      <c r="Q114" s="28" t="n">
        <v>-0.246091</v>
      </c>
      <c r="R114" s="26" t="n">
        <v>0</v>
      </c>
      <c r="S114" s="29" t="n">
        <v>1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>
        <v>-1011</v>
      </c>
      <c r="AA114" s="28" t="n">
        <v>0.91</v>
      </c>
      <c r="AB114" s="28" t="n">
        <v>9e-06</v>
      </c>
      <c r="AC114" s="30" t="n">
        <v>-1</v>
      </c>
      <c r="AD114" s="24" t="inlineStr">
        <is>
          <t>2026-08-26T12:31:47.944160Z</t>
        </is>
      </c>
      <c r="AE114" s="31" t="inlineStr">
        <is>
          <t>Surface-blended Elo on Hard: Kylie Collins p=0.336 vs Anastasia Zakharova. Executable ask 0.9100 (aec-wta-anazak-kylcol-2026-08-26).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PAPER_CALL_MODEL_UNVALIDATED</t>
        </is>
      </c>
      <c r="AP114" s="24" t="inlineStr">
        <is>
          <t>Kylie Collins</t>
        </is>
      </c>
      <c r="AQ114" s="24" t="inlineStr">
        <is>
          <t>Kylie Collins</t>
        </is>
      </c>
      <c r="AR114" s="24" t="inlineStr">
        <is>
          <t>Kylie Collins</t>
        </is>
      </c>
      <c r="AS114" s="24" t="inlineStr">
        <is>
          <t>Anastasia Zakharova</t>
        </is>
      </c>
      <c r="AT114" s="24" t="inlineStr">
        <is>
          <t>Anastasia Zakharova</t>
        </is>
      </c>
      <c r="AU114" s="24" t="inlineStr">
        <is>
          <t>Anastasia Zakharova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d777da58446bc099047b154203518e2585ef1a678f613f2b430f2589f7bf5cff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d777da58446bc099047b154203518e2585ef1a678f613f2b430f2589f7bf5cff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d777da58446bc099047b154203518e2585ef1a678f613f2b430f2589f7bf5cff</t>
        </is>
      </c>
      <c r="BH114" s="24" t="inlineStr">
        <is>
          <t>2026-08-25T13:29:43.580752Z</t>
        </is>
      </c>
      <c r="BI114" s="24" t="inlineStr">
        <is>
          <t>["same_event","same_team_same_day","same_league_same_day"]</t>
        </is>
      </c>
      <c r="BJ114" s="25" t="n"/>
      <c r="BK114" s="26" t="n">
        <v>-1011</v>
      </c>
      <c r="BL114" s="27" t="n">
        <v>1.098912</v>
      </c>
      <c r="BM114" s="28" t="n">
        <v>0.909991</v>
      </c>
      <c r="BN114" s="28" t="n"/>
      <c r="BO114" s="28" t="n"/>
      <c r="BP114" s="25" t="n"/>
      <c r="BQ114" s="27" t="n">
        <v>1.098912</v>
      </c>
      <c r="BR114" s="28" t="n">
        <v>0.91</v>
      </c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inlineStr">
        <is>
          <t>2026-08-26T12:31:47.944160Z</t>
        </is>
      </c>
      <c r="CA114" s="31" t="inlineStr">
        <is>
          <t>fixed one-unit hypothetical scoring; no real exposure or execution</t>
        </is>
      </c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inlineStr">
        <is>
          <t>e422dca2d63b328b5f0891eb59a9a66b52422b13149213f2feece332bc30cdba</t>
        </is>
      </c>
      <c r="DE114" s="24" t="inlineStr">
        <is>
          <t>/Users/vincentc9002/model-prediction/data/odds/tennis/2026-08-25/polymarket_snapshots.jsonl</t>
        </is>
      </c>
      <c r="DF114" s="24" t="inlineStr">
        <is>
          <t>512494:2026-08-25T13:29:43.580752Z</t>
        </is>
      </c>
      <c r="DG114" s="24" t="n"/>
      <c r="DH114" s="24" t="n"/>
      <c r="DI114" s="24" t="n"/>
      <c r="DJ114" s="24" t="inlineStr">
        <is>
          <t>0.909991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8943792355bd43f1</t>
        </is>
      </c>
      <c r="B115" s="24" t="inlineStr">
        <is>
          <t>2026-08-25T13:31:51.589728Z</t>
        </is>
      </c>
      <c r="C115" s="24" t="inlineStr">
        <is>
          <t>2026-08-25T22:00Z</t>
        </is>
      </c>
      <c r="D115" s="24" t="inlineStr">
        <is>
          <t>1075-2026:182133</t>
        </is>
      </c>
      <c r="E115" s="24" t="inlineStr">
        <is>
          <t>TENNIS</t>
        </is>
      </c>
      <c r="F115" s="24" t="inlineStr">
        <is>
          <t>Ashlyn Krueger</t>
        </is>
      </c>
      <c r="G115" s="24" t="inlineStr">
        <is>
          <t>Julia Grabher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-488</v>
      </c>
      <c r="M115" s="27" t="n">
        <v>1.204918</v>
      </c>
      <c r="N115" s="28" t="n">
        <v>0.829932</v>
      </c>
      <c r="O115" s="28" t="n">
        <v>0.6343</v>
      </c>
      <c r="P115" s="28" t="n">
        <v>0.05</v>
      </c>
      <c r="Q115" s="28" t="n">
        <v>-0.195632</v>
      </c>
      <c r="R115" s="26" t="n">
        <v>0</v>
      </c>
      <c r="S115" s="29" t="n">
        <v>1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-488</v>
      </c>
      <c r="AA115" s="28" t="n">
        <v>0.83</v>
      </c>
      <c r="AB115" s="28" t="n">
        <v>6.8e-05</v>
      </c>
      <c r="AC115" s="30" t="n">
        <v>-1</v>
      </c>
      <c r="AD115" s="24" t="inlineStr">
        <is>
          <t>2026-08-26T12:31:49.208743Z</t>
        </is>
      </c>
      <c r="AE115" s="31" t="inlineStr">
        <is>
          <t>Surface-blended Elo on Hard: Ashlyn Krueger p=0.634 vs Julia Grabher. Executable ask 0.8300 (aec-wta-julgra-ashkru-2026-08-25).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Ashlyn Krueger</t>
        </is>
      </c>
      <c r="AQ115" s="24" t="inlineStr">
        <is>
          <t>Ashlyn Krueger</t>
        </is>
      </c>
      <c r="AR115" s="24" t="inlineStr">
        <is>
          <t>Ashlyn Krueger</t>
        </is>
      </c>
      <c r="AS115" s="24" t="inlineStr">
        <is>
          <t>Julia Grabher</t>
        </is>
      </c>
      <c r="AT115" s="24" t="inlineStr">
        <is>
          <t>Julia Grabher</t>
        </is>
      </c>
      <c r="AU115" s="24" t="inlineStr">
        <is>
          <t>Julia Grabher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d777da58446bc099047b154203518e2585ef1a678f613f2b430f2589f7bf5cff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d777da58446bc099047b154203518e2585ef1a678f613f2b430f2589f7bf5cff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d777da58446bc099047b154203518e2585ef1a678f613f2b430f2589f7bf5cff</t>
        </is>
      </c>
      <c r="BH115" s="24" t="inlineStr">
        <is>
          <t>2026-08-25T13:29:43.686087Z</t>
        </is>
      </c>
      <c r="BI115" s="24" t="inlineStr">
        <is>
          <t>["same_event","same_team_same_day","same_league_same_day"]</t>
        </is>
      </c>
      <c r="BJ115" s="25" t="n"/>
      <c r="BK115" s="26" t="n">
        <v>-488</v>
      </c>
      <c r="BL115" s="27" t="n">
        <v>1.204918</v>
      </c>
      <c r="BM115" s="28" t="n">
        <v>0.829932</v>
      </c>
      <c r="BN115" s="28" t="n"/>
      <c r="BO115" s="28" t="n"/>
      <c r="BP115" s="25" t="n"/>
      <c r="BQ115" s="27" t="n">
        <v>1.204918</v>
      </c>
      <c r="BR115" s="28" t="n">
        <v>0.83</v>
      </c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2026-08-26T12:31:49.208743Z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inlineStr">
        <is>
          <t>aa5fa7c49f12c7a31084ecf84dcd43f7786393217fed2b0ef362655ced4dbf7f</t>
        </is>
      </c>
      <c r="DE115" s="24" t="inlineStr">
        <is>
          <t>/Users/vincentc9002/model-prediction/data/odds/tennis/2026-08-25/polymarket_snapshots.jsonl</t>
        </is>
      </c>
      <c r="DF115" s="24" t="inlineStr">
        <is>
          <t>512917:2026-08-25T13:29:43.686087Z</t>
        </is>
      </c>
      <c r="DG115" s="24" t="n"/>
      <c r="DH115" s="24" t="n"/>
      <c r="DI115" s="24" t="n"/>
      <c r="DJ115" s="24" t="inlineStr">
        <is>
          <t>0.829932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4e5ddbd5fb4247cc</t>
        </is>
      </c>
      <c r="B116" s="24" t="inlineStr">
        <is>
          <t>2026-08-25T13:31:51.589728Z</t>
        </is>
      </c>
      <c r="C116" s="24" t="inlineStr">
        <is>
          <t>2026-08-26T04:00Z</t>
        </is>
      </c>
      <c r="D116" s="24" t="inlineStr">
        <is>
          <t>1075-2026:182130</t>
        </is>
      </c>
      <c r="E116" s="24" t="inlineStr">
        <is>
          <t>TENNIS</t>
        </is>
      </c>
      <c r="F116" s="24" t="inlineStr">
        <is>
          <t>Ekaterina Ovcharenko</t>
        </is>
      </c>
      <c r="G116" s="24" t="inlineStr">
        <is>
          <t>Fiona Crawley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-733</v>
      </c>
      <c r="M116" s="27" t="n">
        <v>1.136426</v>
      </c>
      <c r="N116" s="28" t="n">
        <v>0.879952</v>
      </c>
      <c r="O116" s="28" t="n">
        <v>0.6218</v>
      </c>
      <c r="P116" s="28" t="n">
        <v>0.05</v>
      </c>
      <c r="Q116" s="28" t="n">
        <v>-0.258152</v>
      </c>
      <c r="R116" s="26" t="n">
        <v>0</v>
      </c>
      <c r="S116" s="29" t="n">
        <v>1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win</t>
        </is>
      </c>
      <c r="W116" s="26" t="n">
        <v>0</v>
      </c>
      <c r="X116" s="26" t="n">
        <v>1</v>
      </c>
      <c r="Y116" s="25" t="n"/>
      <c r="Z116" s="26" t="n"/>
      <c r="AA116" s="28" t="n"/>
      <c r="AB116" s="28" t="n"/>
      <c r="AC116" s="30" t="n">
        <v>0.1364</v>
      </c>
      <c r="AD116" s="24" t="inlineStr">
        <is>
          <t>2026-08-26T22:10:28.652146Z</t>
        </is>
      </c>
      <c r="AE116" s="31" t="inlineStr">
        <is>
          <t>Surface-blended Elo on Hard: Ekaterina Ovcharenko p=0.378 vs Fiona Crawley. Executable ask 0.8800 (aec-wta-fiocra-ekaovc-2026-08-25).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Ekaterina Ovcharenko</t>
        </is>
      </c>
      <c r="AQ116" s="24" t="inlineStr">
        <is>
          <t>Ekaterina Ovcharenko</t>
        </is>
      </c>
      <c r="AR116" s="24" t="inlineStr">
        <is>
          <t>Ekaterina Ovcharenko</t>
        </is>
      </c>
      <c r="AS116" s="24" t="inlineStr">
        <is>
          <t>Fiona Crawley</t>
        </is>
      </c>
      <c r="AT116" s="24" t="inlineStr">
        <is>
          <t>Fiona Crawley</t>
        </is>
      </c>
      <c r="AU116" s="24" t="inlineStr">
        <is>
          <t>Fiona Crawley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d777da58446bc099047b154203518e2585ef1a678f613f2b430f2589f7bf5cff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d777da58446bc099047b154203518e2585ef1a678f613f2b430f2589f7bf5cff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d777da58446bc099047b154203518e2585ef1a678f613f2b430f2589f7bf5cff</t>
        </is>
      </c>
      <c r="BH116" s="24" t="inlineStr">
        <is>
          <t>2026-08-25T06:23:07.847246Z</t>
        </is>
      </c>
      <c r="BI116" s="24" t="inlineStr">
        <is>
          <t>["same_event","same_team_same_day","same_league_same_day"]</t>
        </is>
      </c>
      <c r="BJ116" s="25" t="n"/>
      <c r="BK116" s="26" t="n">
        <v>-733</v>
      </c>
      <c r="BL116" s="27" t="n">
        <v>1.136426</v>
      </c>
      <c r="BM116" s="28" t="n">
        <v>0.879952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0.136426</v>
      </c>
      <c r="BZ116" s="24" t="inlineStr">
        <is>
          <t>2026-08-26T22:10:28.652146Z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inlineStr">
        <is>
          <t>35db5e2172f1cf87a48086873fa7f686e53faf5fb83d3d5c9ab7bbec4ab7993e</t>
        </is>
      </c>
      <c r="DE116" s="24" t="inlineStr">
        <is>
          <t>/Users/vincentc9002/model-prediction/data/odds/tennis/2026-08-25/polymarket_snapshots.jsonl</t>
        </is>
      </c>
      <c r="DF116" s="24" t="inlineStr">
        <is>
          <t>515151:2026-08-25T06:23:07.847246Z</t>
        </is>
      </c>
      <c r="DG116" s="24" t="n"/>
      <c r="DH116" s="24" t="n"/>
      <c r="DI116" s="24" t="n"/>
      <c r="DJ116" s="24" t="inlineStr">
        <is>
          <t>0.879952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168946924fa14d96</t>
        </is>
      </c>
      <c r="B117" s="24" t="inlineStr">
        <is>
          <t>2026-08-25T13:31:51.589728Z</t>
        </is>
      </c>
      <c r="C117" s="24" t="inlineStr">
        <is>
          <t>2026-08-25T15:00Z</t>
        </is>
      </c>
      <c r="D117" s="24" t="inlineStr">
        <is>
          <t>189-2026:184718</t>
        </is>
      </c>
      <c r="E117" s="24" t="inlineStr">
        <is>
          <t>TENNIS</t>
        </is>
      </c>
      <c r="F117" s="24" t="inlineStr">
        <is>
          <t>Kristina Penickova</t>
        </is>
      </c>
      <c r="G117" s="24" t="inlineStr">
        <is>
          <t>Elizabeth Mandlik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335</v>
      </c>
      <c r="M117" s="27" t="n">
        <v>4.35</v>
      </c>
      <c r="N117" s="28" t="n">
        <v>0.229885</v>
      </c>
      <c r="O117" s="28" t="n">
        <v>0.5232</v>
      </c>
      <c r="P117" s="28" t="n">
        <v>0.05</v>
      </c>
      <c r="Q117" s="28" t="n">
        <v>0.293315</v>
      </c>
      <c r="R117" s="26" t="n">
        <v>100</v>
      </c>
      <c r="S117" s="29" t="n">
        <v>2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335</v>
      </c>
      <c r="AA117" s="28" t="n">
        <v>0.23</v>
      </c>
      <c r="AB117" s="28" t="n">
        <v>0.000115</v>
      </c>
      <c r="AC117" s="30" t="n">
        <v>6.7</v>
      </c>
      <c r="AD117" s="24" t="inlineStr">
        <is>
          <t>2026-08-26T12:31:50.640531Z</t>
        </is>
      </c>
      <c r="AE117" s="31" t="inlineStr">
        <is>
          <t>Surface-blended Elo on Hard: Kristina Penickova p=0.523 vs Elizabeth Mandlik. Executable ask 0.2300 (aec-wta-eliman-kripen-2026-08-25).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Kristina Penickova</t>
        </is>
      </c>
      <c r="AQ117" s="24" t="inlineStr">
        <is>
          <t>Kristina Penickova</t>
        </is>
      </c>
      <c r="AR117" s="24" t="inlineStr">
        <is>
          <t>Kristina Penickova</t>
        </is>
      </c>
      <c r="AS117" s="24" t="inlineStr">
        <is>
          <t>Elizabeth Mandlik</t>
        </is>
      </c>
      <c r="AT117" s="24" t="inlineStr">
        <is>
          <t>Elizabeth Mandlik</t>
        </is>
      </c>
      <c r="AU117" s="24" t="inlineStr">
        <is>
          <t>Elizabeth Mandlik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d777da58446bc099047b154203518e2585ef1a678f613f2b430f2589f7bf5cff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d777da58446bc099047b154203518e2585ef1a678f613f2b430f2589f7bf5cff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d777da58446bc099047b154203518e2585ef1a678f613f2b430f2589f7bf5cff</t>
        </is>
      </c>
      <c r="BH117" s="24" t="inlineStr">
        <is>
          <t>2026-08-25T13:29:43.517262Z</t>
        </is>
      </c>
      <c r="BI117" s="24" t="inlineStr">
        <is>
          <t>["same_event","same_team_same_day","same_league_same_day"]</t>
        </is>
      </c>
      <c r="BJ117" s="25" t="n"/>
      <c r="BK117" s="26" t="n">
        <v>335</v>
      </c>
      <c r="BL117" s="27" t="n">
        <v>4.35</v>
      </c>
      <c r="BM117" s="28" t="n">
        <v>0.229885</v>
      </c>
      <c r="BN117" s="28" t="n"/>
      <c r="BO117" s="28" t="n"/>
      <c r="BP117" s="25" t="n"/>
      <c r="BQ117" s="27" t="n">
        <v>4.35</v>
      </c>
      <c r="BR117" s="28" t="n">
        <v>0.23</v>
      </c>
      <c r="BS117" s="28" t="n"/>
      <c r="BT117" s="28" t="n"/>
      <c r="BU117" s="25" t="n"/>
      <c r="BV117" s="29" t="n"/>
      <c r="BW117" s="24" t="n"/>
      <c r="BX117" s="30" t="n">
        <v>1</v>
      </c>
      <c r="BY117" s="27" t="n">
        <v>3.350001</v>
      </c>
      <c r="BZ117" s="24" t="inlineStr">
        <is>
          <t>2026-08-26T12:31:50.640531Z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inlineStr">
        <is>
          <t>17a7f3d2c5131fceaf0bc8a7255132bea1a655c9ca66074486a9d8fd6515e1e5</t>
        </is>
      </c>
      <c r="DE117" s="24" t="inlineStr">
        <is>
          <t>/Users/vincentc9002/model-prediction/data/odds/tennis/2026-08-25/polymarket_snapshots.jsonl</t>
        </is>
      </c>
      <c r="DF117" s="24" t="inlineStr">
        <is>
          <t>506068:2026-08-25T13:29:43.517262Z</t>
        </is>
      </c>
      <c r="DG117" s="24" t="n"/>
      <c r="DH117" s="24" t="n"/>
      <c r="DI117" s="24" t="n"/>
      <c r="DJ117" s="24" t="inlineStr">
        <is>
          <t>0.229885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cf024cf16be44e91</t>
        </is>
      </c>
      <c r="B118" s="24" t="inlineStr">
        <is>
          <t>2026-08-25T13:31:51.589728Z</t>
        </is>
      </c>
      <c r="C118" s="24" t="inlineStr">
        <is>
          <t>2026-08-25T15:00Z</t>
        </is>
      </c>
      <c r="D118" s="24" t="inlineStr">
        <is>
          <t>189-2026:184721</t>
        </is>
      </c>
      <c r="E118" s="24" t="inlineStr">
        <is>
          <t>TENNIS</t>
        </is>
      </c>
      <c r="F118" s="24" t="inlineStr">
        <is>
          <t>Elizara Yaneva</t>
        </is>
      </c>
      <c r="G118" s="24" t="inlineStr">
        <is>
          <t>Lucie Havlickova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170</v>
      </c>
      <c r="M118" s="27" t="n">
        <v>2.7</v>
      </c>
      <c r="N118" s="28" t="n">
        <v>0.37037</v>
      </c>
      <c r="O118" s="28" t="n">
        <v>0.5109</v>
      </c>
      <c r="P118" s="28" t="n">
        <v>0.05</v>
      </c>
      <c r="Q118" s="28" t="n">
        <v>0.14053</v>
      </c>
      <c r="R118" s="26" t="n">
        <v>90</v>
      </c>
      <c r="S118" s="29" t="n">
        <v>1.5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0</v>
      </c>
      <c r="X118" s="26" t="n">
        <v>1</v>
      </c>
      <c r="Y118" s="25" t="n"/>
      <c r="Z118" s="26" t="n">
        <v>170</v>
      </c>
      <c r="AA118" s="28" t="n">
        <v>0.37</v>
      </c>
      <c r="AB118" s="28" t="n">
        <v>-0.00037</v>
      </c>
      <c r="AC118" s="30" t="n">
        <v>2.55</v>
      </c>
      <c r="AD118" s="24" t="inlineStr">
        <is>
          <t>2026-08-26T12:31:51.970439Z</t>
        </is>
      </c>
      <c r="AE118" s="31" t="inlineStr">
        <is>
          <t>Surface-blended Elo on Hard: Elizara Yaneva p=0.489 vs Lucie Havlickova. Executable ask 0.3700 (aec-wta-luchav-eliyan-2026-08-25).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Elizara Yaneva</t>
        </is>
      </c>
      <c r="AQ118" s="24" t="inlineStr">
        <is>
          <t>Elizara Yaneva</t>
        </is>
      </c>
      <c r="AR118" s="24" t="inlineStr">
        <is>
          <t>Elizara Yaneva</t>
        </is>
      </c>
      <c r="AS118" s="24" t="inlineStr">
        <is>
          <t>Lucie Havlickova</t>
        </is>
      </c>
      <c r="AT118" s="24" t="inlineStr">
        <is>
          <t>Lucie Havlickova</t>
        </is>
      </c>
      <c r="AU118" s="24" t="inlineStr">
        <is>
          <t>Lucie Havlickova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d777da58446bc099047b154203518e2585ef1a678f613f2b430f2589f7bf5cff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d777da58446bc099047b154203518e2585ef1a678f613f2b430f2589f7bf5cff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d777da58446bc099047b154203518e2585ef1a678f613f2b430f2589f7bf5cff</t>
        </is>
      </c>
      <c r="BH118" s="24" t="inlineStr">
        <is>
          <t>2026-08-25T13:29:43.502336Z</t>
        </is>
      </c>
      <c r="BI118" s="24" t="inlineStr">
        <is>
          <t>["same_event","same_team_same_day","same_league_same_day"]</t>
        </is>
      </c>
      <c r="BJ118" s="25" t="n"/>
      <c r="BK118" s="26" t="n">
        <v>170</v>
      </c>
      <c r="BL118" s="27" t="n">
        <v>2.7</v>
      </c>
      <c r="BM118" s="28" t="n">
        <v>0.37037</v>
      </c>
      <c r="BN118" s="28" t="n"/>
      <c r="BO118" s="28" t="n"/>
      <c r="BP118" s="25" t="n"/>
      <c r="BQ118" s="27" t="n">
        <v>2.7</v>
      </c>
      <c r="BR118" s="28" t="n">
        <v>0.37</v>
      </c>
      <c r="BS118" s="28" t="n"/>
      <c r="BT118" s="28" t="n"/>
      <c r="BU118" s="25" t="n"/>
      <c r="BV118" s="29" t="n"/>
      <c r="BW118" s="24" t="n"/>
      <c r="BX118" s="30" t="n">
        <v>1</v>
      </c>
      <c r="BY118" s="27" t="n">
        <v>1.700003</v>
      </c>
      <c r="BZ118" s="24" t="inlineStr">
        <is>
          <t>2026-08-26T12:31:51.970439Z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inlineStr">
        <is>
          <t>b8f4b0c8a24ef57d9c88c4696085c481620bd27f2e0829dd65761df20260b315</t>
        </is>
      </c>
      <c r="DE118" s="24" t="inlineStr">
        <is>
          <t>/Users/vincentc9002/model-prediction/data/odds/tennis/2026-08-25/polymarket_snapshots.jsonl</t>
        </is>
      </c>
      <c r="DF118" s="24" t="inlineStr">
        <is>
          <t>506034:2026-08-25T13:29:43.502336Z</t>
        </is>
      </c>
      <c r="DG118" s="24" t="n"/>
      <c r="DH118" s="24" t="n"/>
      <c r="DI118" s="24" t="n"/>
      <c r="DJ118" s="24" t="inlineStr">
        <is>
          <t>0.37037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49278096b3a94e2d</t>
        </is>
      </c>
      <c r="B119" s="24" t="inlineStr">
        <is>
          <t>2026-08-25T13:31:51.589728Z</t>
        </is>
      </c>
      <c r="C119" s="24" t="inlineStr">
        <is>
          <t>2026-08-25T15:00Z</t>
        </is>
      </c>
      <c r="D119" s="24" t="inlineStr">
        <is>
          <t>189-2026:184727</t>
        </is>
      </c>
      <c r="E119" s="24" t="inlineStr">
        <is>
          <t>TENNIS</t>
        </is>
      </c>
      <c r="F119" s="24" t="inlineStr">
        <is>
          <t>Polona Hercog</t>
        </is>
      </c>
      <c r="G119" s="24" t="inlineStr">
        <is>
          <t>Moyuka Uchijima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-456</v>
      </c>
      <c r="M119" s="27" t="n">
        <v>1.219298</v>
      </c>
      <c r="N119" s="28" t="n">
        <v>0.820144</v>
      </c>
      <c r="O119" s="28" t="n">
        <v>0.583</v>
      </c>
      <c r="P119" s="28" t="n">
        <v>0.05</v>
      </c>
      <c r="Q119" s="28" t="n">
        <v>-0.237144</v>
      </c>
      <c r="R119" s="26" t="n">
        <v>0</v>
      </c>
      <c r="S119" s="29" t="n">
        <v>1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1</v>
      </c>
      <c r="Y119" s="25" t="n"/>
      <c r="Z119" s="26" t="n">
        <v>-456</v>
      </c>
      <c r="AA119" s="28" t="n">
        <v>0.82</v>
      </c>
      <c r="AB119" s="28" t="n">
        <v>-0.000144</v>
      </c>
      <c r="AC119" s="30" t="n">
        <v>0.2193</v>
      </c>
      <c r="AD119" s="24" t="inlineStr">
        <is>
          <t>2026-08-26T12:31:53.233086Z</t>
        </is>
      </c>
      <c r="AE119" s="31" t="inlineStr">
        <is>
          <t>Surface-blended Elo on Hard: Polona Hercog p=0.417 vs Moyuka Uchijima. Executable ask 0.8200 (aec-wta-moyuch-polher-2026-08-25).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Polona Hercog</t>
        </is>
      </c>
      <c r="AQ119" s="24" t="inlineStr">
        <is>
          <t>Polona Hercog</t>
        </is>
      </c>
      <c r="AR119" s="24" t="inlineStr">
        <is>
          <t>Polona Hercog</t>
        </is>
      </c>
      <c r="AS119" s="24" t="inlineStr">
        <is>
          <t>Moyuka Uchijima</t>
        </is>
      </c>
      <c r="AT119" s="24" t="inlineStr">
        <is>
          <t>Moyuka Uchijima</t>
        </is>
      </c>
      <c r="AU119" s="24" t="inlineStr">
        <is>
          <t>Moyuka Uchijima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d777da58446bc099047b154203518e2585ef1a678f613f2b430f2589f7bf5cff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d777da58446bc099047b154203518e2585ef1a678f613f2b430f2589f7bf5cff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d777da58446bc099047b154203518e2585ef1a678f613f2b430f2589f7bf5cff</t>
        </is>
      </c>
      <c r="BH119" s="24" t="inlineStr">
        <is>
          <t>2026-08-25T13:29:43.488512Z</t>
        </is>
      </c>
      <c r="BI119" s="24" t="inlineStr">
        <is>
          <t>["same_event","same_team_same_day","same_league_same_day"]</t>
        </is>
      </c>
      <c r="BJ119" s="25" t="n"/>
      <c r="BK119" s="26" t="n">
        <v>-456</v>
      </c>
      <c r="BL119" s="27" t="n">
        <v>1.219298</v>
      </c>
      <c r="BM119" s="28" t="n">
        <v>0.820144</v>
      </c>
      <c r="BN119" s="28" t="n"/>
      <c r="BO119" s="28" t="n"/>
      <c r="BP119" s="25" t="n"/>
      <c r="BQ119" s="27" t="n">
        <v>1.219298</v>
      </c>
      <c r="BR119" s="28" t="n">
        <v>0.82</v>
      </c>
      <c r="BS119" s="28" t="n"/>
      <c r="BT119" s="28" t="n"/>
      <c r="BU119" s="25" t="n"/>
      <c r="BV119" s="29" t="n"/>
      <c r="BW119" s="24" t="n"/>
      <c r="BX119" s="30" t="n">
        <v>1</v>
      </c>
      <c r="BY119" s="27" t="n">
        <v>0.219298</v>
      </c>
      <c r="BZ119" s="24" t="inlineStr">
        <is>
          <t>2026-08-26T12:31:53.233086Z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inlineStr">
        <is>
          <t>b7d0e64d17a47a0559af8b998a5af9332bf463469055d5197dbc5db866ac8a42</t>
        </is>
      </c>
      <c r="DE119" s="24" t="inlineStr">
        <is>
          <t>/Users/vincentc9002/model-prediction/data/odds/tennis/2026-08-25/polymarket_snapshots.jsonl</t>
        </is>
      </c>
      <c r="DF119" s="24" t="inlineStr">
        <is>
          <t>506032:2026-08-25T13:29:43.488512Z</t>
        </is>
      </c>
      <c r="DG119" s="24" t="n"/>
      <c r="DH119" s="24" t="n"/>
      <c r="DI119" s="24" t="n"/>
      <c r="DJ119" s="24" t="inlineStr">
        <is>
          <t>0.820144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a032ca9622a2447a</t>
        </is>
      </c>
      <c r="B120" s="24" t="inlineStr">
        <is>
          <t>2026-08-25T13:31:51.589728Z</t>
        </is>
      </c>
      <c r="C120" s="24" t="inlineStr">
        <is>
          <t>2026-08-25T15:00Z</t>
        </is>
      </c>
      <c r="D120" s="24" t="inlineStr">
        <is>
          <t>189-2026:184742</t>
        </is>
      </c>
      <c r="E120" s="24" t="inlineStr">
        <is>
          <t>TENNIS</t>
        </is>
      </c>
      <c r="F120" s="24" t="inlineStr">
        <is>
          <t>Tamara Zidansek</t>
        </is>
      </c>
      <c r="G120" s="24" t="inlineStr">
        <is>
          <t>Laura Samson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150</v>
      </c>
      <c r="M120" s="27" t="n">
        <v>2.5</v>
      </c>
      <c r="N120" s="28" t="n">
        <v>0.4</v>
      </c>
      <c r="O120" s="28" t="n">
        <v>0.6358</v>
      </c>
      <c r="P120" s="28" t="n">
        <v>0.05</v>
      </c>
      <c r="Q120" s="28" t="n">
        <v>0.2358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150</v>
      </c>
      <c r="AA120" s="28" t="n">
        <v>0.4</v>
      </c>
      <c r="AB120" s="28" t="n">
        <v>0</v>
      </c>
      <c r="AC120" s="30" t="n">
        <v>3</v>
      </c>
      <c r="AD120" s="24" t="inlineStr">
        <is>
          <t>2026-08-26T12:31:54.507321Z</t>
        </is>
      </c>
      <c r="AE120" s="31" t="inlineStr">
        <is>
          <t>Surface-blended Elo on Hard: Tamara Zidansek p=0.636 vs Laura Samson. Executable ask 0.4000 (aec-wta-lausam-tamzid-2026-08-25).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Tamara Zidansek</t>
        </is>
      </c>
      <c r="AQ120" s="24" t="inlineStr">
        <is>
          <t>Tamara Zidansek</t>
        </is>
      </c>
      <c r="AR120" s="24" t="inlineStr">
        <is>
          <t>Tamara Zidansek</t>
        </is>
      </c>
      <c r="AS120" s="24" t="inlineStr">
        <is>
          <t>Laura Samson</t>
        </is>
      </c>
      <c r="AT120" s="24" t="inlineStr">
        <is>
          <t>Laura Samson</t>
        </is>
      </c>
      <c r="AU120" s="24" t="inlineStr">
        <is>
          <t>Laura Samson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d777da58446bc099047b154203518e2585ef1a678f613f2b430f2589f7bf5cff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d777da58446bc099047b154203518e2585ef1a678f613f2b430f2589f7bf5cff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d777da58446bc099047b154203518e2585ef1a678f613f2b430f2589f7bf5cff</t>
        </is>
      </c>
      <c r="BH120" s="24" t="inlineStr">
        <is>
          <t>2026-08-25T13:29:43.522575Z</t>
        </is>
      </c>
      <c r="BI120" s="24" t="inlineStr">
        <is>
          <t>["same_event","same_team_same_day","same_league_same_day"]</t>
        </is>
      </c>
      <c r="BJ120" s="25" t="n"/>
      <c r="BK120" s="26" t="n">
        <v>150</v>
      </c>
      <c r="BL120" s="27" t="n">
        <v>2.5</v>
      </c>
      <c r="BM120" s="28" t="n">
        <v>0.4</v>
      </c>
      <c r="BN120" s="28" t="n"/>
      <c r="BO120" s="28" t="n"/>
      <c r="BP120" s="25" t="n"/>
      <c r="BQ120" s="27" t="n">
        <v>2.5</v>
      </c>
      <c r="BR120" s="28" t="n">
        <v>0.4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inlineStr">
        <is>
          <t>080b494943971dd6887405d759e9bfd17bc0cdacb6947a047d435fb307f83cf1</t>
        </is>
      </c>
      <c r="DE120" s="24" t="inlineStr">
        <is>
          <t>/Users/vincentc9002/model-prediction/data/odds/tennis/2026-08-25/polymarket_snapshots.jsonl</t>
        </is>
      </c>
      <c r="DF120" s="24" t="inlineStr">
        <is>
          <t>506077:2026-08-25T13:29:43.522575Z</t>
        </is>
      </c>
      <c r="DG120" s="24" t="n"/>
      <c r="DH120" s="24" t="n"/>
      <c r="DI120" s="24" t="n"/>
      <c r="DJ120" s="24" t="inlineStr">
        <is>
          <t>0.4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99be688968484b2c</t>
        </is>
      </c>
      <c r="B121" s="24" t="inlineStr">
        <is>
          <t>2026-08-25T13:31:51.589728Z</t>
        </is>
      </c>
      <c r="C121" s="24" t="inlineStr">
        <is>
          <t>2026-08-25T16:30Z</t>
        </is>
      </c>
      <c r="D121" s="24" t="inlineStr">
        <is>
          <t>189-2026:184710</t>
        </is>
      </c>
      <c r="E121" s="24" t="inlineStr">
        <is>
          <t>TENNIS</t>
        </is>
      </c>
      <c r="F121" s="24" t="inlineStr">
        <is>
          <t>Susan Bandecchi</t>
        </is>
      </c>
      <c r="G121" s="24" t="inlineStr">
        <is>
          <t>Alina Charaeva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0.7433999999999999</v>
      </c>
      <c r="P121" s="28" t="n">
        <v>0.05</v>
      </c>
      <c r="Q121" s="28" t="n">
        <v>0.083536</v>
      </c>
      <c r="R121" s="26" t="n">
        <v>62</v>
      </c>
      <c r="S121" s="29" t="n">
        <v>1.25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loss</t>
        </is>
      </c>
      <c r="W121" s="26" t="n">
        <v>1</v>
      </c>
      <c r="X121" s="26" t="n">
        <v>0</v>
      </c>
      <c r="Y121" s="25" t="n"/>
      <c r="Z121" s="26" t="n">
        <v>-194</v>
      </c>
      <c r="AA121" s="28" t="n">
        <v>0.66</v>
      </c>
      <c r="AB121" s="28" t="n">
        <v>0.000136</v>
      </c>
      <c r="AC121" s="30" t="n">
        <v>-1.25</v>
      </c>
      <c r="AD121" s="24" t="inlineStr">
        <is>
          <t>2026-08-26T12:31:55.786404Z</t>
        </is>
      </c>
      <c r="AE121" s="31" t="inlineStr">
        <is>
          <t>Surface-blended Elo on Hard: Susan Bandecchi p=0.257 vs Alina Charaeva. Executable ask 0.6600 (aec-wta-alicha-susban-2026-08-25).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Susan Bandecchi</t>
        </is>
      </c>
      <c r="AQ121" s="24" t="inlineStr">
        <is>
          <t>Susan Bandecchi</t>
        </is>
      </c>
      <c r="AR121" s="24" t="inlineStr">
        <is>
          <t>Susan Bandecchi</t>
        </is>
      </c>
      <c r="AS121" s="24" t="inlineStr">
        <is>
          <t>Alina Charaeva</t>
        </is>
      </c>
      <c r="AT121" s="24" t="inlineStr">
        <is>
          <t>Alina Charaeva</t>
        </is>
      </c>
      <c r="AU121" s="24" t="inlineStr">
        <is>
          <t>Alina Charaeva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d777da58446bc099047b154203518e2585ef1a678f613f2b430f2589f7bf5cff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d777da58446bc099047b154203518e2585ef1a678f613f2b430f2589f7bf5cff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d777da58446bc099047b154203518e2585ef1a678f613f2b430f2589f7bf5cff</t>
        </is>
      </c>
      <c r="BH121" s="24" t="inlineStr">
        <is>
          <t>2026-08-25T13:29:43.527816Z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/>
      <c r="BO121" s="28" t="n"/>
      <c r="BP121" s="25" t="n"/>
      <c r="BQ121" s="27" t="n">
        <v>1.515464</v>
      </c>
      <c r="BR121" s="28" t="n">
        <v>0.66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inlineStr">
        <is>
          <t>a21e0a8597fe35801ff7cd078fa0f6017c8f872ba12f0f72663498cb5d31b95d</t>
        </is>
      </c>
      <c r="DE121" s="24" t="inlineStr">
        <is>
          <t>/Users/vincentc9002/model-prediction/data/odds/tennis/2026-08-25/polymarket_snapshots.jsonl</t>
        </is>
      </c>
      <c r="DF121" s="24" t="inlineStr">
        <is>
          <t>506060:2026-08-25T13:29:43.527816Z</t>
        </is>
      </c>
      <c r="DG121" s="24" t="n"/>
      <c r="DH121" s="24" t="n"/>
      <c r="DI121" s="24" t="n"/>
      <c r="DJ121" s="24" t="inlineStr">
        <is>
          <t>0.659864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1981f596354a47f1</t>
        </is>
      </c>
      <c r="B122" s="24" t="inlineStr">
        <is>
          <t>2026-08-25T13:31:51.589728Z</t>
        </is>
      </c>
      <c r="C122" s="24" t="inlineStr">
        <is>
          <t>2026-08-25T16:30Z</t>
        </is>
      </c>
      <c r="D122" s="24" t="inlineStr">
        <is>
          <t>189-2026:184715</t>
        </is>
      </c>
      <c r="E122" s="24" t="inlineStr">
        <is>
          <t>TENNIS</t>
        </is>
      </c>
      <c r="F122" s="24" t="inlineStr">
        <is>
          <t>Emerson Jones</t>
        </is>
      </c>
      <c r="G122" s="24" t="inlineStr">
        <is>
          <t>Suzan Lamens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178</v>
      </c>
      <c r="M122" s="27" t="n">
        <v>2.78</v>
      </c>
      <c r="N122" s="28" t="n">
        <v>0.359712</v>
      </c>
      <c r="O122" s="28" t="n">
        <v>0.5138</v>
      </c>
      <c r="P122" s="28" t="n">
        <v>0.05</v>
      </c>
      <c r="Q122" s="28" t="n">
        <v>0.154088</v>
      </c>
      <c r="R122" s="26" t="n">
        <v>97</v>
      </c>
      <c r="S122" s="29" t="n">
        <v>1.75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178</v>
      </c>
      <c r="AA122" s="28" t="n">
        <v>0.36</v>
      </c>
      <c r="AB122" s="28" t="n">
        <v>0.000288</v>
      </c>
      <c r="AC122" s="30" t="n">
        <v>3.115</v>
      </c>
      <c r="AD122" s="24" t="inlineStr">
        <is>
          <t>2026-08-26T12:31:57.066093Z</t>
        </is>
      </c>
      <c r="AE122" s="31" t="inlineStr">
        <is>
          <t>Surface-blended Elo on Hard: Emerson Jones p=0.486 vs Suzan Lamens. Executable ask 0.3600 (aec-wta-suzlam-emejon-2026-08-25).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Emerson Jones</t>
        </is>
      </c>
      <c r="AQ122" s="24" t="inlineStr">
        <is>
          <t>Emerson Jones</t>
        </is>
      </c>
      <c r="AR122" s="24" t="inlineStr">
        <is>
          <t>Emerson Jones</t>
        </is>
      </c>
      <c r="AS122" s="24" t="inlineStr">
        <is>
          <t>Suzan Lamens</t>
        </is>
      </c>
      <c r="AT122" s="24" t="inlineStr">
        <is>
          <t>Suzan Lamens</t>
        </is>
      </c>
      <c r="AU122" s="24" t="inlineStr">
        <is>
          <t>Suzan Lamens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d777da58446bc099047b154203518e2585ef1a678f613f2b430f2589f7bf5cff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d777da58446bc099047b154203518e2585ef1a678f613f2b430f2589f7bf5cff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d777da58446bc099047b154203518e2585ef1a678f613f2b430f2589f7bf5cff</t>
        </is>
      </c>
      <c r="BH122" s="24" t="inlineStr">
        <is>
          <t>2026-08-25T13:29:43.537377Z</t>
        </is>
      </c>
      <c r="BI122" s="24" t="inlineStr">
        <is>
          <t>["same_event","same_team_same_day","same_league_same_day"]</t>
        </is>
      </c>
      <c r="BJ122" s="25" t="n"/>
      <c r="BK122" s="26" t="n">
        <v>178</v>
      </c>
      <c r="BL122" s="27" t="n">
        <v>2.78</v>
      </c>
      <c r="BM122" s="28" t="n">
        <v>0.359712</v>
      </c>
      <c r="BN122" s="28" t="n"/>
      <c r="BO122" s="28" t="n"/>
      <c r="BP122" s="25" t="n"/>
      <c r="BQ122" s="27" t="n">
        <v>2.78</v>
      </c>
      <c r="BR122" s="28" t="n">
        <v>0.36</v>
      </c>
      <c r="BS122" s="28" t="n"/>
      <c r="BT122" s="28" t="n"/>
      <c r="BU122" s="25" t="n"/>
      <c r="BV122" s="29" t="n"/>
      <c r="BW122" s="24" t="n"/>
      <c r="BX122" s="30" t="n">
        <v>1</v>
      </c>
      <c r="BY122" s="27" t="n">
        <v>1.780002</v>
      </c>
      <c r="BZ122" s="24" t="inlineStr">
        <is>
          <t>2026-08-26T12:31:57.066093Z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inlineStr">
        <is>
          <t>a343861823ad6e4a591402f20e1d328b0632a1f2944d8bd04e3eb1adce75fd20</t>
        </is>
      </c>
      <c r="DE122" s="24" t="inlineStr">
        <is>
          <t>/Users/vincentc9002/model-prediction/data/odds/tennis/2026-08-25/polymarket_snapshots.jsonl</t>
        </is>
      </c>
      <c r="DF122" s="24" t="inlineStr">
        <is>
          <t>506066:2026-08-25T13:29:43.537377Z</t>
        </is>
      </c>
      <c r="DG122" s="24" t="n"/>
      <c r="DH122" s="24" t="n"/>
      <c r="DI122" s="24" t="n"/>
      <c r="DJ122" s="24" t="inlineStr">
        <is>
          <t>0.359712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494f1ad5374f4838</t>
        </is>
      </c>
      <c r="B123" s="24" t="inlineStr">
        <is>
          <t>2026-08-25T13:31:51.589728Z</t>
        </is>
      </c>
      <c r="C123" s="24" t="inlineStr">
        <is>
          <t>2026-08-25T16:30Z</t>
        </is>
      </c>
      <c r="D123" s="24" t="inlineStr">
        <is>
          <t>189-2026:184719</t>
        </is>
      </c>
      <c r="E123" s="24" t="inlineStr">
        <is>
          <t>TENNIS</t>
        </is>
      </c>
      <c r="F123" s="24" t="inlineStr">
        <is>
          <t>Julia Riera</t>
        </is>
      </c>
      <c r="G123" s="24" t="inlineStr">
        <is>
          <t>Viktoria Hruncakova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-133</v>
      </c>
      <c r="M123" s="27" t="n">
        <v>1.75188</v>
      </c>
      <c r="N123" s="28" t="n">
        <v>0.570815</v>
      </c>
      <c r="O123" s="28" t="n">
        <v>0.6262</v>
      </c>
      <c r="P123" s="28" t="n">
        <v>0.05</v>
      </c>
      <c r="Q123" s="28" t="n">
        <v>0.055385</v>
      </c>
      <c r="R123" s="26" t="n">
        <v>48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0</v>
      </c>
      <c r="X123" s="26" t="n">
        <v>1</v>
      </c>
      <c r="Y123" s="25" t="n"/>
      <c r="Z123" s="26" t="n">
        <v>-133</v>
      </c>
      <c r="AA123" s="28" t="n">
        <v>0.57</v>
      </c>
      <c r="AB123" s="28" t="n">
        <v>-0.000815</v>
      </c>
      <c r="AC123" s="30" t="n">
        <v>-1</v>
      </c>
      <c r="AD123" s="24" t="inlineStr">
        <is>
          <t>2026-08-26T12:31:58.341775Z</t>
        </is>
      </c>
      <c r="AE123" s="31" t="inlineStr">
        <is>
          <t>Surface-blended Elo on Hard: Julia Riera p=0.626 vs Viktoria Hruncakova. Executable ask 0.5700 (aec-wta-vikhru-julrie-2026-08-25).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Julia Riera</t>
        </is>
      </c>
      <c r="AQ123" s="24" t="inlineStr">
        <is>
          <t>Julia Riera</t>
        </is>
      </c>
      <c r="AR123" s="24" t="inlineStr">
        <is>
          <t>Julia Riera</t>
        </is>
      </c>
      <c r="AS123" s="24" t="inlineStr">
        <is>
          <t>Viktoria Hruncakova</t>
        </is>
      </c>
      <c r="AT123" s="24" t="inlineStr">
        <is>
          <t>Viktoria Hruncakova</t>
        </is>
      </c>
      <c r="AU123" s="24" t="inlineStr">
        <is>
          <t>Viktoria Hruncakova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d777da58446bc099047b154203518e2585ef1a678f613f2b430f2589f7bf5cff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d777da58446bc099047b154203518e2585ef1a678f613f2b430f2589f7bf5cff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d777da58446bc099047b154203518e2585ef1a678f613f2b430f2589f7bf5cff</t>
        </is>
      </c>
      <c r="BH123" s="24" t="inlineStr">
        <is>
          <t>2026-08-25T13:29:43.541953Z</t>
        </is>
      </c>
      <c r="BI123" s="24" t="inlineStr">
        <is>
          <t>["same_event","same_team_same_day","same_league_same_day"]</t>
        </is>
      </c>
      <c r="BJ123" s="25" t="n"/>
      <c r="BK123" s="26" t="n">
        <v>-133</v>
      </c>
      <c r="BL123" s="27" t="n">
        <v>1.75188</v>
      </c>
      <c r="BM123" s="28" t="n">
        <v>0.570815</v>
      </c>
      <c r="BN123" s="28" t="n"/>
      <c r="BO123" s="28" t="n"/>
      <c r="BP123" s="25" t="n"/>
      <c r="BQ123" s="27" t="n">
        <v>1.75188</v>
      </c>
      <c r="BR123" s="28" t="n">
        <v>0.57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inlineStr">
        <is>
          <t>50432217a005bf0f59885602dd9c893e7db4bacbc84c6f18fc8c8bcf17c1d642</t>
        </is>
      </c>
      <c r="DE123" s="24" t="inlineStr">
        <is>
          <t>/Users/vincentc9002/model-prediction/data/odds/tennis/2026-08-25/polymarket_snapshots.jsonl</t>
        </is>
      </c>
      <c r="DF123" s="24" t="inlineStr">
        <is>
          <t>506062:2026-08-25T13:29:43.541953Z</t>
        </is>
      </c>
      <c r="DG123" s="24" t="n"/>
      <c r="DH123" s="24" t="n"/>
      <c r="DI123" s="24" t="n"/>
      <c r="DJ123" s="24" t="inlineStr">
        <is>
          <t>0.570815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7d63cc4a7fee49fa</t>
        </is>
      </c>
      <c r="B124" s="24" t="inlineStr">
        <is>
          <t>2026-08-25T13:31:51.589728Z</t>
        </is>
      </c>
      <c r="C124" s="24" t="inlineStr">
        <is>
          <t>2026-08-25T16:30Z</t>
        </is>
      </c>
      <c r="D124" s="24" t="inlineStr">
        <is>
          <t>189-2026:184720</t>
        </is>
      </c>
      <c r="E124" s="24" t="inlineStr">
        <is>
          <t>TENNIS</t>
        </is>
      </c>
      <c r="F124" s="24" t="inlineStr">
        <is>
          <t>Teodora Kostovic</t>
        </is>
      </c>
      <c r="G124" s="24" t="inlineStr">
        <is>
          <t>Arantxa Rus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-270</v>
      </c>
      <c r="M124" s="27" t="n">
        <v>1.37037</v>
      </c>
      <c r="N124" s="28" t="n">
        <v>0.72973</v>
      </c>
      <c r="O124" s="28" t="n">
        <v>0.6092</v>
      </c>
      <c r="P124" s="28" t="n">
        <v>0.05</v>
      </c>
      <c r="Q124" s="28" t="n">
        <v>-0.12053</v>
      </c>
      <c r="R124" s="26" t="n">
        <v>0</v>
      </c>
      <c r="S124" s="29" t="n">
        <v>1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0</v>
      </c>
      <c r="X124" s="26" t="n">
        <v>1</v>
      </c>
      <c r="Y124" s="25" t="n"/>
      <c r="Z124" s="26" t="n">
        <v>-270</v>
      </c>
      <c r="AA124" s="28" t="n">
        <v>0.73</v>
      </c>
      <c r="AB124" s="28" t="n">
        <v>0.00027</v>
      </c>
      <c r="AC124" s="30" t="n">
        <v>-1</v>
      </c>
      <c r="AD124" s="24" t="inlineStr">
        <is>
          <t>2026-08-26T12:31:59.614381Z</t>
        </is>
      </c>
      <c r="AE124" s="31" t="inlineStr">
        <is>
          <t>Surface-blended Elo on Hard: Teodora Kostovic p=0.609 vs Arantxa Rus. Executable ask 0.7300 (aec-wta-ararus-teokos-2026-08-25).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Teodora Kostovic</t>
        </is>
      </c>
      <c r="AQ124" s="24" t="inlineStr">
        <is>
          <t>Teodora Kostovic</t>
        </is>
      </c>
      <c r="AR124" s="24" t="inlineStr">
        <is>
          <t>Teodora Kostovic</t>
        </is>
      </c>
      <c r="AS124" s="24" t="inlineStr">
        <is>
          <t>Arantxa Rus</t>
        </is>
      </c>
      <c r="AT124" s="24" t="inlineStr">
        <is>
          <t>Arantxa Rus</t>
        </is>
      </c>
      <c r="AU124" s="24" t="inlineStr">
        <is>
          <t>Arantxa Rus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d777da58446bc099047b154203518e2585ef1a678f613f2b430f2589f7bf5cff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d777da58446bc099047b154203518e2585ef1a678f613f2b430f2589f7bf5cff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d777da58446bc099047b154203518e2585ef1a678f613f2b430f2589f7bf5cff</t>
        </is>
      </c>
      <c r="BH124" s="24" t="inlineStr">
        <is>
          <t>2026-08-25T13:29:43.525770Z</t>
        </is>
      </c>
      <c r="BI124" s="24" t="inlineStr">
        <is>
          <t>["same_event","same_team_same_day","same_league_same_day"]</t>
        </is>
      </c>
      <c r="BJ124" s="25" t="n"/>
      <c r="BK124" s="26" t="n">
        <v>-270</v>
      </c>
      <c r="BL124" s="27" t="n">
        <v>1.37037</v>
      </c>
      <c r="BM124" s="28" t="n">
        <v>0.72973</v>
      </c>
      <c r="BN124" s="28" t="n"/>
      <c r="BO124" s="28" t="n"/>
      <c r="BP124" s="25" t="n"/>
      <c r="BQ124" s="27" t="n">
        <v>1.37037</v>
      </c>
      <c r="BR124" s="28" t="n">
        <v>0.73</v>
      </c>
      <c r="BS124" s="28" t="n"/>
      <c r="BT124" s="28" t="n"/>
      <c r="BU124" s="25" t="n"/>
      <c r="BV124" s="29" t="n"/>
      <c r="BW124" s="24" t="n"/>
      <c r="BX124" s="30" t="n">
        <v>1</v>
      </c>
      <c r="BY124" s="27" t="n">
        <v>-1</v>
      </c>
      <c r="BZ124" s="24" t="inlineStr">
        <is>
          <t>2026-08-26T12:31:59.614381Z</t>
        </is>
      </c>
      <c r="CA124" s="31" t="inlineStr">
        <is>
          <t>fixed one-unit hypothetical scoring; no real exposure or execution</t>
        </is>
      </c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inlineStr">
        <is>
          <t>5e542f36f8ecbe15af0431321d387015bf036caea876ef6e18d4c7a3878a42c0</t>
        </is>
      </c>
      <c r="DE124" s="24" t="inlineStr">
        <is>
          <t>/Users/vincentc9002/model-prediction/data/odds/tennis/2026-08-25/polymarket_snapshots.jsonl</t>
        </is>
      </c>
      <c r="DF124" s="24" t="inlineStr">
        <is>
          <t>506064:2026-08-25T13:29:43.525770Z</t>
        </is>
      </c>
      <c r="DG124" s="24" t="n"/>
      <c r="DH124" s="24" t="n"/>
      <c r="DI124" s="24" t="n"/>
      <c r="DJ124" s="24" t="inlineStr">
        <is>
          <t>0.72973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872f16bee26b4d67</t>
        </is>
      </c>
      <c r="B125" s="24" t="inlineStr">
        <is>
          <t>2026-08-25T13:31:51.589728Z</t>
        </is>
      </c>
      <c r="C125" s="24" t="inlineStr">
        <is>
          <t>2026-08-25T16:30Z</t>
        </is>
      </c>
      <c r="D125" s="24" t="inlineStr">
        <is>
          <t>189-2026:184738</t>
        </is>
      </c>
      <c r="E125" s="24" t="inlineStr">
        <is>
          <t>TENNIS</t>
        </is>
      </c>
      <c r="F125" s="24" t="inlineStr">
        <is>
          <t>Noma Noha Akugue</t>
        </is>
      </c>
      <c r="G125" s="24" t="inlineStr">
        <is>
          <t>Sara Sorribes Tormo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-194</v>
      </c>
      <c r="M125" s="27" t="n">
        <v>1.515464</v>
      </c>
      <c r="N125" s="28" t="n">
        <v>0.659864</v>
      </c>
      <c r="O125" s="28" t="n">
        <v>0.6251</v>
      </c>
      <c r="P125" s="28" t="n">
        <v>0.05</v>
      </c>
      <c r="Q125" s="28" t="n">
        <v>-0.034764</v>
      </c>
      <c r="R125" s="26" t="n">
        <v>3</v>
      </c>
      <c r="S125" s="29" t="n">
        <v>1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win</t>
        </is>
      </c>
      <c r="W125" s="26" t="n">
        <v>0</v>
      </c>
      <c r="X125" s="26" t="n">
        <v>1</v>
      </c>
      <c r="Y125" s="25" t="n"/>
      <c r="Z125" s="26" t="n">
        <v>-194</v>
      </c>
      <c r="AA125" s="28" t="n">
        <v>0.66</v>
      </c>
      <c r="AB125" s="28" t="n">
        <v>0.000136</v>
      </c>
      <c r="AC125" s="30" t="n">
        <v>0.5155</v>
      </c>
      <c r="AD125" s="24" t="inlineStr">
        <is>
          <t>2026-08-26T12:32:00.988043Z</t>
        </is>
      </c>
      <c r="AE125" s="31" t="inlineStr">
        <is>
          <t>Surface-blended Elo on Hard: Noma Noha Akugue p=0.375 vs Sara Sorribes Tormo. Executable ask 0.6600 (aec-wta-sartor-nomaku-2026-08-25).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Noma Noha Akugue</t>
        </is>
      </c>
      <c r="AQ125" s="24" t="inlineStr">
        <is>
          <t>Noma Noha Akugue</t>
        </is>
      </c>
      <c r="AR125" s="24" t="inlineStr">
        <is>
          <t>Noma Noha Akugue</t>
        </is>
      </c>
      <c r="AS125" s="24" t="inlineStr">
        <is>
          <t>Sara Sorribes Tormo</t>
        </is>
      </c>
      <c r="AT125" s="24" t="inlineStr">
        <is>
          <t>Sara Sorribes Tormo</t>
        </is>
      </c>
      <c r="AU125" s="24" t="inlineStr">
        <is>
          <t>Sara Sorribes Tormo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d777da58446bc099047b154203518e2585ef1a678f613f2b430f2589f7bf5cff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d777da58446bc099047b154203518e2585ef1a678f613f2b430f2589f7bf5cff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d777da58446bc099047b154203518e2585ef1a678f613f2b430f2589f7bf5cff</t>
        </is>
      </c>
      <c r="BH125" s="24" t="inlineStr">
        <is>
          <t>2026-08-25T13:29:43.556886Z</t>
        </is>
      </c>
      <c r="BI125" s="24" t="inlineStr">
        <is>
          <t>["same_event","same_team_same_day","same_league_same_day"]</t>
        </is>
      </c>
      <c r="BJ125" s="25" t="n"/>
      <c r="BK125" s="26" t="n">
        <v>-194</v>
      </c>
      <c r="BL125" s="27" t="n">
        <v>1.515464</v>
      </c>
      <c r="BM125" s="28" t="n">
        <v>0.659864</v>
      </c>
      <c r="BN125" s="28" t="n"/>
      <c r="BO125" s="28" t="n"/>
      <c r="BP125" s="25" t="n"/>
      <c r="BQ125" s="27" t="n">
        <v>1.515464</v>
      </c>
      <c r="BR125" s="28" t="n">
        <v>0.66</v>
      </c>
      <c r="BS125" s="28" t="n"/>
      <c r="BT125" s="28" t="n"/>
      <c r="BU125" s="25" t="n"/>
      <c r="BV125" s="29" t="n"/>
      <c r="BW125" s="24" t="n"/>
      <c r="BX125" s="30" t="n">
        <v>1</v>
      </c>
      <c r="BY125" s="27" t="n">
        <v>0.515464</v>
      </c>
      <c r="BZ125" s="24" t="inlineStr">
        <is>
          <t>2026-08-26T12:32:00.988043Z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inlineStr">
        <is>
          <t>a538e89f2ba80ddd9fe9f4d740c940b39b806e3df8014461fa319f35da818fb1</t>
        </is>
      </c>
      <c r="DE125" s="24" t="inlineStr">
        <is>
          <t>/Users/vincentc9002/model-prediction/data/odds/tennis/2026-08-25/polymarket_snapshots.jsonl</t>
        </is>
      </c>
      <c r="DF125" s="24" t="inlineStr">
        <is>
          <t>506038:2026-08-25T13:29:43.556886Z</t>
        </is>
      </c>
      <c r="DG125" s="24" t="n"/>
      <c r="DH125" s="24" t="n"/>
      <c r="DI125" s="24" t="n"/>
      <c r="DJ125" s="24" t="inlineStr">
        <is>
          <t>0.659864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f1c37a9d8ca742db</t>
        </is>
      </c>
      <c r="B126" s="24" t="inlineStr">
        <is>
          <t>2026-08-25T13:31:51.589728Z</t>
        </is>
      </c>
      <c r="C126" s="24" t="inlineStr">
        <is>
          <t>2026-08-25T18:00Z</t>
        </is>
      </c>
      <c r="D126" s="24" t="inlineStr">
        <is>
          <t>189-2026:184730</t>
        </is>
      </c>
      <c r="E126" s="24" t="inlineStr">
        <is>
          <t>TENNIS</t>
        </is>
      </c>
      <c r="F126" s="24" t="inlineStr">
        <is>
          <t>Nuria Brancaccio</t>
        </is>
      </c>
      <c r="G126" s="24" t="inlineStr">
        <is>
          <t>Francesca Jones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-355</v>
      </c>
      <c r="M126" s="27" t="n">
        <v>1.28169</v>
      </c>
      <c r="N126" s="28" t="n">
        <v>0.78022</v>
      </c>
      <c r="O126" s="28" t="n">
        <v>0.6860000000000001</v>
      </c>
      <c r="P126" s="28" t="n">
        <v>0.05</v>
      </c>
      <c r="Q126" s="28" t="n">
        <v>-0.09422</v>
      </c>
      <c r="R126" s="26" t="n">
        <v>0</v>
      </c>
      <c r="S126" s="29" t="n">
        <v>1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-355</v>
      </c>
      <c r="AA126" s="28" t="n">
        <v>0.78</v>
      </c>
      <c r="AB126" s="28" t="n">
        <v>-0.00022</v>
      </c>
      <c r="AC126" s="30" t="n">
        <v>0.2817</v>
      </c>
      <c r="AD126" s="24" t="inlineStr">
        <is>
          <t>2026-08-26T12:32:02.271008Z</t>
        </is>
      </c>
      <c r="AE126" s="31" t="inlineStr">
        <is>
          <t>Surface-blended Elo on Hard: Nuria Brancaccio p=0.314 vs Francesca Jones. Executable ask 0.7800 (aec-wta-frajon-nurbra-2026-08-25).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Nuria Brancaccio</t>
        </is>
      </c>
      <c r="AQ126" s="24" t="inlineStr">
        <is>
          <t>Nuria Brancaccio</t>
        </is>
      </c>
      <c r="AR126" s="24" t="inlineStr">
        <is>
          <t>Nuria Brancaccio</t>
        </is>
      </c>
      <c r="AS126" s="24" t="inlineStr">
        <is>
          <t>Francesca Jones</t>
        </is>
      </c>
      <c r="AT126" s="24" t="inlineStr">
        <is>
          <t>Francesca Jones</t>
        </is>
      </c>
      <c r="AU126" s="24" t="inlineStr">
        <is>
          <t>Francesca Jones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d777da58446bc099047b154203518e2585ef1a678f613f2b430f2589f7bf5cff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d777da58446bc099047b154203518e2585ef1a678f613f2b430f2589f7bf5cff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d777da58446bc099047b154203518e2585ef1a678f613f2b430f2589f7bf5cff</t>
        </is>
      </c>
      <c r="BH126" s="24" t="inlineStr">
        <is>
          <t>2026-08-25T13:29:43.593944Z</t>
        </is>
      </c>
      <c r="BI126" s="24" t="inlineStr">
        <is>
          <t>["same_event","same_team_same_day","same_league_same_day"]</t>
        </is>
      </c>
      <c r="BJ126" s="25" t="n"/>
      <c r="BK126" s="26" t="n">
        <v>-355</v>
      </c>
      <c r="BL126" s="27" t="n">
        <v>1.28169</v>
      </c>
      <c r="BM126" s="28" t="n">
        <v>0.78022</v>
      </c>
      <c r="BN126" s="28" t="n"/>
      <c r="BO126" s="28" t="n"/>
      <c r="BP126" s="25" t="n"/>
      <c r="BQ126" s="27" t="n">
        <v>1.28169</v>
      </c>
      <c r="BR126" s="28" t="n">
        <v>0.78</v>
      </c>
      <c r="BS126" s="28" t="n"/>
      <c r="BT126" s="28" t="n"/>
      <c r="BU126" s="25" t="n"/>
      <c r="BV126" s="29" t="n"/>
      <c r="BW126" s="24" t="n"/>
      <c r="BX126" s="30" t="n">
        <v>1</v>
      </c>
      <c r="BY126" s="27" t="n">
        <v>0.28169</v>
      </c>
      <c r="BZ126" s="24" t="inlineStr">
        <is>
          <t>2026-08-26T12:32:02.271008Z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inlineStr">
        <is>
          <t>39974d76ec7abecb811c8651b44756be0bebc7811fdb9d884fb852cc3215ce96</t>
        </is>
      </c>
      <c r="DE126" s="24" t="inlineStr">
        <is>
          <t>/Users/vincentc9002/model-prediction/data/odds/tennis/2026-08-25/polymarket_snapshots.jsonl</t>
        </is>
      </c>
      <c r="DF126" s="24" t="inlineStr">
        <is>
          <t>506040:2026-08-25T13:29:43.593944Z</t>
        </is>
      </c>
      <c r="DG126" s="24" t="n"/>
      <c r="DH126" s="24" t="n"/>
      <c r="DI126" s="24" t="n"/>
      <c r="DJ126" s="24" t="inlineStr">
        <is>
          <t>0.78022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857461e386404c7f</t>
        </is>
      </c>
      <c r="B127" s="24" t="inlineStr">
        <is>
          <t>2026-08-25T13:31:51.589728Z</t>
        </is>
      </c>
      <c r="C127" s="24" t="inlineStr">
        <is>
          <t>2026-08-25T18:00Z</t>
        </is>
      </c>
      <c r="D127" s="24" t="inlineStr">
        <is>
          <t>189-2026:184731</t>
        </is>
      </c>
      <c r="E127" s="24" t="inlineStr">
        <is>
          <t>TENNIS</t>
        </is>
      </c>
      <c r="F127" s="24" t="inlineStr">
        <is>
          <t>Marina Bassols Ribera</t>
        </is>
      </c>
      <c r="G127" s="24" t="inlineStr">
        <is>
          <t>Darya Astakhova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-245</v>
      </c>
      <c r="M127" s="27" t="n">
        <v>1.408163</v>
      </c>
      <c r="N127" s="28" t="n">
        <v>0.710145</v>
      </c>
      <c r="O127" s="28" t="n">
        <v>0.607</v>
      </c>
      <c r="P127" s="28" t="n">
        <v>0.05</v>
      </c>
      <c r="Q127" s="28" t="n">
        <v>-0.103145</v>
      </c>
      <c r="R127" s="26" t="n">
        <v>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-245</v>
      </c>
      <c r="AA127" s="28" t="n">
        <v>0.71</v>
      </c>
      <c r="AB127" s="28" t="n">
        <v>-0.000145</v>
      </c>
      <c r="AC127" s="30" t="n">
        <v>0.4082</v>
      </c>
      <c r="AD127" s="24" t="inlineStr">
        <is>
          <t>2026-08-26T12:32:03.549686Z</t>
        </is>
      </c>
      <c r="AE127" s="31" t="inlineStr">
        <is>
          <t>Surface-blended Elo on Hard: Marina Bassols Ribera p=0.607 vs Darya Astakhova. Executable ask 0.7100 (aec-wta-darast-marrib-2026-08-25).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Marina Bassols Ribera</t>
        </is>
      </c>
      <c r="AQ127" s="24" t="inlineStr">
        <is>
          <t>Marina Bassols Ribera</t>
        </is>
      </c>
      <c r="AR127" s="24" t="inlineStr">
        <is>
          <t>Marina Bassols Ribera</t>
        </is>
      </c>
      <c r="AS127" s="24" t="inlineStr">
        <is>
          <t>Darya Astakhova</t>
        </is>
      </c>
      <c r="AT127" s="24" t="inlineStr">
        <is>
          <t>Darya Astakhova</t>
        </is>
      </c>
      <c r="AU127" s="24" t="inlineStr">
        <is>
          <t>Darya Astakhova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d777da58446bc099047b154203518e2585ef1a678f613f2b430f2589f7bf5cff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d777da58446bc099047b154203518e2585ef1a678f613f2b430f2589f7bf5cff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d777da58446bc099047b154203518e2585ef1a678f613f2b430f2589f7bf5cff</t>
        </is>
      </c>
      <c r="BH127" s="24" t="inlineStr">
        <is>
          <t>2026-08-25T13:29:43.597537Z</t>
        </is>
      </c>
      <c r="BI127" s="24" t="inlineStr">
        <is>
          <t>["same_event","same_team_same_day","same_league_same_day"]</t>
        </is>
      </c>
      <c r="BJ127" s="25" t="n"/>
      <c r="BK127" s="26" t="n">
        <v>-245</v>
      </c>
      <c r="BL127" s="27" t="n">
        <v>1.408163</v>
      </c>
      <c r="BM127" s="28" t="n">
        <v>0.710145</v>
      </c>
      <c r="BN127" s="28" t="n"/>
      <c r="BO127" s="28" t="n"/>
      <c r="BP127" s="25" t="n"/>
      <c r="BQ127" s="27" t="n">
        <v>1.408163</v>
      </c>
      <c r="BR127" s="28" t="n">
        <v>0.71</v>
      </c>
      <c r="BS127" s="28" t="n"/>
      <c r="BT127" s="28" t="n"/>
      <c r="BU127" s="25" t="n"/>
      <c r="BV127" s="29" t="n"/>
      <c r="BW127" s="24" t="n"/>
      <c r="BX127" s="30" t="n">
        <v>1</v>
      </c>
      <c r="BY127" s="27" t="n">
        <v>0.408163</v>
      </c>
      <c r="BZ127" s="24" t="inlineStr">
        <is>
          <t>2026-08-26T12:32:03.549686Z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inlineStr">
        <is>
          <t>e83550da284602e69f6ddec1601bdf81104c868010eda40f28da15e431f4ee45</t>
        </is>
      </c>
      <c r="DE127" s="24" t="inlineStr">
        <is>
          <t>/Users/vincentc9002/model-prediction/data/odds/tennis/2026-08-25/polymarket_snapshots.jsonl</t>
        </is>
      </c>
      <c r="DF127" s="24" t="inlineStr">
        <is>
          <t>506092:2026-08-25T13:29:43.597537Z</t>
        </is>
      </c>
      <c r="DG127" s="24" t="n"/>
      <c r="DH127" s="24" t="n"/>
      <c r="DI127" s="24" t="n"/>
      <c r="DJ127" s="24" t="inlineStr">
        <is>
          <t>0.710145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e3655055aa524ca6</t>
        </is>
      </c>
      <c r="B128" s="24" t="inlineStr">
        <is>
          <t>2026-08-25T13:31:51.589728Z</t>
        </is>
      </c>
      <c r="C128" s="24" t="inlineStr">
        <is>
          <t>2026-08-25T18:00Z</t>
        </is>
      </c>
      <c r="D128" s="24" t="inlineStr">
        <is>
          <t>189-2026:184732</t>
        </is>
      </c>
      <c r="E128" s="24" t="inlineStr">
        <is>
          <t>TENNIS</t>
        </is>
      </c>
      <c r="F128" s="24" t="inlineStr">
        <is>
          <t>Mona Barthel</t>
        </is>
      </c>
      <c r="G128" s="24" t="inlineStr">
        <is>
          <t>Whitney Osuigwe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-133</v>
      </c>
      <c r="M128" s="27" t="n">
        <v>1.75188</v>
      </c>
      <c r="N128" s="28" t="n">
        <v>0.570815</v>
      </c>
      <c r="O128" s="28" t="n">
        <v>0.5007</v>
      </c>
      <c r="P128" s="28" t="n">
        <v>0.05</v>
      </c>
      <c r="Q128" s="28" t="n">
        <v>-0.070115</v>
      </c>
      <c r="R128" s="26" t="n">
        <v>0</v>
      </c>
      <c r="S128" s="29" t="n">
        <v>1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win</t>
        </is>
      </c>
      <c r="W128" s="26" t="n">
        <v>1</v>
      </c>
      <c r="X128" s="26" t="n">
        <v>0</v>
      </c>
      <c r="Y128" s="25" t="n"/>
      <c r="Z128" s="26" t="n">
        <v>-133</v>
      </c>
      <c r="AA128" s="28" t="n">
        <v>0.57</v>
      </c>
      <c r="AB128" s="28" t="n">
        <v>-0.000815</v>
      </c>
      <c r="AC128" s="30" t="n">
        <v>0.7519</v>
      </c>
      <c r="AD128" s="24" t="inlineStr">
        <is>
          <t>2026-08-26T12:32:04.824128Z</t>
        </is>
      </c>
      <c r="AE128" s="31" t="inlineStr">
        <is>
          <t>Surface-blended Elo on Hard: Mona Barthel p=0.501 vs Whitney Osuigwe. Executable ask 0.5700 (aec-wta-whiosu-monbar-2026-08-25).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Mona Barthel</t>
        </is>
      </c>
      <c r="AQ128" s="24" t="inlineStr">
        <is>
          <t>Mona Barthel</t>
        </is>
      </c>
      <c r="AR128" s="24" t="inlineStr">
        <is>
          <t>Mona Barthel</t>
        </is>
      </c>
      <c r="AS128" s="24" t="inlineStr">
        <is>
          <t>Whitney Osuigwe</t>
        </is>
      </c>
      <c r="AT128" s="24" t="inlineStr">
        <is>
          <t>Whitney Osuigwe</t>
        </is>
      </c>
      <c r="AU128" s="24" t="inlineStr">
        <is>
          <t>Whitney Osuigwe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d777da58446bc099047b154203518e2585ef1a678f613f2b430f2589f7bf5cff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d777da58446bc099047b154203518e2585ef1a678f613f2b430f2589f7bf5cff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d777da58446bc099047b154203518e2585ef1a678f613f2b430f2589f7bf5cff</t>
        </is>
      </c>
      <c r="BH128" s="24" t="inlineStr">
        <is>
          <t>2026-08-25T13:29:43.601927Z</t>
        </is>
      </c>
      <c r="BI128" s="24" t="inlineStr">
        <is>
          <t>["same_event","same_team_same_day","same_league_same_day"]</t>
        </is>
      </c>
      <c r="BJ128" s="25" t="n"/>
      <c r="BK128" s="26" t="n">
        <v>-133</v>
      </c>
      <c r="BL128" s="27" t="n">
        <v>1.75188</v>
      </c>
      <c r="BM128" s="28" t="n">
        <v>0.570815</v>
      </c>
      <c r="BN128" s="28" t="n"/>
      <c r="BO128" s="28" t="n"/>
      <c r="BP128" s="25" t="n"/>
      <c r="BQ128" s="27" t="n">
        <v>1.75188</v>
      </c>
      <c r="BR128" s="28" t="n">
        <v>0.57</v>
      </c>
      <c r="BS128" s="28" t="n"/>
      <c r="BT128" s="28" t="n"/>
      <c r="BU128" s="25" t="n"/>
      <c r="BV128" s="29" t="n"/>
      <c r="BW128" s="24" t="n"/>
      <c r="BX128" s="30" t="n">
        <v>1</v>
      </c>
      <c r="BY128" s="27" t="n">
        <v>0.751881</v>
      </c>
      <c r="BZ128" s="24" t="inlineStr">
        <is>
          <t>2026-08-26T12:32:04.824128Z</t>
        </is>
      </c>
      <c r="CA128" s="31" t="inlineStr">
        <is>
          <t>fixed one-unit hypothetical scoring; no real exposure or execution</t>
        </is>
      </c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inlineStr">
        <is>
          <t>a7a91f58a0c8120ae44a55b9fe697ae3a608aa3c4a76a8a6d4837ba86a7592ec</t>
        </is>
      </c>
      <c r="DE128" s="24" t="inlineStr">
        <is>
          <t>/Users/vincentc9002/model-prediction/data/odds/tennis/2026-08-25/polymarket_snapshots.jsonl</t>
        </is>
      </c>
      <c r="DF128" s="24" t="inlineStr">
        <is>
          <t>506042:2026-08-25T13:29:43.601927Z</t>
        </is>
      </c>
      <c r="DG128" s="24" t="n"/>
      <c r="DH128" s="24" t="n"/>
      <c r="DI128" s="24" t="n"/>
      <c r="DJ128" s="24" t="inlineStr">
        <is>
          <t>0.570815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47d869187a4342c3</t>
        </is>
      </c>
      <c r="B129" s="24" t="inlineStr">
        <is>
          <t>2026-08-25T13:31:51.589728Z</t>
        </is>
      </c>
      <c r="C129" s="24" t="inlineStr">
        <is>
          <t>2026-08-25T18:00Z</t>
        </is>
      </c>
      <c r="D129" s="24" t="inlineStr">
        <is>
          <t>189-2026:184733</t>
        </is>
      </c>
      <c r="E129" s="24" t="inlineStr">
        <is>
          <t>TENNIS</t>
        </is>
      </c>
      <c r="F129" s="24" t="inlineStr">
        <is>
          <t>Priscilla Hon</t>
        </is>
      </c>
      <c r="G129" s="24" t="inlineStr">
        <is>
          <t>Alice Tubello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-163</v>
      </c>
      <c r="M129" s="27" t="n">
        <v>1.613497</v>
      </c>
      <c r="N129" s="28" t="n">
        <v>0.619772</v>
      </c>
      <c r="O129" s="28" t="n">
        <v>0.543</v>
      </c>
      <c r="P129" s="28" t="n">
        <v>0.05</v>
      </c>
      <c r="Q129" s="28" t="n">
        <v>-0.07677200000000001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-163</v>
      </c>
      <c r="AA129" s="28" t="n">
        <v>0.62</v>
      </c>
      <c r="AB129" s="28" t="n">
        <v>0.000228</v>
      </c>
      <c r="AC129" s="30" t="n">
        <v>0.6135</v>
      </c>
      <c r="AD129" s="24" t="inlineStr">
        <is>
          <t>2026-08-26T12:32:06.099644Z</t>
        </is>
      </c>
      <c r="AE129" s="31" t="inlineStr">
        <is>
          <t>Surface-blended Elo on Hard: Priscilla Hon p=0.543 vs Alice Tubello. Executable ask 0.6200 (aec-wta-alitub-prihon-2026-08-25).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Priscilla Hon</t>
        </is>
      </c>
      <c r="AQ129" s="24" t="inlineStr">
        <is>
          <t>Priscilla Hon</t>
        </is>
      </c>
      <c r="AR129" s="24" t="inlineStr">
        <is>
          <t>Priscilla Hon</t>
        </is>
      </c>
      <c r="AS129" s="24" t="inlineStr">
        <is>
          <t>Alice Tubello</t>
        </is>
      </c>
      <c r="AT129" s="24" t="inlineStr">
        <is>
          <t>Alice Tubello</t>
        </is>
      </c>
      <c r="AU129" s="24" t="inlineStr">
        <is>
          <t>Alice Tubello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d777da58446bc099047b154203518e2585ef1a678f613f2b430f2589f7bf5cff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d777da58446bc099047b154203518e2585ef1a678f613f2b430f2589f7bf5cff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d777da58446bc099047b154203518e2585ef1a678f613f2b430f2589f7bf5cff</t>
        </is>
      </c>
      <c r="BH129" s="24" t="inlineStr">
        <is>
          <t>2026-08-25T13:29:43.543676Z</t>
        </is>
      </c>
      <c r="BI129" s="24" t="inlineStr">
        <is>
          <t>["same_event","same_team_same_day","same_league_same_day"]</t>
        </is>
      </c>
      <c r="BJ129" s="25" t="n"/>
      <c r="BK129" s="26" t="n">
        <v>-163</v>
      </c>
      <c r="BL129" s="27" t="n">
        <v>1.613497</v>
      </c>
      <c r="BM129" s="28" t="n">
        <v>0.619772</v>
      </c>
      <c r="BN129" s="28" t="n"/>
      <c r="BO129" s="28" t="n"/>
      <c r="BP129" s="25" t="n"/>
      <c r="BQ129" s="27" t="n">
        <v>1.613497</v>
      </c>
      <c r="BR129" s="28" t="n">
        <v>0.62</v>
      </c>
      <c r="BS129" s="28" t="n"/>
      <c r="BT129" s="28" t="n"/>
      <c r="BU129" s="25" t="n"/>
      <c r="BV129" s="29" t="n"/>
      <c r="BW129" s="24" t="n"/>
      <c r="BX129" s="30" t="n">
        <v>1</v>
      </c>
      <c r="BY129" s="27" t="n">
        <v>0.613497</v>
      </c>
      <c r="BZ129" s="24" t="inlineStr">
        <is>
          <t>2026-08-26T12:32:06.099644Z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inlineStr">
        <is>
          <t>9b9e3bd4268b208517b4b39ece9a4fe59872f2c7eaca16e81d924c7877201f8c</t>
        </is>
      </c>
      <c r="DE129" s="24" t="inlineStr">
        <is>
          <t>/Users/vincentc9002/model-prediction/data/odds/tennis/2026-08-25/polymarket_snapshots.jsonl</t>
        </is>
      </c>
      <c r="DF129" s="24" t="inlineStr">
        <is>
          <t>506044:2026-08-25T13:29:43.543676Z</t>
        </is>
      </c>
      <c r="DG129" s="24" t="n"/>
      <c r="DH129" s="24" t="n"/>
      <c r="DI129" s="24" t="n"/>
      <c r="DJ129" s="24" t="inlineStr">
        <is>
          <t>0.619772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cdc7c5457d45410e</t>
        </is>
      </c>
      <c r="B130" s="24" t="inlineStr">
        <is>
          <t>2026-08-25T13:31:51.589728Z</t>
        </is>
      </c>
      <c r="C130" s="24" t="inlineStr">
        <is>
          <t>2026-08-25T18:00Z</t>
        </is>
      </c>
      <c r="D130" s="24" t="inlineStr">
        <is>
          <t>189-2026:184734</t>
        </is>
      </c>
      <c r="E130" s="24" t="inlineStr">
        <is>
          <t>TENNIS</t>
        </is>
      </c>
      <c r="F130" s="24" t="inlineStr">
        <is>
          <t>Leyre Romero Gormaz</t>
        </is>
      </c>
      <c r="G130" s="24" t="inlineStr">
        <is>
          <t>Joanna Garland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104</v>
      </c>
      <c r="M130" s="27" t="n">
        <v>2.04</v>
      </c>
      <c r="N130" s="28" t="n">
        <v>0.490196</v>
      </c>
      <c r="O130" s="28" t="n">
        <v>0.5925</v>
      </c>
      <c r="P130" s="28" t="n">
        <v>0.05</v>
      </c>
      <c r="Q130" s="28" t="n">
        <v>0.102304</v>
      </c>
      <c r="R130" s="26" t="n">
        <v>71</v>
      </c>
      <c r="S130" s="29" t="n">
        <v>1.25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104</v>
      </c>
      <c r="AA130" s="28" t="n">
        <v>0.49</v>
      </c>
      <c r="AB130" s="28" t="n">
        <v>-0.000196</v>
      </c>
      <c r="AC130" s="30" t="n">
        <v>-1.25</v>
      </c>
      <c r="AD130" s="24" t="inlineStr">
        <is>
          <t>2026-08-26T12:32:07.373565Z</t>
        </is>
      </c>
      <c r="AE130" s="31" t="inlineStr">
        <is>
          <t>Surface-blended Elo on Hard: Leyre Romero Gormaz p=0.592 vs Joanna Garland. Executable ask 0.4900 (aec-wta-joagar-leygor-2026-08-25).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Leyre Romero Gormaz</t>
        </is>
      </c>
      <c r="AQ130" s="24" t="inlineStr">
        <is>
          <t>Leyre Romero Gormaz</t>
        </is>
      </c>
      <c r="AR130" s="24" t="inlineStr">
        <is>
          <t>Leyre Romero Gormaz</t>
        </is>
      </c>
      <c r="AS130" s="24" t="inlineStr">
        <is>
          <t>Joanna Garland</t>
        </is>
      </c>
      <c r="AT130" s="24" t="inlineStr">
        <is>
          <t>Joanna Garland</t>
        </is>
      </c>
      <c r="AU130" s="24" t="inlineStr">
        <is>
          <t>Joanna Garland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d777da58446bc099047b154203518e2585ef1a678f613f2b430f2589f7bf5cff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d777da58446bc099047b154203518e2585ef1a678f613f2b430f2589f7bf5cff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d777da58446bc099047b154203518e2585ef1a678f613f2b430f2589f7bf5cff</t>
        </is>
      </c>
      <c r="BH130" s="24" t="inlineStr">
        <is>
          <t>2026-08-25T13:29:43.594681Z</t>
        </is>
      </c>
      <c r="BI130" s="24" t="inlineStr">
        <is>
          <t>["same_event","same_team_same_day","same_league_same_day"]</t>
        </is>
      </c>
      <c r="BJ130" s="25" t="n"/>
      <c r="BK130" s="26" t="n">
        <v>104</v>
      </c>
      <c r="BL130" s="27" t="n">
        <v>2.04</v>
      </c>
      <c r="BM130" s="28" t="n">
        <v>0.490196</v>
      </c>
      <c r="BN130" s="28" t="n"/>
      <c r="BO130" s="28" t="n"/>
      <c r="BP130" s="25" t="n"/>
      <c r="BQ130" s="27" t="n">
        <v>2.04</v>
      </c>
      <c r="BR130" s="28" t="n">
        <v>0.49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inlineStr">
        <is>
          <t>9d2edd9413a5504b09a4286a76b279eac6f9554252c6084675e38ed001ba1949</t>
        </is>
      </c>
      <c r="DE130" s="24" t="inlineStr">
        <is>
          <t>/Users/vincentc9002/model-prediction/data/odds/tennis/2026-08-25/polymarket_snapshots.jsonl</t>
        </is>
      </c>
      <c r="DF130" s="24" t="inlineStr">
        <is>
          <t>506047:2026-08-25T13:29:43.594681Z</t>
        </is>
      </c>
      <c r="DG130" s="24" t="n"/>
      <c r="DH130" s="24" t="n"/>
      <c r="DI130" s="24" t="n"/>
      <c r="DJ130" s="24" t="inlineStr">
        <is>
          <t>0.490196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441d70126df942f5</t>
        </is>
      </c>
      <c r="B131" s="24" t="inlineStr">
        <is>
          <t>2026-08-25T13:31:51.589728Z</t>
        </is>
      </c>
      <c r="C131" s="24" t="inlineStr">
        <is>
          <t>2026-08-25T18:00Z</t>
        </is>
      </c>
      <c r="D131" s="24" t="inlineStr">
        <is>
          <t>189-2026:184736</t>
        </is>
      </c>
      <c r="E131" s="24" t="inlineStr">
        <is>
          <t>TENNIS</t>
        </is>
      </c>
      <c r="F131" s="24" t="inlineStr">
        <is>
          <t>Tatiana Prozorova</t>
        </is>
      </c>
      <c r="G131" s="24" t="inlineStr">
        <is>
          <t>Kristina Liutova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178</v>
      </c>
      <c r="M131" s="27" t="n">
        <v>2.78</v>
      </c>
      <c r="N131" s="28" t="n">
        <v>0.359712</v>
      </c>
      <c r="O131" s="28" t="n">
        <v>0.6324</v>
      </c>
      <c r="P131" s="28" t="n">
        <v>0.05</v>
      </c>
      <c r="Q131" s="28" t="n">
        <v>0.272688</v>
      </c>
      <c r="R131" s="26" t="n">
        <v>100</v>
      </c>
      <c r="S131" s="29" t="n">
        <v>2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loss</t>
        </is>
      </c>
      <c r="W131" s="26" t="n">
        <v>0</v>
      </c>
      <c r="X131" s="26" t="n">
        <v>1</v>
      </c>
      <c r="Y131" s="25" t="n"/>
      <c r="Z131" s="26" t="n">
        <v>178</v>
      </c>
      <c r="AA131" s="28" t="n">
        <v>0.36</v>
      </c>
      <c r="AB131" s="28" t="n">
        <v>0.000288</v>
      </c>
      <c r="AC131" s="30" t="n">
        <v>-2</v>
      </c>
      <c r="AD131" s="24" t="inlineStr">
        <is>
          <t>2026-08-26T12:32:08.648336Z</t>
        </is>
      </c>
      <c r="AE131" s="31" t="inlineStr">
        <is>
          <t>Surface-blended Elo on Hard: Tatiana Prozorova p=0.632 vs Kristina Liutova. Executable ask 0.3600 (aec-wta-kriliu-tatpro-2026-08-25).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PAPER_CALL_MODEL_UNVALIDATED</t>
        </is>
      </c>
      <c r="AP131" s="24" t="inlineStr">
        <is>
          <t>Tatiana Prozorova</t>
        </is>
      </c>
      <c r="AQ131" s="24" t="inlineStr">
        <is>
          <t>Tatiana Prozorova</t>
        </is>
      </c>
      <c r="AR131" s="24" t="inlineStr">
        <is>
          <t>Tatiana Prozorova</t>
        </is>
      </c>
      <c r="AS131" s="24" t="inlineStr">
        <is>
          <t>Kristina Liutova</t>
        </is>
      </c>
      <c r="AT131" s="24" t="inlineStr">
        <is>
          <t>Kristina Liutova</t>
        </is>
      </c>
      <c r="AU131" s="24" t="inlineStr">
        <is>
          <t>Kristina Liutova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d777da58446bc099047b154203518e2585ef1a678f613f2b430f2589f7bf5cff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d777da58446bc099047b154203518e2585ef1a678f613f2b430f2589f7bf5cff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d777da58446bc099047b154203518e2585ef1a678f613f2b430f2589f7bf5cff</t>
        </is>
      </c>
      <c r="BH131" s="24" t="inlineStr">
        <is>
          <t>2026-08-25T13:29:43.573659Z</t>
        </is>
      </c>
      <c r="BI131" s="24" t="inlineStr">
        <is>
          <t>["same_event","same_team_same_day","same_league_same_day"]</t>
        </is>
      </c>
      <c r="BJ131" s="25" t="n"/>
      <c r="BK131" s="26" t="n">
        <v>178</v>
      </c>
      <c r="BL131" s="27" t="n">
        <v>2.78</v>
      </c>
      <c r="BM131" s="28" t="n">
        <v>0.359712</v>
      </c>
      <c r="BN131" s="28" t="n"/>
      <c r="BO131" s="28" t="n"/>
      <c r="BP131" s="25" t="n"/>
      <c r="BQ131" s="27" t="n">
        <v>2.78</v>
      </c>
      <c r="BR131" s="28" t="n">
        <v>0.36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-1</v>
      </c>
      <c r="BZ131" s="24" t="inlineStr">
        <is>
          <t>2026-08-26T12:32:08.648336Z</t>
        </is>
      </c>
      <c r="CA131" s="31" t="inlineStr">
        <is>
          <t>fixed one-unit hypothetical scoring; no real exposure or execution</t>
        </is>
      </c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inlineStr">
        <is>
          <t>741b5f48919bfc75f468b411c4170318b5c6a60a97471ab63d5d8540e6f539fa</t>
        </is>
      </c>
      <c r="DE131" s="24" t="inlineStr">
        <is>
          <t>/Users/vincentc9002/model-prediction/data/odds/tennis/2026-08-25/polymarket_snapshots.jsonl</t>
        </is>
      </c>
      <c r="DF131" s="24" t="inlineStr">
        <is>
          <t>506086:2026-08-25T13:29:43.573659Z</t>
        </is>
      </c>
      <c r="DG131" s="24" t="n"/>
      <c r="DH131" s="24" t="n"/>
      <c r="DI131" s="24" t="n"/>
      <c r="DJ131" s="24" t="inlineStr">
        <is>
          <t>0.359712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49bd23702034470f</t>
        </is>
      </c>
      <c r="B132" s="24" t="inlineStr">
        <is>
          <t>2026-08-25T13:31:51.589728Z</t>
        </is>
      </c>
      <c r="C132" s="24" t="inlineStr">
        <is>
          <t>2026-08-25T18:00Z</t>
        </is>
      </c>
      <c r="D132" s="24" t="inlineStr">
        <is>
          <t>189-2026:184737</t>
        </is>
      </c>
      <c r="E132" s="24" t="inlineStr">
        <is>
          <t>TENNIS</t>
        </is>
      </c>
      <c r="F132" s="24" t="inlineStr">
        <is>
          <t>Kajsa Rinaldo Persson</t>
        </is>
      </c>
      <c r="G132" s="24" t="inlineStr">
        <is>
          <t>Lola Radivojevic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-170</v>
      </c>
      <c r="M132" s="27" t="n">
        <v>1.588235</v>
      </c>
      <c r="N132" s="28" t="n">
        <v>0.62963</v>
      </c>
      <c r="O132" s="28" t="n">
        <v>0.5462</v>
      </c>
      <c r="P132" s="28" t="n">
        <v>0.05</v>
      </c>
      <c r="Q132" s="28" t="n">
        <v>-0.08343</v>
      </c>
      <c r="R132" s="26" t="n">
        <v>0</v>
      </c>
      <c r="S132" s="29" t="n">
        <v>1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win</t>
        </is>
      </c>
      <c r="W132" s="26" t="n">
        <v>0</v>
      </c>
      <c r="X132" s="26" t="n">
        <v>1</v>
      </c>
      <c r="Y132" s="25" t="n"/>
      <c r="Z132" s="26" t="n">
        <v>-170</v>
      </c>
      <c r="AA132" s="28" t="n">
        <v>0.63</v>
      </c>
      <c r="AB132" s="28" t="n">
        <v>0.00037</v>
      </c>
      <c r="AC132" s="30" t="n">
        <v>0.5881999999999999</v>
      </c>
      <c r="AD132" s="24" t="inlineStr">
        <is>
          <t>2026-08-26T12:32:09.926373Z</t>
        </is>
      </c>
      <c r="AE132" s="31" t="inlineStr">
        <is>
          <t>Surface-blended Elo on Hard: Kajsa Rinaldo Persson p=0.454 vs Lola Radivojevic. Executable ask 0.6300 (aec-wta-lolrad-kajper-2026-08-25).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Kajsa Rinaldo Persson</t>
        </is>
      </c>
      <c r="AQ132" s="24" t="inlineStr">
        <is>
          <t>Kajsa Rinaldo Persson</t>
        </is>
      </c>
      <c r="AR132" s="24" t="inlineStr">
        <is>
          <t>Kajsa Rinaldo Persson</t>
        </is>
      </c>
      <c r="AS132" s="24" t="inlineStr">
        <is>
          <t>Lola Radivojevic</t>
        </is>
      </c>
      <c r="AT132" s="24" t="inlineStr">
        <is>
          <t>Lola Radivojevic</t>
        </is>
      </c>
      <c r="AU132" s="24" t="inlineStr">
        <is>
          <t>Lola Radivojevic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d777da58446bc099047b154203518e2585ef1a678f613f2b430f2589f7bf5cff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d777da58446bc099047b154203518e2585ef1a678f613f2b430f2589f7bf5cff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d777da58446bc099047b154203518e2585ef1a678f613f2b430f2589f7bf5cff</t>
        </is>
      </c>
      <c r="BH132" s="24" t="inlineStr">
        <is>
          <t>2026-08-25T13:29:43.596944Z</t>
        </is>
      </c>
      <c r="BI132" s="24" t="inlineStr">
        <is>
          <t>["same_event","same_team_same_day","same_league_same_day"]</t>
        </is>
      </c>
      <c r="BJ132" s="25" t="n"/>
      <c r="BK132" s="26" t="n">
        <v>-170</v>
      </c>
      <c r="BL132" s="27" t="n">
        <v>1.588235</v>
      </c>
      <c r="BM132" s="28" t="n">
        <v>0.62963</v>
      </c>
      <c r="BN132" s="28" t="n"/>
      <c r="BO132" s="28" t="n"/>
      <c r="BP132" s="25" t="n"/>
      <c r="BQ132" s="27" t="n">
        <v>1.588235</v>
      </c>
      <c r="BR132" s="28" t="n">
        <v>0.63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0.588234</v>
      </c>
      <c r="BZ132" s="24" t="inlineStr">
        <is>
          <t>2026-08-26T12:32:09.926373Z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inlineStr">
        <is>
          <t>631c36efa78ea910ca7f835005ae0d5f917563b6e02e23a11c5c8ecc66d214a1</t>
        </is>
      </c>
      <c r="DE132" s="24" t="inlineStr">
        <is>
          <t>/Users/vincentc9002/model-prediction/data/odds/tennis/2026-08-25/polymarket_snapshots.jsonl</t>
        </is>
      </c>
      <c r="DF132" s="24" t="inlineStr">
        <is>
          <t>506089:2026-08-25T13:29:43.596944Z</t>
        </is>
      </c>
      <c r="DG132" s="24" t="n"/>
      <c r="DH132" s="24" t="n"/>
      <c r="DI132" s="24" t="n"/>
      <c r="DJ132" s="24" t="inlineStr">
        <is>
          <t>0.62963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df603b3cab144c6d</t>
        </is>
      </c>
      <c r="B133" s="24" t="inlineStr">
        <is>
          <t>2026-08-25T13:31:51.589728Z</t>
        </is>
      </c>
      <c r="C133" s="24" t="inlineStr">
        <is>
          <t>2026-08-25T19:30Z</t>
        </is>
      </c>
      <c r="D133" s="24" t="inlineStr">
        <is>
          <t>189-2026:184698</t>
        </is>
      </c>
      <c r="E133" s="24" t="inlineStr">
        <is>
          <t>TENNIS</t>
        </is>
      </c>
      <c r="F133" s="24" t="inlineStr">
        <is>
          <t>Guo Hanyu</t>
        </is>
      </c>
      <c r="G133" s="24" t="inlineStr">
        <is>
          <t>Yuan Yue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163</v>
      </c>
      <c r="M133" s="27" t="n">
        <v>2.63</v>
      </c>
      <c r="N133" s="28" t="n">
        <v>0.380228</v>
      </c>
      <c r="O133" s="28" t="n">
        <v>0.5089</v>
      </c>
      <c r="P133" s="28" t="n">
        <v>0.05</v>
      </c>
      <c r="Q133" s="28" t="n">
        <v>0.128672</v>
      </c>
      <c r="R133" s="26" t="n">
        <v>84</v>
      </c>
      <c r="S133" s="29" t="n">
        <v>1.5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loss</t>
        </is>
      </c>
      <c r="W133" s="26" t="n">
        <v>0</v>
      </c>
      <c r="X133" s="26" t="n">
        <v>1</v>
      </c>
      <c r="Y133" s="25" t="n"/>
      <c r="Z133" s="26" t="n"/>
      <c r="AA133" s="28" t="n"/>
      <c r="AB133" s="28" t="n"/>
      <c r="AC133" s="30" t="n">
        <v>-1.5</v>
      </c>
      <c r="AD133" s="24" t="inlineStr">
        <is>
          <t>2026-08-26T12:32:11.216849Z</t>
        </is>
      </c>
      <c r="AE133" s="31" t="inlineStr">
        <is>
          <t>Surface-blended Elo on Hard: Guo Hanyu p=0.509 vs Yuan Yue. Executable ask 0.3800 (aec-wta-yueyua-hanguo-2026-08-25).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Guo Hanyu</t>
        </is>
      </c>
      <c r="AQ133" s="24" t="inlineStr">
        <is>
          <t>Guo Hanyu</t>
        </is>
      </c>
      <c r="AR133" s="24" t="inlineStr">
        <is>
          <t>Guo Hanyu</t>
        </is>
      </c>
      <c r="AS133" s="24" t="inlineStr">
        <is>
          <t>Yuan Yue</t>
        </is>
      </c>
      <c r="AT133" s="24" t="inlineStr">
        <is>
          <t>Yuan Yue</t>
        </is>
      </c>
      <c r="AU133" s="24" t="inlineStr">
        <is>
          <t>Yuan Yue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d777da58446bc099047b154203518e2585ef1a678f613f2b430f2589f7bf5cff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d777da58446bc099047b154203518e2585ef1a678f613f2b430f2589f7bf5cff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d777da58446bc099047b154203518e2585ef1a678f613f2b430f2589f7bf5cff</t>
        </is>
      </c>
      <c r="BH133" s="24" t="inlineStr">
        <is>
          <t>2026-08-25T13:29:43.633000Z</t>
        </is>
      </c>
      <c r="BI133" s="24" t="inlineStr">
        <is>
          <t>["same_event","same_team_same_day","same_league_same_day"]</t>
        </is>
      </c>
      <c r="BJ133" s="25" t="n"/>
      <c r="BK133" s="26" t="n">
        <v>163</v>
      </c>
      <c r="BL133" s="27" t="n">
        <v>2.63</v>
      </c>
      <c r="BM133" s="28" t="n">
        <v>0.380228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-1</v>
      </c>
      <c r="BZ133" s="24" t="inlineStr">
        <is>
          <t>2026-08-26T12:32:11.216849Z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inlineStr">
        <is>
          <t>df50891889535fb41266ae0faf8eed024be5158dea501e6f6fadce57b7efe5c3</t>
        </is>
      </c>
      <c r="DE133" s="24" t="inlineStr">
        <is>
          <t>/Users/vincentc9002/model-prediction/data/odds/tennis/2026-08-25/polymarket_snapshots.jsonl</t>
        </is>
      </c>
      <c r="DF133" s="24" t="inlineStr">
        <is>
          <t>506079:2026-08-25T13:29:43.633000Z</t>
        </is>
      </c>
      <c r="DG133" s="24" t="n"/>
      <c r="DH133" s="24" t="n"/>
      <c r="DI133" s="24" t="n"/>
      <c r="DJ133" s="24" t="inlineStr">
        <is>
          <t>0.380228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1fd0375118a74d64</t>
        </is>
      </c>
      <c r="B134" s="24" t="inlineStr">
        <is>
          <t>2026-08-25T13:31:51.589728Z</t>
        </is>
      </c>
      <c r="C134" s="24" t="inlineStr">
        <is>
          <t>2026-08-25T19:30Z</t>
        </is>
      </c>
      <c r="D134" s="24" t="inlineStr">
        <is>
          <t>189-2026:184699</t>
        </is>
      </c>
      <c r="E134" s="24" t="inlineStr">
        <is>
          <t>TENNIS</t>
        </is>
      </c>
      <c r="F134" s="24" t="inlineStr">
        <is>
          <t>Katherine Sebov</t>
        </is>
      </c>
      <c r="G134" s="24" t="inlineStr">
        <is>
          <t>Julia Avdeeva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-108</v>
      </c>
      <c r="M134" s="27" t="n">
        <v>1.925926</v>
      </c>
      <c r="N134" s="28" t="n">
        <v>0.519231</v>
      </c>
      <c r="O134" s="28" t="n">
        <v>0.6291</v>
      </c>
      <c r="P134" s="28" t="n">
        <v>0.05</v>
      </c>
      <c r="Q134" s="28" t="n">
        <v>0.109869</v>
      </c>
      <c r="R134" s="26" t="n">
        <v>75</v>
      </c>
      <c r="S134" s="29" t="n">
        <v>1.5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loss</t>
        </is>
      </c>
      <c r="W134" s="26" t="n">
        <v>0</v>
      </c>
      <c r="X134" s="26" t="n">
        <v>1</v>
      </c>
      <c r="Y134" s="25" t="n"/>
      <c r="Z134" s="26" t="n">
        <v>-108</v>
      </c>
      <c r="AA134" s="28" t="n">
        <v>0.52</v>
      </c>
      <c r="AB134" s="28" t="n">
        <v>0.000769</v>
      </c>
      <c r="AC134" s="30" t="n">
        <v>-1.5</v>
      </c>
      <c r="AD134" s="24" t="inlineStr">
        <is>
          <t>2026-08-26T12:32:12.495555Z</t>
        </is>
      </c>
      <c r="AE134" s="31" t="inlineStr">
        <is>
          <t>Surface-blended Elo on Hard: Katherine Sebov p=0.629 vs Julia Avdeeva. Executable ask 0.5200 (aec-wta-julavd-katseb-2026-08-25).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Katherine Sebov</t>
        </is>
      </c>
      <c r="AQ134" s="24" t="inlineStr">
        <is>
          <t>Katherine Sebov</t>
        </is>
      </c>
      <c r="AR134" s="24" t="inlineStr">
        <is>
          <t>Katherine Sebov</t>
        </is>
      </c>
      <c r="AS134" s="24" t="inlineStr">
        <is>
          <t>Julia Avdeeva</t>
        </is>
      </c>
      <c r="AT134" s="24" t="inlineStr">
        <is>
          <t>Julia Avdeeva</t>
        </is>
      </c>
      <c r="AU134" s="24" t="inlineStr">
        <is>
          <t>Julia Avdeeva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d777da58446bc099047b154203518e2585ef1a678f613f2b430f2589f7bf5cff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d777da58446bc099047b154203518e2585ef1a678f613f2b430f2589f7bf5cff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d777da58446bc099047b154203518e2585ef1a678f613f2b430f2589f7bf5cff</t>
        </is>
      </c>
      <c r="BH134" s="24" t="inlineStr">
        <is>
          <t>2026-08-25T13:29:43.614504Z</t>
        </is>
      </c>
      <c r="BI134" s="24" t="inlineStr">
        <is>
          <t>["same_event","same_team_same_day","same_league_same_day"]</t>
        </is>
      </c>
      <c r="BJ134" s="25" t="n"/>
      <c r="BK134" s="26" t="n">
        <v>-108</v>
      </c>
      <c r="BL134" s="27" t="n">
        <v>1.925926</v>
      </c>
      <c r="BM134" s="28" t="n">
        <v>0.519231</v>
      </c>
      <c r="BN134" s="28" t="n"/>
      <c r="BO134" s="28" t="n"/>
      <c r="BP134" s="25" t="n"/>
      <c r="BQ134" s="27" t="n">
        <v>1.925926</v>
      </c>
      <c r="BR134" s="28" t="n">
        <v>0.52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inlineStr">
        <is>
          <t>3e415e7463baf6519e31a61ae451aa3d53531b3a90927d57b5d693df27f33c22</t>
        </is>
      </c>
      <c r="DE134" s="24" t="inlineStr">
        <is>
          <t>/Users/vincentc9002/model-prediction/data/odds/tennis/2026-08-25/polymarket_snapshots.jsonl</t>
        </is>
      </c>
      <c r="DF134" s="24" t="inlineStr">
        <is>
          <t>506080:2026-08-25T13:29:43.614504Z</t>
        </is>
      </c>
      <c r="DG134" s="24" t="n"/>
      <c r="DH134" s="24" t="n"/>
      <c r="DI134" s="24" t="n"/>
      <c r="DJ134" s="24" t="inlineStr">
        <is>
          <t>0.519231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8778f90b6ac84d5a</t>
        </is>
      </c>
      <c r="B135" s="24" t="inlineStr">
        <is>
          <t>2026-08-25T13:31:51.589728Z</t>
        </is>
      </c>
      <c r="C135" s="24" t="inlineStr">
        <is>
          <t>2026-08-25T19:30Z</t>
        </is>
      </c>
      <c r="D135" s="24" t="inlineStr">
        <is>
          <t>189-2026:184700</t>
        </is>
      </c>
      <c r="E135" s="24" t="inlineStr">
        <is>
          <t>TENNIS</t>
        </is>
      </c>
      <c r="F135" s="24" t="inlineStr">
        <is>
          <t>Katrina Scott</t>
        </is>
      </c>
      <c r="G135" s="24" t="inlineStr">
        <is>
          <t>Katie Swan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127</v>
      </c>
      <c r="M135" s="27" t="n">
        <v>2.27</v>
      </c>
      <c r="N135" s="28" t="n">
        <v>0.440529</v>
      </c>
      <c r="O135" s="28" t="n">
        <v>0.5072</v>
      </c>
      <c r="P135" s="28" t="n">
        <v>0.05</v>
      </c>
      <c r="Q135" s="28" t="n">
        <v>0.06667099999999999</v>
      </c>
      <c r="R135" s="26" t="n">
        <v>53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0</v>
      </c>
      <c r="X135" s="26" t="n">
        <v>1</v>
      </c>
      <c r="Y135" s="25" t="n"/>
      <c r="Z135" s="26" t="n">
        <v>127</v>
      </c>
      <c r="AA135" s="28" t="n">
        <v>0.44</v>
      </c>
      <c r="AB135" s="28" t="n">
        <v>-0.000529</v>
      </c>
      <c r="AC135" s="30" t="n">
        <v>-1</v>
      </c>
      <c r="AD135" s="24" t="inlineStr">
        <is>
          <t>2026-08-26T12:32:13.825415Z</t>
        </is>
      </c>
      <c r="AE135" s="31" t="inlineStr">
        <is>
          <t>Surface-blended Elo on Hard: Katrina Scott p=0.507 vs Katie Swan. Executable ask 0.4400 (aec-wta-katswa-katsco-2026-08-25).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PAPER_CALL_MODEL_UNVALIDATED</t>
        </is>
      </c>
      <c r="AP135" s="24" t="inlineStr">
        <is>
          <t>Katrina Scott</t>
        </is>
      </c>
      <c r="AQ135" s="24" t="inlineStr">
        <is>
          <t>Katrina Scott</t>
        </is>
      </c>
      <c r="AR135" s="24" t="inlineStr">
        <is>
          <t>Katrina Scott</t>
        </is>
      </c>
      <c r="AS135" s="24" t="inlineStr">
        <is>
          <t>Katie Swan</t>
        </is>
      </c>
      <c r="AT135" s="24" t="inlineStr">
        <is>
          <t>Katie Swan</t>
        </is>
      </c>
      <c r="AU135" s="24" t="inlineStr">
        <is>
          <t>Katie Swan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d777da58446bc099047b154203518e2585ef1a678f613f2b430f2589f7bf5cff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d777da58446bc099047b154203518e2585ef1a678f613f2b430f2589f7bf5cff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d777da58446bc099047b154203518e2585ef1a678f613f2b430f2589f7bf5cff</t>
        </is>
      </c>
      <c r="BH135" s="24" t="inlineStr">
        <is>
          <t>2026-08-25T13:29:43.611939Z</t>
        </is>
      </c>
      <c r="BI135" s="24" t="inlineStr">
        <is>
          <t>["same_event","same_team_same_day","same_league_same_day"]</t>
        </is>
      </c>
      <c r="BJ135" s="25" t="n"/>
      <c r="BK135" s="26" t="n">
        <v>127</v>
      </c>
      <c r="BL135" s="27" t="n">
        <v>2.27</v>
      </c>
      <c r="BM135" s="28" t="n">
        <v>0.440529</v>
      </c>
      <c r="BN135" s="28" t="n"/>
      <c r="BO135" s="28" t="n"/>
      <c r="BP135" s="25" t="n"/>
      <c r="BQ135" s="27" t="n">
        <v>2.27</v>
      </c>
      <c r="BR135" s="28" t="n">
        <v>0.44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2026-08-26T12:32:13.825415Z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inlineStr">
        <is>
          <t>75f694e1320694a1d457598e34d51a0b90a7cf10f1c057ae57b846acb08834d1</t>
        </is>
      </c>
      <c r="DE135" s="24" t="inlineStr">
        <is>
          <t>/Users/vincentc9002/model-prediction/data/odds/tennis/2026-08-25/polymarket_snapshots.jsonl</t>
        </is>
      </c>
      <c r="DF135" s="24" t="inlineStr">
        <is>
          <t>506081:2026-08-25T13:29:43.611939Z</t>
        </is>
      </c>
      <c r="DG135" s="24" t="n"/>
      <c r="DH135" s="24" t="n"/>
      <c r="DI135" s="24" t="n"/>
      <c r="DJ135" s="24" t="inlineStr">
        <is>
          <t>0.440529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93ce0db186f34ab8</t>
        </is>
      </c>
      <c r="B136" s="24" t="inlineStr">
        <is>
          <t>2026-08-25T13:31:51.589728Z</t>
        </is>
      </c>
      <c r="C136" s="24" t="inlineStr">
        <is>
          <t>2026-08-25T19:30Z</t>
        </is>
      </c>
      <c r="D136" s="24" t="inlineStr">
        <is>
          <t>189-2026:184701</t>
        </is>
      </c>
      <c r="E136" s="24" t="inlineStr">
        <is>
          <t>TENNIS</t>
        </is>
      </c>
      <c r="F136" s="24" t="inlineStr">
        <is>
          <t>Mary Stoiana</t>
        </is>
      </c>
      <c r="G136" s="24" t="inlineStr">
        <is>
          <t>Harmony Tan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-335</v>
      </c>
      <c r="M136" s="27" t="n">
        <v>1.298507</v>
      </c>
      <c r="N136" s="28" t="n">
        <v>0.770115</v>
      </c>
      <c r="O136" s="28" t="n">
        <v>0.5881999999999999</v>
      </c>
      <c r="P136" s="28" t="n">
        <v>0.05</v>
      </c>
      <c r="Q136" s="28" t="n">
        <v>-0.181915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-335</v>
      </c>
      <c r="AA136" s="28" t="n">
        <v>0.77</v>
      </c>
      <c r="AB136" s="28" t="n">
        <v>-0.000115</v>
      </c>
      <c r="AC136" s="30" t="n">
        <v>0.2985</v>
      </c>
      <c r="AD136" s="24" t="inlineStr">
        <is>
          <t>2026-08-26T12:32:15.123089Z</t>
        </is>
      </c>
      <c r="AE136" s="31" t="inlineStr">
        <is>
          <t>Surface-blended Elo on Hard: Mary Stoiana p=0.588 vs Harmony Tan. Executable ask 0.7700 (aec-wta-hartan-marsto-2026-08-25).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Mary Stoiana</t>
        </is>
      </c>
      <c r="AQ136" s="24" t="inlineStr">
        <is>
          <t>Mary Stoiana</t>
        </is>
      </c>
      <c r="AR136" s="24" t="inlineStr">
        <is>
          <t>Mary Stoiana</t>
        </is>
      </c>
      <c r="AS136" s="24" t="inlineStr">
        <is>
          <t>Harmony Tan</t>
        </is>
      </c>
      <c r="AT136" s="24" t="inlineStr">
        <is>
          <t>Harmony Tan</t>
        </is>
      </c>
      <c r="AU136" s="24" t="inlineStr">
        <is>
          <t>Harmony Tan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d777da58446bc099047b154203518e2585ef1a678f613f2b430f2589f7bf5cff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d777da58446bc099047b154203518e2585ef1a678f613f2b430f2589f7bf5cff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d777da58446bc099047b154203518e2585ef1a678f613f2b430f2589f7bf5cff</t>
        </is>
      </c>
      <c r="BH136" s="24" t="inlineStr">
        <is>
          <t>2026-08-25T13:29:43.605710Z</t>
        </is>
      </c>
      <c r="BI136" s="24" t="inlineStr">
        <is>
          <t>["same_event","same_team_same_day","same_league_same_day"]</t>
        </is>
      </c>
      <c r="BJ136" s="25" t="n"/>
      <c r="BK136" s="26" t="n">
        <v>-335</v>
      </c>
      <c r="BL136" s="27" t="n">
        <v>1.298507</v>
      </c>
      <c r="BM136" s="28" t="n">
        <v>0.770115</v>
      </c>
      <c r="BN136" s="28" t="n"/>
      <c r="BO136" s="28" t="n"/>
      <c r="BP136" s="25" t="n"/>
      <c r="BQ136" s="27" t="n">
        <v>1.298507</v>
      </c>
      <c r="BR136" s="28" t="n">
        <v>0.77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0.298507</v>
      </c>
      <c r="BZ136" s="24" t="inlineStr">
        <is>
          <t>2026-08-26T12:32:15.123089Z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inlineStr">
        <is>
          <t>4df6d454daed468dd6a20fe24298d9f540d4e9524e47a05abda9d19dda911497</t>
        </is>
      </c>
      <c r="DE136" s="24" t="inlineStr">
        <is>
          <t>/Users/vincentc9002/model-prediction/data/odds/tennis/2026-08-25/polymarket_snapshots.jsonl</t>
        </is>
      </c>
      <c r="DF136" s="24" t="inlineStr">
        <is>
          <t>506084:2026-08-25T13:29:43.605710Z</t>
        </is>
      </c>
      <c r="DG136" s="24" t="n"/>
      <c r="DH136" s="24" t="n"/>
      <c r="DI136" s="24" t="n"/>
      <c r="DJ136" s="24" t="inlineStr">
        <is>
          <t>0.770115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79483df748e24bc8</t>
        </is>
      </c>
      <c r="B137" s="24" t="inlineStr">
        <is>
          <t>2026-08-25T13:31:51.589728Z</t>
        </is>
      </c>
      <c r="C137" s="24" t="inlineStr">
        <is>
          <t>2026-08-25T19:30Z</t>
        </is>
      </c>
      <c r="D137" s="24" t="inlineStr">
        <is>
          <t>189-2026:184711</t>
        </is>
      </c>
      <c r="E137" s="24" t="inlineStr">
        <is>
          <t>TENNIS</t>
        </is>
      </c>
      <c r="F137" s="24" t="inlineStr">
        <is>
          <t>Hayu Kinoshita</t>
        </is>
      </c>
      <c r="G137" s="24" t="inlineStr">
        <is>
          <t>Darja Semenistaja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-144</v>
      </c>
      <c r="M137" s="27" t="n">
        <v>1.694444</v>
      </c>
      <c r="N137" s="28" t="n">
        <v>0.590164</v>
      </c>
      <c r="O137" s="28" t="n">
        <v>0.6133999999999999</v>
      </c>
      <c r="P137" s="28" t="n">
        <v>0.05</v>
      </c>
      <c r="Q137" s="28" t="n">
        <v>0.023236</v>
      </c>
      <c r="R137" s="26" t="n">
        <v>32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-144</v>
      </c>
      <c r="AA137" s="28" t="n">
        <v>0.59</v>
      </c>
      <c r="AB137" s="28" t="n">
        <v>-0.000164</v>
      </c>
      <c r="AC137" s="30" t="n">
        <v>0.6944</v>
      </c>
      <c r="AD137" s="24" t="inlineStr">
        <is>
          <t>2026-08-26T12:32:16.404762Z</t>
        </is>
      </c>
      <c r="AE137" s="31" t="inlineStr">
        <is>
          <t>Surface-blended Elo on Hard: Hayu Kinoshita p=0.387 vs Darja Semenistaja. Executable ask 0.5900 (aec-wta-darsem-haykin-2026-08-25).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Hayu Kinoshita</t>
        </is>
      </c>
      <c r="AQ137" s="24" t="inlineStr">
        <is>
          <t>Hayu Kinoshita</t>
        </is>
      </c>
      <c r="AR137" s="24" t="inlineStr">
        <is>
          <t>Hayu Kinoshita</t>
        </is>
      </c>
      <c r="AS137" s="24" t="inlineStr">
        <is>
          <t>Darja Semenistaja</t>
        </is>
      </c>
      <c r="AT137" s="24" t="inlineStr">
        <is>
          <t>Darja Semenistaja</t>
        </is>
      </c>
      <c r="AU137" s="24" t="inlineStr">
        <is>
          <t>Darja Semenistaja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d777da58446bc099047b154203518e2585ef1a678f613f2b430f2589f7bf5cff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d777da58446bc099047b154203518e2585ef1a678f613f2b430f2589f7bf5cff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d777da58446bc099047b154203518e2585ef1a678f613f2b430f2589f7bf5cff</t>
        </is>
      </c>
      <c r="BH137" s="24" t="inlineStr">
        <is>
          <t>2026-08-25T13:29:43.613439Z</t>
        </is>
      </c>
      <c r="BI137" s="24" t="inlineStr">
        <is>
          <t>["same_event","same_team_same_day","same_league_same_day"]</t>
        </is>
      </c>
      <c r="BJ137" s="25" t="n"/>
      <c r="BK137" s="26" t="n">
        <v>-144</v>
      </c>
      <c r="BL137" s="27" t="n">
        <v>1.694444</v>
      </c>
      <c r="BM137" s="28" t="n">
        <v>0.590164</v>
      </c>
      <c r="BN137" s="28" t="n"/>
      <c r="BO137" s="28" t="n"/>
      <c r="BP137" s="25" t="n"/>
      <c r="BQ137" s="27" t="n">
        <v>1.694444</v>
      </c>
      <c r="BR137" s="28" t="n">
        <v>0.59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0.694444</v>
      </c>
      <c r="BZ137" s="24" t="inlineStr">
        <is>
          <t>2026-08-26T12:32:16.404762Z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inlineStr">
        <is>
          <t>904f2858c126e90f275894d13cd9b6226ad8f881151bc59ac7d08e3a88c2c5ba</t>
        </is>
      </c>
      <c r="DE137" s="24" t="inlineStr">
        <is>
          <t>/Users/vincentc9002/model-prediction/data/odds/tennis/2026-08-25/polymarket_snapshots.jsonl</t>
        </is>
      </c>
      <c r="DF137" s="24" t="inlineStr">
        <is>
          <t>506050:2026-08-25T13:29:43.613439Z</t>
        </is>
      </c>
      <c r="DG137" s="24" t="n"/>
      <c r="DH137" s="24" t="n"/>
      <c r="DI137" s="24" t="n"/>
      <c r="DJ137" s="24" t="inlineStr">
        <is>
          <t>0.590164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e63182ab6a0445e0</t>
        </is>
      </c>
      <c r="B138" s="24" t="inlineStr">
        <is>
          <t>2026-08-25T13:31:51.589728Z</t>
        </is>
      </c>
      <c r="C138" s="24" t="inlineStr">
        <is>
          <t>2026-08-25T19:30Z</t>
        </is>
      </c>
      <c r="D138" s="24" t="inlineStr">
        <is>
          <t>189-2026:184712</t>
        </is>
      </c>
      <c r="E138" s="24" t="inlineStr">
        <is>
          <t>TENNIS</t>
        </is>
      </c>
      <c r="F138" s="24" t="inlineStr">
        <is>
          <t>Alexandra Shubladze</t>
        </is>
      </c>
      <c r="G138" s="24" t="inlineStr">
        <is>
          <t>Anastasiia Sobolieva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-400</v>
      </c>
      <c r="M138" s="27" t="n">
        <v>1.25</v>
      </c>
      <c r="N138" s="28" t="n">
        <v>0.8</v>
      </c>
      <c r="O138" s="28" t="n">
        <v>0.5958</v>
      </c>
      <c r="P138" s="28" t="n">
        <v>0.05</v>
      </c>
      <c r="Q138" s="28" t="n">
        <v>-0.2042</v>
      </c>
      <c r="R138" s="26" t="n">
        <v>0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-400</v>
      </c>
      <c r="AA138" s="28" t="n">
        <v>0.8</v>
      </c>
      <c r="AB138" s="28" t="n">
        <v>0</v>
      </c>
      <c r="AC138" s="30" t="n">
        <v>0.25</v>
      </c>
      <c r="AD138" s="24" t="inlineStr">
        <is>
          <t>2026-08-26T12:32:17.693143Z</t>
        </is>
      </c>
      <c r="AE138" s="31" t="inlineStr">
        <is>
          <t>Surface-blended Elo on Hard: Alexandra Shubladze p=0.596 vs Anastasiia Sobolieva. Executable ask 0.8000 (aec-wta-anasob-aleshu-2026-08-25).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Alexandra Shubladze</t>
        </is>
      </c>
      <c r="AQ138" s="24" t="inlineStr">
        <is>
          <t>Alexandra Shubladze</t>
        </is>
      </c>
      <c r="AR138" s="24" t="inlineStr">
        <is>
          <t>Alexandra Shubladze</t>
        </is>
      </c>
      <c r="AS138" s="24" t="inlineStr">
        <is>
          <t>Anastasiia Sobolieva</t>
        </is>
      </c>
      <c r="AT138" s="24" t="inlineStr">
        <is>
          <t>Anastasiia Sobolieva</t>
        </is>
      </c>
      <c r="AU138" s="24" t="inlineStr">
        <is>
          <t>Anastasiia Sobolieva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d777da58446bc099047b154203518e2585ef1a678f613f2b430f2589f7bf5cff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d777da58446bc099047b154203518e2585ef1a678f613f2b430f2589f7bf5cff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d777da58446bc099047b154203518e2585ef1a678f613f2b430f2589f7bf5cff</t>
        </is>
      </c>
      <c r="BH138" s="24" t="inlineStr">
        <is>
          <t>2026-08-25T13:29:43.644071Z</t>
        </is>
      </c>
      <c r="BI138" s="24" t="inlineStr">
        <is>
          <t>["same_event","same_team_same_day","same_league_same_day"]</t>
        </is>
      </c>
      <c r="BJ138" s="25" t="n"/>
      <c r="BK138" s="26" t="n">
        <v>-400</v>
      </c>
      <c r="BL138" s="27" t="n">
        <v>1.25</v>
      </c>
      <c r="BM138" s="28" t="n">
        <v>0.8</v>
      </c>
      <c r="BN138" s="28" t="n"/>
      <c r="BO138" s="28" t="n"/>
      <c r="BP138" s="25" t="n"/>
      <c r="BQ138" s="27" t="n">
        <v>1.25</v>
      </c>
      <c r="BR138" s="28" t="n">
        <v>0.8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0.25</v>
      </c>
      <c r="BZ138" s="24" t="inlineStr">
        <is>
          <t>2026-08-26T12:32:17.693143Z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inlineStr">
        <is>
          <t>c918b947381172bd60f74ead4a8f9bc7861b39b8da6c36f7235f2dce74ca6813</t>
        </is>
      </c>
      <c r="DE138" s="24" t="inlineStr">
        <is>
          <t>/Users/vincentc9002/model-prediction/data/odds/tennis/2026-08-25/polymarket_snapshots.jsonl</t>
        </is>
      </c>
      <c r="DF138" s="24" t="inlineStr">
        <is>
          <t>506053:2026-08-25T13:29:43.644071Z</t>
        </is>
      </c>
      <c r="DG138" s="24" t="n"/>
      <c r="DH138" s="24" t="n"/>
      <c r="DI138" s="24" t="n"/>
      <c r="DJ138" s="24" t="inlineStr">
        <is>
          <t>0.8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4ca6b9e90c8f4c04</t>
        </is>
      </c>
      <c r="B139" s="24" t="inlineStr">
        <is>
          <t>2026-08-25T13:31:51.589728Z</t>
        </is>
      </c>
      <c r="C139" s="24" t="inlineStr">
        <is>
          <t>2026-08-25T19:30Z</t>
        </is>
      </c>
      <c r="D139" s="24" t="inlineStr">
        <is>
          <t>189-2026:184714</t>
        </is>
      </c>
      <c r="E139" s="24" t="inlineStr">
        <is>
          <t>TENNIS</t>
        </is>
      </c>
      <c r="F139" s="24" t="inlineStr">
        <is>
          <t>Maddison Inglis</t>
        </is>
      </c>
      <c r="G139" s="24" t="inlineStr">
        <is>
          <t>Storm Hunter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104</v>
      </c>
      <c r="M139" s="27" t="n">
        <v>2.04</v>
      </c>
      <c r="N139" s="28" t="n">
        <v>0.490196</v>
      </c>
      <c r="O139" s="28" t="n">
        <v>0.5244</v>
      </c>
      <c r="P139" s="28" t="n">
        <v>0.05</v>
      </c>
      <c r="Q139" s="28" t="n">
        <v>0.034204</v>
      </c>
      <c r="R139" s="26" t="n">
        <v>37</v>
      </c>
      <c r="S139" s="29" t="n">
        <v>1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104</v>
      </c>
      <c r="AA139" s="28" t="n">
        <v>0.49</v>
      </c>
      <c r="AB139" s="28" t="n">
        <v>-0.000196</v>
      </c>
      <c r="AC139" s="30" t="n">
        <v>1.04</v>
      </c>
      <c r="AD139" s="24" t="inlineStr">
        <is>
          <t>2026-08-26T12:32:18.976154Z</t>
        </is>
      </c>
      <c r="AE139" s="31" t="inlineStr">
        <is>
          <t>Surface-blended Elo on Hard: Maddison Inglis p=0.476 vs Storm Hunter. Executable ask 0.4900 (aec-wta-stohun-mading-2026-08-25).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Maddison Inglis</t>
        </is>
      </c>
      <c r="AQ139" s="24" t="inlineStr">
        <is>
          <t>Maddison Inglis</t>
        </is>
      </c>
      <c r="AR139" s="24" t="inlineStr">
        <is>
          <t>Maddison Inglis</t>
        </is>
      </c>
      <c r="AS139" s="24" t="inlineStr">
        <is>
          <t>Storm Hunter</t>
        </is>
      </c>
      <c r="AT139" s="24" t="inlineStr">
        <is>
          <t>Storm Hunter</t>
        </is>
      </c>
      <c r="AU139" s="24" t="inlineStr">
        <is>
          <t>Storm Hunter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d777da58446bc099047b154203518e2585ef1a678f613f2b430f2589f7bf5cff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d777da58446bc099047b154203518e2585ef1a678f613f2b430f2589f7bf5cff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d777da58446bc099047b154203518e2585ef1a678f613f2b430f2589f7bf5cff</t>
        </is>
      </c>
      <c r="BH139" s="24" t="inlineStr">
        <is>
          <t>2026-08-25T13:29:43.631703Z</t>
        </is>
      </c>
      <c r="BI139" s="24" t="inlineStr">
        <is>
          <t>["same_event","same_team_same_day","same_league_same_day"]</t>
        </is>
      </c>
      <c r="BJ139" s="25" t="n"/>
      <c r="BK139" s="26" t="n">
        <v>104</v>
      </c>
      <c r="BL139" s="27" t="n">
        <v>2.04</v>
      </c>
      <c r="BM139" s="28" t="n">
        <v>0.490196</v>
      </c>
      <c r="BN139" s="28" t="n"/>
      <c r="BO139" s="28" t="n"/>
      <c r="BP139" s="25" t="n"/>
      <c r="BQ139" s="27" t="n">
        <v>2.04</v>
      </c>
      <c r="BR139" s="28" t="n">
        <v>0.49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1.04</v>
      </c>
      <c r="BZ139" s="24" t="inlineStr">
        <is>
          <t>2026-08-26T12:32:18.976154Z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inlineStr">
        <is>
          <t>dc72f34889630961a9ae8503c3dbe622b272cabfd9beab3384d4cd1748033216</t>
        </is>
      </c>
      <c r="DE139" s="24" t="inlineStr">
        <is>
          <t>/Users/vincentc9002/model-prediction/data/odds/tennis/2026-08-25/polymarket_snapshots.jsonl</t>
        </is>
      </c>
      <c r="DF139" s="24" t="inlineStr">
        <is>
          <t>506058:2026-08-25T13:29:43.631703Z</t>
        </is>
      </c>
      <c r="DG139" s="24" t="n"/>
      <c r="DH139" s="24" t="n"/>
      <c r="DI139" s="24" t="n"/>
      <c r="DJ139" s="24" t="inlineStr">
        <is>
          <t>0.490196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a1ad4ef5d13a4bc0</t>
        </is>
      </c>
      <c r="B140" s="24" t="inlineStr">
        <is>
          <t>2026-08-25T13:31:51.589728Z</t>
        </is>
      </c>
      <c r="C140" s="24" t="inlineStr">
        <is>
          <t>2026-08-25T21:00Z</t>
        </is>
      </c>
      <c r="D140" s="24" t="inlineStr">
        <is>
          <t>189-2026:184747</t>
        </is>
      </c>
      <c r="E140" s="24" t="inlineStr">
        <is>
          <t>TENNIS</t>
        </is>
      </c>
      <c r="F140" s="24" t="inlineStr">
        <is>
          <t>Maria Lourdes Carle</t>
        </is>
      </c>
      <c r="G140" s="24" t="inlineStr">
        <is>
          <t>Vendula Valdmannova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-245</v>
      </c>
      <c r="M140" s="27" t="n">
        <v>1.408163</v>
      </c>
      <c r="N140" s="28" t="n">
        <v>0.710145</v>
      </c>
      <c r="O140" s="28" t="n">
        <v>0.5848</v>
      </c>
      <c r="P140" s="28" t="n">
        <v>0.05</v>
      </c>
      <c r="Q140" s="28" t="n">
        <v>-0.125345</v>
      </c>
      <c r="R140" s="26" t="n">
        <v>0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-245</v>
      </c>
      <c r="AA140" s="28" t="n">
        <v>0.71</v>
      </c>
      <c r="AB140" s="28" t="n">
        <v>-0.000145</v>
      </c>
      <c r="AC140" s="30" t="n">
        <v>0.4082</v>
      </c>
      <c r="AD140" s="24" t="inlineStr">
        <is>
          <t>2026-08-26T12:32:20.265721Z</t>
        </is>
      </c>
      <c r="AE140" s="31" t="inlineStr">
        <is>
          <t>Surface-blended Elo on Hard: Maria Lourdes Carle p=0.415 vs Vendula Valdmannova. Executable ask 0.7100 (aec-wta-venval-marcar-2026-08-25).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Maria Lourdes Carle</t>
        </is>
      </c>
      <c r="AQ140" s="24" t="inlineStr">
        <is>
          <t>Maria Lourdes Carle</t>
        </is>
      </c>
      <c r="AR140" s="24" t="inlineStr">
        <is>
          <t>Maria Lourdes Carle</t>
        </is>
      </c>
      <c r="AS140" s="24" t="inlineStr">
        <is>
          <t>Vendula Valdmannova</t>
        </is>
      </c>
      <c r="AT140" s="24" t="inlineStr">
        <is>
          <t>Vendula Valdmannova</t>
        </is>
      </c>
      <c r="AU140" s="24" t="inlineStr">
        <is>
          <t>Vendula Valdmannova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d777da58446bc099047b154203518e2585ef1a678f613f2b430f2589f7bf5cff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d777da58446bc099047b154203518e2585ef1a678f613f2b430f2589f7bf5cff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d777da58446bc099047b154203518e2585ef1a678f613f2b430f2589f7bf5cff</t>
        </is>
      </c>
      <c r="BH140" s="24" t="inlineStr">
        <is>
          <t>2026-08-25T13:29:43.666882Z</t>
        </is>
      </c>
      <c r="BI140" s="24" t="inlineStr">
        <is>
          <t>["same_event","same_team_same_day","same_league_same_day"]</t>
        </is>
      </c>
      <c r="BJ140" s="25" t="n"/>
      <c r="BK140" s="26" t="n">
        <v>-245</v>
      </c>
      <c r="BL140" s="27" t="n">
        <v>1.408163</v>
      </c>
      <c r="BM140" s="28" t="n">
        <v>0.710145</v>
      </c>
      <c r="BN140" s="28" t="n"/>
      <c r="BO140" s="28" t="n"/>
      <c r="BP140" s="25" t="n"/>
      <c r="BQ140" s="27" t="n">
        <v>1.408163</v>
      </c>
      <c r="BR140" s="28" t="n">
        <v>0.71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0.408163</v>
      </c>
      <c r="BZ140" s="24" t="inlineStr">
        <is>
          <t>2026-08-26T12:32:20.265721Z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inlineStr">
        <is>
          <t>ed44ddb02983f1bfba764186d5f4ed518c919d30212e3e0c6d2a4d777a5d727f</t>
        </is>
      </c>
      <c r="DE140" s="24" t="inlineStr">
        <is>
          <t>/Users/vincentc9002/model-prediction/data/odds/tennis/2026-08-25/polymarket_snapshots.jsonl</t>
        </is>
      </c>
      <c r="DF140" s="24" t="inlineStr">
        <is>
          <t>506075:2026-08-25T13:29:43.666882Z</t>
        </is>
      </c>
      <c r="DG140" s="24" t="n"/>
      <c r="DH140" s="24" t="n"/>
      <c r="DI140" s="24" t="n"/>
      <c r="DJ140" s="24" t="inlineStr">
        <is>
          <t>0.710145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68198c6560cf42bc</t>
        </is>
      </c>
      <c r="B141" s="24" t="inlineStr">
        <is>
          <t>2026-08-25T13:31:51.589728Z</t>
        </is>
      </c>
      <c r="C141" s="24" t="inlineStr">
        <is>
          <t>2026-08-25T21:00Z</t>
        </is>
      </c>
      <c r="D141" s="24" t="inlineStr">
        <is>
          <t>189-2026:184748</t>
        </is>
      </c>
      <c r="E141" s="24" t="inlineStr">
        <is>
          <t>TENNIS</t>
        </is>
      </c>
      <c r="F141" s="24" t="inlineStr">
        <is>
          <t>Aliaksandra Sasnovich</t>
        </is>
      </c>
      <c r="G141" s="24" t="inlineStr">
        <is>
          <t>Dalma Galfi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-178</v>
      </c>
      <c r="M141" s="27" t="n">
        <v>1.561798</v>
      </c>
      <c r="N141" s="28" t="n">
        <v>0.640288</v>
      </c>
      <c r="O141" s="28" t="n">
        <v>0.6232</v>
      </c>
      <c r="P141" s="28" t="n">
        <v>0.05</v>
      </c>
      <c r="Q141" s="28" t="n">
        <v>-0.017088</v>
      </c>
      <c r="R141" s="26" t="n">
        <v>11</v>
      </c>
      <c r="S141" s="29" t="n">
        <v>1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0</v>
      </c>
      <c r="Y141" s="25" t="n"/>
      <c r="Z141" s="26" t="n">
        <v>-178</v>
      </c>
      <c r="AA141" s="28" t="n">
        <v>0.64</v>
      </c>
      <c r="AB141" s="28" t="n">
        <v>-0.000288</v>
      </c>
      <c r="AC141" s="30" t="n">
        <v>0.5618</v>
      </c>
      <c r="AD141" s="24" t="inlineStr">
        <is>
          <t>2026-08-26T12:32:21.579039Z</t>
        </is>
      </c>
      <c r="AE141" s="31" t="inlineStr">
        <is>
          <t>Surface-blended Elo on Hard: Aliaksandra Sasnovich p=0.623 vs Dalma Galfi. Executable ask 0.6400 (aec-wta-dalgal-alisas-2026-08-25).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Aliaksandra Sasnovich</t>
        </is>
      </c>
      <c r="AQ141" s="24" t="inlineStr">
        <is>
          <t>Aliaksandra Sasnovich</t>
        </is>
      </c>
      <c r="AR141" s="24" t="inlineStr">
        <is>
          <t>Aliaksandra Sasnovich</t>
        </is>
      </c>
      <c r="AS141" s="24" t="inlineStr">
        <is>
          <t>Dalma Galfi</t>
        </is>
      </c>
      <c r="AT141" s="24" t="inlineStr">
        <is>
          <t>Dalma Galfi</t>
        </is>
      </c>
      <c r="AU141" s="24" t="inlineStr">
        <is>
          <t>Dalma Galfi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d777da58446bc099047b154203518e2585ef1a678f613f2b430f2589f7bf5cff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d777da58446bc099047b154203518e2585ef1a678f613f2b430f2589f7bf5cff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d777da58446bc099047b154203518e2585ef1a678f613f2b430f2589f7bf5cff</t>
        </is>
      </c>
      <c r="BH141" s="24" t="inlineStr">
        <is>
          <t>2026-08-25T13:29:43.703099Z</t>
        </is>
      </c>
      <c r="BI141" s="24" t="inlineStr">
        <is>
          <t>["same_event","same_team_same_day","same_league_same_day"]</t>
        </is>
      </c>
      <c r="BJ141" s="25" t="n"/>
      <c r="BK141" s="26" t="n">
        <v>-178</v>
      </c>
      <c r="BL141" s="27" t="n">
        <v>1.561798</v>
      </c>
      <c r="BM141" s="28" t="n">
        <v>0.640288</v>
      </c>
      <c r="BN141" s="28" t="n"/>
      <c r="BO141" s="28" t="n"/>
      <c r="BP141" s="25" t="n"/>
      <c r="BQ141" s="27" t="n">
        <v>1.561798</v>
      </c>
      <c r="BR141" s="28" t="n">
        <v>0.64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0.561797</v>
      </c>
      <c r="BZ141" s="24" t="inlineStr">
        <is>
          <t>2026-08-26T12:32:21.579039Z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inlineStr">
        <is>
          <t>5dcdf98c32f3a19afe5747a9bc3ed48d7f87b84eb4a0cd8a741c78fdd13813c3</t>
        </is>
      </c>
      <c r="DE141" s="24" t="inlineStr">
        <is>
          <t>/Users/vincentc9002/model-prediction/data/odds/tennis/2026-08-25/polymarket_snapshots.jsonl</t>
        </is>
      </c>
      <c r="DF141" s="24" t="inlineStr">
        <is>
          <t>506076:2026-08-25T13:29:43.703099Z</t>
        </is>
      </c>
      <c r="DG141" s="24" t="n"/>
      <c r="DH141" s="24" t="n"/>
      <c r="DI141" s="24" t="n"/>
      <c r="DJ141" s="24" t="inlineStr">
        <is>
          <t>0.640288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a8db69b175c74ec2</t>
        </is>
      </c>
      <c r="B142" s="24" t="inlineStr">
        <is>
          <t>2026-08-25T13:31:51.589728Z</t>
        </is>
      </c>
      <c r="C142" s="24" t="inlineStr">
        <is>
          <t>2026-08-25T21:00Z</t>
        </is>
      </c>
      <c r="D142" s="24" t="inlineStr">
        <is>
          <t>189-2026:184752</t>
        </is>
      </c>
      <c r="E142" s="24" t="inlineStr">
        <is>
          <t>TENNIS</t>
        </is>
      </c>
      <c r="F142" s="24" t="inlineStr">
        <is>
          <t>Kristina Mladenovic</t>
        </is>
      </c>
      <c r="G142" s="24" t="inlineStr">
        <is>
          <t>Elvina Kalieva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-900</v>
      </c>
      <c r="M142" s="27" t="n">
        <v>1.111111</v>
      </c>
      <c r="N142" s="28" t="n">
        <v>0.9</v>
      </c>
      <c r="O142" s="28" t="n">
        <v>0.6867</v>
      </c>
      <c r="P142" s="28" t="n">
        <v>0.05</v>
      </c>
      <c r="Q142" s="28" t="n">
        <v>-0.2133</v>
      </c>
      <c r="R142" s="26" t="n">
        <v>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-900</v>
      </c>
      <c r="AA142" s="28" t="n">
        <v>0.9</v>
      </c>
      <c r="AB142" s="28" t="n">
        <v>0</v>
      </c>
      <c r="AC142" s="30" t="n">
        <v>0.1111</v>
      </c>
      <c r="AD142" s="24" t="inlineStr">
        <is>
          <t>2026-08-26T12:32:22.866798Z</t>
        </is>
      </c>
      <c r="AE142" s="31" t="inlineStr">
        <is>
          <t>Surface-blended Elo on Hard: Kristina Mladenovic p=0.313 vs Elvina Kalieva. Executable ask 0.9000 (aec-wta-elvkal-krimla-2026-08-25).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Kristina Mladenovic</t>
        </is>
      </c>
      <c r="AQ142" s="24" t="inlineStr">
        <is>
          <t>Kristina Mladenovic</t>
        </is>
      </c>
      <c r="AR142" s="24" t="inlineStr">
        <is>
          <t>Kristina Mladenovic</t>
        </is>
      </c>
      <c r="AS142" s="24" t="inlineStr">
        <is>
          <t>Elvina Kalieva</t>
        </is>
      </c>
      <c r="AT142" s="24" t="inlineStr">
        <is>
          <t>Elvina Kalieva</t>
        </is>
      </c>
      <c r="AU142" s="24" t="inlineStr">
        <is>
          <t>Elvina Kalieva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d777da58446bc099047b154203518e2585ef1a678f613f2b430f2589f7bf5cff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d777da58446bc099047b154203518e2585ef1a678f613f2b430f2589f7bf5cff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d777da58446bc099047b154203518e2585ef1a678f613f2b430f2589f7bf5cff</t>
        </is>
      </c>
      <c r="BH142" s="24" t="inlineStr">
        <is>
          <t>2026-08-25T13:29:43.661666Z</t>
        </is>
      </c>
      <c r="BI142" s="24" t="inlineStr">
        <is>
          <t>["same_event","same_team_same_day","same_league_same_day"]</t>
        </is>
      </c>
      <c r="BJ142" s="25" t="n"/>
      <c r="BK142" s="26" t="n">
        <v>-900</v>
      </c>
      <c r="BL142" s="27" t="n">
        <v>1.111111</v>
      </c>
      <c r="BM142" s="28" t="n">
        <v>0.9</v>
      </c>
      <c r="BN142" s="28" t="n"/>
      <c r="BO142" s="28" t="n"/>
      <c r="BP142" s="25" t="n"/>
      <c r="BQ142" s="27" t="n">
        <v>1.111111</v>
      </c>
      <c r="BR142" s="28" t="n">
        <v>0.9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0.111111</v>
      </c>
      <c r="BZ142" s="24" t="inlineStr">
        <is>
          <t>2026-08-26T12:32:22.866798Z</t>
        </is>
      </c>
      <c r="CA142" s="31" t="inlineStr">
        <is>
          <t>fixed one-unit hypothetical scoring; no real exposure or execution</t>
        </is>
      </c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inlineStr">
        <is>
          <t>1b44e069b26e3f732d15fd6fe7045b11351987a9aa3547d635e95b4c1f7d0d16</t>
        </is>
      </c>
      <c r="DE142" s="24" t="inlineStr">
        <is>
          <t>/Users/vincentc9002/model-prediction/data/odds/tennis/2026-08-25/polymarket_snapshots.jsonl</t>
        </is>
      </c>
      <c r="DF142" s="24" t="inlineStr">
        <is>
          <t>506072:2026-08-25T13:29:43.661666Z</t>
        </is>
      </c>
      <c r="DG142" s="24" t="n"/>
      <c r="DH142" s="24" t="n"/>
      <c r="DI142" s="24" t="n"/>
      <c r="DJ142" s="24" t="inlineStr">
        <is>
          <t>0.9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bf9d28433f6e49e6</t>
        </is>
      </c>
      <c r="B143" s="24" t="inlineStr">
        <is>
          <t>2026-08-25T13:31:51.589728Z</t>
        </is>
      </c>
      <c r="C143" s="24" t="inlineStr">
        <is>
          <t>2026-08-25T21:00Z</t>
        </is>
      </c>
      <c r="D143" s="24" t="inlineStr">
        <is>
          <t>189-2026:184753</t>
        </is>
      </c>
      <c r="E143" s="24" t="inlineStr">
        <is>
          <t>TENNIS</t>
        </is>
      </c>
      <c r="F143" s="24" t="inlineStr">
        <is>
          <t>Jennifer Ruggeri</t>
        </is>
      </c>
      <c r="G143" s="24" t="inlineStr">
        <is>
          <t>Sofia Costoulas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-488</v>
      </c>
      <c r="M143" s="27" t="n">
        <v>1.204918</v>
      </c>
      <c r="N143" s="28" t="n">
        <v>0.829932</v>
      </c>
      <c r="O143" s="28" t="n">
        <v>0.5931999999999999</v>
      </c>
      <c r="P143" s="28" t="n">
        <v>0.05</v>
      </c>
      <c r="Q143" s="28" t="n">
        <v>-0.236732</v>
      </c>
      <c r="R143" s="26" t="n">
        <v>0</v>
      </c>
      <c r="S143" s="29" t="n">
        <v>1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-488</v>
      </c>
      <c r="AA143" s="28" t="n">
        <v>0.83</v>
      </c>
      <c r="AB143" s="28" t="n">
        <v>6.8e-05</v>
      </c>
      <c r="AC143" s="30" t="n">
        <v>0.2049</v>
      </c>
      <c r="AD143" s="24" t="inlineStr">
        <is>
          <t>2026-08-26T12:32:24.149393Z</t>
        </is>
      </c>
      <c r="AE143" s="31" t="inlineStr">
        <is>
          <t>Surface-blended Elo on Hard: Jennifer Ruggeri p=0.407 vs Sofia Costoulas. Executable ask 0.8300 (aec-wta-sofcos-jenrug-2026-08-25).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Jennifer Ruggeri</t>
        </is>
      </c>
      <c r="AQ143" s="24" t="inlineStr">
        <is>
          <t>Jennifer Ruggeri</t>
        </is>
      </c>
      <c r="AR143" s="24" t="inlineStr">
        <is>
          <t>Jennifer Ruggeri</t>
        </is>
      </c>
      <c r="AS143" s="24" t="inlineStr">
        <is>
          <t>Sofia Costoulas</t>
        </is>
      </c>
      <c r="AT143" s="24" t="inlineStr">
        <is>
          <t>Sofia Costoulas</t>
        </is>
      </c>
      <c r="AU143" s="24" t="inlineStr">
        <is>
          <t>Sofia Costoulas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d777da58446bc099047b154203518e2585ef1a678f613f2b430f2589f7bf5cff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d777da58446bc099047b154203518e2585ef1a678f613f2b430f2589f7bf5cff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d777da58446bc099047b154203518e2585ef1a678f613f2b430f2589f7bf5cff</t>
        </is>
      </c>
      <c r="BH143" s="24" t="inlineStr">
        <is>
          <t>2026-08-25T13:29:43.679808Z</t>
        </is>
      </c>
      <c r="BI143" s="24" t="inlineStr">
        <is>
          <t>["same_event","same_team_same_day","same_league_same_day"]</t>
        </is>
      </c>
      <c r="BJ143" s="25" t="n"/>
      <c r="BK143" s="26" t="n">
        <v>-488</v>
      </c>
      <c r="BL143" s="27" t="n">
        <v>1.204918</v>
      </c>
      <c r="BM143" s="28" t="n">
        <v>0.829932</v>
      </c>
      <c r="BN143" s="28" t="n"/>
      <c r="BO143" s="28" t="n"/>
      <c r="BP143" s="25" t="n"/>
      <c r="BQ143" s="27" t="n">
        <v>1.204918</v>
      </c>
      <c r="BR143" s="28" t="n">
        <v>0.83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0.204918</v>
      </c>
      <c r="BZ143" s="24" t="inlineStr">
        <is>
          <t>2026-08-26T12:32:24.149393Z</t>
        </is>
      </c>
      <c r="CA143" s="31" t="inlineStr">
        <is>
          <t>fixed one-unit hypothetical scoring; no real exposure or execution</t>
        </is>
      </c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inlineStr">
        <is>
          <t>bd2b1f07b54e30aaefce99bcb002de35bd2083f304aaf371ecbb8f0039d86a13</t>
        </is>
      </c>
      <c r="DE143" s="24" t="inlineStr">
        <is>
          <t>/Users/vincentc9002/model-prediction/data/odds/tennis/2026-08-25/polymarket_snapshots.jsonl</t>
        </is>
      </c>
      <c r="DF143" s="24" t="inlineStr">
        <is>
          <t>506074:2026-08-25T13:29:43.679808Z</t>
        </is>
      </c>
      <c r="DG143" s="24" t="n"/>
      <c r="DH143" s="24" t="n"/>
      <c r="DI143" s="24" t="n"/>
      <c r="DJ143" s="24" t="inlineStr">
        <is>
          <t>0.829932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fdeff728d6ed4182</t>
        </is>
      </c>
      <c r="B144" s="24" t="inlineStr">
        <is>
          <t>2026-08-25T13:31:51.589728Z</t>
        </is>
      </c>
      <c r="C144" s="24" t="inlineStr">
        <is>
          <t>2026-08-26T04:00Z</t>
        </is>
      </c>
      <c r="D144" s="24" t="inlineStr">
        <is>
          <t>189-2026:184756</t>
        </is>
      </c>
      <c r="E144" s="24" t="inlineStr">
        <is>
          <t>TENNIS</t>
        </is>
      </c>
      <c r="F144" s="24" t="inlineStr">
        <is>
          <t>Ekaterine Gorgodze</t>
        </is>
      </c>
      <c r="G144" s="24" t="inlineStr">
        <is>
          <t>Despina Papamichail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335</v>
      </c>
      <c r="M144" s="27" t="n">
        <v>4.35</v>
      </c>
      <c r="N144" s="28" t="n">
        <v>0.229885</v>
      </c>
      <c r="O144" s="28" t="n">
        <v>0.5027</v>
      </c>
      <c r="P144" s="28" t="n">
        <v>0.05</v>
      </c>
      <c r="Q144" s="28" t="n">
        <v>0.272815</v>
      </c>
      <c r="R144" s="26" t="n">
        <v>100</v>
      </c>
      <c r="S144" s="29" t="n">
        <v>2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/>
      <c r="AA144" s="28" t="n"/>
      <c r="AB144" s="28" t="n"/>
      <c r="AC144" s="30" t="n">
        <v>-2</v>
      </c>
      <c r="AD144" s="24" t="inlineStr">
        <is>
          <t>2026-08-26T22:10:31.615381Z</t>
        </is>
      </c>
      <c r="AE144" s="31" t="inlineStr">
        <is>
          <t>Surface-blended Elo on Hard: Ekaterine Gorgodze p=0.497 vs Despina Papamichail. Executable ask 0.2300 (aec-wta-despap-ekagor-2026-08-25).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Ekaterine Gorgodze</t>
        </is>
      </c>
      <c r="AQ144" s="24" t="inlineStr">
        <is>
          <t>Ekaterine Gorgodze</t>
        </is>
      </c>
      <c r="AR144" s="24" t="inlineStr">
        <is>
          <t>Ekaterine Gorgodze</t>
        </is>
      </c>
      <c r="AS144" s="24" t="inlineStr">
        <is>
          <t>Despina Papamichail</t>
        </is>
      </c>
      <c r="AT144" s="24" t="inlineStr">
        <is>
          <t>Despina Papamichail</t>
        </is>
      </c>
      <c r="AU144" s="24" t="inlineStr">
        <is>
          <t>Despina Papamichail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d777da58446bc099047b154203518e2585ef1a678f613f2b430f2589f7bf5cff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d777da58446bc099047b154203518e2585ef1a678f613f2b430f2589f7bf5cff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d777da58446bc099047b154203518e2585ef1a678f613f2b430f2589f7bf5cff</t>
        </is>
      </c>
      <c r="BH144" s="24" t="inlineStr">
        <is>
          <t>2026-08-25T06:23:07.863614Z</t>
        </is>
      </c>
      <c r="BI144" s="24" t="inlineStr">
        <is>
          <t>["same_event","same_team_same_day","same_league_same_day"]</t>
        </is>
      </c>
      <c r="BJ144" s="25" t="n"/>
      <c r="BK144" s="26" t="n">
        <v>335</v>
      </c>
      <c r="BL144" s="27" t="n">
        <v>4.35</v>
      </c>
      <c r="BM144" s="28" t="n">
        <v>0.229885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inlineStr">
        <is>
          <t>2026-08-26T22:10:31.615381Z</t>
        </is>
      </c>
      <c r="CA144" s="31" t="inlineStr">
        <is>
          <t>fixed one-unit hypothetical scoring; no real exposure or execution</t>
        </is>
      </c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inlineStr">
        <is>
          <t>c59822d60b96ece423a69cef9b1feea65da0542a6d2a135a05c9915d468fc050</t>
        </is>
      </c>
      <c r="DE144" s="24" t="inlineStr">
        <is>
          <t>/Users/vincentc9002/model-prediction/data/odds/tennis/2026-08-25/polymarket_snapshots.jsonl</t>
        </is>
      </c>
      <c r="DF144" s="24" t="inlineStr">
        <is>
          <t>516126:2026-08-25T06:23:07.863614Z</t>
        </is>
      </c>
      <c r="DG144" s="24" t="n"/>
      <c r="DH144" s="24" t="n"/>
      <c r="DI144" s="24" t="n"/>
      <c r="DJ144" s="24" t="inlineStr">
        <is>
          <t>0.229885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3ef236f67f474542</t>
        </is>
      </c>
      <c r="B145" s="24" t="inlineStr">
        <is>
          <t>2026-08-25T13:31:51.589728Z</t>
        </is>
      </c>
      <c r="C145" s="24" t="inlineStr">
        <is>
          <t>2026-08-26T04:00Z</t>
        </is>
      </c>
      <c r="D145" s="24" t="inlineStr">
        <is>
          <t>189-2026:184781</t>
        </is>
      </c>
      <c r="E145" s="24" t="inlineStr">
        <is>
          <t>TENNIS</t>
        </is>
      </c>
      <c r="F145" s="24" t="inlineStr">
        <is>
          <t>Angela Fita Boluda</t>
        </is>
      </c>
      <c r="G145" s="24" t="inlineStr">
        <is>
          <t>Heather Watson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-376</v>
      </c>
      <c r="M145" s="27" t="n">
        <v>1.265957</v>
      </c>
      <c r="N145" s="28" t="n">
        <v>0.789916</v>
      </c>
      <c r="O145" s="28" t="n">
        <v>0.6102</v>
      </c>
      <c r="P145" s="28" t="n">
        <v>0.05</v>
      </c>
      <c r="Q145" s="28" t="n">
        <v>-0.179716</v>
      </c>
      <c r="R145" s="26" t="n">
        <v>0</v>
      </c>
      <c r="S145" s="29" t="n">
        <v>1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0.266</v>
      </c>
      <c r="AD145" s="24" t="inlineStr">
        <is>
          <t>2026-08-27T00:39:36.504477Z</t>
        </is>
      </c>
      <c r="AE145" s="31" t="inlineStr">
        <is>
          <t>Surface-blended Elo on Hard: Angela Fita Boluda p=0.390 vs Heather Watson. Executable ask 0.7900 (aec-wta-heawat-angbol-2026-08-25).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Angela Fita Boluda</t>
        </is>
      </c>
      <c r="AQ145" s="24" t="inlineStr">
        <is>
          <t>Angela Fita Boluda</t>
        </is>
      </c>
      <c r="AR145" s="24" t="inlineStr">
        <is>
          <t>Angela Fita Boluda</t>
        </is>
      </c>
      <c r="AS145" s="24" t="inlineStr">
        <is>
          <t>Heather Watson</t>
        </is>
      </c>
      <c r="AT145" s="24" t="inlineStr">
        <is>
          <t>Heather Watson</t>
        </is>
      </c>
      <c r="AU145" s="24" t="inlineStr">
        <is>
          <t>Heather Watson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d777da58446bc099047b154203518e2585ef1a678f613f2b430f2589f7bf5cff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d777da58446bc099047b154203518e2585ef1a678f613f2b430f2589f7bf5cff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d777da58446bc099047b154203518e2585ef1a678f613f2b430f2589f7bf5cff</t>
        </is>
      </c>
      <c r="BH145" s="24" t="inlineStr">
        <is>
          <t>2026-08-25T06:23:07.864698Z</t>
        </is>
      </c>
      <c r="BI145" s="24" t="inlineStr">
        <is>
          <t>["same_event","same_team_same_day","same_league_same_day"]</t>
        </is>
      </c>
      <c r="BJ145" s="25" t="n"/>
      <c r="BK145" s="26" t="n">
        <v>-376</v>
      </c>
      <c r="BL145" s="27" t="n">
        <v>1.265957</v>
      </c>
      <c r="BM145" s="28" t="n">
        <v>0.789916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>
        <v>1</v>
      </c>
      <c r="BY145" s="27" t="n">
        <v>0.265957</v>
      </c>
      <c r="BZ145" s="24" t="inlineStr">
        <is>
          <t>2026-08-27T00:39:36.504477Z</t>
        </is>
      </c>
      <c r="CA145" s="31" t="inlineStr">
        <is>
          <t>fixed one-unit hypothetical scoring; no real exposure or execution</t>
        </is>
      </c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inlineStr">
        <is>
          <t>dcf28b1df351eb1e24475919387f9960f03baa998e9ad41b541fdd8aef351309</t>
        </is>
      </c>
      <c r="DE145" s="24" t="inlineStr">
        <is>
          <t>/Users/vincentc9002/model-prediction/data/odds/tennis/2026-08-25/polymarket_snapshots.jsonl</t>
        </is>
      </c>
      <c r="DF145" s="24" t="inlineStr">
        <is>
          <t>514459:2026-08-25T06:23:07.864698Z</t>
        </is>
      </c>
      <c r="DG145" s="24" t="n"/>
      <c r="DH145" s="24" t="n"/>
      <c r="DI145" s="24" t="n"/>
      <c r="DJ145" s="24" t="inlineStr">
        <is>
          <t>0.789916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3221a3de0db24e85</t>
        </is>
      </c>
      <c r="B146" s="24" t="inlineStr">
        <is>
          <t>2026-08-25T13:31:51.589728Z</t>
        </is>
      </c>
      <c r="C146" s="24" t="inlineStr">
        <is>
          <t>2026-08-26T04:00Z</t>
        </is>
      </c>
      <c r="D146" s="24" t="inlineStr">
        <is>
          <t>189-2026:184786</t>
        </is>
      </c>
      <c r="E146" s="24" t="inlineStr">
        <is>
          <t>TENNIS</t>
        </is>
      </c>
      <c r="F146" s="24" t="inlineStr">
        <is>
          <t>Carson Branstine</t>
        </is>
      </c>
      <c r="G146" s="24" t="inlineStr">
        <is>
          <t>Linda Fruhvirtova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133</v>
      </c>
      <c r="M146" s="27" t="n">
        <v>2.33</v>
      </c>
      <c r="N146" s="28" t="n">
        <v>0.429185</v>
      </c>
      <c r="O146" s="28" t="n">
        <v>0.5603</v>
      </c>
      <c r="P146" s="28" t="n">
        <v>0.05</v>
      </c>
      <c r="Q146" s="28" t="n">
        <v>0.131115</v>
      </c>
      <c r="R146" s="26" t="n">
        <v>86</v>
      </c>
      <c r="S146" s="29" t="n">
        <v>1.5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1</v>
      </c>
      <c r="X146" s="26" t="n">
        <v>0</v>
      </c>
      <c r="Y146" s="25" t="n"/>
      <c r="Z146" s="26" t="n"/>
      <c r="AA146" s="28" t="n"/>
      <c r="AB146" s="28" t="n"/>
      <c r="AC146" s="30" t="n">
        <v>1.995</v>
      </c>
      <c r="AD146" s="24" t="inlineStr">
        <is>
          <t>2026-08-26T22:10:34.494425Z</t>
        </is>
      </c>
      <c r="AE146" s="31" t="inlineStr">
        <is>
          <t>Surface-blended Elo on Hard: Carson Branstine p=0.560 vs Linda Fruhvirtova. Executable ask 0.4300 (aec-wta-linfru-carbra-2026-08-25).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Carson Branstine</t>
        </is>
      </c>
      <c r="AQ146" s="24" t="inlineStr">
        <is>
          <t>Carson Branstine</t>
        </is>
      </c>
      <c r="AR146" s="24" t="inlineStr">
        <is>
          <t>Carson Branstine</t>
        </is>
      </c>
      <c r="AS146" s="24" t="inlineStr">
        <is>
          <t>Linda Fruhvirtova</t>
        </is>
      </c>
      <c r="AT146" s="24" t="inlineStr">
        <is>
          <t>Linda Fruhvirtova</t>
        </is>
      </c>
      <c r="AU146" s="24" t="inlineStr">
        <is>
          <t>Linda Fruhvirtova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d777da58446bc099047b154203518e2585ef1a678f613f2b430f2589f7bf5cff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d777da58446bc099047b154203518e2585ef1a678f613f2b430f2589f7bf5cff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d777da58446bc099047b154203518e2585ef1a678f613f2b430f2589f7bf5cff</t>
        </is>
      </c>
      <c r="BH146" s="24" t="inlineStr">
        <is>
          <t>2026-08-25T06:23:07.875583Z</t>
        </is>
      </c>
      <c r="BI146" s="24" t="inlineStr">
        <is>
          <t>["same_event","same_team_same_day","same_league_same_day"]</t>
        </is>
      </c>
      <c r="BJ146" s="25" t="n"/>
      <c r="BK146" s="26" t="n">
        <v>133</v>
      </c>
      <c r="BL146" s="27" t="n">
        <v>2.33</v>
      </c>
      <c r="BM146" s="28" t="n">
        <v>0.429185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inlineStr">
        <is>
          <t>7a16bc392901edad8f11897c01f984a154cb64a19c36d2bad9fd22a2bc0d75fe</t>
        </is>
      </c>
      <c r="DE146" s="24" t="inlineStr">
        <is>
          <t>/Users/vincentc9002/model-prediction/data/odds/tennis/2026-08-25/polymarket_snapshots.jsonl</t>
        </is>
      </c>
      <c r="DF146" s="24" t="inlineStr">
        <is>
          <t>514776:2026-08-25T06:23:07.875583Z</t>
        </is>
      </c>
      <c r="DG146" s="24" t="n"/>
      <c r="DH146" s="24" t="n"/>
      <c r="DI146" s="24" t="n"/>
      <c r="DJ146" s="24" t="inlineStr">
        <is>
          <t>0.429185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a0d3b47866ed42db</t>
        </is>
      </c>
      <c r="B147" s="24" t="inlineStr">
        <is>
          <t>2026-08-25T13:31:51.589728Z</t>
        </is>
      </c>
      <c r="C147" s="24" t="inlineStr">
        <is>
          <t>2026-08-26T04:00Z</t>
        </is>
      </c>
      <c r="D147" s="24" t="inlineStr">
        <is>
          <t>189-2026:184791</t>
        </is>
      </c>
      <c r="E147" s="24" t="inlineStr">
        <is>
          <t>TENNIS</t>
        </is>
      </c>
      <c r="F147" s="24" t="inlineStr">
        <is>
          <t>Himeno Sakatsume</t>
        </is>
      </c>
      <c r="G147" s="24" t="inlineStr">
        <is>
          <t>Tyra Caterina Grant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-194</v>
      </c>
      <c r="M147" s="27" t="n">
        <v>1.515464</v>
      </c>
      <c r="N147" s="28" t="n">
        <v>0.659864</v>
      </c>
      <c r="O147" s="28" t="n">
        <v>0.5334</v>
      </c>
      <c r="P147" s="28" t="n">
        <v>0.05</v>
      </c>
      <c r="Q147" s="28" t="n">
        <v>-0.126464</v>
      </c>
      <c r="R147" s="26" t="n">
        <v>0</v>
      </c>
      <c r="S147" s="29" t="n">
        <v>1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/>
      <c r="AA147" s="28" t="n"/>
      <c r="AB147" s="28" t="n"/>
      <c r="AC147" s="30" t="n">
        <v>-1</v>
      </c>
      <c r="AD147" s="24" t="inlineStr">
        <is>
          <t>2026-08-26T22:10:37.437167Z</t>
        </is>
      </c>
      <c r="AE147" s="31" t="inlineStr">
        <is>
          <t>Surface-blended Elo on Hard: Himeno Sakatsume p=0.467 vs Tyra Caterina Grant. Executable ask 0.6600 (aec-wta-tyrgra-himsak-2026-08-25).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Himeno Sakatsume</t>
        </is>
      </c>
      <c r="AQ147" s="24" t="inlineStr">
        <is>
          <t>Himeno Sakatsume</t>
        </is>
      </c>
      <c r="AR147" s="24" t="inlineStr">
        <is>
          <t>Himeno Sakatsume</t>
        </is>
      </c>
      <c r="AS147" s="24" t="inlineStr">
        <is>
          <t>Tyra Caterina Grant</t>
        </is>
      </c>
      <c r="AT147" s="24" t="inlineStr">
        <is>
          <t>Tyra Caterina Grant</t>
        </is>
      </c>
      <c r="AU147" s="24" t="inlineStr">
        <is>
          <t>Tyra Caterina Grant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d777da58446bc099047b154203518e2585ef1a678f613f2b430f2589f7bf5cff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d777da58446bc099047b154203518e2585ef1a678f613f2b430f2589f7bf5cff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d777da58446bc099047b154203518e2585ef1a678f613f2b430f2589f7bf5cff</t>
        </is>
      </c>
      <c r="BH147" s="24" t="inlineStr">
        <is>
          <t>2026-08-25T06:23:07.856785Z</t>
        </is>
      </c>
      <c r="BI147" s="24" t="inlineStr">
        <is>
          <t>["same_event","same_team_same_day","same_league_same_day"]</t>
        </is>
      </c>
      <c r="BJ147" s="25" t="n"/>
      <c r="BK147" s="26" t="n">
        <v>-194</v>
      </c>
      <c r="BL147" s="27" t="n">
        <v>1.515464</v>
      </c>
      <c r="BM147" s="28" t="n">
        <v>0.659864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inlineStr">
        <is>
          <t>2026-08-26T22:10:37.437167Z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inlineStr">
        <is>
          <t>d5aec7096d06c876b19f443aea5204948d5888329a30304f13bcd880672168b3</t>
        </is>
      </c>
      <c r="DE147" s="24" t="inlineStr">
        <is>
          <t>/Users/vincentc9002/model-prediction/data/odds/tennis/2026-08-25/polymarket_snapshots.jsonl</t>
        </is>
      </c>
      <c r="DF147" s="24" t="inlineStr">
        <is>
          <t>515357:2026-08-25T06:23:07.856785Z</t>
        </is>
      </c>
      <c r="DG147" s="24" t="n"/>
      <c r="DH147" s="24" t="n"/>
      <c r="DI147" s="24" t="n"/>
      <c r="DJ147" s="24" t="inlineStr">
        <is>
          <t>0.659864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60f893d5d15248f7</t>
        </is>
      </c>
      <c r="B148" s="24" t="inlineStr">
        <is>
          <t>2026-08-25T13:31:51.589728Z</t>
        </is>
      </c>
      <c r="C148" s="24" t="inlineStr">
        <is>
          <t>2026-08-25T15:00Z</t>
        </is>
      </c>
      <c r="D148" s="24" t="inlineStr">
        <is>
          <t>189-2026:184599</t>
        </is>
      </c>
      <c r="E148" s="24" t="inlineStr">
        <is>
          <t>TENNIS</t>
        </is>
      </c>
      <c r="F148" s="24" t="inlineStr">
        <is>
          <t>Dusan Lajovic</t>
        </is>
      </c>
      <c r="G148" s="24" t="inlineStr">
        <is>
          <t>SoonWoo Kwon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-194</v>
      </c>
      <c r="M148" s="27" t="n">
        <v>1.515464</v>
      </c>
      <c r="N148" s="28" t="n">
        <v>0.659864</v>
      </c>
      <c r="O148" s="28" t="n">
        <v>0.5862000000000001</v>
      </c>
      <c r="P148" s="28" t="n">
        <v>0.05</v>
      </c>
      <c r="Q148" s="28" t="n">
        <v>-0.07366399999999999</v>
      </c>
      <c r="R148" s="26" t="n">
        <v>0</v>
      </c>
      <c r="S148" s="29" t="n">
        <v>1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</v>
      </c>
      <c r="X148" s="26" t="n">
        <v>0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2026-08-26T12:32:25.427077Z</t>
        </is>
      </c>
      <c r="AE148" s="31" t="inlineStr">
        <is>
          <t>Surface-blended Elo on Hard: Dusan Lajovic p=0.414 vs SoonWoo Kwon. Executable ask 0.6600 (aec-atp-sookwo-duslaj-2026-08-25).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Dusan Lajovic</t>
        </is>
      </c>
      <c r="AQ148" s="24" t="inlineStr">
        <is>
          <t>Dusan Lajovic</t>
        </is>
      </c>
      <c r="AR148" s="24" t="inlineStr">
        <is>
          <t>Dusan Lajovic</t>
        </is>
      </c>
      <c r="AS148" s="24" t="inlineStr">
        <is>
          <t>SoonWoo Kwon</t>
        </is>
      </c>
      <c r="AT148" s="24" t="inlineStr">
        <is>
          <t>SoonWoo Kwon</t>
        </is>
      </c>
      <c r="AU148" s="24" t="inlineStr">
        <is>
          <t>SoonWoo Kwon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d777da58446bc099047b154203518e2585ef1a678f613f2b430f2589f7bf5cff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d777da58446bc099047b154203518e2585ef1a678f613f2b430f2589f7bf5cff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d777da58446bc099047b154203518e2585ef1a678f613f2b430f2589f7bf5cff</t>
        </is>
      </c>
      <c r="BH148" s="24" t="inlineStr">
        <is>
          <t>2026-08-25T13:29:43.989634Z</t>
        </is>
      </c>
      <c r="BI148" s="24" t="inlineStr">
        <is>
          <t>["same_event","same_team_same_day","same_league_same_day"]</t>
        </is>
      </c>
      <c r="BJ148" s="25" t="n"/>
      <c r="BK148" s="26" t="n">
        <v>-194</v>
      </c>
      <c r="BL148" s="27" t="n">
        <v>1.515464</v>
      </c>
      <c r="BM148" s="28" t="n">
        <v>0.659864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inlineStr">
        <is>
          <t>2026-08-26T12:32:25.427077Z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inlineStr">
        <is>
          <t>9c8886694fbf16f9ec34a491eaad7eafdcf03adf46343a3500c345511d24ff3f</t>
        </is>
      </c>
      <c r="DE148" s="24" t="inlineStr">
        <is>
          <t>/Users/vincentc9002/model-prediction/data/odds/tennis/2026-08-25/polymarket_snapshots.jsonl</t>
        </is>
      </c>
      <c r="DF148" s="24" t="inlineStr">
        <is>
          <t>506097:2026-08-25T13:29:43.989634Z</t>
        </is>
      </c>
      <c r="DG148" s="24" t="n"/>
      <c r="DH148" s="24" t="n"/>
      <c r="DI148" s="24" t="n"/>
      <c r="DJ148" s="24" t="inlineStr">
        <is>
          <t>0.659864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9f2e2cff9b7340b6</t>
        </is>
      </c>
      <c r="B149" s="24" t="inlineStr">
        <is>
          <t>2026-08-25T13:31:51.589728Z</t>
        </is>
      </c>
      <c r="C149" s="24" t="inlineStr">
        <is>
          <t>2026-08-25T15:00Z</t>
        </is>
      </c>
      <c r="D149" s="24" t="inlineStr">
        <is>
          <t>189-2026:184604</t>
        </is>
      </c>
      <c r="E149" s="24" t="inlineStr">
        <is>
          <t>TENNIS</t>
        </is>
      </c>
      <c r="F149" s="24" t="inlineStr">
        <is>
          <t>David Jorda Sanchis</t>
        </is>
      </c>
      <c r="G149" s="24" t="inlineStr">
        <is>
          <t>Henri Squire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-223</v>
      </c>
      <c r="M149" s="27" t="n">
        <v>1.44843</v>
      </c>
      <c r="N149" s="28" t="n">
        <v>0.690402</v>
      </c>
      <c r="O149" s="28" t="n">
        <v>0.5218</v>
      </c>
      <c r="P149" s="28" t="n">
        <v>0.05</v>
      </c>
      <c r="Q149" s="28" t="n">
        <v>-0.168602</v>
      </c>
      <c r="R149" s="26" t="n">
        <v>0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</v>
      </c>
      <c r="X149" s="26" t="n">
        <v>0</v>
      </c>
      <c r="Y149" s="25" t="n"/>
      <c r="Z149" s="26" t="n">
        <v>-223</v>
      </c>
      <c r="AA149" s="28" t="n">
        <v>0.6899999999999999</v>
      </c>
      <c r="AB149" s="28" t="n">
        <v>-0.000402</v>
      </c>
      <c r="AC149" s="30" t="n">
        <v>-1</v>
      </c>
      <c r="AD149" s="24" t="inlineStr">
        <is>
          <t>2026-08-26T12:32:26.716849Z</t>
        </is>
      </c>
      <c r="AE149" s="31" t="inlineStr">
        <is>
          <t>Surface-blended Elo on Hard: David Jorda Sanchis p=0.478 vs Henri Squire. Executable ask 0.6900 (aec-atp-hensqu-davsan-2026-08-25).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David Jorda Sanchis</t>
        </is>
      </c>
      <c r="AQ149" s="24" t="inlineStr">
        <is>
          <t>David Jorda Sanchis</t>
        </is>
      </c>
      <c r="AR149" s="24" t="inlineStr">
        <is>
          <t>David Jorda Sanchis</t>
        </is>
      </c>
      <c r="AS149" s="24" t="inlineStr">
        <is>
          <t>Henri Squire</t>
        </is>
      </c>
      <c r="AT149" s="24" t="inlineStr">
        <is>
          <t>Henri Squire</t>
        </is>
      </c>
      <c r="AU149" s="24" t="inlineStr">
        <is>
          <t>Henri Squire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d777da58446bc099047b154203518e2585ef1a678f613f2b430f2589f7bf5cff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d777da58446bc099047b154203518e2585ef1a678f613f2b430f2589f7bf5cff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d777da58446bc099047b154203518e2585ef1a678f613f2b430f2589f7bf5cff</t>
        </is>
      </c>
      <c r="BH149" s="24" t="inlineStr">
        <is>
          <t>2026-08-25T13:29:43.832787Z</t>
        </is>
      </c>
      <c r="BI149" s="24" t="inlineStr">
        <is>
          <t>["same_event","same_team_same_day","same_league_same_day"]</t>
        </is>
      </c>
      <c r="BJ149" s="25" t="n"/>
      <c r="BK149" s="26" t="n">
        <v>-223</v>
      </c>
      <c r="BL149" s="27" t="n">
        <v>1.44843</v>
      </c>
      <c r="BM149" s="28" t="n">
        <v>0.690402</v>
      </c>
      <c r="BN149" s="28" t="n"/>
      <c r="BO149" s="28" t="n"/>
      <c r="BP149" s="25" t="n"/>
      <c r="BQ149" s="27" t="n">
        <v>1.44843</v>
      </c>
      <c r="BR149" s="28" t="n">
        <v>0.6899999999999999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-1</v>
      </c>
      <c r="BZ149" s="24" t="inlineStr">
        <is>
          <t>2026-08-26T12:32:26.716849Z</t>
        </is>
      </c>
      <c r="CA149" s="31" t="inlineStr">
        <is>
          <t>fixed one-unit hypothetical scoring; no real exposure or execution</t>
        </is>
      </c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inlineStr">
        <is>
          <t>d25d9a661831d2c26d127fcd9f0eeac798f466eb1d5e68900b2ea15ed55ff643</t>
        </is>
      </c>
      <c r="DE149" s="24" t="inlineStr">
        <is>
          <t>/Users/vincentc9002/model-prediction/data/odds/tennis/2026-08-25/polymarket_snapshots.jsonl</t>
        </is>
      </c>
      <c r="DF149" s="24" t="inlineStr">
        <is>
          <t>506095:2026-08-25T13:29:43.832787Z</t>
        </is>
      </c>
      <c r="DG149" s="24" t="n"/>
      <c r="DH149" s="24" t="n"/>
      <c r="DI149" s="24" t="n"/>
      <c r="DJ149" s="24" t="inlineStr">
        <is>
          <t>0.690402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bd07b5f5f95a46b2</t>
        </is>
      </c>
      <c r="B150" s="24" t="inlineStr">
        <is>
          <t>2026-08-25T13:31:51.589728Z</t>
        </is>
      </c>
      <c r="C150" s="24" t="inlineStr">
        <is>
          <t>2026-08-25T15:00Z</t>
        </is>
      </c>
      <c r="D150" s="24" t="inlineStr">
        <is>
          <t>189-2026:184618</t>
        </is>
      </c>
      <c r="E150" s="24" t="inlineStr">
        <is>
          <t>TENNIS</t>
        </is>
      </c>
      <c r="F150" s="24" t="inlineStr">
        <is>
          <t>Kei Nishikori</t>
        </is>
      </c>
      <c r="G150" s="24" t="inlineStr">
        <is>
          <t>Sebastian Ofner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polymarket_us</t>
        </is>
      </c>
      <c r="L150" s="26" t="n">
        <v>-104</v>
      </c>
      <c r="M150" s="27" t="n">
        <v>1.961538</v>
      </c>
      <c r="N150" s="28" t="n">
        <v>0.509804</v>
      </c>
      <c r="O150" s="28" t="n">
        <v>0.6873</v>
      </c>
      <c r="P150" s="28" t="n">
        <v>0.05</v>
      </c>
      <c r="Q150" s="28" t="n">
        <v>0.177496</v>
      </c>
      <c r="R150" s="26" t="n">
        <v>100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win</t>
        </is>
      </c>
      <c r="W150" s="26" t="n">
        <v>1</v>
      </c>
      <c r="X150" s="26" t="n">
        <v>0</v>
      </c>
      <c r="Y150" s="25" t="n"/>
      <c r="Z150" s="26" t="n">
        <v>-104</v>
      </c>
      <c r="AA150" s="28" t="n">
        <v>0.51</v>
      </c>
      <c r="AB150" s="28" t="n">
        <v>0.000196</v>
      </c>
      <c r="AC150" s="30" t="n">
        <v>1.6827</v>
      </c>
      <c r="AD150" s="24" t="inlineStr">
        <is>
          <t>2026-08-26T12:32:28.014373Z</t>
        </is>
      </c>
      <c r="AE150" s="31" t="inlineStr">
        <is>
          <t>Surface-blended Elo on Hard: Kei Nishikori p=0.687 vs Sebastian Ofner. Executable ask 0.5100 (aec-atp-sebofn-keinis-2026-08-25).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Kei Nishikori</t>
        </is>
      </c>
      <c r="AQ150" s="24" t="inlineStr">
        <is>
          <t>Kei Nishikori</t>
        </is>
      </c>
      <c r="AR150" s="24" t="inlineStr">
        <is>
          <t>Kei Nishikori</t>
        </is>
      </c>
      <c r="AS150" s="24" t="inlineStr">
        <is>
          <t>Sebastian Ofner</t>
        </is>
      </c>
      <c r="AT150" s="24" t="inlineStr">
        <is>
          <t>Sebastian Ofner</t>
        </is>
      </c>
      <c r="AU150" s="24" t="inlineStr">
        <is>
          <t>Sebastian Ofner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d777da58446bc099047b154203518e2585ef1a678f613f2b430f2589f7bf5cff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d777da58446bc099047b154203518e2585ef1a678f613f2b430f2589f7bf5cff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d777da58446bc099047b154203518e2585ef1a678f613f2b430f2589f7bf5cff</t>
        </is>
      </c>
      <c r="BH150" s="24" t="inlineStr">
        <is>
          <t>2026-08-25T13:29:44.622444Z</t>
        </is>
      </c>
      <c r="BI150" s="24" t="inlineStr">
        <is>
          <t>["same_event","same_team_same_day","same_league_same_day"]</t>
        </is>
      </c>
      <c r="BJ150" s="25" t="n"/>
      <c r="BK150" s="26" t="n">
        <v>-104</v>
      </c>
      <c r="BL150" s="27" t="n">
        <v>1.961538</v>
      </c>
      <c r="BM150" s="28" t="n">
        <v>0.509804</v>
      </c>
      <c r="BN150" s="28" t="n"/>
      <c r="BO150" s="28" t="n"/>
      <c r="BP150" s="25" t="n"/>
      <c r="BQ150" s="27" t="n">
        <v>1.961538</v>
      </c>
      <c r="BR150" s="28" t="n">
        <v>0.51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inlineStr">
        <is>
          <t>9f96b60d1f16e8b9d1c033f6237f2fc0ef56beb076493de2de8f0db2a84918c1</t>
        </is>
      </c>
      <c r="DE150" s="24" t="inlineStr">
        <is>
          <t>/Users/vincentc9002/model-prediction/data/odds/tennis/2026-08-25/polymarket_snapshots.jsonl</t>
        </is>
      </c>
      <c r="DF150" s="24" t="inlineStr">
        <is>
          <t>506130:2026-08-25T13:29:44.622444Z</t>
        </is>
      </c>
      <c r="DG150" s="24" t="n"/>
      <c r="DH150" s="24" t="n"/>
      <c r="DI150" s="24" t="n"/>
      <c r="DJ150" s="24" t="inlineStr">
        <is>
          <t>0.509804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0897fc8c8df143d9</t>
        </is>
      </c>
      <c r="B151" s="24" t="inlineStr">
        <is>
          <t>2026-08-25T13:31:51.589728Z</t>
        </is>
      </c>
      <c r="C151" s="24" t="inlineStr">
        <is>
          <t>2026-08-25T15:00Z</t>
        </is>
      </c>
      <c r="D151" s="24" t="inlineStr">
        <is>
          <t>189-2026:184623</t>
        </is>
      </c>
      <c r="E151" s="24" t="inlineStr">
        <is>
          <t>TENNIS</t>
        </is>
      </c>
      <c r="F151" s="24" t="inlineStr">
        <is>
          <t>Gilles Arnaud Bailly</t>
        </is>
      </c>
      <c r="G151" s="24" t="inlineStr">
        <is>
          <t>Timofey Skatov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133</v>
      </c>
      <c r="M151" s="27" t="n">
        <v>2.33</v>
      </c>
      <c r="N151" s="28" t="n">
        <v>0.429185</v>
      </c>
      <c r="O151" s="28" t="n">
        <v>0.5331</v>
      </c>
      <c r="P151" s="28" t="n">
        <v>0.05</v>
      </c>
      <c r="Q151" s="28" t="n">
        <v>0.103915</v>
      </c>
      <c r="R151" s="26" t="n">
        <v>72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0</v>
      </c>
      <c r="X151" s="26" t="n">
        <v>1</v>
      </c>
      <c r="Y151" s="25" t="n"/>
      <c r="Z151" s="26" t="n">
        <v>133</v>
      </c>
      <c r="AA151" s="28" t="n">
        <v>0.43</v>
      </c>
      <c r="AB151" s="28" t="n">
        <v>0.000815</v>
      </c>
      <c r="AC151" s="30" t="n">
        <v>-1.25</v>
      </c>
      <c r="AD151" s="24" t="inlineStr">
        <is>
          <t>2026-08-26T12:32:29.306898Z</t>
        </is>
      </c>
      <c r="AE151" s="31" t="inlineStr">
        <is>
          <t>Surface-blended Elo on Hard: Gilles Arnaud Bailly p=0.533 vs Timofey Skatov. Executable ask 0.4300 (aec-atp-timska-gilbai-2026-08-25).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Gilles Arnaud Bailly</t>
        </is>
      </c>
      <c r="AQ151" s="24" t="inlineStr">
        <is>
          <t>Gilles Arnaud Bailly</t>
        </is>
      </c>
      <c r="AR151" s="24" t="inlineStr">
        <is>
          <t>Gilles Arnaud Bailly</t>
        </is>
      </c>
      <c r="AS151" s="24" t="inlineStr">
        <is>
          <t>Timofey Skatov</t>
        </is>
      </c>
      <c r="AT151" s="24" t="inlineStr">
        <is>
          <t>Timofey Skatov</t>
        </is>
      </c>
      <c r="AU151" s="24" t="inlineStr">
        <is>
          <t>Timofey Skatov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d777da58446bc099047b154203518e2585ef1a678f613f2b430f2589f7bf5cff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d777da58446bc099047b154203518e2585ef1a678f613f2b430f2589f7bf5cff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d777da58446bc099047b154203518e2585ef1a678f613f2b430f2589f7bf5cff</t>
        </is>
      </c>
      <c r="BH151" s="24" t="inlineStr">
        <is>
          <t>2026-08-25T13:29:44.043942Z</t>
        </is>
      </c>
      <c r="BI151" s="24" t="inlineStr">
        <is>
          <t>["same_event","same_team_same_day","same_league_same_day"]</t>
        </is>
      </c>
      <c r="BJ151" s="25" t="n"/>
      <c r="BK151" s="26" t="n">
        <v>133</v>
      </c>
      <c r="BL151" s="27" t="n">
        <v>2.33</v>
      </c>
      <c r="BM151" s="28" t="n">
        <v>0.429185</v>
      </c>
      <c r="BN151" s="28" t="n"/>
      <c r="BO151" s="28" t="n"/>
      <c r="BP151" s="25" t="n"/>
      <c r="BQ151" s="27" t="n">
        <v>2.33</v>
      </c>
      <c r="BR151" s="28" t="n">
        <v>0.43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inlineStr">
        <is>
          <t>2026-08-26T12:32:29.306898Z</t>
        </is>
      </c>
      <c r="CA151" s="31" t="inlineStr">
        <is>
          <t>fixed one-unit hypothetical scoring; no real exposure or execution</t>
        </is>
      </c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inlineStr">
        <is>
          <t>32a548239f67b25c533495ea14b54d0f8515db57a21aa1e363945cde3865da1e</t>
        </is>
      </c>
      <c r="DE151" s="24" t="inlineStr">
        <is>
          <t>/Users/vincentc9002/model-prediction/data/odds/tennis/2026-08-25/polymarket_snapshots.jsonl</t>
        </is>
      </c>
      <c r="DF151" s="24" t="inlineStr">
        <is>
          <t>506105:2026-08-25T13:29:44.043942Z</t>
        </is>
      </c>
      <c r="DG151" s="24" t="n"/>
      <c r="DH151" s="24" t="n"/>
      <c r="DI151" s="24" t="n"/>
      <c r="DJ151" s="24" t="inlineStr">
        <is>
          <t>0.429185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d639f1bad84b4bdb</t>
        </is>
      </c>
      <c r="B152" s="24" t="inlineStr">
        <is>
          <t>2026-08-25T13:31:51.589728Z</t>
        </is>
      </c>
      <c r="C152" s="24" t="inlineStr">
        <is>
          <t>2026-08-25T15:00Z</t>
        </is>
      </c>
      <c r="D152" s="24" t="inlineStr">
        <is>
          <t>189-2026:184643</t>
        </is>
      </c>
      <c r="E152" s="24" t="inlineStr">
        <is>
          <t>TENNIS</t>
        </is>
      </c>
      <c r="F152" s="24" t="inlineStr">
        <is>
          <t>Clement Tabur</t>
        </is>
      </c>
      <c r="G152" s="24" t="inlineStr">
        <is>
          <t>Braden Shick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-144</v>
      </c>
      <c r="M152" s="27" t="n">
        <v>1.694444</v>
      </c>
      <c r="N152" s="28" t="n">
        <v>0.590164</v>
      </c>
      <c r="O152" s="28" t="n">
        <v>0.5431</v>
      </c>
      <c r="P152" s="28" t="n">
        <v>0.05</v>
      </c>
      <c r="Q152" s="28" t="n">
        <v>-0.047064</v>
      </c>
      <c r="R152" s="26" t="n">
        <v>0</v>
      </c>
      <c r="S152" s="29" t="n">
        <v>1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loss</t>
        </is>
      </c>
      <c r="W152" s="26" t="n">
        <v>0</v>
      </c>
      <c r="X152" s="26" t="n">
        <v>1</v>
      </c>
      <c r="Y152" s="25" t="n"/>
      <c r="Z152" s="26" t="n">
        <v>-144</v>
      </c>
      <c r="AA152" s="28" t="n">
        <v>0.59</v>
      </c>
      <c r="AB152" s="28" t="n">
        <v>-0.000164</v>
      </c>
      <c r="AC152" s="30" t="n">
        <v>-1</v>
      </c>
      <c r="AD152" s="24" t="inlineStr">
        <is>
          <t>2026-08-26T12:32:30.581581Z</t>
        </is>
      </c>
      <c r="AE152" s="31" t="inlineStr">
        <is>
          <t>Surface-blended Elo on Hard: Clement Tabur p=0.543 vs Braden Shick. Executable ask 0.5900 (aec-atp-brashi-cletab-2026-08-25).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PAPER_CALL_MODEL_UNVALIDATED</t>
        </is>
      </c>
      <c r="AP152" s="24" t="inlineStr">
        <is>
          <t>Clement Tabur</t>
        </is>
      </c>
      <c r="AQ152" s="24" t="inlineStr">
        <is>
          <t>Clement Tabur</t>
        </is>
      </c>
      <c r="AR152" s="24" t="inlineStr">
        <is>
          <t>Clement Tabur</t>
        </is>
      </c>
      <c r="AS152" s="24" t="inlineStr">
        <is>
          <t>Braden Shick</t>
        </is>
      </c>
      <c r="AT152" s="24" t="inlineStr">
        <is>
          <t>Braden Shick</t>
        </is>
      </c>
      <c r="AU152" s="24" t="inlineStr">
        <is>
          <t>Braden Shick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d777da58446bc099047b154203518e2585ef1a678f613f2b430f2589f7bf5cff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d777da58446bc099047b154203518e2585ef1a678f613f2b430f2589f7bf5cff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d777da58446bc099047b154203518e2585ef1a678f613f2b430f2589f7bf5cff</t>
        </is>
      </c>
      <c r="BH152" s="24" t="inlineStr">
        <is>
          <t>2026-08-25T13:29:44.335119Z</t>
        </is>
      </c>
      <c r="BI152" s="24" t="inlineStr">
        <is>
          <t>["same_event","same_team_same_day","same_league_same_day"]</t>
        </is>
      </c>
      <c r="BJ152" s="25" t="n"/>
      <c r="BK152" s="26" t="n">
        <v>-144</v>
      </c>
      <c r="BL152" s="27" t="n">
        <v>1.694444</v>
      </c>
      <c r="BM152" s="28" t="n">
        <v>0.590164</v>
      </c>
      <c r="BN152" s="28" t="n"/>
      <c r="BO152" s="28" t="n"/>
      <c r="BP152" s="25" t="n"/>
      <c r="BQ152" s="27" t="n">
        <v>1.694444</v>
      </c>
      <c r="BR152" s="28" t="n">
        <v>0.59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2026-08-26T12:32:30.581581Z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inlineStr">
        <is>
          <t>1bd8e233edad084272ce5fed13254b0080cde12d56c28a3947ea320143d2bfa9</t>
        </is>
      </c>
      <c r="DE152" s="24" t="inlineStr">
        <is>
          <t>/Users/vincentc9002/model-prediction/data/odds/tennis/2026-08-25/polymarket_snapshots.jsonl</t>
        </is>
      </c>
      <c r="DF152" s="24" t="inlineStr">
        <is>
          <t>506104:2026-08-25T13:29:44.335119Z</t>
        </is>
      </c>
      <c r="DG152" s="24" t="n"/>
      <c r="DH152" s="24" t="n"/>
      <c r="DI152" s="24" t="n"/>
      <c r="DJ152" s="24" t="inlineStr">
        <is>
          <t>0.590164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6065f7d54a004f91</t>
        </is>
      </c>
      <c r="B153" s="24" t="inlineStr">
        <is>
          <t>2026-08-25T13:31:51.589728Z</t>
        </is>
      </c>
      <c r="C153" s="24" t="inlineStr">
        <is>
          <t>2026-08-25T16:30Z</t>
        </is>
      </c>
      <c r="D153" s="24" t="inlineStr">
        <is>
          <t>189-2026:184598</t>
        </is>
      </c>
      <c r="E153" s="24" t="inlineStr">
        <is>
          <t>TENNIS</t>
        </is>
      </c>
      <c r="F153" s="24" t="inlineStr">
        <is>
          <t>Sumit Nagal</t>
        </is>
      </c>
      <c r="G153" s="24" t="inlineStr">
        <is>
          <t>Arthur Gea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-669</v>
      </c>
      <c r="M153" s="27" t="n">
        <v>1.149477</v>
      </c>
      <c r="N153" s="28" t="n">
        <v>0.869961</v>
      </c>
      <c r="O153" s="28" t="n">
        <v>0.6881</v>
      </c>
      <c r="P153" s="28" t="n">
        <v>0.05</v>
      </c>
      <c r="Q153" s="28" t="n">
        <v>-0.181861</v>
      </c>
      <c r="R153" s="26" t="n">
        <v>0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0</v>
      </c>
      <c r="X153" s="26" t="n">
        <v>1</v>
      </c>
      <c r="Y153" s="25" t="n"/>
      <c r="Z153" s="26" t="n">
        <v>-669</v>
      </c>
      <c r="AA153" s="28" t="n">
        <v>0.87</v>
      </c>
      <c r="AB153" s="28" t="n">
        <v>3.9e-05</v>
      </c>
      <c r="AC153" s="30" t="n">
        <v>0.1495</v>
      </c>
      <c r="AD153" s="24" t="inlineStr">
        <is>
          <t>2026-08-26T12:32:31.864275Z</t>
        </is>
      </c>
      <c r="AE153" s="31" t="inlineStr">
        <is>
          <t>Surface-blended Elo on Hard: Sumit Nagal p=0.312 vs Arthur Gea. Executable ask 0.8700 (aec-atp-artgea-sumnag-2026-08-25).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Sumit Nagal</t>
        </is>
      </c>
      <c r="AQ153" s="24" t="inlineStr">
        <is>
          <t>Sumit Nagal</t>
        </is>
      </c>
      <c r="AR153" s="24" t="inlineStr">
        <is>
          <t>Sumit Nagal</t>
        </is>
      </c>
      <c r="AS153" s="24" t="inlineStr">
        <is>
          <t>Arthur Gea</t>
        </is>
      </c>
      <c r="AT153" s="24" t="inlineStr">
        <is>
          <t>Arthur Gea</t>
        </is>
      </c>
      <c r="AU153" s="24" t="inlineStr">
        <is>
          <t>Arthur Gea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d777da58446bc099047b154203518e2585ef1a678f613f2b430f2589f7bf5cff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d777da58446bc099047b154203518e2585ef1a678f613f2b430f2589f7bf5cff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d777da58446bc099047b154203518e2585ef1a678f613f2b430f2589f7bf5cff</t>
        </is>
      </c>
      <c r="BH153" s="24" t="inlineStr">
        <is>
          <t>2026-08-25T13:29:45.399839Z</t>
        </is>
      </c>
      <c r="BI153" s="24" t="inlineStr">
        <is>
          <t>["same_event","same_team_same_day","same_league_same_day"]</t>
        </is>
      </c>
      <c r="BJ153" s="25" t="n"/>
      <c r="BK153" s="26" t="n">
        <v>-669</v>
      </c>
      <c r="BL153" s="27" t="n">
        <v>1.149477</v>
      </c>
      <c r="BM153" s="28" t="n">
        <v>0.869961</v>
      </c>
      <c r="BN153" s="28" t="n"/>
      <c r="BO153" s="28" t="n"/>
      <c r="BP153" s="25" t="n"/>
      <c r="BQ153" s="27" t="n">
        <v>1.149477</v>
      </c>
      <c r="BR153" s="28" t="n">
        <v>0.87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0.149477</v>
      </c>
      <c r="BZ153" s="24" t="inlineStr">
        <is>
          <t>2026-08-26T12:32:31.864275Z</t>
        </is>
      </c>
      <c r="CA153" s="31" t="inlineStr">
        <is>
          <t>fixed one-unit hypothetical scoring; no real exposure or execution</t>
        </is>
      </c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inlineStr">
        <is>
          <t>c6621b52bfff5dc71acb93d906d2a0a899e460ff5a48f7f5aca151f7328bbe9e</t>
        </is>
      </c>
      <c r="DE153" s="24" t="inlineStr">
        <is>
          <t>/Users/vincentc9002/model-prediction/data/odds/tennis/2026-08-25/polymarket_snapshots.jsonl</t>
        </is>
      </c>
      <c r="DF153" s="24" t="inlineStr">
        <is>
          <t>506085:2026-08-25T13:29:45.399839Z</t>
        </is>
      </c>
      <c r="DG153" s="24" t="n"/>
      <c r="DH153" s="24" t="n"/>
      <c r="DI153" s="24" t="n"/>
      <c r="DJ153" s="24" t="inlineStr">
        <is>
          <t>0.869961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570d7ed528cc4665</t>
        </is>
      </c>
      <c r="B154" s="24" t="inlineStr">
        <is>
          <t>2026-08-25T13:31:51.589728Z</t>
        </is>
      </c>
      <c r="C154" s="24" t="inlineStr">
        <is>
          <t>2026-08-25T16:30Z</t>
        </is>
      </c>
      <c r="D154" s="24" t="inlineStr">
        <is>
          <t>189-2026:184601</t>
        </is>
      </c>
      <c r="E154" s="24" t="inlineStr">
        <is>
          <t>TENNIS</t>
        </is>
      </c>
      <c r="F154" s="24" t="inlineStr">
        <is>
          <t>Nishesh Basavareddy</t>
        </is>
      </c>
      <c r="G154" s="24" t="inlineStr">
        <is>
          <t>Moise Kouame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104</v>
      </c>
      <c r="M154" s="27" t="n">
        <v>2.04</v>
      </c>
      <c r="N154" s="28" t="n">
        <v>0.490196</v>
      </c>
      <c r="O154" s="28" t="n">
        <v>0.5968</v>
      </c>
      <c r="P154" s="28" t="n">
        <v>0.05</v>
      </c>
      <c r="Q154" s="28" t="n">
        <v>0.106604</v>
      </c>
      <c r="R154" s="26" t="n">
        <v>73</v>
      </c>
      <c r="S154" s="29" t="n">
        <v>1.5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104</v>
      </c>
      <c r="AA154" s="28" t="n">
        <v>0.49</v>
      </c>
      <c r="AB154" s="28" t="n">
        <v>-0.000196</v>
      </c>
      <c r="AC154" s="30" t="n">
        <v>1.56</v>
      </c>
      <c r="AD154" s="24" t="inlineStr">
        <is>
          <t>2026-08-26T12:32:33.145411Z</t>
        </is>
      </c>
      <c r="AE154" s="31" t="inlineStr">
        <is>
          <t>Surface-blended Elo on Hard: Nishesh Basavareddy p=0.597 vs Moise Kouame. Executable ask 0.4900 (aec-atp-moikou-nisbas-2026-08-25).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Nishesh Basavareddy</t>
        </is>
      </c>
      <c r="AQ154" s="24" t="inlineStr">
        <is>
          <t>Nishesh Basavareddy</t>
        </is>
      </c>
      <c r="AR154" s="24" t="inlineStr">
        <is>
          <t>Nishesh Basavareddy</t>
        </is>
      </c>
      <c r="AS154" s="24" t="inlineStr">
        <is>
          <t>Moise Kouame</t>
        </is>
      </c>
      <c r="AT154" s="24" t="inlineStr">
        <is>
          <t>Moise Kouame</t>
        </is>
      </c>
      <c r="AU154" s="24" t="inlineStr">
        <is>
          <t>Moise Kouame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d777da58446bc099047b154203518e2585ef1a678f613f2b430f2589f7bf5cff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d777da58446bc099047b154203518e2585ef1a678f613f2b430f2589f7bf5cff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d777da58446bc099047b154203518e2585ef1a678f613f2b430f2589f7bf5cff</t>
        </is>
      </c>
      <c r="BH154" s="24" t="inlineStr">
        <is>
          <t>2026-08-25T13:29:45.667897Z</t>
        </is>
      </c>
      <c r="BI154" s="24" t="inlineStr">
        <is>
          <t>["same_event","same_team_same_day","same_league_same_day"]</t>
        </is>
      </c>
      <c r="BJ154" s="25" t="n"/>
      <c r="BK154" s="26" t="n">
        <v>104</v>
      </c>
      <c r="BL154" s="27" t="n">
        <v>2.04</v>
      </c>
      <c r="BM154" s="28" t="n">
        <v>0.490196</v>
      </c>
      <c r="BN154" s="28" t="n"/>
      <c r="BO154" s="28" t="n"/>
      <c r="BP154" s="25" t="n"/>
      <c r="BQ154" s="27" t="n">
        <v>2.04</v>
      </c>
      <c r="BR154" s="28" t="n">
        <v>0.49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inlineStr">
        <is>
          <t>96d31457918563fe04f2b5be8a0cebc7c4950633f86c8af4f7271d121d2099b2</t>
        </is>
      </c>
      <c r="DE154" s="24" t="inlineStr">
        <is>
          <t>/Users/vincentc9002/model-prediction/data/odds/tennis/2026-08-25/polymarket_snapshots.jsonl</t>
        </is>
      </c>
      <c r="DF154" s="24" t="inlineStr">
        <is>
          <t>506093:2026-08-25T13:29:45.667897Z</t>
        </is>
      </c>
      <c r="DG154" s="24" t="n"/>
      <c r="DH154" s="24" t="n"/>
      <c r="DI154" s="24" t="n"/>
      <c r="DJ154" s="24" t="inlineStr">
        <is>
          <t>0.490196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c36a4e13304d43bb</t>
        </is>
      </c>
      <c r="B155" s="24" t="inlineStr">
        <is>
          <t>2026-08-25T13:31:51.589728Z</t>
        </is>
      </c>
      <c r="C155" s="24" t="inlineStr">
        <is>
          <t>2026-08-25T16:30Z</t>
        </is>
      </c>
      <c r="D155" s="24" t="inlineStr">
        <is>
          <t>189-2026:184610</t>
        </is>
      </c>
      <c r="E155" s="24" t="inlineStr">
        <is>
          <t>TENNIS</t>
        </is>
      </c>
      <c r="F155" s="24" t="inlineStr">
        <is>
          <t>Federico Coria</t>
        </is>
      </c>
      <c r="G155" s="24" t="inlineStr">
        <is>
          <t>Clement Chidekh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-900</v>
      </c>
      <c r="M155" s="27" t="n">
        <v>1.111111</v>
      </c>
      <c r="N155" s="28" t="n">
        <v>0.9</v>
      </c>
      <c r="O155" s="28" t="n">
        <v>0.5706</v>
      </c>
      <c r="P155" s="28" t="n">
        <v>0.05</v>
      </c>
      <c r="Q155" s="28" t="n">
        <v>-0.3294</v>
      </c>
      <c r="R155" s="26" t="n">
        <v>0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-900</v>
      </c>
      <c r="AA155" s="28" t="n">
        <v>0.9</v>
      </c>
      <c r="AB155" s="28" t="n">
        <v>0</v>
      </c>
      <c r="AC155" s="30" t="n">
        <v>0.1111</v>
      </c>
      <c r="AD155" s="24" t="inlineStr">
        <is>
          <t>2026-08-26T12:32:34.543833Z</t>
        </is>
      </c>
      <c r="AE155" s="31" t="inlineStr">
        <is>
          <t>Surface-blended Elo on Hard: Federico Coria p=0.429 vs Clement Chidekh. Executable ask 0.9000 (aec-atp-clechi-fedcor-2026-08-25).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Federico Coria</t>
        </is>
      </c>
      <c r="AQ155" s="24" t="inlineStr">
        <is>
          <t>Federico Coria</t>
        </is>
      </c>
      <c r="AR155" s="24" t="inlineStr">
        <is>
          <t>Federico Coria</t>
        </is>
      </c>
      <c r="AS155" s="24" t="inlineStr">
        <is>
          <t>Clement Chidekh</t>
        </is>
      </c>
      <c r="AT155" s="24" t="inlineStr">
        <is>
          <t>Clement Chidekh</t>
        </is>
      </c>
      <c r="AU155" s="24" t="inlineStr">
        <is>
          <t>Clement Chidekh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d777da58446bc099047b154203518e2585ef1a678f613f2b430f2589f7bf5cff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d777da58446bc099047b154203518e2585ef1a678f613f2b430f2589f7bf5cff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d777da58446bc099047b154203518e2585ef1a678f613f2b430f2589f7bf5cff</t>
        </is>
      </c>
      <c r="BH155" s="24" t="inlineStr">
        <is>
          <t>2026-08-25T13:29:44.767129Z</t>
        </is>
      </c>
      <c r="BI155" s="24" t="inlineStr">
        <is>
          <t>["same_event","same_team_same_day","same_league_same_day"]</t>
        </is>
      </c>
      <c r="BJ155" s="25" t="n"/>
      <c r="BK155" s="26" t="n">
        <v>-900</v>
      </c>
      <c r="BL155" s="27" t="n">
        <v>1.111111</v>
      </c>
      <c r="BM155" s="28" t="n">
        <v>0.9</v>
      </c>
      <c r="BN155" s="28" t="n"/>
      <c r="BO155" s="28" t="n"/>
      <c r="BP155" s="25" t="n"/>
      <c r="BQ155" s="27" t="n">
        <v>1.111111</v>
      </c>
      <c r="BR155" s="28" t="n">
        <v>0.9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0.111111</v>
      </c>
      <c r="BZ155" s="24" t="inlineStr">
        <is>
          <t>2026-08-26T12:32:34.543833Z</t>
        </is>
      </c>
      <c r="CA155" s="31" t="inlineStr">
        <is>
          <t>fixed one-unit hypothetical scoring; no real exposure or execution</t>
        </is>
      </c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inlineStr">
        <is>
          <t>727aa2c988204e04cd49bea799f4a79a9bee6a96ffe8bbf08e99fd7db4b0c6ab</t>
        </is>
      </c>
      <c r="DE155" s="24" t="inlineStr">
        <is>
          <t>/Users/vincentc9002/model-prediction/data/odds/tennis/2026-08-25/polymarket_snapshots.jsonl</t>
        </is>
      </c>
      <c r="DF155" s="24" t="inlineStr">
        <is>
          <t>506087:2026-08-25T13:29:44.767129Z</t>
        </is>
      </c>
      <c r="DG155" s="24" t="n"/>
      <c r="DH155" s="24" t="n"/>
      <c r="DI155" s="24" t="n"/>
      <c r="DJ155" s="24" t="inlineStr">
        <is>
          <t>0.9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f7c6c1ba70f44811</t>
        </is>
      </c>
      <c r="B156" s="24" t="inlineStr">
        <is>
          <t>2026-08-25T13:31:51.589728Z</t>
        </is>
      </c>
      <c r="C156" s="24" t="inlineStr">
        <is>
          <t>2026-08-25T16:30Z</t>
        </is>
      </c>
      <c r="D156" s="24" t="inlineStr">
        <is>
          <t>189-2026:184611</t>
        </is>
      </c>
      <c r="E156" s="24" t="inlineStr">
        <is>
          <t>TENNIS</t>
        </is>
      </c>
      <c r="F156" s="24" t="inlineStr">
        <is>
          <t>Nikolas Sanchez Izquierdo</t>
        </is>
      </c>
      <c r="G156" s="24" t="inlineStr">
        <is>
          <t>Luka Mikrut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polymarket_us</t>
        </is>
      </c>
      <c r="L156" s="26" t="n">
        <v>133</v>
      </c>
      <c r="M156" s="27" t="n">
        <v>2.33</v>
      </c>
      <c r="N156" s="28" t="n">
        <v>0.429185</v>
      </c>
      <c r="O156" s="28" t="n">
        <v>0.5545</v>
      </c>
      <c r="P156" s="28" t="n">
        <v>0.05</v>
      </c>
      <c r="Q156" s="28" t="n">
        <v>0.125315</v>
      </c>
      <c r="R156" s="26" t="n">
        <v>83</v>
      </c>
      <c r="S156" s="29" t="n">
        <v>1.5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0</v>
      </c>
      <c r="X156" s="26" t="n">
        <v>1</v>
      </c>
      <c r="Y156" s="25" t="n"/>
      <c r="Z156" s="26" t="n">
        <v>133</v>
      </c>
      <c r="AA156" s="28" t="n">
        <v>0.43</v>
      </c>
      <c r="AB156" s="28" t="n">
        <v>0.000815</v>
      </c>
      <c r="AC156" s="30" t="n">
        <v>-1.5</v>
      </c>
      <c r="AD156" s="24" t="inlineStr">
        <is>
          <t>2026-08-26T12:32:35.831913Z</t>
        </is>
      </c>
      <c r="AE156" s="31" t="inlineStr">
        <is>
          <t>Surface-blended Elo on Hard: Nikolas Sanchez Izquierdo p=0.554 vs Luka Mikrut. Executable ask 0.4300 (aec-atp-lukmik-nikizq-2026-08-25).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PAPER_CALL_MODEL_UNVALIDATED</t>
        </is>
      </c>
      <c r="AP156" s="24" t="inlineStr">
        <is>
          <t>Nikolas Sanchez Izquierdo</t>
        </is>
      </c>
      <c r="AQ156" s="24" t="inlineStr">
        <is>
          <t>Nikolas Sanchez Izquierdo</t>
        </is>
      </c>
      <c r="AR156" s="24" t="inlineStr">
        <is>
          <t>Nikolas Sanchez Izquierdo</t>
        </is>
      </c>
      <c r="AS156" s="24" t="inlineStr">
        <is>
          <t>Luka Mikrut</t>
        </is>
      </c>
      <c r="AT156" s="24" t="inlineStr">
        <is>
          <t>Luka Mikrut</t>
        </is>
      </c>
      <c r="AU156" s="24" t="inlineStr">
        <is>
          <t>Luka Mikrut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d777da58446bc099047b154203518e2585ef1a678f613f2b430f2589f7bf5cff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d777da58446bc099047b154203518e2585ef1a678f613f2b430f2589f7bf5cff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d777da58446bc099047b154203518e2585ef1a678f613f2b430f2589f7bf5cff</t>
        </is>
      </c>
      <c r="BH156" s="24" t="inlineStr">
        <is>
          <t>2026-08-25T13:29:44.915628Z</t>
        </is>
      </c>
      <c r="BI156" s="24" t="inlineStr">
        <is>
          <t>["same_event","same_team_same_day","same_league_same_day"]</t>
        </is>
      </c>
      <c r="BJ156" s="25" t="n"/>
      <c r="BK156" s="26" t="n">
        <v>133</v>
      </c>
      <c r="BL156" s="27" t="n">
        <v>2.33</v>
      </c>
      <c r="BM156" s="28" t="n">
        <v>0.429185</v>
      </c>
      <c r="BN156" s="28" t="n"/>
      <c r="BO156" s="28" t="n"/>
      <c r="BP156" s="25" t="n"/>
      <c r="BQ156" s="27" t="n">
        <v>2.33</v>
      </c>
      <c r="BR156" s="28" t="n">
        <v>0.43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-1</v>
      </c>
      <c r="BZ156" s="24" t="inlineStr">
        <is>
          <t>2026-08-26T12:32:35.831913Z</t>
        </is>
      </c>
      <c r="CA156" s="31" t="inlineStr">
        <is>
          <t>fixed one-unit hypothetical scoring; no real exposure or execution</t>
        </is>
      </c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inlineStr">
        <is>
          <t>ba74de35cd576325c502b37195a584f5994f7d8fd7a2997bdf39fa9fe7d742c1</t>
        </is>
      </c>
      <c r="DE156" s="24" t="inlineStr">
        <is>
          <t>/Users/vincentc9002/model-prediction/data/odds/tennis/2026-08-25/polymarket_snapshots.jsonl</t>
        </is>
      </c>
      <c r="DF156" s="24" t="inlineStr">
        <is>
          <t>506090:2026-08-25T13:29:44.915628Z</t>
        </is>
      </c>
      <c r="DG156" s="24" t="n"/>
      <c r="DH156" s="24" t="n"/>
      <c r="DI156" s="24" t="n"/>
      <c r="DJ156" s="24" t="inlineStr">
        <is>
          <t>0.429185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931b5332d5ce44af</t>
        </is>
      </c>
      <c r="B157" s="24" t="inlineStr">
        <is>
          <t>2026-08-25T13:31:51.589728Z</t>
        </is>
      </c>
      <c r="C157" s="24" t="inlineStr">
        <is>
          <t>2026-08-25T16:30Z</t>
        </is>
      </c>
      <c r="D157" s="24" t="inlineStr">
        <is>
          <t>189-2026:184616</t>
        </is>
      </c>
      <c r="E157" s="24" t="inlineStr">
        <is>
          <t>TENNIS</t>
        </is>
      </c>
      <c r="F157" s="24" t="inlineStr">
        <is>
          <t>Pablo Llamas Ruiz</t>
        </is>
      </c>
      <c r="G157" s="24" t="inlineStr">
        <is>
          <t>Alex Bolt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-257</v>
      </c>
      <c r="M157" s="27" t="n">
        <v>1.389105</v>
      </c>
      <c r="N157" s="28" t="n">
        <v>0.719888</v>
      </c>
      <c r="O157" s="28" t="n">
        <v>0.5664</v>
      </c>
      <c r="P157" s="28" t="n">
        <v>0.05</v>
      </c>
      <c r="Q157" s="28" t="n">
        <v>-0.153488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-257</v>
      </c>
      <c r="AA157" s="28" t="n">
        <v>0.72</v>
      </c>
      <c r="AB157" s="28" t="n">
        <v>0.000112</v>
      </c>
      <c r="AC157" s="30" t="n">
        <v>0.3891</v>
      </c>
      <c r="AD157" s="24" t="inlineStr">
        <is>
          <t>2026-08-26T12:32:37.117164Z</t>
        </is>
      </c>
      <c r="AE157" s="31" t="inlineStr">
        <is>
          <t>Surface-blended Elo on Hard: Pablo Llamas Ruiz p=0.566 vs Alex Bolt. Executable ask 0.7200 (aec-atp-alebol-pabrui-2026-08-25).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Pablo Llamas Ruiz</t>
        </is>
      </c>
      <c r="AQ157" s="24" t="inlineStr">
        <is>
          <t>Pablo Llamas Ruiz</t>
        </is>
      </c>
      <c r="AR157" s="24" t="inlineStr">
        <is>
          <t>Pablo Llamas Ruiz</t>
        </is>
      </c>
      <c r="AS157" s="24" t="inlineStr">
        <is>
          <t>Alex Bolt</t>
        </is>
      </c>
      <c r="AT157" s="24" t="inlineStr">
        <is>
          <t>Alex Bolt</t>
        </is>
      </c>
      <c r="AU157" s="24" t="inlineStr">
        <is>
          <t>Alex Bolt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d777da58446bc099047b154203518e2585ef1a678f613f2b430f2589f7bf5cff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d777da58446bc099047b154203518e2585ef1a678f613f2b430f2589f7bf5cff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d777da58446bc099047b154203518e2585ef1a678f613f2b430f2589f7bf5cff</t>
        </is>
      </c>
      <c r="BH157" s="24" t="inlineStr">
        <is>
          <t>2026-08-25T13:29:45.319070Z</t>
        </is>
      </c>
      <c r="BI157" s="24" t="inlineStr">
        <is>
          <t>["same_event","same_team_same_day","same_league_same_day"]</t>
        </is>
      </c>
      <c r="BJ157" s="25" t="n"/>
      <c r="BK157" s="26" t="n">
        <v>-257</v>
      </c>
      <c r="BL157" s="27" t="n">
        <v>1.389105</v>
      </c>
      <c r="BM157" s="28" t="n">
        <v>0.719888</v>
      </c>
      <c r="BN157" s="28" t="n"/>
      <c r="BO157" s="28" t="n"/>
      <c r="BP157" s="25" t="n"/>
      <c r="BQ157" s="27" t="n">
        <v>1.389105</v>
      </c>
      <c r="BR157" s="28" t="n">
        <v>0.72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0.389105</v>
      </c>
      <c r="BZ157" s="24" t="inlineStr">
        <is>
          <t>2026-08-26T12:32:37.117164Z</t>
        </is>
      </c>
      <c r="CA157" s="31" t="inlineStr">
        <is>
          <t>fixed one-unit hypothetical scoring; no real exposure or execution</t>
        </is>
      </c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inlineStr">
        <is>
          <t>50ac39ccad24d97c2581df402cf7f911b3c5ad89e26d95cb346cdb7af8436a14</t>
        </is>
      </c>
      <c r="DE157" s="24" t="inlineStr">
        <is>
          <t>/Users/vincentc9002/model-prediction/data/odds/tennis/2026-08-25/polymarket_snapshots.jsonl</t>
        </is>
      </c>
      <c r="DF157" s="24" t="inlineStr">
        <is>
          <t>506129:2026-08-25T13:29:45.319070Z</t>
        </is>
      </c>
      <c r="DG157" s="24" t="n"/>
      <c r="DH157" s="24" t="n"/>
      <c r="DI157" s="24" t="n"/>
      <c r="DJ157" s="24" t="inlineStr">
        <is>
          <t>0.719888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c93c57610605404b</t>
        </is>
      </c>
      <c r="B158" s="24" t="inlineStr">
        <is>
          <t>2026-08-25T13:31:51.589728Z</t>
        </is>
      </c>
      <c r="C158" s="24" t="inlineStr">
        <is>
          <t>2026-08-25T16:30Z</t>
        </is>
      </c>
      <c r="D158" s="24" t="inlineStr">
        <is>
          <t>189-2026:184624</t>
        </is>
      </c>
      <c r="E158" s="24" t="inlineStr">
        <is>
          <t>TENNIS</t>
        </is>
      </c>
      <c r="F158" s="24" t="inlineStr">
        <is>
          <t>Grigor Dimitrov</t>
        </is>
      </c>
      <c r="G158" s="24" t="inlineStr">
        <is>
          <t>Lorenzo Giustino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-900</v>
      </c>
      <c r="M158" s="27" t="n">
        <v>1.111111</v>
      </c>
      <c r="N158" s="28" t="n">
        <v>0.9</v>
      </c>
      <c r="O158" s="28" t="n">
        <v>0.7022</v>
      </c>
      <c r="P158" s="28" t="n">
        <v>0.05</v>
      </c>
      <c r="Q158" s="28" t="n">
        <v>-0.1978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0</v>
      </c>
      <c r="Y158" s="25" t="n"/>
      <c r="Z158" s="26" t="n">
        <v>-900</v>
      </c>
      <c r="AA158" s="28" t="n">
        <v>0.9</v>
      </c>
      <c r="AB158" s="28" t="n">
        <v>0</v>
      </c>
      <c r="AC158" s="30" t="n">
        <v>0.1111</v>
      </c>
      <c r="AD158" s="24" t="inlineStr">
        <is>
          <t>2026-08-26T12:32:38.404788Z</t>
        </is>
      </c>
      <c r="AE158" s="31" t="inlineStr">
        <is>
          <t>Surface-blended Elo on Hard: Grigor Dimitrov p=0.702 vs Lorenzo Giustino. Executable ask 0.9000 (aec-atp-lorgiu-gridim-2026-08-25).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PAPER_CALL_MODEL_UNVALIDATED</t>
        </is>
      </c>
      <c r="AP158" s="24" t="inlineStr">
        <is>
          <t>Grigor Dimitrov</t>
        </is>
      </c>
      <c r="AQ158" s="24" t="inlineStr">
        <is>
          <t>Grigor Dimitrov</t>
        </is>
      </c>
      <c r="AR158" s="24" t="inlineStr">
        <is>
          <t>Grigor Dimitrov</t>
        </is>
      </c>
      <c r="AS158" s="24" t="inlineStr">
        <is>
          <t>Lorenzo Giustino</t>
        </is>
      </c>
      <c r="AT158" s="24" t="inlineStr">
        <is>
          <t>Lorenzo Giustino</t>
        </is>
      </c>
      <c r="AU158" s="24" t="inlineStr">
        <is>
          <t>Lorenzo Giustino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d777da58446bc099047b154203518e2585ef1a678f613f2b430f2589f7bf5cff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d777da58446bc099047b154203518e2585ef1a678f613f2b430f2589f7bf5cff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d777da58446bc099047b154203518e2585ef1a678f613f2b430f2589f7bf5cff</t>
        </is>
      </c>
      <c r="BH158" s="24" t="inlineStr">
        <is>
          <t>2026-08-25T13:29:45.615926Z</t>
        </is>
      </c>
      <c r="BI158" s="24" t="inlineStr">
        <is>
          <t>["same_event","same_team_same_day","same_league_same_day"]</t>
        </is>
      </c>
      <c r="BJ158" s="25" t="n"/>
      <c r="BK158" s="26" t="n">
        <v>-900</v>
      </c>
      <c r="BL158" s="27" t="n">
        <v>1.111111</v>
      </c>
      <c r="BM158" s="28" t="n">
        <v>0.9</v>
      </c>
      <c r="BN158" s="28" t="n"/>
      <c r="BO158" s="28" t="n"/>
      <c r="BP158" s="25" t="n"/>
      <c r="BQ158" s="27" t="n">
        <v>1.111111</v>
      </c>
      <c r="BR158" s="28" t="n">
        <v>0.9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0.111111</v>
      </c>
      <c r="BZ158" s="24" t="inlineStr">
        <is>
          <t>2026-08-26T12:32:38.404788Z</t>
        </is>
      </c>
      <c r="CA158" s="31" t="inlineStr">
        <is>
          <t>fixed one-unit hypothetical scoring; no real exposure or execution</t>
        </is>
      </c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inlineStr">
        <is>
          <t>79725f3ed045b8ab19f32941f706f060002cebbc78d028e3128e7be84853c870</t>
        </is>
      </c>
      <c r="DE158" s="24" t="inlineStr">
        <is>
          <t>/Users/vincentc9002/model-prediction/data/odds/tennis/2026-08-25/polymarket_snapshots.jsonl</t>
        </is>
      </c>
      <c r="DF158" s="24" t="inlineStr">
        <is>
          <t>506106:2026-08-25T13:29:45.615926Z</t>
        </is>
      </c>
      <c r="DG158" s="24" t="n"/>
      <c r="DH158" s="24" t="n"/>
      <c r="DI158" s="24" t="n"/>
      <c r="DJ158" s="24" t="inlineStr">
        <is>
          <t>0.9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aff2e5b441d04e86</t>
        </is>
      </c>
      <c r="B159" s="24" t="inlineStr">
        <is>
          <t>2026-08-25T13:31:51.589728Z</t>
        </is>
      </c>
      <c r="C159" s="24" t="inlineStr">
        <is>
          <t>2026-08-25T16:30Z</t>
        </is>
      </c>
      <c r="D159" s="24" t="inlineStr">
        <is>
          <t>189-2026:184640</t>
        </is>
      </c>
      <c r="E159" s="24" t="inlineStr">
        <is>
          <t>TENNIS</t>
        </is>
      </c>
      <c r="F159" s="24" t="inlineStr">
        <is>
          <t>Michael Mmoh</t>
        </is>
      </c>
      <c r="G159" s="24" t="inlineStr">
        <is>
          <t>Henrique Rocha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133</v>
      </c>
      <c r="M159" s="27" t="n">
        <v>2.33</v>
      </c>
      <c r="N159" s="28" t="n">
        <v>0.429185</v>
      </c>
      <c r="O159" s="28" t="n">
        <v>0.5667</v>
      </c>
      <c r="P159" s="28" t="n">
        <v>0.05</v>
      </c>
      <c r="Q159" s="28" t="n">
        <v>0.137515</v>
      </c>
      <c r="R159" s="26" t="n">
        <v>89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133</v>
      </c>
      <c r="AA159" s="28" t="n">
        <v>0.43</v>
      </c>
      <c r="AB159" s="28" t="n">
        <v>0.000815</v>
      </c>
      <c r="AC159" s="30" t="n">
        <v>-1.5</v>
      </c>
      <c r="AD159" s="24" t="inlineStr">
        <is>
          <t>2026-08-26T12:32:39.685123Z</t>
        </is>
      </c>
      <c r="AE159" s="31" t="inlineStr">
        <is>
          <t>Surface-blended Elo on Hard: Michael Mmoh p=0.567 vs Henrique Rocha. Executable ask 0.4300 (aec-atp-henroc-micmmo-2026-08-25).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Michael Mmoh</t>
        </is>
      </c>
      <c r="AQ159" s="24" t="inlineStr">
        <is>
          <t>Michael Mmoh</t>
        </is>
      </c>
      <c r="AR159" s="24" t="inlineStr">
        <is>
          <t>Michael Mmoh</t>
        </is>
      </c>
      <c r="AS159" s="24" t="inlineStr">
        <is>
          <t>Henrique Rocha</t>
        </is>
      </c>
      <c r="AT159" s="24" t="inlineStr">
        <is>
          <t>Henrique Rocha</t>
        </is>
      </c>
      <c r="AU159" s="24" t="inlineStr">
        <is>
          <t>Henrique Rocha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d777da58446bc099047b154203518e2585ef1a678f613f2b430f2589f7bf5cff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d777da58446bc099047b154203518e2585ef1a678f613f2b430f2589f7bf5cff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d777da58446bc099047b154203518e2585ef1a678f613f2b430f2589f7bf5cff</t>
        </is>
      </c>
      <c r="BH159" s="24" t="inlineStr">
        <is>
          <t>2026-08-25T13:29:45.079182Z</t>
        </is>
      </c>
      <c r="BI159" s="24" t="inlineStr">
        <is>
          <t>["same_event","same_team_same_day","same_league_same_day"]</t>
        </is>
      </c>
      <c r="BJ159" s="25" t="n"/>
      <c r="BK159" s="26" t="n">
        <v>133</v>
      </c>
      <c r="BL159" s="27" t="n">
        <v>2.33</v>
      </c>
      <c r="BM159" s="28" t="n">
        <v>0.429185</v>
      </c>
      <c r="BN159" s="28" t="n"/>
      <c r="BO159" s="28" t="n"/>
      <c r="BP159" s="25" t="n"/>
      <c r="BQ159" s="27" t="n">
        <v>2.33</v>
      </c>
      <c r="BR159" s="28" t="n">
        <v>0.43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inlineStr">
        <is>
          <t>09b165ab294d6de3b2fbd1bac390c7bd8e41a1d52079473430404a519f9070b2</t>
        </is>
      </c>
      <c r="DE159" s="24" t="inlineStr">
        <is>
          <t>/Users/vincentc9002/model-prediction/data/odds/tennis/2026-08-25/polymarket_snapshots.jsonl</t>
        </is>
      </c>
      <c r="DF159" s="24" t="inlineStr">
        <is>
          <t>506123:2026-08-25T13:29:45.079182Z</t>
        </is>
      </c>
      <c r="DG159" s="24" t="n"/>
      <c r="DH159" s="24" t="n"/>
      <c r="DI159" s="24" t="n"/>
      <c r="DJ159" s="24" t="inlineStr">
        <is>
          <t>0.429185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fc745279b39a4360</t>
        </is>
      </c>
      <c r="B160" s="24" t="inlineStr">
        <is>
          <t>2026-08-25T13:31:51.589728Z</t>
        </is>
      </c>
      <c r="C160" s="24" t="inlineStr">
        <is>
          <t>2026-08-25T16:30Z</t>
        </is>
      </c>
      <c r="D160" s="24" t="inlineStr">
        <is>
          <t>189-2026:184641</t>
        </is>
      </c>
      <c r="E160" s="24" t="inlineStr">
        <is>
          <t>TENNIS</t>
        </is>
      </c>
      <c r="F160" s="24" t="inlineStr">
        <is>
          <t>Lloyd Harris</t>
        </is>
      </c>
      <c r="G160" s="24" t="inlineStr">
        <is>
          <t>Bernard Tomic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-213</v>
      </c>
      <c r="M160" s="27" t="n">
        <v>1.469484</v>
      </c>
      <c r="N160" s="28" t="n">
        <v>0.680511</v>
      </c>
      <c r="O160" s="28" t="n">
        <v>0.6075</v>
      </c>
      <c r="P160" s="28" t="n">
        <v>0.05</v>
      </c>
      <c r="Q160" s="28" t="n">
        <v>-0.07301100000000001</v>
      </c>
      <c r="R160" s="26" t="n">
        <v>0</v>
      </c>
      <c r="S160" s="29" t="n">
        <v>1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>
        <v>-213</v>
      </c>
      <c r="AA160" s="28" t="n">
        <v>0.68</v>
      </c>
      <c r="AB160" s="28" t="n">
        <v>-0.000511</v>
      </c>
      <c r="AC160" s="30" t="n">
        <v>0.4695</v>
      </c>
      <c r="AD160" s="24" t="inlineStr">
        <is>
          <t>2026-08-26T12:32:40.972029Z</t>
        </is>
      </c>
      <c r="AE160" s="31" t="inlineStr">
        <is>
          <t>Surface-blended Elo on Hard: Lloyd Harris p=0.608 vs Bernard Tomic. Executable ask 0.6800 (aec-atp-bertom-llohar-2026-08-25).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Lloyd Harris</t>
        </is>
      </c>
      <c r="AQ160" s="24" t="inlineStr">
        <is>
          <t>Lloyd Harris</t>
        </is>
      </c>
      <c r="AR160" s="24" t="inlineStr">
        <is>
          <t>Lloyd Harris</t>
        </is>
      </c>
      <c r="AS160" s="24" t="inlineStr">
        <is>
          <t>Bernard Tomic</t>
        </is>
      </c>
      <c r="AT160" s="24" t="inlineStr">
        <is>
          <t>Bernard Tomic</t>
        </is>
      </c>
      <c r="AU160" s="24" t="inlineStr">
        <is>
          <t>Bernard Tomic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d777da58446bc099047b154203518e2585ef1a678f613f2b430f2589f7bf5cff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d777da58446bc099047b154203518e2585ef1a678f613f2b430f2589f7bf5cff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d777da58446bc099047b154203518e2585ef1a678f613f2b430f2589f7bf5cff</t>
        </is>
      </c>
      <c r="BH160" s="24" t="inlineStr">
        <is>
          <t>2026-08-25T13:29:44.538111Z</t>
        </is>
      </c>
      <c r="BI160" s="24" t="inlineStr">
        <is>
          <t>["same_event","same_team_same_day","same_league_same_day"]</t>
        </is>
      </c>
      <c r="BJ160" s="25" t="n"/>
      <c r="BK160" s="26" t="n">
        <v>-213</v>
      </c>
      <c r="BL160" s="27" t="n">
        <v>1.469484</v>
      </c>
      <c r="BM160" s="28" t="n">
        <v>0.680511</v>
      </c>
      <c r="BN160" s="28" t="n"/>
      <c r="BO160" s="28" t="n"/>
      <c r="BP160" s="25" t="n"/>
      <c r="BQ160" s="27" t="n">
        <v>1.469484</v>
      </c>
      <c r="BR160" s="28" t="n">
        <v>0.68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0.469484</v>
      </c>
      <c r="BZ160" s="24" t="inlineStr">
        <is>
          <t>2026-08-26T12:32:40.972029Z</t>
        </is>
      </c>
      <c r="CA160" s="31" t="inlineStr">
        <is>
          <t>fixed one-unit hypothetical scoring; no real exposure or execution</t>
        </is>
      </c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inlineStr">
        <is>
          <t>9ec634b650e097a4f53a4b44ee17b09f3eb503a10b64b46fefaffe7e5acd779a</t>
        </is>
      </c>
      <c r="DE160" s="24" t="inlineStr">
        <is>
          <t>/Users/vincentc9002/model-prediction/data/odds/tennis/2026-08-25/polymarket_snapshots.jsonl</t>
        </is>
      </c>
      <c r="DF160" s="24" t="inlineStr">
        <is>
          <t>506125:2026-08-25T13:29:44.538111Z</t>
        </is>
      </c>
      <c r="DG160" s="24" t="n"/>
      <c r="DH160" s="24" t="n"/>
      <c r="DI160" s="24" t="n"/>
      <c r="DJ160" s="24" t="inlineStr">
        <is>
          <t>0.680511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aabc827ad71646ea</t>
        </is>
      </c>
      <c r="B161" s="24" t="inlineStr">
        <is>
          <t>2026-08-25T13:31:51.589728Z</t>
        </is>
      </c>
      <c r="C161" s="24" t="inlineStr">
        <is>
          <t>2026-08-25T16:30Z</t>
        </is>
      </c>
      <c r="D161" s="24" t="inlineStr">
        <is>
          <t>189-2026:184642</t>
        </is>
      </c>
      <c r="E161" s="24" t="inlineStr">
        <is>
          <t>TENNIS</t>
        </is>
      </c>
      <c r="F161" s="24" t="inlineStr">
        <is>
          <t>Vitaliy Sachko</t>
        </is>
      </c>
      <c r="G161" s="24" t="inlineStr">
        <is>
          <t>Gauthier Onclin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-233</v>
      </c>
      <c r="M161" s="27" t="n">
        <v>1.429185</v>
      </c>
      <c r="N161" s="28" t="n">
        <v>0.6997</v>
      </c>
      <c r="O161" s="28" t="n">
        <v>0.5596</v>
      </c>
      <c r="P161" s="28" t="n">
        <v>0.05</v>
      </c>
      <c r="Q161" s="28" t="n">
        <v>-0.1401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-233</v>
      </c>
      <c r="AA161" s="28" t="n">
        <v>0.7</v>
      </c>
      <c r="AB161" s="28" t="n">
        <v>0.0003</v>
      </c>
      <c r="AC161" s="30" t="n">
        <v>-1</v>
      </c>
      <c r="AD161" s="24" t="inlineStr">
        <is>
          <t>2026-08-26T12:32:42.257538Z</t>
        </is>
      </c>
      <c r="AE161" s="31" t="inlineStr">
        <is>
          <t>Surface-blended Elo on Hard: Vitaliy Sachko p=0.440 vs Gauthier Onclin. Executable ask 0.7000 (aec-atp-gauonc-vitsac-2026-08-25).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Vitaliy Sachko</t>
        </is>
      </c>
      <c r="AQ161" s="24" t="inlineStr">
        <is>
          <t>Vitaliy Sachko</t>
        </is>
      </c>
      <c r="AR161" s="24" t="inlineStr">
        <is>
          <t>Vitaliy Sachko</t>
        </is>
      </c>
      <c r="AS161" s="24" t="inlineStr">
        <is>
          <t>Gauthier Onclin</t>
        </is>
      </c>
      <c r="AT161" s="24" t="inlineStr">
        <is>
          <t>Gauthier Onclin</t>
        </is>
      </c>
      <c r="AU161" s="24" t="inlineStr">
        <is>
          <t>Gauthier Onclin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d777da58446bc099047b154203518e2585ef1a678f613f2b430f2589f7bf5cff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d777da58446bc099047b154203518e2585ef1a678f613f2b430f2589f7bf5cff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d777da58446bc099047b154203518e2585ef1a678f613f2b430f2589f7bf5cff</t>
        </is>
      </c>
      <c r="BH161" s="24" t="inlineStr">
        <is>
          <t>2026-08-25T13:29:45.199167Z</t>
        </is>
      </c>
      <c r="BI161" s="24" t="inlineStr">
        <is>
          <t>["same_event","same_team_same_day","same_league_same_day"]</t>
        </is>
      </c>
      <c r="BJ161" s="25" t="n"/>
      <c r="BK161" s="26" t="n">
        <v>-233</v>
      </c>
      <c r="BL161" s="27" t="n">
        <v>1.429185</v>
      </c>
      <c r="BM161" s="28" t="n">
        <v>0.6997</v>
      </c>
      <c r="BN161" s="28" t="n"/>
      <c r="BO161" s="28" t="n"/>
      <c r="BP161" s="25" t="n"/>
      <c r="BQ161" s="27" t="n">
        <v>1.429185</v>
      </c>
      <c r="BR161" s="28" t="n">
        <v>0.7</v>
      </c>
      <c r="BS161" s="28" t="n"/>
      <c r="BT161" s="28" t="n"/>
      <c r="BU161" s="25" t="n"/>
      <c r="BV161" s="29" t="n"/>
      <c r="BW161" s="24" t="n"/>
      <c r="BX161" s="30" t="n">
        <v>1</v>
      </c>
      <c r="BY161" s="27" t="n">
        <v>-1</v>
      </c>
      <c r="BZ161" s="24" t="inlineStr">
        <is>
          <t>2026-08-26T12:32:42.257538Z</t>
        </is>
      </c>
      <c r="CA161" s="31" t="inlineStr">
        <is>
          <t>fixed one-unit hypothetical scoring; no real exposure or execution</t>
        </is>
      </c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inlineStr">
        <is>
          <t>bf4e9c924bc42e031ad48aa64054cca85f4b0f30342d8483a320ab36e718a50d</t>
        </is>
      </c>
      <c r="DE161" s="24" t="inlineStr">
        <is>
          <t>/Users/vincentc9002/model-prediction/data/odds/tennis/2026-08-25/polymarket_snapshots.jsonl</t>
        </is>
      </c>
      <c r="DF161" s="24" t="inlineStr">
        <is>
          <t>506126:2026-08-25T13:29:45.199167Z</t>
        </is>
      </c>
      <c r="DG161" s="24" t="n"/>
      <c r="DH161" s="24" t="n"/>
      <c r="DI161" s="24" t="n"/>
      <c r="DJ161" s="24" t="inlineStr">
        <is>
          <t>0.6997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a6bc78592ec44a3e</t>
        </is>
      </c>
      <c r="B162" s="24" t="inlineStr">
        <is>
          <t>2026-08-25T13:31:51.589728Z</t>
        </is>
      </c>
      <c r="C162" s="24" t="inlineStr">
        <is>
          <t>2026-08-25T18:00Z</t>
        </is>
      </c>
      <c r="D162" s="24" t="inlineStr">
        <is>
          <t>189-2026:184609</t>
        </is>
      </c>
      <c r="E162" s="24" t="inlineStr">
        <is>
          <t>TENNIS</t>
        </is>
      </c>
      <c r="F162" s="24" t="inlineStr">
        <is>
          <t>Tristan Boyer</t>
        </is>
      </c>
      <c r="G162" s="24" t="inlineStr">
        <is>
          <t>Andre Ilagan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-104</v>
      </c>
      <c r="M162" s="27" t="n">
        <v>1.961538</v>
      </c>
      <c r="N162" s="28" t="n">
        <v>0.509804</v>
      </c>
      <c r="O162" s="28" t="n">
        <v>0.532</v>
      </c>
      <c r="P162" s="28" t="n">
        <v>0.05</v>
      </c>
      <c r="Q162" s="28" t="n">
        <v>0.022196</v>
      </c>
      <c r="R162" s="26" t="n">
        <v>31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loss</t>
        </is>
      </c>
      <c r="W162" s="26" t="n">
        <v>0</v>
      </c>
      <c r="X162" s="26" t="n">
        <v>1</v>
      </c>
      <c r="Y162" s="25" t="n"/>
      <c r="Z162" s="26" t="n">
        <v>-104</v>
      </c>
      <c r="AA162" s="28" t="n">
        <v>0.51</v>
      </c>
      <c r="AB162" s="28" t="n">
        <v>0.000196</v>
      </c>
      <c r="AC162" s="30" t="n">
        <v>-1</v>
      </c>
      <c r="AD162" s="24" t="inlineStr">
        <is>
          <t>2026-08-26T12:32:43.538381Z</t>
        </is>
      </c>
      <c r="AE162" s="31" t="inlineStr">
        <is>
          <t>Surface-blended Elo on Hard: Tristan Boyer p=0.532 vs Andre Ilagan. Executable ask 0.5100 (aec-atp-andila-triboy-2026-08-25).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Tristan Boyer</t>
        </is>
      </c>
      <c r="AQ162" s="24" t="inlineStr">
        <is>
          <t>Tristan Boyer</t>
        </is>
      </c>
      <c r="AR162" s="24" t="inlineStr">
        <is>
          <t>Tristan Boyer</t>
        </is>
      </c>
      <c r="AS162" s="24" t="inlineStr">
        <is>
          <t>Andre Ilagan</t>
        </is>
      </c>
      <c r="AT162" s="24" t="inlineStr">
        <is>
          <t>Andre Ilagan</t>
        </is>
      </c>
      <c r="AU162" s="24" t="inlineStr">
        <is>
          <t>Andre Ilagan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d777da58446bc099047b154203518e2585ef1a678f613f2b430f2589f7bf5cff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d777da58446bc099047b154203518e2585ef1a678f613f2b430f2589f7bf5cff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d777da58446bc099047b154203518e2585ef1a678f613f2b430f2589f7bf5cff</t>
        </is>
      </c>
      <c r="BH162" s="24" t="inlineStr">
        <is>
          <t>2026-08-25T13:29:46.537348Z</t>
        </is>
      </c>
      <c r="BI162" s="24" t="inlineStr">
        <is>
          <t>["same_event","same_team_same_day","same_league_same_day"]</t>
        </is>
      </c>
      <c r="BJ162" s="25" t="n"/>
      <c r="BK162" s="26" t="n">
        <v>-104</v>
      </c>
      <c r="BL162" s="27" t="n">
        <v>1.961538</v>
      </c>
      <c r="BM162" s="28" t="n">
        <v>0.509804</v>
      </c>
      <c r="BN162" s="28" t="n"/>
      <c r="BO162" s="28" t="n"/>
      <c r="BP162" s="25" t="n"/>
      <c r="BQ162" s="27" t="n">
        <v>1.961538</v>
      </c>
      <c r="BR162" s="28" t="n">
        <v>0.51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-1</v>
      </c>
      <c r="BZ162" s="24" t="inlineStr">
        <is>
          <t>2026-08-26T12:32:43.538381Z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inlineStr">
        <is>
          <t>88ff0c7159bf675716b2df228c808c75a0d726acee68eef3b908f364b5941db1</t>
        </is>
      </c>
      <c r="DE162" s="24" t="inlineStr">
        <is>
          <t>/Users/vincentc9002/model-prediction/data/odds/tennis/2026-08-25/polymarket_snapshots.jsonl</t>
        </is>
      </c>
      <c r="DF162" s="24" t="inlineStr">
        <is>
          <t>506100:2026-08-25T13:29:46.537348Z</t>
        </is>
      </c>
      <c r="DG162" s="24" t="n"/>
      <c r="DH162" s="24" t="n"/>
      <c r="DI162" s="24" t="n"/>
      <c r="DJ162" s="24" t="inlineStr">
        <is>
          <t>0.509804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458d3f3966504e6c</t>
        </is>
      </c>
      <c r="B163" s="24" t="inlineStr">
        <is>
          <t>2026-08-25T13:31:51.589728Z</t>
        </is>
      </c>
      <c r="C163" s="24" t="inlineStr">
        <is>
          <t>2026-08-25T18:00Z</t>
        </is>
      </c>
      <c r="D163" s="24" t="inlineStr">
        <is>
          <t>189-2026:184649</t>
        </is>
      </c>
      <c r="E163" s="24" t="inlineStr">
        <is>
          <t>TENNIS</t>
        </is>
      </c>
      <c r="F163" s="24" t="inlineStr">
        <is>
          <t>Christopher O'Connell</t>
        </is>
      </c>
      <c r="G163" s="24" t="inlineStr">
        <is>
          <t>Stefanos Sakellaridis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-156</v>
      </c>
      <c r="M163" s="27" t="n">
        <v>1.641026</v>
      </c>
      <c r="N163" s="28" t="n">
        <v>0.609375</v>
      </c>
      <c r="O163" s="28" t="n">
        <v>0.6036</v>
      </c>
      <c r="P163" s="28" t="n">
        <v>0.05</v>
      </c>
      <c r="Q163" s="28" t="n">
        <v>-0.005775</v>
      </c>
      <c r="R163" s="26" t="n">
        <v>17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-156</v>
      </c>
      <c r="AA163" s="28" t="n">
        <v>0.61</v>
      </c>
      <c r="AB163" s="28" t="n">
        <v>0.000625</v>
      </c>
      <c r="AC163" s="30" t="n">
        <v>0.641</v>
      </c>
      <c r="AD163" s="24" t="inlineStr">
        <is>
          <t>2026-08-26T12:32:44.820826Z</t>
        </is>
      </c>
      <c r="AE163" s="31" t="inlineStr">
        <is>
          <t>Surface-blended Elo on Hard: Christopher O'Connell p=0.604 vs Stefanos Sakellaridis. Executable ask 0.6100 (aec-atp-stesak-chroco-2026-08-25).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Christopher O'Connell</t>
        </is>
      </c>
      <c r="AQ163" s="24" t="inlineStr">
        <is>
          <t>Christopher O'Connell</t>
        </is>
      </c>
      <c r="AR163" s="24" t="inlineStr">
        <is>
          <t>Christopher O'Connell</t>
        </is>
      </c>
      <c r="AS163" s="24" t="inlineStr">
        <is>
          <t>Stefanos Sakellaridis</t>
        </is>
      </c>
      <c r="AT163" s="24" t="inlineStr">
        <is>
          <t>Stefanos Sakellaridis</t>
        </is>
      </c>
      <c r="AU163" s="24" t="inlineStr">
        <is>
          <t>Stefanos Sakellaridis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d777da58446bc099047b154203518e2585ef1a678f613f2b430f2589f7bf5cff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d777da58446bc099047b154203518e2585ef1a678f613f2b430f2589f7bf5cff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d777da58446bc099047b154203518e2585ef1a678f613f2b430f2589f7bf5cff</t>
        </is>
      </c>
      <c r="BH163" s="24" t="inlineStr">
        <is>
          <t>2026-08-25T13:29:46.425472Z</t>
        </is>
      </c>
      <c r="BI163" s="24" t="inlineStr">
        <is>
          <t>["same_event","same_team_same_day","same_league_same_day"]</t>
        </is>
      </c>
      <c r="BJ163" s="25" t="n"/>
      <c r="BK163" s="26" t="n">
        <v>-156</v>
      </c>
      <c r="BL163" s="27" t="n">
        <v>1.641026</v>
      </c>
      <c r="BM163" s="28" t="n">
        <v>0.609375</v>
      </c>
      <c r="BN163" s="28" t="n"/>
      <c r="BO163" s="28" t="n"/>
      <c r="BP163" s="25" t="n"/>
      <c r="BQ163" s="27" t="n">
        <v>1.641026</v>
      </c>
      <c r="BR163" s="28" t="n">
        <v>0.61</v>
      </c>
      <c r="BS163" s="28" t="n"/>
      <c r="BT163" s="28" t="n"/>
      <c r="BU163" s="25" t="n"/>
      <c r="BV163" s="29" t="n"/>
      <c r="BW163" s="24" t="n"/>
      <c r="BX163" s="30" t="n">
        <v>1</v>
      </c>
      <c r="BY163" s="27" t="n">
        <v>0.641026</v>
      </c>
      <c r="BZ163" s="24" t="inlineStr">
        <is>
          <t>2026-08-26T12:32:44.820826Z</t>
        </is>
      </c>
      <c r="CA163" s="31" t="inlineStr">
        <is>
          <t>fixed one-unit hypothetical scoring; no real exposure or execution</t>
        </is>
      </c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inlineStr">
        <is>
          <t>ffc43e7bebd8da3698a45524709ad308036133fa854f182a9204ff1e5956a907</t>
        </is>
      </c>
      <c r="DE163" s="24" t="inlineStr">
        <is>
          <t>/Users/vincentc9002/model-prediction/data/odds/tennis/2026-08-25/polymarket_snapshots.jsonl</t>
        </is>
      </c>
      <c r="DF163" s="24" t="inlineStr">
        <is>
          <t>506114:2026-08-25T13:29:46.425472Z</t>
        </is>
      </c>
      <c r="DG163" s="24" t="n"/>
      <c r="DH163" s="24" t="n"/>
      <c r="DI163" s="24" t="n"/>
      <c r="DJ163" s="24" t="inlineStr">
        <is>
          <t>0.609375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d97623f2de5d4234</t>
        </is>
      </c>
      <c r="B164" s="24" t="inlineStr">
        <is>
          <t>2026-08-25T13:31:51.589728Z</t>
        </is>
      </c>
      <c r="C164" s="24" t="inlineStr">
        <is>
          <t>2026-08-25T18:00Z</t>
        </is>
      </c>
      <c r="D164" s="24" t="inlineStr">
        <is>
          <t>189-2026:184655</t>
        </is>
      </c>
      <c r="E164" s="24" t="inlineStr">
        <is>
          <t>TENNIS</t>
        </is>
      </c>
      <c r="F164" s="24" t="inlineStr">
        <is>
          <t>Max Alcala Gurri</t>
        </is>
      </c>
      <c r="G164" s="24" t="inlineStr">
        <is>
          <t>Zsombor Piros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355</v>
      </c>
      <c r="M164" s="27" t="n">
        <v>4.55</v>
      </c>
      <c r="N164" s="28" t="n">
        <v>0.21978</v>
      </c>
      <c r="O164" s="28" t="n">
        <v>0.5309</v>
      </c>
      <c r="P164" s="28" t="n">
        <v>0.05</v>
      </c>
      <c r="Q164" s="28" t="n">
        <v>0.31112</v>
      </c>
      <c r="R164" s="26" t="n">
        <v>100</v>
      </c>
      <c r="S164" s="29" t="n">
        <v>2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355</v>
      </c>
      <c r="AA164" s="28" t="n">
        <v>0.22</v>
      </c>
      <c r="AB164" s="28" t="n">
        <v>0.00022</v>
      </c>
      <c r="AC164" s="30" t="n">
        <v>-2</v>
      </c>
      <c r="AD164" s="24" t="inlineStr">
        <is>
          <t>2026-08-26T12:32:46.101907Z</t>
        </is>
      </c>
      <c r="AE164" s="31" t="inlineStr">
        <is>
          <t>Surface-blended Elo on Hard: Max Alcala Gurri p=0.531 vs Zsombor Piros. Executable ask 0.2200 (aec-atp-zsopir-maxgur-2026-08-25).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PAPER_CALL_MODEL_UNVALIDATED</t>
        </is>
      </c>
      <c r="AP164" s="24" t="inlineStr">
        <is>
          <t>Max Alcala Gurri</t>
        </is>
      </c>
      <c r="AQ164" s="24" t="inlineStr">
        <is>
          <t>Max Alcala Gurri</t>
        </is>
      </c>
      <c r="AR164" s="24" t="inlineStr">
        <is>
          <t>Max Alcala Gurri</t>
        </is>
      </c>
      <c r="AS164" s="24" t="inlineStr">
        <is>
          <t>Zsombor Piros</t>
        </is>
      </c>
      <c r="AT164" s="24" t="inlineStr">
        <is>
          <t>Zsombor Piros</t>
        </is>
      </c>
      <c r="AU164" s="24" t="inlineStr">
        <is>
          <t>Zsombor Piros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d777da58446bc099047b154203518e2585ef1a678f613f2b430f2589f7bf5cff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d777da58446bc099047b154203518e2585ef1a678f613f2b430f2589f7bf5cff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d777da58446bc099047b154203518e2585ef1a678f613f2b430f2589f7bf5cff</t>
        </is>
      </c>
      <c r="BH164" s="24" t="inlineStr">
        <is>
          <t>2026-08-25T13:29:46.257553Z</t>
        </is>
      </c>
      <c r="BI164" s="24" t="inlineStr">
        <is>
          <t>["same_event","same_team_same_day","same_league_same_day"]</t>
        </is>
      </c>
      <c r="BJ164" s="25" t="n"/>
      <c r="BK164" s="26" t="n">
        <v>355</v>
      </c>
      <c r="BL164" s="27" t="n">
        <v>4.55</v>
      </c>
      <c r="BM164" s="28" t="n">
        <v>0.21978</v>
      </c>
      <c r="BN164" s="28" t="n"/>
      <c r="BO164" s="28" t="n"/>
      <c r="BP164" s="25" t="n"/>
      <c r="BQ164" s="27" t="n">
        <v>4.55</v>
      </c>
      <c r="BR164" s="28" t="n">
        <v>0.22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-1</v>
      </c>
      <c r="BZ164" s="24" t="inlineStr">
        <is>
          <t>2026-08-26T12:32:46.101907Z</t>
        </is>
      </c>
      <c r="CA164" s="31" t="inlineStr">
        <is>
          <t>fixed one-unit hypothetical scoring; no real exposure or execution</t>
        </is>
      </c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inlineStr">
        <is>
          <t>aa69ae8ed0f79b36b17fd07ddcf91d88021f21561862b825c62bddfec03c0266</t>
        </is>
      </c>
      <c r="DE164" s="24" t="inlineStr">
        <is>
          <t>/Users/vincentc9002/model-prediction/data/odds/tennis/2026-08-25/polymarket_snapshots.jsonl</t>
        </is>
      </c>
      <c r="DF164" s="24" t="inlineStr">
        <is>
          <t>506111:2026-08-25T13:29:46.257553Z</t>
        </is>
      </c>
      <c r="DG164" s="24" t="n"/>
      <c r="DH164" s="24" t="n"/>
      <c r="DI164" s="24" t="n"/>
      <c r="DJ164" s="24" t="inlineStr">
        <is>
          <t>0.21978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c4e70573bd8a4308</t>
        </is>
      </c>
      <c r="B165" s="24" t="inlineStr">
        <is>
          <t>2026-08-25T13:31:51.589728Z</t>
        </is>
      </c>
      <c r="C165" s="24" t="inlineStr">
        <is>
          <t>2026-08-25T18:00Z</t>
        </is>
      </c>
      <c r="D165" s="24" t="inlineStr">
        <is>
          <t>189-2026:184656</t>
        </is>
      </c>
      <c r="E165" s="24" t="inlineStr">
        <is>
          <t>TENNIS</t>
        </is>
      </c>
      <c r="F165" s="24" t="inlineStr">
        <is>
          <t>Daniil Glinka</t>
        </is>
      </c>
      <c r="G165" s="24" t="inlineStr">
        <is>
          <t>Pedro Martinez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133</v>
      </c>
      <c r="M165" s="27" t="n">
        <v>2.33</v>
      </c>
      <c r="N165" s="28" t="n">
        <v>0.429185</v>
      </c>
      <c r="O165" s="28" t="n">
        <v>0.5991</v>
      </c>
      <c r="P165" s="28" t="n">
        <v>0.05</v>
      </c>
      <c r="Q165" s="28" t="n">
        <v>0.169915</v>
      </c>
      <c r="R165" s="26" t="n">
        <v>100</v>
      </c>
      <c r="S165" s="29" t="n">
        <v>1.75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133</v>
      </c>
      <c r="AA165" s="28" t="n">
        <v>0.43</v>
      </c>
      <c r="AB165" s="28" t="n">
        <v>0.000815</v>
      </c>
      <c r="AC165" s="30" t="n">
        <v>2.3275</v>
      </c>
      <c r="AD165" s="24" t="inlineStr">
        <is>
          <t>2026-08-26T12:32:47.386662Z</t>
        </is>
      </c>
      <c r="AE165" s="31" t="inlineStr">
        <is>
          <t>Surface-blended Elo on Hard: Daniil Glinka p=0.599 vs Pedro Martinez. Executable ask 0.4300 (aec-atp-pedmar-dangli-2026-08-25).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PAPER_CALL_MODEL_UNVALIDATED</t>
        </is>
      </c>
      <c r="AP165" s="24" t="inlineStr">
        <is>
          <t>Daniil Glinka</t>
        </is>
      </c>
      <c r="AQ165" s="24" t="inlineStr">
        <is>
          <t>Daniil Glinka</t>
        </is>
      </c>
      <c r="AR165" s="24" t="inlineStr">
        <is>
          <t>Daniil Glinka</t>
        </is>
      </c>
      <c r="AS165" s="24" t="inlineStr">
        <is>
          <t>Pedro Martinez</t>
        </is>
      </c>
      <c r="AT165" s="24" t="inlineStr">
        <is>
          <t>Pedro Martinez</t>
        </is>
      </c>
      <c r="AU165" s="24" t="inlineStr">
        <is>
          <t>Pedro Martinez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d777da58446bc099047b154203518e2585ef1a678f613f2b430f2589f7bf5cff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d777da58446bc099047b154203518e2585ef1a678f613f2b430f2589f7bf5cff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d777da58446bc099047b154203518e2585ef1a678f613f2b430f2589f7bf5cff</t>
        </is>
      </c>
      <c r="BH165" s="24" t="inlineStr">
        <is>
          <t>2026-08-25T13:29:46.034413Z</t>
        </is>
      </c>
      <c r="BI165" s="24" t="inlineStr">
        <is>
          <t>["same_event","same_team_same_day","same_league_same_day"]</t>
        </is>
      </c>
      <c r="BJ165" s="25" t="n"/>
      <c r="BK165" s="26" t="n">
        <v>133</v>
      </c>
      <c r="BL165" s="27" t="n">
        <v>2.33</v>
      </c>
      <c r="BM165" s="28" t="n">
        <v>0.429185</v>
      </c>
      <c r="BN165" s="28" t="n"/>
      <c r="BO165" s="28" t="n"/>
      <c r="BP165" s="25" t="n"/>
      <c r="BQ165" s="27" t="n">
        <v>2.33</v>
      </c>
      <c r="BR165" s="28" t="n">
        <v>0.43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1.329998</v>
      </c>
      <c r="BZ165" s="24" t="inlineStr">
        <is>
          <t>2026-08-26T12:32:47.386662Z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inlineStr">
        <is>
          <t>f4a02ffb8c94500367f725c62146b911ba91747de81659f892770a12ac8e58dd</t>
        </is>
      </c>
      <c r="DE165" s="24" t="inlineStr">
        <is>
          <t>/Users/vincentc9002/model-prediction/data/odds/tennis/2026-08-25/polymarket_snapshots.jsonl</t>
        </is>
      </c>
      <c r="DF165" s="24" t="inlineStr">
        <is>
          <t>506112:2026-08-25T13:29:46.034413Z</t>
        </is>
      </c>
      <c r="DG165" s="24" t="n"/>
      <c r="DH165" s="24" t="n"/>
      <c r="DI165" s="24" t="n"/>
      <c r="DJ165" s="24" t="inlineStr">
        <is>
          <t>0.429185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c53a18182b73461e</t>
        </is>
      </c>
      <c r="B166" s="24" t="inlineStr">
        <is>
          <t>2026-08-25T13:31:51.589728Z</t>
        </is>
      </c>
      <c r="C166" s="24" t="inlineStr">
        <is>
          <t>2026-08-25T18:00Z</t>
        </is>
      </c>
      <c r="D166" s="24" t="inlineStr">
        <is>
          <t>189-2026:184657</t>
        </is>
      </c>
      <c r="E166" s="24" t="inlineStr">
        <is>
          <t>TENNIS</t>
        </is>
      </c>
      <c r="F166" s="24" t="inlineStr">
        <is>
          <t>Nicolai Budkov Kjaer</t>
        </is>
      </c>
      <c r="G166" s="24" t="inlineStr">
        <is>
          <t>Maks Kasnikowski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-170</v>
      </c>
      <c r="M166" s="27" t="n">
        <v>1.588235</v>
      </c>
      <c r="N166" s="28" t="n">
        <v>0.62963</v>
      </c>
      <c r="O166" s="28" t="n">
        <v>0.5014999999999999</v>
      </c>
      <c r="P166" s="28" t="n">
        <v>0.05</v>
      </c>
      <c r="Q166" s="28" t="n">
        <v>-0.12813</v>
      </c>
      <c r="R166" s="26" t="n">
        <v>0</v>
      </c>
      <c r="S166" s="29" t="n">
        <v>1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-170</v>
      </c>
      <c r="AA166" s="28" t="n">
        <v>0.63</v>
      </c>
      <c r="AB166" s="28" t="n">
        <v>0.00037</v>
      </c>
      <c r="AC166" s="30" t="n">
        <v>0.5881999999999999</v>
      </c>
      <c r="AD166" s="24" t="inlineStr">
        <is>
          <t>2026-08-26T12:32:48.676701Z</t>
        </is>
      </c>
      <c r="AE166" s="31" t="inlineStr">
        <is>
          <t>Surface-blended Elo on Hard: Nicolai Budkov Kjaer p=0.501 vs Maks Kasnikowski. Executable ask 0.6300 (aec-atp-makkas-nickja-2026-08-25).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Nicolai Budkov Kjaer</t>
        </is>
      </c>
      <c r="AQ166" s="24" t="inlineStr">
        <is>
          <t>Nicolai Budkov Kjaer</t>
        </is>
      </c>
      <c r="AR166" s="24" t="inlineStr">
        <is>
          <t>Nicolai Budkov Kjaer</t>
        </is>
      </c>
      <c r="AS166" s="24" t="inlineStr">
        <is>
          <t>Maks Kasnikowski</t>
        </is>
      </c>
      <c r="AT166" s="24" t="inlineStr">
        <is>
          <t>Maks Kasnikowski</t>
        </is>
      </c>
      <c r="AU166" s="24" t="inlineStr">
        <is>
          <t>Maks Kasnikowski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d777da58446bc099047b154203518e2585ef1a678f613f2b430f2589f7bf5cff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d777da58446bc099047b154203518e2585ef1a678f613f2b430f2589f7bf5cff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d777da58446bc099047b154203518e2585ef1a678f613f2b430f2589f7bf5cff</t>
        </is>
      </c>
      <c r="BH166" s="24" t="inlineStr">
        <is>
          <t>2026-08-25T13:29:45.961870Z</t>
        </is>
      </c>
      <c r="BI166" s="24" t="inlineStr">
        <is>
          <t>["same_event","same_team_same_day","same_league_same_day"]</t>
        </is>
      </c>
      <c r="BJ166" s="25" t="n"/>
      <c r="BK166" s="26" t="n">
        <v>-170</v>
      </c>
      <c r="BL166" s="27" t="n">
        <v>1.588235</v>
      </c>
      <c r="BM166" s="28" t="n">
        <v>0.62963</v>
      </c>
      <c r="BN166" s="28" t="n"/>
      <c r="BO166" s="28" t="n"/>
      <c r="BP166" s="25" t="n"/>
      <c r="BQ166" s="27" t="n">
        <v>1.588235</v>
      </c>
      <c r="BR166" s="28" t="n">
        <v>0.63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0.588234</v>
      </c>
      <c r="BZ166" s="24" t="inlineStr">
        <is>
          <t>2026-08-26T12:32:48.676701Z</t>
        </is>
      </c>
      <c r="CA166" s="31" t="inlineStr">
        <is>
          <t>fixed one-unit hypothetical scoring; no real exposure or execution</t>
        </is>
      </c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inlineStr">
        <is>
          <t>e9f43776d383b467b87b9bc005deacda6ce985b02fa61082e064c5596155b1a2</t>
        </is>
      </c>
      <c r="DE166" s="24" t="inlineStr">
        <is>
          <t>/Users/vincentc9002/model-prediction/data/odds/tennis/2026-08-25/polymarket_snapshots.jsonl</t>
        </is>
      </c>
      <c r="DF166" s="24" t="inlineStr">
        <is>
          <t>506113:2026-08-25T13:29:45.961870Z</t>
        </is>
      </c>
      <c r="DG166" s="24" t="n"/>
      <c r="DH166" s="24" t="n"/>
      <c r="DI166" s="24" t="n"/>
      <c r="DJ166" s="24" t="inlineStr">
        <is>
          <t>0.62963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0add0410c636428b</t>
        </is>
      </c>
      <c r="B167" s="24" t="inlineStr">
        <is>
          <t>2026-08-25T13:31:51.589728Z</t>
        </is>
      </c>
      <c r="C167" s="24" t="inlineStr">
        <is>
          <t>2026-08-25T19:30Z</t>
        </is>
      </c>
      <c r="D167" s="24" t="inlineStr">
        <is>
          <t>189-2026:184605</t>
        </is>
      </c>
      <c r="E167" s="24" t="inlineStr">
        <is>
          <t>TENNIS</t>
        </is>
      </c>
      <c r="F167" s="24" t="inlineStr">
        <is>
          <t>Dan Added</t>
        </is>
      </c>
      <c r="G167" s="24" t="inlineStr">
        <is>
          <t>Jerome Kym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-488</v>
      </c>
      <c r="M167" s="27" t="n">
        <v>1.204918</v>
      </c>
      <c r="N167" s="28" t="n">
        <v>0.829932</v>
      </c>
      <c r="O167" s="28" t="n">
        <v>0.656</v>
      </c>
      <c r="P167" s="28" t="n">
        <v>0.05</v>
      </c>
      <c r="Q167" s="28" t="n">
        <v>-0.173932</v>
      </c>
      <c r="R167" s="26" t="n">
        <v>0</v>
      </c>
      <c r="S167" s="29" t="n">
        <v>1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-488</v>
      </c>
      <c r="AA167" s="28" t="n">
        <v>0.83</v>
      </c>
      <c r="AB167" s="28" t="n">
        <v>6.8e-05</v>
      </c>
      <c r="AC167" s="30" t="n">
        <v>0.2049</v>
      </c>
      <c r="AD167" s="24" t="inlineStr">
        <is>
          <t>2026-08-26T12:32:49.962621Z</t>
        </is>
      </c>
      <c r="AE167" s="31" t="inlineStr">
        <is>
          <t>Surface-blended Elo on Hard: Dan Added p=0.344 vs Jerome Kym. Executable ask 0.8300 (aec-atp-jerkym-danadd-2026-08-25).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PAPER_CALL_MODEL_UNVALIDATED</t>
        </is>
      </c>
      <c r="AP167" s="24" t="inlineStr">
        <is>
          <t>Dan Added</t>
        </is>
      </c>
      <c r="AQ167" s="24" t="inlineStr">
        <is>
          <t>Dan Added</t>
        </is>
      </c>
      <c r="AR167" s="24" t="inlineStr">
        <is>
          <t>Dan Added</t>
        </is>
      </c>
      <c r="AS167" s="24" t="inlineStr">
        <is>
          <t>Jerome Kym</t>
        </is>
      </c>
      <c r="AT167" s="24" t="inlineStr">
        <is>
          <t>Jerome Kym</t>
        </is>
      </c>
      <c r="AU167" s="24" t="inlineStr">
        <is>
          <t>Jerome Kym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d777da58446bc099047b154203518e2585ef1a678f613f2b430f2589f7bf5cff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d777da58446bc099047b154203518e2585ef1a678f613f2b430f2589f7bf5cff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d777da58446bc099047b154203518e2585ef1a678f613f2b430f2589f7bf5cff</t>
        </is>
      </c>
      <c r="BH167" s="24" t="inlineStr">
        <is>
          <t>2026-08-25T13:29:51.151505Z</t>
        </is>
      </c>
      <c r="BI167" s="24" t="inlineStr">
        <is>
          <t>["same_event","same_team_same_day","same_league_same_day"]</t>
        </is>
      </c>
      <c r="BJ167" s="25" t="n"/>
      <c r="BK167" s="26" t="n">
        <v>-488</v>
      </c>
      <c r="BL167" s="27" t="n">
        <v>1.204918</v>
      </c>
      <c r="BM167" s="28" t="n">
        <v>0.829932</v>
      </c>
      <c r="BN167" s="28" t="n"/>
      <c r="BO167" s="28" t="n"/>
      <c r="BP167" s="25" t="n"/>
      <c r="BQ167" s="27" t="n">
        <v>1.204918</v>
      </c>
      <c r="BR167" s="28" t="n">
        <v>0.83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0.204918</v>
      </c>
      <c r="BZ167" s="24" t="inlineStr">
        <is>
          <t>2026-08-26T12:32:49.962621Z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inlineStr">
        <is>
          <t>44c7f42be22c736717ef367dec8775b6fb7a9f4b8d1ab9b82345dc1fc5f4623e</t>
        </is>
      </c>
      <c r="DE167" s="24" t="inlineStr">
        <is>
          <t>/Users/vincentc9002/model-prediction/data/odds/tennis/2026-08-25/polymarket_snapshots.jsonl</t>
        </is>
      </c>
      <c r="DF167" s="24" t="inlineStr">
        <is>
          <t>506101:2026-08-25T13:29:51.151505Z</t>
        </is>
      </c>
      <c r="DG167" s="24" t="n"/>
      <c r="DH167" s="24" t="n"/>
      <c r="DI167" s="24" t="n"/>
      <c r="DJ167" s="24" t="inlineStr">
        <is>
          <t>0.829932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00ccafd8370f4411</t>
        </is>
      </c>
      <c r="B168" s="24" t="inlineStr">
        <is>
          <t>2026-08-25T13:31:51.589728Z</t>
        </is>
      </c>
      <c r="C168" s="24" t="inlineStr">
        <is>
          <t>2026-08-25T19:30Z</t>
        </is>
      </c>
      <c r="D168" s="24" t="inlineStr">
        <is>
          <t>189-2026:184606</t>
        </is>
      </c>
      <c r="E168" s="24" t="inlineStr">
        <is>
          <t>TENNIS</t>
        </is>
      </c>
      <c r="F168" s="24" t="inlineStr">
        <is>
          <t>Andrea Pellegrino</t>
        </is>
      </c>
      <c r="G168" s="24" t="inlineStr">
        <is>
          <t>Colton Smith</t>
        </is>
      </c>
      <c r="H168" s="24" t="inlineStr">
        <is>
          <t>moneyline</t>
        </is>
      </c>
      <c r="I168" s="24" t="inlineStr">
        <is>
          <t>away</t>
        </is>
      </c>
      <c r="J168" s="25" t="n"/>
      <c r="K168" s="24" t="inlineStr">
        <is>
          <t>polymarket_us</t>
        </is>
      </c>
      <c r="L168" s="26" t="n">
        <v>194</v>
      </c>
      <c r="M168" s="27" t="n">
        <v>2.94</v>
      </c>
      <c r="N168" s="28" t="n">
        <v>0.340136</v>
      </c>
      <c r="O168" s="28" t="n">
        <v>0.586</v>
      </c>
      <c r="P168" s="28" t="n">
        <v>0.05</v>
      </c>
      <c r="Q168" s="28" t="n">
        <v>0.245864</v>
      </c>
      <c r="R168" s="26" t="n">
        <v>100</v>
      </c>
      <c r="S168" s="29" t="n">
        <v>2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0</v>
      </c>
      <c r="X168" s="26" t="n">
        <v>1</v>
      </c>
      <c r="Y168" s="25" t="n"/>
      <c r="Z168" s="26" t="n">
        <v>194</v>
      </c>
      <c r="AA168" s="28" t="n">
        <v>0.34</v>
      </c>
      <c r="AB168" s="28" t="n">
        <v>-0.000136</v>
      </c>
      <c r="AC168" s="30" t="n">
        <v>-2</v>
      </c>
      <c r="AD168" s="24" t="inlineStr">
        <is>
          <t>2026-08-26T12:32:51.241163Z</t>
        </is>
      </c>
      <c r="AE168" s="31" t="inlineStr">
        <is>
          <t>Surface-blended Elo on Hard: Andrea Pellegrino p=0.586 vs Colton Smith. Executable ask 0.3400 (aec-atp-colsmi-andpel-2026-08-25).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Andrea Pellegrino</t>
        </is>
      </c>
      <c r="AQ168" s="24" t="inlineStr">
        <is>
          <t>Andrea Pellegrino</t>
        </is>
      </c>
      <c r="AR168" s="24" t="inlineStr">
        <is>
          <t>Andrea Pellegrino</t>
        </is>
      </c>
      <c r="AS168" s="24" t="inlineStr">
        <is>
          <t>Colton Smith</t>
        </is>
      </c>
      <c r="AT168" s="24" t="inlineStr">
        <is>
          <t>Colton Smith</t>
        </is>
      </c>
      <c r="AU168" s="24" t="inlineStr">
        <is>
          <t>Colton Smith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d777da58446bc099047b154203518e2585ef1a678f613f2b430f2589f7bf5cff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d777da58446bc099047b154203518e2585ef1a678f613f2b430f2589f7bf5cff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d777da58446bc099047b154203518e2585ef1a678f613f2b430f2589f7bf5cff</t>
        </is>
      </c>
      <c r="BH168" s="24" t="inlineStr">
        <is>
          <t>2026-08-25T13:29:51.301483Z</t>
        </is>
      </c>
      <c r="BI168" s="24" t="inlineStr">
        <is>
          <t>["same_event","same_team_same_day","same_league_same_day"]</t>
        </is>
      </c>
      <c r="BJ168" s="25" t="n"/>
      <c r="BK168" s="26" t="n">
        <v>194</v>
      </c>
      <c r="BL168" s="27" t="n">
        <v>2.94</v>
      </c>
      <c r="BM168" s="28" t="n">
        <v>0.340136</v>
      </c>
      <c r="BN168" s="28" t="n"/>
      <c r="BO168" s="28" t="n"/>
      <c r="BP168" s="25" t="n"/>
      <c r="BQ168" s="27" t="n">
        <v>2.94</v>
      </c>
      <c r="BR168" s="28" t="n">
        <v>0.34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inlineStr">
        <is>
          <t>b06085caee7aa72b521bacc2301a20df151714811dfa8f96545075e303968c2e</t>
        </is>
      </c>
      <c r="DE168" s="24" t="inlineStr">
        <is>
          <t>/Users/vincentc9002/model-prediction/data/odds/tennis/2026-08-25/polymarket_snapshots.jsonl</t>
        </is>
      </c>
      <c r="DF168" s="24" t="inlineStr">
        <is>
          <t>506102:2026-08-25T13:29:51.301483Z</t>
        </is>
      </c>
      <c r="DG168" s="24" t="n"/>
      <c r="DH168" s="24" t="n"/>
      <c r="DI168" s="24" t="n"/>
      <c r="DJ168" s="24" t="inlineStr">
        <is>
          <t>0.340136</t>
        </is>
      </c>
      <c r="DK168" s="24" t="n"/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3561bebc0f6b41e1</t>
        </is>
      </c>
      <c r="B169" s="24" t="inlineStr">
        <is>
          <t>2026-08-25T13:31:51.589728Z</t>
        </is>
      </c>
      <c r="C169" s="24" t="inlineStr">
        <is>
          <t>2026-08-25T19:30Z</t>
        </is>
      </c>
      <c r="D169" s="24" t="inlineStr">
        <is>
          <t>189-2026:184654</t>
        </is>
      </c>
      <c r="E169" s="24" t="inlineStr">
        <is>
          <t>TENNIS</t>
        </is>
      </c>
      <c r="F169" s="24" t="inlineStr">
        <is>
          <t>Hugo Dellien</t>
        </is>
      </c>
      <c r="G169" s="24" t="inlineStr">
        <is>
          <t>Moez Echargui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178</v>
      </c>
      <c r="M169" s="27" t="n">
        <v>2.78</v>
      </c>
      <c r="N169" s="28" t="n">
        <v>0.359712</v>
      </c>
      <c r="O169" s="28" t="n">
        <v>0.5436</v>
      </c>
      <c r="P169" s="28" t="n">
        <v>0.05</v>
      </c>
      <c r="Q169" s="28" t="n">
        <v>0.183888</v>
      </c>
      <c r="R169" s="26" t="n">
        <v>100</v>
      </c>
      <c r="S169" s="29" t="n">
        <v>2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178</v>
      </c>
      <c r="AA169" s="28" t="n">
        <v>0.36</v>
      </c>
      <c r="AB169" s="28" t="n">
        <v>0.000288</v>
      </c>
      <c r="AC169" s="30" t="n">
        <v>3.56</v>
      </c>
      <c r="AD169" s="24" t="inlineStr">
        <is>
          <t>2026-08-26T12:32:52.532040Z</t>
        </is>
      </c>
      <c r="AE169" s="31" t="inlineStr">
        <is>
          <t>Surface-blended Elo on Hard: Hugo Dellien p=0.544 vs Moez Echargui. Executable ask 0.3600 (aec-atp-moeech-hugdel-2026-08-25).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Hugo Dellien</t>
        </is>
      </c>
      <c r="AQ169" s="24" t="inlineStr">
        <is>
          <t>Hugo Dellien</t>
        </is>
      </c>
      <c r="AR169" s="24" t="inlineStr">
        <is>
          <t>Hugo Dellien</t>
        </is>
      </c>
      <c r="AS169" s="24" t="inlineStr">
        <is>
          <t>Moez Echargui</t>
        </is>
      </c>
      <c r="AT169" s="24" t="inlineStr">
        <is>
          <t>Moez Echargui</t>
        </is>
      </c>
      <c r="AU169" s="24" t="inlineStr">
        <is>
          <t>Moez Echargui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d777da58446bc099047b154203518e2585ef1a678f613f2b430f2589f7bf5cff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d777da58446bc099047b154203518e2585ef1a678f613f2b430f2589f7bf5cff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d777da58446bc099047b154203518e2585ef1a678f613f2b430f2589f7bf5cff</t>
        </is>
      </c>
      <c r="BH169" s="24" t="inlineStr">
        <is>
          <t>2026-08-25T13:29:51.502902Z</t>
        </is>
      </c>
      <c r="BI169" s="24" t="inlineStr">
        <is>
          <t>["same_event","same_team_same_day","same_league_same_day"]</t>
        </is>
      </c>
      <c r="BJ169" s="25" t="n"/>
      <c r="BK169" s="26" t="n">
        <v>178</v>
      </c>
      <c r="BL169" s="27" t="n">
        <v>2.78</v>
      </c>
      <c r="BM169" s="28" t="n">
        <v>0.359712</v>
      </c>
      <c r="BN169" s="28" t="n"/>
      <c r="BO169" s="28" t="n"/>
      <c r="BP169" s="25" t="n"/>
      <c r="BQ169" s="27" t="n">
        <v>2.78</v>
      </c>
      <c r="BR169" s="28" t="n">
        <v>0.36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inlineStr">
        <is>
          <t>bce9f9fa242ce60aee97636acb4484c11721ab9604d0cd54b1dacca2ee592aa5</t>
        </is>
      </c>
      <c r="DE169" s="24" t="inlineStr">
        <is>
          <t>/Users/vincentc9002/model-prediction/data/odds/tennis/2026-08-25/polymarket_snapshots.jsonl</t>
        </is>
      </c>
      <c r="DF169" s="24" t="inlineStr">
        <is>
          <t>506110:2026-08-25T13:29:51.502902Z</t>
        </is>
      </c>
      <c r="DG169" s="24" t="n"/>
      <c r="DH169" s="24" t="n"/>
      <c r="DI169" s="24" t="n"/>
      <c r="DJ169" s="24" t="inlineStr">
        <is>
          <t>0.359712</t>
        </is>
      </c>
      <c r="DK169" s="24" t="n"/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c36dcdaa52564969</t>
        </is>
      </c>
      <c r="B170" s="24" t="inlineStr">
        <is>
          <t>2026-08-25T13:31:51.589728Z</t>
        </is>
      </c>
      <c r="C170" s="24" t="inlineStr">
        <is>
          <t>2026-08-25T19:30Z</t>
        </is>
      </c>
      <c r="D170" s="24" t="inlineStr">
        <is>
          <t>189-2026:184659</t>
        </is>
      </c>
      <c r="E170" s="24" t="inlineStr">
        <is>
          <t>TENNIS</t>
        </is>
      </c>
      <c r="F170" s="24" t="inlineStr">
        <is>
          <t>Rio Noguchi</t>
        </is>
      </c>
      <c r="G170" s="24" t="inlineStr">
        <is>
          <t>Bu Yunchaokete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-257</v>
      </c>
      <c r="M170" s="27" t="n">
        <v>1.389105</v>
      </c>
      <c r="N170" s="28" t="n">
        <v>0.719888</v>
      </c>
      <c r="O170" s="28" t="n">
        <v>0.5731000000000001</v>
      </c>
      <c r="P170" s="28" t="n">
        <v>0.05</v>
      </c>
      <c r="Q170" s="28" t="n">
        <v>-0.146788</v>
      </c>
      <c r="R170" s="26" t="n">
        <v>0</v>
      </c>
      <c r="S170" s="29" t="n">
        <v>1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0.3891</v>
      </c>
      <c r="AD170" s="24" t="inlineStr">
        <is>
          <t>2026-08-26T12:32:53.816754Z</t>
        </is>
      </c>
      <c r="AE170" s="31" t="inlineStr">
        <is>
          <t>Surface-blended Elo on Hard: Rio Noguchi p=0.427 vs Bu Yunchaokete. Executable ask 0.7200 (aec-atp-yunbu-rionog-2026-08-25).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PAPER_CALL_MODEL_UNVALIDATED</t>
        </is>
      </c>
      <c r="AP170" s="24" t="inlineStr">
        <is>
          <t>Rio Noguchi</t>
        </is>
      </c>
      <c r="AQ170" s="24" t="inlineStr">
        <is>
          <t>Rio Noguchi</t>
        </is>
      </c>
      <c r="AR170" s="24" t="inlineStr">
        <is>
          <t>Rio Noguchi</t>
        </is>
      </c>
      <c r="AS170" s="24" t="inlineStr">
        <is>
          <t>Bu Yunchaokete</t>
        </is>
      </c>
      <c r="AT170" s="24" t="inlineStr">
        <is>
          <t>Bu Yunchaokete</t>
        </is>
      </c>
      <c r="AU170" s="24" t="inlineStr">
        <is>
          <t>Bu Yunchaokete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d777da58446bc099047b154203518e2585ef1a678f613f2b430f2589f7bf5cff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d777da58446bc099047b154203518e2585ef1a678f613f2b430f2589f7bf5cff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d777da58446bc099047b154203518e2585ef1a678f613f2b430f2589f7bf5cff</t>
        </is>
      </c>
      <c r="BH170" s="24" t="inlineStr">
        <is>
          <t>2026-08-25T13:29:52.499695Z</t>
        </is>
      </c>
      <c r="BI170" s="24" t="inlineStr">
        <is>
          <t>["same_event","same_team_same_day","same_league_same_day"]</t>
        </is>
      </c>
      <c r="BJ170" s="25" t="n"/>
      <c r="BK170" s="26" t="n">
        <v>-257</v>
      </c>
      <c r="BL170" s="27" t="n">
        <v>1.389105</v>
      </c>
      <c r="BM170" s="28" t="n">
        <v>0.719888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>
        <v>1</v>
      </c>
      <c r="BY170" s="27" t="n">
        <v>0.389105</v>
      </c>
      <c r="BZ170" s="24" t="inlineStr">
        <is>
          <t>2026-08-26T12:32:53.816754Z</t>
        </is>
      </c>
      <c r="CA170" s="31" t="inlineStr">
        <is>
          <t>fixed one-unit hypothetical scoring; no real exposure or execution</t>
        </is>
      </c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inlineStr">
        <is>
          <t>08b32a9312b75494430ea5e6cc263eab1ff409473060f68bc53f749f41ddf979</t>
        </is>
      </c>
      <c r="DE170" s="24" t="inlineStr">
        <is>
          <t>/Users/vincentc9002/model-prediction/data/odds/tennis/2026-08-25/polymarket_snapshots.jsonl</t>
        </is>
      </c>
      <c r="DF170" s="24" t="inlineStr">
        <is>
          <t>506107:2026-08-25T13:29:52.499695Z</t>
        </is>
      </c>
      <c r="DG170" s="24" t="n"/>
      <c r="DH170" s="24" t="n"/>
      <c r="DI170" s="24" t="n"/>
      <c r="DJ170" s="24" t="inlineStr">
        <is>
          <t>0.719888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71b4458b52db4f7d</t>
        </is>
      </c>
      <c r="B171" s="24" t="inlineStr">
        <is>
          <t>2026-08-25T13:31:51.589728Z</t>
        </is>
      </c>
      <c r="C171" s="24" t="inlineStr">
        <is>
          <t>2026-08-25T19:30Z</t>
        </is>
      </c>
      <c r="D171" s="24" t="inlineStr">
        <is>
          <t>189-2026:184660</t>
        </is>
      </c>
      <c r="E171" s="24" t="inlineStr">
        <is>
          <t>TENNIS</t>
        </is>
      </c>
      <c r="F171" s="24" t="inlineStr">
        <is>
          <t>Borna Gojo</t>
        </is>
      </c>
      <c r="G171" s="24" t="inlineStr">
        <is>
          <t>Zdenek Kolar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-400</v>
      </c>
      <c r="M171" s="27" t="n">
        <v>1.25</v>
      </c>
      <c r="N171" s="28" t="n">
        <v>0.8</v>
      </c>
      <c r="O171" s="28" t="n">
        <v>0.527</v>
      </c>
      <c r="P171" s="28" t="n">
        <v>0.05</v>
      </c>
      <c r="Q171" s="28" t="n">
        <v>-0.273</v>
      </c>
      <c r="R171" s="26" t="n">
        <v>0</v>
      </c>
      <c r="S171" s="29" t="n">
        <v>1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0</v>
      </c>
      <c r="Y171" s="25" t="n"/>
      <c r="Z171" s="26" t="n">
        <v>-400</v>
      </c>
      <c r="AA171" s="28" t="n">
        <v>0.8</v>
      </c>
      <c r="AB171" s="28" t="n">
        <v>0</v>
      </c>
      <c r="AC171" s="30" t="n">
        <v>0.25</v>
      </c>
      <c r="AD171" s="24" t="inlineStr">
        <is>
          <t>2026-08-26T12:32:55.099103Z</t>
        </is>
      </c>
      <c r="AE171" s="31" t="inlineStr">
        <is>
          <t>Surface-blended Elo on Hard: Borna Gojo p=0.527 vs Zdenek Kolar. Executable ask 0.8000 (aec-atp-zdekol-borgoj-2026-08-25).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Borna Gojo</t>
        </is>
      </c>
      <c r="AQ171" s="24" t="inlineStr">
        <is>
          <t>Borna Gojo</t>
        </is>
      </c>
      <c r="AR171" s="24" t="inlineStr">
        <is>
          <t>Borna Gojo</t>
        </is>
      </c>
      <c r="AS171" s="24" t="inlineStr">
        <is>
          <t>Zdenek Kolar</t>
        </is>
      </c>
      <c r="AT171" s="24" t="inlineStr">
        <is>
          <t>Zdenek Kolar</t>
        </is>
      </c>
      <c r="AU171" s="24" t="inlineStr">
        <is>
          <t>Zdenek Kolar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d777da58446bc099047b154203518e2585ef1a678f613f2b430f2589f7bf5cff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d777da58446bc099047b154203518e2585ef1a678f613f2b430f2589f7bf5cff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d777da58446bc099047b154203518e2585ef1a678f613f2b430f2589f7bf5cff</t>
        </is>
      </c>
      <c r="BH171" s="24" t="inlineStr">
        <is>
          <t>2026-08-25T13:29:52.276453Z</t>
        </is>
      </c>
      <c r="BI171" s="24" t="inlineStr">
        <is>
          <t>["same_event","same_team_same_day","same_league_same_day"]</t>
        </is>
      </c>
      <c r="BJ171" s="25" t="n"/>
      <c r="BK171" s="26" t="n">
        <v>-400</v>
      </c>
      <c r="BL171" s="27" t="n">
        <v>1.25</v>
      </c>
      <c r="BM171" s="28" t="n">
        <v>0.8</v>
      </c>
      <c r="BN171" s="28" t="n"/>
      <c r="BO171" s="28" t="n"/>
      <c r="BP171" s="25" t="n"/>
      <c r="BQ171" s="27" t="n">
        <v>1.25</v>
      </c>
      <c r="BR171" s="28" t="n">
        <v>0.8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0.25</v>
      </c>
      <c r="BZ171" s="24" t="inlineStr">
        <is>
          <t>2026-08-26T12:32:55.099103Z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inlineStr">
        <is>
          <t>948ee9fe7601a0d3e40471d2eaaf9c5ae126d208ed2de61c36efce5b428b7a50</t>
        </is>
      </c>
      <c r="DE171" s="24" t="inlineStr">
        <is>
          <t>/Users/vincentc9002/model-prediction/data/odds/tennis/2026-08-25/polymarket_snapshots.jsonl</t>
        </is>
      </c>
      <c r="DF171" s="24" t="inlineStr">
        <is>
          <t>506108:2026-08-25T13:29:52.276453Z</t>
        </is>
      </c>
      <c r="DG171" s="24" t="n"/>
      <c r="DH171" s="24" t="n"/>
      <c r="DI171" s="24" t="n"/>
      <c r="DJ171" s="24" t="inlineStr">
        <is>
          <t>0.8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7842f570e37d4b5d</t>
        </is>
      </c>
      <c r="B172" s="24" t="inlineStr">
        <is>
          <t>2026-08-25T13:31:51.589728Z</t>
        </is>
      </c>
      <c r="C172" s="24" t="inlineStr">
        <is>
          <t>2026-08-25T19:30Z</t>
        </is>
      </c>
      <c r="D172" s="24" t="inlineStr">
        <is>
          <t>189-2026:184661</t>
        </is>
      </c>
      <c r="E172" s="24" t="inlineStr">
        <is>
          <t>TENNIS</t>
        </is>
      </c>
      <c r="F172" s="24" t="inlineStr">
        <is>
          <t>Federico Cina</t>
        </is>
      </c>
      <c r="G172" s="24" t="inlineStr">
        <is>
          <t>Luca Nardi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-194</v>
      </c>
      <c r="M172" s="27" t="n">
        <v>1.515464</v>
      </c>
      <c r="N172" s="28" t="n">
        <v>0.659864</v>
      </c>
      <c r="O172" s="28" t="n">
        <v>0.5570000000000001</v>
      </c>
      <c r="P172" s="28" t="n">
        <v>0.05</v>
      </c>
      <c r="Q172" s="28" t="n">
        <v>-0.102864</v>
      </c>
      <c r="R172" s="26" t="n">
        <v>0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-194</v>
      </c>
      <c r="AA172" s="28" t="n">
        <v>0.66</v>
      </c>
      <c r="AB172" s="28" t="n">
        <v>0.000136</v>
      </c>
      <c r="AC172" s="30" t="n">
        <v>0.5155</v>
      </c>
      <c r="AD172" s="24" t="inlineStr">
        <is>
          <t>2026-08-26T12:32:56.435337Z</t>
        </is>
      </c>
      <c r="AE172" s="31" t="inlineStr">
        <is>
          <t>Surface-blended Elo on Hard: Federico Cina p=0.557 vs Luca Nardi. Executable ask 0.6600 (aec-atp-lucnar-fedcin-2026-08-25).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Federico Cina</t>
        </is>
      </c>
      <c r="AQ172" s="24" t="inlineStr">
        <is>
          <t>Federico Cina</t>
        </is>
      </c>
      <c r="AR172" s="24" t="inlineStr">
        <is>
          <t>Federico Cina</t>
        </is>
      </c>
      <c r="AS172" s="24" t="inlineStr">
        <is>
          <t>Luca Nardi</t>
        </is>
      </c>
      <c r="AT172" s="24" t="inlineStr">
        <is>
          <t>Luca Nardi</t>
        </is>
      </c>
      <c r="AU172" s="24" t="inlineStr">
        <is>
          <t>Luca Nardi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d777da58446bc099047b154203518e2585ef1a678f613f2b430f2589f7bf5cff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d777da58446bc099047b154203518e2585ef1a678f613f2b430f2589f7bf5cff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d777da58446bc099047b154203518e2585ef1a678f613f2b430f2589f7bf5cff</t>
        </is>
      </c>
      <c r="BH172" s="24" t="inlineStr">
        <is>
          <t>2026-08-25T13:29:52.407878Z</t>
        </is>
      </c>
      <c r="BI172" s="24" t="inlineStr">
        <is>
          <t>["same_event","same_team_same_day","same_league_same_day"]</t>
        </is>
      </c>
      <c r="BJ172" s="25" t="n"/>
      <c r="BK172" s="26" t="n">
        <v>-194</v>
      </c>
      <c r="BL172" s="27" t="n">
        <v>1.515464</v>
      </c>
      <c r="BM172" s="28" t="n">
        <v>0.659864</v>
      </c>
      <c r="BN172" s="28" t="n"/>
      <c r="BO172" s="28" t="n"/>
      <c r="BP172" s="25" t="n"/>
      <c r="BQ172" s="27" t="n">
        <v>1.515464</v>
      </c>
      <c r="BR172" s="28" t="n">
        <v>0.66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0.515464</v>
      </c>
      <c r="BZ172" s="24" t="inlineStr">
        <is>
          <t>2026-08-26T12:32:56.435337Z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inlineStr">
        <is>
          <t>cee51850b5e84dfa6d64e52fe07e9f36fca117042f054aed57fcf387606188e3</t>
        </is>
      </c>
      <c r="DE172" s="24" t="inlineStr">
        <is>
          <t>/Users/vincentc9002/model-prediction/data/odds/tennis/2026-08-25/polymarket_snapshots.jsonl</t>
        </is>
      </c>
      <c r="DF172" s="24" t="inlineStr">
        <is>
          <t>506109:2026-08-25T13:29:52.407878Z</t>
        </is>
      </c>
      <c r="DG172" s="24" t="n"/>
      <c r="DH172" s="24" t="n"/>
      <c r="DI172" s="24" t="n"/>
      <c r="DJ172" s="24" t="inlineStr">
        <is>
          <t>0.659864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02a2dc27d8aa43a0</t>
        </is>
      </c>
      <c r="B173" s="24" t="inlineStr">
        <is>
          <t>2026-08-25T13:31:51.589728Z</t>
        </is>
      </c>
      <c r="C173" s="24" t="inlineStr">
        <is>
          <t>2026-08-25T21:00Z</t>
        </is>
      </c>
      <c r="D173" s="24" t="inlineStr">
        <is>
          <t>189-2026:184630</t>
        </is>
      </c>
      <c r="E173" s="24" t="inlineStr">
        <is>
          <t>TENNIS</t>
        </is>
      </c>
      <c r="F173" s="24" t="inlineStr">
        <is>
          <t>Nikoloz Basilashvili</t>
        </is>
      </c>
      <c r="G173" s="24" t="inlineStr">
        <is>
          <t>SeongChan Hong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-213</v>
      </c>
      <c r="M173" s="27" t="n">
        <v>1.469484</v>
      </c>
      <c r="N173" s="28" t="n">
        <v>0.680511</v>
      </c>
      <c r="O173" s="28" t="n">
        <v>0.5103</v>
      </c>
      <c r="P173" s="28" t="n">
        <v>0.05</v>
      </c>
      <c r="Q173" s="28" t="n">
        <v>-0.170211</v>
      </c>
      <c r="R173" s="26" t="n">
        <v>0</v>
      </c>
      <c r="S173" s="29" t="n">
        <v>1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loss</t>
        </is>
      </c>
      <c r="W173" s="26" t="n">
        <v>0</v>
      </c>
      <c r="X173" s="26" t="n">
        <v>1</v>
      </c>
      <c r="Y173" s="25" t="n"/>
      <c r="Z173" s="26" t="n">
        <v>-213</v>
      </c>
      <c r="AA173" s="28" t="n">
        <v>0.68</v>
      </c>
      <c r="AB173" s="28" t="n">
        <v>-0.000511</v>
      </c>
      <c r="AC173" s="30" t="n">
        <v>-1</v>
      </c>
      <c r="AD173" s="24" t="inlineStr">
        <is>
          <t>2026-08-26T12:32:57.724868Z</t>
        </is>
      </c>
      <c r="AE173" s="31" t="inlineStr">
        <is>
          <t>Surface-blended Elo on Hard: Nikoloz Basilashvili p=0.510 vs SeongChan Hong. Executable ask 0.6800 (aec-atp-seohon-nikbas-2026-08-25).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PAPER_CALL_MODEL_UNVALIDATED</t>
        </is>
      </c>
      <c r="AP173" s="24" t="inlineStr">
        <is>
          <t>Nikoloz Basilashvili</t>
        </is>
      </c>
      <c r="AQ173" s="24" t="inlineStr">
        <is>
          <t>Nikoloz Basilashvili</t>
        </is>
      </c>
      <c r="AR173" s="24" t="inlineStr">
        <is>
          <t>Nikoloz Basilashvili</t>
        </is>
      </c>
      <c r="AS173" s="24" t="inlineStr">
        <is>
          <t>SeongChan Hong</t>
        </is>
      </c>
      <c r="AT173" s="24" t="inlineStr">
        <is>
          <t>SeongChan Hong</t>
        </is>
      </c>
      <c r="AU173" s="24" t="inlineStr">
        <is>
          <t>SeongChan Hong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d777da58446bc099047b154203518e2585ef1a678f613f2b430f2589f7bf5cff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d777da58446bc099047b154203518e2585ef1a678f613f2b430f2589f7bf5cff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d777da58446bc099047b154203518e2585ef1a678f613f2b430f2589f7bf5cff</t>
        </is>
      </c>
      <c r="BH173" s="24" t="inlineStr">
        <is>
          <t>2026-08-25T13:29:53.530139Z</t>
        </is>
      </c>
      <c r="BI173" s="24" t="inlineStr">
        <is>
          <t>["same_event","same_team_same_day","same_league_same_day"]</t>
        </is>
      </c>
      <c r="BJ173" s="25" t="n"/>
      <c r="BK173" s="26" t="n">
        <v>-213</v>
      </c>
      <c r="BL173" s="27" t="n">
        <v>1.469484</v>
      </c>
      <c r="BM173" s="28" t="n">
        <v>0.680511</v>
      </c>
      <c r="BN173" s="28" t="n"/>
      <c r="BO173" s="28" t="n"/>
      <c r="BP173" s="25" t="n"/>
      <c r="BQ173" s="27" t="n">
        <v>1.469484</v>
      </c>
      <c r="BR173" s="28" t="n">
        <v>0.68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-1</v>
      </c>
      <c r="BZ173" s="24" t="inlineStr">
        <is>
          <t>2026-08-26T12:32:57.724868Z</t>
        </is>
      </c>
      <c r="CA173" s="31" t="inlineStr">
        <is>
          <t>fixed one-unit hypothetical scoring; no real exposure or execution</t>
        </is>
      </c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inlineStr">
        <is>
          <t>3858802f72ec3d23ffc965a20845a5de1fcd30e4b8c30984899f6d80d579d452</t>
        </is>
      </c>
      <c r="DE173" s="24" t="inlineStr">
        <is>
          <t>/Users/vincentc9002/model-prediction/data/odds/tennis/2026-08-25/polymarket_snapshots.jsonl</t>
        </is>
      </c>
      <c r="DF173" s="24" t="inlineStr">
        <is>
          <t>506121:2026-08-25T13:29:53.530139Z</t>
        </is>
      </c>
      <c r="DG173" s="24" t="n"/>
      <c r="DH173" s="24" t="n"/>
      <c r="DI173" s="24" t="n"/>
      <c r="DJ173" s="24" t="inlineStr">
        <is>
          <t>0.680511</t>
        </is>
      </c>
      <c r="DK173" s="24" t="n"/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cab8591e31db4c20</t>
        </is>
      </c>
      <c r="B174" s="24" t="inlineStr">
        <is>
          <t>2026-08-25T13:31:51.589728Z</t>
        </is>
      </c>
      <c r="C174" s="24" t="inlineStr">
        <is>
          <t>2026-08-25T21:00Z</t>
        </is>
      </c>
      <c r="D174" s="24" t="inlineStr">
        <is>
          <t>189-2026:184636</t>
        </is>
      </c>
      <c r="E174" s="24" t="inlineStr">
        <is>
          <t>TENNIS</t>
        </is>
      </c>
      <c r="F174" s="24" t="inlineStr">
        <is>
          <t>Andrew Johnson</t>
        </is>
      </c>
      <c r="G174" s="24" t="inlineStr">
        <is>
          <t>Taro Daniel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614</v>
      </c>
      <c r="M174" s="27" t="n">
        <v>7.14</v>
      </c>
      <c r="N174" s="28" t="n">
        <v>0.140056</v>
      </c>
      <c r="O174" s="28" t="n">
        <v>0.5672</v>
      </c>
      <c r="P174" s="28" t="n">
        <v>0.05</v>
      </c>
      <c r="Q174" s="28" t="n">
        <v>0.427144</v>
      </c>
      <c r="R174" s="26" t="n">
        <v>100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1</v>
      </c>
      <c r="X174" s="26" t="n">
        <v>0</v>
      </c>
      <c r="Y174" s="25" t="n"/>
      <c r="Z174" s="26" t="n">
        <v>614</v>
      </c>
      <c r="AA174" s="28" t="n">
        <v>0.14</v>
      </c>
      <c r="AB174" s="28" t="n">
        <v>-5.6e-05</v>
      </c>
      <c r="AC174" s="30" t="n">
        <v>12.28</v>
      </c>
      <c r="AD174" s="24" t="inlineStr">
        <is>
          <t>2026-08-26T12:32:59.012099Z</t>
        </is>
      </c>
      <c r="AE174" s="31" t="inlineStr">
        <is>
          <t>Surface-blended Elo on Hard: Andrew Johnson p=0.567 vs Taro Daniel. Executable ask 0.1400 (aec-atp-tardan-andjoh-2026-08-25).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PAPER_CALL_MODEL_UNVALIDATED</t>
        </is>
      </c>
      <c r="AP174" s="24" t="inlineStr">
        <is>
          <t>Andrew Johnson</t>
        </is>
      </c>
      <c r="AQ174" s="24" t="inlineStr">
        <is>
          <t>Andrew Johnson</t>
        </is>
      </c>
      <c r="AR174" s="24" t="inlineStr">
        <is>
          <t>Andrew Johnson</t>
        </is>
      </c>
      <c r="AS174" s="24" t="inlineStr">
        <is>
          <t>Taro Daniel</t>
        </is>
      </c>
      <c r="AT174" s="24" t="inlineStr">
        <is>
          <t>Taro Daniel</t>
        </is>
      </c>
      <c r="AU174" s="24" t="inlineStr">
        <is>
          <t>Taro Daniel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d777da58446bc099047b154203518e2585ef1a678f613f2b430f2589f7bf5cff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d777da58446bc099047b154203518e2585ef1a678f613f2b430f2589f7bf5cff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d777da58446bc099047b154203518e2585ef1a678f613f2b430f2589f7bf5cff</t>
        </is>
      </c>
      <c r="BH174" s="24" t="inlineStr">
        <is>
          <t>2026-08-25T13:29:54.456541Z</t>
        </is>
      </c>
      <c r="BI174" s="24" t="inlineStr">
        <is>
          <t>["same_event","same_team_same_day","same_league_same_day"]</t>
        </is>
      </c>
      <c r="BJ174" s="25" t="n"/>
      <c r="BK174" s="26" t="n">
        <v>614</v>
      </c>
      <c r="BL174" s="27" t="n">
        <v>7.14</v>
      </c>
      <c r="BM174" s="28" t="n">
        <v>0.140056</v>
      </c>
      <c r="BN174" s="28" t="n"/>
      <c r="BO174" s="28" t="n"/>
      <c r="BP174" s="25" t="n"/>
      <c r="BQ174" s="27" t="n">
        <v>7.14</v>
      </c>
      <c r="BR174" s="28" t="n">
        <v>0.14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6.140001</v>
      </c>
      <c r="BZ174" s="24" t="inlineStr">
        <is>
          <t>2026-08-26T12:32:59.012099Z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inlineStr">
        <is>
          <t>ca8ebacade05908457acd09999b45fe683eace8a7f50d7c2f81ad8b3e97496f1</t>
        </is>
      </c>
      <c r="DE174" s="24" t="inlineStr">
        <is>
          <t>/Users/vincentc9002/model-prediction/data/odds/tennis/2026-08-25/polymarket_snapshots.jsonl</t>
        </is>
      </c>
      <c r="DF174" s="24" t="inlineStr">
        <is>
          <t>506117:2026-08-25T13:29:54.456541Z</t>
        </is>
      </c>
      <c r="DG174" s="24" t="n"/>
      <c r="DH174" s="24" t="n"/>
      <c r="DI174" s="24" t="n"/>
      <c r="DJ174" s="24" t="inlineStr">
        <is>
          <t>0.140056</t>
        </is>
      </c>
      <c r="DK174" s="24" t="n"/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a3a8a4c56eb8495a</t>
        </is>
      </c>
      <c r="B175" s="24" t="inlineStr">
        <is>
          <t>2026-08-25T13:31:51.589728Z</t>
        </is>
      </c>
      <c r="C175" s="24" t="inlineStr">
        <is>
          <t>2026-08-25T21:00Z</t>
        </is>
      </c>
      <c r="D175" s="24" t="inlineStr">
        <is>
          <t>189-2026:184650</t>
        </is>
      </c>
      <c r="E175" s="24" t="inlineStr">
        <is>
          <t>TENNIS</t>
        </is>
      </c>
      <c r="F175" s="24" t="inlineStr">
        <is>
          <t>Liam Draxl</t>
        </is>
      </c>
      <c r="G175" s="24" t="inlineStr">
        <is>
          <t>Nicolas Mejia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100</v>
      </c>
      <c r="M175" s="27" t="n">
        <v>2</v>
      </c>
      <c r="N175" s="28" t="n">
        <v>0.5</v>
      </c>
      <c r="O175" s="28" t="n">
        <v>0.546</v>
      </c>
      <c r="P175" s="28" t="n">
        <v>0.05</v>
      </c>
      <c r="Q175" s="28" t="n">
        <v>0.046</v>
      </c>
      <c r="R175" s="26" t="n">
        <v>43</v>
      </c>
      <c r="S175" s="29" t="n">
        <v>1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100</v>
      </c>
      <c r="AA175" s="28" t="n">
        <v>0.5</v>
      </c>
      <c r="AB175" s="28" t="n">
        <v>0</v>
      </c>
      <c r="AC175" s="30" t="n">
        <v>-1</v>
      </c>
      <c r="AD175" s="24" t="inlineStr">
        <is>
          <t>2026-08-26T12:33:00.353507Z</t>
        </is>
      </c>
      <c r="AE175" s="31" t="inlineStr">
        <is>
          <t>Surface-blended Elo on Hard: Liam Draxl p=0.454 vs Nicolas Mejia. Executable ask 0.5000 (aec-atp-nicmej-liadra-2026-08-25).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paper_call</t>
        </is>
      </c>
      <c r="AL175" s="26" t="n">
        <v>4</v>
      </c>
      <c r="AM175" s="24" t="inlineStr">
        <is>
          <t>RESEARCH_OBSERVATION</t>
        </is>
      </c>
      <c r="AN175" s="24" t="inlineStr">
        <is>
          <t>CALL</t>
        </is>
      </c>
      <c r="AO175" s="24" t="inlineStr">
        <is>
          <t>PAPER_CALL_LOW_EDGE</t>
        </is>
      </c>
      <c r="AP175" s="24" t="inlineStr">
        <is>
          <t>Liam Draxl</t>
        </is>
      </c>
      <c r="AQ175" s="24" t="inlineStr">
        <is>
          <t>Liam Draxl</t>
        </is>
      </c>
      <c r="AR175" s="24" t="inlineStr">
        <is>
          <t>Liam Draxl</t>
        </is>
      </c>
      <c r="AS175" s="24" t="inlineStr">
        <is>
          <t>Nicolas Mejia</t>
        </is>
      </c>
      <c r="AT175" s="24" t="inlineStr">
        <is>
          <t>Nicolas Mejia</t>
        </is>
      </c>
      <c r="AU175" s="24" t="inlineStr">
        <is>
          <t>Nicolas Mejia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d777da58446bc099047b154203518e2585ef1a678f613f2b430f2589f7bf5cff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d777da58446bc099047b154203518e2585ef1a678f613f2b430f2589f7bf5cff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d777da58446bc099047b154203518e2585ef1a678f613f2b430f2589f7bf5cff</t>
        </is>
      </c>
      <c r="BH175" s="24" t="inlineStr">
        <is>
          <t>2026-08-25T13:29:53.718330Z</t>
        </is>
      </c>
      <c r="BI175" s="24" t="inlineStr">
        <is>
          <t>["same_event","same_team_same_day","same_league_same_day"]</t>
        </is>
      </c>
      <c r="BJ175" s="25" t="n"/>
      <c r="BK175" s="26" t="n">
        <v>100</v>
      </c>
      <c r="BL175" s="27" t="n">
        <v>2</v>
      </c>
      <c r="BM175" s="28" t="n">
        <v>0.5</v>
      </c>
      <c r="BN175" s="28" t="n"/>
      <c r="BO175" s="28" t="n"/>
      <c r="BP175" s="25" t="n"/>
      <c r="BQ175" s="27" t="n">
        <v>2</v>
      </c>
      <c r="BR175" s="28" t="n">
        <v>0.5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inlineStr">
        <is>
          <t>2026-08-26T12:33:00.353507Z</t>
        </is>
      </c>
      <c r="CA175" s="31" t="inlineStr">
        <is>
          <t>fixed one-unit hypothetical scoring; no real exposure or execution</t>
        </is>
      </c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inlineStr">
        <is>
          <t>b8b4cb43a4a27dd7d697ff00948e72e2d17eb8d6db765e13bfddb14cafe3d9a2</t>
        </is>
      </c>
      <c r="DE175" s="24" t="inlineStr">
        <is>
          <t>/Users/vincentc9002/model-prediction/data/odds/tennis/2026-08-25/polymarket_snapshots.jsonl</t>
        </is>
      </c>
      <c r="DF175" s="24" t="inlineStr">
        <is>
          <t>506116:2026-08-25T13:29:53.718330Z</t>
        </is>
      </c>
      <c r="DG175" s="24" t="n"/>
      <c r="DH175" s="24" t="n"/>
      <c r="DI175" s="24" t="n"/>
      <c r="DJ175" s="24" t="inlineStr">
        <is>
          <t>0.5</t>
        </is>
      </c>
      <c r="DK175" s="24" t="n"/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03fbafaf86fa4d2c</t>
        </is>
      </c>
      <c r="B176" s="24" t="inlineStr">
        <is>
          <t>2026-08-25T13:31:51.589728Z</t>
        </is>
      </c>
      <c r="C176" s="24" t="inlineStr">
        <is>
          <t>2026-08-26T04:00Z</t>
        </is>
      </c>
      <c r="D176" s="24" t="inlineStr">
        <is>
          <t>189-2026:184670</t>
        </is>
      </c>
      <c r="E176" s="24" t="inlineStr">
        <is>
          <t>TENNIS</t>
        </is>
      </c>
      <c r="F176" s="24" t="inlineStr">
        <is>
          <t>Alexis Galarneau</t>
        </is>
      </c>
      <c r="G176" s="24" t="inlineStr">
        <is>
          <t>Dalibor Svrcina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-186</v>
      </c>
      <c r="M176" s="27" t="n">
        <v>1.537634</v>
      </c>
      <c r="N176" s="28" t="n">
        <v>0.65035</v>
      </c>
      <c r="O176" s="28" t="n">
        <v>0.517</v>
      </c>
      <c r="P176" s="28" t="n">
        <v>0.05</v>
      </c>
      <c r="Q176" s="28" t="n">
        <v>-0.13335</v>
      </c>
      <c r="R176" s="26" t="n">
        <v>0</v>
      </c>
      <c r="S176" s="29" t="n">
        <v>1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win</t>
        </is>
      </c>
      <c r="W176" s="26" t="n">
        <v>0</v>
      </c>
      <c r="X176" s="26" t="n">
        <v>1</v>
      </c>
      <c r="Y176" s="25" t="n"/>
      <c r="Z176" s="26" t="n"/>
      <c r="AA176" s="28" t="n"/>
      <c r="AB176" s="28" t="n"/>
      <c r="AC176" s="30" t="n">
        <v>0.5376</v>
      </c>
      <c r="AD176" s="24" t="inlineStr">
        <is>
          <t>2026-08-26T22:10:40.372577Z</t>
        </is>
      </c>
      <c r="AE176" s="31" t="inlineStr">
        <is>
          <t>Surface-blended Elo on Hard: Alexis Galarneau p=0.483 vs Dalibor Svrcina. Executable ask 0.6500 (aec-atp-dalsvr-alegal-2026-08-25).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Alexis Galarneau</t>
        </is>
      </c>
      <c r="AQ176" s="24" t="inlineStr">
        <is>
          <t>Alexis Galarneau</t>
        </is>
      </c>
      <c r="AR176" s="24" t="inlineStr">
        <is>
          <t>Alexis Galarneau</t>
        </is>
      </c>
      <c r="AS176" s="24" t="inlineStr">
        <is>
          <t>Dalibor Svrcina</t>
        </is>
      </c>
      <c r="AT176" s="24" t="inlineStr">
        <is>
          <t>Dalibor Svrcina</t>
        </is>
      </c>
      <c r="AU176" s="24" t="inlineStr">
        <is>
          <t>Dalibor Svrcina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d777da58446bc099047b154203518e2585ef1a678f613f2b430f2589f7bf5cff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d777da58446bc099047b154203518e2585ef1a678f613f2b430f2589f7bf5cff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d777da58446bc099047b154203518e2585ef1a678f613f2b430f2589f7bf5cff</t>
        </is>
      </c>
      <c r="BH176" s="24" t="inlineStr">
        <is>
          <t>2026-08-25T06:23:08.125641Z</t>
        </is>
      </c>
      <c r="BI176" s="24" t="inlineStr">
        <is>
          <t>["same_event","same_team_same_day","same_league_same_day"]</t>
        </is>
      </c>
      <c r="BJ176" s="25" t="n"/>
      <c r="BK176" s="26" t="n">
        <v>-186</v>
      </c>
      <c r="BL176" s="27" t="n">
        <v>1.537634</v>
      </c>
      <c r="BM176" s="28" t="n">
        <v>0.65035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>
        <v>1</v>
      </c>
      <c r="BY176" s="27" t="n">
        <v>0.5376339999999999</v>
      </c>
      <c r="BZ176" s="24" t="inlineStr">
        <is>
          <t>2026-08-26T22:10:40.372577Z</t>
        </is>
      </c>
      <c r="CA176" s="31" t="inlineStr">
        <is>
          <t>fixed one-unit hypothetical scoring; no real exposure or execution</t>
        </is>
      </c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inlineStr">
        <is>
          <t>7ae453ece10feffcadaf99cbf7877fd59c81b05d7c1726b16eac25eddeab606a</t>
        </is>
      </c>
      <c r="DE176" s="24" t="inlineStr">
        <is>
          <t>/Users/vincentc9002/model-prediction/data/odds/tennis/2026-08-25/polymarket_snapshots.jsonl</t>
        </is>
      </c>
      <c r="DF176" s="24" t="inlineStr">
        <is>
          <t>514574:2026-08-25T06:23:08.125641Z</t>
        </is>
      </c>
      <c r="DG176" s="24" t="n"/>
      <c r="DH176" s="24" t="n"/>
      <c r="DI176" s="24" t="n"/>
      <c r="DJ176" s="24" t="inlineStr">
        <is>
          <t>0.65035</t>
        </is>
      </c>
      <c r="DK176" s="24" t="n"/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9f2646884d884083</t>
        </is>
      </c>
      <c r="B177" s="24" t="inlineStr">
        <is>
          <t>2026-08-25T13:31:51.589728Z</t>
        </is>
      </c>
      <c r="C177" s="24" t="inlineStr">
        <is>
          <t>2026-08-26T04:00Z</t>
        </is>
      </c>
      <c r="D177" s="24" t="inlineStr">
        <is>
          <t>189-2026:184682</t>
        </is>
      </c>
      <c r="E177" s="24" t="inlineStr">
        <is>
          <t>TENNIS</t>
        </is>
      </c>
      <c r="F177" s="24" t="inlineStr">
        <is>
          <t>Harry Wendelken</t>
        </is>
      </c>
      <c r="G177" s="24" t="inlineStr">
        <is>
          <t>Remy Bertola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-113</v>
      </c>
      <c r="M177" s="27" t="n">
        <v>1.884956</v>
      </c>
      <c r="N177" s="28" t="n">
        <v>0.530516</v>
      </c>
      <c r="O177" s="28" t="n">
        <v>0.5341</v>
      </c>
      <c r="P177" s="28" t="n">
        <v>0.05</v>
      </c>
      <c r="Q177" s="28" t="n">
        <v>0.003584</v>
      </c>
      <c r="R177" s="26" t="n">
        <v>22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2026-08-26T22:10:43.301278Z</t>
        </is>
      </c>
      <c r="AE177" s="31" t="inlineStr">
        <is>
          <t>Surface-blended Elo on Hard: Harry Wendelken p=0.466 vs Remy Bertola. Executable ask 0.5300 (aec-atp-rember-harwen-2026-08-25).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paper_call</t>
        </is>
      </c>
      <c r="AL177" s="26" t="n">
        <v>4</v>
      </c>
      <c r="AM177" s="24" t="inlineStr">
        <is>
          <t>RESEARCH_OBSERVATION</t>
        </is>
      </c>
      <c r="AN177" s="24" t="inlineStr">
        <is>
          <t>CALL</t>
        </is>
      </c>
      <c r="AO177" s="24" t="inlineStr">
        <is>
          <t>PAPER_CALL_MODEL_UNVALIDATED</t>
        </is>
      </c>
      <c r="AP177" s="24" t="inlineStr">
        <is>
          <t>Harry Wendelken</t>
        </is>
      </c>
      <c r="AQ177" s="24" t="inlineStr">
        <is>
          <t>Harry Wendelken</t>
        </is>
      </c>
      <c r="AR177" s="24" t="inlineStr">
        <is>
          <t>Harry Wendelken</t>
        </is>
      </c>
      <c r="AS177" s="24" t="inlineStr">
        <is>
          <t>Remy Bertola</t>
        </is>
      </c>
      <c r="AT177" s="24" t="inlineStr">
        <is>
          <t>Remy Bertola</t>
        </is>
      </c>
      <c r="AU177" s="24" t="inlineStr">
        <is>
          <t>Remy Bertola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d777da58446bc099047b154203518e2585ef1a678f613f2b430f2589f7bf5cff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d777da58446bc099047b154203518e2585ef1a678f613f2b430f2589f7bf5cff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d777da58446bc099047b154203518e2585ef1a678f613f2b430f2589f7bf5cff</t>
        </is>
      </c>
      <c r="BH177" s="24" t="inlineStr">
        <is>
          <t>2026-08-25T06:23:08.132978Z</t>
        </is>
      </c>
      <c r="BI177" s="24" t="inlineStr">
        <is>
          <t>["same_event","same_team_same_day","same_league_same_day"]</t>
        </is>
      </c>
      <c r="BJ177" s="25" t="n"/>
      <c r="BK177" s="26" t="n">
        <v>-113</v>
      </c>
      <c r="BL177" s="27" t="n">
        <v>1.884956</v>
      </c>
      <c r="BM177" s="28" t="n">
        <v>0.530516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>
        <v>1</v>
      </c>
      <c r="BY177" s="27" t="n">
        <v>-1</v>
      </c>
      <c r="BZ177" s="24" t="inlineStr">
        <is>
          <t>2026-08-26T22:10:43.301278Z</t>
        </is>
      </c>
      <c r="CA177" s="31" t="inlineStr">
        <is>
          <t>fixed one-unit hypothetical scoring; no real exposure or execution</t>
        </is>
      </c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inlineStr">
        <is>
          <t>f333e00dddcb305df831adf6a89b42b16888569374a63f3bcd2b4ac2072ee384</t>
        </is>
      </c>
      <c r="DE177" s="24" t="inlineStr">
        <is>
          <t>/Users/vincentc9002/model-prediction/data/odds/tennis/2026-08-25/polymarket_snapshots.jsonl</t>
        </is>
      </c>
      <c r="DF177" s="24" t="inlineStr">
        <is>
          <t>515158:2026-08-25T06:23:08.132978Z</t>
        </is>
      </c>
      <c r="DG177" s="24" t="n"/>
      <c r="DH177" s="24" t="n"/>
      <c r="DI177" s="24" t="n"/>
      <c r="DJ177" s="24" t="inlineStr">
        <is>
          <t>0.530516</t>
        </is>
      </c>
      <c r="DK177" s="24" t="n"/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cc66473ee44a4982</t>
        </is>
      </c>
      <c r="B178" s="24" t="inlineStr">
        <is>
          <t>2026-08-25T13:31:51.589728Z</t>
        </is>
      </c>
      <c r="C178" s="24" t="inlineStr">
        <is>
          <t>2026-08-26T04:00Z</t>
        </is>
      </c>
      <c r="D178" s="24" t="inlineStr">
        <is>
          <t>189-2026:184760</t>
        </is>
      </c>
      <c r="E178" s="24" t="inlineStr">
        <is>
          <t>TENNIS</t>
        </is>
      </c>
      <c r="F178" s="24" t="inlineStr">
        <is>
          <t>Lukas Neumayer</t>
        </is>
      </c>
      <c r="G178" s="24" t="inlineStr">
        <is>
          <t>Chak Lam Coleman Wong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-317</v>
      </c>
      <c r="M178" s="27" t="n">
        <v>1.315457</v>
      </c>
      <c r="N178" s="28" t="n">
        <v>0.760192</v>
      </c>
      <c r="O178" s="28" t="n">
        <v>0.6523</v>
      </c>
      <c r="P178" s="28" t="n">
        <v>0.05</v>
      </c>
      <c r="Q178" s="28" t="n">
        <v>-0.107892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1</v>
      </c>
      <c r="Y178" s="25" t="n"/>
      <c r="Z178" s="26" t="n"/>
      <c r="AA178" s="28" t="n"/>
      <c r="AB178" s="28" t="n"/>
      <c r="AC178" s="30" t="n">
        <v>0.3155</v>
      </c>
      <c r="AD178" s="24" t="inlineStr">
        <is>
          <t>2026-08-26T22:10:46.183355Z</t>
        </is>
      </c>
      <c r="AE178" s="31" t="inlineStr">
        <is>
          <t>Surface-blended Elo on Hard: Lukas Neumayer p=0.348 vs Chak Lam Coleman Wong. Executable ask 0.7600 (aec-atp-colwon-lukneu-2026-08-25).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paper_call</t>
        </is>
      </c>
      <c r="AL178" s="26" t="n">
        <v>4</v>
      </c>
      <c r="AM178" s="24" t="inlineStr">
        <is>
          <t>RESEARCH_OBSERVATION</t>
        </is>
      </c>
      <c r="AN178" s="24" t="inlineStr">
        <is>
          <t>CALL</t>
        </is>
      </c>
      <c r="AO178" s="24" t="inlineStr">
        <is>
          <t>PAPER_CALL_LOW_EDGE</t>
        </is>
      </c>
      <c r="AP178" s="24" t="inlineStr">
        <is>
          <t>Lukas Neumayer</t>
        </is>
      </c>
      <c r="AQ178" s="24" t="inlineStr">
        <is>
          <t>Lukas Neumayer</t>
        </is>
      </c>
      <c r="AR178" s="24" t="inlineStr">
        <is>
          <t>Lukas Neumayer</t>
        </is>
      </c>
      <c r="AS178" s="24" t="inlineStr">
        <is>
          <t>Chak Lam Coleman Wong</t>
        </is>
      </c>
      <c r="AT178" s="24" t="inlineStr">
        <is>
          <t>Chak Lam Coleman Wong</t>
        </is>
      </c>
      <c r="AU178" s="24" t="inlineStr">
        <is>
          <t>Chak Lam Coleman Wong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d777da58446bc099047b154203518e2585ef1a678f613f2b430f2589f7bf5cff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d777da58446bc099047b154203518e2585ef1a678f613f2b430f2589f7bf5cff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d777da58446bc099047b154203518e2585ef1a678f613f2b430f2589f7bf5cff</t>
        </is>
      </c>
      <c r="BH178" s="24" t="inlineStr">
        <is>
          <t>2026-08-25T06:23:08.113502Z</t>
        </is>
      </c>
      <c r="BI178" s="24" t="inlineStr">
        <is>
          <t>["same_event","same_team_same_day","same_league_same_day"]</t>
        </is>
      </c>
      <c r="BJ178" s="25" t="n"/>
      <c r="BK178" s="26" t="n">
        <v>-317</v>
      </c>
      <c r="BL178" s="27" t="n">
        <v>1.315457</v>
      </c>
      <c r="BM178" s="28" t="n">
        <v>0.760192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>
        <v>1</v>
      </c>
      <c r="BY178" s="27" t="n">
        <v>0.315457</v>
      </c>
      <c r="BZ178" s="24" t="inlineStr">
        <is>
          <t>2026-08-26T22:10:46.183355Z</t>
        </is>
      </c>
      <c r="CA178" s="31" t="inlineStr">
        <is>
          <t>fixed one-unit hypothetical scoring; no real exposure or execution</t>
        </is>
      </c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inlineStr">
        <is>
          <t>deac6870ce7297f157362c1379658613e1e36c143485f85159d205d576f1ea0f</t>
        </is>
      </c>
      <c r="DE178" s="24" t="inlineStr">
        <is>
          <t>/Users/vincentc9002/model-prediction/data/odds/tennis/2026-08-25/polymarket_snapshots.jsonl</t>
        </is>
      </c>
      <c r="DF178" s="24" t="inlineStr">
        <is>
          <t>516358:2026-08-25T06:23:08.113502Z</t>
        </is>
      </c>
      <c r="DG178" s="24" t="n"/>
      <c r="DH178" s="24" t="n"/>
      <c r="DI178" s="24" t="n"/>
      <c r="DJ178" s="24" t="inlineStr">
        <is>
          <t>0.760192</t>
        </is>
      </c>
      <c r="DK178" s="24" t="n"/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b08c649de38e4d39</t>
        </is>
      </c>
      <c r="B179" s="24" t="inlineStr">
        <is>
          <t>2026-08-25T13:31:51.589728Z</t>
        </is>
      </c>
      <c r="C179" s="24" t="inlineStr">
        <is>
          <t>2026-08-26T04:00Z</t>
        </is>
      </c>
      <c r="D179" s="24" t="inlineStr">
        <is>
          <t>189-2026:184763</t>
        </is>
      </c>
      <c r="E179" s="24" t="inlineStr">
        <is>
          <t>TENNIS</t>
        </is>
      </c>
      <c r="F179" s="24" t="inlineStr">
        <is>
          <t>Mackenzie McDonald</t>
        </is>
      </c>
      <c r="G179" s="24" t="inlineStr">
        <is>
          <t>Thiago Seyboth Wild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-186</v>
      </c>
      <c r="M179" s="27" t="n">
        <v>1.537634</v>
      </c>
      <c r="N179" s="28" t="n">
        <v>0.65035</v>
      </c>
      <c r="O179" s="28" t="n">
        <v>0.5134</v>
      </c>
      <c r="P179" s="28" t="n">
        <v>0.05</v>
      </c>
      <c r="Q179" s="28" t="n">
        <v>-0.13695</v>
      </c>
      <c r="R179" s="26" t="n">
        <v>0</v>
      </c>
      <c r="S179" s="29" t="n">
        <v>1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0</v>
      </c>
      <c r="Y179" s="25" t="n"/>
      <c r="Z179" s="26" t="n"/>
      <c r="AA179" s="28" t="n"/>
      <c r="AB179" s="28" t="n"/>
      <c r="AC179" s="30" t="n">
        <v>0.5376</v>
      </c>
      <c r="AD179" s="24" t="inlineStr">
        <is>
          <t>2026-08-26T22:10:49.092221Z</t>
        </is>
      </c>
      <c r="AE179" s="31" t="inlineStr">
        <is>
          <t>Surface-blended Elo on Hard: Mackenzie McDonald p=0.513 vs Thiago Seyboth Wild. Executable ask 0.6500 (aec-atp-thiwil-macmcd-2026-08-25).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paper_call</t>
        </is>
      </c>
      <c r="AL179" s="26" t="n">
        <v>4</v>
      </c>
      <c r="AM179" s="24" t="inlineStr">
        <is>
          <t>RESEARCH_OBSERVATION</t>
        </is>
      </c>
      <c r="AN179" s="24" t="inlineStr">
        <is>
          <t>CALL</t>
        </is>
      </c>
      <c r="AO179" s="24" t="inlineStr">
        <is>
          <t>PAPER_CALL_LOW_EDGE</t>
        </is>
      </c>
      <c r="AP179" s="24" t="inlineStr">
        <is>
          <t>Mackenzie McDonald</t>
        </is>
      </c>
      <c r="AQ179" s="24" t="inlineStr">
        <is>
          <t>Mackenzie McDonald</t>
        </is>
      </c>
      <c r="AR179" s="24" t="inlineStr">
        <is>
          <t>Mackenzie McDonald</t>
        </is>
      </c>
      <c r="AS179" s="24" t="inlineStr">
        <is>
          <t>Thiago Seyboth Wild</t>
        </is>
      </c>
      <c r="AT179" s="24" t="inlineStr">
        <is>
          <t>Thiago Seyboth Wild</t>
        </is>
      </c>
      <c r="AU179" s="24" t="inlineStr">
        <is>
          <t>Thiago Seyboth Wild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d777da58446bc099047b154203518e2585ef1a678f613f2b430f2589f7bf5cff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d777da58446bc099047b154203518e2585ef1a678f613f2b430f2589f7bf5cff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d777da58446bc099047b154203518e2585ef1a678f613f2b430f2589f7bf5cff</t>
        </is>
      </c>
      <c r="BH179" s="24" t="inlineStr">
        <is>
          <t>2026-08-25T06:23:08.114754Z</t>
        </is>
      </c>
      <c r="BI179" s="24" t="inlineStr">
        <is>
          <t>["same_event","same_team_same_day","same_league_same_day"]</t>
        </is>
      </c>
      <c r="BJ179" s="25" t="n"/>
      <c r="BK179" s="26" t="n">
        <v>-186</v>
      </c>
      <c r="BL179" s="27" t="n">
        <v>1.537634</v>
      </c>
      <c r="BM179" s="28" t="n">
        <v>0.65035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>
        <v>1</v>
      </c>
      <c r="BY179" s="27" t="n">
        <v>0.5376339999999999</v>
      </c>
      <c r="BZ179" s="24" t="inlineStr">
        <is>
          <t>2026-08-26T22:10:49.092221Z</t>
        </is>
      </c>
      <c r="CA179" s="31" t="inlineStr">
        <is>
          <t>fixed one-unit hypothetical scoring; no real exposure or execution</t>
        </is>
      </c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inlineStr">
        <is>
          <t>e8f642b9276bc1c3ee5b8664fccb6042555db8e6d5de68ea714e83da595e17a8</t>
        </is>
      </c>
      <c r="DE179" s="24" t="inlineStr">
        <is>
          <t>/Users/vincentc9002/model-prediction/data/odds/tennis/2026-08-25/polymarket_snapshots.jsonl</t>
        </is>
      </c>
      <c r="DF179" s="24" t="inlineStr">
        <is>
          <t>515922:2026-08-25T06:23:08.114754Z</t>
        </is>
      </c>
      <c r="DG179" s="24" t="n"/>
      <c r="DH179" s="24" t="n"/>
      <c r="DI179" s="24" t="n"/>
      <c r="DJ179" s="24" t="inlineStr">
        <is>
          <t>0.65035</t>
        </is>
      </c>
      <c r="DK179" s="24" t="n"/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292a12b4de9e4e76</t>
        </is>
      </c>
      <c r="B180" s="24" t="inlineStr">
        <is>
          <t>2026-08-25T13:31:51.589728Z</t>
        </is>
      </c>
      <c r="C180" s="24" t="inlineStr">
        <is>
          <t>2026-08-26T04:00Z</t>
        </is>
      </c>
      <c r="D180" s="24" t="inlineStr">
        <is>
          <t>189-2026:184764</t>
        </is>
      </c>
      <c r="E180" s="24" t="inlineStr">
        <is>
          <t>TENNIS</t>
        </is>
      </c>
      <c r="F180" s="24" t="inlineStr">
        <is>
          <t>Tom Gentzsch</t>
        </is>
      </c>
      <c r="G180" s="24" t="inlineStr">
        <is>
          <t>Francesco Passaro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117</v>
      </c>
      <c r="M180" s="27" t="n">
        <v>2.17</v>
      </c>
      <c r="N180" s="28" t="n">
        <v>0.460829</v>
      </c>
      <c r="O180" s="28" t="n">
        <v>0.546</v>
      </c>
      <c r="P180" s="28" t="n">
        <v>0.05</v>
      </c>
      <c r="Q180" s="28" t="n">
        <v>0.085171</v>
      </c>
      <c r="R180" s="26" t="n">
        <v>63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1.4625</v>
      </c>
      <c r="AD180" s="24" t="inlineStr">
        <is>
          <t>2026-08-26T22:10:51.976826Z</t>
        </is>
      </c>
      <c r="AE180" s="31" t="inlineStr">
        <is>
          <t>Surface-blended Elo on Hard: Tom Gentzsch p=0.454 vs Francesco Passaro. Executable ask 0.4600 (aec-atp-frapas-tomgen-2026-08-25).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PAPER_CALL_MODEL_UNVALIDATED</t>
        </is>
      </c>
      <c r="AP180" s="24" t="inlineStr">
        <is>
          <t>Tom Gentzsch</t>
        </is>
      </c>
      <c r="AQ180" s="24" t="inlineStr">
        <is>
          <t>Tom Gentzsch</t>
        </is>
      </c>
      <c r="AR180" s="24" t="inlineStr">
        <is>
          <t>Tom Gentzsch</t>
        </is>
      </c>
      <c r="AS180" s="24" t="inlineStr">
        <is>
          <t>Francesco Passaro</t>
        </is>
      </c>
      <c r="AT180" s="24" t="inlineStr">
        <is>
          <t>Francesco Passaro</t>
        </is>
      </c>
      <c r="AU180" s="24" t="inlineStr">
        <is>
          <t>Francesco Passaro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d777da58446bc099047b154203518e2585ef1a678f613f2b430f2589f7bf5cff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d777da58446bc099047b154203518e2585ef1a678f613f2b430f2589f7bf5cff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d777da58446bc099047b154203518e2585ef1a678f613f2b430f2589f7bf5cff</t>
        </is>
      </c>
      <c r="BH180" s="24" t="inlineStr">
        <is>
          <t>2026-08-25T06:23:08.118359Z</t>
        </is>
      </c>
      <c r="BI180" s="24" t="inlineStr">
        <is>
          <t>["same_event","same_team_same_day","same_league_same_day"]</t>
        </is>
      </c>
      <c r="BJ180" s="25" t="n"/>
      <c r="BK180" s="26" t="n">
        <v>117</v>
      </c>
      <c r="BL180" s="27" t="n">
        <v>2.17</v>
      </c>
      <c r="BM180" s="28" t="n">
        <v>0.460829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1.170002</v>
      </c>
      <c r="BZ180" s="24" t="inlineStr">
        <is>
          <t>2026-08-26T22:10:51.976826Z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inlineStr">
        <is>
          <t>7d1a608fac34c6ce820d3e96e3711bb838d1cf446b473eb3236c1e1cc48098d4</t>
        </is>
      </c>
      <c r="DE180" s="24" t="inlineStr">
        <is>
          <t>/Users/vincentc9002/model-prediction/data/odds/tennis/2026-08-25/polymarket_snapshots.jsonl</t>
        </is>
      </c>
      <c r="DF180" s="24" t="inlineStr">
        <is>
          <t>515921:2026-08-25T06:23:08.118359Z</t>
        </is>
      </c>
      <c r="DG180" s="24" t="n"/>
      <c r="DH180" s="24" t="n"/>
      <c r="DI180" s="24" t="n"/>
      <c r="DJ180" s="24" t="inlineStr">
        <is>
          <t>0.460829</t>
        </is>
      </c>
      <c r="DK180" s="24" t="n"/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42135a9960c9481f</t>
        </is>
      </c>
      <c r="B181" s="24" t="inlineStr">
        <is>
          <t>2026-08-25T13:31:51.589728Z</t>
        </is>
      </c>
      <c r="C181" s="24" t="inlineStr">
        <is>
          <t>2026-08-25T18:00Z</t>
        </is>
      </c>
      <c r="D181" s="24" t="inlineStr">
        <is>
          <t>363-2026:182059</t>
        </is>
      </c>
      <c r="E181" s="24" t="inlineStr">
        <is>
          <t>TENNIS</t>
        </is>
      </c>
      <c r="F181" s="24" t="inlineStr">
        <is>
          <t>Quentin Halys</t>
        </is>
      </c>
      <c r="G181" s="24" t="inlineStr">
        <is>
          <t>Benjamin Bonzi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-163</v>
      </c>
      <c r="M181" s="27" t="n">
        <v>1.613497</v>
      </c>
      <c r="N181" s="28" t="n">
        <v>0.619772</v>
      </c>
      <c r="O181" s="28" t="n">
        <v>0.6105</v>
      </c>
      <c r="P181" s="28" t="n">
        <v>0.05</v>
      </c>
      <c r="Q181" s="28" t="n">
        <v>-0.009272000000000001</v>
      </c>
      <c r="R181" s="26" t="n">
        <v>15</v>
      </c>
      <c r="S181" s="29" t="n">
        <v>1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-163</v>
      </c>
      <c r="AA181" s="28" t="n">
        <v>0.62</v>
      </c>
      <c r="AB181" s="28" t="n">
        <v>0.000228</v>
      </c>
      <c r="AC181" s="30" t="n">
        <v>-1</v>
      </c>
      <c r="AD181" s="24" t="inlineStr">
        <is>
          <t>2026-08-26T12:33:01.688589Z</t>
        </is>
      </c>
      <c r="AE181" s="31" t="inlineStr">
        <is>
          <t>Surface-blended Elo on Hard: Quentin Halys p=0.611 vs Benjamin Bonzi. Executable ask 0.6200 (aec-atp-benbon-quehal-2026-08-25).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paper_call</t>
        </is>
      </c>
      <c r="AL181" s="26" t="n">
        <v>4</v>
      </c>
      <c r="AM181" s="24" t="inlineStr">
        <is>
          <t>RESEARCH_OBSERVATION</t>
        </is>
      </c>
      <c r="AN181" s="24" t="inlineStr">
        <is>
          <t>CALL</t>
        </is>
      </c>
      <c r="AO181" s="24" t="inlineStr">
        <is>
          <t>PAPER_CALL_LOW_EDGE</t>
        </is>
      </c>
      <c r="AP181" s="24" t="inlineStr">
        <is>
          <t>Quentin Halys</t>
        </is>
      </c>
      <c r="AQ181" s="24" t="inlineStr">
        <is>
          <t>Quentin Halys</t>
        </is>
      </c>
      <c r="AR181" s="24" t="inlineStr">
        <is>
          <t>Quentin Halys</t>
        </is>
      </c>
      <c r="AS181" s="24" t="inlineStr">
        <is>
          <t>Benjamin Bonzi</t>
        </is>
      </c>
      <c r="AT181" s="24" t="inlineStr">
        <is>
          <t>Benjamin Bonzi</t>
        </is>
      </c>
      <c r="AU181" s="24" t="inlineStr">
        <is>
          <t>Benjamin Bonzi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d777da58446bc099047b154203518e2585ef1a678f613f2b430f2589f7bf5cff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d777da58446bc099047b154203518e2585ef1a678f613f2b430f2589f7bf5cff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d777da58446bc099047b154203518e2585ef1a678f613f2b430f2589f7bf5cff</t>
        </is>
      </c>
      <c r="BH181" s="24" t="inlineStr">
        <is>
          <t>2026-08-25T12:32:39.412747Z</t>
        </is>
      </c>
      <c r="BI181" s="24" t="inlineStr">
        <is>
          <t>["same_event","same_team_same_day","same_league_same_day"]</t>
        </is>
      </c>
      <c r="BJ181" s="25" t="n"/>
      <c r="BK181" s="26" t="n">
        <v>-163</v>
      </c>
      <c r="BL181" s="27" t="n">
        <v>1.613497</v>
      </c>
      <c r="BM181" s="28" t="n">
        <v>0.619772</v>
      </c>
      <c r="BN181" s="28" t="n"/>
      <c r="BO181" s="28" t="n"/>
      <c r="BP181" s="25" t="n"/>
      <c r="BQ181" s="27" t="n">
        <v>1.613497</v>
      </c>
      <c r="BR181" s="28" t="n">
        <v>0.62</v>
      </c>
      <c r="BS181" s="28" t="n"/>
      <c r="BT181" s="28" t="n"/>
      <c r="BU181" s="25" t="n"/>
      <c r="BV181" s="29" t="n"/>
      <c r="BW181" s="24" t="n"/>
      <c r="BX181" s="30" t="n">
        <v>1</v>
      </c>
      <c r="BY181" s="27" t="n">
        <v>-1</v>
      </c>
      <c r="BZ181" s="24" t="inlineStr">
        <is>
          <t>2026-08-26T12:33:01.688589Z</t>
        </is>
      </c>
      <c r="CA181" s="31" t="inlineStr">
        <is>
          <t>fixed one-unit hypothetical scoring; no real exposure or execution</t>
        </is>
      </c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inlineStr">
        <is>
          <t>8344ae615c4cbaad7d5d192216572367246ec342ac388c5bf9270c99f708345f</t>
        </is>
      </c>
      <c r="DE181" s="24" t="inlineStr">
        <is>
          <t>/Users/vincentc9002/model-prediction/data/odds/tennis/2026-08-25/polymarket_snapshots.jsonl</t>
        </is>
      </c>
      <c r="DF181" s="24" t="inlineStr">
        <is>
          <t>513855:2026-08-25T12:32:39.412747Z</t>
        </is>
      </c>
      <c r="DG181" s="24" t="n"/>
      <c r="DH181" s="24" t="n"/>
      <c r="DI181" s="24" t="n"/>
      <c r="DJ181" s="24" t="inlineStr">
        <is>
          <t>0.619772</t>
        </is>
      </c>
      <c r="DK181" s="24" t="n"/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08ff25b187934dcd</t>
        </is>
      </c>
      <c r="B182" s="24" t="inlineStr">
        <is>
          <t>2026-08-25T13:31:51.589728Z</t>
        </is>
      </c>
      <c r="C182" s="24" t="inlineStr">
        <is>
          <t>2026-08-25T18:00Z</t>
        </is>
      </c>
      <c r="D182" s="24" t="inlineStr">
        <is>
          <t>363-2026:182054</t>
        </is>
      </c>
      <c r="E182" s="24" t="inlineStr">
        <is>
          <t>TENNIS</t>
        </is>
      </c>
      <c r="F182" s="24" t="inlineStr">
        <is>
          <t>Ignacio Buse</t>
        </is>
      </c>
      <c r="G182" s="24" t="inlineStr">
        <is>
          <t>Adam Walton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150</v>
      </c>
      <c r="M182" s="27" t="n">
        <v>2.5</v>
      </c>
      <c r="N182" s="28" t="n">
        <v>0.4</v>
      </c>
      <c r="O182" s="28" t="n">
        <v>0.523</v>
      </c>
      <c r="P182" s="28" t="n">
        <v>0.05</v>
      </c>
      <c r="Q182" s="28" t="n">
        <v>0.123</v>
      </c>
      <c r="R182" s="26" t="n">
        <v>82</v>
      </c>
      <c r="S182" s="29" t="n">
        <v>1.5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150</v>
      </c>
      <c r="AA182" s="28" t="n">
        <v>0.4</v>
      </c>
      <c r="AB182" s="28" t="n">
        <v>0</v>
      </c>
      <c r="AC182" s="30" t="n">
        <v>2.25</v>
      </c>
      <c r="AD182" s="24" t="inlineStr">
        <is>
          <t>2026-08-26T12:33:02.975801Z</t>
        </is>
      </c>
      <c r="AE182" s="31" t="inlineStr">
        <is>
          <t>Surface-blended Elo on Hard: Ignacio Buse p=0.523 vs Adam Walton. Executable ask 0.4000 (aec-atp-adawal-ignbus-2026-08-25).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Ignacio Buse</t>
        </is>
      </c>
      <c r="AQ182" s="24" t="inlineStr">
        <is>
          <t>Ignacio Buse</t>
        </is>
      </c>
      <c r="AR182" s="24" t="inlineStr">
        <is>
          <t>Ignacio Buse</t>
        </is>
      </c>
      <c r="AS182" s="24" t="inlineStr">
        <is>
          <t>Adam Walton</t>
        </is>
      </c>
      <c r="AT182" s="24" t="inlineStr">
        <is>
          <t>Adam Walton</t>
        </is>
      </c>
      <c r="AU182" s="24" t="inlineStr">
        <is>
          <t>Adam Walton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d777da58446bc099047b154203518e2585ef1a678f613f2b430f2589f7bf5cff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d777da58446bc099047b154203518e2585ef1a678f613f2b430f2589f7bf5cff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d777da58446bc099047b154203518e2585ef1a678f613f2b430f2589f7bf5cff</t>
        </is>
      </c>
      <c r="BH182" s="24" t="inlineStr">
        <is>
          <t>2026-08-25T13:29:46.423535Z</t>
        </is>
      </c>
      <c r="BI182" s="24" t="inlineStr">
        <is>
          <t>["same_event","same_team_same_day","same_league_same_day"]</t>
        </is>
      </c>
      <c r="BJ182" s="25" t="n"/>
      <c r="BK182" s="26" t="n">
        <v>150</v>
      </c>
      <c r="BL182" s="27" t="n">
        <v>2.5</v>
      </c>
      <c r="BM182" s="28" t="n">
        <v>0.4</v>
      </c>
      <c r="BN182" s="28" t="n"/>
      <c r="BO182" s="28" t="n"/>
      <c r="BP182" s="25" t="n"/>
      <c r="BQ182" s="27" t="n">
        <v>2.5</v>
      </c>
      <c r="BR182" s="28" t="n">
        <v>0.4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1.5</v>
      </c>
      <c r="BZ182" s="24" t="inlineStr">
        <is>
          <t>2026-08-26T12:33:02.975801Z</t>
        </is>
      </c>
      <c r="CA182" s="31" t="inlineStr">
        <is>
          <t>fixed one-unit hypothetical scoring; no real exposure or execution</t>
        </is>
      </c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inlineStr">
        <is>
          <t>2510eeb0b4ee4e88f0bf1cb51cecc3fac5397e42ecaf02b395d1be0f4db4d012</t>
        </is>
      </c>
      <c r="DE182" s="24" t="inlineStr">
        <is>
          <t>/Users/vincentc9002/model-prediction/data/odds/tennis/2026-08-25/polymarket_snapshots.jsonl</t>
        </is>
      </c>
      <c r="DF182" s="24" t="inlineStr">
        <is>
          <t>514497:2026-08-25T13:29:46.423535Z</t>
        </is>
      </c>
      <c r="DG182" s="24" t="n"/>
      <c r="DH182" s="24" t="n"/>
      <c r="DI182" s="24" t="n"/>
      <c r="DJ182" s="24" t="inlineStr">
        <is>
          <t>0.4</t>
        </is>
      </c>
      <c r="DK182" s="24" t="n"/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a8b4119a7bdf441b</t>
        </is>
      </c>
      <c r="B183" s="24" t="inlineStr">
        <is>
          <t>2026-08-25T13:31:51.589728Z</t>
        </is>
      </c>
      <c r="C183" s="24" t="inlineStr">
        <is>
          <t>2026-08-25T18:00Z</t>
        </is>
      </c>
      <c r="D183" s="24" t="inlineStr">
        <is>
          <t>363-2026:182057</t>
        </is>
      </c>
      <c r="E183" s="24" t="inlineStr">
        <is>
          <t>TENNIS</t>
        </is>
      </c>
      <c r="F183" s="24" t="inlineStr">
        <is>
          <t>Adolfo Daniel Vallejo</t>
        </is>
      </c>
      <c r="G183" s="24" t="inlineStr">
        <is>
          <t>Botic Van De Zandschulp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0.5491</v>
      </c>
      <c r="P183" s="28" t="n">
        <v>0.05</v>
      </c>
      <c r="Q183" s="28" t="n">
        <v>-0.041064</v>
      </c>
      <c r="R183" s="26" t="n">
        <v>0</v>
      </c>
      <c r="S183" s="29" t="n">
        <v>1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win</t>
        </is>
      </c>
      <c r="W183" s="26" t="n">
        <v>0</v>
      </c>
      <c r="X183" s="26" t="n">
        <v>1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0.6944</v>
      </c>
      <c r="AD183" s="24" t="inlineStr">
        <is>
          <t>2026-08-26T12:33:04.261443Z</t>
        </is>
      </c>
      <c r="AE183" s="31" t="inlineStr">
        <is>
          <t>Surface-blended Elo on Hard: Adolfo Daniel Vallejo p=0.451 vs Botic Van De Zandschulp. Executable ask 0.5900 (aec-atp-botzan-adoval-2026-08-25).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Adolfo Daniel Vallejo</t>
        </is>
      </c>
      <c r="AQ183" s="24" t="inlineStr">
        <is>
          <t>Adolfo Daniel Vallejo</t>
        </is>
      </c>
      <c r="AR183" s="24" t="inlineStr">
        <is>
          <t>Adolfo Daniel Vallejo</t>
        </is>
      </c>
      <c r="AS183" s="24" t="inlineStr">
        <is>
          <t>Botic Van De Zandschulp</t>
        </is>
      </c>
      <c r="AT183" s="24" t="inlineStr">
        <is>
          <t>Botic Van De Zandschulp</t>
        </is>
      </c>
      <c r="AU183" s="24" t="inlineStr">
        <is>
          <t>Botic Van De Zandschulp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d777da58446bc099047b154203518e2585ef1a678f613f2b430f2589f7bf5cff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d777da58446bc099047b154203518e2585ef1a678f613f2b430f2589f7bf5cff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d777da58446bc099047b154203518e2585ef1a678f613f2b430f2589f7bf5cff</t>
        </is>
      </c>
      <c r="BH183" s="24" t="inlineStr">
        <is>
          <t>2026-08-25T13:29:46.149817Z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0.694444</v>
      </c>
      <c r="BZ183" s="24" t="inlineStr">
        <is>
          <t>2026-08-26T12:33:04.261443Z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inlineStr">
        <is>
          <t>1435a5f3d26e42d738d10993598ccaab15e90fe624c573a8dfdbf7ec8c3cbf15</t>
        </is>
      </c>
      <c r="DE183" s="24" t="inlineStr">
        <is>
          <t>/Users/vincentc9002/model-prediction/data/odds/tennis/2026-08-25/polymarket_snapshots.jsonl</t>
        </is>
      </c>
      <c r="DF183" s="24" t="inlineStr">
        <is>
          <t>507287:2026-08-25T13:29:46.149817Z</t>
        </is>
      </c>
      <c r="DG183" s="24" t="n"/>
      <c r="DH183" s="24" t="n"/>
      <c r="DI183" s="24" t="n"/>
      <c r="DJ183" s="24" t="inlineStr">
        <is>
          <t>0.590164</t>
        </is>
      </c>
      <c r="DK183" s="24" t="n"/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03cdd4f55ba74be5</t>
        </is>
      </c>
      <c r="B184" s="24" t="inlineStr">
        <is>
          <t>2026-08-25T13:31:51.589728Z</t>
        </is>
      </c>
      <c r="C184" s="24" t="inlineStr">
        <is>
          <t>2026-08-25T18:00Z</t>
        </is>
      </c>
      <c r="D184" s="24" t="inlineStr">
        <is>
          <t>363-2026:182062</t>
        </is>
      </c>
      <c r="E184" s="24" t="inlineStr">
        <is>
          <t>TENNIS</t>
        </is>
      </c>
      <c r="F184" s="24" t="inlineStr">
        <is>
          <t>Luciano Darderi</t>
        </is>
      </c>
      <c r="G184" s="24" t="inlineStr">
        <is>
          <t>Mattia Bellucci</t>
        </is>
      </c>
      <c r="H184" s="24" t="inlineStr">
        <is>
          <t>moneyline</t>
        </is>
      </c>
      <c r="I184" s="24" t="inlineStr">
        <is>
          <t>away</t>
        </is>
      </c>
      <c r="J184" s="25" t="n"/>
      <c r="K184" s="24" t="inlineStr">
        <is>
          <t>polymarket_us</t>
        </is>
      </c>
      <c r="L184" s="26" t="n">
        <v>-122</v>
      </c>
      <c r="M184" s="27" t="n">
        <v>1.819672</v>
      </c>
      <c r="N184" s="28" t="n">
        <v>0.54955</v>
      </c>
      <c r="O184" s="28" t="n">
        <v>0.6261</v>
      </c>
      <c r="P184" s="28" t="n">
        <v>0.05</v>
      </c>
      <c r="Q184" s="28" t="n">
        <v>0.07655000000000001</v>
      </c>
      <c r="R184" s="26" t="n">
        <v>58</v>
      </c>
      <c r="S184" s="29" t="n">
        <v>1.25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win</t>
        </is>
      </c>
      <c r="W184" s="26" t="n">
        <v>1</v>
      </c>
      <c r="X184" s="26" t="n">
        <v>0</v>
      </c>
      <c r="Y184" s="25" t="n"/>
      <c r="Z184" s="26" t="n">
        <v>-122</v>
      </c>
      <c r="AA184" s="28" t="n">
        <v>0.55</v>
      </c>
      <c r="AB184" s="28" t="n">
        <v>0.00045</v>
      </c>
      <c r="AC184" s="30" t="n">
        <v>1.0246</v>
      </c>
      <c r="AD184" s="24" t="inlineStr">
        <is>
          <t>2026-08-26T12:33:05.549789Z</t>
        </is>
      </c>
      <c r="AE184" s="31" t="inlineStr">
        <is>
          <t>Surface-blended Elo on Hard: Luciano Darderi p=0.626 vs Mattia Bellucci. Executable ask 0.5500 (aec-atp-matbel-lucdar-2026-08-24).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Luciano Darderi</t>
        </is>
      </c>
      <c r="AQ184" s="24" t="inlineStr">
        <is>
          <t>Luciano Darderi</t>
        </is>
      </c>
      <c r="AR184" s="24" t="inlineStr">
        <is>
          <t>Luciano Darderi</t>
        </is>
      </c>
      <c r="AS184" s="24" t="inlineStr">
        <is>
          <t>Mattia Bellucci</t>
        </is>
      </c>
      <c r="AT184" s="24" t="inlineStr">
        <is>
          <t>Mattia Bellucci</t>
        </is>
      </c>
      <c r="AU184" s="24" t="inlineStr">
        <is>
          <t>Mattia Bellucci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d777da58446bc099047b154203518e2585ef1a678f613f2b430f2589f7bf5cff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d777da58446bc099047b154203518e2585ef1a678f613f2b430f2589f7bf5cff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d777da58446bc099047b154203518e2585ef1a678f613f2b430f2589f7bf5cff</t>
        </is>
      </c>
      <c r="BH184" s="24" t="inlineStr">
        <is>
          <t>2026-08-25T12:32:39.420086Z</t>
        </is>
      </c>
      <c r="BI184" s="24" t="inlineStr">
        <is>
          <t>["same_event","same_team_same_day","same_league_same_day"]</t>
        </is>
      </c>
      <c r="BJ184" s="25" t="n"/>
      <c r="BK184" s="26" t="n">
        <v>-122</v>
      </c>
      <c r="BL184" s="27" t="n">
        <v>1.819672</v>
      </c>
      <c r="BM184" s="28" t="n">
        <v>0.54955</v>
      </c>
      <c r="BN184" s="28" t="n"/>
      <c r="BO184" s="28" t="n"/>
      <c r="BP184" s="25" t="n"/>
      <c r="BQ184" s="27" t="n">
        <v>1.819672</v>
      </c>
      <c r="BR184" s="28" t="n">
        <v>0.55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inlineStr">
        <is>
          <t>b21d6b0f37e566a6030bd165bcceeecf2ccbb11d5f6574b9f13c029b91b7667e</t>
        </is>
      </c>
      <c r="DE184" s="24" t="inlineStr">
        <is>
          <t>/Users/vincentc9002/model-prediction/data/odds/tennis/2026-08-25/polymarket_snapshots.jsonl</t>
        </is>
      </c>
      <c r="DF184" s="24" t="inlineStr">
        <is>
          <t>506742:2026-08-25T12:32:39.420086Z</t>
        </is>
      </c>
      <c r="DG184" s="24" t="n"/>
      <c r="DH184" s="24" t="n"/>
      <c r="DI184" s="24" t="n"/>
      <c r="DJ184" s="24" t="inlineStr">
        <is>
          <t>0.54955</t>
        </is>
      </c>
      <c r="DK184" s="24" t="n"/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e289bbd033d0465e</t>
        </is>
      </c>
      <c r="B185" s="24" t="inlineStr">
        <is>
          <t>2026-08-25T13:31:51.589728Z</t>
        </is>
      </c>
      <c r="C185" s="24" t="inlineStr">
        <is>
          <t>2026-08-25T19:30Z</t>
        </is>
      </c>
      <c r="D185" s="24" t="inlineStr">
        <is>
          <t>363-2026:182052</t>
        </is>
      </c>
      <c r="E185" s="24" t="inlineStr">
        <is>
          <t>TENNIS</t>
        </is>
      </c>
      <c r="F185" s="24" t="inlineStr">
        <is>
          <t>Aleksandar Kovacevic</t>
        </is>
      </c>
      <c r="G185" s="24" t="inlineStr">
        <is>
          <t>Luca Van Assche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-144</v>
      </c>
      <c r="M185" s="27" t="n">
        <v>1.694444</v>
      </c>
      <c r="N185" s="28" t="n">
        <v>0.590164</v>
      </c>
      <c r="O185" s="28" t="n">
        <v>0.5216</v>
      </c>
      <c r="P185" s="28" t="n">
        <v>0.05</v>
      </c>
      <c r="Q185" s="28" t="n">
        <v>-0.068564</v>
      </c>
      <c r="R185" s="26" t="n">
        <v>0</v>
      </c>
      <c r="S185" s="29" t="n">
        <v>1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-144</v>
      </c>
      <c r="AA185" s="28" t="n">
        <v>0.59</v>
      </c>
      <c r="AB185" s="28" t="n">
        <v>-0.000164</v>
      </c>
      <c r="AC185" s="30" t="n">
        <v>-1</v>
      </c>
      <c r="AD185" s="24" t="inlineStr">
        <is>
          <t>2026-08-26T12:33:06.829471Z</t>
        </is>
      </c>
      <c r="AE185" s="31" t="inlineStr">
        <is>
          <t>Surface-blended Elo on Hard: Aleksandar Kovacevic p=0.478 vs Luca Van Assche. Executable ask 0.5900 (aec-atp-lucass-alekov-2026-08-25).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Aleksandar Kovacevic</t>
        </is>
      </c>
      <c r="AQ185" s="24" t="inlineStr">
        <is>
          <t>Aleksandar Kovacevic</t>
        </is>
      </c>
      <c r="AR185" s="24" t="inlineStr">
        <is>
          <t>Aleksandar Kovacevic</t>
        </is>
      </c>
      <c r="AS185" s="24" t="inlineStr">
        <is>
          <t>Luca Van Assche</t>
        </is>
      </c>
      <c r="AT185" s="24" t="inlineStr">
        <is>
          <t>Luca Van Assche</t>
        </is>
      </c>
      <c r="AU185" s="24" t="inlineStr">
        <is>
          <t>Luca Van Assche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d777da58446bc099047b154203518e2585ef1a678f613f2b430f2589f7bf5cff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d777da58446bc099047b154203518e2585ef1a678f613f2b430f2589f7bf5cff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d777da58446bc099047b154203518e2585ef1a678f613f2b430f2589f7bf5cff</t>
        </is>
      </c>
      <c r="BH185" s="24" t="inlineStr">
        <is>
          <t>2026-08-25T13:29:52.332103Z</t>
        </is>
      </c>
      <c r="BI185" s="24" t="inlineStr">
        <is>
          <t>["same_event","same_team_same_day","same_league_same_day"]</t>
        </is>
      </c>
      <c r="BJ185" s="25" t="n"/>
      <c r="BK185" s="26" t="n">
        <v>-144</v>
      </c>
      <c r="BL185" s="27" t="n">
        <v>1.694444</v>
      </c>
      <c r="BM185" s="28" t="n">
        <v>0.590164</v>
      </c>
      <c r="BN185" s="28" t="n"/>
      <c r="BO185" s="28" t="n"/>
      <c r="BP185" s="25" t="n"/>
      <c r="BQ185" s="27" t="n">
        <v>1.694444</v>
      </c>
      <c r="BR185" s="28" t="n">
        <v>0.59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2026-08-26T12:33:06.829471Z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inlineStr">
        <is>
          <t>33d2571fa9a642ae2b4f333737998904bef205eda221513b5ab4bfe365dd1ad6</t>
        </is>
      </c>
      <c r="DE185" s="24" t="inlineStr">
        <is>
          <t>/Users/vincentc9002/model-prediction/data/odds/tennis/2026-08-25/polymarket_snapshots.jsonl</t>
        </is>
      </c>
      <c r="DF185" s="24" t="inlineStr">
        <is>
          <t>516436:2026-08-25T13:29:52.332103Z</t>
        </is>
      </c>
      <c r="DG185" s="24" t="n"/>
      <c r="DH185" s="24" t="n"/>
      <c r="DI185" s="24" t="n"/>
      <c r="DJ185" s="24" t="inlineStr">
        <is>
          <t>0.590164</t>
        </is>
      </c>
      <c r="DK185" s="24" t="n"/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d6539cd232454eea</t>
        </is>
      </c>
      <c r="B186" s="24" t="inlineStr">
        <is>
          <t>2026-08-25T13:31:51.589728Z</t>
        </is>
      </c>
      <c r="C186" s="24" t="inlineStr">
        <is>
          <t>2026-08-25T19:30Z</t>
        </is>
      </c>
      <c r="D186" s="24" t="inlineStr">
        <is>
          <t>363-2026:182058</t>
        </is>
      </c>
      <c r="E186" s="24" t="inlineStr">
        <is>
          <t>TENNIS</t>
        </is>
      </c>
      <c r="F186" s="24" t="inlineStr">
        <is>
          <t>Rinky Hijikata</t>
        </is>
      </c>
      <c r="G186" s="24" t="inlineStr">
        <is>
          <t>Raphael Collignon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113</v>
      </c>
      <c r="M186" s="27" t="n">
        <v>2.13</v>
      </c>
      <c r="N186" s="28" t="n">
        <v>0.469484</v>
      </c>
      <c r="O186" s="28" t="n">
        <v>0.6328</v>
      </c>
      <c r="P186" s="28" t="n">
        <v>0.05</v>
      </c>
      <c r="Q186" s="28" t="n">
        <v>0.163316</v>
      </c>
      <c r="R186" s="26" t="n">
        <v>100</v>
      </c>
      <c r="S186" s="29" t="n">
        <v>1.75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113</v>
      </c>
      <c r="AA186" s="28" t="n">
        <v>0.47</v>
      </c>
      <c r="AB186" s="28" t="n">
        <v>0.000516</v>
      </c>
      <c r="AC186" s="30" t="n">
        <v>1.9775</v>
      </c>
      <c r="AD186" s="24" t="inlineStr">
        <is>
          <t>2026-08-26T12:33:08.115316Z</t>
        </is>
      </c>
      <c r="AE186" s="31" t="inlineStr">
        <is>
          <t>Surface-blended Elo on Hard: Rinky Hijikata p=0.633 vs Raphael Collignon. Executable ask 0.4700 (aec-atp-rapcol-rinhij-2026-08-25).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Rinky Hijikata</t>
        </is>
      </c>
      <c r="AQ186" s="24" t="inlineStr">
        <is>
          <t>Rinky Hijikata</t>
        </is>
      </c>
      <c r="AR186" s="24" t="inlineStr">
        <is>
          <t>Rinky Hijikata</t>
        </is>
      </c>
      <c r="AS186" s="24" t="inlineStr">
        <is>
          <t>Raphael Collignon</t>
        </is>
      </c>
      <c r="AT186" s="24" t="inlineStr">
        <is>
          <t>Raphael Collignon</t>
        </is>
      </c>
      <c r="AU186" s="24" t="inlineStr">
        <is>
          <t>Raphael Collignon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d777da58446bc099047b154203518e2585ef1a678f613f2b430f2589f7bf5cff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d777da58446bc099047b154203518e2585ef1a678f613f2b430f2589f7bf5cff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d777da58446bc099047b154203518e2585ef1a678f613f2b430f2589f7bf5cff</t>
        </is>
      </c>
      <c r="BH186" s="24" t="inlineStr">
        <is>
          <t>2026-08-25T13:29:52.663762Z</t>
        </is>
      </c>
      <c r="BI186" s="24" t="inlineStr">
        <is>
          <t>["same_event","same_team_same_day","same_league_same_day"]</t>
        </is>
      </c>
      <c r="BJ186" s="25" t="n"/>
      <c r="BK186" s="26" t="n">
        <v>113</v>
      </c>
      <c r="BL186" s="27" t="n">
        <v>2.13</v>
      </c>
      <c r="BM186" s="28" t="n">
        <v>0.469484</v>
      </c>
      <c r="BN186" s="28" t="n"/>
      <c r="BO186" s="28" t="n"/>
      <c r="BP186" s="25" t="n"/>
      <c r="BQ186" s="27" t="n">
        <v>2.13</v>
      </c>
      <c r="BR186" s="28" t="n">
        <v>0.47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inlineStr">
        <is>
          <t>481284de9c54f9c03430ffbc73d10e8e2bf2fe9fecd6911a068d192125b14701</t>
        </is>
      </c>
      <c r="DE186" s="24" t="inlineStr">
        <is>
          <t>/Users/vincentc9002/model-prediction/data/odds/tennis/2026-08-25/polymarket_snapshots.jsonl</t>
        </is>
      </c>
      <c r="DF186" s="24" t="inlineStr">
        <is>
          <t>508207:2026-08-25T13:29:52.663762Z</t>
        </is>
      </c>
      <c r="DG186" s="24" t="n"/>
      <c r="DH186" s="24" t="n"/>
      <c r="DI186" s="24" t="n"/>
      <c r="DJ186" s="24" t="inlineStr">
        <is>
          <t>0.469484</t>
        </is>
      </c>
      <c r="DK186" s="24" t="n"/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20d873f911884893</t>
        </is>
      </c>
      <c r="B187" s="24" t="inlineStr">
        <is>
          <t>2026-08-25T13:31:51.589728Z</t>
        </is>
      </c>
      <c r="C187" s="24" t="inlineStr">
        <is>
          <t>2026-08-25T19:30Z</t>
        </is>
      </c>
      <c r="D187" s="24" t="inlineStr">
        <is>
          <t>363-2026:182049</t>
        </is>
      </c>
      <c r="E187" s="24" t="inlineStr">
        <is>
          <t>TENNIS</t>
        </is>
      </c>
      <c r="F187" s="24" t="inlineStr">
        <is>
          <t>Dhakshineswar Suresh</t>
        </is>
      </c>
      <c r="G187" s="24" t="inlineStr">
        <is>
          <t>Juan Manuel Cerundolo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-245</v>
      </c>
      <c r="M187" s="27" t="n">
        <v>1.408163</v>
      </c>
      <c r="N187" s="28" t="n">
        <v>0.710145</v>
      </c>
      <c r="O187" s="28" t="n">
        <v>0.5209</v>
      </c>
      <c r="P187" s="28" t="n">
        <v>0.05</v>
      </c>
      <c r="Q187" s="28" t="n">
        <v>-0.189245</v>
      </c>
      <c r="R187" s="26" t="n">
        <v>0</v>
      </c>
      <c r="S187" s="29" t="n">
        <v>1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-245</v>
      </c>
      <c r="AA187" s="28" t="n">
        <v>0.71</v>
      </c>
      <c r="AB187" s="28" t="n">
        <v>-0.000145</v>
      </c>
      <c r="AC187" s="30" t="n">
        <v>0.4082</v>
      </c>
      <c r="AD187" s="24" t="inlineStr">
        <is>
          <t>2026-08-26T12:33:09.406781Z</t>
        </is>
      </c>
      <c r="AE187" s="31" t="inlineStr">
        <is>
          <t>Surface-blended Elo on Hard: Dhakshineswar Suresh p=0.479 vs Juan Manuel Cerundolo. Executable ask 0.7100 (aec-atp-juacer-dhasur-2026-08-25).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PAPER_CALL_MODEL_UNVALIDATED</t>
        </is>
      </c>
      <c r="AP187" s="24" t="inlineStr">
        <is>
          <t>Dhakshineswar Suresh</t>
        </is>
      </c>
      <c r="AQ187" s="24" t="inlineStr">
        <is>
          <t>Dhakshineswar Suresh</t>
        </is>
      </c>
      <c r="AR187" s="24" t="inlineStr">
        <is>
          <t>Dhakshineswar Suresh</t>
        </is>
      </c>
      <c r="AS187" s="24" t="inlineStr">
        <is>
          <t>Juan Manuel Cerundolo</t>
        </is>
      </c>
      <c r="AT187" s="24" t="inlineStr">
        <is>
          <t>Juan Manuel Cerundolo</t>
        </is>
      </c>
      <c r="AU187" s="24" t="inlineStr">
        <is>
          <t>Juan Manuel Cerundolo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d777da58446bc099047b154203518e2585ef1a678f613f2b430f2589f7bf5cff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d777da58446bc099047b154203518e2585ef1a678f613f2b430f2589f7bf5cff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d777da58446bc099047b154203518e2585ef1a678f613f2b430f2589f7bf5cff</t>
        </is>
      </c>
      <c r="BH187" s="24" t="inlineStr">
        <is>
          <t>2026-08-25T13:29:52.771616Z</t>
        </is>
      </c>
      <c r="BI187" s="24" t="inlineStr">
        <is>
          <t>["same_event","same_team_same_day","same_league_same_day"]</t>
        </is>
      </c>
      <c r="BJ187" s="25" t="n"/>
      <c r="BK187" s="26" t="n">
        <v>-245</v>
      </c>
      <c r="BL187" s="27" t="n">
        <v>1.408163</v>
      </c>
      <c r="BM187" s="28" t="n">
        <v>0.710145</v>
      </c>
      <c r="BN187" s="28" t="n"/>
      <c r="BO187" s="28" t="n"/>
      <c r="BP187" s="25" t="n"/>
      <c r="BQ187" s="27" t="n">
        <v>1.408163</v>
      </c>
      <c r="BR187" s="28" t="n">
        <v>0.71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0.408163</v>
      </c>
      <c r="BZ187" s="24" t="inlineStr">
        <is>
          <t>2026-08-26T12:33:09.406781Z</t>
        </is>
      </c>
      <c r="CA187" s="31" t="inlineStr">
        <is>
          <t>fixed one-unit hypothetical scoring; no real exposure or execution</t>
        </is>
      </c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inlineStr">
        <is>
          <t>daee0c9de55542bcd6c915f13868312c28147379e502ac645db10a1ef78dd51e</t>
        </is>
      </c>
      <c r="DE187" s="24" t="inlineStr">
        <is>
          <t>/Users/vincentc9002/model-prediction/data/odds/tennis/2026-08-25/polymarket_snapshots.jsonl</t>
        </is>
      </c>
      <c r="DF187" s="24" t="inlineStr">
        <is>
          <t>513447:2026-08-25T13:29:52.771616Z</t>
        </is>
      </c>
      <c r="DG187" s="24" t="n"/>
      <c r="DH187" s="24" t="n"/>
      <c r="DI187" s="24" t="n"/>
      <c r="DJ187" s="24" t="inlineStr">
        <is>
          <t>0.710145</t>
        </is>
      </c>
      <c r="DK187" s="24" t="n"/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aa9cc619eac0478b</t>
        </is>
      </c>
      <c r="B188" s="24" t="inlineStr">
        <is>
          <t>2026-08-25T13:31:51.589728Z</t>
        </is>
      </c>
      <c r="C188" s="24" t="inlineStr">
        <is>
          <t>2026-08-25T20:00Z</t>
        </is>
      </c>
      <c r="D188" s="24" t="inlineStr">
        <is>
          <t>363-2026:182042</t>
        </is>
      </c>
      <c r="E188" s="24" t="inlineStr">
        <is>
          <t>TENNIS</t>
        </is>
      </c>
      <c r="F188" s="24" t="inlineStr">
        <is>
          <t>Cruz Hewitt</t>
        </is>
      </c>
      <c r="G188" s="24" t="inlineStr">
        <is>
          <t>Arthur Fery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-488</v>
      </c>
      <c r="M188" s="27" t="n">
        <v>1.204918</v>
      </c>
      <c r="N188" s="28" t="n">
        <v>0.829932</v>
      </c>
      <c r="O188" s="28" t="n">
        <v>0.6318</v>
      </c>
      <c r="P188" s="28" t="n">
        <v>0.05</v>
      </c>
      <c r="Q188" s="28" t="n">
        <v>-0.198132</v>
      </c>
      <c r="R188" s="26" t="n">
        <v>0</v>
      </c>
      <c r="S188" s="29" t="n">
        <v>1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-488</v>
      </c>
      <c r="AA188" s="28" t="n">
        <v>0.83</v>
      </c>
      <c r="AB188" s="28" t="n">
        <v>6.8e-05</v>
      </c>
      <c r="AC188" s="30" t="n">
        <v>0.2049</v>
      </c>
      <c r="AD188" s="24" t="inlineStr">
        <is>
          <t>2026-08-26T12:33:10.705227Z</t>
        </is>
      </c>
      <c r="AE188" s="31" t="inlineStr">
        <is>
          <t>Surface-blended Elo on Hard: Cruz Hewitt p=0.368 vs Arthur Fery. Executable ask 0.8300 (aec-atp-artfer-cruhew-2026-08-25).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PAPER_CALL_MODEL_UNVALIDATED</t>
        </is>
      </c>
      <c r="AP188" s="24" t="inlineStr">
        <is>
          <t>Cruz Hewitt</t>
        </is>
      </c>
      <c r="AQ188" s="24" t="inlineStr">
        <is>
          <t>Cruz Hewitt</t>
        </is>
      </c>
      <c r="AR188" s="24" t="inlineStr">
        <is>
          <t>Cruz Hewitt</t>
        </is>
      </c>
      <c r="AS188" s="24" t="inlineStr">
        <is>
          <t>Arthur Fery</t>
        </is>
      </c>
      <c r="AT188" s="24" t="inlineStr">
        <is>
          <t>Arthur Fery</t>
        </is>
      </c>
      <c r="AU188" s="24" t="inlineStr">
        <is>
          <t>Arthur Fery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d777da58446bc099047b154203518e2585ef1a678f613f2b430f2589f7bf5cff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d777da58446bc099047b154203518e2585ef1a678f613f2b430f2589f7bf5cff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d777da58446bc099047b154203518e2585ef1a678f613f2b430f2589f7bf5cff</t>
        </is>
      </c>
      <c r="BH188" s="24" t="inlineStr">
        <is>
          <t>2026-08-25T13:29:53.388598Z</t>
        </is>
      </c>
      <c r="BI188" s="24" t="inlineStr">
        <is>
          <t>["same_event","same_team_same_day","same_league_same_day"]</t>
        </is>
      </c>
      <c r="BJ188" s="25" t="n"/>
      <c r="BK188" s="26" t="n">
        <v>-488</v>
      </c>
      <c r="BL188" s="27" t="n">
        <v>1.204918</v>
      </c>
      <c r="BM188" s="28" t="n">
        <v>0.829932</v>
      </c>
      <c r="BN188" s="28" t="n"/>
      <c r="BO188" s="28" t="n"/>
      <c r="BP188" s="25" t="n"/>
      <c r="BQ188" s="27" t="n">
        <v>1.204918</v>
      </c>
      <c r="BR188" s="28" t="n">
        <v>0.83</v>
      </c>
      <c r="BS188" s="28" t="n"/>
      <c r="BT188" s="28" t="n"/>
      <c r="BU188" s="25" t="n"/>
      <c r="BV188" s="29" t="n"/>
      <c r="BW188" s="24" t="n"/>
      <c r="BX188" s="30" t="n">
        <v>1</v>
      </c>
      <c r="BY188" s="27" t="n">
        <v>0.204918</v>
      </c>
      <c r="BZ188" s="24" t="inlineStr">
        <is>
          <t>2026-08-26T12:33:10.705227Z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inlineStr">
        <is>
          <t>7f76c149014eaf480ccc147357d235e0dd9ac0bfec20236c6de7e055e2418062</t>
        </is>
      </c>
      <c r="DE188" s="24" t="inlineStr">
        <is>
          <t>/Users/vincentc9002/model-prediction/data/odds/tennis/2026-08-25/polymarket_snapshots.jsonl</t>
        </is>
      </c>
      <c r="DF188" s="24" t="inlineStr">
        <is>
          <t>514503:2026-08-25T13:29:53.388598Z</t>
        </is>
      </c>
      <c r="DG188" s="24" t="n"/>
      <c r="DH188" s="24" t="n"/>
      <c r="DI188" s="24" t="n"/>
      <c r="DJ188" s="24" t="inlineStr">
        <is>
          <t>0.829932</t>
        </is>
      </c>
      <c r="DK188" s="24" t="n"/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bca7e4b4be4d48cb</t>
        </is>
      </c>
      <c r="B189" s="24" t="inlineStr">
        <is>
          <t>2026-08-25T13:31:51.589728Z</t>
        </is>
      </c>
      <c r="C189" s="24" t="inlineStr">
        <is>
          <t>2026-08-25T21:00Z</t>
        </is>
      </c>
      <c r="D189" s="24" t="inlineStr">
        <is>
          <t>363-2026:182050</t>
        </is>
      </c>
      <c r="E189" s="24" t="inlineStr">
        <is>
          <t>TENNIS</t>
        </is>
      </c>
      <c r="F189" s="24" t="inlineStr">
        <is>
          <t>Tomas Machac</t>
        </is>
      </c>
      <c r="G189" s="24" t="inlineStr">
        <is>
          <t>Mees Rottgering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-223</v>
      </c>
      <c r="M189" s="27" t="n">
        <v>1.44843</v>
      </c>
      <c r="N189" s="28" t="n">
        <v>0.690402</v>
      </c>
      <c r="O189" s="28" t="n">
        <v>0.6288</v>
      </c>
      <c r="P189" s="28" t="n">
        <v>0.05</v>
      </c>
      <c r="Q189" s="28" t="n">
        <v>-0.061602</v>
      </c>
      <c r="R189" s="26" t="n">
        <v>0</v>
      </c>
      <c r="S189" s="29" t="n">
        <v>1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loss</t>
        </is>
      </c>
      <c r="W189" s="26" t="n">
        <v>0</v>
      </c>
      <c r="X189" s="26" t="n">
        <v>1</v>
      </c>
      <c r="Y189" s="25" t="n"/>
      <c r="Z189" s="26" t="n">
        <v>-223</v>
      </c>
      <c r="AA189" s="28" t="n">
        <v>0.6899999999999999</v>
      </c>
      <c r="AB189" s="28" t="n">
        <v>-0.000402</v>
      </c>
      <c r="AC189" s="30" t="n">
        <v>-1</v>
      </c>
      <c r="AD189" s="24" t="inlineStr">
        <is>
          <t>2026-08-26T12:33:11.991863Z</t>
        </is>
      </c>
      <c r="AE189" s="31" t="inlineStr">
        <is>
          <t>Surface-blended Elo on Hard: Tomas Machac p=0.629 vs Mees Rottgering. Executable ask 0.6900 (aec-atp-meerot-tommac-2026-08-25).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Tomas Machac</t>
        </is>
      </c>
      <c r="AQ189" s="24" t="inlineStr">
        <is>
          <t>Tomas Machac</t>
        </is>
      </c>
      <c r="AR189" s="24" t="inlineStr">
        <is>
          <t>Tomas Machac</t>
        </is>
      </c>
      <c r="AS189" s="24" t="inlineStr">
        <is>
          <t>Mees Rottgering</t>
        </is>
      </c>
      <c r="AT189" s="24" t="inlineStr">
        <is>
          <t>Mees Rottgering</t>
        </is>
      </c>
      <c r="AU189" s="24" t="inlineStr">
        <is>
          <t>Mees Rottgering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d777da58446bc099047b154203518e2585ef1a678f613f2b430f2589f7bf5cff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d777da58446bc099047b154203518e2585ef1a678f613f2b430f2589f7bf5cff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d777da58446bc099047b154203518e2585ef1a678f613f2b430f2589f7bf5cff</t>
        </is>
      </c>
      <c r="BH189" s="24" t="inlineStr">
        <is>
          <t>2026-08-25T13:29:53.820666Z</t>
        </is>
      </c>
      <c r="BI189" s="24" t="inlineStr">
        <is>
          <t>["same_event","same_team_same_day","same_league_same_day"]</t>
        </is>
      </c>
      <c r="BJ189" s="25" t="n"/>
      <c r="BK189" s="26" t="n">
        <v>-223</v>
      </c>
      <c r="BL189" s="27" t="n">
        <v>1.44843</v>
      </c>
      <c r="BM189" s="28" t="n">
        <v>0.690402</v>
      </c>
      <c r="BN189" s="28" t="n"/>
      <c r="BO189" s="28" t="n"/>
      <c r="BP189" s="25" t="n"/>
      <c r="BQ189" s="27" t="n">
        <v>1.44843</v>
      </c>
      <c r="BR189" s="28" t="n">
        <v>0.6899999999999999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inlineStr">
        <is>
          <t>2026-08-26T12:33:11.991863Z</t>
        </is>
      </c>
      <c r="CA189" s="31" t="inlineStr">
        <is>
          <t>fixed one-unit hypothetical scoring; no real exposure or execution</t>
        </is>
      </c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inlineStr">
        <is>
          <t>b3d9ee01a96acd4c2d0df473126fb7cbe3959c210bc7890fa28b74474c404ce2</t>
        </is>
      </c>
      <c r="DE189" s="24" t="inlineStr">
        <is>
          <t>/Users/vincentc9002/model-prediction/data/odds/tennis/2026-08-25/polymarket_snapshots.jsonl</t>
        </is>
      </c>
      <c r="DF189" s="24" t="inlineStr">
        <is>
          <t>515893:2026-08-25T13:29:53.820666Z</t>
        </is>
      </c>
      <c r="DG189" s="24" t="n"/>
      <c r="DH189" s="24" t="n"/>
      <c r="DI189" s="24" t="n"/>
      <c r="DJ189" s="24" t="inlineStr">
        <is>
          <t>0.690402</t>
        </is>
      </c>
      <c r="DK189" s="24" t="n"/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6b12d9d2fe2e466a</t>
        </is>
      </c>
      <c r="B190" s="24" t="inlineStr">
        <is>
          <t>2026-08-25T13:31:51.589728Z</t>
        </is>
      </c>
      <c r="C190" s="24" t="inlineStr">
        <is>
          <t>2026-08-25T21:00Z</t>
        </is>
      </c>
      <c r="D190" s="24" t="inlineStr">
        <is>
          <t>363-2026:182055</t>
        </is>
      </c>
      <c r="E190" s="24" t="inlineStr">
        <is>
          <t>TENNIS</t>
        </is>
      </c>
      <c r="F190" s="24" t="inlineStr">
        <is>
          <t>Sebastian Baez</t>
        </is>
      </c>
      <c r="G190" s="24" t="inlineStr">
        <is>
          <t>Hugo Grenier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-400</v>
      </c>
      <c r="M190" s="27" t="n">
        <v>1.25</v>
      </c>
      <c r="N190" s="28" t="n">
        <v>0.8</v>
      </c>
      <c r="O190" s="28" t="n">
        <v>0.5618</v>
      </c>
      <c r="P190" s="28" t="n">
        <v>0.05</v>
      </c>
      <c r="Q190" s="28" t="n">
        <v>-0.2382</v>
      </c>
      <c r="R190" s="26" t="n">
        <v>0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1</v>
      </c>
      <c r="X190" s="26" t="n">
        <v>0</v>
      </c>
      <c r="Y190" s="25" t="n"/>
      <c r="Z190" s="26" t="n">
        <v>-400</v>
      </c>
      <c r="AA190" s="28" t="n">
        <v>0.8</v>
      </c>
      <c r="AB190" s="28" t="n">
        <v>0</v>
      </c>
      <c r="AC190" s="30" t="n">
        <v>0.25</v>
      </c>
      <c r="AD190" s="24" t="inlineStr">
        <is>
          <t>2026-08-26T12:33:13.272841Z</t>
        </is>
      </c>
      <c r="AE190" s="31" t="inlineStr">
        <is>
          <t>Surface-blended Elo on Hard: Sebastian Baez p=0.562 vs Hugo Grenier. Executable ask 0.8000 (aec-atp-huggre-sebbae-2026-08-25).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Sebastian Baez</t>
        </is>
      </c>
      <c r="AQ190" s="24" t="inlineStr">
        <is>
          <t>Sebastian Baez</t>
        </is>
      </c>
      <c r="AR190" s="24" t="inlineStr">
        <is>
          <t>Sebastian Baez</t>
        </is>
      </c>
      <c r="AS190" s="24" t="inlineStr">
        <is>
          <t>Hugo Grenier</t>
        </is>
      </c>
      <c r="AT190" s="24" t="inlineStr">
        <is>
          <t>Hugo Grenier</t>
        </is>
      </c>
      <c r="AU190" s="24" t="inlineStr">
        <is>
          <t>Hugo Grenier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d777da58446bc099047b154203518e2585ef1a678f613f2b430f2589f7bf5cff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d777da58446bc099047b154203518e2585ef1a678f613f2b430f2589f7bf5cff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d777da58446bc099047b154203518e2585ef1a678f613f2b430f2589f7bf5cff</t>
        </is>
      </c>
      <c r="BH190" s="24" t="inlineStr">
        <is>
          <t>2026-08-25T13:29:53.749321Z</t>
        </is>
      </c>
      <c r="BI190" s="24" t="inlineStr">
        <is>
          <t>["same_event","same_team_same_day","same_league_same_day"]</t>
        </is>
      </c>
      <c r="BJ190" s="25" t="n"/>
      <c r="BK190" s="26" t="n">
        <v>-400</v>
      </c>
      <c r="BL190" s="27" t="n">
        <v>1.25</v>
      </c>
      <c r="BM190" s="28" t="n">
        <v>0.8</v>
      </c>
      <c r="BN190" s="28" t="n"/>
      <c r="BO190" s="28" t="n"/>
      <c r="BP190" s="25" t="n"/>
      <c r="BQ190" s="27" t="n">
        <v>1.25</v>
      </c>
      <c r="BR190" s="28" t="n">
        <v>0.8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0.25</v>
      </c>
      <c r="BZ190" s="24" t="inlineStr">
        <is>
          <t>2026-08-26T12:33:13.272841Z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inlineStr">
        <is>
          <t>27a5c94c69b2a52d476f4d7fad132ccf231a589719317156594b7f87117cd018</t>
        </is>
      </c>
      <c r="DE190" s="24" t="inlineStr">
        <is>
          <t>/Users/vincentc9002/model-prediction/data/odds/tennis/2026-08-25/polymarket_snapshots.jsonl</t>
        </is>
      </c>
      <c r="DF190" s="24" t="inlineStr">
        <is>
          <t>516405:2026-08-25T13:29:53.749321Z</t>
        </is>
      </c>
      <c r="DG190" s="24" t="n"/>
      <c r="DH190" s="24" t="n"/>
      <c r="DI190" s="24" t="n"/>
      <c r="DJ190" s="24" t="inlineStr">
        <is>
          <t>0.8</t>
        </is>
      </c>
      <c r="DK190" s="24" t="n"/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6c6a813e5baa4a43</t>
        </is>
      </c>
      <c r="B191" s="24" t="inlineStr">
        <is>
          <t>2026-08-25T13:31:51.589728Z</t>
        </is>
      </c>
      <c r="C191" s="24" t="inlineStr">
        <is>
          <t>2026-08-25T21:00Z</t>
        </is>
      </c>
      <c r="D191" s="24" t="inlineStr">
        <is>
          <t>363-2026:182040</t>
        </is>
      </c>
      <c r="E191" s="24" t="inlineStr">
        <is>
          <t>TENNIS</t>
        </is>
      </c>
      <c r="F191" s="24" t="inlineStr">
        <is>
          <t>Mariano Navone</t>
        </is>
      </c>
      <c r="G191" s="24" t="inlineStr">
        <is>
          <t>James Duckworth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-144</v>
      </c>
      <c r="M191" s="27" t="n">
        <v>1.694444</v>
      </c>
      <c r="N191" s="28" t="n">
        <v>0.590164</v>
      </c>
      <c r="O191" s="28" t="n">
        <v>0.6075</v>
      </c>
      <c r="P191" s="28" t="n">
        <v>0.05</v>
      </c>
      <c r="Q191" s="28" t="n">
        <v>0.017336</v>
      </c>
      <c r="R191" s="26" t="n">
        <v>29</v>
      </c>
      <c r="S191" s="29" t="n">
        <v>1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loss</t>
        </is>
      </c>
      <c r="W191" s="26" t="n">
        <v>0</v>
      </c>
      <c r="X191" s="26" t="n">
        <v>1</v>
      </c>
      <c r="Y191" s="25" t="n"/>
      <c r="Z191" s="26" t="n">
        <v>-144</v>
      </c>
      <c r="AA191" s="28" t="n">
        <v>0.59</v>
      </c>
      <c r="AB191" s="28" t="n">
        <v>-0.000164</v>
      </c>
      <c r="AC191" s="30" t="n">
        <v>-1</v>
      </c>
      <c r="AD191" s="24" t="inlineStr">
        <is>
          <t>2026-08-26T12:33:14.561840Z</t>
        </is>
      </c>
      <c r="AE191" s="31" t="inlineStr">
        <is>
          <t>Surface-blended Elo on Hard: Mariano Navone p=0.608 vs James Duckworth. Executable ask 0.5900 (aec-atp-jamduc-marnav-2026-08-25).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Mariano Navone</t>
        </is>
      </c>
      <c r="AQ191" s="24" t="inlineStr">
        <is>
          <t>Mariano Navone</t>
        </is>
      </c>
      <c r="AR191" s="24" t="inlineStr">
        <is>
          <t>Mariano Navone</t>
        </is>
      </c>
      <c r="AS191" s="24" t="inlineStr">
        <is>
          <t>James Duckworth</t>
        </is>
      </c>
      <c r="AT191" s="24" t="inlineStr">
        <is>
          <t>James Duckworth</t>
        </is>
      </c>
      <c r="AU191" s="24" t="inlineStr">
        <is>
          <t>James Duckworth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d777da58446bc099047b154203518e2585ef1a678f613f2b430f2589f7bf5cff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d777da58446bc099047b154203518e2585ef1a678f613f2b430f2589f7bf5cff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d777da58446bc099047b154203518e2585ef1a678f613f2b430f2589f7bf5cff</t>
        </is>
      </c>
      <c r="BH191" s="24" t="inlineStr">
        <is>
          <t>2026-08-25T13:29:53.810683Z</t>
        </is>
      </c>
      <c r="BI191" s="24" t="inlineStr">
        <is>
          <t>["same_event","same_team_same_day","same_league_same_day"]</t>
        </is>
      </c>
      <c r="BJ191" s="25" t="n"/>
      <c r="BK191" s="26" t="n">
        <v>-144</v>
      </c>
      <c r="BL191" s="27" t="n">
        <v>1.694444</v>
      </c>
      <c r="BM191" s="28" t="n">
        <v>0.590164</v>
      </c>
      <c r="BN191" s="28" t="n"/>
      <c r="BO191" s="28" t="n"/>
      <c r="BP191" s="25" t="n"/>
      <c r="BQ191" s="27" t="n">
        <v>1.694444</v>
      </c>
      <c r="BR191" s="28" t="n">
        <v>0.59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inlineStr">
        <is>
          <t>2026-08-26T12:33:14.561840Z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inlineStr">
        <is>
          <t>18de6ecff2e7ebd799dc1b2e553c0212c0375e1773627217f311c06dc70c15ef</t>
        </is>
      </c>
      <c r="DE191" s="24" t="inlineStr">
        <is>
          <t>/Users/vincentc9002/model-prediction/data/odds/tennis/2026-08-25/polymarket_snapshots.jsonl</t>
        </is>
      </c>
      <c r="DF191" s="24" t="inlineStr">
        <is>
          <t>513448:2026-08-25T13:29:53.810683Z</t>
        </is>
      </c>
      <c r="DG191" s="24" t="n"/>
      <c r="DH191" s="24" t="n"/>
      <c r="DI191" s="24" t="n"/>
      <c r="DJ191" s="24" t="inlineStr">
        <is>
          <t>0.590164</t>
        </is>
      </c>
      <c r="DK191" s="24" t="n"/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e6ada863ffe945e1</t>
        </is>
      </c>
      <c r="B192" s="24" t="inlineStr">
        <is>
          <t>2026-08-25T13:31:51.589728Z</t>
        </is>
      </c>
      <c r="C192" s="24" t="inlineStr">
        <is>
          <t>2026-08-25T22:30Z</t>
        </is>
      </c>
      <c r="D192" s="24" t="inlineStr">
        <is>
          <t>363-2026:182036</t>
        </is>
      </c>
      <c r="E192" s="24" t="inlineStr">
        <is>
          <t>TENNIS</t>
        </is>
      </c>
      <c r="F192" s="24" t="inlineStr">
        <is>
          <t>Martin Damm</t>
        </is>
      </c>
      <c r="G192" s="24" t="inlineStr">
        <is>
          <t>Daniil Medvedev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-335</v>
      </c>
      <c r="M192" s="27" t="n">
        <v>1.298507</v>
      </c>
      <c r="N192" s="28" t="n">
        <v>0.770115</v>
      </c>
      <c r="O192" s="28" t="n">
        <v>0.7411</v>
      </c>
      <c r="P192" s="28" t="n">
        <v>0.05</v>
      </c>
      <c r="Q192" s="28" t="n">
        <v>-0.029015</v>
      </c>
      <c r="R192" s="26" t="n">
        <v>5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1</v>
      </c>
      <c r="X192" s="26" t="n">
        <v>0</v>
      </c>
      <c r="Y192" s="25" t="n"/>
      <c r="Z192" s="26" t="n">
        <v>-335</v>
      </c>
      <c r="AA192" s="28" t="n">
        <v>0.77</v>
      </c>
      <c r="AB192" s="28" t="n">
        <v>-0.000115</v>
      </c>
      <c r="AC192" s="30" t="n">
        <v>-1</v>
      </c>
      <c r="AD192" s="24" t="inlineStr">
        <is>
          <t>2026-08-26T12:33:15.849086Z</t>
        </is>
      </c>
      <c r="AE192" s="31" t="inlineStr">
        <is>
          <t>Surface-blended Elo on Hard: Martin Damm p=0.259 vs Daniil Medvedev. Executable ask 0.7700 (aec-atp-danmed-mardam-2026-08-25).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Martin Damm</t>
        </is>
      </c>
      <c r="AQ192" s="24" t="inlineStr">
        <is>
          <t>Martin Damm</t>
        </is>
      </c>
      <c r="AR192" s="24" t="inlineStr">
        <is>
          <t>Martin Damm</t>
        </is>
      </c>
      <c r="AS192" s="24" t="inlineStr">
        <is>
          <t>Daniil Medvedev</t>
        </is>
      </c>
      <c r="AT192" s="24" t="inlineStr">
        <is>
          <t>Daniil Medvedev</t>
        </is>
      </c>
      <c r="AU192" s="24" t="inlineStr">
        <is>
          <t>Daniil Medvedev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d777da58446bc099047b154203518e2585ef1a678f613f2b430f2589f7bf5cff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d777da58446bc099047b154203518e2585ef1a678f613f2b430f2589f7bf5cff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d777da58446bc099047b154203518e2585ef1a678f613f2b430f2589f7bf5cff</t>
        </is>
      </c>
      <c r="BH192" s="24" t="inlineStr">
        <is>
          <t>2026-08-25T13:29:54.168715Z</t>
        </is>
      </c>
      <c r="BI192" s="24" t="inlineStr">
        <is>
          <t>["same_event","same_team_same_day","same_league_same_day"]</t>
        </is>
      </c>
      <c r="BJ192" s="25" t="n"/>
      <c r="BK192" s="26" t="n">
        <v>-335</v>
      </c>
      <c r="BL192" s="27" t="n">
        <v>1.298507</v>
      </c>
      <c r="BM192" s="28" t="n">
        <v>0.770115</v>
      </c>
      <c r="BN192" s="28" t="n"/>
      <c r="BO192" s="28" t="n"/>
      <c r="BP192" s="25" t="n"/>
      <c r="BQ192" s="27" t="n">
        <v>1.298507</v>
      </c>
      <c r="BR192" s="28" t="n">
        <v>0.77</v>
      </c>
      <c r="BS192" s="28" t="n"/>
      <c r="BT192" s="28" t="n"/>
      <c r="BU192" s="25" t="n"/>
      <c r="BV192" s="29" t="n"/>
      <c r="BW192" s="24" t="n"/>
      <c r="BX192" s="30" t="n">
        <v>1</v>
      </c>
      <c r="BY192" s="27" t="n">
        <v>-1</v>
      </c>
      <c r="BZ192" s="24" t="inlineStr">
        <is>
          <t>2026-08-26T12:33:15.849086Z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inlineStr">
        <is>
          <t>9137378ed929597bae0f2ad13bb6f5fbb89603276ac794ff25ab068cbc27368e</t>
        </is>
      </c>
      <c r="DE192" s="24" t="inlineStr">
        <is>
          <t>/Users/vincentc9002/model-prediction/data/odds/tennis/2026-08-25/polymarket_snapshots.jsonl</t>
        </is>
      </c>
      <c r="DF192" s="24" t="inlineStr">
        <is>
          <t>514500:2026-08-25T13:29:54.168715Z</t>
        </is>
      </c>
      <c r="DG192" s="24" t="n"/>
      <c r="DH192" s="24" t="n"/>
      <c r="DI192" s="24" t="n"/>
      <c r="DJ192" s="24" t="inlineStr">
        <is>
          <t>0.770115</t>
        </is>
      </c>
      <c r="DK192" s="24" t="n"/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5bb1c40b139a4114</t>
        </is>
      </c>
      <c r="B193" s="24" t="inlineStr">
        <is>
          <t>2026-08-25T13:31:51.589728Z</t>
        </is>
      </c>
      <c r="C193" s="24" t="inlineStr">
        <is>
          <t>2026-08-25T22:30Z</t>
        </is>
      </c>
      <c r="D193" s="24" t="inlineStr">
        <is>
          <t>363-2026:182046</t>
        </is>
      </c>
      <c r="E193" s="24" t="inlineStr">
        <is>
          <t>TENNIS</t>
        </is>
      </c>
      <c r="F193" s="24" t="inlineStr">
        <is>
          <t>Lorenzo Sonego</t>
        </is>
      </c>
      <c r="G193" s="24" t="inlineStr">
        <is>
          <t>Adrian Mannarino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-150</v>
      </c>
      <c r="M193" s="27" t="n">
        <v>1.666667</v>
      </c>
      <c r="N193" s="28" t="n">
        <v>0.6</v>
      </c>
      <c r="O193" s="28" t="n">
        <v>0.5558999999999999</v>
      </c>
      <c r="P193" s="28" t="n">
        <v>0.05</v>
      </c>
      <c r="Q193" s="28" t="n">
        <v>-0.0441</v>
      </c>
      <c r="R193" s="26" t="n">
        <v>0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>
        <v>-150</v>
      </c>
      <c r="AA193" s="28" t="n">
        <v>0.6</v>
      </c>
      <c r="AB193" s="28" t="n">
        <v>0</v>
      </c>
      <c r="AC193" s="30" t="n">
        <v>0.6667</v>
      </c>
      <c r="AD193" s="24" t="inlineStr">
        <is>
          <t>2026-08-26T12:33:17.187087Z</t>
        </is>
      </c>
      <c r="AE193" s="31" t="inlineStr">
        <is>
          <t>Surface-blended Elo on Hard: Lorenzo Sonego p=0.556 vs Adrian Mannarino. Executable ask 0.6000 (aec-atp-adrman-lorson-2026-08-25).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PAPER_CALL_LOW_EDGE</t>
        </is>
      </c>
      <c r="AP193" s="24" t="inlineStr">
        <is>
          <t>Lorenzo Sonego</t>
        </is>
      </c>
      <c r="AQ193" s="24" t="inlineStr">
        <is>
          <t>Lorenzo Sonego</t>
        </is>
      </c>
      <c r="AR193" s="24" t="inlineStr">
        <is>
          <t>Lorenzo Sonego</t>
        </is>
      </c>
      <c r="AS193" s="24" t="inlineStr">
        <is>
          <t>Adrian Mannarino</t>
        </is>
      </c>
      <c r="AT193" s="24" t="inlineStr">
        <is>
          <t>Adrian Mannarino</t>
        </is>
      </c>
      <c r="AU193" s="24" t="inlineStr">
        <is>
          <t>Adrian Mannarino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d777da58446bc099047b154203518e2585ef1a678f613f2b430f2589f7bf5cff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d777da58446bc099047b154203518e2585ef1a678f613f2b430f2589f7bf5cff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d777da58446bc099047b154203518e2585ef1a678f613f2b430f2589f7bf5cff</t>
        </is>
      </c>
      <c r="BH193" s="24" t="inlineStr">
        <is>
          <t>2026-08-25T13:29:54.533749Z</t>
        </is>
      </c>
      <c r="BI193" s="24" t="inlineStr">
        <is>
          <t>["same_event","same_team_same_day","same_league_same_day"]</t>
        </is>
      </c>
      <c r="BJ193" s="25" t="n"/>
      <c r="BK193" s="26" t="n">
        <v>-150</v>
      </c>
      <c r="BL193" s="27" t="n">
        <v>1.666667</v>
      </c>
      <c r="BM193" s="28" t="n">
        <v>0.6</v>
      </c>
      <c r="BN193" s="28" t="n"/>
      <c r="BO193" s="28" t="n"/>
      <c r="BP193" s="25" t="n"/>
      <c r="BQ193" s="27" t="n">
        <v>1.666667</v>
      </c>
      <c r="BR193" s="28" t="n">
        <v>0.6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0.666667</v>
      </c>
      <c r="BZ193" s="24" t="inlineStr">
        <is>
          <t>2026-08-26T12:33:17.187087Z</t>
        </is>
      </c>
      <c r="CA193" s="31" t="inlineStr">
        <is>
          <t>fixed one-unit hypothetical scoring; no real exposure or execution</t>
        </is>
      </c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inlineStr">
        <is>
          <t>251a1a72546efaba66bc0c369d465b35b88c8c864859e13009e4be4b022b7063</t>
        </is>
      </c>
      <c r="DE193" s="24" t="inlineStr">
        <is>
          <t>/Users/vincentc9002/model-prediction/data/odds/tennis/2026-08-25/polymarket_snapshots.jsonl</t>
        </is>
      </c>
      <c r="DF193" s="24" t="inlineStr">
        <is>
          <t>514504:2026-08-25T13:29:54.533749Z</t>
        </is>
      </c>
      <c r="DG193" s="24" t="n"/>
      <c r="DH193" s="24" t="n"/>
      <c r="DI193" s="24" t="n"/>
      <c r="DJ193" s="24" t="inlineStr">
        <is>
          <t>0.6</t>
        </is>
      </c>
      <c r="DK193" s="24" t="n"/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b36580d7b920455f</t>
        </is>
      </c>
      <c r="B194" s="24" t="inlineStr">
        <is>
          <t>2026-08-25T13:31:51.589728Z</t>
        </is>
      </c>
      <c r="C194" s="24" t="inlineStr">
        <is>
          <t>2026-08-26T00:00Z</t>
        </is>
      </c>
      <c r="D194" s="24" t="inlineStr">
        <is>
          <t>363-2026:182044</t>
        </is>
      </c>
      <c r="E194" s="24" t="inlineStr">
        <is>
          <t>TENNIS</t>
        </is>
      </c>
      <c r="F194" s="24" t="inlineStr">
        <is>
          <t>Fabian Marozsan</t>
        </is>
      </c>
      <c r="G194" s="24" t="inlineStr">
        <is>
          <t>Miomir Kecmanovic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138</v>
      </c>
      <c r="M194" s="27" t="n">
        <v>2.38</v>
      </c>
      <c r="N194" s="28" t="n">
        <v>0.420168</v>
      </c>
      <c r="O194" s="28" t="n">
        <v>0.5184</v>
      </c>
      <c r="P194" s="28" t="n">
        <v>0.05</v>
      </c>
      <c r="Q194" s="28" t="n">
        <v>0.098232</v>
      </c>
      <c r="R194" s="26" t="n">
        <v>69</v>
      </c>
      <c r="S194" s="29" t="n">
        <v>1.25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0</v>
      </c>
      <c r="Y194" s="25" t="n"/>
      <c r="Z194" s="26" t="n">
        <v>138</v>
      </c>
      <c r="AA194" s="28" t="n">
        <v>0.42</v>
      </c>
      <c r="AB194" s="28" t="n">
        <v>-0.000168</v>
      </c>
      <c r="AC194" s="30" t="n">
        <v>1.725</v>
      </c>
      <c r="AD194" s="24" t="inlineStr">
        <is>
          <t>2026-08-26T12:33:18.473885Z</t>
        </is>
      </c>
      <c r="AE194" s="31" t="inlineStr">
        <is>
          <t>Surface-blended Elo on Hard: Fabian Marozsan p=0.518 vs Miomir Kecmanovic. Executable ask 0.4200 (aec-atp-miokec-fabmar-2026-08-25).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Fabian Marozsan</t>
        </is>
      </c>
      <c r="AQ194" s="24" t="inlineStr">
        <is>
          <t>Fabian Marozsan</t>
        </is>
      </c>
      <c r="AR194" s="24" t="inlineStr">
        <is>
          <t>Fabian Marozsan</t>
        </is>
      </c>
      <c r="AS194" s="24" t="inlineStr">
        <is>
          <t>Miomir Kecmanovic</t>
        </is>
      </c>
      <c r="AT194" s="24" t="inlineStr">
        <is>
          <t>Miomir Kecmanovic</t>
        </is>
      </c>
      <c r="AU194" s="24" t="inlineStr">
        <is>
          <t>Miomir Kecmanovic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d777da58446bc099047b154203518e2585ef1a678f613f2b430f2589f7bf5cff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d777da58446bc099047b154203518e2585ef1a678f613f2b430f2589f7bf5cff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d777da58446bc099047b154203518e2585ef1a678f613f2b430f2589f7bf5cff</t>
        </is>
      </c>
      <c r="BH194" s="24" t="inlineStr">
        <is>
          <t>2026-08-25T13:29:54.575619Z</t>
        </is>
      </c>
      <c r="BI194" s="24" t="inlineStr">
        <is>
          <t>["same_event","same_team_same_day","same_league_same_day"]</t>
        </is>
      </c>
      <c r="BJ194" s="25" t="n"/>
      <c r="BK194" s="26" t="n">
        <v>138</v>
      </c>
      <c r="BL194" s="27" t="n">
        <v>2.38</v>
      </c>
      <c r="BM194" s="28" t="n">
        <v>0.420168</v>
      </c>
      <c r="BN194" s="28" t="n"/>
      <c r="BO194" s="28" t="n"/>
      <c r="BP194" s="25" t="n"/>
      <c r="BQ194" s="27" t="n">
        <v>2.38</v>
      </c>
      <c r="BR194" s="28" t="n">
        <v>0.42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1.38</v>
      </c>
      <c r="BZ194" s="24" t="inlineStr">
        <is>
          <t>2026-08-26T12:33:18.473885Z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inlineStr">
        <is>
          <t>5e7789d02a58264b8c1a348da24b7243f236cdb9a4ddb9c271b65f190b4300b7</t>
        </is>
      </c>
      <c r="DE194" s="24" t="inlineStr">
        <is>
          <t>/Users/vincentc9002/model-prediction/data/odds/tennis/2026-08-25/polymarket_snapshots.jsonl</t>
        </is>
      </c>
      <c r="DF194" s="24" t="inlineStr">
        <is>
          <t>506082:2026-08-25T13:29:54.575619Z</t>
        </is>
      </c>
      <c r="DG194" s="24" t="n"/>
      <c r="DH194" s="24" t="n"/>
      <c r="DI194" s="24" t="n"/>
      <c r="DJ194" s="24" t="inlineStr">
        <is>
          <t>0.420168</t>
        </is>
      </c>
      <c r="DK194" s="24" t="n"/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dadf11dd5d76482a</t>
        </is>
      </c>
      <c r="B195" s="24" t="inlineStr">
        <is>
          <t>2026-08-26T12:43:29.834856Z</t>
        </is>
      </c>
      <c r="C195" s="24" t="inlineStr">
        <is>
          <t>2026-08-26T15:00Z</t>
        </is>
      </c>
      <c r="D195" s="24" t="inlineStr">
        <is>
          <t>1075-2026:182127</t>
        </is>
      </c>
      <c r="E195" s="24" t="inlineStr">
        <is>
          <t>TENNIS</t>
        </is>
      </c>
      <c r="F195" s="24" t="inlineStr">
        <is>
          <t>Mananchaya Sawangkaew</t>
        </is>
      </c>
      <c r="G195" s="24" t="inlineStr">
        <is>
          <t>Lizette Cabrera</t>
        </is>
      </c>
      <c r="H195" s="24" t="inlineStr">
        <is>
          <t>moneyline</t>
        </is>
      </c>
      <c r="I195" s="24" t="inlineStr">
        <is>
          <t>away</t>
        </is>
      </c>
      <c r="J195" s="25" t="n"/>
      <c r="K195" s="24" t="inlineStr">
        <is>
          <t>polymarket_us</t>
        </is>
      </c>
      <c r="L195" s="26" t="n">
        <v>-525</v>
      </c>
      <c r="M195" s="27" t="n">
        <v>1.190476</v>
      </c>
      <c r="N195" s="28" t="n">
        <v>0.84</v>
      </c>
      <c r="O195" s="28" t="n">
        <v>0.6465</v>
      </c>
      <c r="P195" s="28" t="n">
        <v>0.05</v>
      </c>
      <c r="Q195" s="28" t="n">
        <v>-0.1935</v>
      </c>
      <c r="R195" s="26" t="n">
        <v>0</v>
      </c>
      <c r="S195" s="29" t="n">
        <v>1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1</v>
      </c>
      <c r="X195" s="26" t="n">
        <v>0</v>
      </c>
      <c r="Y195" s="25" t="n"/>
      <c r="Z195" s="26" t="n">
        <v>-525</v>
      </c>
      <c r="AA195" s="28" t="n">
        <v>0.84</v>
      </c>
      <c r="AB195" s="28" t="n">
        <v>0</v>
      </c>
      <c r="AC195" s="30" t="n">
        <v>0.1905</v>
      </c>
      <c r="AD195" s="24" t="inlineStr">
        <is>
          <t>2026-08-26T22:10:54.835126Z</t>
        </is>
      </c>
      <c r="AE195" s="31" t="inlineStr">
        <is>
          <t>Surface-blended Elo on Hard: Mananchaya Sawangkaew p=0.647 vs Lizette Cabrera. Executable ask 0.8400 (aec-wta-lizcab-mansaw-2026-08-26).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Mananchaya Sawangkaew</t>
        </is>
      </c>
      <c r="AQ195" s="24" t="inlineStr">
        <is>
          <t>Mananchaya Sawangkaew</t>
        </is>
      </c>
      <c r="AR195" s="24" t="inlineStr">
        <is>
          <t>Mananchaya Sawangkaew</t>
        </is>
      </c>
      <c r="AS195" s="24" t="inlineStr">
        <is>
          <t>Lizette Cabrera</t>
        </is>
      </c>
      <c r="AT195" s="24" t="inlineStr">
        <is>
          <t>Lizette Cabrera</t>
        </is>
      </c>
      <c r="AU195" s="24" t="inlineStr">
        <is>
          <t>Lizette Cabrera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d777da58446bc099047b154203518e2585ef1a678f613f2b430f2589f7bf5cff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d777da58446bc099047b154203518e2585ef1a678f613f2b430f2589f7bf5cff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d777da58446bc099047b154203518e2585ef1a678f613f2b430f2589f7bf5cff</t>
        </is>
      </c>
      <c r="BH195" s="24" t="inlineStr">
        <is>
          <t>2026-08-26T12:42:15.047677Z</t>
        </is>
      </c>
      <c r="BI195" s="24" t="inlineStr">
        <is>
          <t>["same_event","same_team_same_day","same_league_same_day"]</t>
        </is>
      </c>
      <c r="BJ195" s="25" t="n"/>
      <c r="BK195" s="26" t="n">
        <v>-525</v>
      </c>
      <c r="BL195" s="27" t="n">
        <v>1.190476</v>
      </c>
      <c r="BM195" s="28" t="n">
        <v>0.84</v>
      </c>
      <c r="BN195" s="28" t="n"/>
      <c r="BO195" s="28" t="n"/>
      <c r="BP195" s="25" t="n"/>
      <c r="BQ195" s="27" t="n">
        <v>1.190476</v>
      </c>
      <c r="BR195" s="28" t="n">
        <v>0.84</v>
      </c>
      <c r="BS195" s="28" t="n"/>
      <c r="BT195" s="28" t="n"/>
      <c r="BU195" s="25" t="n"/>
      <c r="BV195" s="29" t="n"/>
      <c r="BW195" s="24" t="n"/>
      <c r="BX195" s="30" t="n">
        <v>1</v>
      </c>
      <c r="BY195" s="27" t="n">
        <v>0.190476</v>
      </c>
      <c r="BZ195" s="24" t="inlineStr">
        <is>
          <t>2026-08-26T22:10:54.835126Z</t>
        </is>
      </c>
      <c r="CA195" s="31" t="inlineStr">
        <is>
          <t>fixed one-unit hypothetical scoring; no real exposure or execution</t>
        </is>
      </c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inlineStr">
        <is>
          <t>f10c8aa0f4dfba0135321f6a1c58d3ef9d644e9cd21af6ee8066ae96d10c4936</t>
        </is>
      </c>
      <c r="DE195" s="24" t="inlineStr">
        <is>
          <t>/Users/vincentc9002/model-prediction/data/odds/tennis/2026-08-26/polymarket_snapshots.jsonl</t>
        </is>
      </c>
      <c r="DF195" s="24" t="inlineStr">
        <is>
          <t>516402:2026-08-26T12:42:15.047677Z</t>
        </is>
      </c>
      <c r="DG195" s="24" t="n"/>
      <c r="DH195" s="24" t="n"/>
      <c r="DI195" s="24" t="n"/>
      <c r="DJ195" s="24" t="inlineStr">
        <is>
          <t>0.84</t>
        </is>
      </c>
      <c r="DK195" s="24" t="n"/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8f2285b4a7ff422f</t>
        </is>
      </c>
      <c r="B196" s="24" t="inlineStr">
        <is>
          <t>2026-08-26T12:43:29.834856Z</t>
        </is>
      </c>
      <c r="C196" s="24" t="inlineStr">
        <is>
          <t>2026-08-26T16:30Z</t>
        </is>
      </c>
      <c r="D196" s="24" t="inlineStr">
        <is>
          <t>1075-2026:182137</t>
        </is>
      </c>
      <c r="E196" s="24" t="inlineStr">
        <is>
          <t>TENNIS</t>
        </is>
      </c>
      <c r="F196" s="24" t="inlineStr">
        <is>
          <t>Tereza Valentova</t>
        </is>
      </c>
      <c r="G196" s="24" t="inlineStr">
        <is>
          <t>Tian Fangran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-614</v>
      </c>
      <c r="M196" s="27" t="n">
        <v>1.162866</v>
      </c>
      <c r="N196" s="28" t="n">
        <v>0.859944</v>
      </c>
      <c r="O196" s="28" t="n">
        <v>0.7179</v>
      </c>
      <c r="P196" s="28" t="n">
        <v>0.05</v>
      </c>
      <c r="Q196" s="28" t="n">
        <v>-0.142044</v>
      </c>
      <c r="R196" s="26" t="n">
        <v>0</v>
      </c>
      <c r="S196" s="29" t="n">
        <v>1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-614</v>
      </c>
      <c r="AA196" s="28" t="n">
        <v>0.86</v>
      </c>
      <c r="AB196" s="28" t="n">
        <v>5.6e-05</v>
      </c>
      <c r="AC196" s="30" t="n">
        <v>0.1629</v>
      </c>
      <c r="AD196" s="24" t="inlineStr">
        <is>
          <t>2026-08-26T22:10:58.423316Z</t>
        </is>
      </c>
      <c r="AE196" s="31" t="inlineStr">
        <is>
          <t>Surface-blended Elo on Hard: Tereza Valentova p=0.718 vs Tian Fangran. Executable ask 0.8600 (aec-wta-fantia-terval-2026-08-26).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Tereza Valentova</t>
        </is>
      </c>
      <c r="AQ196" s="24" t="inlineStr">
        <is>
          <t>Tereza Valentova</t>
        </is>
      </c>
      <c r="AR196" s="24" t="inlineStr">
        <is>
          <t>Tereza Valentova</t>
        </is>
      </c>
      <c r="AS196" s="24" t="inlineStr">
        <is>
          <t>Tian Fangran</t>
        </is>
      </c>
      <c r="AT196" s="24" t="inlineStr">
        <is>
          <t>Tian Fangran</t>
        </is>
      </c>
      <c r="AU196" s="24" t="inlineStr">
        <is>
          <t>Tian Fangran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d777da58446bc099047b154203518e2585ef1a678f613f2b430f2589f7bf5cff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d777da58446bc099047b154203518e2585ef1a678f613f2b430f2589f7bf5cff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d777da58446bc099047b154203518e2585ef1a678f613f2b430f2589f7bf5cff</t>
        </is>
      </c>
      <c r="BH196" s="24" t="inlineStr">
        <is>
          <t>2026-08-26T12:42:15.411636Z</t>
        </is>
      </c>
      <c r="BI196" s="24" t="inlineStr">
        <is>
          <t>["same_event","same_team_same_day","same_league_same_day"]</t>
        </is>
      </c>
      <c r="BJ196" s="25" t="n"/>
      <c r="BK196" s="26" t="n">
        <v>-614</v>
      </c>
      <c r="BL196" s="27" t="n">
        <v>1.162866</v>
      </c>
      <c r="BM196" s="28" t="n">
        <v>0.859944</v>
      </c>
      <c r="BN196" s="28" t="n"/>
      <c r="BO196" s="28" t="n"/>
      <c r="BP196" s="25" t="n"/>
      <c r="BQ196" s="27" t="n">
        <v>1.162866</v>
      </c>
      <c r="BR196" s="28" t="n">
        <v>0.86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0.162866</v>
      </c>
      <c r="BZ196" s="24" t="inlineStr">
        <is>
          <t>2026-08-26T22:10:58.423316Z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inlineStr">
        <is>
          <t>74f57f73a79fdd710b0e50c0e51f7af3ecb4f792cbdedd1c0b0fe63abed5e54f</t>
        </is>
      </c>
      <c r="DE196" s="24" t="inlineStr">
        <is>
          <t>/Users/vincentc9002/model-prediction/data/odds/tennis/2026-08-26/polymarket_snapshots.jsonl</t>
        </is>
      </c>
      <c r="DF196" s="24" t="inlineStr">
        <is>
          <t>514494:2026-08-26T12:42:15.411636Z</t>
        </is>
      </c>
      <c r="DG196" s="24" t="n"/>
      <c r="DH196" s="24" t="n"/>
      <c r="DI196" s="24" t="n"/>
      <c r="DJ196" s="24" t="inlineStr">
        <is>
          <t>0.859944</t>
        </is>
      </c>
      <c r="DK196" s="24" t="n"/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8e770a2c5a0248aa</t>
        </is>
      </c>
      <c r="B197" s="24" t="inlineStr">
        <is>
          <t>2026-08-26T12:43:29.834856Z</t>
        </is>
      </c>
      <c r="C197" s="24" t="inlineStr">
        <is>
          <t>2026-08-26T15:00Z</t>
        </is>
      </c>
      <c r="D197" s="24" t="inlineStr">
        <is>
          <t>189-2026:184754</t>
        </is>
      </c>
      <c r="E197" s="24" t="inlineStr">
        <is>
          <t>TENNIS</t>
        </is>
      </c>
      <c r="F197" s="24" t="inlineStr">
        <is>
          <t>Polina Iatcenko</t>
        </is>
      </c>
      <c r="G197" s="24" t="inlineStr">
        <is>
          <t>Lucia Bronzetti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-104</v>
      </c>
      <c r="M197" s="27" t="n">
        <v>1.961538</v>
      </c>
      <c r="N197" s="28" t="n">
        <v>0.509804</v>
      </c>
      <c r="O197" s="28" t="n">
        <v>0.6362</v>
      </c>
      <c r="P197" s="28" t="n">
        <v>0.05</v>
      </c>
      <c r="Q197" s="28" t="n">
        <v>0.126396</v>
      </c>
      <c r="R197" s="26" t="n">
        <v>83</v>
      </c>
      <c r="S197" s="29" t="n">
        <v>1.5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loss</t>
        </is>
      </c>
      <c r="W197" s="26" t="n">
        <v>1</v>
      </c>
      <c r="X197" s="26" t="n">
        <v>0</v>
      </c>
      <c r="Y197" s="25" t="n"/>
      <c r="Z197" s="26" t="n">
        <v>-104</v>
      </c>
      <c r="AA197" s="28" t="n">
        <v>0.51</v>
      </c>
      <c r="AB197" s="28" t="n">
        <v>0.000196</v>
      </c>
      <c r="AC197" s="30" t="n">
        <v>-1.5</v>
      </c>
      <c r="AD197" s="24" t="inlineStr">
        <is>
          <t>2026-08-26T22:11:00.213966Z</t>
        </is>
      </c>
      <c r="AE197" s="31" t="inlineStr">
        <is>
          <t>Surface-blended Elo on Hard: Polina Iatcenko p=0.364 vs Lucia Bronzetti. Executable ask 0.5100 (aec-wta-lucbro-poliat-2026-08-25).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Polina Iatcenko</t>
        </is>
      </c>
      <c r="AQ197" s="24" t="inlineStr">
        <is>
          <t>Polina Iatcenko</t>
        </is>
      </c>
      <c r="AR197" s="24" t="inlineStr">
        <is>
          <t>Polina Iatcenko</t>
        </is>
      </c>
      <c r="AS197" s="24" t="inlineStr">
        <is>
          <t>Lucia Bronzetti</t>
        </is>
      </c>
      <c r="AT197" s="24" t="inlineStr">
        <is>
          <t>Lucia Bronzetti</t>
        </is>
      </c>
      <c r="AU197" s="24" t="inlineStr">
        <is>
          <t>Lucia Bronzetti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d777da58446bc099047b154203518e2585ef1a678f613f2b430f2589f7bf5cff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d777da58446bc099047b154203518e2585ef1a678f613f2b430f2589f7bf5cff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d777da58446bc099047b154203518e2585ef1a678f613f2b430f2589f7bf5cff</t>
        </is>
      </c>
      <c r="BH197" s="24" t="inlineStr">
        <is>
          <t>2026-08-26T12:42:15.204513Z</t>
        </is>
      </c>
      <c r="BI197" s="24" t="inlineStr">
        <is>
          <t>["same_event","same_team_same_day","same_league_same_day"]</t>
        </is>
      </c>
      <c r="BJ197" s="25" t="n"/>
      <c r="BK197" s="26" t="n">
        <v>-104</v>
      </c>
      <c r="BL197" s="27" t="n">
        <v>1.961538</v>
      </c>
      <c r="BM197" s="28" t="n">
        <v>0.509804</v>
      </c>
      <c r="BN197" s="28" t="n"/>
      <c r="BO197" s="28" t="n"/>
      <c r="BP197" s="25" t="n"/>
      <c r="BQ197" s="27" t="n">
        <v>1.961538</v>
      </c>
      <c r="BR197" s="28" t="n">
        <v>0.51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inlineStr">
        <is>
          <t>b46e0646eeed710939339fb212cc3aee04af4daa2f6aec0e14e298fe2704a368</t>
        </is>
      </c>
      <c r="DE197" s="24" t="inlineStr">
        <is>
          <t>/Users/vincentc9002/model-prediction/data/odds/tennis/2026-08-26/polymarket_snapshots.jsonl</t>
        </is>
      </c>
      <c r="DF197" s="24" t="inlineStr">
        <is>
          <t>513864:2026-08-26T12:42:15.204513Z</t>
        </is>
      </c>
      <c r="DG197" s="24" t="n"/>
      <c r="DH197" s="24" t="n"/>
      <c r="DI197" s="24" t="n"/>
      <c r="DJ197" s="24" t="inlineStr">
        <is>
          <t>0.509804</t>
        </is>
      </c>
      <c r="DK197" s="24" t="n"/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677b8240264346ac</t>
        </is>
      </c>
      <c r="B198" s="24" t="inlineStr">
        <is>
          <t>2026-08-26T12:43:29.834856Z</t>
        </is>
      </c>
      <c r="C198" s="24" t="inlineStr">
        <is>
          <t>2026-08-26T15:00Z</t>
        </is>
      </c>
      <c r="D198" s="24" t="inlineStr">
        <is>
          <t>189-2026:184757</t>
        </is>
      </c>
      <c r="E198" s="24" t="inlineStr">
        <is>
          <t>TENNIS</t>
        </is>
      </c>
      <c r="F198" s="24" t="inlineStr">
        <is>
          <t>Rebecca Marino</t>
        </is>
      </c>
      <c r="G198" s="24" t="inlineStr">
        <is>
          <t>Elena Pridankina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-127</v>
      </c>
      <c r="M198" s="27" t="n">
        <v>1.787402</v>
      </c>
      <c r="N198" s="28" t="n">
        <v>0.5594710000000001</v>
      </c>
      <c r="O198" s="28" t="n">
        <v>0.578</v>
      </c>
      <c r="P198" s="28" t="n">
        <v>0.05</v>
      </c>
      <c r="Q198" s="28" t="n">
        <v>0.018529</v>
      </c>
      <c r="R198" s="26" t="n">
        <v>29</v>
      </c>
      <c r="S198" s="29" t="n">
        <v>1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0</v>
      </c>
      <c r="X198" s="26" t="n">
        <v>1</v>
      </c>
      <c r="Y198" s="25" t="n"/>
      <c r="Z198" s="26" t="n">
        <v>-127</v>
      </c>
      <c r="AA198" s="28" t="n">
        <v>0.5600000000000001</v>
      </c>
      <c r="AB198" s="28" t="n">
        <v>0.000529</v>
      </c>
      <c r="AC198" s="30" t="n">
        <v>0.7874</v>
      </c>
      <c r="AD198" s="24" t="inlineStr">
        <is>
          <t>2026-08-26T16:28:44.133073Z</t>
        </is>
      </c>
      <c r="AE198" s="31" t="inlineStr">
        <is>
          <t>Surface-blended Elo on Hard: Rebecca Marino p=0.422 vs Elena Pridankina. Executable ask 0.5600 (aec-wta-elepri-rebmar-2026-08-25).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Rebecca Marino</t>
        </is>
      </c>
      <c r="AQ198" s="24" t="inlineStr">
        <is>
          <t>Rebecca Marino</t>
        </is>
      </c>
      <c r="AR198" s="24" t="inlineStr">
        <is>
          <t>Rebecca Marino</t>
        </is>
      </c>
      <c r="AS198" s="24" t="inlineStr">
        <is>
          <t>Elena Pridankina</t>
        </is>
      </c>
      <c r="AT198" s="24" t="inlineStr">
        <is>
          <t>Elena Pridankina</t>
        </is>
      </c>
      <c r="AU198" s="24" t="inlineStr">
        <is>
          <t>Elena Pridankina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d777da58446bc099047b154203518e2585ef1a678f613f2b430f2589f7bf5cff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d777da58446bc099047b154203518e2585ef1a678f613f2b430f2589f7bf5cff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d777da58446bc099047b154203518e2585ef1a678f613f2b430f2589f7bf5cff</t>
        </is>
      </c>
      <c r="BH198" s="24" t="inlineStr">
        <is>
          <t>2026-08-26T12:42:15.062017Z</t>
        </is>
      </c>
      <c r="BI198" s="24" t="inlineStr">
        <is>
          <t>["same_event","same_team_same_day","same_league_same_day"]</t>
        </is>
      </c>
      <c r="BJ198" s="25" t="n"/>
      <c r="BK198" s="26" t="n">
        <v>-127</v>
      </c>
      <c r="BL198" s="27" t="n">
        <v>1.787402</v>
      </c>
      <c r="BM198" s="28" t="n">
        <v>0.5594710000000001</v>
      </c>
      <c r="BN198" s="28" t="n"/>
      <c r="BO198" s="28" t="n"/>
      <c r="BP198" s="25" t="n"/>
      <c r="BQ198" s="27" t="n">
        <v>1.787402</v>
      </c>
      <c r="BR198" s="28" t="n">
        <v>0.5600000000000001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0.787403</v>
      </c>
      <c r="BZ198" s="24" t="inlineStr">
        <is>
          <t>2026-08-26T16:28:44.133073Z</t>
        </is>
      </c>
      <c r="CA198" s="31" t="inlineStr">
        <is>
          <t>fixed one-unit hypothetical scoring; no real exposure or execution</t>
        </is>
      </c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inlineStr">
        <is>
          <t>6d295d5528c3eea301a8215acfc299e927fb3a6c62a79c8d608f14c085974a3a</t>
        </is>
      </c>
      <c r="DE198" s="24" t="inlineStr">
        <is>
          <t>/Users/vincentc9002/model-prediction/data/odds/tennis/2026-08-26/polymarket_snapshots.jsonl</t>
        </is>
      </c>
      <c r="DF198" s="24" t="inlineStr">
        <is>
          <t>512481:2026-08-26T12:42:15.062017Z</t>
        </is>
      </c>
      <c r="DG198" s="24" t="n"/>
      <c r="DH198" s="24" t="n"/>
      <c r="DI198" s="24" t="n"/>
      <c r="DJ198" s="24" t="inlineStr">
        <is>
          <t>0.559471</t>
        </is>
      </c>
      <c r="DK198" s="24" t="n"/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d1366ef2e30f46b3</t>
        </is>
      </c>
      <c r="B199" s="24" t="inlineStr">
        <is>
          <t>2026-08-26T12:43:29.834856Z</t>
        </is>
      </c>
      <c r="C199" s="24" t="inlineStr">
        <is>
          <t>2026-08-26T15:00Z</t>
        </is>
      </c>
      <c r="D199" s="24" t="inlineStr">
        <is>
          <t>189-2026:184787</t>
        </is>
      </c>
      <c r="E199" s="24" t="inlineStr">
        <is>
          <t>TENNIS</t>
        </is>
      </c>
      <c r="F199" s="24" t="inlineStr">
        <is>
          <t>Jeline Vandromme</t>
        </is>
      </c>
      <c r="G199" s="24" t="inlineStr">
        <is>
          <t>Robin Montgomery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-117</v>
      </c>
      <c r="M199" s="27" t="n">
        <v>1.854701</v>
      </c>
      <c r="N199" s="28" t="n">
        <v>0.539171</v>
      </c>
      <c r="O199" s="28" t="n">
        <v>0.6247</v>
      </c>
      <c r="P199" s="28" t="n">
        <v>0.05</v>
      </c>
      <c r="Q199" s="28" t="n">
        <v>0.08552899999999999</v>
      </c>
      <c r="R199" s="26" t="n">
        <v>63</v>
      </c>
      <c r="S199" s="29" t="n">
        <v>1.25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win</t>
        </is>
      </c>
      <c r="W199" s="26" t="n">
        <v>0</v>
      </c>
      <c r="X199" s="26" t="n">
        <v>1</v>
      </c>
      <c r="Y199" s="25" t="n"/>
      <c r="Z199" s="26" t="n">
        <v>-117</v>
      </c>
      <c r="AA199" s="28" t="n">
        <v>0.54</v>
      </c>
      <c r="AB199" s="28" t="n">
        <v>0.000829</v>
      </c>
      <c r="AC199" s="30" t="n">
        <v>1.0684</v>
      </c>
      <c r="AD199" s="24" t="inlineStr">
        <is>
          <t>2026-08-26T22:11:01.995307Z</t>
        </is>
      </c>
      <c r="AE199" s="31" t="inlineStr">
        <is>
          <t>Surface-blended Elo on Hard: Jeline Vandromme p=0.375 vs Robin Montgomery. Executable ask 0.5400 (aec-wta-robmon-jelvan-2026-08-26).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Jeline Vandromme</t>
        </is>
      </c>
      <c r="AQ199" s="24" t="inlineStr">
        <is>
          <t>Jeline Vandromme</t>
        </is>
      </c>
      <c r="AR199" s="24" t="inlineStr">
        <is>
          <t>Jeline Vandromme</t>
        </is>
      </c>
      <c r="AS199" s="24" t="inlineStr">
        <is>
          <t>Robin Montgomery</t>
        </is>
      </c>
      <c r="AT199" s="24" t="inlineStr">
        <is>
          <t>Robin Montgomery</t>
        </is>
      </c>
      <c r="AU199" s="24" t="inlineStr">
        <is>
          <t>Robin Montgomery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d777da58446bc099047b154203518e2585ef1a678f613f2b430f2589f7bf5cff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d777da58446bc099047b154203518e2585ef1a678f613f2b430f2589f7bf5cff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d777da58446bc099047b154203518e2585ef1a678f613f2b430f2589f7bf5cff</t>
        </is>
      </c>
      <c r="BH199" s="24" t="inlineStr">
        <is>
          <t>2026-08-26T12:42:15.122942Z</t>
        </is>
      </c>
      <c r="BI199" s="24" t="inlineStr">
        <is>
          <t>["same_event","same_team_same_day","same_league_same_day"]</t>
        </is>
      </c>
      <c r="BJ199" s="25" t="n"/>
      <c r="BK199" s="26" t="n">
        <v>-117</v>
      </c>
      <c r="BL199" s="27" t="n">
        <v>1.854701</v>
      </c>
      <c r="BM199" s="28" t="n">
        <v>0.539171</v>
      </c>
      <c r="BN199" s="28" t="n"/>
      <c r="BO199" s="28" t="n"/>
      <c r="BP199" s="25" t="n"/>
      <c r="BQ199" s="27" t="n">
        <v>1.854701</v>
      </c>
      <c r="BR199" s="28" t="n">
        <v>0.54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inlineStr">
        <is>
          <t>c2bb698ba9defb3a152bb1ed40e48ba8ac8d2b8c1128274af62d45ff38a55f08</t>
        </is>
      </c>
      <c r="DE199" s="24" t="inlineStr">
        <is>
          <t>/Users/vincentc9002/model-prediction/data/odds/tennis/2026-08-26/polymarket_snapshots.jsonl</t>
        </is>
      </c>
      <c r="DF199" s="24" t="inlineStr">
        <is>
          <t>514496:2026-08-26T12:42:15.122942Z</t>
        </is>
      </c>
      <c r="DG199" s="24" t="n"/>
      <c r="DH199" s="24" t="n"/>
      <c r="DI199" s="24" t="n"/>
      <c r="DJ199" s="24" t="inlineStr">
        <is>
          <t>0.539171</t>
        </is>
      </c>
      <c r="DK199" s="24" t="n"/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8da6bb154d3245e1</t>
        </is>
      </c>
      <c r="B200" s="24" t="inlineStr">
        <is>
          <t>2026-08-26T12:43:29.834856Z</t>
        </is>
      </c>
      <c r="C200" s="24" t="inlineStr">
        <is>
          <t>2026-08-26T15:00Z</t>
        </is>
      </c>
      <c r="D200" s="24" t="inlineStr">
        <is>
          <t>189-2026:184790</t>
        </is>
      </c>
      <c r="E200" s="24" t="inlineStr">
        <is>
          <t>TENNIS</t>
        </is>
      </c>
      <c r="F200" s="24" t="inlineStr">
        <is>
          <t>Clara Burel</t>
        </is>
      </c>
      <c r="G200" s="24" t="inlineStr">
        <is>
          <t>Zheng Qinwen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-426</v>
      </c>
      <c r="M200" s="27" t="n">
        <v>1.234742</v>
      </c>
      <c r="N200" s="28" t="n">
        <v>0.809886</v>
      </c>
      <c r="O200" s="28" t="n">
        <v>0.7134</v>
      </c>
      <c r="P200" s="28" t="n">
        <v>0.05</v>
      </c>
      <c r="Q200" s="28" t="n">
        <v>-0.096486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/>
      <c r="AA200" s="28" t="n"/>
      <c r="AB200" s="28" t="n"/>
      <c r="AC200" s="30" t="n">
        <v>0.2347</v>
      </c>
      <c r="AD200" s="24" t="inlineStr">
        <is>
          <t>2026-08-26T22:11:03.569345Z</t>
        </is>
      </c>
      <c r="AE200" s="31" t="inlineStr">
        <is>
          <t>Surface-blended Elo on Hard: Clara Burel p=0.287 vs Zheng Qinwen. Executable ask 0.8100 (aec-wta-qinzhe-clabur-2026-08-25).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Clara Burel</t>
        </is>
      </c>
      <c r="AQ200" s="24" t="inlineStr">
        <is>
          <t>Clara Burel</t>
        </is>
      </c>
      <c r="AR200" s="24" t="inlineStr">
        <is>
          <t>Clara Burel</t>
        </is>
      </c>
      <c r="AS200" s="24" t="inlineStr">
        <is>
          <t>Zheng Qinwen</t>
        </is>
      </c>
      <c r="AT200" s="24" t="inlineStr">
        <is>
          <t>Zheng Qinwen</t>
        </is>
      </c>
      <c r="AU200" s="24" t="inlineStr">
        <is>
          <t>Zheng Qinwen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d777da58446bc099047b154203518e2585ef1a678f613f2b430f2589f7bf5cff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d777da58446bc099047b154203518e2585ef1a678f613f2b430f2589f7bf5cff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d777da58446bc099047b154203518e2585ef1a678f613f2b430f2589f7bf5cff</t>
        </is>
      </c>
      <c r="BH200" s="24" t="inlineStr">
        <is>
          <t>2026-08-26T12:42:14.963620Z</t>
        </is>
      </c>
      <c r="BI200" s="24" t="inlineStr">
        <is>
          <t>["same_event","same_team_same_day","same_league_same_day"]</t>
        </is>
      </c>
      <c r="BJ200" s="25" t="n"/>
      <c r="BK200" s="26" t="n">
        <v>-426</v>
      </c>
      <c r="BL200" s="27" t="n">
        <v>1.234742</v>
      </c>
      <c r="BM200" s="28" t="n">
        <v>0.809886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0.234742</v>
      </c>
      <c r="BZ200" s="24" t="inlineStr">
        <is>
          <t>2026-08-26T22:11:03.569345Z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inlineStr">
        <is>
          <t>d59e9c409ca408c0a6ee97858322f1c143baf749e5164d96e413622e6f474d35</t>
        </is>
      </c>
      <c r="DE200" s="24" t="inlineStr">
        <is>
          <t>/Users/vincentc9002/model-prediction/data/odds/tennis/2026-08-26/polymarket_snapshots.jsonl</t>
        </is>
      </c>
      <c r="DF200" s="24" t="inlineStr">
        <is>
          <t>512482:2026-08-26T12:42:14.963620Z</t>
        </is>
      </c>
      <c r="DG200" s="24" t="n"/>
      <c r="DH200" s="24" t="n"/>
      <c r="DI200" s="24" t="n"/>
      <c r="DJ200" s="24" t="inlineStr">
        <is>
          <t>0.809886</t>
        </is>
      </c>
      <c r="DK200" s="24" t="n"/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c00a0ac4cb7d4236</t>
        </is>
      </c>
      <c r="B201" s="24" t="inlineStr">
        <is>
          <t>2026-08-26T12:43:29.834856Z</t>
        </is>
      </c>
      <c r="C201" s="24" t="inlineStr">
        <is>
          <t>2026-08-26T15:00Z</t>
        </is>
      </c>
      <c r="D201" s="24" t="inlineStr">
        <is>
          <t>189-2026:184792</t>
        </is>
      </c>
      <c r="E201" s="24" t="inlineStr">
        <is>
          <t>TENNIS</t>
        </is>
      </c>
      <c r="F201" s="24" t="inlineStr">
        <is>
          <t>Mariam Bolkvadze</t>
        </is>
      </c>
      <c r="G201" s="24" t="inlineStr">
        <is>
          <t>Alevtina Ibragimova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-144</v>
      </c>
      <c r="M201" s="27" t="n">
        <v>1.694444</v>
      </c>
      <c r="N201" s="28" t="n">
        <v>0.590164</v>
      </c>
      <c r="O201" s="28" t="n">
        <v>0.5518</v>
      </c>
      <c r="P201" s="28" t="n">
        <v>0.05</v>
      </c>
      <c r="Q201" s="28" t="n">
        <v>-0.038364</v>
      </c>
      <c r="R201" s="26" t="n">
        <v>1</v>
      </c>
      <c r="S201" s="29" t="n">
        <v>1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>
        <v>-144</v>
      </c>
      <c r="AA201" s="28" t="n">
        <v>0.59</v>
      </c>
      <c r="AB201" s="28" t="n">
        <v>-0.000164</v>
      </c>
      <c r="AC201" s="30" t="n">
        <v>-1</v>
      </c>
      <c r="AD201" s="24" t="inlineStr">
        <is>
          <t>2026-08-26T22:11:05.210529Z</t>
        </is>
      </c>
      <c r="AE201" s="31" t="inlineStr">
        <is>
          <t>Surface-blended Elo on Hard: Mariam Bolkvadze p=0.448 vs Alevtina Ibragimova. Executable ask 0.5900 (aec-wta-aleibr-marbol-2026-08-25).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Mariam Bolkvadze</t>
        </is>
      </c>
      <c r="AQ201" s="24" t="inlineStr">
        <is>
          <t>Mariam Bolkvadze</t>
        </is>
      </c>
      <c r="AR201" s="24" t="inlineStr">
        <is>
          <t>Mariam Bolkvadze</t>
        </is>
      </c>
      <c r="AS201" s="24" t="inlineStr">
        <is>
          <t>Alevtina Ibragimova</t>
        </is>
      </c>
      <c r="AT201" s="24" t="inlineStr">
        <is>
          <t>Alevtina Ibragimova</t>
        </is>
      </c>
      <c r="AU201" s="24" t="inlineStr">
        <is>
          <t>Alevtina Ibragimova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d777da58446bc099047b154203518e2585ef1a678f613f2b430f2589f7bf5cff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d777da58446bc099047b154203518e2585ef1a678f613f2b430f2589f7bf5cff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d777da58446bc099047b154203518e2585ef1a678f613f2b430f2589f7bf5cff</t>
        </is>
      </c>
      <c r="BH201" s="24" t="inlineStr">
        <is>
          <t>2026-08-26T12:42:15.091766Z</t>
        </is>
      </c>
      <c r="BI201" s="24" t="inlineStr">
        <is>
          <t>["same_event","same_team_same_day","same_league_same_day"]</t>
        </is>
      </c>
      <c r="BJ201" s="25" t="n"/>
      <c r="BK201" s="26" t="n">
        <v>-144</v>
      </c>
      <c r="BL201" s="27" t="n">
        <v>1.694444</v>
      </c>
      <c r="BM201" s="28" t="n">
        <v>0.590164</v>
      </c>
      <c r="BN201" s="28" t="n"/>
      <c r="BO201" s="28" t="n"/>
      <c r="BP201" s="25" t="n"/>
      <c r="BQ201" s="27" t="n">
        <v>1.694444</v>
      </c>
      <c r="BR201" s="28" t="n">
        <v>0.59</v>
      </c>
      <c r="BS201" s="28" t="n"/>
      <c r="BT201" s="28" t="n"/>
      <c r="BU201" s="25" t="n"/>
      <c r="BV201" s="29" t="n"/>
      <c r="BW201" s="24" t="n"/>
      <c r="BX201" s="30" t="n">
        <v>1</v>
      </c>
      <c r="BY201" s="27" t="n">
        <v>-1</v>
      </c>
      <c r="BZ201" s="24" t="inlineStr">
        <is>
          <t>2026-08-26T22:11:05.210529Z</t>
        </is>
      </c>
      <c r="CA201" s="31" t="inlineStr">
        <is>
          <t>fixed one-unit hypothetical scoring; no real exposure or execution</t>
        </is>
      </c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inlineStr">
        <is>
          <t>f1d3aea05e5e4d2e8db1a6e7174b713a3d99a340ae4610e2e9a93671a8d8187b</t>
        </is>
      </c>
      <c r="DE201" s="24" t="inlineStr">
        <is>
          <t>/Users/vincentc9002/model-prediction/data/odds/tennis/2026-08-26/polymarket_snapshots.jsonl</t>
        </is>
      </c>
      <c r="DF201" s="24" t="inlineStr">
        <is>
          <t>512500:2026-08-26T12:42:15.091766Z</t>
        </is>
      </c>
      <c r="DG201" s="24" t="n"/>
      <c r="DH201" s="24" t="n"/>
      <c r="DI201" s="24" t="n"/>
      <c r="DJ201" s="24" t="inlineStr">
        <is>
          <t>0.590164</t>
        </is>
      </c>
      <c r="DK201" s="24" t="n"/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1cde342f4cf7412a</t>
        </is>
      </c>
      <c r="B202" s="24" t="inlineStr">
        <is>
          <t>2026-08-26T12:43:29.834856Z</t>
        </is>
      </c>
      <c r="C202" s="24" t="inlineStr">
        <is>
          <t>2026-08-26T15:00Z</t>
        </is>
      </c>
      <c r="D202" s="24" t="inlineStr">
        <is>
          <t>189-2026:184793</t>
        </is>
      </c>
      <c r="E202" s="24" t="inlineStr">
        <is>
          <t>TENNIS</t>
        </is>
      </c>
      <c r="F202" s="24" t="inlineStr">
        <is>
          <t>Linda Klimovicova</t>
        </is>
      </c>
      <c r="G202" s="24" t="inlineStr">
        <is>
          <t>Anouk Koevermans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-150</v>
      </c>
      <c r="M202" s="27" t="n">
        <v>1.666667</v>
      </c>
      <c r="N202" s="28" t="n">
        <v>0.6</v>
      </c>
      <c r="O202" s="28" t="n">
        <v>0.5674</v>
      </c>
      <c r="P202" s="28" t="n">
        <v>0.05</v>
      </c>
      <c r="Q202" s="28" t="n">
        <v>-0.0326</v>
      </c>
      <c r="R202" s="26" t="n">
        <v>4</v>
      </c>
      <c r="S202" s="29" t="n">
        <v>1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loss</t>
        </is>
      </c>
      <c r="W202" s="26" t="n">
        <v>0</v>
      </c>
      <c r="X202" s="26" t="n">
        <v>1</v>
      </c>
      <c r="Y202" s="25" t="n"/>
      <c r="Z202" s="26" t="n">
        <v>-150</v>
      </c>
      <c r="AA202" s="28" t="n">
        <v>0.6</v>
      </c>
      <c r="AB202" s="28" t="n">
        <v>0</v>
      </c>
      <c r="AC202" s="30" t="n">
        <v>-1</v>
      </c>
      <c r="AD202" s="24" t="inlineStr">
        <is>
          <t>2026-08-26T22:11:06.862983Z</t>
        </is>
      </c>
      <c r="AE202" s="31" t="inlineStr">
        <is>
          <t>Surface-blended Elo on Hard: Linda Klimovicova p=0.567 vs Anouk Koevermans. Executable ask 0.6000 (aec-wta-anokoe-linkli-2026-08-25).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Linda Klimovicova</t>
        </is>
      </c>
      <c r="AQ202" s="24" t="inlineStr">
        <is>
          <t>Linda Klimovicova</t>
        </is>
      </c>
      <c r="AR202" s="24" t="inlineStr">
        <is>
          <t>Linda Klimovicova</t>
        </is>
      </c>
      <c r="AS202" s="24" t="inlineStr">
        <is>
          <t>Anouk Koevermans</t>
        </is>
      </c>
      <c r="AT202" s="24" t="inlineStr">
        <is>
          <t>Anouk Koevermans</t>
        </is>
      </c>
      <c r="AU202" s="24" t="inlineStr">
        <is>
          <t>Anouk Koevermans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d777da58446bc099047b154203518e2585ef1a678f613f2b430f2589f7bf5cff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d777da58446bc099047b154203518e2585ef1a678f613f2b430f2589f7bf5cff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d777da58446bc099047b154203518e2585ef1a678f613f2b430f2589f7bf5cff</t>
        </is>
      </c>
      <c r="BH202" s="24" t="inlineStr">
        <is>
          <t>2026-08-26T12:42:15.200406Z</t>
        </is>
      </c>
      <c r="BI202" s="24" t="inlineStr">
        <is>
          <t>["same_event","same_team_same_day","same_league_same_day"]</t>
        </is>
      </c>
      <c r="BJ202" s="25" t="n"/>
      <c r="BK202" s="26" t="n">
        <v>-150</v>
      </c>
      <c r="BL202" s="27" t="n">
        <v>1.666667</v>
      </c>
      <c r="BM202" s="28" t="n">
        <v>0.6</v>
      </c>
      <c r="BN202" s="28" t="n"/>
      <c r="BO202" s="28" t="n"/>
      <c r="BP202" s="25" t="n"/>
      <c r="BQ202" s="27" t="n">
        <v>1.666667</v>
      </c>
      <c r="BR202" s="28" t="n">
        <v>0.6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-1</v>
      </c>
      <c r="BZ202" s="24" t="inlineStr">
        <is>
          <t>2026-08-26T22:11:06.862983Z</t>
        </is>
      </c>
      <c r="CA202" s="31" t="inlineStr">
        <is>
          <t>fixed one-unit hypothetical scoring; no real exposure or execution</t>
        </is>
      </c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inlineStr">
        <is>
          <t>ea60fe164b643689f3d2a0313dc877da600a52bc0dc57107031fd97bac7b8fb6</t>
        </is>
      </c>
      <c r="DE202" s="24" t="inlineStr">
        <is>
          <t>/Users/vincentc9002/model-prediction/data/odds/tennis/2026-08-26/polymarket_snapshots.jsonl</t>
        </is>
      </c>
      <c r="DF202" s="24" t="inlineStr">
        <is>
          <t>513606:2026-08-26T12:42:15.200406Z</t>
        </is>
      </c>
      <c r="DG202" s="24" t="n"/>
      <c r="DH202" s="24" t="n"/>
      <c r="DI202" s="24" t="n"/>
      <c r="DJ202" s="24" t="inlineStr">
        <is>
          <t>0.6</t>
        </is>
      </c>
      <c r="DK202" s="24" t="n"/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81ea28d948f547bb</t>
        </is>
      </c>
      <c r="B203" s="24" t="inlineStr">
        <is>
          <t>2026-08-26T12:43:29.834856Z</t>
        </is>
      </c>
      <c r="C203" s="24" t="inlineStr">
        <is>
          <t>2026-08-26T15:00Z</t>
        </is>
      </c>
      <c r="D203" s="24" t="inlineStr">
        <is>
          <t>189-2026:184796</t>
        </is>
      </c>
      <c r="E203" s="24" t="inlineStr">
        <is>
          <t>TENNIS</t>
        </is>
      </c>
      <c r="F203" s="24" t="inlineStr">
        <is>
          <t>Andrea Lazaro Garcia</t>
        </is>
      </c>
      <c r="G203" s="24" t="inlineStr">
        <is>
          <t>Mai Hontama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113</v>
      </c>
      <c r="M203" s="27" t="n">
        <v>2.13</v>
      </c>
      <c r="N203" s="28" t="n">
        <v>0.469484</v>
      </c>
      <c r="O203" s="28" t="n">
        <v>0.5610000000000001</v>
      </c>
      <c r="P203" s="28" t="n">
        <v>0.05</v>
      </c>
      <c r="Q203" s="28" t="n">
        <v>0.091516</v>
      </c>
      <c r="R203" s="26" t="n">
        <v>66</v>
      </c>
      <c r="S203" s="29" t="n">
        <v>1.25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win</t>
        </is>
      </c>
      <c r="W203" s="26" t="n">
        <v>1</v>
      </c>
      <c r="X203" s="26" t="n">
        <v>0</v>
      </c>
      <c r="Y203" s="25" t="n"/>
      <c r="Z203" s="26" t="n">
        <v>113</v>
      </c>
      <c r="AA203" s="28" t="n">
        <v>0.47</v>
      </c>
      <c r="AB203" s="28" t="n">
        <v>0.000516</v>
      </c>
      <c r="AC203" s="30" t="n">
        <v>1.4125</v>
      </c>
      <c r="AD203" s="24" t="inlineStr">
        <is>
          <t>2026-08-26T22:11:08.415081Z</t>
        </is>
      </c>
      <c r="AE203" s="31" t="inlineStr">
        <is>
          <t>Surface-blended Elo on Hard: Andrea Lazaro Garcia p=0.561 vs Mai Hontama. Executable ask 0.4700 (aec-wta-maihon-andgar-2026-08-25).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Andrea Lazaro Garcia</t>
        </is>
      </c>
      <c r="AQ203" s="24" t="inlineStr">
        <is>
          <t>Andrea Lazaro Garcia</t>
        </is>
      </c>
      <c r="AR203" s="24" t="inlineStr">
        <is>
          <t>Andrea Lazaro Garcia</t>
        </is>
      </c>
      <c r="AS203" s="24" t="inlineStr">
        <is>
          <t>Mai Hontama</t>
        </is>
      </c>
      <c r="AT203" s="24" t="inlineStr">
        <is>
          <t>Mai Hontama</t>
        </is>
      </c>
      <c r="AU203" s="24" t="inlineStr">
        <is>
          <t>Mai Hontama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d777da58446bc099047b154203518e2585ef1a678f613f2b430f2589f7bf5cff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d777da58446bc099047b154203518e2585ef1a678f613f2b430f2589f7bf5cff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d777da58446bc099047b154203518e2585ef1a678f613f2b430f2589f7bf5cff</t>
        </is>
      </c>
      <c r="BH203" s="24" t="inlineStr">
        <is>
          <t>2026-08-26T12:42:14.983155Z</t>
        </is>
      </c>
      <c r="BI203" s="24" t="inlineStr">
        <is>
          <t>["same_event","same_team_same_day","same_league_same_day"]</t>
        </is>
      </c>
      <c r="BJ203" s="25" t="n"/>
      <c r="BK203" s="26" t="n">
        <v>113</v>
      </c>
      <c r="BL203" s="27" t="n">
        <v>2.13</v>
      </c>
      <c r="BM203" s="28" t="n">
        <v>0.469484</v>
      </c>
      <c r="BN203" s="28" t="n"/>
      <c r="BO203" s="28" t="n"/>
      <c r="BP203" s="25" t="n"/>
      <c r="BQ203" s="27" t="n">
        <v>2.13</v>
      </c>
      <c r="BR203" s="28" t="n">
        <v>0.47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inlineStr">
        <is>
          <t>73d724f5f1d84f76b17cec10ef6951e94c750da6f86a2e28cbbcf588c4a549f2</t>
        </is>
      </c>
      <c r="DE203" s="24" t="inlineStr">
        <is>
          <t>/Users/vincentc9002/model-prediction/data/odds/tennis/2026-08-26/polymarket_snapshots.jsonl</t>
        </is>
      </c>
      <c r="DF203" s="24" t="inlineStr">
        <is>
          <t>513153:2026-08-26T12:42:14.983155Z</t>
        </is>
      </c>
      <c r="DG203" s="24" t="n"/>
      <c r="DH203" s="24" t="n"/>
      <c r="DI203" s="24" t="n"/>
      <c r="DJ203" s="24" t="inlineStr">
        <is>
          <t>0.469484</t>
        </is>
      </c>
      <c r="DK203" s="24" t="n"/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c9e46cf35fc249fa</t>
        </is>
      </c>
      <c r="B204" s="24" t="inlineStr">
        <is>
          <t>2026-08-26T12:43:29.834856Z</t>
        </is>
      </c>
      <c r="C204" s="24" t="inlineStr">
        <is>
          <t>2026-08-26T16:30Z</t>
        </is>
      </c>
      <c r="D204" s="24" t="inlineStr">
        <is>
          <t>189-2026:184799</t>
        </is>
      </c>
      <c r="E204" s="24" t="inlineStr">
        <is>
          <t>TENNIS</t>
        </is>
      </c>
      <c r="F204" s="24" t="inlineStr">
        <is>
          <t>Iryna Shymanovich</t>
        </is>
      </c>
      <c r="G204" s="24" t="inlineStr">
        <is>
          <t>Julieta Pareja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-233</v>
      </c>
      <c r="M204" s="27" t="n">
        <v>1.429185</v>
      </c>
      <c r="N204" s="28" t="n">
        <v>0.6997</v>
      </c>
      <c r="O204" s="28" t="n">
        <v>0.5266</v>
      </c>
      <c r="P204" s="28" t="n">
        <v>0.05</v>
      </c>
      <c r="Q204" s="28" t="n">
        <v>-0.1731</v>
      </c>
      <c r="R204" s="26" t="n">
        <v>0</v>
      </c>
      <c r="S204" s="29" t="n">
        <v>1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-233</v>
      </c>
      <c r="AA204" s="28" t="n">
        <v>0.7</v>
      </c>
      <c r="AB204" s="28" t="n">
        <v>0.0003</v>
      </c>
      <c r="AC204" s="30" t="n">
        <v>0.4292</v>
      </c>
      <c r="AD204" s="24" t="inlineStr">
        <is>
          <t>2026-08-26T22:11:10.334357Z</t>
        </is>
      </c>
      <c r="AE204" s="31" t="inlineStr">
        <is>
          <t>Surface-blended Elo on Hard: Iryna Shymanovich p=0.473 vs Julieta Pareja. Executable ask 0.7000 (aec-wta-julpar-iryshy-2026-08-25).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Iryna Shymanovich</t>
        </is>
      </c>
      <c r="AQ204" s="24" t="inlineStr">
        <is>
          <t>Iryna Shymanovich</t>
        </is>
      </c>
      <c r="AR204" s="24" t="inlineStr">
        <is>
          <t>Iryna Shymanovich</t>
        </is>
      </c>
      <c r="AS204" s="24" t="inlineStr">
        <is>
          <t>Julieta Pareja</t>
        </is>
      </c>
      <c r="AT204" s="24" t="inlineStr">
        <is>
          <t>Julieta Pareja</t>
        </is>
      </c>
      <c r="AU204" s="24" t="inlineStr">
        <is>
          <t>Julieta Pareja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d777da58446bc099047b154203518e2585ef1a678f613f2b430f2589f7bf5cff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d777da58446bc099047b154203518e2585ef1a678f613f2b430f2589f7bf5cff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d777da58446bc099047b154203518e2585ef1a678f613f2b430f2589f7bf5cff</t>
        </is>
      </c>
      <c r="BH204" s="24" t="inlineStr">
        <is>
          <t>2026-08-26T12:42:15.297372Z</t>
        </is>
      </c>
      <c r="BI204" s="24" t="inlineStr">
        <is>
          <t>["same_event","same_team_same_day","same_league_same_day"]</t>
        </is>
      </c>
      <c r="BJ204" s="25" t="n"/>
      <c r="BK204" s="26" t="n">
        <v>-233</v>
      </c>
      <c r="BL204" s="27" t="n">
        <v>1.429185</v>
      </c>
      <c r="BM204" s="28" t="n">
        <v>0.6997</v>
      </c>
      <c r="BN204" s="28" t="n"/>
      <c r="BO204" s="28" t="n"/>
      <c r="BP204" s="25" t="n"/>
      <c r="BQ204" s="27" t="n">
        <v>1.429185</v>
      </c>
      <c r="BR204" s="28" t="n">
        <v>0.7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0.429184</v>
      </c>
      <c r="BZ204" s="24" t="inlineStr">
        <is>
          <t>2026-08-26T22:11:10.334357Z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inlineStr">
        <is>
          <t>c99710aaf455b9babf7f491b87698752ed7ef584329c742cbd6499d264fa0b67</t>
        </is>
      </c>
      <c r="DE204" s="24" t="inlineStr">
        <is>
          <t>/Users/vincentc9002/model-prediction/data/odds/tennis/2026-08-26/polymarket_snapshots.jsonl</t>
        </is>
      </c>
      <c r="DF204" s="24" t="inlineStr">
        <is>
          <t>512847:2026-08-26T12:42:15.297372Z</t>
        </is>
      </c>
      <c r="DG204" s="24" t="n"/>
      <c r="DH204" s="24" t="n"/>
      <c r="DI204" s="24" t="n"/>
      <c r="DJ204" s="24" t="inlineStr">
        <is>
          <t>0.6997</t>
        </is>
      </c>
      <c r="DK204" s="24" t="n"/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7ad4d25ca4884bdd</t>
        </is>
      </c>
      <c r="B205" s="24" t="inlineStr">
        <is>
          <t>2026-08-26T12:43:29.834856Z</t>
        </is>
      </c>
      <c r="C205" s="24" t="inlineStr">
        <is>
          <t>2026-08-26T16:30Z</t>
        </is>
      </c>
      <c r="D205" s="24" t="inlineStr">
        <is>
          <t>189-2026:184800</t>
        </is>
      </c>
      <c r="E205" s="24" t="inlineStr">
        <is>
          <t>TENNIS</t>
        </is>
      </c>
      <c r="F205" s="24" t="inlineStr">
        <is>
          <t>Mia Ristic</t>
        </is>
      </c>
      <c r="G205" s="24" t="inlineStr">
        <is>
          <t>Francisca Jorge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100</v>
      </c>
      <c r="M205" s="27" t="n">
        <v>2</v>
      </c>
      <c r="N205" s="28" t="n">
        <v>0.5</v>
      </c>
      <c r="O205" s="28" t="n">
        <v>0.5978</v>
      </c>
      <c r="P205" s="28" t="n">
        <v>0.05</v>
      </c>
      <c r="Q205" s="28" t="n">
        <v>0.0978</v>
      </c>
      <c r="R205" s="26" t="n">
        <v>69</v>
      </c>
      <c r="S205" s="29" t="n">
        <v>1.25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100</v>
      </c>
      <c r="AA205" s="28" t="n">
        <v>0.5</v>
      </c>
      <c r="AB205" s="28" t="n">
        <v>0</v>
      </c>
      <c r="AC205" s="30" t="n">
        <v>1.25</v>
      </c>
      <c r="AD205" s="24" t="inlineStr">
        <is>
          <t>2026-08-26T22:11:12.122494Z</t>
        </is>
      </c>
      <c r="AE205" s="31" t="inlineStr">
        <is>
          <t>Surface-blended Elo on Hard: Mia Ristic p=0.598 vs Francisca Jorge. Executable ask 0.5000 (aec-wta-frajor-miaris-2026-08-26).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Mia Ristic</t>
        </is>
      </c>
      <c r="AQ205" s="24" t="inlineStr">
        <is>
          <t>Mia Ristic</t>
        </is>
      </c>
      <c r="AR205" s="24" t="inlineStr">
        <is>
          <t>Mia Ristic</t>
        </is>
      </c>
      <c r="AS205" s="24" t="inlineStr">
        <is>
          <t>Francisca Jorge</t>
        </is>
      </c>
      <c r="AT205" s="24" t="inlineStr">
        <is>
          <t>Francisca Jorge</t>
        </is>
      </c>
      <c r="AU205" s="24" t="inlineStr">
        <is>
          <t>Francisca Jorge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d777da58446bc099047b154203518e2585ef1a678f613f2b430f2589f7bf5cff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d777da58446bc099047b154203518e2585ef1a678f613f2b430f2589f7bf5cff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d777da58446bc099047b154203518e2585ef1a678f613f2b430f2589f7bf5cff</t>
        </is>
      </c>
      <c r="BH205" s="24" t="inlineStr">
        <is>
          <t>2026-08-26T12:42:15.254623Z</t>
        </is>
      </c>
      <c r="BI205" s="24" t="inlineStr">
        <is>
          <t>["same_event","same_team_same_day","same_league_same_day"]</t>
        </is>
      </c>
      <c r="BJ205" s="25" t="n"/>
      <c r="BK205" s="26" t="n">
        <v>100</v>
      </c>
      <c r="BL205" s="27" t="n">
        <v>2</v>
      </c>
      <c r="BM205" s="28" t="n">
        <v>0.5</v>
      </c>
      <c r="BN205" s="28" t="n"/>
      <c r="BO205" s="28" t="n"/>
      <c r="BP205" s="25" t="n"/>
      <c r="BQ205" s="27" t="n">
        <v>2</v>
      </c>
      <c r="BR205" s="28" t="n">
        <v>0.5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inlineStr">
        <is>
          <t>c4599af2fdf462022b6b57d729b955455c9e01d49e93df016f8b22be4585fa79</t>
        </is>
      </c>
      <c r="DE205" s="24" t="inlineStr">
        <is>
          <t>/Users/vincentc9002/model-prediction/data/odds/tennis/2026-08-26/polymarket_snapshots.jsonl</t>
        </is>
      </c>
      <c r="DF205" s="24" t="inlineStr">
        <is>
          <t>514495:2026-08-26T12:42:15.254623Z</t>
        </is>
      </c>
      <c r="DG205" s="24" t="n"/>
      <c r="DH205" s="24" t="n"/>
      <c r="DI205" s="24" t="n"/>
      <c r="DJ205" s="24" t="inlineStr">
        <is>
          <t>0.5</t>
        </is>
      </c>
      <c r="DK205" s="24" t="n"/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46e39b61124649b8</t>
        </is>
      </c>
      <c r="B206" s="24" t="inlineStr">
        <is>
          <t>2026-08-26T12:43:29.834856Z</t>
        </is>
      </c>
      <c r="C206" s="24" t="inlineStr">
        <is>
          <t>2026-08-26T16:30Z</t>
        </is>
      </c>
      <c r="D206" s="24" t="inlineStr">
        <is>
          <t>189-2026:184801</t>
        </is>
      </c>
      <c r="E206" s="24" t="inlineStr">
        <is>
          <t>TENNIS</t>
        </is>
      </c>
      <c r="F206" s="24" t="inlineStr">
        <is>
          <t>Lucrezia Stefanini</t>
        </is>
      </c>
      <c r="G206" s="24" t="inlineStr">
        <is>
          <t>Madison Brengle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-270</v>
      </c>
      <c r="M206" s="27" t="n">
        <v>1.37037</v>
      </c>
      <c r="N206" s="28" t="n">
        <v>0.72973</v>
      </c>
      <c r="O206" s="28" t="n">
        <v>0.6632</v>
      </c>
      <c r="P206" s="28" t="n">
        <v>0.05</v>
      </c>
      <c r="Q206" s="28" t="n">
        <v>-0.06653000000000001</v>
      </c>
      <c r="R206" s="26" t="n">
        <v>0</v>
      </c>
      <c r="S206" s="29" t="n">
        <v>1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-270</v>
      </c>
      <c r="AA206" s="28" t="n">
        <v>0.73</v>
      </c>
      <c r="AB206" s="28" t="n">
        <v>0.00027</v>
      </c>
      <c r="AC206" s="30" t="n">
        <v>0.3704</v>
      </c>
      <c r="AD206" s="24" t="inlineStr">
        <is>
          <t>2026-08-26T22:11:13.722702Z</t>
        </is>
      </c>
      <c r="AE206" s="31" t="inlineStr">
        <is>
          <t>Surface-blended Elo on Hard: Lucrezia Stefanini p=0.663 vs Madison Brengle. Executable ask 0.7300 (aec-wta-madbre-lucste-2026-08-25).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PAPER_CALL_LOW_EDGE</t>
        </is>
      </c>
      <c r="AP206" s="24" t="inlineStr">
        <is>
          <t>Lucrezia Stefanini</t>
        </is>
      </c>
      <c r="AQ206" s="24" t="inlineStr">
        <is>
          <t>Lucrezia Stefanini</t>
        </is>
      </c>
      <c r="AR206" s="24" t="inlineStr">
        <is>
          <t>Lucrezia Stefanini</t>
        </is>
      </c>
      <c r="AS206" s="24" t="inlineStr">
        <is>
          <t>Madison Brengle</t>
        </is>
      </c>
      <c r="AT206" s="24" t="inlineStr">
        <is>
          <t>Madison Brengle</t>
        </is>
      </c>
      <c r="AU206" s="24" t="inlineStr">
        <is>
          <t>Madison Brengle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d777da58446bc099047b154203518e2585ef1a678f613f2b430f2589f7bf5cff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d777da58446bc099047b154203518e2585ef1a678f613f2b430f2589f7bf5cff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d777da58446bc099047b154203518e2585ef1a678f613f2b430f2589f7bf5cff</t>
        </is>
      </c>
      <c r="BH206" s="24" t="inlineStr">
        <is>
          <t>2026-08-26T12:42:15.367642Z</t>
        </is>
      </c>
      <c r="BI206" s="24" t="inlineStr">
        <is>
          <t>["same_event","same_team_same_day","same_league_same_day"]</t>
        </is>
      </c>
      <c r="BJ206" s="25" t="n"/>
      <c r="BK206" s="26" t="n">
        <v>-270</v>
      </c>
      <c r="BL206" s="27" t="n">
        <v>1.37037</v>
      </c>
      <c r="BM206" s="28" t="n">
        <v>0.72973</v>
      </c>
      <c r="BN206" s="28" t="n"/>
      <c r="BO206" s="28" t="n"/>
      <c r="BP206" s="25" t="n"/>
      <c r="BQ206" s="27" t="n">
        <v>1.37037</v>
      </c>
      <c r="BR206" s="28" t="n">
        <v>0.73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0.37037</v>
      </c>
      <c r="BZ206" s="24" t="inlineStr">
        <is>
          <t>2026-08-26T22:11:13.722702Z</t>
        </is>
      </c>
      <c r="CA206" s="31" t="inlineStr">
        <is>
          <t>fixed one-unit hypothetical scoring; no real exposure or execution</t>
        </is>
      </c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False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inlineStr">
        <is>
          <t>64c0c25c9bd3f9ec86060fa66291ea32b833b38e3755403c3a714be60f238e9e</t>
        </is>
      </c>
      <c r="DE206" s="24" t="inlineStr">
        <is>
          <t>/Users/vincentc9002/model-prediction/data/odds/tennis/2026-08-26/polymarket_snapshots.jsonl</t>
        </is>
      </c>
      <c r="DF206" s="24" t="inlineStr">
        <is>
          <t>513016:2026-08-26T12:42:15.367642Z</t>
        </is>
      </c>
      <c r="DG206" s="24" t="n"/>
      <c r="DH206" s="24" t="n"/>
      <c r="DI206" s="24" t="n"/>
      <c r="DJ206" s="24" t="inlineStr">
        <is>
          <t>0.72973</t>
        </is>
      </c>
      <c r="DK206" s="24" t="n"/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4c8b6662bf244711</t>
        </is>
      </c>
      <c r="B207" s="24" t="inlineStr">
        <is>
          <t>2026-08-26T12:43:29.834856Z</t>
        </is>
      </c>
      <c r="C207" s="24" t="inlineStr">
        <is>
          <t>2026-08-26T16:30Z</t>
        </is>
      </c>
      <c r="D207" s="24" t="inlineStr">
        <is>
          <t>189-2026:184804</t>
        </is>
      </c>
      <c r="E207" s="24" t="inlineStr">
        <is>
          <t>TENNIS</t>
        </is>
      </c>
      <c r="F207" s="24" t="inlineStr">
        <is>
          <t>Gabriela Knutson</t>
        </is>
      </c>
      <c r="G207" s="24" t="inlineStr">
        <is>
          <t>Dominika Salkova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-127</v>
      </c>
      <c r="M207" s="27" t="n">
        <v>1.787402</v>
      </c>
      <c r="N207" s="28" t="n">
        <v>0.5594710000000001</v>
      </c>
      <c r="O207" s="28" t="n">
        <v>0.5345</v>
      </c>
      <c r="P207" s="28" t="n">
        <v>0.05</v>
      </c>
      <c r="Q207" s="28" t="n">
        <v>-0.024971</v>
      </c>
      <c r="R207" s="26" t="n">
        <v>8</v>
      </c>
      <c r="S207" s="29" t="n">
        <v>1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loss</t>
        </is>
      </c>
      <c r="W207" s="26" t="n">
        <v>1</v>
      </c>
      <c r="X207" s="26" t="n">
        <v>0</v>
      </c>
      <c r="Y207" s="25" t="n"/>
      <c r="Z207" s="26" t="n">
        <v>-127</v>
      </c>
      <c r="AA207" s="28" t="n">
        <v>0.5600000000000001</v>
      </c>
      <c r="AB207" s="28" t="n">
        <v>0.000529</v>
      </c>
      <c r="AC207" s="30" t="n">
        <v>-1</v>
      </c>
      <c r="AD207" s="24" t="inlineStr">
        <is>
          <t>2026-08-26T22:11:15.316633Z</t>
        </is>
      </c>
      <c r="AE207" s="31" t="inlineStr">
        <is>
          <t>Surface-blended Elo on Hard: Gabriela Knutson p=0.466 vs Dominika Salkova. Executable ask 0.5600 (aec-wta-domsal-gabknu-2026-08-26).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Gabriela Knutson</t>
        </is>
      </c>
      <c r="AQ207" s="24" t="inlineStr">
        <is>
          <t>Gabriela Knutson</t>
        </is>
      </c>
      <c r="AR207" s="24" t="inlineStr">
        <is>
          <t>Gabriela Knutson</t>
        </is>
      </c>
      <c r="AS207" s="24" t="inlineStr">
        <is>
          <t>Dominika Salkova</t>
        </is>
      </c>
      <c r="AT207" s="24" t="inlineStr">
        <is>
          <t>Dominika Salkova</t>
        </is>
      </c>
      <c r="AU207" s="24" t="inlineStr">
        <is>
          <t>Dominika Salkova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d777da58446bc099047b154203518e2585ef1a678f613f2b430f2589f7bf5cff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d777da58446bc099047b154203518e2585ef1a678f613f2b430f2589f7bf5cff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d777da58446bc099047b154203518e2585ef1a678f613f2b430f2589f7bf5cff</t>
        </is>
      </c>
      <c r="BH207" s="24" t="inlineStr">
        <is>
          <t>2026-08-26T12:42:15.041980Z</t>
        </is>
      </c>
      <c r="BI207" s="24" t="inlineStr">
        <is>
          <t>["same_event","same_team_same_day","same_league_same_day"]</t>
        </is>
      </c>
      <c r="BJ207" s="25" t="n"/>
      <c r="BK207" s="26" t="n">
        <v>-127</v>
      </c>
      <c r="BL207" s="27" t="n">
        <v>1.787402</v>
      </c>
      <c r="BM207" s="28" t="n">
        <v>0.5594710000000001</v>
      </c>
      <c r="BN207" s="28" t="n"/>
      <c r="BO207" s="28" t="n"/>
      <c r="BP207" s="25" t="n"/>
      <c r="BQ207" s="27" t="n">
        <v>1.787402</v>
      </c>
      <c r="BR207" s="28" t="n">
        <v>0.5600000000000001</v>
      </c>
      <c r="BS207" s="28" t="n"/>
      <c r="BT207" s="28" t="n"/>
      <c r="BU207" s="25" t="n"/>
      <c r="BV207" s="29" t="n"/>
      <c r="BW207" s="24" t="n"/>
      <c r="BX207" s="30" t="n">
        <v>1</v>
      </c>
      <c r="BY207" s="27" t="n">
        <v>-1</v>
      </c>
      <c r="BZ207" s="24" t="inlineStr">
        <is>
          <t>2026-08-26T22:11:15.316633Z</t>
        </is>
      </c>
      <c r="CA207" s="31" t="inlineStr">
        <is>
          <t>fixed one-unit hypothetical scoring; no real exposure or execution</t>
        </is>
      </c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inlineStr">
        <is>
          <t>e3cf6a94e6bb1295d672388c94f9b530a50bf8dc50b0510de301c7566f4eeb6a</t>
        </is>
      </c>
      <c r="DE207" s="24" t="inlineStr">
        <is>
          <t>/Users/vincentc9002/model-prediction/data/odds/tennis/2026-08-26/polymarket_snapshots.jsonl</t>
        </is>
      </c>
      <c r="DF207" s="24" t="inlineStr">
        <is>
          <t>516362:2026-08-26T12:42:15.041980Z</t>
        </is>
      </c>
      <c r="DG207" s="24" t="n"/>
      <c r="DH207" s="24" t="n"/>
      <c r="DI207" s="24" t="n"/>
      <c r="DJ207" s="24" t="inlineStr">
        <is>
          <t>0.559471</t>
        </is>
      </c>
      <c r="DK207" s="24" t="n"/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b7839f6397d749ef</t>
        </is>
      </c>
      <c r="B208" s="24" t="inlineStr">
        <is>
          <t>2026-08-26T12:43:29.834856Z</t>
        </is>
      </c>
      <c r="C208" s="24" t="inlineStr">
        <is>
          <t>2026-08-26T15:00Z</t>
        </is>
      </c>
      <c r="D208" s="24" t="inlineStr">
        <is>
          <t>189-2026:184663</t>
        </is>
      </c>
      <c r="E208" s="24" t="inlineStr">
        <is>
          <t>TENNIS</t>
        </is>
      </c>
      <c r="F208" s="24" t="inlineStr">
        <is>
          <t>Luka Pavlovic</t>
        </is>
      </c>
      <c r="G208" s="24" t="inlineStr">
        <is>
          <t>Jacob Fearnley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-355</v>
      </c>
      <c r="M208" s="27" t="n">
        <v>1.28169</v>
      </c>
      <c r="N208" s="28" t="n">
        <v>0.78022</v>
      </c>
      <c r="O208" s="28" t="n">
        <v>0.5031</v>
      </c>
      <c r="P208" s="28" t="n">
        <v>0.05</v>
      </c>
      <c r="Q208" s="28" t="n">
        <v>-0.27712</v>
      </c>
      <c r="R208" s="26" t="n">
        <v>0</v>
      </c>
      <c r="S208" s="29" t="n">
        <v>1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0</v>
      </c>
      <c r="X208" s="26" t="n">
        <v>1</v>
      </c>
      <c r="Y208" s="25" t="n"/>
      <c r="Z208" s="26" t="n">
        <v>-355</v>
      </c>
      <c r="AA208" s="28" t="n">
        <v>0.78</v>
      </c>
      <c r="AB208" s="28" t="n">
        <v>-0.00022</v>
      </c>
      <c r="AC208" s="30" t="n">
        <v>0.2817</v>
      </c>
      <c r="AD208" s="24" t="inlineStr">
        <is>
          <t>2026-08-26T22:11:17.154645Z</t>
        </is>
      </c>
      <c r="AE208" s="31" t="inlineStr">
        <is>
          <t>Surface-blended Elo on Hard: Luka Pavlovic p=0.497 vs Jacob Fearnley. Executable ask 0.7800 (aec-atp-jacfea-lukpav-2026-08-25).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paper_call</t>
        </is>
      </c>
      <c r="AL208" s="26" t="n">
        <v>4</v>
      </c>
      <c r="AM208" s="24" t="inlineStr">
        <is>
          <t>RESEARCH_OBSERVATION</t>
        </is>
      </c>
      <c r="AN208" s="24" t="inlineStr">
        <is>
          <t>CALL</t>
        </is>
      </c>
      <c r="AO208" s="24" t="inlineStr">
        <is>
          <t>PAPER_CALL_LOW_EDGE</t>
        </is>
      </c>
      <c r="AP208" s="24" t="inlineStr">
        <is>
          <t>Luka Pavlovic</t>
        </is>
      </c>
      <c r="AQ208" s="24" t="inlineStr">
        <is>
          <t>Luka Pavlovic</t>
        </is>
      </c>
      <c r="AR208" s="24" t="inlineStr">
        <is>
          <t>Luka Pavlovic</t>
        </is>
      </c>
      <c r="AS208" s="24" t="inlineStr">
        <is>
          <t>Jacob Fearnley</t>
        </is>
      </c>
      <c r="AT208" s="24" t="inlineStr">
        <is>
          <t>Jacob Fearnley</t>
        </is>
      </c>
      <c r="AU208" s="24" t="inlineStr">
        <is>
          <t>Jacob Fearnley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d777da58446bc099047b154203518e2585ef1a678f613f2b430f2589f7bf5cff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d777da58446bc099047b154203518e2585ef1a678f613f2b430f2589f7bf5cff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d777da58446bc099047b154203518e2585ef1a678f613f2b430f2589f7bf5cff</t>
        </is>
      </c>
      <c r="BH208" s="24" t="inlineStr">
        <is>
          <t>2026-08-26T12:42:15.592459Z</t>
        </is>
      </c>
      <c r="BI208" s="24" t="inlineStr">
        <is>
          <t>["same_event","same_team_same_day","same_league_same_day"]</t>
        </is>
      </c>
      <c r="BJ208" s="25" t="n"/>
      <c r="BK208" s="26" t="n">
        <v>-355</v>
      </c>
      <c r="BL208" s="27" t="n">
        <v>1.28169</v>
      </c>
      <c r="BM208" s="28" t="n">
        <v>0.78022</v>
      </c>
      <c r="BN208" s="28" t="n"/>
      <c r="BO208" s="28" t="n"/>
      <c r="BP208" s="25" t="n"/>
      <c r="BQ208" s="27" t="n">
        <v>1.28169</v>
      </c>
      <c r="BR208" s="28" t="n">
        <v>0.78</v>
      </c>
      <c r="BS208" s="28" t="n"/>
      <c r="BT208" s="28" t="n"/>
      <c r="BU208" s="25" t="n"/>
      <c r="BV208" s="29" t="n"/>
      <c r="BW208" s="24" t="n"/>
      <c r="BX208" s="30" t="n">
        <v>1</v>
      </c>
      <c r="BY208" s="27" t="n">
        <v>0.28169</v>
      </c>
      <c r="BZ208" s="24" t="inlineStr">
        <is>
          <t>2026-08-26T22:11:17.154645Z</t>
        </is>
      </c>
      <c r="CA208" s="31" t="inlineStr">
        <is>
          <t>fixed one-unit hypothetical scoring; no real exposure or execution</t>
        </is>
      </c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inlineStr">
        <is>
          <t>fd755ef2e4f4b255c10235736bfd970b6f8a57e90b01872f5563d39c3ca87f49</t>
        </is>
      </c>
      <c r="DE208" s="24" t="inlineStr">
        <is>
          <t>/Users/vincentc9002/model-prediction/data/odds/tennis/2026-08-26/polymarket_snapshots.jsonl</t>
        </is>
      </c>
      <c r="DF208" s="24" t="inlineStr">
        <is>
          <t>513050:2026-08-26T12:42:15.592459Z</t>
        </is>
      </c>
      <c r="DG208" s="24" t="n"/>
      <c r="DH208" s="24" t="n"/>
      <c r="DI208" s="24" t="n"/>
      <c r="DJ208" s="24" t="inlineStr">
        <is>
          <t>0.78022</t>
        </is>
      </c>
      <c r="DK208" s="24" t="n"/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d78f2a7c960a4e8c</t>
        </is>
      </c>
      <c r="B209" s="24" t="inlineStr">
        <is>
          <t>2026-08-26T12:43:29.834856Z</t>
        </is>
      </c>
      <c r="C209" s="24" t="inlineStr">
        <is>
          <t>2026-08-26T15:00Z</t>
        </is>
      </c>
      <c r="D209" s="24" t="inlineStr">
        <is>
          <t>189-2026:184664</t>
        </is>
      </c>
      <c r="E209" s="24" t="inlineStr">
        <is>
          <t>TENNIS</t>
        </is>
      </c>
      <c r="F209" s="24" t="inlineStr">
        <is>
          <t>Jordan Lee</t>
        </is>
      </c>
      <c r="G209" s="24" t="inlineStr">
        <is>
          <t>Daniel Rincon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178</v>
      </c>
      <c r="M209" s="27" t="n">
        <v>2.78</v>
      </c>
      <c r="N209" s="28" t="n">
        <v>0.359712</v>
      </c>
      <c r="O209" s="28" t="n">
        <v>0.5414</v>
      </c>
      <c r="P209" s="28" t="n">
        <v>0.05</v>
      </c>
      <c r="Q209" s="28" t="n">
        <v>0.181688</v>
      </c>
      <c r="R209" s="26" t="n">
        <v>100</v>
      </c>
      <c r="S209" s="29" t="n">
        <v>2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loss</t>
        </is>
      </c>
      <c r="W209" s="26" t="n">
        <v>0</v>
      </c>
      <c r="X209" s="26" t="n">
        <v>1</v>
      </c>
      <c r="Y209" s="25" t="n"/>
      <c r="Z209" s="26" t="n">
        <v>178</v>
      </c>
      <c r="AA209" s="28" t="n">
        <v>0.36</v>
      </c>
      <c r="AB209" s="28" t="n">
        <v>0.000288</v>
      </c>
      <c r="AC209" s="30" t="n">
        <v>-2</v>
      </c>
      <c r="AD209" s="24" t="inlineStr">
        <is>
          <t>2026-08-26T22:11:19.016903Z</t>
        </is>
      </c>
      <c r="AE209" s="31" t="inlineStr">
        <is>
          <t>Surface-blended Elo on Hard: Jordan Lee p=0.541 vs Daniel Rincon. Executable ask 0.3600 (aec-atp-danrin-jorlee-2026-08-26).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PAPER_CALL_MODEL_UNVALIDATED</t>
        </is>
      </c>
      <c r="AP209" s="24" t="inlineStr">
        <is>
          <t>Jordan Lee</t>
        </is>
      </c>
      <c r="AQ209" s="24" t="inlineStr">
        <is>
          <t>Jordan Lee</t>
        </is>
      </c>
      <c r="AR209" s="24" t="inlineStr">
        <is>
          <t>Jordan Lee</t>
        </is>
      </c>
      <c r="AS209" s="24" t="inlineStr">
        <is>
          <t>Daniel Rincon</t>
        </is>
      </c>
      <c r="AT209" s="24" t="inlineStr">
        <is>
          <t>Daniel Rincon</t>
        </is>
      </c>
      <c r="AU209" s="24" t="inlineStr">
        <is>
          <t>Daniel Rincon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d777da58446bc099047b154203518e2585ef1a678f613f2b430f2589f7bf5cff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d777da58446bc099047b154203518e2585ef1a678f613f2b430f2589f7bf5cff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d777da58446bc099047b154203518e2585ef1a678f613f2b430f2589f7bf5cff</t>
        </is>
      </c>
      <c r="BH209" s="24" t="inlineStr">
        <is>
          <t>2026-08-26T12:42:16.542835Z</t>
        </is>
      </c>
      <c r="BI209" s="24" t="inlineStr">
        <is>
          <t>["same_event","same_team_same_day","same_league_same_day"]</t>
        </is>
      </c>
      <c r="BJ209" s="25" t="n"/>
      <c r="BK209" s="26" t="n">
        <v>178</v>
      </c>
      <c r="BL209" s="27" t="n">
        <v>2.78</v>
      </c>
      <c r="BM209" s="28" t="n">
        <v>0.359712</v>
      </c>
      <c r="BN209" s="28" t="n"/>
      <c r="BO209" s="28" t="n"/>
      <c r="BP209" s="25" t="n"/>
      <c r="BQ209" s="27" t="n">
        <v>2.78</v>
      </c>
      <c r="BR209" s="28" t="n">
        <v>0.36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-1</v>
      </c>
      <c r="BZ209" s="24" t="inlineStr">
        <is>
          <t>2026-08-26T22:11:19.016903Z</t>
        </is>
      </c>
      <c r="CA209" s="31" t="inlineStr">
        <is>
          <t>fixed one-unit hypothetical scoring; no real exposure or execution</t>
        </is>
      </c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inlineStr">
        <is>
          <t>77aefde60e2b613f9f25cd1304a39814a9b7328d383dfa12a0efb31625930ee0</t>
        </is>
      </c>
      <c r="DE209" s="24" t="inlineStr">
        <is>
          <t>/Users/vincentc9002/model-prediction/data/odds/tennis/2026-08-26/polymarket_snapshots.jsonl</t>
        </is>
      </c>
      <c r="DF209" s="24" t="inlineStr">
        <is>
          <t>513054:2026-08-26T12:42:16.542835Z</t>
        </is>
      </c>
      <c r="DG209" s="24" t="n"/>
      <c r="DH209" s="24" t="n"/>
      <c r="DI209" s="24" t="n"/>
      <c r="DJ209" s="24" t="inlineStr">
        <is>
          <t>0.359712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3f51901bcdaa4f7e</t>
        </is>
      </c>
      <c r="B210" s="24" t="inlineStr">
        <is>
          <t>2026-08-26T12:43:29.834856Z</t>
        </is>
      </c>
      <c r="C210" s="24" t="inlineStr">
        <is>
          <t>2026-08-26T15:00Z</t>
        </is>
      </c>
      <c r="D210" s="24" t="inlineStr">
        <is>
          <t>189-2026:184671</t>
        </is>
      </c>
      <c r="E210" s="24" t="inlineStr">
        <is>
          <t>TENNIS</t>
        </is>
      </c>
      <c r="F210" s="24" t="inlineStr">
        <is>
          <t>Joel Josef Schwaerzler</t>
        </is>
      </c>
      <c r="G210" s="24" t="inlineStr">
        <is>
          <t>Andrea Guerrieri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133</v>
      </c>
      <c r="M210" s="27" t="n">
        <v>2.33</v>
      </c>
      <c r="N210" s="28" t="n">
        <v>0.429185</v>
      </c>
      <c r="O210" s="28" t="n">
        <v>0.5952</v>
      </c>
      <c r="P210" s="28" t="n">
        <v>0.05</v>
      </c>
      <c r="Q210" s="28" t="n">
        <v>0.166015</v>
      </c>
      <c r="R210" s="26" t="n">
        <v>100</v>
      </c>
      <c r="S210" s="29" t="n">
        <v>1.75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133</v>
      </c>
      <c r="AA210" s="28" t="n">
        <v>0.43</v>
      </c>
      <c r="AB210" s="28" t="n">
        <v>0.000815</v>
      </c>
      <c r="AC210" s="30" t="n">
        <v>2.3275</v>
      </c>
      <c r="AD210" s="24" t="inlineStr">
        <is>
          <t>2026-08-26T22:11:20.586874Z</t>
        </is>
      </c>
      <c r="AE210" s="31" t="inlineStr">
        <is>
          <t>Surface-blended Elo on Hard: Joel Josef Schwaerzler p=0.405 vs Andrea Guerrieri. Executable ask 0.4300 (aec-atp-andgue-joesch-2026-08-26).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PAPER_CALL_MODEL_UNVALIDATED</t>
        </is>
      </c>
      <c r="AP210" s="24" t="inlineStr">
        <is>
          <t>Joel Josef Schwaerzler</t>
        </is>
      </c>
      <c r="AQ210" s="24" t="inlineStr">
        <is>
          <t>Joel Josef Schwaerzler</t>
        </is>
      </c>
      <c r="AR210" s="24" t="inlineStr">
        <is>
          <t>Joel Josef Schwaerzler</t>
        </is>
      </c>
      <c r="AS210" s="24" t="inlineStr">
        <is>
          <t>Andrea Guerrieri</t>
        </is>
      </c>
      <c r="AT210" s="24" t="inlineStr">
        <is>
          <t>Andrea Guerrieri</t>
        </is>
      </c>
      <c r="AU210" s="24" t="inlineStr">
        <is>
          <t>Andrea Guerrieri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d777da58446bc099047b154203518e2585ef1a678f613f2b430f2589f7bf5cff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d777da58446bc099047b154203518e2585ef1a678f613f2b430f2589f7bf5cff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d777da58446bc099047b154203518e2585ef1a678f613f2b430f2589f7bf5cff</t>
        </is>
      </c>
      <c r="BH210" s="24" t="inlineStr">
        <is>
          <t>2026-08-26T12:42:16.085956Z</t>
        </is>
      </c>
      <c r="BI210" s="24" t="inlineStr">
        <is>
          <t>["same_event","same_team_same_day","same_league_same_day"]</t>
        </is>
      </c>
      <c r="BJ210" s="25" t="n"/>
      <c r="BK210" s="26" t="n">
        <v>133</v>
      </c>
      <c r="BL210" s="27" t="n">
        <v>2.33</v>
      </c>
      <c r="BM210" s="28" t="n">
        <v>0.429185</v>
      </c>
      <c r="BN210" s="28" t="n"/>
      <c r="BO210" s="28" t="n"/>
      <c r="BP210" s="25" t="n"/>
      <c r="BQ210" s="27" t="n">
        <v>2.33</v>
      </c>
      <c r="BR210" s="28" t="n">
        <v>0.43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1.329998</v>
      </c>
      <c r="BZ210" s="24" t="inlineStr">
        <is>
          <t>2026-08-26T22:11:20.586874Z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inlineStr">
        <is>
          <t>92f6db70356a29085eb24048d8e7613b2c127158106ffacebd9c67436466546e</t>
        </is>
      </c>
      <c r="DE210" s="24" t="inlineStr">
        <is>
          <t>/Users/vincentc9002/model-prediction/data/odds/tennis/2026-08-26/polymarket_snapshots.jsonl</t>
        </is>
      </c>
      <c r="DF210" s="24" t="inlineStr">
        <is>
          <t>514512:2026-08-26T12:42:16.085956Z</t>
        </is>
      </c>
      <c r="DG210" s="24" t="n"/>
      <c r="DH210" s="24" t="n"/>
      <c r="DI210" s="24" t="n"/>
      <c r="DJ210" s="24" t="inlineStr">
        <is>
          <t>0.429185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eedb9b95dc624ce7</t>
        </is>
      </c>
      <c r="B211" s="24" t="inlineStr">
        <is>
          <t>2026-08-26T12:43:29.834856Z</t>
        </is>
      </c>
      <c r="C211" s="24" t="inlineStr">
        <is>
          <t>2026-08-26T15:00Z</t>
        </is>
      </c>
      <c r="D211" s="24" t="inlineStr">
        <is>
          <t>189-2026:184681</t>
        </is>
      </c>
      <c r="E211" s="24" t="inlineStr">
        <is>
          <t>TENNIS</t>
        </is>
      </c>
      <c r="F211" s="24" t="inlineStr">
        <is>
          <t>Aziz Dougaz</t>
        </is>
      </c>
      <c r="G211" s="24" t="inlineStr">
        <is>
          <t>Kyrian Jacquet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-270</v>
      </c>
      <c r="M211" s="27" t="n">
        <v>1.37037</v>
      </c>
      <c r="N211" s="28" t="n">
        <v>0.72973</v>
      </c>
      <c r="O211" s="28" t="n">
        <v>0.6314</v>
      </c>
      <c r="P211" s="28" t="n">
        <v>0.05</v>
      </c>
      <c r="Q211" s="28" t="n">
        <v>-0.09833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</v>
      </c>
      <c r="X211" s="26" t="n">
        <v>0</v>
      </c>
      <c r="Y211" s="25" t="n"/>
      <c r="Z211" s="26" t="n">
        <v>-270</v>
      </c>
      <c r="AA211" s="28" t="n">
        <v>0.73</v>
      </c>
      <c r="AB211" s="28" t="n">
        <v>0.00027</v>
      </c>
      <c r="AC211" s="30" t="n">
        <v>-1</v>
      </c>
      <c r="AD211" s="24" t="inlineStr">
        <is>
          <t>2026-08-26T22:11:22.188257Z</t>
        </is>
      </c>
      <c r="AE211" s="31" t="inlineStr">
        <is>
          <t>Surface-blended Elo on Hard: Aziz Dougaz p=0.369 vs Kyrian Jacquet. Executable ask 0.7300 (aec-atp-kyrjac-azidou-2026-08-25).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PAPER_CALL_LOW_EDGE</t>
        </is>
      </c>
      <c r="AP211" s="24" t="inlineStr">
        <is>
          <t>Aziz Dougaz</t>
        </is>
      </c>
      <c r="AQ211" s="24" t="inlineStr">
        <is>
          <t>Aziz Dougaz</t>
        </is>
      </c>
      <c r="AR211" s="24" t="inlineStr">
        <is>
          <t>Aziz Dougaz</t>
        </is>
      </c>
      <c r="AS211" s="24" t="inlineStr">
        <is>
          <t>Kyrian Jacquet</t>
        </is>
      </c>
      <c r="AT211" s="24" t="inlineStr">
        <is>
          <t>Kyrian Jacquet</t>
        </is>
      </c>
      <c r="AU211" s="24" t="inlineStr">
        <is>
          <t>Kyrian Jacquet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d777da58446bc099047b154203518e2585ef1a678f613f2b430f2589f7bf5cff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d777da58446bc099047b154203518e2585ef1a678f613f2b430f2589f7bf5cff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d777da58446bc099047b154203518e2585ef1a678f613f2b430f2589f7bf5cff</t>
        </is>
      </c>
      <c r="BH211" s="24" t="inlineStr">
        <is>
          <t>2026-08-26T12:42:16.460567Z</t>
        </is>
      </c>
      <c r="BI211" s="24" t="inlineStr">
        <is>
          <t>["same_event","same_team_same_day","same_league_same_day"]</t>
        </is>
      </c>
      <c r="BJ211" s="25" t="n"/>
      <c r="BK211" s="26" t="n">
        <v>-270</v>
      </c>
      <c r="BL211" s="27" t="n">
        <v>1.37037</v>
      </c>
      <c r="BM211" s="28" t="n">
        <v>0.72973</v>
      </c>
      <c r="BN211" s="28" t="n"/>
      <c r="BO211" s="28" t="n"/>
      <c r="BP211" s="25" t="n"/>
      <c r="BQ211" s="27" t="n">
        <v>1.37037</v>
      </c>
      <c r="BR211" s="28" t="n">
        <v>0.73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-1</v>
      </c>
      <c r="BZ211" s="24" t="inlineStr">
        <is>
          <t>2026-08-26T22:11:22.188257Z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inlineStr">
        <is>
          <t>962ac4167f411ca6e165f3fc0343a3b473a0fa670ccd5d2f4ae8a21a40790208</t>
        </is>
      </c>
      <c r="DE211" s="24" t="inlineStr">
        <is>
          <t>/Users/vincentc9002/model-prediction/data/odds/tennis/2026-08-26/polymarket_snapshots.jsonl</t>
        </is>
      </c>
      <c r="DF211" s="24" t="inlineStr">
        <is>
          <t>513777:2026-08-26T12:42:16.460567Z</t>
        </is>
      </c>
      <c r="DG211" s="24" t="n"/>
      <c r="DH211" s="24" t="n"/>
      <c r="DI211" s="24" t="n"/>
      <c r="DJ211" s="24" t="inlineStr">
        <is>
          <t>0.72973</t>
        </is>
      </c>
      <c r="DK211" s="24" t="n"/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2c6f2f463d7344e8</t>
        </is>
      </c>
      <c r="B212" s="24" t="inlineStr">
        <is>
          <t>2026-08-26T12:43:29.834856Z</t>
        </is>
      </c>
      <c r="C212" s="24" t="inlineStr">
        <is>
          <t>2026-08-26T15:00Z</t>
        </is>
      </c>
      <c r="D212" s="24" t="inlineStr">
        <is>
          <t>189-2026:184777</t>
        </is>
      </c>
      <c r="E212" s="24" t="inlineStr">
        <is>
          <t>TENNIS</t>
        </is>
      </c>
      <c r="F212" s="24" t="inlineStr">
        <is>
          <t>Jurij Rodionov</t>
        </is>
      </c>
      <c r="G212" s="24" t="inlineStr">
        <is>
          <t>Frederico Ferreira Silva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-186</v>
      </c>
      <c r="M212" s="27" t="n">
        <v>1.537634</v>
      </c>
      <c r="N212" s="28" t="n">
        <v>0.65035</v>
      </c>
      <c r="O212" s="28" t="n">
        <v>0.5786</v>
      </c>
      <c r="P212" s="28" t="n">
        <v>0.05</v>
      </c>
      <c r="Q212" s="28" t="n">
        <v>-0.07174999999999999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-186</v>
      </c>
      <c r="AA212" s="28" t="n">
        <v>0.65</v>
      </c>
      <c r="AB212" s="28" t="n">
        <v>-0.00035</v>
      </c>
      <c r="AC212" s="30" t="n">
        <v>0.5376</v>
      </c>
      <c r="AD212" s="24" t="inlineStr">
        <is>
          <t>2026-08-26T22:11:23.854766Z</t>
        </is>
      </c>
      <c r="AE212" s="31" t="inlineStr">
        <is>
          <t>Surface-blended Elo on Hard: Jurij Rodionov p=0.579 vs Frederico Ferreira Silva. Executable ask 0.6500 (aec-atp-fresil-jurrod-2026-08-25).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PAPER_CALL_MODEL_UNVALIDATED</t>
        </is>
      </c>
      <c r="AP212" s="24" t="inlineStr">
        <is>
          <t>Jurij Rodionov</t>
        </is>
      </c>
      <c r="AQ212" s="24" t="inlineStr">
        <is>
          <t>Jurij Rodionov</t>
        </is>
      </c>
      <c r="AR212" s="24" t="inlineStr">
        <is>
          <t>Jurij Rodionov</t>
        </is>
      </c>
      <c r="AS212" s="24" t="inlineStr">
        <is>
          <t>Frederico Ferreira Silva</t>
        </is>
      </c>
      <c r="AT212" s="24" t="inlineStr">
        <is>
          <t>Frederico Ferreira Silva</t>
        </is>
      </c>
      <c r="AU212" s="24" t="inlineStr">
        <is>
          <t>Frederico Ferreira Silva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d777da58446bc099047b154203518e2585ef1a678f613f2b430f2589f7bf5cff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d777da58446bc099047b154203518e2585ef1a678f613f2b430f2589f7bf5cff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d777da58446bc099047b154203518e2585ef1a678f613f2b430f2589f7bf5cff</t>
        </is>
      </c>
      <c r="BH212" s="24" t="inlineStr">
        <is>
          <t>2026-08-26T12:42:17.055567Z</t>
        </is>
      </c>
      <c r="BI212" s="24" t="inlineStr">
        <is>
          <t>["same_event","same_team_same_day","same_league_same_day"]</t>
        </is>
      </c>
      <c r="BJ212" s="25" t="n"/>
      <c r="BK212" s="26" t="n">
        <v>-186</v>
      </c>
      <c r="BL212" s="27" t="n">
        <v>1.537634</v>
      </c>
      <c r="BM212" s="28" t="n">
        <v>0.65035</v>
      </c>
      <c r="BN212" s="28" t="n"/>
      <c r="BO212" s="28" t="n"/>
      <c r="BP212" s="25" t="n"/>
      <c r="BQ212" s="27" t="n">
        <v>1.537634</v>
      </c>
      <c r="BR212" s="28" t="n">
        <v>0.65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0.5376339999999999</v>
      </c>
      <c r="BZ212" s="24" t="inlineStr">
        <is>
          <t>2026-08-26T22:11:23.854766Z</t>
        </is>
      </c>
      <c r="CA212" s="31" t="inlineStr">
        <is>
          <t>fixed one-unit hypothetical scoring; no real exposure or execution</t>
        </is>
      </c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inlineStr">
        <is>
          <t>07b78263578e8528a70abd5d64456294df0fcf094e714a59c45c168f0c819916</t>
        </is>
      </c>
      <c r="DE212" s="24" t="inlineStr">
        <is>
          <t>/Users/vincentc9002/model-prediction/data/odds/tennis/2026-08-26/polymarket_snapshots.jsonl</t>
        </is>
      </c>
      <c r="DF212" s="24" t="inlineStr">
        <is>
          <t>512493:2026-08-26T12:42:17.055567Z</t>
        </is>
      </c>
      <c r="DG212" s="24" t="n"/>
      <c r="DH212" s="24" t="n"/>
      <c r="DI212" s="24" t="n"/>
      <c r="DJ212" s="24" t="inlineStr">
        <is>
          <t>0.65035</t>
        </is>
      </c>
      <c r="DK212" s="24" t="n"/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e87398bde9364aec</t>
        </is>
      </c>
      <c r="B213" s="24" t="inlineStr">
        <is>
          <t>2026-08-26T12:43:29.834856Z</t>
        </is>
      </c>
      <c r="C213" s="24" t="inlineStr">
        <is>
          <t>2026-08-26T16:30Z</t>
        </is>
      </c>
      <c r="D213" s="24" t="inlineStr">
        <is>
          <t>189-2026:184662</t>
        </is>
      </c>
      <c r="E213" s="24" t="inlineStr">
        <is>
          <t>TENNIS</t>
        </is>
      </c>
      <c r="F213" s="24" t="inlineStr">
        <is>
          <t>Dusan Lajovic</t>
        </is>
      </c>
      <c r="G213" s="24" t="inlineStr">
        <is>
          <t>David Jorda Sanchis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-355</v>
      </c>
      <c r="M213" s="27" t="n">
        <v>1.28169</v>
      </c>
      <c r="N213" s="28" t="n">
        <v>0.78022</v>
      </c>
      <c r="O213" s="28" t="n">
        <v>0.5524</v>
      </c>
      <c r="P213" s="28" t="n">
        <v>0.05</v>
      </c>
      <c r="Q213" s="28" t="n">
        <v>-0.22782</v>
      </c>
      <c r="R213" s="26" t="n">
        <v>0</v>
      </c>
      <c r="S213" s="29" t="n">
        <v>1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1</v>
      </c>
      <c r="X213" s="26" t="n">
        <v>0</v>
      </c>
      <c r="Y213" s="25" t="n"/>
      <c r="Z213" s="26" t="n">
        <v>-355</v>
      </c>
      <c r="AA213" s="28" t="n">
        <v>0.78</v>
      </c>
      <c r="AB213" s="28" t="n">
        <v>-0.00022</v>
      </c>
      <c r="AC213" s="30" t="n">
        <v>0.2817</v>
      </c>
      <c r="AD213" s="24" t="inlineStr">
        <is>
          <t>2026-08-26T22:11:25.546297Z</t>
        </is>
      </c>
      <c r="AE213" s="31" t="inlineStr">
        <is>
          <t>Surface-blended Elo on Hard: Dusan Lajovic p=0.552 vs David Jorda Sanchis. Executable ask 0.7800 (aec-atp-davsan-duslaj-2026-08-26).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Dusan Lajovic</t>
        </is>
      </c>
      <c r="AQ213" s="24" t="inlineStr">
        <is>
          <t>Dusan Lajovic</t>
        </is>
      </c>
      <c r="AR213" s="24" t="inlineStr">
        <is>
          <t>Dusan Lajovic</t>
        </is>
      </c>
      <c r="AS213" s="24" t="inlineStr">
        <is>
          <t>David Jorda Sanchis</t>
        </is>
      </c>
      <c r="AT213" s="24" t="inlineStr">
        <is>
          <t>David Jorda Sanchis</t>
        </is>
      </c>
      <c r="AU213" s="24" t="inlineStr">
        <is>
          <t>David Jorda Sanchis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d777da58446bc099047b154203518e2585ef1a678f613f2b430f2589f7bf5cff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d777da58446bc099047b154203518e2585ef1a678f613f2b430f2589f7bf5cff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d777da58446bc099047b154203518e2585ef1a678f613f2b430f2589f7bf5cff</t>
        </is>
      </c>
      <c r="BH213" s="24" t="inlineStr">
        <is>
          <t>2026-08-26T12:42:17.330547Z</t>
        </is>
      </c>
      <c r="BI213" s="24" t="inlineStr">
        <is>
          <t>["same_event","same_team_same_day","same_league_same_day"]</t>
        </is>
      </c>
      <c r="BJ213" s="25" t="n"/>
      <c r="BK213" s="26" t="n">
        <v>-355</v>
      </c>
      <c r="BL213" s="27" t="n">
        <v>1.28169</v>
      </c>
      <c r="BM213" s="28" t="n">
        <v>0.78022</v>
      </c>
      <c r="BN213" s="28" t="n"/>
      <c r="BO213" s="28" t="n"/>
      <c r="BP213" s="25" t="n"/>
      <c r="BQ213" s="27" t="n">
        <v>1.28169</v>
      </c>
      <c r="BR213" s="28" t="n">
        <v>0.78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0.28169</v>
      </c>
      <c r="BZ213" s="24" t="inlineStr">
        <is>
          <t>2026-08-26T22:11:25.546297Z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inlineStr">
        <is>
          <t>a85a26765fb6851468526cd363f28af2cb447d22e4d01ee13006e97689eb6583</t>
        </is>
      </c>
      <c r="DE213" s="24" t="inlineStr">
        <is>
          <t>/Users/vincentc9002/model-prediction/data/odds/tennis/2026-08-26/polymarket_snapshots.jsonl</t>
        </is>
      </c>
      <c r="DF213" s="24" t="inlineStr">
        <is>
          <t>520603:2026-08-26T12:42:17.330547Z</t>
        </is>
      </c>
      <c r="DG213" s="24" t="n"/>
      <c r="DH213" s="24" t="n"/>
      <c r="DI213" s="24" t="n"/>
      <c r="DJ213" s="24" t="inlineStr">
        <is>
          <t>0.78022</t>
        </is>
      </c>
      <c r="DK213" s="24" t="n"/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10dc73890cf54042</t>
        </is>
      </c>
      <c r="B214" s="24" t="inlineStr">
        <is>
          <t>2026-08-26T12:43:29.834856Z</t>
        </is>
      </c>
      <c r="C214" s="24" t="inlineStr">
        <is>
          <t>2026-08-26T16:30Z</t>
        </is>
      </c>
      <c r="D214" s="24" t="inlineStr">
        <is>
          <t>189-2026:184669</t>
        </is>
      </c>
      <c r="E214" s="24" t="inlineStr">
        <is>
          <t>TENNIS</t>
        </is>
      </c>
      <c r="F214" s="24" t="inlineStr">
        <is>
          <t>Grigor Dimitrov</t>
        </is>
      </c>
      <c r="G214" s="24" t="inlineStr">
        <is>
          <t>Timofey Skatov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-525</v>
      </c>
      <c r="M214" s="27" t="n">
        <v>1.190476</v>
      </c>
      <c r="N214" s="28" t="n">
        <v>0.84</v>
      </c>
      <c r="O214" s="28" t="n">
        <v>0.6001</v>
      </c>
      <c r="P214" s="28" t="n">
        <v>0.05</v>
      </c>
      <c r="Q214" s="28" t="n">
        <v>-0.2399</v>
      </c>
      <c r="R214" s="26" t="n">
        <v>0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-525</v>
      </c>
      <c r="AA214" s="28" t="n">
        <v>0.84</v>
      </c>
      <c r="AB214" s="28" t="n">
        <v>0</v>
      </c>
      <c r="AC214" s="30" t="n">
        <v>0.1905</v>
      </c>
      <c r="AD214" s="24" t="inlineStr">
        <is>
          <t>2026-08-26T22:11:27.249314Z</t>
        </is>
      </c>
      <c r="AE214" s="31" t="inlineStr">
        <is>
          <t>Surface-blended Elo on Hard: Grigor Dimitrov p=0.600 vs Timofey Skatov. Executable ask 0.8400 (aec-atp-timska-gridim-2026-08-26).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Grigor Dimitrov</t>
        </is>
      </c>
      <c r="AQ214" s="24" t="inlineStr">
        <is>
          <t>Grigor Dimitrov</t>
        </is>
      </c>
      <c r="AR214" s="24" t="inlineStr">
        <is>
          <t>Grigor Dimitrov</t>
        </is>
      </c>
      <c r="AS214" s="24" t="inlineStr">
        <is>
          <t>Timofey Skatov</t>
        </is>
      </c>
      <c r="AT214" s="24" t="inlineStr">
        <is>
          <t>Timofey Skatov</t>
        </is>
      </c>
      <c r="AU214" s="24" t="inlineStr">
        <is>
          <t>Timofey Skatov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d777da58446bc099047b154203518e2585ef1a678f613f2b430f2589f7bf5cff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d777da58446bc099047b154203518e2585ef1a678f613f2b430f2589f7bf5cff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d777da58446bc099047b154203518e2585ef1a678f613f2b430f2589f7bf5cff</t>
        </is>
      </c>
      <c r="BH214" s="24" t="inlineStr">
        <is>
          <t>2026-08-26T12:42:17.550416Z</t>
        </is>
      </c>
      <c r="BI214" s="24" t="inlineStr">
        <is>
          <t>["same_event","same_team_same_day","same_league_same_day"]</t>
        </is>
      </c>
      <c r="BJ214" s="25" t="n"/>
      <c r="BK214" s="26" t="n">
        <v>-525</v>
      </c>
      <c r="BL214" s="27" t="n">
        <v>1.190476</v>
      </c>
      <c r="BM214" s="28" t="n">
        <v>0.84</v>
      </c>
      <c r="BN214" s="28" t="n"/>
      <c r="BO214" s="28" t="n"/>
      <c r="BP214" s="25" t="n"/>
      <c r="BQ214" s="27" t="n">
        <v>1.190476</v>
      </c>
      <c r="BR214" s="28" t="n">
        <v>0.84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0.190476</v>
      </c>
      <c r="BZ214" s="24" t="inlineStr">
        <is>
          <t>2026-08-26T22:11:27.249314Z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inlineStr">
        <is>
          <t>68a3c9cb2c94327e8a99c510ff4c0c572dc68c708270ffd46631f47bd9df6d90</t>
        </is>
      </c>
      <c r="DE214" s="24" t="inlineStr">
        <is>
          <t>/Users/vincentc9002/model-prediction/data/odds/tennis/2026-08-26/polymarket_snapshots.jsonl</t>
        </is>
      </c>
      <c r="DF214" s="24" t="inlineStr">
        <is>
          <t>520866:2026-08-26T12:42:17.550416Z</t>
        </is>
      </c>
      <c r="DG214" s="24" t="n"/>
      <c r="DH214" s="24" t="n"/>
      <c r="DI214" s="24" t="n"/>
      <c r="DJ214" s="24" t="inlineStr">
        <is>
          <t>0.84</t>
        </is>
      </c>
      <c r="DK214" s="24" t="n"/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306efa810fbf41ef</t>
        </is>
      </c>
      <c r="B215" s="24" t="inlineStr">
        <is>
          <t>2026-08-26T12:43:29.834856Z</t>
        </is>
      </c>
      <c r="C215" s="24" t="inlineStr">
        <is>
          <t>2026-08-26T16:30Z</t>
        </is>
      </c>
      <c r="D215" s="24" t="inlineStr">
        <is>
          <t>189-2026:184673</t>
        </is>
      </c>
      <c r="E215" s="24" t="inlineStr">
        <is>
          <t>TENNIS</t>
        </is>
      </c>
      <c r="F215" s="24" t="inlineStr">
        <is>
          <t>Jack Pinnington Jones</t>
        </is>
      </c>
      <c r="G215" s="24" t="inlineStr">
        <is>
          <t>Otto Virtanen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-156</v>
      </c>
      <c r="M215" s="27" t="n">
        <v>1.641026</v>
      </c>
      <c r="N215" s="28" t="n">
        <v>0.609375</v>
      </c>
      <c r="O215" s="28" t="n">
        <v>0.5112</v>
      </c>
      <c r="P215" s="28" t="n">
        <v>0.05</v>
      </c>
      <c r="Q215" s="28" t="n">
        <v>-0.098175</v>
      </c>
      <c r="R215" s="26" t="n">
        <v>0</v>
      </c>
      <c r="S215" s="29" t="n">
        <v>1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0</v>
      </c>
      <c r="X215" s="26" t="n">
        <v>1</v>
      </c>
      <c r="Y215" s="25" t="n"/>
      <c r="Z215" s="26" t="n">
        <v>-156</v>
      </c>
      <c r="AA215" s="28" t="n">
        <v>0.61</v>
      </c>
      <c r="AB215" s="28" t="n">
        <v>0.000625</v>
      </c>
      <c r="AC215" s="30" t="n">
        <v>0.641</v>
      </c>
      <c r="AD215" s="24" t="inlineStr">
        <is>
          <t>2026-08-26T22:11:29.312494Z</t>
        </is>
      </c>
      <c r="AE215" s="31" t="inlineStr">
        <is>
          <t>Surface-blended Elo on Hard: Jack Pinnington Jones p=0.489 vs Otto Virtanen. Executable ask 0.6100 (aec-atp-ottvir-jacjon-2026-08-26).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Jack Pinnington Jones</t>
        </is>
      </c>
      <c r="AQ215" s="24" t="inlineStr">
        <is>
          <t>Jack Pinnington Jones</t>
        </is>
      </c>
      <c r="AR215" s="24" t="inlineStr">
        <is>
          <t>Jack Pinnington Jones</t>
        </is>
      </c>
      <c r="AS215" s="24" t="inlineStr">
        <is>
          <t>Otto Virtanen</t>
        </is>
      </c>
      <c r="AT215" s="24" t="inlineStr">
        <is>
          <t>Otto Virtanen</t>
        </is>
      </c>
      <c r="AU215" s="24" t="inlineStr">
        <is>
          <t>Otto Virtanen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d777da58446bc099047b154203518e2585ef1a678f613f2b430f2589f7bf5cff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d777da58446bc099047b154203518e2585ef1a678f613f2b430f2589f7bf5cff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d777da58446bc099047b154203518e2585ef1a678f613f2b430f2589f7bf5cff</t>
        </is>
      </c>
      <c r="BH215" s="24" t="inlineStr">
        <is>
          <t>2026-08-26T12:42:16.973954Z</t>
        </is>
      </c>
      <c r="BI215" s="24" t="inlineStr">
        <is>
          <t>["same_event","same_team_same_day","same_league_same_day"]</t>
        </is>
      </c>
      <c r="BJ215" s="25" t="n"/>
      <c r="BK215" s="26" t="n">
        <v>-156</v>
      </c>
      <c r="BL215" s="27" t="n">
        <v>1.641026</v>
      </c>
      <c r="BM215" s="28" t="n">
        <v>0.609375</v>
      </c>
      <c r="BN215" s="28" t="n"/>
      <c r="BO215" s="28" t="n"/>
      <c r="BP215" s="25" t="n"/>
      <c r="BQ215" s="27" t="n">
        <v>1.641026</v>
      </c>
      <c r="BR215" s="28" t="n">
        <v>0.61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0.641026</v>
      </c>
      <c r="BZ215" s="24" t="inlineStr">
        <is>
          <t>2026-08-26T22:11:29.312494Z</t>
        </is>
      </c>
      <c r="CA215" s="31" t="inlineStr">
        <is>
          <t>fixed one-unit hypothetical scoring; no real exposure or execution</t>
        </is>
      </c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inlineStr">
        <is>
          <t>73ca03436fcdbe336506a9d7adbfa0be62f44653e8c18810864c844b2f6a1127</t>
        </is>
      </c>
      <c r="DE215" s="24" t="inlineStr">
        <is>
          <t>/Users/vincentc9002/model-prediction/data/odds/tennis/2026-08-26/polymarket_snapshots.jsonl</t>
        </is>
      </c>
      <c r="DF215" s="24" t="inlineStr">
        <is>
          <t>516518:2026-08-26T12:42:16.973954Z</t>
        </is>
      </c>
      <c r="DG215" s="24" t="n"/>
      <c r="DH215" s="24" t="n"/>
      <c r="DI215" s="24" t="n"/>
      <c r="DJ215" s="24" t="inlineStr">
        <is>
          <t>0.609375</t>
        </is>
      </c>
      <c r="DK215" s="24" t="n"/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64169efaec44417d</t>
        </is>
      </c>
      <c r="B216" s="24" t="inlineStr">
        <is>
          <t>2026-08-26T12:43:29.834856Z</t>
        </is>
      </c>
      <c r="C216" s="24" t="inlineStr">
        <is>
          <t>2026-08-26T16:30Z</t>
        </is>
      </c>
      <c r="D216" s="24" t="inlineStr">
        <is>
          <t>189-2026:184674</t>
        </is>
      </c>
      <c r="E216" s="24" t="inlineStr">
        <is>
          <t>TENNIS</t>
        </is>
      </c>
      <c r="F216" s="24" t="inlineStr">
        <is>
          <t>Cristian Garin</t>
        </is>
      </c>
      <c r="G216" s="24" t="inlineStr">
        <is>
          <t>Elias Ymer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133</v>
      </c>
      <c r="M216" s="27" t="n">
        <v>2.33</v>
      </c>
      <c r="N216" s="28" t="n">
        <v>0.429185</v>
      </c>
      <c r="O216" s="28" t="n">
        <v>0.5708</v>
      </c>
      <c r="P216" s="28" t="n">
        <v>0.05</v>
      </c>
      <c r="Q216" s="28" t="n">
        <v>0.141615</v>
      </c>
      <c r="R216" s="26" t="n">
        <v>91</v>
      </c>
      <c r="S216" s="29" t="n">
        <v>1.5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133</v>
      </c>
      <c r="AA216" s="28" t="n">
        <v>0.43</v>
      </c>
      <c r="AB216" s="28" t="n">
        <v>0.000815</v>
      </c>
      <c r="AC216" s="30" t="n">
        <v>-1.5</v>
      </c>
      <c r="AD216" s="24" t="inlineStr">
        <is>
          <t>2026-08-26T22:11:31.048666Z</t>
        </is>
      </c>
      <c r="AE216" s="31" t="inlineStr">
        <is>
          <t>Surface-blended Elo on Hard: Cristian Garin p=0.429 vs Elias Ymer. Executable ask 0.4300 (aec-atp-eliyme-crigar-2026-08-26).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Cristian Garin</t>
        </is>
      </c>
      <c r="AQ216" s="24" t="inlineStr">
        <is>
          <t>Cristian Garin</t>
        </is>
      </c>
      <c r="AR216" s="24" t="inlineStr">
        <is>
          <t>Cristian Garin</t>
        </is>
      </c>
      <c r="AS216" s="24" t="inlineStr">
        <is>
          <t>Elias Ymer</t>
        </is>
      </c>
      <c r="AT216" s="24" t="inlineStr">
        <is>
          <t>Elias Ymer</t>
        </is>
      </c>
      <c r="AU216" s="24" t="inlineStr">
        <is>
          <t>Elias Ymer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d777da58446bc099047b154203518e2585ef1a678f613f2b430f2589f7bf5cff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d777da58446bc099047b154203518e2585ef1a678f613f2b430f2589f7bf5cff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d777da58446bc099047b154203518e2585ef1a678f613f2b430f2589f7bf5cff</t>
        </is>
      </c>
      <c r="BH216" s="24" t="inlineStr">
        <is>
          <t>2026-08-26T12:42:17.236395Z</t>
        </is>
      </c>
      <c r="BI216" s="24" t="inlineStr">
        <is>
          <t>["same_event","same_team_same_day","same_league_same_day"]</t>
        </is>
      </c>
      <c r="BJ216" s="25" t="n"/>
      <c r="BK216" s="26" t="n">
        <v>133</v>
      </c>
      <c r="BL216" s="27" t="n">
        <v>2.33</v>
      </c>
      <c r="BM216" s="28" t="n">
        <v>0.429185</v>
      </c>
      <c r="BN216" s="28" t="n"/>
      <c r="BO216" s="28" t="n"/>
      <c r="BP216" s="25" t="n"/>
      <c r="BQ216" s="27" t="n">
        <v>2.33</v>
      </c>
      <c r="BR216" s="28" t="n">
        <v>0.43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inlineStr">
        <is>
          <t>b498315054a8ce34dbc704fd8f3803c5d24d8f714d735765c608e25de82d1ffd</t>
        </is>
      </c>
      <c r="DE216" s="24" t="inlineStr">
        <is>
          <t>/Users/vincentc9002/model-prediction/data/odds/tennis/2026-08-26/polymarket_snapshots.jsonl</t>
        </is>
      </c>
      <c r="DF216" s="24" t="inlineStr">
        <is>
          <t>514511:2026-08-26T12:42:17.236395Z</t>
        </is>
      </c>
      <c r="DG216" s="24" t="n"/>
      <c r="DH216" s="24" t="n"/>
      <c r="DI216" s="24" t="n"/>
      <c r="DJ216" s="24" t="inlineStr">
        <is>
          <t>0.429185</t>
        </is>
      </c>
      <c r="DK216" s="24" t="n"/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5f122ec645fe4c26</t>
        </is>
      </c>
      <c r="B217" s="24" t="inlineStr">
        <is>
          <t>2026-08-26T12:43:29.834856Z</t>
        </is>
      </c>
      <c r="C217" s="24" t="inlineStr">
        <is>
          <t>2026-08-26T16:30Z</t>
        </is>
      </c>
      <c r="D217" s="24" t="inlineStr">
        <is>
          <t>189-2026:184774</t>
        </is>
      </c>
      <c r="E217" s="24" t="inlineStr">
        <is>
          <t>TENNIS</t>
        </is>
      </c>
      <c r="F217" s="24" t="inlineStr">
        <is>
          <t>Marco Cecchinato</t>
        </is>
      </c>
      <c r="G217" s="24" t="inlineStr">
        <is>
          <t>Vilius Gaubas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-213</v>
      </c>
      <c r="M217" s="27" t="n">
        <v>1.469484</v>
      </c>
      <c r="N217" s="28" t="n">
        <v>0.680511</v>
      </c>
      <c r="O217" s="28" t="n">
        <v>0.5768</v>
      </c>
      <c r="P217" s="28" t="n">
        <v>0.05</v>
      </c>
      <c r="Q217" s="28" t="n">
        <v>-0.103711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-213</v>
      </c>
      <c r="AA217" s="28" t="n">
        <v>0.68</v>
      </c>
      <c r="AB217" s="28" t="n">
        <v>-0.000511</v>
      </c>
      <c r="AC217" s="30" t="n">
        <v>0.4695</v>
      </c>
      <c r="AD217" s="24" t="inlineStr">
        <is>
          <t>2026-08-26T22:11:32.810383Z</t>
        </is>
      </c>
      <c r="AE217" s="31" t="inlineStr">
        <is>
          <t>Surface-blended Elo on Hard: Marco Cecchinato p=0.423 vs Vilius Gaubas. Executable ask 0.6800 (aec-atp-vilgau-marcec-2026-08-25).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paper_call</t>
        </is>
      </c>
      <c r="AL217" s="26" t="n">
        <v>4</v>
      </c>
      <c r="AM217" s="24" t="inlineStr">
        <is>
          <t>RESEARCH_OBSERVATION</t>
        </is>
      </c>
      <c r="AN217" s="24" t="inlineStr">
        <is>
          <t>CALL</t>
        </is>
      </c>
      <c r="AO217" s="24" t="inlineStr">
        <is>
          <t>PAPER_CALL_LOW_EDGE</t>
        </is>
      </c>
      <c r="AP217" s="24" t="inlineStr">
        <is>
          <t>Marco Cecchinato</t>
        </is>
      </c>
      <c r="AQ217" s="24" t="inlineStr">
        <is>
          <t>Marco Cecchinato</t>
        </is>
      </c>
      <c r="AR217" s="24" t="inlineStr">
        <is>
          <t>Marco Cecchinato</t>
        </is>
      </c>
      <c r="AS217" s="24" t="inlineStr">
        <is>
          <t>Vilius Gaubas</t>
        </is>
      </c>
      <c r="AT217" s="24" t="inlineStr">
        <is>
          <t>Vilius Gaubas</t>
        </is>
      </c>
      <c r="AU217" s="24" t="inlineStr">
        <is>
          <t>Vilius Gaubas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d777da58446bc099047b154203518e2585ef1a678f613f2b430f2589f7bf5cff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d777da58446bc099047b154203518e2585ef1a678f613f2b430f2589f7bf5cff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d777da58446bc099047b154203518e2585ef1a678f613f2b430f2589f7bf5cff</t>
        </is>
      </c>
      <c r="BH217" s="24" t="inlineStr">
        <is>
          <t>2026-08-26T12:42:15.848926Z</t>
        </is>
      </c>
      <c r="BI217" s="24" t="inlineStr">
        <is>
          <t>["same_event","same_team_same_day","same_league_same_day"]</t>
        </is>
      </c>
      <c r="BJ217" s="25" t="n"/>
      <c r="BK217" s="26" t="n">
        <v>-213</v>
      </c>
      <c r="BL217" s="27" t="n">
        <v>1.469484</v>
      </c>
      <c r="BM217" s="28" t="n">
        <v>0.680511</v>
      </c>
      <c r="BN217" s="28" t="n"/>
      <c r="BO217" s="28" t="n"/>
      <c r="BP217" s="25" t="n"/>
      <c r="BQ217" s="27" t="n">
        <v>1.469484</v>
      </c>
      <c r="BR217" s="28" t="n">
        <v>0.68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0.469484</v>
      </c>
      <c r="BZ217" s="24" t="inlineStr">
        <is>
          <t>2026-08-26T22:11:32.810383Z</t>
        </is>
      </c>
      <c r="CA217" s="31" t="inlineStr">
        <is>
          <t>fixed one-unit hypothetical scoring; no real exposure or execution</t>
        </is>
      </c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inlineStr">
        <is>
          <t>39671355adf2aeb0c605f46545c5b7a523601f0ef0a4c6da7e69e388d577d0d4</t>
        </is>
      </c>
      <c r="DE217" s="24" t="inlineStr">
        <is>
          <t>/Users/vincentc9002/model-prediction/data/odds/tennis/2026-08-26/polymarket_snapshots.jsonl</t>
        </is>
      </c>
      <c r="DF217" s="24" t="inlineStr">
        <is>
          <t>513427:2026-08-26T12:42:15.848926Z</t>
        </is>
      </c>
      <c r="DG217" s="24" t="n"/>
      <c r="DH217" s="24" t="n"/>
      <c r="DI217" s="24" t="n"/>
      <c r="DJ217" s="24" t="inlineStr">
        <is>
          <t>0.680511</t>
        </is>
      </c>
      <c r="DK217" s="24" t="n"/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90482ff0caaf45fb</t>
        </is>
      </c>
      <c r="B218" s="24" t="inlineStr">
        <is>
          <t>2026-08-26T12:43:29.834856Z</t>
        </is>
      </c>
      <c r="C218" s="24" t="inlineStr">
        <is>
          <t>2026-08-26T16:30Z</t>
        </is>
      </c>
      <c r="D218" s="24" t="inlineStr">
        <is>
          <t>189-2026:184776</t>
        </is>
      </c>
      <c r="E218" s="24" t="inlineStr">
        <is>
          <t>TENNIS</t>
        </is>
      </c>
      <c r="F218" s="24" t="inlineStr">
        <is>
          <t>Billy Harris</t>
        </is>
      </c>
      <c r="G218" s="24" t="inlineStr">
        <is>
          <t>Toby Samuel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-400</v>
      </c>
      <c r="M218" s="27" t="n">
        <v>1.25</v>
      </c>
      <c r="N218" s="28" t="n">
        <v>0.8</v>
      </c>
      <c r="O218" s="28" t="n">
        <v>0.7138</v>
      </c>
      <c r="P218" s="28" t="n">
        <v>0.05</v>
      </c>
      <c r="Q218" s="28" t="n">
        <v>-0.0862</v>
      </c>
      <c r="R218" s="26" t="n">
        <v>0</v>
      </c>
      <c r="S218" s="29" t="n">
        <v>1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-400</v>
      </c>
      <c r="AA218" s="28" t="n">
        <v>0.8</v>
      </c>
      <c r="AB218" s="28" t="n">
        <v>0</v>
      </c>
      <c r="AC218" s="30" t="n">
        <v>0.25</v>
      </c>
      <c r="AD218" s="24" t="inlineStr">
        <is>
          <t>2026-08-26T22:11:34.347235Z</t>
        </is>
      </c>
      <c r="AE218" s="31" t="inlineStr">
        <is>
          <t>Surface-blended Elo on Hard: Billy Harris p=0.286 vs Toby Samuel. Executable ask 0.8000 (aec-atp-tobsam-bilhar-2026-08-26).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Billy Harris</t>
        </is>
      </c>
      <c r="AQ218" s="24" t="inlineStr">
        <is>
          <t>Billy Harris</t>
        </is>
      </c>
      <c r="AR218" s="24" t="inlineStr">
        <is>
          <t>Billy Harris</t>
        </is>
      </c>
      <c r="AS218" s="24" t="inlineStr">
        <is>
          <t>Toby Samuel</t>
        </is>
      </c>
      <c r="AT218" s="24" t="inlineStr">
        <is>
          <t>Toby Samuel</t>
        </is>
      </c>
      <c r="AU218" s="24" t="inlineStr">
        <is>
          <t>Toby Samuel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d777da58446bc099047b154203518e2585ef1a678f613f2b430f2589f7bf5cff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d777da58446bc099047b154203518e2585ef1a678f613f2b430f2589f7bf5cff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d777da58446bc099047b154203518e2585ef1a678f613f2b430f2589f7bf5cff</t>
        </is>
      </c>
      <c r="BH218" s="24" t="inlineStr">
        <is>
          <t>2026-08-26T12:42:16.134243Z</t>
        </is>
      </c>
      <c r="BI218" s="24" t="inlineStr">
        <is>
          <t>["same_event","same_team_same_day","same_league_same_day"]</t>
        </is>
      </c>
      <c r="BJ218" s="25" t="n"/>
      <c r="BK218" s="26" t="n">
        <v>-400</v>
      </c>
      <c r="BL218" s="27" t="n">
        <v>1.25</v>
      </c>
      <c r="BM218" s="28" t="n">
        <v>0.8</v>
      </c>
      <c r="BN218" s="28" t="n"/>
      <c r="BO218" s="28" t="n"/>
      <c r="BP218" s="25" t="n"/>
      <c r="BQ218" s="27" t="n">
        <v>1.25</v>
      </c>
      <c r="BR218" s="28" t="n">
        <v>0.8</v>
      </c>
      <c r="BS218" s="28" t="n"/>
      <c r="BT218" s="28" t="n"/>
      <c r="BU218" s="25" t="n"/>
      <c r="BV218" s="29" t="n"/>
      <c r="BW218" s="24" t="n"/>
      <c r="BX218" s="30" t="n">
        <v>1</v>
      </c>
      <c r="BY218" s="27" t="n">
        <v>0.25</v>
      </c>
      <c r="BZ218" s="24" t="inlineStr">
        <is>
          <t>2026-08-26T22:11:34.347235Z</t>
        </is>
      </c>
      <c r="CA218" s="31" t="inlineStr">
        <is>
          <t>fixed one-unit hypothetical scoring; no real exposure or execution</t>
        </is>
      </c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inlineStr">
        <is>
          <t>fc77fd55e0a5012f5afd0f696a00df0dac2ad482072da5ebb96fa48aaebfe46f</t>
        </is>
      </c>
      <c r="DE218" s="24" t="inlineStr">
        <is>
          <t>/Users/vincentc9002/model-prediction/data/odds/tennis/2026-08-26/polymarket_snapshots.jsonl</t>
        </is>
      </c>
      <c r="DF218" s="24" t="inlineStr">
        <is>
          <t>514513:2026-08-26T12:42:16.134243Z</t>
        </is>
      </c>
      <c r="DG218" s="24" t="n"/>
      <c r="DH218" s="24" t="n"/>
      <c r="DI218" s="24" t="n"/>
      <c r="DJ218" s="24" t="inlineStr">
        <is>
          <t>0.8</t>
        </is>
      </c>
      <c r="DK218" s="24" t="n"/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3808d82894bd4b6c</t>
        </is>
      </c>
      <c r="B219" s="24" t="inlineStr">
        <is>
          <t>2026-08-26T16:35:15.923799Z</t>
        </is>
      </c>
      <c r="C219" s="24" t="inlineStr">
        <is>
          <t>2026-08-26T21:00Z</t>
        </is>
      </c>
      <c r="D219" s="24" t="inlineStr">
        <is>
          <t>341-2026:182497</t>
        </is>
      </c>
      <c r="E219" s="24" t="inlineStr">
        <is>
          <t>TENNIS</t>
        </is>
      </c>
      <c r="F219" s="24" t="inlineStr">
        <is>
          <t>Ann Li</t>
        </is>
      </c>
      <c r="G219" s="24" t="inlineStr">
        <is>
          <t>Maria Timofeeva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-186</v>
      </c>
      <c r="M219" s="27" t="n">
        <v>1.537634</v>
      </c>
      <c r="N219" s="28" t="n">
        <v>0.65035</v>
      </c>
      <c r="O219" s="28" t="n">
        <v>0.522</v>
      </c>
      <c r="P219" s="28" t="n">
        <v>0.05</v>
      </c>
      <c r="Q219" s="28" t="n">
        <v>-0.12835</v>
      </c>
      <c r="R219" s="26" t="n">
        <v>0</v>
      </c>
      <c r="S219" s="29" t="n">
        <v>1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win</t>
        </is>
      </c>
      <c r="W219" s="26" t="n">
        <v>1</v>
      </c>
      <c r="X219" s="26" t="n">
        <v>0</v>
      </c>
      <c r="Y219" s="25" t="n"/>
      <c r="Z219" s="26" t="n">
        <v>-186</v>
      </c>
      <c r="AA219" s="28" t="n">
        <v>0.65</v>
      </c>
      <c r="AB219" s="28" t="n">
        <v>-0.00035</v>
      </c>
      <c r="AC219" s="30" t="n">
        <v>0.5376</v>
      </c>
      <c r="AD219" s="24" t="inlineStr">
        <is>
          <t>2026-08-26T22:11:55.856987Z</t>
        </is>
      </c>
      <c r="AE219" s="31" t="inlineStr">
        <is>
          <t>Surface-blended Elo on Hard: Ann Li p=0.522 vs Maria Timofeeva. Executable ask 0.6500 (aec-wta-martim-annli-2026-08-26).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PAPER_CALL_LOW_EDGE</t>
        </is>
      </c>
      <c r="AP219" s="24" t="inlineStr">
        <is>
          <t>Ann Li</t>
        </is>
      </c>
      <c r="AQ219" s="24" t="inlineStr">
        <is>
          <t>Ann Li</t>
        </is>
      </c>
      <c r="AR219" s="24" t="inlineStr">
        <is>
          <t>Ann Li</t>
        </is>
      </c>
      <c r="AS219" s="24" t="inlineStr">
        <is>
          <t>Maria Timofeeva</t>
        </is>
      </c>
      <c r="AT219" s="24" t="inlineStr">
        <is>
          <t>Maria Timofeeva</t>
        </is>
      </c>
      <c r="AU219" s="24" t="inlineStr">
        <is>
          <t>Maria Timofeeva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d777da58446bc099047b154203518e2585ef1a678f613f2b430f2589f7bf5cff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d777da58446bc099047b154203518e2585ef1a678f613f2b430f2589f7bf5cff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d777da58446bc099047b154203518e2585ef1a678f613f2b430f2589f7bf5cff</t>
        </is>
      </c>
      <c r="BH219" s="24" t="inlineStr">
        <is>
          <t>2026-08-26T12:42:15.265252Z</t>
        </is>
      </c>
      <c r="BI219" s="24" t="inlineStr">
        <is>
          <t>["same_event","same_team_same_day","same_league_same_day"]</t>
        </is>
      </c>
      <c r="BJ219" s="25" t="n"/>
      <c r="BK219" s="26" t="n">
        <v>-186</v>
      </c>
      <c r="BL219" s="27" t="n">
        <v>1.537634</v>
      </c>
      <c r="BM219" s="28" t="n">
        <v>0.65035</v>
      </c>
      <c r="BN219" s="28" t="n"/>
      <c r="BO219" s="28" t="n"/>
      <c r="BP219" s="25" t="n"/>
      <c r="BQ219" s="27" t="n">
        <v>1.537634</v>
      </c>
      <c r="BR219" s="28" t="n">
        <v>0.65</v>
      </c>
      <c r="BS219" s="28" t="n"/>
      <c r="BT219" s="28" t="n"/>
      <c r="BU219" s="25" t="n"/>
      <c r="BV219" s="29" t="n"/>
      <c r="BW219" s="24" t="n"/>
      <c r="BX219" s="30" t="n">
        <v>1</v>
      </c>
      <c r="BY219" s="27" t="n">
        <v>0.5376339999999999</v>
      </c>
      <c r="BZ219" s="24" t="inlineStr">
        <is>
          <t>2026-08-26T22:11:55.856987Z</t>
        </is>
      </c>
      <c r="CA219" s="31" t="inlineStr">
        <is>
          <t>fixed one-unit hypothetical scoring; no real exposure or execution</t>
        </is>
      </c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False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inlineStr">
        <is>
          <t>fc0aeeaf6de5059fe8d83494b1f656ab104493a2cacdf8c3ff25d648b863521e</t>
        </is>
      </c>
      <c r="DE219" s="24" t="inlineStr">
        <is>
          <t>/Users/vincentc9002/model-prediction/data/odds/tennis/2026-08-26/polymarket_snapshots.jsonl</t>
        </is>
      </c>
      <c r="DF219" s="24" t="inlineStr">
        <is>
          <t>523855:2026-08-26T12:42:15.265252Z</t>
        </is>
      </c>
      <c r="DG219" s="24" t="n"/>
      <c r="DH219" s="24" t="n"/>
      <c r="DI219" s="24" t="n"/>
      <c r="DJ219" s="24" t="inlineStr">
        <is>
          <t>0.65035</t>
        </is>
      </c>
      <c r="DK219" s="24" t="n"/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4669eea63c3b41fe</t>
        </is>
      </c>
      <c r="B220" s="24" t="inlineStr">
        <is>
          <t>2026-08-26T16:35:15.923799Z</t>
        </is>
      </c>
      <c r="C220" s="24" t="inlineStr">
        <is>
          <t>2026-08-26T21:30Z</t>
        </is>
      </c>
      <c r="D220" s="24" t="inlineStr">
        <is>
          <t>341-2026:182502</t>
        </is>
      </c>
      <c r="E220" s="24" t="inlineStr">
        <is>
          <t>TENNIS</t>
        </is>
      </c>
      <c r="F220" s="24" t="inlineStr">
        <is>
          <t>Darja Vidmanova</t>
        </is>
      </c>
      <c r="G220" s="24" t="inlineStr">
        <is>
          <t>Cristina Bucsa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-127</v>
      </c>
      <c r="M220" s="27" t="n">
        <v>1.787402</v>
      </c>
      <c r="N220" s="28" t="n">
        <v>0.5594710000000001</v>
      </c>
      <c r="O220" s="28" t="n">
        <v>0.5121</v>
      </c>
      <c r="P220" s="28" t="n">
        <v>0.05</v>
      </c>
      <c r="Q220" s="28" t="n">
        <v>-0.047371</v>
      </c>
      <c r="R220" s="26" t="n">
        <v>0</v>
      </c>
      <c r="S220" s="29" t="n">
        <v>1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0</v>
      </c>
      <c r="Y220" s="25" t="n"/>
      <c r="Z220" s="26" t="n">
        <v>-127</v>
      </c>
      <c r="AA220" s="28" t="n">
        <v>0.5600000000000001</v>
      </c>
      <c r="AB220" s="28" t="n">
        <v>0.000529</v>
      </c>
      <c r="AC220" s="30" t="n">
        <v>0.7874</v>
      </c>
      <c r="AD220" s="24" t="inlineStr">
        <is>
          <t>2026-08-27T00:40:05.774038Z</t>
        </is>
      </c>
      <c r="AE220" s="31" t="inlineStr">
        <is>
          <t>Surface-blended Elo on Hard: Darja Vidmanova p=0.512 vs Cristina Bucsa. Executable ask 0.5600 (aec-wta-cribuc-darvid-2026-08-26).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Darja Vidmanova</t>
        </is>
      </c>
      <c r="AQ220" s="24" t="inlineStr">
        <is>
          <t>Darja Vidmanova</t>
        </is>
      </c>
      <c r="AR220" s="24" t="inlineStr">
        <is>
          <t>Darja Vidmanova</t>
        </is>
      </c>
      <c r="AS220" s="24" t="inlineStr">
        <is>
          <t>Cristina Bucsa</t>
        </is>
      </c>
      <c r="AT220" s="24" t="inlineStr">
        <is>
          <t>Cristina Bucsa</t>
        </is>
      </c>
      <c r="AU220" s="24" t="inlineStr">
        <is>
          <t>Cristina Bucsa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d777da58446bc099047b154203518e2585ef1a678f613f2b430f2589f7bf5cff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d777da58446bc099047b154203518e2585ef1a678f613f2b430f2589f7bf5cff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d777da58446bc099047b154203518e2585ef1a678f613f2b430f2589f7bf5cff</t>
        </is>
      </c>
      <c r="BH220" s="24" t="inlineStr">
        <is>
          <t>2026-08-26T12:42:15.282278Z</t>
        </is>
      </c>
      <c r="BI220" s="24" t="inlineStr">
        <is>
          <t>["same_event","same_team_same_day","same_league_same_day"]</t>
        </is>
      </c>
      <c r="BJ220" s="25" t="n"/>
      <c r="BK220" s="26" t="n">
        <v>-127</v>
      </c>
      <c r="BL220" s="27" t="n">
        <v>1.787402</v>
      </c>
      <c r="BM220" s="28" t="n">
        <v>0.5594710000000001</v>
      </c>
      <c r="BN220" s="28" t="n"/>
      <c r="BO220" s="28" t="n"/>
      <c r="BP220" s="25" t="n"/>
      <c r="BQ220" s="27" t="n">
        <v>1.787402</v>
      </c>
      <c r="BR220" s="28" t="n">
        <v>0.5600000000000001</v>
      </c>
      <c r="BS220" s="28" t="n"/>
      <c r="BT220" s="28" t="n"/>
      <c r="BU220" s="25" t="n"/>
      <c r="BV220" s="29" t="n"/>
      <c r="BW220" s="24" t="n"/>
      <c r="BX220" s="30" t="n">
        <v>1</v>
      </c>
      <c r="BY220" s="27" t="n">
        <v>0.787403</v>
      </c>
      <c r="BZ220" s="24" t="inlineStr">
        <is>
          <t>2026-08-27T00:40:05.774038Z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inlineStr">
        <is>
          <t>aae1b94c79493dc8721e37616c7fbcd493abdd6d60e46d1d8875ba80f2ccbbfa</t>
        </is>
      </c>
      <c r="DE220" s="24" t="inlineStr">
        <is>
          <t>/Users/vincentc9002/model-prediction/data/odds/tennis/2026-08-26/polymarket_snapshots.jsonl</t>
        </is>
      </c>
      <c r="DF220" s="24" t="inlineStr">
        <is>
          <t>523999:2026-08-26T12:42:15.282278Z</t>
        </is>
      </c>
      <c r="DG220" s="24" t="n"/>
      <c r="DH220" s="24" t="n"/>
      <c r="DI220" s="24" t="n"/>
      <c r="DJ220" s="24" t="inlineStr">
        <is>
          <t>0.559471</t>
        </is>
      </c>
      <c r="DK220" s="24" t="n"/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bf66d093c6bb425a</t>
        </is>
      </c>
      <c r="B221" s="24" t="inlineStr">
        <is>
          <t>2026-08-26T16:35:15.923799Z</t>
        </is>
      </c>
      <c r="C221" s="24" t="inlineStr">
        <is>
          <t>2026-08-26T22:00Z</t>
        </is>
      </c>
      <c r="D221" s="24" t="inlineStr">
        <is>
          <t>1075-2026:182140</t>
        </is>
      </c>
      <c r="E221" s="24" t="inlineStr">
        <is>
          <t>TENNIS</t>
        </is>
      </c>
      <c r="F221" s="24" t="inlineStr">
        <is>
          <t>Capucine Jauffret</t>
        </is>
      </c>
      <c r="G221" s="24" t="inlineStr">
        <is>
          <t>Oksana Selekhmeteva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-1150</v>
      </c>
      <c r="M221" s="27" t="n">
        <v>1.086957</v>
      </c>
      <c r="N221" s="28" t="n">
        <v>0.92</v>
      </c>
      <c r="O221" s="28" t="n">
        <v>0.5978</v>
      </c>
      <c r="P221" s="28" t="n">
        <v>0.05</v>
      </c>
      <c r="Q221" s="28" t="n">
        <v>-0.3222</v>
      </c>
      <c r="R221" s="26" t="n">
        <v>0</v>
      </c>
      <c r="S221" s="29" t="n">
        <v>1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-1150</v>
      </c>
      <c r="AA221" s="28" t="n">
        <v>0.92</v>
      </c>
      <c r="AB221" s="28" t="n">
        <v>0</v>
      </c>
      <c r="AC221" s="30" t="n">
        <v>0.08699999999999999</v>
      </c>
      <c r="AD221" s="24" t="inlineStr">
        <is>
          <t>2026-08-27T03:36:34.951306Z</t>
        </is>
      </c>
      <c r="AE221" s="31" t="inlineStr">
        <is>
          <t>Surface-blended Elo on Hard: Capucine Jauffret p=0.402 vs Oksana Selekhmeteva. Executable ask 0.9200 (aec-wta-okssel-capjau-2026-08-25).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PAPER_CALL_MODEL_UNVALIDATED</t>
        </is>
      </c>
      <c r="AP221" s="24" t="inlineStr">
        <is>
          <t>Capucine Jauffret</t>
        </is>
      </c>
      <c r="AQ221" s="24" t="inlineStr">
        <is>
          <t>Capucine Jauffret</t>
        </is>
      </c>
      <c r="AR221" s="24" t="inlineStr">
        <is>
          <t>Capucine Jauffret</t>
        </is>
      </c>
      <c r="AS221" s="24" t="inlineStr">
        <is>
          <t>Oksana Selekhmeteva</t>
        </is>
      </c>
      <c r="AT221" s="24" t="inlineStr">
        <is>
          <t>Oksana Selekhmeteva</t>
        </is>
      </c>
      <c r="AU221" s="24" t="inlineStr">
        <is>
          <t>Oksana Selekhmeteva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d777da58446bc099047b154203518e2585ef1a678f613f2b430f2589f7bf5cff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d777da58446bc099047b154203518e2585ef1a678f613f2b430f2589f7bf5cff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d777da58446bc099047b154203518e2585ef1a678f613f2b430f2589f7bf5cff</t>
        </is>
      </c>
      <c r="BH221" s="24" t="inlineStr">
        <is>
          <t>2026-08-26T16:31:17.716832Z</t>
        </is>
      </c>
      <c r="BI221" s="24" t="inlineStr">
        <is>
          <t>["same_event","same_team_same_day","same_league_same_day"]</t>
        </is>
      </c>
      <c r="BJ221" s="25" t="n"/>
      <c r="BK221" s="26" t="n">
        <v>-1150</v>
      </c>
      <c r="BL221" s="27" t="n">
        <v>1.086957</v>
      </c>
      <c r="BM221" s="28" t="n">
        <v>0.92</v>
      </c>
      <c r="BN221" s="28" t="n"/>
      <c r="BO221" s="28" t="n"/>
      <c r="BP221" s="25" t="n"/>
      <c r="BQ221" s="27" t="n">
        <v>1.086957</v>
      </c>
      <c r="BR221" s="28" t="n">
        <v>0.92</v>
      </c>
      <c r="BS221" s="28" t="n"/>
      <c r="BT221" s="28" t="n"/>
      <c r="BU221" s="25" t="n"/>
      <c r="BV221" s="29" t="n"/>
      <c r="BW221" s="24" t="n"/>
      <c r="BX221" s="30" t="n">
        <v>1</v>
      </c>
      <c r="BY221" s="27" t="n">
        <v>0.08695700000000001</v>
      </c>
      <c r="BZ221" s="24" t="inlineStr">
        <is>
          <t>2026-08-27T03:36:34.951306Z</t>
        </is>
      </c>
      <c r="CA221" s="31" t="inlineStr">
        <is>
          <t>fixed one-unit hypothetical scoring; no real exposure or execution</t>
        </is>
      </c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inlineStr">
        <is>
          <t>6728dcabb1024fbfe1a788106b7c1596fcf481bc128d8caf621506a03566bb3e</t>
        </is>
      </c>
      <c r="DE221" s="24" t="inlineStr">
        <is>
          <t>/Users/vincentc9002/model-prediction/data/odds/tennis/2026-08-26/polymarket_snapshots.jsonl</t>
        </is>
      </c>
      <c r="DF221" s="24" t="inlineStr">
        <is>
          <t>513152:2026-08-26T16:31:17.716832Z</t>
        </is>
      </c>
      <c r="DG221" s="24" t="n"/>
      <c r="DH221" s="24" t="n"/>
      <c r="DI221" s="24" t="n"/>
      <c r="DJ221" s="24" t="inlineStr">
        <is>
          <t>0.92</t>
        </is>
      </c>
      <c r="DK221" s="24" t="n"/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d89b55979e1f411b</t>
        </is>
      </c>
      <c r="B222" s="24" t="inlineStr">
        <is>
          <t>2026-08-26T16:35:15.923799Z</t>
        </is>
      </c>
      <c r="C222" s="24" t="inlineStr">
        <is>
          <t>2026-08-26T18:00Z</t>
        </is>
      </c>
      <c r="D222" s="24" t="inlineStr">
        <is>
          <t>189-2026:184755</t>
        </is>
      </c>
      <c r="E222" s="24" t="inlineStr">
        <is>
          <t>TENNIS</t>
        </is>
      </c>
      <c r="F222" s="24" t="inlineStr">
        <is>
          <t>Viktoria Hruncakova</t>
        </is>
      </c>
      <c r="G222" s="24" t="inlineStr">
        <is>
          <t>Susan Bandecchi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-170</v>
      </c>
      <c r="M222" s="27" t="n">
        <v>1.588235</v>
      </c>
      <c r="N222" s="28" t="n">
        <v>0.62963</v>
      </c>
      <c r="O222" s="28" t="n">
        <v>0.5569</v>
      </c>
      <c r="P222" s="28" t="n">
        <v>0.05</v>
      </c>
      <c r="Q222" s="28" t="n">
        <v>-0.07273</v>
      </c>
      <c r="R222" s="26" t="n">
        <v>0</v>
      </c>
      <c r="S222" s="29" t="n">
        <v>1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win</t>
        </is>
      </c>
      <c r="W222" s="26" t="n">
        <v>0</v>
      </c>
      <c r="X222" s="26" t="n">
        <v>1</v>
      </c>
      <c r="Y222" s="25" t="n"/>
      <c r="Z222" s="26" t="n">
        <v>-178</v>
      </c>
      <c r="AA222" s="28" t="n">
        <v>0.64</v>
      </c>
      <c r="AB222" s="28" t="n">
        <v>0.01037</v>
      </c>
      <c r="AC222" s="30" t="n">
        <v>0.5881999999999999</v>
      </c>
      <c r="AD222" s="24" t="inlineStr">
        <is>
          <t>2026-08-26T22:11:57.437077Z</t>
        </is>
      </c>
      <c r="AE222" s="31" t="inlineStr">
        <is>
          <t>Surface-blended Elo on Hard: Viktoria Hruncakova p=0.443 vs Susan Bandecchi. Executable ask 0.6300 (aec-wta-susban-vikhru-2026-08-26).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PAPER_CALL_LOW_EDGE</t>
        </is>
      </c>
      <c r="AP222" s="24" t="inlineStr">
        <is>
          <t>Viktoria Hruncakova</t>
        </is>
      </c>
      <c r="AQ222" s="24" t="inlineStr">
        <is>
          <t>Viktoria Hruncakova</t>
        </is>
      </c>
      <c r="AR222" s="24" t="inlineStr">
        <is>
          <t>Viktoria Hruncakova</t>
        </is>
      </c>
      <c r="AS222" s="24" t="inlineStr">
        <is>
          <t>Susan Bandecchi</t>
        </is>
      </c>
      <c r="AT222" s="24" t="inlineStr">
        <is>
          <t>Susan Bandecchi</t>
        </is>
      </c>
      <c r="AU222" s="24" t="inlineStr">
        <is>
          <t>Susan Bandecchi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d777da58446bc099047b154203518e2585ef1a678f613f2b430f2589f7bf5cff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d777da58446bc099047b154203518e2585ef1a678f613f2b430f2589f7bf5cff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d777da58446bc099047b154203518e2585ef1a678f613f2b430f2589f7bf5cff</t>
        </is>
      </c>
      <c r="BH222" s="24" t="inlineStr">
        <is>
          <t>2026-08-26T12:42:15.245544Z</t>
        </is>
      </c>
      <c r="BI222" s="24" t="inlineStr">
        <is>
          <t>["same_event","same_team_same_day","same_league_same_day"]</t>
        </is>
      </c>
      <c r="BJ222" s="25" t="n"/>
      <c r="BK222" s="26" t="n">
        <v>-170</v>
      </c>
      <c r="BL222" s="27" t="n">
        <v>1.588235</v>
      </c>
      <c r="BM222" s="28" t="n">
        <v>0.62963</v>
      </c>
      <c r="BN222" s="28" t="n"/>
      <c r="BO222" s="28" t="n"/>
      <c r="BP222" s="25" t="n"/>
      <c r="BQ222" s="27" t="n">
        <v>1.561798</v>
      </c>
      <c r="BR222" s="28" t="n">
        <v>0.64</v>
      </c>
      <c r="BS222" s="28" t="n"/>
      <c r="BT222" s="28" t="n"/>
      <c r="BU222" s="25" t="n"/>
      <c r="BV222" s="29" t="n"/>
      <c r="BW222" s="24" t="n"/>
      <c r="BX222" s="30" t="n">
        <v>1</v>
      </c>
      <c r="BY222" s="27" t="n">
        <v>0.588234</v>
      </c>
      <c r="BZ222" s="24" t="inlineStr">
        <is>
          <t>2026-08-26T22:11:57.437077Z</t>
        </is>
      </c>
      <c r="CA222" s="31" t="inlineStr">
        <is>
          <t>fixed one-unit hypothetical scoring; no real exposure or execution</t>
        </is>
      </c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inlineStr">
        <is>
          <t>7cdb294e0b08ca99f9bb83ef53070979c799f3f5c6c70db41877e3c04be51a74</t>
        </is>
      </c>
      <c r="DE222" s="24" t="inlineStr">
        <is>
          <t>/Users/vincentc9002/model-prediction/data/odds/tennis/2026-08-26/polymarket_snapshots.jsonl</t>
        </is>
      </c>
      <c r="DF222" s="24" t="inlineStr">
        <is>
          <t>521264:2026-08-26T12:42:15.245544Z</t>
        </is>
      </c>
      <c r="DG222" s="24" t="n"/>
      <c r="DH222" s="24" t="n"/>
      <c r="DI222" s="24" t="n"/>
      <c r="DJ222" s="24" t="inlineStr">
        <is>
          <t>0.62963</t>
        </is>
      </c>
      <c r="DK222" s="24" t="n"/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78eb27d52e1b4c99</t>
        </is>
      </c>
      <c r="B223" s="24" t="inlineStr">
        <is>
          <t>2026-08-26T16:35:15.923799Z</t>
        </is>
      </c>
      <c r="C223" s="24" t="inlineStr">
        <is>
          <t>2026-08-26T18:00Z</t>
        </is>
      </c>
      <c r="D223" s="24" t="inlineStr">
        <is>
          <t>189-2026:184778</t>
        </is>
      </c>
      <c r="E223" s="24" t="inlineStr">
        <is>
          <t>TENNIS</t>
        </is>
      </c>
      <c r="F223" s="24" t="inlineStr">
        <is>
          <t>Anna Siskova</t>
        </is>
      </c>
      <c r="G223" s="24" t="inlineStr">
        <is>
          <t>Nao Hibino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0.5708</v>
      </c>
      <c r="P223" s="28" t="n">
        <v>0.05</v>
      </c>
      <c r="Q223" s="28" t="n">
        <v>0.011329</v>
      </c>
      <c r="R223" s="26" t="n">
        <v>26</v>
      </c>
      <c r="S223" s="29" t="n">
        <v>1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-144</v>
      </c>
      <c r="AA223" s="28" t="n">
        <v>0.59</v>
      </c>
      <c r="AB223" s="28" t="n">
        <v>0.030529</v>
      </c>
      <c r="AC223" s="30" t="n">
        <v>-1</v>
      </c>
      <c r="AD223" s="24" t="inlineStr">
        <is>
          <t>2026-08-27T00:40:07.387865Z</t>
        </is>
      </c>
      <c r="AE223" s="31" t="inlineStr">
        <is>
          <t>Surface-blended Elo on Hard: Anna Siskova p=0.571 vs Nao Hibino. Executable ask 0.5600 (aec-wta-naohib-annsis-2026-08-26).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Anna Siskova</t>
        </is>
      </c>
      <c r="AQ223" s="24" t="inlineStr">
        <is>
          <t>Anna Siskova</t>
        </is>
      </c>
      <c r="AR223" s="24" t="inlineStr">
        <is>
          <t>Anna Siskova</t>
        </is>
      </c>
      <c r="AS223" s="24" t="inlineStr">
        <is>
          <t>Nao Hibino</t>
        </is>
      </c>
      <c r="AT223" s="24" t="inlineStr">
        <is>
          <t>Nao Hibino</t>
        </is>
      </c>
      <c r="AU223" s="24" t="inlineStr">
        <is>
          <t>Nao Hibino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d777da58446bc099047b154203518e2585ef1a678f613f2b430f2589f7bf5cff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d777da58446bc099047b154203518e2585ef1a678f613f2b430f2589f7bf5cff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d777da58446bc099047b154203518e2585ef1a678f613f2b430f2589f7bf5cff</t>
        </is>
      </c>
      <c r="BH223" s="24" t="inlineStr">
        <is>
          <t>2026-08-26T12:42:15.140083Z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1.694444</v>
      </c>
      <c r="BR223" s="28" t="n">
        <v>0.59</v>
      </c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2026-08-27T00:40:07.387865Z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inlineStr">
        <is>
          <t>cd6a2b2ce9a76f496715e0a27054388065aa5b6bd0b23e53165c6c8ed97a9332</t>
        </is>
      </c>
      <c r="DE223" s="24" t="inlineStr">
        <is>
          <t>/Users/vincentc9002/model-prediction/data/odds/tennis/2026-08-26/polymarket_snapshots.jsonl</t>
        </is>
      </c>
      <c r="DF223" s="24" t="inlineStr">
        <is>
          <t>521706:2026-08-26T12:42:15.140083Z</t>
        </is>
      </c>
      <c r="DG223" s="24" t="n"/>
      <c r="DH223" s="24" t="n"/>
      <c r="DI223" s="24" t="n"/>
      <c r="DJ223" s="24" t="inlineStr">
        <is>
          <t>0.559471</t>
        </is>
      </c>
      <c r="DK223" s="24" t="n"/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f5b6971988524b41</t>
        </is>
      </c>
      <c r="B224" s="24" t="inlineStr">
        <is>
          <t>2026-08-26T16:35:15.923799Z</t>
        </is>
      </c>
      <c r="C224" s="24" t="inlineStr">
        <is>
          <t>2026-08-26T18:00Z</t>
        </is>
      </c>
      <c r="D224" s="24" t="inlineStr">
        <is>
          <t>189-2026:184782</t>
        </is>
      </c>
      <c r="E224" s="24" t="inlineStr">
        <is>
          <t>TENNIS</t>
        </is>
      </c>
      <c r="F224" s="24" t="inlineStr">
        <is>
          <t>Harriet Dart</t>
        </is>
      </c>
      <c r="G224" s="24" t="inlineStr">
        <is>
          <t>Kristina Penickova</t>
        </is>
      </c>
      <c r="H224" s="24" t="inlineStr">
        <is>
          <t>moneyline</t>
        </is>
      </c>
      <c r="I224" s="24" t="inlineStr">
        <is>
          <t>away</t>
        </is>
      </c>
      <c r="J224" s="25" t="n"/>
      <c r="K224" s="24" t="inlineStr">
        <is>
          <t>polymarket_us</t>
        </is>
      </c>
      <c r="L224" s="26" t="n">
        <v>-400</v>
      </c>
      <c r="M224" s="27" t="n">
        <v>1.25</v>
      </c>
      <c r="N224" s="28" t="n">
        <v>0.8</v>
      </c>
      <c r="O224" s="28" t="n">
        <v>0.5464</v>
      </c>
      <c r="P224" s="28" t="n">
        <v>0.05</v>
      </c>
      <c r="Q224" s="28" t="n">
        <v>-0.2536</v>
      </c>
      <c r="R224" s="26" t="n">
        <v>0</v>
      </c>
      <c r="S224" s="29" t="n">
        <v>1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win</t>
        </is>
      </c>
      <c r="W224" s="26" t="n">
        <v>1</v>
      </c>
      <c r="X224" s="26" t="n">
        <v>0</v>
      </c>
      <c r="Y224" s="25" t="n"/>
      <c r="Z224" s="26" t="n">
        <v>-426</v>
      </c>
      <c r="AA224" s="28" t="n">
        <v>0.8100000000000001</v>
      </c>
      <c r="AB224" s="28" t="n">
        <v>0.01</v>
      </c>
      <c r="AC224" s="30" t="n">
        <v>0.25</v>
      </c>
      <c r="AD224" s="24" t="inlineStr">
        <is>
          <t>2026-08-26T22:11:59.046092Z</t>
        </is>
      </c>
      <c r="AE224" s="31" t="inlineStr">
        <is>
          <t>Surface-blended Elo on Hard: Harriet Dart p=0.546 vs Kristina Penickova. Executable ask 0.8000 (aec-wta-kripen-hardar-2026-08-26).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PAPER_CALL_MODEL_UNVALIDATED</t>
        </is>
      </c>
      <c r="AP224" s="24" t="inlineStr">
        <is>
          <t>Harriet Dart</t>
        </is>
      </c>
      <c r="AQ224" s="24" t="inlineStr">
        <is>
          <t>Harriet Dart</t>
        </is>
      </c>
      <c r="AR224" s="24" t="inlineStr">
        <is>
          <t>Harriet Dart</t>
        </is>
      </c>
      <c r="AS224" s="24" t="inlineStr">
        <is>
          <t>Kristina Penickova</t>
        </is>
      </c>
      <c r="AT224" s="24" t="inlineStr">
        <is>
          <t>Kristina Penickova</t>
        </is>
      </c>
      <c r="AU224" s="24" t="inlineStr">
        <is>
          <t>Kristina Penickova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d777da58446bc099047b154203518e2585ef1a678f613f2b430f2589f7bf5cff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d777da58446bc099047b154203518e2585ef1a678f613f2b430f2589f7bf5cff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d777da58446bc099047b154203518e2585ef1a678f613f2b430f2589f7bf5cff</t>
        </is>
      </c>
      <c r="BH224" s="24" t="inlineStr">
        <is>
          <t>2026-08-26T12:42:15.153130Z</t>
        </is>
      </c>
      <c r="BI224" s="24" t="inlineStr">
        <is>
          <t>["same_event","same_team_same_day","same_league_same_day"]</t>
        </is>
      </c>
      <c r="BJ224" s="25" t="n"/>
      <c r="BK224" s="26" t="n">
        <v>-400</v>
      </c>
      <c r="BL224" s="27" t="n">
        <v>1.25</v>
      </c>
      <c r="BM224" s="28" t="n">
        <v>0.8</v>
      </c>
      <c r="BN224" s="28" t="n"/>
      <c r="BO224" s="28" t="n"/>
      <c r="BP224" s="25" t="n"/>
      <c r="BQ224" s="27" t="n">
        <v>1.234742</v>
      </c>
      <c r="BR224" s="28" t="n">
        <v>0.8100000000000001</v>
      </c>
      <c r="BS224" s="28" t="n"/>
      <c r="BT224" s="28" t="n"/>
      <c r="BU224" s="25" t="n"/>
      <c r="BV224" s="29" t="n"/>
      <c r="BW224" s="24" t="n"/>
      <c r="BX224" s="30" t="n">
        <v>1</v>
      </c>
      <c r="BY224" s="27" t="n">
        <v>0.25</v>
      </c>
      <c r="BZ224" s="24" t="inlineStr">
        <is>
          <t>2026-08-26T22:11:59.046092Z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inlineStr">
        <is>
          <t>d6c06d8a20b271295b64571df6d819d85cc3ea248b2cf70782720e939157c0fe</t>
        </is>
      </c>
      <c r="DE224" s="24" t="inlineStr">
        <is>
          <t>/Users/vincentc9002/model-prediction/data/odds/tennis/2026-08-26/polymarket_snapshots.jsonl</t>
        </is>
      </c>
      <c r="DF224" s="24" t="inlineStr">
        <is>
          <t>520702:2026-08-26T12:42:15.153130Z</t>
        </is>
      </c>
      <c r="DG224" s="24" t="n"/>
      <c r="DH224" s="24" t="n"/>
      <c r="DI224" s="24" t="n"/>
      <c r="DJ224" s="24" t="inlineStr">
        <is>
          <t>0.8</t>
        </is>
      </c>
      <c r="DK224" s="24" t="n"/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de3e654a2ab74bca</t>
        </is>
      </c>
      <c r="B225" s="24" t="inlineStr">
        <is>
          <t>2026-08-26T16:35:15.923799Z</t>
        </is>
      </c>
      <c r="C225" s="24" t="inlineStr">
        <is>
          <t>2026-08-26T18:00Z</t>
        </is>
      </c>
      <c r="D225" s="24" t="inlineStr">
        <is>
          <t>189-2026:184785</t>
        </is>
      </c>
      <c r="E225" s="24" t="inlineStr">
        <is>
          <t>TENNIS</t>
        </is>
      </c>
      <c r="F225" s="24" t="inlineStr">
        <is>
          <t>Suzan Lamens</t>
        </is>
      </c>
      <c r="G225" s="24" t="inlineStr">
        <is>
          <t>Arantxa Rus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-186</v>
      </c>
      <c r="M225" s="27" t="n">
        <v>1.537634</v>
      </c>
      <c r="N225" s="28" t="n">
        <v>0.65035</v>
      </c>
      <c r="O225" s="28" t="n">
        <v>0.5863</v>
      </c>
      <c r="P225" s="28" t="n">
        <v>0.05</v>
      </c>
      <c r="Q225" s="28" t="n">
        <v>-0.06405</v>
      </c>
      <c r="R225" s="26" t="n">
        <v>0</v>
      </c>
      <c r="S225" s="29" t="n">
        <v>1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-194</v>
      </c>
      <c r="AA225" s="28" t="n">
        <v>0.66</v>
      </c>
      <c r="AB225" s="28" t="n">
        <v>0.009650000000000001</v>
      </c>
      <c r="AC225" s="30" t="n">
        <v>-1</v>
      </c>
      <c r="AD225" s="24" t="inlineStr">
        <is>
          <t>2026-08-26T22:12:00.633485Z</t>
        </is>
      </c>
      <c r="AE225" s="31" t="inlineStr">
        <is>
          <t>Surface-blended Elo on Hard: Suzan Lamens p=0.586 vs Arantxa Rus. Executable ask 0.6500 (aec-wta-ararus-suzlam-2026-08-26).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paper_call</t>
        </is>
      </c>
      <c r="AL225" s="26" t="n">
        <v>4</v>
      </c>
      <c r="AM225" s="24" t="inlineStr">
        <is>
          <t>RESEARCH_OBSERVATION</t>
        </is>
      </c>
      <c r="AN225" s="24" t="inlineStr">
        <is>
          <t>CALL</t>
        </is>
      </c>
      <c r="AO225" s="24" t="inlineStr">
        <is>
          <t>PAPER_CALL_LOW_EDGE</t>
        </is>
      </c>
      <c r="AP225" s="24" t="inlineStr">
        <is>
          <t>Suzan Lamens</t>
        </is>
      </c>
      <c r="AQ225" s="24" t="inlineStr">
        <is>
          <t>Suzan Lamens</t>
        </is>
      </c>
      <c r="AR225" s="24" t="inlineStr">
        <is>
          <t>Suzan Lamens</t>
        </is>
      </c>
      <c r="AS225" s="24" t="inlineStr">
        <is>
          <t>Arantxa Rus</t>
        </is>
      </c>
      <c r="AT225" s="24" t="inlineStr">
        <is>
          <t>Arantxa Rus</t>
        </is>
      </c>
      <c r="AU225" s="24" t="inlineStr">
        <is>
          <t>Arantxa Rus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d777da58446bc099047b154203518e2585ef1a678f613f2b430f2589f7bf5cff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d777da58446bc099047b154203518e2585ef1a678f613f2b430f2589f7bf5cff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d777da58446bc099047b154203518e2585ef1a678f613f2b430f2589f7bf5cff</t>
        </is>
      </c>
      <c r="BH225" s="24" t="inlineStr">
        <is>
          <t>2026-08-26T12:42:15.113898Z</t>
        </is>
      </c>
      <c r="BI225" s="24" t="inlineStr">
        <is>
          <t>["same_event","same_team_same_day","same_league_same_day"]</t>
        </is>
      </c>
      <c r="BJ225" s="25" t="n"/>
      <c r="BK225" s="26" t="n">
        <v>-186</v>
      </c>
      <c r="BL225" s="27" t="n">
        <v>1.537634</v>
      </c>
      <c r="BM225" s="28" t="n">
        <v>0.65035</v>
      </c>
      <c r="BN225" s="28" t="n"/>
      <c r="BO225" s="28" t="n"/>
      <c r="BP225" s="25" t="n"/>
      <c r="BQ225" s="27" t="n">
        <v>1.515464</v>
      </c>
      <c r="BR225" s="28" t="n">
        <v>0.66</v>
      </c>
      <c r="BS225" s="28" t="n"/>
      <c r="BT225" s="28" t="n"/>
      <c r="BU225" s="25" t="n"/>
      <c r="BV225" s="29" t="n"/>
      <c r="BW225" s="24" t="n"/>
      <c r="BX225" s="30" t="n">
        <v>1</v>
      </c>
      <c r="BY225" s="27" t="n">
        <v>-1</v>
      </c>
      <c r="BZ225" s="24" t="inlineStr">
        <is>
          <t>2026-08-26T22:12:00.633485Z</t>
        </is>
      </c>
      <c r="CA225" s="31" t="inlineStr">
        <is>
          <t>fixed one-unit hypothetical scoring; no real exposure or execution</t>
        </is>
      </c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inlineStr">
        <is>
          <t>3f8b84525b99b928c074f69a11ac7e42236f034cbf0699816e13679fe33ee23c</t>
        </is>
      </c>
      <c r="DE225" s="24" t="inlineStr">
        <is>
          <t>/Users/vincentc9002/model-prediction/data/odds/tennis/2026-08-26/polymarket_snapshots.jsonl</t>
        </is>
      </c>
      <c r="DF225" s="24" t="inlineStr">
        <is>
          <t>521707:2026-08-26T12:42:15.113898Z</t>
        </is>
      </c>
      <c r="DG225" s="24" t="n"/>
      <c r="DH225" s="24" t="n"/>
      <c r="DI225" s="24" t="n"/>
      <c r="DJ225" s="24" t="inlineStr">
        <is>
          <t>0.65035</t>
        </is>
      </c>
      <c r="DK225" s="24" t="n"/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a6e5e4a784e042ff</t>
        </is>
      </c>
      <c r="B226" s="24" t="inlineStr">
        <is>
          <t>2026-08-26T16:35:15.923799Z</t>
        </is>
      </c>
      <c r="C226" s="24" t="inlineStr">
        <is>
          <t>2026-08-26T18:00Z</t>
        </is>
      </c>
      <c r="D226" s="24" t="inlineStr">
        <is>
          <t>189-2026:184788</t>
        </is>
      </c>
      <c r="E226" s="24" t="inlineStr">
        <is>
          <t>TENNIS</t>
        </is>
      </c>
      <c r="F226" s="24" t="inlineStr">
        <is>
          <t>Lucie Havlickova</t>
        </is>
      </c>
      <c r="G226" s="24" t="inlineStr">
        <is>
          <t>Moyuka Uchijima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-203</v>
      </c>
      <c r="M226" s="27" t="n">
        <v>1.492611</v>
      </c>
      <c r="N226" s="28" t="n">
        <v>0.669967</v>
      </c>
      <c r="O226" s="28" t="n">
        <v>0.6602</v>
      </c>
      <c r="P226" s="28" t="n">
        <v>0.05</v>
      </c>
      <c r="Q226" s="28" t="n">
        <v>-0.009767</v>
      </c>
      <c r="R226" s="26" t="n">
        <v>15</v>
      </c>
      <c r="S226" s="29" t="n">
        <v>1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</v>
      </c>
      <c r="X226" s="26" t="n">
        <v>0</v>
      </c>
      <c r="Y226" s="25" t="n"/>
      <c r="Z226" s="26" t="n">
        <v>-178</v>
      </c>
      <c r="AA226" s="28" t="n">
        <v>0.64</v>
      </c>
      <c r="AB226" s="28" t="n">
        <v>-0.029967</v>
      </c>
      <c r="AC226" s="30" t="n">
        <v>-1</v>
      </c>
      <c r="AD226" s="24" t="inlineStr">
        <is>
          <t>2026-08-26T22:12:02.231389Z</t>
        </is>
      </c>
      <c r="AE226" s="31" t="inlineStr">
        <is>
          <t>Surface-blended Elo on Hard: Lucie Havlickova p=0.340 vs Moyuka Uchijima. Executable ask 0.6700 (aec-wta-moyuch-luchav-2026-08-26).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PAPER_CALL_LOW_EDGE</t>
        </is>
      </c>
      <c r="AP226" s="24" t="inlineStr">
        <is>
          <t>Lucie Havlickova</t>
        </is>
      </c>
      <c r="AQ226" s="24" t="inlineStr">
        <is>
          <t>Lucie Havlickova</t>
        </is>
      </c>
      <c r="AR226" s="24" t="inlineStr">
        <is>
          <t>Lucie Havlickova</t>
        </is>
      </c>
      <c r="AS226" s="24" t="inlineStr">
        <is>
          <t>Moyuka Uchijima</t>
        </is>
      </c>
      <c r="AT226" s="24" t="inlineStr">
        <is>
          <t>Moyuka Uchijima</t>
        </is>
      </c>
      <c r="AU226" s="24" t="inlineStr">
        <is>
          <t>Moyuka Uchijima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d777da58446bc099047b154203518e2585ef1a678f613f2b430f2589f7bf5cff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d777da58446bc099047b154203518e2585ef1a678f613f2b430f2589f7bf5cff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d777da58446bc099047b154203518e2585ef1a678f613f2b430f2589f7bf5cff</t>
        </is>
      </c>
      <c r="BH226" s="24" t="inlineStr">
        <is>
          <t>2026-08-26T12:42:15.141131Z</t>
        </is>
      </c>
      <c r="BI226" s="24" t="inlineStr">
        <is>
          <t>["same_event","same_team_same_day","same_league_same_day"]</t>
        </is>
      </c>
      <c r="BJ226" s="25" t="n"/>
      <c r="BK226" s="26" t="n">
        <v>-203</v>
      </c>
      <c r="BL226" s="27" t="n">
        <v>1.492611</v>
      </c>
      <c r="BM226" s="28" t="n">
        <v>0.669967</v>
      </c>
      <c r="BN226" s="28" t="n"/>
      <c r="BO226" s="28" t="n"/>
      <c r="BP226" s="25" t="n"/>
      <c r="BQ226" s="27" t="n">
        <v>1.561798</v>
      </c>
      <c r="BR226" s="28" t="n">
        <v>0.64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-1</v>
      </c>
      <c r="BZ226" s="24" t="inlineStr">
        <is>
          <t>2026-08-26T22:12:02.231389Z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inlineStr">
        <is>
          <t>7b002b735118ec16a6072ccffa4c4c87282e2f6972120f0208e8f08c3f883e30</t>
        </is>
      </c>
      <c r="DE226" s="24" t="inlineStr">
        <is>
          <t>/Users/vincentc9002/model-prediction/data/odds/tennis/2026-08-26/polymarket_snapshots.jsonl</t>
        </is>
      </c>
      <c r="DF226" s="24" t="inlineStr">
        <is>
          <t>520448:2026-08-26T12:42:15.141131Z</t>
        </is>
      </c>
      <c r="DG226" s="24" t="n"/>
      <c r="DH226" s="24" t="n"/>
      <c r="DI226" s="24" t="n"/>
      <c r="DJ226" s="24" t="inlineStr">
        <is>
          <t>0.669967</t>
        </is>
      </c>
      <c r="DK226" s="24" t="n"/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258fba8a5dc549f5</t>
        </is>
      </c>
      <c r="B227" s="24" t="inlineStr">
        <is>
          <t>2026-08-26T16:35:15.923799Z</t>
        </is>
      </c>
      <c r="C227" s="24" t="inlineStr">
        <is>
          <t>2026-08-26T18:00Z</t>
        </is>
      </c>
      <c r="D227" s="24" t="inlineStr">
        <is>
          <t>189-2026:184803</t>
        </is>
      </c>
      <c r="E227" s="24" t="inlineStr">
        <is>
          <t>TENNIS</t>
        </is>
      </c>
      <c r="F227" s="24" t="inlineStr">
        <is>
          <t>Veronika Podrez</t>
        </is>
      </c>
      <c r="G227" s="24" t="inlineStr">
        <is>
          <t>Bianca Andreescu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257</v>
      </c>
      <c r="M227" s="27" t="n">
        <v>3.57</v>
      </c>
      <c r="N227" s="28" t="n">
        <v>0.280112</v>
      </c>
      <c r="O227" s="28" t="n">
        <v>0.6007</v>
      </c>
      <c r="P227" s="28" t="n">
        <v>0.05</v>
      </c>
      <c r="Q227" s="28" t="n">
        <v>0.320588</v>
      </c>
      <c r="R227" s="26" t="n">
        <v>100</v>
      </c>
      <c r="S227" s="29" t="n">
        <v>2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0</v>
      </c>
      <c r="X227" s="26" t="n">
        <v>1</v>
      </c>
      <c r="Y227" s="25" t="n"/>
      <c r="Z227" s="26" t="n">
        <v>270</v>
      </c>
      <c r="AA227" s="28" t="n">
        <v>0.27</v>
      </c>
      <c r="AB227" s="28" t="n">
        <v>-0.010112</v>
      </c>
      <c r="AC227" s="30" t="n">
        <v>-2</v>
      </c>
      <c r="AD227" s="24" t="inlineStr">
        <is>
          <t>2026-08-26T22:12:03.772643Z</t>
        </is>
      </c>
      <c r="AE227" s="31" t="inlineStr">
        <is>
          <t>Surface-blended Elo on Hard: Veronika Podrez p=0.601 vs Bianca Andreescu. Executable ask 0.2800 (aec-wta-biaand-verpod-2026-08-26).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Veronika Podrez</t>
        </is>
      </c>
      <c r="AQ227" s="24" t="inlineStr">
        <is>
          <t>Veronika Podrez</t>
        </is>
      </c>
      <c r="AR227" s="24" t="inlineStr">
        <is>
          <t>Veronika Podrez</t>
        </is>
      </c>
      <c r="AS227" s="24" t="inlineStr">
        <is>
          <t>Bianca Andreescu</t>
        </is>
      </c>
      <c r="AT227" s="24" t="inlineStr">
        <is>
          <t>Bianca Andreescu</t>
        </is>
      </c>
      <c r="AU227" s="24" t="inlineStr">
        <is>
          <t>Bianca Andreescu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d777da58446bc099047b154203518e2585ef1a678f613f2b430f2589f7bf5cff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d777da58446bc099047b154203518e2585ef1a678f613f2b430f2589f7bf5cff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d777da58446bc099047b154203518e2585ef1a678f613f2b430f2589f7bf5cff</t>
        </is>
      </c>
      <c r="BH227" s="24" t="inlineStr">
        <is>
          <t>2026-08-26T12:42:15.122092Z</t>
        </is>
      </c>
      <c r="BI227" s="24" t="inlineStr">
        <is>
          <t>["same_event","same_team_same_day","same_league_same_day"]</t>
        </is>
      </c>
      <c r="BJ227" s="25" t="n"/>
      <c r="BK227" s="26" t="n">
        <v>257</v>
      </c>
      <c r="BL227" s="27" t="n">
        <v>3.57</v>
      </c>
      <c r="BM227" s="28" t="n">
        <v>0.280112</v>
      </c>
      <c r="BN227" s="28" t="n"/>
      <c r="BO227" s="28" t="n"/>
      <c r="BP227" s="25" t="n"/>
      <c r="BQ227" s="27" t="n">
        <v>3.7</v>
      </c>
      <c r="BR227" s="28" t="n">
        <v>0.27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inlineStr">
        <is>
          <t>aef84082d05318917f324c3bf91f03971c6e1c570b3ee4131be6e57c0f33848c</t>
        </is>
      </c>
      <c r="DE227" s="24" t="inlineStr">
        <is>
          <t>/Users/vincentc9002/model-prediction/data/odds/tennis/2026-08-26/polymarket_snapshots.jsonl</t>
        </is>
      </c>
      <c r="DF227" s="24" t="inlineStr">
        <is>
          <t>516519:2026-08-26T12:42:15.122092Z</t>
        </is>
      </c>
      <c r="DG227" s="24" t="n"/>
      <c r="DH227" s="24" t="n"/>
      <c r="DI227" s="24" t="n"/>
      <c r="DJ227" s="24" t="inlineStr">
        <is>
          <t>0.280112</t>
        </is>
      </c>
      <c r="DK227" s="24" t="n"/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f428f65f40cb4e62</t>
        </is>
      </c>
      <c r="B228" s="24" t="inlineStr">
        <is>
          <t>2026-08-26T16:35:15.923799Z</t>
        </is>
      </c>
      <c r="C228" s="24" t="inlineStr">
        <is>
          <t>2026-08-26T19:30Z</t>
        </is>
      </c>
      <c r="D228" s="24" t="inlineStr">
        <is>
          <t>189-2026:184758</t>
        </is>
      </c>
      <c r="E228" s="24" t="inlineStr">
        <is>
          <t>TENNIS</t>
        </is>
      </c>
      <c r="F228" s="24" t="inlineStr">
        <is>
          <t>Mary Stoiana</t>
        </is>
      </c>
      <c r="G228" s="24" t="inlineStr">
        <is>
          <t>Katie Swan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-203</v>
      </c>
      <c r="M228" s="27" t="n">
        <v>1.492611</v>
      </c>
      <c r="N228" s="28" t="n">
        <v>0.669967</v>
      </c>
      <c r="O228" s="28" t="n">
        <v>0.5789</v>
      </c>
      <c r="P228" s="28" t="n">
        <v>0.05</v>
      </c>
      <c r="Q228" s="28" t="n">
        <v>-0.091067</v>
      </c>
      <c r="R228" s="26" t="n">
        <v>0</v>
      </c>
      <c r="S228" s="29" t="n">
        <v>1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-194</v>
      </c>
      <c r="AA228" s="28" t="n">
        <v>0.66</v>
      </c>
      <c r="AB228" s="28" t="n">
        <v>-0.009967</v>
      </c>
      <c r="AC228" s="30" t="n">
        <v>0.4926</v>
      </c>
      <c r="AD228" s="24" t="inlineStr">
        <is>
          <t>2026-08-27T00:40:08.355107Z</t>
        </is>
      </c>
      <c r="AE228" s="31" t="inlineStr">
        <is>
          <t>Surface-blended Elo on Hard: Mary Stoiana p=0.579 vs Katie Swan. Executable ask 0.6700 (aec-wta-katswa-marsto-2026-08-26).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PAPER_CALL_LOW_EDGE</t>
        </is>
      </c>
      <c r="AP228" s="24" t="inlineStr">
        <is>
          <t>Mary Stoiana</t>
        </is>
      </c>
      <c r="AQ228" s="24" t="inlineStr">
        <is>
          <t>Mary Stoiana</t>
        </is>
      </c>
      <c r="AR228" s="24" t="inlineStr">
        <is>
          <t>Mary Stoiana</t>
        </is>
      </c>
      <c r="AS228" s="24" t="inlineStr">
        <is>
          <t>Katie Swan</t>
        </is>
      </c>
      <c r="AT228" s="24" t="inlineStr">
        <is>
          <t>Katie Swan</t>
        </is>
      </c>
      <c r="AU228" s="24" t="inlineStr">
        <is>
          <t>Katie Swan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d777da58446bc099047b154203518e2585ef1a678f613f2b430f2589f7bf5cff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d777da58446bc099047b154203518e2585ef1a678f613f2b430f2589f7bf5cff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d777da58446bc099047b154203518e2585ef1a678f613f2b430f2589f7bf5cff</t>
        </is>
      </c>
      <c r="BH228" s="24" t="inlineStr">
        <is>
          <t>2026-08-26T12:42:15.144197Z</t>
        </is>
      </c>
      <c r="BI228" s="24" t="inlineStr">
        <is>
          <t>["same_event","same_team_same_day","same_league_same_day"]</t>
        </is>
      </c>
      <c r="BJ228" s="25" t="n"/>
      <c r="BK228" s="26" t="n">
        <v>-203</v>
      </c>
      <c r="BL228" s="27" t="n">
        <v>1.492611</v>
      </c>
      <c r="BM228" s="28" t="n">
        <v>0.669967</v>
      </c>
      <c r="BN228" s="28" t="n"/>
      <c r="BO228" s="28" t="n"/>
      <c r="BP228" s="25" t="n"/>
      <c r="BQ228" s="27" t="n">
        <v>1.515464</v>
      </c>
      <c r="BR228" s="28" t="n">
        <v>0.66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0.492611</v>
      </c>
      <c r="BZ228" s="24" t="inlineStr">
        <is>
          <t>2026-08-27T00:40:08.355107Z</t>
        </is>
      </c>
      <c r="CA228" s="31" t="inlineStr">
        <is>
          <t>fixed one-unit hypothetical scoring; no real exposure or execution</t>
        </is>
      </c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inlineStr">
        <is>
          <t>3df6c63534e429cfb11f422ec50771585a64ca77100aca72b4a83d44d97206cb</t>
        </is>
      </c>
      <c r="DE228" s="24" t="inlineStr">
        <is>
          <t>/Users/vincentc9002/model-prediction/data/odds/tennis/2026-08-26/polymarket_snapshots.jsonl</t>
        </is>
      </c>
      <c r="DF228" s="24" t="inlineStr">
        <is>
          <t>523854:2026-08-26T12:42:15.144197Z</t>
        </is>
      </c>
      <c r="DG228" s="24" t="n"/>
      <c r="DH228" s="24" t="n"/>
      <c r="DI228" s="24" t="n"/>
      <c r="DJ228" s="24" t="inlineStr">
        <is>
          <t>0.669967</t>
        </is>
      </c>
      <c r="DK228" s="24" t="n"/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89d7b778d70a4fca</t>
        </is>
      </c>
      <c r="B229" s="24" t="inlineStr">
        <is>
          <t>2026-08-26T16:35:15.923799Z</t>
        </is>
      </c>
      <c r="C229" s="24" t="inlineStr">
        <is>
          <t>2026-08-26T19:30Z</t>
        </is>
      </c>
      <c r="D229" s="24" t="inlineStr">
        <is>
          <t>189-2026:184779</t>
        </is>
      </c>
      <c r="E229" s="24" t="inlineStr">
        <is>
          <t>TENNIS</t>
        </is>
      </c>
      <c r="F229" s="24" t="inlineStr">
        <is>
          <t>Mona Barthel</t>
        </is>
      </c>
      <c r="G229" s="24" t="inlineStr">
        <is>
          <t>Francesca Jones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-203</v>
      </c>
      <c r="M229" s="27" t="n">
        <v>1.492611</v>
      </c>
      <c r="N229" s="28" t="n">
        <v>0.669967</v>
      </c>
      <c r="O229" s="28" t="n">
        <v>0.6733</v>
      </c>
      <c r="P229" s="28" t="n">
        <v>0.05</v>
      </c>
      <c r="Q229" s="28" t="n">
        <v>0.003333</v>
      </c>
      <c r="R229" s="26" t="n">
        <v>22</v>
      </c>
      <c r="S229" s="29" t="n">
        <v>1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win</t>
        </is>
      </c>
      <c r="W229" s="26" t="n">
        <v>0</v>
      </c>
      <c r="X229" s="26" t="n">
        <v>1</v>
      </c>
      <c r="Y229" s="25" t="n"/>
      <c r="Z229" s="26" t="n">
        <v>-203</v>
      </c>
      <c r="AA229" s="28" t="n">
        <v>0.67</v>
      </c>
      <c r="AB229" s="28" t="n">
        <v>3.3e-05</v>
      </c>
      <c r="AC229" s="30" t="n">
        <v>0.4926</v>
      </c>
      <c r="AD229" s="24" t="inlineStr">
        <is>
          <t>2026-08-27T00:40:10.003818Z</t>
        </is>
      </c>
      <c r="AE229" s="31" t="inlineStr">
        <is>
          <t>Surface-blended Elo on Hard: Mona Barthel p=0.327 vs Francesca Jones. Executable ask 0.6700 (aec-wta-frajon-monbar-2026-08-26).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Mona Barthel</t>
        </is>
      </c>
      <c r="AQ229" s="24" t="inlineStr">
        <is>
          <t>Mona Barthel</t>
        </is>
      </c>
      <c r="AR229" s="24" t="inlineStr">
        <is>
          <t>Mona Barthel</t>
        </is>
      </c>
      <c r="AS229" s="24" t="inlineStr">
        <is>
          <t>Francesca Jones</t>
        </is>
      </c>
      <c r="AT229" s="24" t="inlineStr">
        <is>
          <t>Francesca Jones</t>
        </is>
      </c>
      <c r="AU229" s="24" t="inlineStr">
        <is>
          <t>Francesca Jones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d777da58446bc099047b154203518e2585ef1a678f613f2b430f2589f7bf5cff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d777da58446bc099047b154203518e2585ef1a678f613f2b430f2589f7bf5cff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d777da58446bc099047b154203518e2585ef1a678f613f2b430f2589f7bf5cff</t>
        </is>
      </c>
      <c r="BH229" s="24" t="inlineStr">
        <is>
          <t>2026-08-26T16:31:17.723582Z</t>
        </is>
      </c>
      <c r="BI229" s="24" t="inlineStr">
        <is>
          <t>["same_event","same_team_same_day","same_league_same_day"]</t>
        </is>
      </c>
      <c r="BJ229" s="25" t="n"/>
      <c r="BK229" s="26" t="n">
        <v>-203</v>
      </c>
      <c r="BL229" s="27" t="n">
        <v>1.492611</v>
      </c>
      <c r="BM229" s="28" t="n">
        <v>0.669967</v>
      </c>
      <c r="BN229" s="28" t="n"/>
      <c r="BO229" s="28" t="n"/>
      <c r="BP229" s="25" t="n"/>
      <c r="BQ229" s="27" t="n">
        <v>1.492611</v>
      </c>
      <c r="BR229" s="28" t="n">
        <v>0.67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0.492611</v>
      </c>
      <c r="BZ229" s="24" t="inlineStr">
        <is>
          <t>2026-08-27T00:40:10.003818Z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inlineStr">
        <is>
          <t>a53920bcce02e6fff0dd513f111aea5192931de17ebc1add53f327cf152b4ef8</t>
        </is>
      </c>
      <c r="DE229" s="24" t="inlineStr">
        <is>
          <t>/Users/vincentc9002/model-prediction/data/odds/tennis/2026-08-26/polymarket_snapshots.jsonl</t>
        </is>
      </c>
      <c r="DF229" s="24" t="inlineStr">
        <is>
          <t>523313:2026-08-26T16:31:17.723582Z</t>
        </is>
      </c>
      <c r="DG229" s="24" t="n"/>
      <c r="DH229" s="24" t="n"/>
      <c r="DI229" s="24" t="n"/>
      <c r="DJ229" s="24" t="inlineStr">
        <is>
          <t>0.669967</t>
        </is>
      </c>
      <c r="DK229" s="24" t="n"/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f521bffacba044ff</t>
        </is>
      </c>
      <c r="B230" s="24" t="inlineStr">
        <is>
          <t>2026-08-26T16:35:15.923799Z</t>
        </is>
      </c>
      <c r="C230" s="24" t="inlineStr">
        <is>
          <t>2026-08-26T19:30Z</t>
        </is>
      </c>
      <c r="D230" s="24" t="inlineStr">
        <is>
          <t>189-2026:184780</t>
        </is>
      </c>
      <c r="E230" s="24" t="inlineStr">
        <is>
          <t>TENNIS</t>
        </is>
      </c>
      <c r="F230" s="24" t="inlineStr">
        <is>
          <t>Joanna Garland</t>
        </is>
      </c>
      <c r="G230" s="24" t="inlineStr">
        <is>
          <t>Priscilla Hon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-127</v>
      </c>
      <c r="M230" s="27" t="n">
        <v>1.787402</v>
      </c>
      <c r="N230" s="28" t="n">
        <v>0.5594710000000001</v>
      </c>
      <c r="O230" s="28" t="n">
        <v>0.5718</v>
      </c>
      <c r="P230" s="28" t="n">
        <v>0.05</v>
      </c>
      <c r="Q230" s="28" t="n">
        <v>0.012329</v>
      </c>
      <c r="R230" s="26" t="n">
        <v>26</v>
      </c>
      <c r="S230" s="29" t="n">
        <v>1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-127</v>
      </c>
      <c r="AA230" s="28" t="n">
        <v>0.5600000000000001</v>
      </c>
      <c r="AB230" s="28" t="n">
        <v>0.000529</v>
      </c>
      <c r="AC230" s="30" t="n">
        <v>0.7874</v>
      </c>
      <c r="AD230" s="24" t="inlineStr">
        <is>
          <t>2026-08-27T00:40:11.600967Z</t>
        </is>
      </c>
      <c r="AE230" s="31" t="inlineStr">
        <is>
          <t>Surface-blended Elo on Hard: Joanna Garland p=0.572 vs Priscilla Hon. Executable ask 0.5600 (aec-wta-prihon-joagar-2026-08-26).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paper_call</t>
        </is>
      </c>
      <c r="AL230" s="26" t="n">
        <v>4</v>
      </c>
      <c r="AM230" s="24" t="inlineStr">
        <is>
          <t>RESEARCH_OBSERVATION</t>
        </is>
      </c>
      <c r="AN230" s="24" t="inlineStr">
        <is>
          <t>CALL</t>
        </is>
      </c>
      <c r="AO230" s="24" t="inlineStr">
        <is>
          <t>PAPER_CALL_LOW_EDGE</t>
        </is>
      </c>
      <c r="AP230" s="24" t="inlineStr">
        <is>
          <t>Joanna Garland</t>
        </is>
      </c>
      <c r="AQ230" s="24" t="inlineStr">
        <is>
          <t>Joanna Garland</t>
        </is>
      </c>
      <c r="AR230" s="24" t="inlineStr">
        <is>
          <t>Joanna Garland</t>
        </is>
      </c>
      <c r="AS230" s="24" t="inlineStr">
        <is>
          <t>Priscilla Hon</t>
        </is>
      </c>
      <c r="AT230" s="24" t="inlineStr">
        <is>
          <t>Priscilla Hon</t>
        </is>
      </c>
      <c r="AU230" s="24" t="inlineStr">
        <is>
          <t>Priscilla Hon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d777da58446bc099047b154203518e2585ef1a678f613f2b430f2589f7bf5cff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d777da58446bc099047b154203518e2585ef1a678f613f2b430f2589f7bf5cff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d777da58446bc099047b154203518e2585ef1a678f613f2b430f2589f7bf5cff</t>
        </is>
      </c>
      <c r="BH230" s="24" t="inlineStr">
        <is>
          <t>2026-08-26T12:42:15.263350Z</t>
        </is>
      </c>
      <c r="BI230" s="24" t="inlineStr">
        <is>
          <t>["same_event","same_team_same_day","same_league_same_day"]</t>
        </is>
      </c>
      <c r="BJ230" s="25" t="n"/>
      <c r="BK230" s="26" t="n">
        <v>-127</v>
      </c>
      <c r="BL230" s="27" t="n">
        <v>1.787402</v>
      </c>
      <c r="BM230" s="28" t="n">
        <v>0.5594710000000001</v>
      </c>
      <c r="BN230" s="28" t="n"/>
      <c r="BO230" s="28" t="n"/>
      <c r="BP230" s="25" t="n"/>
      <c r="BQ230" s="27" t="n">
        <v>1.787402</v>
      </c>
      <c r="BR230" s="28" t="n">
        <v>0.5600000000000001</v>
      </c>
      <c r="BS230" s="28" t="n"/>
      <c r="BT230" s="28" t="n"/>
      <c r="BU230" s="25" t="n"/>
      <c r="BV230" s="29" t="n"/>
      <c r="BW230" s="24" t="n"/>
      <c r="BX230" s="30" t="n">
        <v>1</v>
      </c>
      <c r="BY230" s="27" t="n">
        <v>0.787403</v>
      </c>
      <c r="BZ230" s="24" t="inlineStr">
        <is>
          <t>2026-08-27T00:40:11.600967Z</t>
        </is>
      </c>
      <c r="CA230" s="31" t="inlineStr">
        <is>
          <t>fixed one-unit hypothetical scoring; no real exposure or execution</t>
        </is>
      </c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inlineStr">
        <is>
          <t>d67143f4918cec5e4b0e9e5ad4382ca18df58459d417fed4fdc3630889d2353e</t>
        </is>
      </c>
      <c r="DE230" s="24" t="inlineStr">
        <is>
          <t>/Users/vincentc9002/model-prediction/data/odds/tennis/2026-08-26/polymarket_snapshots.jsonl</t>
        </is>
      </c>
      <c r="DF230" s="24" t="inlineStr">
        <is>
          <t>523544:2026-08-26T12:42:15.263350Z</t>
        </is>
      </c>
      <c r="DG230" s="24" t="n"/>
      <c r="DH230" s="24" t="n"/>
      <c r="DI230" s="24" t="n"/>
      <c r="DJ230" s="24" t="inlineStr">
        <is>
          <t>0.559471</t>
        </is>
      </c>
      <c r="DK230" s="24" t="n"/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c807071750224bbc</t>
        </is>
      </c>
      <c r="B231" s="24" t="inlineStr">
        <is>
          <t>2026-08-26T16:35:15.923799Z</t>
        </is>
      </c>
      <c r="C231" s="24" t="inlineStr">
        <is>
          <t>2026-08-26T19:30Z</t>
        </is>
      </c>
      <c r="D231" s="24" t="inlineStr">
        <is>
          <t>189-2026:184789</t>
        </is>
      </c>
      <c r="E231" s="24" t="inlineStr">
        <is>
          <t>TENNIS</t>
        </is>
      </c>
      <c r="F231" s="24" t="inlineStr">
        <is>
          <t>Julia Avdeeva</t>
        </is>
      </c>
      <c r="G231" s="24" t="inlineStr">
        <is>
          <t>Yuan Yue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-270</v>
      </c>
      <c r="M231" s="27" t="n">
        <v>1.37037</v>
      </c>
      <c r="N231" s="28" t="n">
        <v>0.72973</v>
      </c>
      <c r="O231" s="28" t="n">
        <v>0.6394</v>
      </c>
      <c r="P231" s="28" t="n">
        <v>0.05</v>
      </c>
      <c r="Q231" s="28" t="n">
        <v>-0.09032999999999999</v>
      </c>
      <c r="R231" s="26" t="n">
        <v>0</v>
      </c>
      <c r="S231" s="29" t="n">
        <v>1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/>
      <c r="AA231" s="28" t="n"/>
      <c r="AB231" s="28" t="n"/>
      <c r="AC231" s="30" t="n">
        <v>0.3704</v>
      </c>
      <c r="AD231" s="24" t="inlineStr">
        <is>
          <t>2026-08-26T22:12:05.404380Z</t>
        </is>
      </c>
      <c r="AE231" s="31" t="inlineStr">
        <is>
          <t>Surface-blended Elo on Hard: Julia Avdeeva p=0.361 vs Yuan Yue. Executable ask 0.7300 (aec-wta-yueyua-julavd-2026-08-26).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Julia Avdeeva</t>
        </is>
      </c>
      <c r="AQ231" s="24" t="inlineStr">
        <is>
          <t>Julia Avdeeva</t>
        </is>
      </c>
      <c r="AR231" s="24" t="inlineStr">
        <is>
          <t>Julia Avdeeva</t>
        </is>
      </c>
      <c r="AS231" s="24" t="inlineStr">
        <is>
          <t>Yuan Yue</t>
        </is>
      </c>
      <c r="AT231" s="24" t="inlineStr">
        <is>
          <t>Yuan Yue</t>
        </is>
      </c>
      <c r="AU231" s="24" t="inlineStr">
        <is>
          <t>Yuan Yue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d777da58446bc099047b154203518e2585ef1a678f613f2b430f2589f7bf5cff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d777da58446bc099047b154203518e2585ef1a678f613f2b430f2589f7bf5cff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d777da58446bc099047b154203518e2585ef1a678f613f2b430f2589f7bf5cff</t>
        </is>
      </c>
      <c r="BH231" s="24" t="inlineStr">
        <is>
          <t>2026-08-26T12:42:15.253223Z</t>
        </is>
      </c>
      <c r="BI231" s="24" t="inlineStr">
        <is>
          <t>["same_event","same_team_same_day","same_league_same_day"]</t>
        </is>
      </c>
      <c r="BJ231" s="25" t="n"/>
      <c r="BK231" s="26" t="n">
        <v>-270</v>
      </c>
      <c r="BL231" s="27" t="n">
        <v>1.37037</v>
      </c>
      <c r="BM231" s="28" t="n">
        <v>0.72973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0.37037</v>
      </c>
      <c r="BZ231" s="24" t="inlineStr">
        <is>
          <t>2026-08-26T22:12:05.404380Z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inlineStr">
        <is>
          <t>f0f7f251a58916e5f04b238b1260da2adc0a1504c809789e0c67b05c59ad3ba0</t>
        </is>
      </c>
      <c r="DE231" s="24" t="inlineStr">
        <is>
          <t>/Users/vincentc9002/model-prediction/data/odds/tennis/2026-08-26/polymarket_snapshots.jsonl</t>
        </is>
      </c>
      <c r="DF231" s="24" t="inlineStr">
        <is>
          <t>524348:2026-08-26T12:42:15.253223Z</t>
        </is>
      </c>
      <c r="DG231" s="24" t="n"/>
      <c r="DH231" s="24" t="n"/>
      <c r="DI231" s="24" t="n"/>
      <c r="DJ231" s="24" t="inlineStr">
        <is>
          <t>0.72973</t>
        </is>
      </c>
      <c r="DK231" s="24" t="n"/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f2bc777c7d174685</t>
        </is>
      </c>
      <c r="B232" s="24" t="inlineStr">
        <is>
          <t>2026-08-26T16:35:15.923799Z</t>
        </is>
      </c>
      <c r="C232" s="24" t="inlineStr">
        <is>
          <t>2026-08-26T19:30Z</t>
        </is>
      </c>
      <c r="D232" s="24" t="inlineStr">
        <is>
          <t>189-2026:184794</t>
        </is>
      </c>
      <c r="E232" s="24" t="inlineStr">
        <is>
          <t>TENNIS</t>
        </is>
      </c>
      <c r="F232" s="24" t="inlineStr">
        <is>
          <t>Lola Radivojevic</t>
        </is>
      </c>
      <c r="G232" s="24" t="inlineStr">
        <is>
          <t>Kristina Liutova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-335</v>
      </c>
      <c r="M232" s="27" t="n">
        <v>1.298507</v>
      </c>
      <c r="N232" s="28" t="n">
        <v>0.770115</v>
      </c>
      <c r="O232" s="28" t="n">
        <v>0.5780999999999999</v>
      </c>
      <c r="P232" s="28" t="n">
        <v>0.05</v>
      </c>
      <c r="Q232" s="28" t="n">
        <v>-0.192015</v>
      </c>
      <c r="R232" s="26" t="n">
        <v>0</v>
      </c>
      <c r="S232" s="29" t="n">
        <v>1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-335</v>
      </c>
      <c r="AA232" s="28" t="n">
        <v>0.77</v>
      </c>
      <c r="AB232" s="28" t="n">
        <v>-0.000115</v>
      </c>
      <c r="AC232" s="30" t="n">
        <v>0.2985</v>
      </c>
      <c r="AD232" s="24" t="inlineStr">
        <is>
          <t>2026-08-27T03:36:38.164267Z</t>
        </is>
      </c>
      <c r="AE232" s="31" t="inlineStr">
        <is>
          <t>Surface-blended Elo on Hard: Lola Radivojevic p=0.422 vs Kristina Liutova. Executable ask 0.7700 (aec-wta-kriliu-lolrad-2026-08-26).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PAPER_CALL_MODEL_UNVALIDATED</t>
        </is>
      </c>
      <c r="AP232" s="24" t="inlineStr">
        <is>
          <t>Lola Radivojevic</t>
        </is>
      </c>
      <c r="AQ232" s="24" t="inlineStr">
        <is>
          <t>Lola Radivojevic</t>
        </is>
      </c>
      <c r="AR232" s="24" t="inlineStr">
        <is>
          <t>Lola Radivojevic</t>
        </is>
      </c>
      <c r="AS232" s="24" t="inlineStr">
        <is>
          <t>Kristina Liutova</t>
        </is>
      </c>
      <c r="AT232" s="24" t="inlineStr">
        <is>
          <t>Kristina Liutova</t>
        </is>
      </c>
      <c r="AU232" s="24" t="inlineStr">
        <is>
          <t>Kristina Liutova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d777da58446bc099047b154203518e2585ef1a678f613f2b430f2589f7bf5cff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d777da58446bc099047b154203518e2585ef1a678f613f2b430f2589f7bf5cff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d777da58446bc099047b154203518e2585ef1a678f613f2b430f2589f7bf5cff</t>
        </is>
      </c>
      <c r="BH232" s="24" t="inlineStr">
        <is>
          <t>2026-08-26T16:31:17.711050Z</t>
        </is>
      </c>
      <c r="BI232" s="24" t="inlineStr">
        <is>
          <t>["same_event","same_team_same_day","same_league_same_day"]</t>
        </is>
      </c>
      <c r="BJ232" s="25" t="n"/>
      <c r="BK232" s="26" t="n">
        <v>-335</v>
      </c>
      <c r="BL232" s="27" t="n">
        <v>1.298507</v>
      </c>
      <c r="BM232" s="28" t="n">
        <v>0.770115</v>
      </c>
      <c r="BN232" s="28" t="n"/>
      <c r="BO232" s="28" t="n"/>
      <c r="BP232" s="25" t="n"/>
      <c r="BQ232" s="27" t="n">
        <v>1.298507</v>
      </c>
      <c r="BR232" s="28" t="n">
        <v>0.77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0.298507</v>
      </c>
      <c r="BZ232" s="24" t="inlineStr">
        <is>
          <t>2026-08-27T03:36:38.164267Z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inlineStr">
        <is>
          <t>26fb743c509c5983db028a99891a1e05501d03c8c2b957aa1b87d971297f0f70</t>
        </is>
      </c>
      <c r="DE232" s="24" t="inlineStr">
        <is>
          <t>/Users/vincentc9002/model-prediction/data/odds/tennis/2026-08-26/polymarket_snapshots.jsonl</t>
        </is>
      </c>
      <c r="DF232" s="24" t="inlineStr">
        <is>
          <t>523316:2026-08-26T16:31:17.711050Z</t>
        </is>
      </c>
      <c r="DG232" s="24" t="n"/>
      <c r="DH232" s="24" t="n"/>
      <c r="DI232" s="24" t="n"/>
      <c r="DJ232" s="24" t="inlineStr">
        <is>
          <t>0.770115</t>
        </is>
      </c>
      <c r="DK232" s="24" t="n"/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b1c954278bb84131</t>
        </is>
      </c>
      <c r="B233" s="24" t="inlineStr">
        <is>
          <t>2026-08-26T16:35:15.923799Z</t>
        </is>
      </c>
      <c r="C233" s="24" t="inlineStr">
        <is>
          <t>2026-08-26T19:30Z</t>
        </is>
      </c>
      <c r="D233" s="24" t="inlineStr">
        <is>
          <t>189-2026:184795</t>
        </is>
      </c>
      <c r="E233" s="24" t="inlineStr">
        <is>
          <t>TENNIS</t>
        </is>
      </c>
      <c r="F233" s="24" t="inlineStr">
        <is>
          <t>Marina Bassols Ribera</t>
        </is>
      </c>
      <c r="G233" s="24" t="inlineStr">
        <is>
          <t>Martyna Kubka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-117</v>
      </c>
      <c r="M233" s="27" t="n">
        <v>1.854701</v>
      </c>
      <c r="N233" s="28" t="n">
        <v>0.539171</v>
      </c>
      <c r="O233" s="28" t="n">
        <v>0.5977</v>
      </c>
      <c r="P233" s="28" t="n">
        <v>0.05</v>
      </c>
      <c r="Q233" s="28" t="n">
        <v>0.058529</v>
      </c>
      <c r="R233" s="26" t="n">
        <v>49</v>
      </c>
      <c r="S233" s="29" t="n">
        <v>1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loss</t>
        </is>
      </c>
      <c r="W233" s="26" t="n">
        <v>0</v>
      </c>
      <c r="X233" s="26" t="n">
        <v>1</v>
      </c>
      <c r="Y233" s="25" t="n"/>
      <c r="Z233" s="26" t="n">
        <v>-117</v>
      </c>
      <c r="AA233" s="28" t="n">
        <v>0.54</v>
      </c>
      <c r="AB233" s="28" t="n">
        <v>0.000829</v>
      </c>
      <c r="AC233" s="30" t="n">
        <v>-1</v>
      </c>
      <c r="AD233" s="24" t="inlineStr">
        <is>
          <t>2026-08-27T00:40:13.187366Z</t>
        </is>
      </c>
      <c r="AE233" s="31" t="inlineStr">
        <is>
          <t>Surface-blended Elo on Hard: Marina Bassols Ribera p=0.598 vs Martyna Kubka. Executable ask 0.5400 (aec-wta-markub-marrib-2026-08-26).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Marina Bassols Ribera</t>
        </is>
      </c>
      <c r="AQ233" s="24" t="inlineStr">
        <is>
          <t>Marina Bassols Ribera</t>
        </is>
      </c>
      <c r="AR233" s="24" t="inlineStr">
        <is>
          <t>Marina Bassols Ribera</t>
        </is>
      </c>
      <c r="AS233" s="24" t="inlineStr">
        <is>
          <t>Martyna Kubka</t>
        </is>
      </c>
      <c r="AT233" s="24" t="inlineStr">
        <is>
          <t>Martyna Kubka</t>
        </is>
      </c>
      <c r="AU233" s="24" t="inlineStr">
        <is>
          <t>Martyna Kubka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d777da58446bc099047b154203518e2585ef1a678f613f2b430f2589f7bf5cff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d777da58446bc099047b154203518e2585ef1a678f613f2b430f2589f7bf5cff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d777da58446bc099047b154203518e2585ef1a678f613f2b430f2589f7bf5cff</t>
        </is>
      </c>
      <c r="BH233" s="24" t="inlineStr">
        <is>
          <t>2026-08-26T12:42:15.247763Z</t>
        </is>
      </c>
      <c r="BI233" s="24" t="inlineStr">
        <is>
          <t>["same_event","same_team_same_day","same_league_same_day"]</t>
        </is>
      </c>
      <c r="BJ233" s="25" t="n"/>
      <c r="BK233" s="26" t="n">
        <v>-117</v>
      </c>
      <c r="BL233" s="27" t="n">
        <v>1.854701</v>
      </c>
      <c r="BM233" s="28" t="n">
        <v>0.539171</v>
      </c>
      <c r="BN233" s="28" t="n"/>
      <c r="BO233" s="28" t="n"/>
      <c r="BP233" s="25" t="n"/>
      <c r="BQ233" s="27" t="n">
        <v>1.854701</v>
      </c>
      <c r="BR233" s="28" t="n">
        <v>0.54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inlineStr">
        <is>
          <t>3e6f12150d47effb477cffa4f791cee6981e84218eb0af56611f810488267330</t>
        </is>
      </c>
      <c r="DE233" s="24" t="inlineStr">
        <is>
          <t>/Users/vincentc9002/model-prediction/data/odds/tennis/2026-08-26/polymarket_snapshots.jsonl</t>
        </is>
      </c>
      <c r="DF233" s="24" t="inlineStr">
        <is>
          <t>523380:2026-08-26T12:42:15.247763Z</t>
        </is>
      </c>
      <c r="DG233" s="24" t="n"/>
      <c r="DH233" s="24" t="n"/>
      <c r="DI233" s="24" t="n"/>
      <c r="DJ233" s="24" t="inlineStr">
        <is>
          <t>0.539171</t>
        </is>
      </c>
      <c r="DK233" s="24" t="n"/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a8bbcaeeda2c40a5</t>
        </is>
      </c>
      <c r="B234" s="24" t="inlineStr">
        <is>
          <t>2026-08-26T16:35:15.923799Z</t>
        </is>
      </c>
      <c r="C234" s="24" t="inlineStr">
        <is>
          <t>2026-08-26T21:00Z</t>
        </is>
      </c>
      <c r="D234" s="24" t="inlineStr">
        <is>
          <t>189-2026:184783</t>
        </is>
      </c>
      <c r="E234" s="24" t="inlineStr">
        <is>
          <t>TENNIS</t>
        </is>
      </c>
      <c r="F234" s="24" t="inlineStr">
        <is>
          <t>Alexandra Shubladze</t>
        </is>
      </c>
      <c r="G234" s="24" t="inlineStr">
        <is>
          <t>Darja Semenistaja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178</v>
      </c>
      <c r="M234" s="27" t="n">
        <v>2.78</v>
      </c>
      <c r="N234" s="28" t="n">
        <v>0.359712</v>
      </c>
      <c r="O234" s="28" t="n">
        <v>0.5832000000000001</v>
      </c>
      <c r="P234" s="28" t="n">
        <v>0.05</v>
      </c>
      <c r="Q234" s="28" t="n">
        <v>0.223488</v>
      </c>
      <c r="R234" s="26" t="n">
        <v>100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0</v>
      </c>
      <c r="X234" s="26" t="n">
        <v>1</v>
      </c>
      <c r="Y234" s="25" t="n"/>
      <c r="Z234" s="26" t="n">
        <v>186</v>
      </c>
      <c r="AA234" s="28" t="n">
        <v>0.35</v>
      </c>
      <c r="AB234" s="28" t="n">
        <v>-0.009712</v>
      </c>
      <c r="AC234" s="30" t="n">
        <v>3.56</v>
      </c>
      <c r="AD234" s="24" t="inlineStr">
        <is>
          <t>2026-08-27T03:36:41.323205Z</t>
        </is>
      </c>
      <c r="AE234" s="31" t="inlineStr">
        <is>
          <t>Surface-blended Elo on Hard: Alexandra Shubladze p=0.417 vs Darja Semenistaja. Executable ask 0.3600 (aec-wta-darsem-aleshu-2026-08-26).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PAPER_CALL_MODEL_UNVALIDATED</t>
        </is>
      </c>
      <c r="AP234" s="24" t="inlineStr">
        <is>
          <t>Alexandra Shubladze</t>
        </is>
      </c>
      <c r="AQ234" s="24" t="inlineStr">
        <is>
          <t>Alexandra Shubladze</t>
        </is>
      </c>
      <c r="AR234" s="24" t="inlineStr">
        <is>
          <t>Alexandra Shubladze</t>
        </is>
      </c>
      <c r="AS234" s="24" t="inlineStr">
        <is>
          <t>Darja Semenistaja</t>
        </is>
      </c>
      <c r="AT234" s="24" t="inlineStr">
        <is>
          <t>Darja Semenistaja</t>
        </is>
      </c>
      <c r="AU234" s="24" t="inlineStr">
        <is>
          <t>Darja Semenistaja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d777da58446bc099047b154203518e2585ef1a678f613f2b430f2589f7bf5cff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d777da58446bc099047b154203518e2585ef1a678f613f2b430f2589f7bf5cff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d777da58446bc099047b154203518e2585ef1a678f613f2b430f2589f7bf5cff</t>
        </is>
      </c>
      <c r="BH234" s="24" t="inlineStr">
        <is>
          <t>2026-08-26T12:42:15.115968Z</t>
        </is>
      </c>
      <c r="BI234" s="24" t="inlineStr">
        <is>
          <t>["same_event","same_team_same_day","same_league_same_day"]</t>
        </is>
      </c>
      <c r="BJ234" s="25" t="n"/>
      <c r="BK234" s="26" t="n">
        <v>178</v>
      </c>
      <c r="BL234" s="27" t="n">
        <v>2.78</v>
      </c>
      <c r="BM234" s="28" t="n">
        <v>0.359712</v>
      </c>
      <c r="BN234" s="28" t="n"/>
      <c r="BO234" s="28" t="n"/>
      <c r="BP234" s="25" t="n"/>
      <c r="BQ234" s="27" t="n">
        <v>2.86</v>
      </c>
      <c r="BR234" s="28" t="n">
        <v>0.35</v>
      </c>
      <c r="BS234" s="28" t="n"/>
      <c r="BT234" s="28" t="n"/>
      <c r="BU234" s="25" t="n"/>
      <c r="BV234" s="29" t="n"/>
      <c r="BW234" s="24" t="n"/>
      <c r="BX234" s="30" t="n">
        <v>1</v>
      </c>
      <c r="BY234" s="27" t="n">
        <v>1.780002</v>
      </c>
      <c r="BZ234" s="24" t="inlineStr">
        <is>
          <t>2026-08-27T03:36:41.323205Z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inlineStr">
        <is>
          <t>bf0dacfe4eb7c9760595823e6b3401bc5f8494415421a481bd4346a675e9520c</t>
        </is>
      </c>
      <c r="DE234" s="24" t="inlineStr">
        <is>
          <t>/Users/vincentc9002/model-prediction/data/odds/tennis/2026-08-26/polymarket_snapshots.jsonl</t>
        </is>
      </c>
      <c r="DF234" s="24" t="inlineStr">
        <is>
          <t>524349:2026-08-26T12:42:15.115968Z</t>
        </is>
      </c>
      <c r="DG234" s="24" t="n"/>
      <c r="DH234" s="24" t="n"/>
      <c r="DI234" s="24" t="n"/>
      <c r="DJ234" s="24" t="inlineStr">
        <is>
          <t>0.359712</t>
        </is>
      </c>
      <c r="DK234" s="24" t="n"/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c31afc888ef2491d</t>
        </is>
      </c>
      <c r="B235" s="24" t="inlineStr">
        <is>
          <t>2026-08-26T16:35:15.923799Z</t>
        </is>
      </c>
      <c r="C235" s="24" t="inlineStr">
        <is>
          <t>2026-08-26T21:00Z</t>
        </is>
      </c>
      <c r="D235" s="24" t="inlineStr">
        <is>
          <t>189-2026:184798</t>
        </is>
      </c>
      <c r="E235" s="24" t="inlineStr">
        <is>
          <t>TENNIS</t>
        </is>
      </c>
      <c r="F235" s="24" t="inlineStr">
        <is>
          <t>Aliaksandra Sasnovich</t>
        </is>
      </c>
      <c r="G235" s="24" t="inlineStr">
        <is>
          <t>Vendula Valdmannova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polymarket_us</t>
        </is>
      </c>
      <c r="L235" s="26" t="n">
        <v>-138</v>
      </c>
      <c r="M235" s="27" t="n">
        <v>1.724638</v>
      </c>
      <c r="N235" s="28" t="n">
        <v>0.579832</v>
      </c>
      <c r="O235" s="28" t="n">
        <v>0.5581</v>
      </c>
      <c r="P235" s="28" t="n">
        <v>0.05</v>
      </c>
      <c r="Q235" s="28" t="n">
        <v>-0.021732</v>
      </c>
      <c r="R235" s="26" t="n">
        <v>9</v>
      </c>
      <c r="S235" s="29" t="n">
        <v>1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loss</t>
        </is>
      </c>
      <c r="W235" s="26" t="n">
        <v>0</v>
      </c>
      <c r="X235" s="26" t="n">
        <v>1</v>
      </c>
      <c r="Y235" s="25" t="n"/>
      <c r="Z235" s="26" t="n">
        <v>-156</v>
      </c>
      <c r="AA235" s="28" t="n">
        <v>0.61</v>
      </c>
      <c r="AB235" s="28" t="n">
        <v>0.030168</v>
      </c>
      <c r="AC235" s="30" t="n">
        <v>-1</v>
      </c>
      <c r="AD235" s="24" t="inlineStr">
        <is>
          <t>2026-08-27T03:36:44.469073Z</t>
        </is>
      </c>
      <c r="AE235" s="31" t="inlineStr">
        <is>
          <t>Surface-blended Elo on Hard: Aliaksandra Sasnovich p=0.558 vs Vendula Valdmannova. Executable ask 0.5800 (aec-wta-venval-alisas-2026-08-26).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Aliaksandra Sasnovich</t>
        </is>
      </c>
      <c r="AQ235" s="24" t="inlineStr">
        <is>
          <t>Aliaksandra Sasnovich</t>
        </is>
      </c>
      <c r="AR235" s="24" t="inlineStr">
        <is>
          <t>Aliaksandra Sasnovich</t>
        </is>
      </c>
      <c r="AS235" s="24" t="inlineStr">
        <is>
          <t>Vendula Valdmannova</t>
        </is>
      </c>
      <c r="AT235" s="24" t="inlineStr">
        <is>
          <t>Vendula Valdmannova</t>
        </is>
      </c>
      <c r="AU235" s="24" t="inlineStr">
        <is>
          <t>Vendula Valdmannova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d777da58446bc099047b154203518e2585ef1a678f613f2b430f2589f7bf5cff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d777da58446bc099047b154203518e2585ef1a678f613f2b430f2589f7bf5cff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d777da58446bc099047b154203518e2585ef1a678f613f2b430f2589f7bf5cff</t>
        </is>
      </c>
      <c r="BH235" s="24" t="inlineStr">
        <is>
          <t>2026-08-26T12:42:15.130172Z</t>
        </is>
      </c>
      <c r="BI235" s="24" t="inlineStr">
        <is>
          <t>["same_event","same_team_same_day","same_league_same_day"]</t>
        </is>
      </c>
      <c r="BJ235" s="25" t="n"/>
      <c r="BK235" s="26" t="n">
        <v>-138</v>
      </c>
      <c r="BL235" s="27" t="n">
        <v>1.724638</v>
      </c>
      <c r="BM235" s="28" t="n">
        <v>0.579832</v>
      </c>
      <c r="BN235" s="28" t="n"/>
      <c r="BO235" s="28" t="n"/>
      <c r="BP235" s="25" t="n"/>
      <c r="BQ235" s="27" t="n">
        <v>1.641026</v>
      </c>
      <c r="BR235" s="28" t="n">
        <v>0.61</v>
      </c>
      <c r="BS235" s="28" t="n"/>
      <c r="BT235" s="28" t="n"/>
      <c r="BU235" s="25" t="n"/>
      <c r="BV235" s="29" t="n"/>
      <c r="BW235" s="24" t="n"/>
      <c r="BX235" s="30" t="n">
        <v>1</v>
      </c>
      <c r="BY235" s="27" t="n">
        <v>-1</v>
      </c>
      <c r="BZ235" s="24" t="inlineStr">
        <is>
          <t>2026-08-27T03:36:44.469073Z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inlineStr">
        <is>
          <t>9a5fe67f758e018930e0280de7fd9e0cb4475a639ecf5594965ebc3f485ec4ed</t>
        </is>
      </c>
      <c r="DE235" s="24" t="inlineStr">
        <is>
          <t>/Users/vincentc9002/model-prediction/data/odds/tennis/2026-08-26/polymarket_snapshots.jsonl</t>
        </is>
      </c>
      <c r="DF235" s="24" t="inlineStr">
        <is>
          <t>524469:2026-08-26T12:42:15.130172Z</t>
        </is>
      </c>
      <c r="DG235" s="24" t="n"/>
      <c r="DH235" s="24" t="n"/>
      <c r="DI235" s="24" t="n"/>
      <c r="DJ235" s="24" t="inlineStr">
        <is>
          <t>0.579832</t>
        </is>
      </c>
      <c r="DK235" s="24" t="n"/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dc587aee5db54f01</t>
        </is>
      </c>
      <c r="B236" s="24" t="inlineStr">
        <is>
          <t>2026-08-26T16:35:15.923799Z</t>
        </is>
      </c>
      <c r="C236" s="24" t="inlineStr">
        <is>
          <t>2026-08-26T18:00Z</t>
        </is>
      </c>
      <c r="D236" s="24" t="inlineStr">
        <is>
          <t>189-2026:184667</t>
        </is>
      </c>
      <c r="E236" s="24" t="inlineStr">
        <is>
          <t>TENNIS</t>
        </is>
      </c>
      <c r="F236" s="24" t="inlineStr">
        <is>
          <t>Clement Chidekh</t>
        </is>
      </c>
      <c r="G236" s="24" t="inlineStr">
        <is>
          <t>Arthur Gea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-213</v>
      </c>
      <c r="M236" s="27" t="n">
        <v>1.469484</v>
      </c>
      <c r="N236" s="28" t="n">
        <v>0.680511</v>
      </c>
      <c r="O236" s="28" t="n">
        <v>0.6108</v>
      </c>
      <c r="P236" s="28" t="n">
        <v>0.05</v>
      </c>
      <c r="Q236" s="28" t="n">
        <v>-0.069711</v>
      </c>
      <c r="R236" s="26" t="n">
        <v>0</v>
      </c>
      <c r="S236" s="29" t="n">
        <v>1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-213</v>
      </c>
      <c r="AA236" s="28" t="n">
        <v>0.68</v>
      </c>
      <c r="AB236" s="28" t="n">
        <v>-0.000511</v>
      </c>
      <c r="AC236" s="30" t="n">
        <v>0.4695</v>
      </c>
      <c r="AD236" s="24" t="inlineStr">
        <is>
          <t>2026-08-26T22:12:07.551884Z</t>
        </is>
      </c>
      <c r="AE236" s="31" t="inlineStr">
        <is>
          <t>Surface-blended Elo on Hard: Clement Chidekh p=0.389 vs Arthur Gea. Executable ask 0.6800 (aec-atp-artgea-clechi-2026-08-26).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Clement Chidekh</t>
        </is>
      </c>
      <c r="AQ236" s="24" t="inlineStr">
        <is>
          <t>Clement Chidekh</t>
        </is>
      </c>
      <c r="AR236" s="24" t="inlineStr">
        <is>
          <t>Clement Chidekh</t>
        </is>
      </c>
      <c r="AS236" s="24" t="inlineStr">
        <is>
          <t>Arthur Gea</t>
        </is>
      </c>
      <c r="AT236" s="24" t="inlineStr">
        <is>
          <t>Arthur Gea</t>
        </is>
      </c>
      <c r="AU236" s="24" t="inlineStr">
        <is>
          <t>Arthur Gea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d777da58446bc099047b154203518e2585ef1a678f613f2b430f2589f7bf5cff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d777da58446bc099047b154203518e2585ef1a678f613f2b430f2589f7bf5cff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d777da58446bc099047b154203518e2585ef1a678f613f2b430f2589f7bf5cff</t>
        </is>
      </c>
      <c r="BH236" s="24" t="inlineStr">
        <is>
          <t>2026-08-26T12:42:22.128063Z</t>
        </is>
      </c>
      <c r="BI236" s="24" t="inlineStr">
        <is>
          <t>["same_event","same_team_same_day","same_league_same_day"]</t>
        </is>
      </c>
      <c r="BJ236" s="25" t="n"/>
      <c r="BK236" s="26" t="n">
        <v>-213</v>
      </c>
      <c r="BL236" s="27" t="n">
        <v>1.469484</v>
      </c>
      <c r="BM236" s="28" t="n">
        <v>0.680511</v>
      </c>
      <c r="BN236" s="28" t="n"/>
      <c r="BO236" s="28" t="n"/>
      <c r="BP236" s="25" t="n"/>
      <c r="BQ236" s="27" t="n">
        <v>1.469484</v>
      </c>
      <c r="BR236" s="28" t="n">
        <v>0.68</v>
      </c>
      <c r="BS236" s="28" t="n"/>
      <c r="BT236" s="28" t="n"/>
      <c r="BU236" s="25" t="n"/>
      <c r="BV236" s="29" t="n"/>
      <c r="BW236" s="24" t="n"/>
      <c r="BX236" s="30" t="n">
        <v>1</v>
      </c>
      <c r="BY236" s="27" t="n">
        <v>0.469484</v>
      </c>
      <c r="BZ236" s="24" t="inlineStr">
        <is>
          <t>2026-08-26T22:12:07.551884Z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inlineStr">
        <is>
          <t>23263cb6645679e51571a0134392adc26b061c3b8de74f1ac0a168c43d82b824</t>
        </is>
      </c>
      <c r="DE236" s="24" t="inlineStr">
        <is>
          <t>/Users/vincentc9002/model-prediction/data/odds/tennis/2026-08-26/polymarket_snapshots.jsonl</t>
        </is>
      </c>
      <c r="DF236" s="24" t="inlineStr">
        <is>
          <t>521740:2026-08-26T12:42:22.128063Z</t>
        </is>
      </c>
      <c r="DG236" s="24" t="n"/>
      <c r="DH236" s="24" t="n"/>
      <c r="DI236" s="24" t="n"/>
      <c r="DJ236" s="24" t="inlineStr">
        <is>
          <t>0.680511</t>
        </is>
      </c>
      <c r="DK236" s="24" t="n"/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788830fda216469e</t>
        </is>
      </c>
      <c r="B237" s="24" t="inlineStr">
        <is>
          <t>2026-08-26T16:35:15.923799Z</t>
        </is>
      </c>
      <c r="C237" s="24" t="inlineStr">
        <is>
          <t>2026-08-26T18:00Z</t>
        </is>
      </c>
      <c r="D237" s="24" t="inlineStr">
        <is>
          <t>189-2026:184668</t>
        </is>
      </c>
      <c r="E237" s="24" t="inlineStr">
        <is>
          <t>TENNIS</t>
        </is>
      </c>
      <c r="F237" s="24" t="inlineStr">
        <is>
          <t>Nishesh Basavareddy</t>
        </is>
      </c>
      <c r="G237" s="24" t="inlineStr">
        <is>
          <t>Luka Mikrut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-233</v>
      </c>
      <c r="M237" s="27" t="n">
        <v>1.429185</v>
      </c>
      <c r="N237" s="28" t="n">
        <v>0.6997</v>
      </c>
      <c r="O237" s="28" t="n">
        <v>0.6748</v>
      </c>
      <c r="P237" s="28" t="n">
        <v>0.05</v>
      </c>
      <c r="Q237" s="28" t="n">
        <v>-0.0249</v>
      </c>
      <c r="R237" s="26" t="n">
        <v>8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win</t>
        </is>
      </c>
      <c r="W237" s="26" t="n">
        <v>1</v>
      </c>
      <c r="X237" s="26" t="n">
        <v>0</v>
      </c>
      <c r="Y237" s="25" t="n"/>
      <c r="Z237" s="26" t="n">
        <v>-223</v>
      </c>
      <c r="AA237" s="28" t="n">
        <v>0.6899999999999999</v>
      </c>
      <c r="AB237" s="28" t="n">
        <v>-0.0097</v>
      </c>
      <c r="AC237" s="30" t="n">
        <v>0.4292</v>
      </c>
      <c r="AD237" s="24" t="inlineStr">
        <is>
          <t>2026-08-26T22:12:09.094393Z</t>
        </is>
      </c>
      <c r="AE237" s="31" t="inlineStr">
        <is>
          <t>Surface-blended Elo on Hard: Nishesh Basavareddy p=0.675 vs Luka Mikrut. Executable ask 0.7000 (aec-atp-lukmik-nisbas-2026-08-26).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PAPER_CALL_MODEL_UNVALIDATED</t>
        </is>
      </c>
      <c r="AP237" s="24" t="inlineStr">
        <is>
          <t>Nishesh Basavareddy</t>
        </is>
      </c>
      <c r="AQ237" s="24" t="inlineStr">
        <is>
          <t>Nishesh Basavareddy</t>
        </is>
      </c>
      <c r="AR237" s="24" t="inlineStr">
        <is>
          <t>Nishesh Basavareddy</t>
        </is>
      </c>
      <c r="AS237" s="24" t="inlineStr">
        <is>
          <t>Luka Mikrut</t>
        </is>
      </c>
      <c r="AT237" s="24" t="inlineStr">
        <is>
          <t>Luka Mikrut</t>
        </is>
      </c>
      <c r="AU237" s="24" t="inlineStr">
        <is>
          <t>Luka Mikrut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d777da58446bc099047b154203518e2585ef1a678f613f2b430f2589f7bf5cff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d777da58446bc099047b154203518e2585ef1a678f613f2b430f2589f7bf5cff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d777da58446bc099047b154203518e2585ef1a678f613f2b430f2589f7bf5cff</t>
        </is>
      </c>
      <c r="BH237" s="24" t="inlineStr">
        <is>
          <t>2026-08-26T12:42:17.869568Z</t>
        </is>
      </c>
      <c r="BI237" s="24" t="inlineStr">
        <is>
          <t>["same_event","same_team_same_day","same_league_same_day"]</t>
        </is>
      </c>
      <c r="BJ237" s="25" t="n"/>
      <c r="BK237" s="26" t="n">
        <v>-233</v>
      </c>
      <c r="BL237" s="27" t="n">
        <v>1.429185</v>
      </c>
      <c r="BM237" s="28" t="n">
        <v>0.6997</v>
      </c>
      <c r="BN237" s="28" t="n"/>
      <c r="BO237" s="28" t="n"/>
      <c r="BP237" s="25" t="n"/>
      <c r="BQ237" s="27" t="n">
        <v>1.44843</v>
      </c>
      <c r="BR237" s="28" t="n">
        <v>0.6899999999999999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0.429184</v>
      </c>
      <c r="BZ237" s="24" t="inlineStr">
        <is>
          <t>2026-08-26T22:12:09.094393Z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inlineStr">
        <is>
          <t>c8238b9cbad2123553700ff5d3939e2b14a42a3e9b1623106a95ffb8e699ab07</t>
        </is>
      </c>
      <c r="DE237" s="24" t="inlineStr">
        <is>
          <t>/Users/vincentc9002/model-prediction/data/odds/tennis/2026-08-26/polymarket_snapshots.jsonl</t>
        </is>
      </c>
      <c r="DF237" s="24" t="inlineStr">
        <is>
          <t>521747:2026-08-26T12:42:17.869568Z</t>
        </is>
      </c>
      <c r="DG237" s="24" t="n"/>
      <c r="DH237" s="24" t="n"/>
      <c r="DI237" s="24" t="n"/>
      <c r="DJ237" s="24" t="inlineStr">
        <is>
          <t>0.6997</t>
        </is>
      </c>
      <c r="DK237" s="24" t="n"/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510e879b115c4261</t>
        </is>
      </c>
      <c r="B238" s="24" t="inlineStr">
        <is>
          <t>2026-08-26T16:35:15.923799Z</t>
        </is>
      </c>
      <c r="C238" s="24" t="inlineStr">
        <is>
          <t>2026-08-26T18:00Z</t>
        </is>
      </c>
      <c r="D238" s="24" t="inlineStr">
        <is>
          <t>189-2026:184775</t>
        </is>
      </c>
      <c r="E238" s="24" t="inlineStr">
        <is>
          <t>TENNIS</t>
        </is>
      </c>
      <c r="F238" s="24" t="inlineStr">
        <is>
          <t>Braden Shick</t>
        </is>
      </c>
      <c r="G238" s="24" t="inlineStr">
        <is>
          <t>Shintaro Mochizuki</t>
        </is>
      </c>
      <c r="H238" s="24" t="inlineStr">
        <is>
          <t>moneyline</t>
        </is>
      </c>
      <c r="I238" s="24" t="inlineStr">
        <is>
          <t>away</t>
        </is>
      </c>
      <c r="J238" s="25" t="n"/>
      <c r="K238" s="24" t="inlineStr">
        <is>
          <t>polymarket_us</t>
        </is>
      </c>
      <c r="L238" s="26" t="n">
        <v>156</v>
      </c>
      <c r="M238" s="27" t="n">
        <v>2.56</v>
      </c>
      <c r="N238" s="28" t="n">
        <v>0.390625</v>
      </c>
      <c r="O238" s="28" t="n">
        <v>0.535</v>
      </c>
      <c r="P238" s="28" t="n">
        <v>0.05</v>
      </c>
      <c r="Q238" s="28" t="n">
        <v>0.144375</v>
      </c>
      <c r="R238" s="26" t="n">
        <v>92</v>
      </c>
      <c r="S238" s="29" t="n">
        <v>1.75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loss</t>
        </is>
      </c>
      <c r="W238" s="26" t="n">
        <v>0</v>
      </c>
      <c r="X238" s="26" t="n">
        <v>1</v>
      </c>
      <c r="Y238" s="25" t="n"/>
      <c r="Z238" s="26" t="n">
        <v>156</v>
      </c>
      <c r="AA238" s="28" t="n">
        <v>0.39</v>
      </c>
      <c r="AB238" s="28" t="n">
        <v>-0.000625</v>
      </c>
      <c r="AC238" s="30" t="n">
        <v>-1.75</v>
      </c>
      <c r="AD238" s="24" t="inlineStr">
        <is>
          <t>2026-08-26T22:12:10.647943Z</t>
        </is>
      </c>
      <c r="AE238" s="31" t="inlineStr">
        <is>
          <t>Surface-blended Elo on Hard: Braden Shick p=0.535 vs Shintaro Mochizuki. Executable ask 0.3900 (aec-atp-shimoc-brashi-2026-08-26).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PAPER_CALL_MODEL_UNVALIDATED</t>
        </is>
      </c>
      <c r="AP238" s="24" t="inlineStr">
        <is>
          <t>Braden Shick</t>
        </is>
      </c>
      <c r="AQ238" s="24" t="inlineStr">
        <is>
          <t>Braden Shick</t>
        </is>
      </c>
      <c r="AR238" s="24" t="inlineStr">
        <is>
          <t>Braden Shick</t>
        </is>
      </c>
      <c r="AS238" s="24" t="inlineStr">
        <is>
          <t>Shintaro Mochizuki</t>
        </is>
      </c>
      <c r="AT238" s="24" t="inlineStr">
        <is>
          <t>Shintaro Mochizuki</t>
        </is>
      </c>
      <c r="AU238" s="24" t="inlineStr">
        <is>
          <t>Shintaro Mochizuki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d777da58446bc099047b154203518e2585ef1a678f613f2b430f2589f7bf5cff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d777da58446bc099047b154203518e2585ef1a678f613f2b430f2589f7bf5cff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d777da58446bc099047b154203518e2585ef1a678f613f2b430f2589f7bf5cff</t>
        </is>
      </c>
      <c r="BH238" s="24" t="inlineStr">
        <is>
          <t>2026-08-26T12:42:15.775033Z</t>
        </is>
      </c>
      <c r="BI238" s="24" t="inlineStr">
        <is>
          <t>["same_event","same_team_same_day","same_league_same_day"]</t>
        </is>
      </c>
      <c r="BJ238" s="25" t="n"/>
      <c r="BK238" s="26" t="n">
        <v>156</v>
      </c>
      <c r="BL238" s="27" t="n">
        <v>2.56</v>
      </c>
      <c r="BM238" s="28" t="n">
        <v>0.390625</v>
      </c>
      <c r="BN238" s="28" t="n"/>
      <c r="BO238" s="28" t="n"/>
      <c r="BP238" s="25" t="n"/>
      <c r="BQ238" s="27" t="n">
        <v>2.56</v>
      </c>
      <c r="BR238" s="28" t="n">
        <v>0.39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-1</v>
      </c>
      <c r="BZ238" s="24" t="inlineStr">
        <is>
          <t>2026-08-26T22:12:10.647943Z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inlineStr">
        <is>
          <t>23da0f3096c2de8832088b157179528a3d3c717dfed829c64a1761f22289f2d4</t>
        </is>
      </c>
      <c r="DE238" s="24" t="inlineStr">
        <is>
          <t>/Users/vincentc9002/model-prediction/data/odds/tennis/2026-08-26/polymarket_snapshots.jsonl</t>
        </is>
      </c>
      <c r="DF238" s="24" t="inlineStr">
        <is>
          <t>520604:2026-08-26T12:42:15.775033Z</t>
        </is>
      </c>
      <c r="DG238" s="24" t="n"/>
      <c r="DH238" s="24" t="n"/>
      <c r="DI238" s="24" t="n"/>
      <c r="DJ238" s="24" t="inlineStr">
        <is>
          <t>0.390625</t>
        </is>
      </c>
      <c r="DK238" s="24" t="n"/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b10fd4907a5f442f</t>
        </is>
      </c>
      <c r="B239" s="24" t="inlineStr">
        <is>
          <t>2026-08-26T16:35:15.923799Z</t>
        </is>
      </c>
      <c r="C239" s="24" t="inlineStr">
        <is>
          <t>2026-08-26T19:30Z</t>
        </is>
      </c>
      <c r="D239" s="24" t="inlineStr">
        <is>
          <t>189-2026:184666</t>
        </is>
      </c>
      <c r="E239" s="24" t="inlineStr">
        <is>
          <t>TENNIS</t>
        </is>
      </c>
      <c r="F239" s="24" t="inlineStr">
        <is>
          <t>Colton Smith</t>
        </is>
      </c>
      <c r="G239" s="24" t="inlineStr">
        <is>
          <t>Jerome Kym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-170</v>
      </c>
      <c r="M239" s="27" t="n">
        <v>1.588235</v>
      </c>
      <c r="N239" s="28" t="n">
        <v>0.62963</v>
      </c>
      <c r="O239" s="28" t="n">
        <v>0.6313</v>
      </c>
      <c r="P239" s="28" t="n">
        <v>0.05</v>
      </c>
      <c r="Q239" s="28" t="n">
        <v>0.00167</v>
      </c>
      <c r="R239" s="26" t="n">
        <v>21</v>
      </c>
      <c r="S239" s="29" t="n">
        <v>1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-194</v>
      </c>
      <c r="AA239" s="28" t="n">
        <v>0.66</v>
      </c>
      <c r="AB239" s="28" t="n">
        <v>0.03037</v>
      </c>
      <c r="AC239" s="30" t="n">
        <v>-1</v>
      </c>
      <c r="AD239" s="24" t="inlineStr">
        <is>
          <t>2026-08-27T03:36:47.758956Z</t>
        </is>
      </c>
      <c r="AE239" s="31" t="inlineStr">
        <is>
          <t>Surface-blended Elo on Hard: Colton Smith p=0.369 vs Jerome Kym. Executable ask 0.6300 (aec-atp-jerkym-colsmi-2026-08-26).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PAPER_CALL_LOW_EDGE</t>
        </is>
      </c>
      <c r="AP239" s="24" t="inlineStr">
        <is>
          <t>Colton Smith</t>
        </is>
      </c>
      <c r="AQ239" s="24" t="inlineStr">
        <is>
          <t>Colton Smith</t>
        </is>
      </c>
      <c r="AR239" s="24" t="inlineStr">
        <is>
          <t>Colton Smith</t>
        </is>
      </c>
      <c r="AS239" s="24" t="inlineStr">
        <is>
          <t>Jerome Kym</t>
        </is>
      </c>
      <c r="AT239" s="24" t="inlineStr">
        <is>
          <t>Jerome Kym</t>
        </is>
      </c>
      <c r="AU239" s="24" t="inlineStr">
        <is>
          <t>Jerome Kym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d777da58446bc099047b154203518e2585ef1a678f613f2b430f2589f7bf5cff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d777da58446bc099047b154203518e2585ef1a678f613f2b430f2589f7bf5cff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d777da58446bc099047b154203518e2585ef1a678f613f2b430f2589f7bf5cff</t>
        </is>
      </c>
      <c r="BH239" s="24" t="inlineStr">
        <is>
          <t>2026-08-26T12:42:22.221204Z</t>
        </is>
      </c>
      <c r="BI239" s="24" t="inlineStr">
        <is>
          <t>["same_event","same_team_same_day","same_league_same_day"]</t>
        </is>
      </c>
      <c r="BJ239" s="25" t="n"/>
      <c r="BK239" s="26" t="n">
        <v>-170</v>
      </c>
      <c r="BL239" s="27" t="n">
        <v>1.588235</v>
      </c>
      <c r="BM239" s="28" t="n">
        <v>0.62963</v>
      </c>
      <c r="BN239" s="28" t="n"/>
      <c r="BO239" s="28" t="n"/>
      <c r="BP239" s="25" t="n"/>
      <c r="BQ239" s="27" t="n">
        <v>1.515464</v>
      </c>
      <c r="BR239" s="28" t="n">
        <v>0.66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-1</v>
      </c>
      <c r="BZ239" s="24" t="inlineStr">
        <is>
          <t>2026-08-27T03:36:47.758956Z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inlineStr">
        <is>
          <t>1cd6647203996b4cdbd54aa5475082b226b07752e14b20054255a12cdfc79d65</t>
        </is>
      </c>
      <c r="DE239" s="24" t="inlineStr">
        <is>
          <t>/Users/vincentc9002/model-prediction/data/odds/tennis/2026-08-26/polymarket_snapshots.jsonl</t>
        </is>
      </c>
      <c r="DF239" s="24" t="inlineStr">
        <is>
          <t>524196:2026-08-26T12:42:22.221204Z</t>
        </is>
      </c>
      <c r="DG239" s="24" t="n"/>
      <c r="DH239" s="24" t="n"/>
      <c r="DI239" s="24" t="n"/>
      <c r="DJ239" s="24" t="inlineStr">
        <is>
          <t>0.62963</t>
        </is>
      </c>
      <c r="DK239" s="24" t="n"/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ae13eea188a047ff</t>
        </is>
      </c>
      <c r="B240" s="24" t="inlineStr">
        <is>
          <t>2026-08-26T16:35:15.923799Z</t>
        </is>
      </c>
      <c r="C240" s="24" t="inlineStr">
        <is>
          <t>2026-08-26T19:30Z</t>
        </is>
      </c>
      <c r="D240" s="24" t="inlineStr">
        <is>
          <t>189-2026:184672</t>
        </is>
      </c>
      <c r="E240" s="24" t="inlineStr">
        <is>
          <t>TENNIS</t>
        </is>
      </c>
      <c r="F240" s="24" t="inlineStr">
        <is>
          <t>Christopher O'Connell</t>
        </is>
      </c>
      <c r="G240" s="24" t="inlineStr">
        <is>
          <t>Nicolai Budkov Kjaer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-170</v>
      </c>
      <c r="M240" s="27" t="n">
        <v>1.588235</v>
      </c>
      <c r="N240" s="28" t="n">
        <v>0.62963</v>
      </c>
      <c r="O240" s="28" t="n">
        <v>0.6322</v>
      </c>
      <c r="P240" s="28" t="n">
        <v>0.05</v>
      </c>
      <c r="Q240" s="28" t="n">
        <v>0.00257</v>
      </c>
      <c r="R240" s="26" t="n">
        <v>21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-170</v>
      </c>
      <c r="AA240" s="28" t="n">
        <v>0.63</v>
      </c>
      <c r="AB240" s="28" t="n">
        <v>0.00037</v>
      </c>
      <c r="AC240" s="30" t="n">
        <v>0.5881999999999999</v>
      </c>
      <c r="AD240" s="24" t="inlineStr">
        <is>
          <t>2026-08-27T00:40:14.755701Z</t>
        </is>
      </c>
      <c r="AE240" s="31" t="inlineStr">
        <is>
          <t>Surface-blended Elo on Hard: Christopher O'Connell p=0.632 vs Nicolai Budkov Kjaer. Executable ask 0.6300 (aec-atp-nickja-chroco-2026-08-26).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paper_call</t>
        </is>
      </c>
      <c r="AL240" s="26" t="n">
        <v>4</v>
      </c>
      <c r="AM240" s="24" t="inlineStr">
        <is>
          <t>RESEARCH_OBSERVATION</t>
        </is>
      </c>
      <c r="AN240" s="24" t="inlineStr">
        <is>
          <t>CALL</t>
        </is>
      </c>
      <c r="AO240" s="24" t="inlineStr">
        <is>
          <t>PAPER_CALL_LOW_EDGE</t>
        </is>
      </c>
      <c r="AP240" s="24" t="inlineStr">
        <is>
          <t>Christopher O'Connell</t>
        </is>
      </c>
      <c r="AQ240" s="24" t="inlineStr">
        <is>
          <t>Christopher O'Connell</t>
        </is>
      </c>
      <c r="AR240" s="24" t="inlineStr">
        <is>
          <t>Christopher O'Connell</t>
        </is>
      </c>
      <c r="AS240" s="24" t="inlineStr">
        <is>
          <t>Nicolai Budkov Kjaer</t>
        </is>
      </c>
      <c r="AT240" s="24" t="inlineStr">
        <is>
          <t>Nicolai Budkov Kjaer</t>
        </is>
      </c>
      <c r="AU240" s="24" t="inlineStr">
        <is>
          <t>Nicolai Budkov Kjaer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d777da58446bc099047b154203518e2585ef1a678f613f2b430f2589f7bf5cff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d777da58446bc099047b154203518e2585ef1a678f613f2b430f2589f7bf5cff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d777da58446bc099047b154203518e2585ef1a678f613f2b430f2589f7bf5cff</t>
        </is>
      </c>
      <c r="BH240" s="24" t="inlineStr">
        <is>
          <t>2026-08-26T16:31:23.443617Z</t>
        </is>
      </c>
      <c r="BI240" s="24" t="inlineStr">
        <is>
          <t>["same_event","same_team_same_day","same_league_same_day"]</t>
        </is>
      </c>
      <c r="BJ240" s="25" t="n"/>
      <c r="BK240" s="26" t="n">
        <v>-170</v>
      </c>
      <c r="BL240" s="27" t="n">
        <v>1.588235</v>
      </c>
      <c r="BM240" s="28" t="n">
        <v>0.62963</v>
      </c>
      <c r="BN240" s="28" t="n"/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>
        <v>1</v>
      </c>
      <c r="BY240" s="27" t="n">
        <v>0.588234</v>
      </c>
      <c r="BZ240" s="24" t="inlineStr">
        <is>
          <t>2026-08-27T00:40:14.755701Z</t>
        </is>
      </c>
      <c r="CA240" s="31" t="inlineStr">
        <is>
          <t>fixed one-unit hypothetical scoring; no real exposure or execution</t>
        </is>
      </c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inlineStr">
        <is>
          <t>994adcd2dd5033ddc659679390a5fbdc01e7242916cbcd9f6bb1dab80605c348</t>
        </is>
      </c>
      <c r="DE240" s="24" t="inlineStr">
        <is>
          <t>/Users/vincentc9002/model-prediction/data/odds/tennis/2026-08-26/polymarket_snapshots.jsonl</t>
        </is>
      </c>
      <c r="DF240" s="24" t="inlineStr">
        <is>
          <t>523343:2026-08-26T16:31:23.443617Z</t>
        </is>
      </c>
      <c r="DG240" s="24" t="n"/>
      <c r="DH240" s="24" t="n"/>
      <c r="DI240" s="24" t="n"/>
      <c r="DJ240" s="24" t="inlineStr">
        <is>
          <t>0.62963</t>
        </is>
      </c>
      <c r="DK240" s="24" t="n"/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3fadb0c59d574d7e</t>
        </is>
      </c>
      <c r="B241" s="24" t="inlineStr">
        <is>
          <t>2026-08-26T16:35:15.923799Z</t>
        </is>
      </c>
      <c r="C241" s="24" t="inlineStr">
        <is>
          <t>2026-08-26T19:30Z</t>
        </is>
      </c>
      <c r="D241" s="24" t="inlineStr">
        <is>
          <t>189-2026:184678</t>
        </is>
      </c>
      <c r="E241" s="24" t="inlineStr">
        <is>
          <t>TENNIS</t>
        </is>
      </c>
      <c r="F241" s="24" t="inlineStr">
        <is>
          <t>Michael Antonius</t>
        </is>
      </c>
      <c r="G241" s="24" t="inlineStr">
        <is>
          <t>Kei Nishikori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-163</v>
      </c>
      <c r="M241" s="27" t="n">
        <v>1.613497</v>
      </c>
      <c r="N241" s="28" t="n">
        <v>0.619772</v>
      </c>
      <c r="O241" s="28" t="n">
        <v>0.5259</v>
      </c>
      <c r="P241" s="28" t="n">
        <v>0.05</v>
      </c>
      <c r="Q241" s="28" t="n">
        <v>-0.093872</v>
      </c>
      <c r="R241" s="26" t="n">
        <v>0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win</t>
        </is>
      </c>
      <c r="W241" s="26" t="n">
        <v>0</v>
      </c>
      <c r="X241" s="26" t="n">
        <v>1</v>
      </c>
      <c r="Y241" s="25" t="n"/>
      <c r="Z241" s="26" t="n">
        <v>-150</v>
      </c>
      <c r="AA241" s="28" t="n">
        <v>0.6</v>
      </c>
      <c r="AB241" s="28" t="n">
        <v>-0.019772</v>
      </c>
      <c r="AC241" s="30" t="n">
        <v>0.6135</v>
      </c>
      <c r="AD241" s="24" t="inlineStr">
        <is>
          <t>2026-08-27T00:40:16.408921Z</t>
        </is>
      </c>
      <c r="AE241" s="31" t="inlineStr">
        <is>
          <t>Surface-blended Elo on Hard: Michael Antonius p=0.474 vs Kei Nishikori. Executable ask 0.6200 (aec-atp-keinis-micant-2026-08-26).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PAPER_CALL_MODEL_UNVALIDATED</t>
        </is>
      </c>
      <c r="AP241" s="24" t="inlineStr">
        <is>
          <t>Michael Antonius</t>
        </is>
      </c>
      <c r="AQ241" s="24" t="inlineStr">
        <is>
          <t>Michael Antonius</t>
        </is>
      </c>
      <c r="AR241" s="24" t="inlineStr">
        <is>
          <t>Michael Antonius</t>
        </is>
      </c>
      <c r="AS241" s="24" t="inlineStr">
        <is>
          <t>Kei Nishikori</t>
        </is>
      </c>
      <c r="AT241" s="24" t="inlineStr">
        <is>
          <t>Kei Nishikori</t>
        </is>
      </c>
      <c r="AU241" s="24" t="inlineStr">
        <is>
          <t>Kei Nishikori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d777da58446bc099047b154203518e2585ef1a678f613f2b430f2589f7bf5cff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d777da58446bc099047b154203518e2585ef1a678f613f2b430f2589f7bf5cff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d777da58446bc099047b154203518e2585ef1a678f613f2b430f2589f7bf5cff</t>
        </is>
      </c>
      <c r="BH241" s="24" t="inlineStr">
        <is>
          <t>2026-08-26T12:42:22.508592Z</t>
        </is>
      </c>
      <c r="BI241" s="24" t="inlineStr">
        <is>
          <t>["same_event","same_team_same_day","same_league_same_day"]</t>
        </is>
      </c>
      <c r="BJ241" s="25" t="n"/>
      <c r="BK241" s="26" t="n">
        <v>-163</v>
      </c>
      <c r="BL241" s="27" t="n">
        <v>1.613497</v>
      </c>
      <c r="BM241" s="28" t="n">
        <v>0.619772</v>
      </c>
      <c r="BN241" s="28" t="n"/>
      <c r="BO241" s="28" t="n"/>
      <c r="BP241" s="25" t="n"/>
      <c r="BQ241" s="27" t="n">
        <v>1.666667</v>
      </c>
      <c r="BR241" s="28" t="n">
        <v>0.6</v>
      </c>
      <c r="BS241" s="28" t="n"/>
      <c r="BT241" s="28" t="n"/>
      <c r="BU241" s="25" t="n"/>
      <c r="BV241" s="29" t="n"/>
      <c r="BW241" s="24" t="n"/>
      <c r="BX241" s="30" t="n">
        <v>1</v>
      </c>
      <c r="BY241" s="27" t="n">
        <v>0.613497</v>
      </c>
      <c r="BZ241" s="24" t="inlineStr">
        <is>
          <t>2026-08-27T00:40:16.408921Z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inlineStr">
        <is>
          <t>3d82b9794572efcea0d609883b1d02084961836b84bedcd5d61ce64d3a11f930</t>
        </is>
      </c>
      <c r="DE241" s="24" t="inlineStr">
        <is>
          <t>/Users/vincentc9002/model-prediction/data/odds/tennis/2026-08-26/polymarket_snapshots.jsonl</t>
        </is>
      </c>
      <c r="DF241" s="24" t="inlineStr">
        <is>
          <t>520569:2026-08-26T12:42:22.508592Z</t>
        </is>
      </c>
      <c r="DG241" s="24" t="n"/>
      <c r="DH241" s="24" t="n"/>
      <c r="DI241" s="24" t="n"/>
      <c r="DJ241" s="24" t="inlineStr">
        <is>
          <t>0.619772</t>
        </is>
      </c>
      <c r="DK241" s="24" t="n"/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743893fedadc4a1e</t>
        </is>
      </c>
      <c r="B242" s="24" t="inlineStr">
        <is>
          <t>2026-08-26T16:35:15.923799Z</t>
        </is>
      </c>
      <c r="C242" s="24" t="inlineStr">
        <is>
          <t>2026-08-26T19:30Z</t>
        </is>
      </c>
      <c r="D242" s="24" t="inlineStr">
        <is>
          <t>189-2026:184761</t>
        </is>
      </c>
      <c r="E242" s="24" t="inlineStr">
        <is>
          <t>TENNIS</t>
        </is>
      </c>
      <c r="F242" s="24" t="inlineStr">
        <is>
          <t>Andre Ilagan</t>
        </is>
      </c>
      <c r="G242" s="24" t="inlineStr">
        <is>
          <t>Hugo Gaston</t>
        </is>
      </c>
      <c r="H242" s="24" t="inlineStr">
        <is>
          <t>moneyline</t>
        </is>
      </c>
      <c r="I242" s="24" t="inlineStr">
        <is>
          <t>away</t>
        </is>
      </c>
      <c r="J242" s="25" t="n"/>
      <c r="K242" s="24" t="inlineStr">
        <is>
          <t>polymarket_us</t>
        </is>
      </c>
      <c r="L242" s="26" t="n">
        <v>133</v>
      </c>
      <c r="M242" s="27" t="n">
        <v>2.33</v>
      </c>
      <c r="N242" s="28" t="n">
        <v>0.429185</v>
      </c>
      <c r="O242" s="28" t="n">
        <v>0.6147</v>
      </c>
      <c r="P242" s="28" t="n">
        <v>0.05</v>
      </c>
      <c r="Q242" s="28" t="n">
        <v>0.185515</v>
      </c>
      <c r="R242" s="26" t="n">
        <v>100</v>
      </c>
      <c r="S242" s="29" t="n">
        <v>2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0</v>
      </c>
      <c r="X242" s="26" t="n">
        <v>1</v>
      </c>
      <c r="Y242" s="25" t="n"/>
      <c r="Z242" s="26" t="n">
        <v>133</v>
      </c>
      <c r="AA242" s="28" t="n">
        <v>0.43</v>
      </c>
      <c r="AB242" s="28" t="n">
        <v>0.000815</v>
      </c>
      <c r="AC242" s="30" t="n">
        <v>-2</v>
      </c>
      <c r="AD242" s="24" t="inlineStr">
        <is>
          <t>2026-08-26T22:12:12.196953Z</t>
        </is>
      </c>
      <c r="AE242" s="31" t="inlineStr">
        <is>
          <t>Surface-blended Elo on Hard: Andre Ilagan p=0.615 vs Hugo Gaston. Executable ask 0.4300 (aec-atp-huggas-andila-2026-08-26).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PAPER_CALL_MODEL_UNVALIDATED</t>
        </is>
      </c>
      <c r="AP242" s="24" t="inlineStr">
        <is>
          <t>Andre Ilagan</t>
        </is>
      </c>
      <c r="AQ242" s="24" t="inlineStr">
        <is>
          <t>Andre Ilagan</t>
        </is>
      </c>
      <c r="AR242" s="24" t="inlineStr">
        <is>
          <t>Andre Ilagan</t>
        </is>
      </c>
      <c r="AS242" s="24" t="inlineStr">
        <is>
          <t>Hugo Gaston</t>
        </is>
      </c>
      <c r="AT242" s="24" t="inlineStr">
        <is>
          <t>Hugo Gaston</t>
        </is>
      </c>
      <c r="AU242" s="24" t="inlineStr">
        <is>
          <t>Hugo Gaston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d777da58446bc099047b154203518e2585ef1a678f613f2b430f2589f7bf5cff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d777da58446bc099047b154203518e2585ef1a678f613f2b430f2589f7bf5cff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d777da58446bc099047b154203518e2585ef1a678f613f2b430f2589f7bf5cff</t>
        </is>
      </c>
      <c r="BH242" s="24" t="inlineStr">
        <is>
          <t>2026-08-26T16:31:21.645619Z</t>
        </is>
      </c>
      <c r="BI242" s="24" t="inlineStr">
        <is>
          <t>["same_event","same_team_same_day","same_league_same_day"]</t>
        </is>
      </c>
      <c r="BJ242" s="25" t="n"/>
      <c r="BK242" s="26" t="n">
        <v>133</v>
      </c>
      <c r="BL242" s="27" t="n">
        <v>2.33</v>
      </c>
      <c r="BM242" s="28" t="n">
        <v>0.429185</v>
      </c>
      <c r="BN242" s="28" t="n"/>
      <c r="BO242" s="28" t="n"/>
      <c r="BP242" s="25" t="n"/>
      <c r="BQ242" s="27" t="n">
        <v>2.33</v>
      </c>
      <c r="BR242" s="28" t="n">
        <v>0.43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-1</v>
      </c>
      <c r="BZ242" s="24" t="inlineStr">
        <is>
          <t>2026-08-26T22:12:12.196953Z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inlineStr">
        <is>
          <t>cc74909f8d0cbc1d6cf0ea4b997c68401fcc0f18b592bc22de659870080151c9</t>
        </is>
      </c>
      <c r="DE242" s="24" t="inlineStr">
        <is>
          <t>/Users/vincentc9002/model-prediction/data/odds/tennis/2026-08-26/polymarket_snapshots.jsonl</t>
        </is>
      </c>
      <c r="DF242" s="24" t="inlineStr">
        <is>
          <t>523341:2026-08-26T16:31:21.645619Z</t>
        </is>
      </c>
      <c r="DG242" s="24" t="n"/>
      <c r="DH242" s="24" t="n"/>
      <c r="DI242" s="24" t="n"/>
      <c r="DJ242" s="24" t="inlineStr">
        <is>
          <t>0.429185</t>
        </is>
      </c>
      <c r="DK242" s="24" t="n"/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9d35a1ab0f97406a</t>
        </is>
      </c>
      <c r="B243" s="24" t="inlineStr">
        <is>
          <t>2026-08-26T16:35:15.923799Z</t>
        </is>
      </c>
      <c r="C243" s="24" t="inlineStr">
        <is>
          <t>2026-08-26T19:30Z</t>
        </is>
      </c>
      <c r="D243" s="24" t="inlineStr">
        <is>
          <t>189-2026:184765</t>
        </is>
      </c>
      <c r="E243" s="24" t="inlineStr">
        <is>
          <t>TENNIS</t>
        </is>
      </c>
      <c r="F243" s="24" t="inlineStr">
        <is>
          <t>Pablo Llamas Ruiz</t>
        </is>
      </c>
      <c r="G243" s="24" t="inlineStr">
        <is>
          <t>Vitaliy Sachko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-203</v>
      </c>
      <c r="M243" s="27" t="n">
        <v>1.492611</v>
      </c>
      <c r="N243" s="28" t="n">
        <v>0.669967</v>
      </c>
      <c r="O243" s="28" t="n">
        <v>0.6054</v>
      </c>
      <c r="P243" s="28" t="n">
        <v>0.05</v>
      </c>
      <c r="Q243" s="28" t="n">
        <v>-0.064567</v>
      </c>
      <c r="R243" s="26" t="n">
        <v>0</v>
      </c>
      <c r="S243" s="29" t="n">
        <v>1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-194</v>
      </c>
      <c r="AA243" s="28" t="n">
        <v>0.66</v>
      </c>
      <c r="AB243" s="28" t="n">
        <v>-0.009967</v>
      </c>
      <c r="AC243" s="30" t="n">
        <v>0.4926</v>
      </c>
      <c r="AD243" s="24" t="inlineStr">
        <is>
          <t>2026-08-27T03:36:50.929191Z</t>
        </is>
      </c>
      <c r="AE243" s="31" t="inlineStr">
        <is>
          <t>Surface-blended Elo on Hard: Pablo Llamas Ruiz p=0.605 vs Vitaliy Sachko. Executable ask 0.6700 (aec-atp-vitsac-pabrui-2026-08-26).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Pablo Llamas Ruiz</t>
        </is>
      </c>
      <c r="AQ243" s="24" t="inlineStr">
        <is>
          <t>Pablo Llamas Ruiz</t>
        </is>
      </c>
      <c r="AR243" s="24" t="inlineStr">
        <is>
          <t>Pablo Llamas Ruiz</t>
        </is>
      </c>
      <c r="AS243" s="24" t="inlineStr">
        <is>
          <t>Vitaliy Sachko</t>
        </is>
      </c>
      <c r="AT243" s="24" t="inlineStr">
        <is>
          <t>Vitaliy Sachko</t>
        </is>
      </c>
      <c r="AU243" s="24" t="inlineStr">
        <is>
          <t>Vitaliy Sachko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d777da58446bc099047b154203518e2585ef1a678f613f2b430f2589f7bf5cff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d777da58446bc099047b154203518e2585ef1a678f613f2b430f2589f7bf5cff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d777da58446bc099047b154203518e2585ef1a678f613f2b430f2589f7bf5cff</t>
        </is>
      </c>
      <c r="BH243" s="24" t="inlineStr">
        <is>
          <t>2026-08-26T12:42:22.375267Z</t>
        </is>
      </c>
      <c r="BI243" s="24" t="inlineStr">
        <is>
          <t>["same_event","same_team_same_day","same_league_same_day"]</t>
        </is>
      </c>
      <c r="BJ243" s="25" t="n"/>
      <c r="BK243" s="26" t="n">
        <v>-203</v>
      </c>
      <c r="BL243" s="27" t="n">
        <v>1.492611</v>
      </c>
      <c r="BM243" s="28" t="n">
        <v>0.669967</v>
      </c>
      <c r="BN243" s="28" t="n"/>
      <c r="BO243" s="28" t="n"/>
      <c r="BP243" s="25" t="n"/>
      <c r="BQ243" s="27" t="n">
        <v>1.515464</v>
      </c>
      <c r="BR243" s="28" t="n">
        <v>0.66</v>
      </c>
      <c r="BS243" s="28" t="n"/>
      <c r="BT243" s="28" t="n"/>
      <c r="BU243" s="25" t="n"/>
      <c r="BV243" s="29" t="n"/>
      <c r="BW243" s="24" t="n"/>
      <c r="BX243" s="30" t="n">
        <v>1</v>
      </c>
      <c r="BY243" s="27" t="n">
        <v>0.492611</v>
      </c>
      <c r="BZ243" s="24" t="inlineStr">
        <is>
          <t>2026-08-27T03:36:50.929191Z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inlineStr">
        <is>
          <t>1eeedad54d720ee90ad288f11dcb710796e06ce50eec89a4a0f5d595c26f80fc</t>
        </is>
      </c>
      <c r="DE243" s="24" t="inlineStr">
        <is>
          <t>/Users/vincentc9002/model-prediction/data/odds/tennis/2026-08-26/polymarket_snapshots.jsonl</t>
        </is>
      </c>
      <c r="DF243" s="24" t="inlineStr">
        <is>
          <t>521413:2026-08-26T12:42:22.375267Z</t>
        </is>
      </c>
      <c r="DG243" s="24" t="n"/>
      <c r="DH243" s="24" t="n"/>
      <c r="DI243" s="24" t="n"/>
      <c r="DJ243" s="24" t="inlineStr">
        <is>
          <t>0.669967</t>
        </is>
      </c>
      <c r="DK243" s="24" t="n"/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912ec4f63bfc4d0a</t>
        </is>
      </c>
      <c r="B244" s="24" t="inlineStr">
        <is>
          <t>2026-08-26T16:35:15.923799Z</t>
        </is>
      </c>
      <c r="C244" s="24" t="inlineStr">
        <is>
          <t>2026-08-26T19:30Z</t>
        </is>
      </c>
      <c r="D244" s="24" t="inlineStr">
        <is>
          <t>189-2026:184768</t>
        </is>
      </c>
      <c r="E244" s="24" t="inlineStr">
        <is>
          <t>TENNIS</t>
        </is>
      </c>
      <c r="F244" s="24" t="inlineStr">
        <is>
          <t>Lloyd Harris</t>
        </is>
      </c>
      <c r="G244" s="24" t="inlineStr">
        <is>
          <t>Henrique Rocha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117</v>
      </c>
      <c r="M244" s="27" t="n">
        <v>2.17</v>
      </c>
      <c r="N244" s="28" t="n">
        <v>0.460829</v>
      </c>
      <c r="O244" s="28" t="n">
        <v>0.6078</v>
      </c>
      <c r="P244" s="28" t="n">
        <v>0.05</v>
      </c>
      <c r="Q244" s="28" t="n">
        <v>0.146971</v>
      </c>
      <c r="R244" s="26" t="n">
        <v>93</v>
      </c>
      <c r="S244" s="29" t="n">
        <v>1.75</v>
      </c>
      <c r="T244" s="24" t="inlineStr">
        <is>
          <t>tennis-surface-elo-v1</t>
        </is>
      </c>
      <c r="U244" s="24" t="inlineStr">
        <is>
          <t>settled</t>
        </is>
      </c>
      <c r="V244" s="24" t="inlineStr">
        <is>
          <t>win</t>
        </is>
      </c>
      <c r="W244" s="26" t="n">
        <v>1</v>
      </c>
      <c r="X244" s="26" t="n">
        <v>0</v>
      </c>
      <c r="Y244" s="25" t="n"/>
      <c r="Z244" s="26" t="n">
        <v>122</v>
      </c>
      <c r="AA244" s="28" t="n">
        <v>0.45</v>
      </c>
      <c r="AB244" s="28" t="n">
        <v>-0.010829</v>
      </c>
      <c r="AC244" s="30" t="n">
        <v>2.0475</v>
      </c>
      <c r="AD244" s="24" t="inlineStr">
        <is>
          <t>2026-08-27T00:40:18.155323Z</t>
        </is>
      </c>
      <c r="AE244" s="31" t="inlineStr">
        <is>
          <t>Surface-blended Elo on Hard: Lloyd Harris p=0.608 vs Henrique Rocha. Executable ask 0.4600 (aec-atp-henroc-llohar-2026-08-26).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model_qualified</t>
        </is>
      </c>
      <c r="AL244" s="26" t="n">
        <v>4</v>
      </c>
      <c r="AM244" s="24" t="inlineStr">
        <is>
          <t>QUALIFIED_SHADOW_CALL</t>
        </is>
      </c>
      <c r="AN244" s="24" t="inlineStr">
        <is>
          <t>CALL</t>
        </is>
      </c>
      <c r="AO244" s="24" t="inlineStr">
        <is>
          <t>QUALIFIED</t>
        </is>
      </c>
      <c r="AP244" s="24" t="inlineStr">
        <is>
          <t>Lloyd Harris</t>
        </is>
      </c>
      <c r="AQ244" s="24" t="inlineStr">
        <is>
          <t>Lloyd Harris</t>
        </is>
      </c>
      <c r="AR244" s="24" t="inlineStr">
        <is>
          <t>Lloyd Harris</t>
        </is>
      </c>
      <c r="AS244" s="24" t="inlineStr">
        <is>
          <t>Henrique Rocha</t>
        </is>
      </c>
      <c r="AT244" s="24" t="inlineStr">
        <is>
          <t>Henrique Rocha</t>
        </is>
      </c>
      <c r="AU244" s="24" t="inlineStr">
        <is>
          <t>Henrique Rocha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d777da58446bc099047b154203518e2585ef1a678f613f2b430f2589f7bf5cff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d777da58446bc099047b154203518e2585ef1a678f613f2b430f2589f7bf5cff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d777da58446bc099047b154203518e2585ef1a678f613f2b430f2589f7bf5cff</t>
        </is>
      </c>
      <c r="BH244" s="24" t="inlineStr">
        <is>
          <t>2026-08-26T12:42:22.660624Z</t>
        </is>
      </c>
      <c r="BI244" s="24" t="inlineStr">
        <is>
          <t>["same_event","same_team_same_day","same_league_same_day"]</t>
        </is>
      </c>
      <c r="BJ244" s="25" t="n"/>
      <c r="BK244" s="26" t="n">
        <v>117</v>
      </c>
      <c r="BL244" s="27" t="n">
        <v>2.17</v>
      </c>
      <c r="BM244" s="28" t="n">
        <v>0.460829</v>
      </c>
      <c r="BN244" s="28" t="n"/>
      <c r="BO244" s="28" t="n"/>
      <c r="BP244" s="25" t="n"/>
      <c r="BQ244" s="27" t="n">
        <v>2.22</v>
      </c>
      <c r="BR244" s="28" t="n">
        <v>0.45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inlineStr">
        <is>
          <t>8ac6ba5d415884337e558943faef1b63be0750b376645e26cf29e8dd62ca7885</t>
        </is>
      </c>
      <c r="DE244" s="24" t="inlineStr">
        <is>
          <t>/Users/vincentc9002/model-prediction/data/odds/tennis/2026-08-26/polymarket_snapshots.jsonl</t>
        </is>
      </c>
      <c r="DF244" s="24" t="inlineStr">
        <is>
          <t>522173:2026-08-26T12:42:22.660624Z</t>
        </is>
      </c>
      <c r="DG244" s="24" t="n"/>
      <c r="DH244" s="24" t="n"/>
      <c r="DI244" s="24" t="n"/>
      <c r="DJ244" s="24" t="inlineStr">
        <is>
          <t>0.460829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a897da2da6a3441f</t>
        </is>
      </c>
      <c r="B245" s="24" t="inlineStr">
        <is>
          <t>2026-08-26T16:35:15.923799Z</t>
        </is>
      </c>
      <c r="C245" s="24" t="inlineStr">
        <is>
          <t>2026-08-26T19:30Z</t>
        </is>
      </c>
      <c r="D245" s="24" t="inlineStr">
        <is>
          <t>189-2026:184772</t>
        </is>
      </c>
      <c r="E245" s="24" t="inlineStr">
        <is>
          <t>TENNIS</t>
        </is>
      </c>
      <c r="F245" s="24" t="inlineStr">
        <is>
          <t>Alexandre Muller</t>
        </is>
      </c>
      <c r="G245" s="24" t="inlineStr">
        <is>
          <t>Rei Sakamoto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178</v>
      </c>
      <c r="M245" s="27" t="n">
        <v>2.78</v>
      </c>
      <c r="N245" s="28" t="n">
        <v>0.359712</v>
      </c>
      <c r="O245" s="28" t="n">
        <v>0.5058</v>
      </c>
      <c r="P245" s="28" t="n">
        <v>0.05</v>
      </c>
      <c r="Q245" s="28" t="n">
        <v>0.146088</v>
      </c>
      <c r="R245" s="26" t="n">
        <v>93</v>
      </c>
      <c r="S245" s="29" t="n">
        <v>1.75</v>
      </c>
      <c r="T245" s="24" t="inlineStr">
        <is>
          <t>tennis-surface-elo-v1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1</v>
      </c>
      <c r="Y245" s="25" t="n"/>
      <c r="Z245" s="26" t="n">
        <v>178</v>
      </c>
      <c r="AA245" s="28" t="n">
        <v>0.36</v>
      </c>
      <c r="AB245" s="28" t="n">
        <v>0.000288</v>
      </c>
      <c r="AC245" s="30" t="n">
        <v>-1.75</v>
      </c>
      <c r="AD245" s="24" t="inlineStr">
        <is>
          <t>2026-08-26T22:12:13.813138Z</t>
        </is>
      </c>
      <c r="AE245" s="31" t="inlineStr">
        <is>
          <t>Surface-blended Elo on Hard: Alexandre Muller p=0.506 vs Rei Sakamoto. Executable ask 0.3600 (aec-atp-reisak-alemul-2026-08-26).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PAPER_CALL_LOW_EDGE</t>
        </is>
      </c>
      <c r="AP245" s="24" t="inlineStr">
        <is>
          <t>Alexandre Muller</t>
        </is>
      </c>
      <c r="AQ245" s="24" t="inlineStr">
        <is>
          <t>Alexandre Muller</t>
        </is>
      </c>
      <c r="AR245" s="24" t="inlineStr">
        <is>
          <t>Alexandre Muller</t>
        </is>
      </c>
      <c r="AS245" s="24" t="inlineStr">
        <is>
          <t>Rei Sakamoto</t>
        </is>
      </c>
      <c r="AT245" s="24" t="inlineStr">
        <is>
          <t>Rei Sakamoto</t>
        </is>
      </c>
      <c r="AU245" s="24" t="inlineStr">
        <is>
          <t>Rei Sakamoto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d777da58446bc099047b154203518e2585ef1a678f613f2b430f2589f7bf5cff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d777da58446bc099047b154203518e2585ef1a678f613f2b430f2589f7bf5cff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d777da58446bc099047b154203518e2585ef1a678f613f2b430f2589f7bf5cff</t>
        </is>
      </c>
      <c r="BH245" s="24" t="inlineStr">
        <is>
          <t>2026-08-26T12:42:16.754923Z</t>
        </is>
      </c>
      <c r="BI245" s="24" t="inlineStr">
        <is>
          <t>["same_event","same_team_same_day","same_league_same_day"]</t>
        </is>
      </c>
      <c r="BJ245" s="25" t="n"/>
      <c r="BK245" s="26" t="n">
        <v>178</v>
      </c>
      <c r="BL245" s="27" t="n">
        <v>2.78</v>
      </c>
      <c r="BM245" s="28" t="n">
        <v>0.359712</v>
      </c>
      <c r="BN245" s="28" t="n"/>
      <c r="BO245" s="28" t="n"/>
      <c r="BP245" s="25" t="n"/>
      <c r="BQ245" s="27" t="n">
        <v>2.78</v>
      </c>
      <c r="BR245" s="28" t="n">
        <v>0.36</v>
      </c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2026-08-26T22:12:13.813138Z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inlineStr">
        <is>
          <t>3e58efb0ab395e7ac275486c53879416996445ed4e15ba53d04cb500c2820cd7</t>
        </is>
      </c>
      <c r="DE245" s="24" t="inlineStr">
        <is>
          <t>/Users/vincentc9002/model-prediction/data/odds/tennis/2026-08-26/polymarket_snapshots.jsonl</t>
        </is>
      </c>
      <c r="DF245" s="24" t="inlineStr">
        <is>
          <t>516367:2026-08-26T12:42:16.754923Z</t>
        </is>
      </c>
      <c r="DG245" s="24" t="n"/>
      <c r="DH245" s="24" t="n"/>
      <c r="DI245" s="24" t="n"/>
      <c r="DJ245" s="24" t="inlineStr">
        <is>
          <t>0.359712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f34236083d594f68</t>
        </is>
      </c>
      <c r="B246" s="24" t="inlineStr">
        <is>
          <t>2026-08-26T16:35:15.923799Z</t>
        </is>
      </c>
      <c r="C246" s="24" t="inlineStr">
        <is>
          <t>2026-08-26T19:30Z</t>
        </is>
      </c>
      <c r="D246" s="24" t="inlineStr">
        <is>
          <t>189-2026:184773</t>
        </is>
      </c>
      <c r="E246" s="24" t="inlineStr">
        <is>
          <t>TENNIS</t>
        </is>
      </c>
      <c r="F246" s="24" t="inlineStr">
        <is>
          <t>Daniil Glinka</t>
        </is>
      </c>
      <c r="G246" s="24" t="inlineStr">
        <is>
          <t>Zsombor Piros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144</v>
      </c>
      <c r="M246" s="27" t="n">
        <v>2.44</v>
      </c>
      <c r="N246" s="28" t="n">
        <v>0.409836</v>
      </c>
      <c r="O246" s="28" t="n">
        <v>0.5453</v>
      </c>
      <c r="P246" s="28" t="n">
        <v>0.05</v>
      </c>
      <c r="Q246" s="28" t="n">
        <v>0.135464</v>
      </c>
      <c r="R246" s="26" t="n">
        <v>88</v>
      </c>
      <c r="S246" s="29" t="n">
        <v>1.5</v>
      </c>
      <c r="T246" s="24" t="inlineStr">
        <is>
          <t>tennis-surface-elo-v1</t>
        </is>
      </c>
      <c r="U246" s="24" t="inlineStr">
        <is>
          <t>settled</t>
        </is>
      </c>
      <c r="V246" s="24" t="inlineStr">
        <is>
          <t>loss</t>
        </is>
      </c>
      <c r="W246" s="26" t="n">
        <v>0</v>
      </c>
      <c r="X246" s="26" t="n">
        <v>1</v>
      </c>
      <c r="Y246" s="25" t="n"/>
      <c r="Z246" s="26" t="n">
        <v>150</v>
      </c>
      <c r="AA246" s="28" t="n">
        <v>0.4</v>
      </c>
      <c r="AB246" s="28" t="n">
        <v>-0.009835999999999999</v>
      </c>
      <c r="AC246" s="30" t="n">
        <v>-1.5</v>
      </c>
      <c r="AD246" s="24" t="inlineStr">
        <is>
          <t>2026-08-27T00:40:20.872036Z</t>
        </is>
      </c>
      <c r="AE246" s="31" t="inlineStr">
        <is>
          <t>Surface-blended Elo on Hard: Daniil Glinka p=0.545 vs Zsombor Piros. Executable ask 0.4100 (aec-atp-zsopir-dangli-2026-08-26).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Daniil Glinka</t>
        </is>
      </c>
      <c r="AQ246" s="24" t="inlineStr">
        <is>
          <t>Daniil Glinka</t>
        </is>
      </c>
      <c r="AR246" s="24" t="inlineStr">
        <is>
          <t>Daniil Glinka</t>
        </is>
      </c>
      <c r="AS246" s="24" t="inlineStr">
        <is>
          <t>Zsombor Piros</t>
        </is>
      </c>
      <c r="AT246" s="24" t="inlineStr">
        <is>
          <t>Zsombor Piros</t>
        </is>
      </c>
      <c r="AU246" s="24" t="inlineStr">
        <is>
          <t>Zsombor Piros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d777da58446bc099047b154203518e2585ef1a678f613f2b430f2589f7bf5cff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d777da58446bc099047b154203518e2585ef1a678f613f2b430f2589f7bf5cff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d777da58446bc099047b154203518e2585ef1a678f613f2b430f2589f7bf5cff</t>
        </is>
      </c>
      <c r="BH246" s="24" t="inlineStr">
        <is>
          <t>2026-08-26T12:42:22.799100Z</t>
        </is>
      </c>
      <c r="BI246" s="24" t="inlineStr">
        <is>
          <t>["same_event","same_team_same_day","same_league_same_day"]</t>
        </is>
      </c>
      <c r="BJ246" s="25" t="n"/>
      <c r="BK246" s="26" t="n">
        <v>144</v>
      </c>
      <c r="BL246" s="27" t="n">
        <v>2.44</v>
      </c>
      <c r="BM246" s="28" t="n">
        <v>0.409836</v>
      </c>
      <c r="BN246" s="28" t="n"/>
      <c r="BO246" s="28" t="n"/>
      <c r="BP246" s="25" t="n"/>
      <c r="BQ246" s="27" t="n">
        <v>2.5</v>
      </c>
      <c r="BR246" s="28" t="n">
        <v>0.4</v>
      </c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2026-08-27T00:40:20.872036Z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inlineStr">
        <is>
          <t>b01b93cf25431061f529a647795356f25e96e62c2659b4268d4d2848e3c69775</t>
        </is>
      </c>
      <c r="DE246" s="24" t="inlineStr">
        <is>
          <t>/Users/vincentc9002/model-prediction/data/odds/tennis/2026-08-26/polymarket_snapshots.jsonl</t>
        </is>
      </c>
      <c r="DF246" s="24" t="inlineStr">
        <is>
          <t>523319:2026-08-26T12:42:22.799100Z</t>
        </is>
      </c>
      <c r="DG246" s="24" t="n"/>
      <c r="DH246" s="24" t="n"/>
      <c r="DI246" s="24" t="n"/>
      <c r="DJ246" s="24" t="inlineStr">
        <is>
          <t>0.409836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ba040d0977d94688</t>
        </is>
      </c>
      <c r="B247" s="24" t="inlineStr">
        <is>
          <t>2026-08-26T16:35:15.923799Z</t>
        </is>
      </c>
      <c r="C247" s="24" t="inlineStr">
        <is>
          <t>2026-08-26T21:00Z</t>
        </is>
      </c>
      <c r="D247" s="24" t="inlineStr">
        <is>
          <t>189-2026:184675</t>
        </is>
      </c>
      <c r="E247" s="24" t="inlineStr">
        <is>
          <t>TENNIS</t>
        </is>
      </c>
      <c r="F247" s="24" t="inlineStr">
        <is>
          <t>SeongChan Hong</t>
        </is>
      </c>
      <c r="G247" s="24" t="inlineStr">
        <is>
          <t>Tristan Schoolkate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178</v>
      </c>
      <c r="M247" s="27" t="n">
        <v>2.78</v>
      </c>
      <c r="N247" s="28" t="n">
        <v>0.359712</v>
      </c>
      <c r="O247" s="28" t="n">
        <v>0.5304</v>
      </c>
      <c r="P247" s="28" t="n">
        <v>0.05</v>
      </c>
      <c r="Q247" s="28" t="n">
        <v>0.170688</v>
      </c>
      <c r="R247" s="26" t="n">
        <v>100</v>
      </c>
      <c r="S247" s="29" t="n">
        <v>1.75</v>
      </c>
      <c r="T247" s="24" t="inlineStr">
        <is>
          <t>tennis-surface-elo-v1</t>
        </is>
      </c>
      <c r="U247" s="24" t="inlineStr">
        <is>
          <t>settled</t>
        </is>
      </c>
      <c r="V247" s="24" t="inlineStr">
        <is>
          <t>loss</t>
        </is>
      </c>
      <c r="W247" s="26" t="n">
        <v>0</v>
      </c>
      <c r="X247" s="26" t="n">
        <v>1</v>
      </c>
      <c r="Y247" s="25" t="n"/>
      <c r="Z247" s="26" t="n"/>
      <c r="AA247" s="28" t="n"/>
      <c r="AB247" s="28" t="n"/>
      <c r="AC247" s="30" t="n">
        <v>-1.75</v>
      </c>
      <c r="AD247" s="24" t="inlineStr">
        <is>
          <t>2026-08-27T03:36:54.206752Z</t>
        </is>
      </c>
      <c r="AE247" s="31" t="inlineStr">
        <is>
          <t>Surface-blended Elo on Hard: SeongChan Hong p=0.530 vs Tristan Schoolkate. Executable ask 0.3600 (aec-atp-trisch-seohon-2026-08-26).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SeongChan Hong</t>
        </is>
      </c>
      <c r="AQ247" s="24" t="inlineStr">
        <is>
          <t>SeongChan Hong</t>
        </is>
      </c>
      <c r="AR247" s="24" t="inlineStr">
        <is>
          <t>SeongChan Hong</t>
        </is>
      </c>
      <c r="AS247" s="24" t="inlineStr">
        <is>
          <t>Tristan Schoolkate</t>
        </is>
      </c>
      <c r="AT247" s="24" t="inlineStr">
        <is>
          <t>Tristan Schoolkate</t>
        </is>
      </c>
      <c r="AU247" s="24" t="inlineStr">
        <is>
          <t>Tristan Schoolkate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d777da58446bc099047b154203518e2585ef1a678f613f2b430f2589f7bf5cff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d777da58446bc099047b154203518e2585ef1a678f613f2b430f2589f7bf5cff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d777da58446bc099047b154203518e2585ef1a678f613f2b430f2589f7bf5cff</t>
        </is>
      </c>
      <c r="BH247" s="24" t="inlineStr">
        <is>
          <t>2026-08-26T12:42:23.942216Z</t>
        </is>
      </c>
      <c r="BI247" s="24" t="inlineStr">
        <is>
          <t>["same_event","same_team_same_day","same_league_same_day"]</t>
        </is>
      </c>
      <c r="BJ247" s="25" t="n"/>
      <c r="BK247" s="26" t="n">
        <v>178</v>
      </c>
      <c r="BL247" s="27" t="n">
        <v>2.78</v>
      </c>
      <c r="BM247" s="28" t="n">
        <v>0.359712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-1</v>
      </c>
      <c r="BZ247" s="24" t="inlineStr">
        <is>
          <t>2026-08-27T03:36:54.206752Z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inlineStr">
        <is>
          <t>3684df97682fc76ce3371e6fe82d59594cda0fb480886c7e6fd61c4443d0a806</t>
        </is>
      </c>
      <c r="DE247" s="24" t="inlineStr">
        <is>
          <t>/Users/vincentc9002/model-prediction/data/odds/tennis/2026-08-26/polymarket_snapshots.jsonl</t>
        </is>
      </c>
      <c r="DF247" s="24" t="inlineStr">
        <is>
          <t>524476:2026-08-26T12:42:23.942216Z</t>
        </is>
      </c>
      <c r="DG247" s="24" t="n"/>
      <c r="DH247" s="24" t="n"/>
      <c r="DI247" s="24" t="n"/>
      <c r="DJ247" s="24" t="inlineStr">
        <is>
          <t>0.359712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0794171c3cdc4c3e</t>
        </is>
      </c>
      <c r="B248" s="24" t="inlineStr">
        <is>
          <t>2026-08-26T16:35:15.923799Z</t>
        </is>
      </c>
      <c r="C248" s="24" t="inlineStr">
        <is>
          <t>2026-08-26T21:00Z</t>
        </is>
      </c>
      <c r="D248" s="24" t="inlineStr">
        <is>
          <t>189-2026:184676</t>
        </is>
      </c>
      <c r="E248" s="24" t="inlineStr">
        <is>
          <t>TENNIS</t>
        </is>
      </c>
      <c r="F248" s="24" t="inlineStr">
        <is>
          <t>Hugo Dellien</t>
        </is>
      </c>
      <c r="G248" s="24" t="inlineStr">
        <is>
          <t>Federico Cina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-426</v>
      </c>
      <c r="M248" s="27" t="n">
        <v>1.234742</v>
      </c>
      <c r="N248" s="28" t="n">
        <v>0.809886</v>
      </c>
      <c r="O248" s="28" t="n">
        <v>0.5747</v>
      </c>
      <c r="P248" s="28" t="n">
        <v>0.05</v>
      </c>
      <c r="Q248" s="28" t="n">
        <v>-0.235186</v>
      </c>
      <c r="R248" s="26" t="n">
        <v>0</v>
      </c>
      <c r="S248" s="29" t="n">
        <v>1</v>
      </c>
      <c r="T248" s="24" t="inlineStr">
        <is>
          <t>tennis-surface-elo-v1</t>
        </is>
      </c>
      <c r="U248" s="24" t="inlineStr">
        <is>
          <t>settled</t>
        </is>
      </c>
      <c r="V248" s="24" t="inlineStr">
        <is>
          <t>win</t>
        </is>
      </c>
      <c r="W248" s="26" t="n">
        <v>0</v>
      </c>
      <c r="X248" s="26" t="n">
        <v>1</v>
      </c>
      <c r="Y248" s="25" t="n"/>
      <c r="Z248" s="26" t="n">
        <v>-426</v>
      </c>
      <c r="AA248" s="28" t="n">
        <v>0.8100000000000001</v>
      </c>
      <c r="AB248" s="28" t="n">
        <v>0.000114</v>
      </c>
      <c r="AC248" s="30" t="n">
        <v>0.2347</v>
      </c>
      <c r="AD248" s="24" t="inlineStr">
        <is>
          <t>2026-08-27T03:36:57.253176Z</t>
        </is>
      </c>
      <c r="AE248" s="31" t="inlineStr">
        <is>
          <t>Surface-blended Elo on Hard: Hugo Dellien p=0.425 vs Federico Cina. Executable ask 0.8100 (aec-atp-fedcin-hugdel-2026-08-26).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paper_call</t>
        </is>
      </c>
      <c r="AL248" s="26" t="n">
        <v>4</v>
      </c>
      <c r="AM248" s="24" t="inlineStr">
        <is>
          <t>RESEARCH_OBSERVATION</t>
        </is>
      </c>
      <c r="AN248" s="24" t="inlineStr">
        <is>
          <t>CALL</t>
        </is>
      </c>
      <c r="AO248" s="24" t="inlineStr">
        <is>
          <t>PAPER_CALL_LOW_EDGE</t>
        </is>
      </c>
      <c r="AP248" s="24" t="inlineStr">
        <is>
          <t>Hugo Dellien</t>
        </is>
      </c>
      <c r="AQ248" s="24" t="inlineStr">
        <is>
          <t>Hugo Dellien</t>
        </is>
      </c>
      <c r="AR248" s="24" t="inlineStr">
        <is>
          <t>Hugo Dellien</t>
        </is>
      </c>
      <c r="AS248" s="24" t="inlineStr">
        <is>
          <t>Federico Cina</t>
        </is>
      </c>
      <c r="AT248" s="24" t="inlineStr">
        <is>
          <t>Federico Cina</t>
        </is>
      </c>
      <c r="AU248" s="24" t="inlineStr">
        <is>
          <t>Federico Cina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d777da58446bc099047b154203518e2585ef1a678f613f2b430f2589f7bf5cff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d777da58446bc099047b154203518e2585ef1a678f613f2b430f2589f7bf5cff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d777da58446bc099047b154203518e2585ef1a678f613f2b430f2589f7bf5cff</t>
        </is>
      </c>
      <c r="BH248" s="24" t="inlineStr">
        <is>
          <t>2026-08-26T12:42:16.248129Z</t>
        </is>
      </c>
      <c r="BI248" s="24" t="inlineStr">
        <is>
          <t>["same_event","same_team_same_day","same_league_same_day"]</t>
        </is>
      </c>
      <c r="BJ248" s="25" t="n"/>
      <c r="BK248" s="26" t="n">
        <v>-426</v>
      </c>
      <c r="BL248" s="27" t="n">
        <v>1.234742</v>
      </c>
      <c r="BM248" s="28" t="n">
        <v>0.809886</v>
      </c>
      <c r="BN248" s="28" t="n"/>
      <c r="BO248" s="28" t="n"/>
      <c r="BP248" s="25" t="n"/>
      <c r="BQ248" s="27" t="n">
        <v>1.234742</v>
      </c>
      <c r="BR248" s="28" t="n">
        <v>0.8100000000000001</v>
      </c>
      <c r="BS248" s="28" t="n"/>
      <c r="BT248" s="28" t="n"/>
      <c r="BU248" s="25" t="n"/>
      <c r="BV248" s="29" t="n"/>
      <c r="BW248" s="24" t="n"/>
      <c r="BX248" s="30" t="n">
        <v>1</v>
      </c>
      <c r="BY248" s="27" t="n">
        <v>0.234742</v>
      </c>
      <c r="BZ248" s="24" t="inlineStr">
        <is>
          <t>2026-08-27T03:36:57.253176Z</t>
        </is>
      </c>
      <c r="CA248" s="31" t="inlineStr">
        <is>
          <t>fixed one-unit hypothetical scoring; no real exposure or execution</t>
        </is>
      </c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False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inlineStr">
        <is>
          <t>bc56b5f293596560669013772a81cebce4f36069bd98c2364332e29ddf3e223b</t>
        </is>
      </c>
      <c r="DE248" s="24" t="inlineStr">
        <is>
          <t>/Users/vincentc9002/model-prediction/data/odds/tennis/2026-08-26/polymarket_snapshots.jsonl</t>
        </is>
      </c>
      <c r="DF248" s="24" t="inlineStr">
        <is>
          <t>524195:2026-08-26T12:42:16.248129Z</t>
        </is>
      </c>
      <c r="DG248" s="24" t="n"/>
      <c r="DH248" s="24" t="n"/>
      <c r="DI248" s="24" t="n"/>
      <c r="DJ248" s="24" t="inlineStr">
        <is>
          <t>0.809886</t>
        </is>
      </c>
      <c r="DK248" s="24" t="n"/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ce17b00b93fb49f4</t>
        </is>
      </c>
      <c r="B249" s="24" t="inlineStr">
        <is>
          <t>2026-08-26T16:35:15.923799Z</t>
        </is>
      </c>
      <c r="C249" s="24" t="inlineStr">
        <is>
          <t>2026-08-26T21:00Z</t>
        </is>
      </c>
      <c r="D249" s="24" t="inlineStr">
        <is>
          <t>189-2026:184677</t>
        </is>
      </c>
      <c r="E249" s="24" t="inlineStr">
        <is>
          <t>TENNIS</t>
        </is>
      </c>
      <c r="F249" s="24" t="inlineStr">
        <is>
          <t>Andrew Johnson</t>
        </is>
      </c>
      <c r="G249" s="24" t="inlineStr">
        <is>
          <t>Liam Draxl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245</v>
      </c>
      <c r="M249" s="27" t="n">
        <v>3.45</v>
      </c>
      <c r="N249" s="28" t="n">
        <v>0.289855</v>
      </c>
      <c r="O249" s="28" t="n">
        <v>0.5345</v>
      </c>
      <c r="P249" s="28" t="n">
        <v>0.05</v>
      </c>
      <c r="Q249" s="28" t="n">
        <v>0.244645</v>
      </c>
      <c r="R249" s="26" t="n">
        <v>100</v>
      </c>
      <c r="S249" s="29" t="n">
        <v>2</v>
      </c>
      <c r="T249" s="24" t="inlineStr">
        <is>
          <t>tennis-surface-elo-v1</t>
        </is>
      </c>
      <c r="U249" s="24" t="inlineStr">
        <is>
          <t>settled</t>
        </is>
      </c>
      <c r="V249" s="24" t="inlineStr">
        <is>
          <t>loss</t>
        </is>
      </c>
      <c r="W249" s="26" t="n">
        <v>0</v>
      </c>
      <c r="X249" s="26" t="n">
        <v>1</v>
      </c>
      <c r="Y249" s="25" t="n"/>
      <c r="Z249" s="26" t="n">
        <v>245</v>
      </c>
      <c r="AA249" s="28" t="n">
        <v>0.29</v>
      </c>
      <c r="AB249" s="28" t="n">
        <v>0.000145</v>
      </c>
      <c r="AC249" s="30" t="n">
        <v>-2</v>
      </c>
      <c r="AD249" s="24" t="inlineStr">
        <is>
          <t>2026-08-27T00:40:23.129579Z</t>
        </is>
      </c>
      <c r="AE249" s="31" t="inlineStr">
        <is>
          <t>Surface-blended Elo on Hard: Andrew Johnson p=0.534 vs Liam Draxl. Executable ask 0.2900 (aec-atp-liadra-andjoh-2026-08-27).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PAPER_CALL_MODEL_UNVALIDATED</t>
        </is>
      </c>
      <c r="AP249" s="24" t="inlineStr">
        <is>
          <t>Andrew Johnson</t>
        </is>
      </c>
      <c r="AQ249" s="24" t="inlineStr">
        <is>
          <t>Andrew Johnson</t>
        </is>
      </c>
      <c r="AR249" s="24" t="inlineStr">
        <is>
          <t>Andrew Johnson</t>
        </is>
      </c>
      <c r="AS249" s="24" t="inlineStr">
        <is>
          <t>Liam Draxl</t>
        </is>
      </c>
      <c r="AT249" s="24" t="inlineStr">
        <is>
          <t>Liam Draxl</t>
        </is>
      </c>
      <c r="AU249" s="24" t="inlineStr">
        <is>
          <t>Liam Draxl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d777da58446bc099047b154203518e2585ef1a678f613f2b430f2589f7bf5cff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d777da58446bc099047b154203518e2585ef1a678f613f2b430f2589f7bf5cff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d777da58446bc099047b154203518e2585ef1a678f613f2b430f2589f7bf5cff</t>
        </is>
      </c>
      <c r="BH249" s="24" t="inlineStr">
        <is>
          <t>2026-08-26T16:31:24.513298Z</t>
        </is>
      </c>
      <c r="BI249" s="24" t="inlineStr">
        <is>
          <t>["same_event","same_team_same_day","same_league_same_day"]</t>
        </is>
      </c>
      <c r="BJ249" s="25" t="n"/>
      <c r="BK249" s="26" t="n">
        <v>245</v>
      </c>
      <c r="BL249" s="27" t="n">
        <v>3.45</v>
      </c>
      <c r="BM249" s="28" t="n">
        <v>0.289855</v>
      </c>
      <c r="BN249" s="28" t="n"/>
      <c r="BO249" s="28" t="n"/>
      <c r="BP249" s="25" t="n"/>
      <c r="BQ249" s="27" t="n">
        <v>3.45</v>
      </c>
      <c r="BR249" s="28" t="n">
        <v>0.29</v>
      </c>
      <c r="BS249" s="28" t="n"/>
      <c r="BT249" s="28" t="n"/>
      <c r="BU249" s="25" t="n"/>
      <c r="BV249" s="29" t="n"/>
      <c r="BW249" s="24" t="n"/>
      <c r="BX249" s="30" t="n">
        <v>1</v>
      </c>
      <c r="BY249" s="27" t="n">
        <v>-1</v>
      </c>
      <c r="BZ249" s="24" t="inlineStr">
        <is>
          <t>2026-08-27T00:40:23.129579Z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inlineStr">
        <is>
          <t>78cb53cc60fece16ed69ed62d90c50031b9a21f88c1143b84c90e2bc7674740e</t>
        </is>
      </c>
      <c r="DE249" s="24" t="inlineStr">
        <is>
          <t>/Users/vincentc9002/model-prediction/data/odds/tennis/2026-08-26/polymarket_snapshots.jsonl</t>
        </is>
      </c>
      <c r="DF249" s="24" t="inlineStr">
        <is>
          <t>524970:2026-08-26T16:31:24.513298Z</t>
        </is>
      </c>
      <c r="DG249" s="24" t="n"/>
      <c r="DH249" s="24" t="n"/>
      <c r="DI249" s="24" t="n"/>
      <c r="DJ249" s="24" t="inlineStr">
        <is>
          <t>0.289855</t>
        </is>
      </c>
      <c r="DK249" s="24" t="n"/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3f8a8aeceba6407d</t>
        </is>
      </c>
      <c r="B250" s="24" t="inlineStr">
        <is>
          <t>2026-08-26T16:35:15.923799Z</t>
        </is>
      </c>
      <c r="C250" s="24" t="inlineStr">
        <is>
          <t>2026-08-26T21:00Z</t>
        </is>
      </c>
      <c r="D250" s="24" t="inlineStr">
        <is>
          <t>189-2026:184762</t>
        </is>
      </c>
      <c r="E250" s="24" t="inlineStr">
        <is>
          <t>TENNIS</t>
        </is>
      </c>
      <c r="F250" s="24" t="inlineStr">
        <is>
          <t>Borna Gojo</t>
        </is>
      </c>
      <c r="G250" s="24" t="inlineStr">
        <is>
          <t>Bu Yunchaokete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138</v>
      </c>
      <c r="M250" s="27" t="n">
        <v>2.38</v>
      </c>
      <c r="N250" s="28" t="n">
        <v>0.420168</v>
      </c>
      <c r="O250" s="28" t="n">
        <v>0.5007</v>
      </c>
      <c r="P250" s="28" t="n">
        <v>0.05</v>
      </c>
      <c r="Q250" s="28" t="n">
        <v>0.08053200000000001</v>
      </c>
      <c r="R250" s="26" t="n">
        <v>60</v>
      </c>
      <c r="S250" s="29" t="n">
        <v>1.25</v>
      </c>
      <c r="T250" s="24" t="inlineStr">
        <is>
          <t>tennis-surface-elo-v1</t>
        </is>
      </c>
      <c r="U250" s="24" t="inlineStr">
        <is>
          <t>settled</t>
        </is>
      </c>
      <c r="V250" s="24" t="inlineStr">
        <is>
          <t>loss</t>
        </is>
      </c>
      <c r="W250" s="26" t="n">
        <v>0</v>
      </c>
      <c r="X250" s="26" t="n">
        <v>1</v>
      </c>
      <c r="Y250" s="25" t="n"/>
      <c r="Z250" s="26" t="n">
        <v>122</v>
      </c>
      <c r="AA250" s="28" t="n">
        <v>0.45</v>
      </c>
      <c r="AB250" s="28" t="n">
        <v>0.029832</v>
      </c>
      <c r="AC250" s="30" t="n">
        <v>-1.25</v>
      </c>
      <c r="AD250" s="24" t="inlineStr">
        <is>
          <t>2026-08-27T00:40:24.641723Z</t>
        </is>
      </c>
      <c r="AE250" s="31" t="inlineStr">
        <is>
          <t>Surface-blended Elo on Hard: Borna Gojo p=0.501 vs Bu Yunchaokete. Executable ask 0.4200 (aec-atp-yunbu-borgoj-2026-08-26).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Borna Gojo</t>
        </is>
      </c>
      <c r="AQ250" s="24" t="inlineStr">
        <is>
          <t>Borna Gojo</t>
        </is>
      </c>
      <c r="AR250" s="24" t="inlineStr">
        <is>
          <t>Borna Gojo</t>
        </is>
      </c>
      <c r="AS250" s="24" t="inlineStr">
        <is>
          <t>Bu Yunchaokete</t>
        </is>
      </c>
      <c r="AT250" s="24" t="inlineStr">
        <is>
          <t>Bu Yunchaokete</t>
        </is>
      </c>
      <c r="AU250" s="24" t="inlineStr">
        <is>
          <t>Bu Yunchaokete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d777da58446bc099047b154203518e2585ef1a678f613f2b430f2589f7bf5cff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d777da58446bc099047b154203518e2585ef1a678f613f2b430f2589f7bf5cff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d777da58446bc099047b154203518e2585ef1a678f613f2b430f2589f7bf5cff</t>
        </is>
      </c>
      <c r="BH250" s="24" t="inlineStr">
        <is>
          <t>2026-08-26T12:42:23.865722Z</t>
        </is>
      </c>
      <c r="BI250" s="24" t="inlineStr">
        <is>
          <t>["same_event","same_team_same_day","same_league_same_day"]</t>
        </is>
      </c>
      <c r="BJ250" s="25" t="n"/>
      <c r="BK250" s="26" t="n">
        <v>138</v>
      </c>
      <c r="BL250" s="27" t="n">
        <v>2.38</v>
      </c>
      <c r="BM250" s="28" t="n">
        <v>0.420168</v>
      </c>
      <c r="BN250" s="28" t="n"/>
      <c r="BO250" s="28" t="n"/>
      <c r="BP250" s="25" t="n"/>
      <c r="BQ250" s="27" t="n">
        <v>2.22</v>
      </c>
      <c r="BR250" s="28" t="n">
        <v>0.45</v>
      </c>
      <c r="BS250" s="28" t="n"/>
      <c r="BT250" s="28" t="n"/>
      <c r="BU250" s="25" t="n"/>
      <c r="BV250" s="29" t="n"/>
      <c r="BW250" s="24" t="n"/>
      <c r="BX250" s="30" t="n">
        <v>1</v>
      </c>
      <c r="BY250" s="27" t="n">
        <v>-1</v>
      </c>
      <c r="BZ250" s="24" t="inlineStr">
        <is>
          <t>2026-08-27T00:40:24.641723Z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inlineStr">
        <is>
          <t>9c4e9027a67d1279fd76569e04300b9ae99d382330b330940096e2712bdb340b</t>
        </is>
      </c>
      <c r="DE250" s="24" t="inlineStr">
        <is>
          <t>/Users/vincentc9002/model-prediction/data/odds/tennis/2026-08-26/polymarket_snapshots.jsonl</t>
        </is>
      </c>
      <c r="DF250" s="24" t="inlineStr">
        <is>
          <t>524194:2026-08-26T12:42:23.865722Z</t>
        </is>
      </c>
      <c r="DG250" s="24" t="n"/>
      <c r="DH250" s="24" t="n"/>
      <c r="DI250" s="24" t="n"/>
      <c r="DJ250" s="24" t="inlineStr">
        <is>
          <t>0.420168</t>
        </is>
      </c>
      <c r="DK250" s="24" t="n"/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a81c408c92fd4ba6</t>
        </is>
      </c>
      <c r="B251" s="24" t="inlineStr">
        <is>
          <t>2026-08-26T16:35:15.923799Z</t>
        </is>
      </c>
      <c r="C251" s="24" t="inlineStr">
        <is>
          <t>2026-08-26T18:00Z</t>
        </is>
      </c>
      <c r="D251" s="24" t="inlineStr">
        <is>
          <t>363-2026:182035</t>
        </is>
      </c>
      <c r="E251" s="24" t="inlineStr">
        <is>
          <t>TENNIS</t>
        </is>
      </c>
      <c r="F251" s="24" t="inlineStr">
        <is>
          <t>Ignacio Buse</t>
        </is>
      </c>
      <c r="G251" s="24" t="inlineStr">
        <is>
          <t>Daniel Altmaier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-122</v>
      </c>
      <c r="M251" s="27" t="n">
        <v>1.819672</v>
      </c>
      <c r="N251" s="28" t="n">
        <v>0.54955</v>
      </c>
      <c r="O251" s="28" t="n">
        <v>0.5377999999999999</v>
      </c>
      <c r="P251" s="28" t="n">
        <v>0.05</v>
      </c>
      <c r="Q251" s="28" t="n">
        <v>-0.01175</v>
      </c>
      <c r="R251" s="26" t="n">
        <v>14</v>
      </c>
      <c r="S251" s="29" t="n">
        <v>1</v>
      </c>
      <c r="T251" s="24" t="inlineStr">
        <is>
          <t>tennis-surface-elo-v1</t>
        </is>
      </c>
      <c r="U251" s="24" t="inlineStr">
        <is>
          <t>settled</t>
        </is>
      </c>
      <c r="V251" s="24" t="inlineStr">
        <is>
          <t>win</t>
        </is>
      </c>
      <c r="W251" s="26" t="n">
        <v>1</v>
      </c>
      <c r="X251" s="26" t="n">
        <v>0</v>
      </c>
      <c r="Y251" s="25" t="n"/>
      <c r="Z251" s="26" t="n">
        <v>-122</v>
      </c>
      <c r="AA251" s="28" t="n">
        <v>0.55</v>
      </c>
      <c r="AB251" s="28" t="n">
        <v>0.00045</v>
      </c>
      <c r="AC251" s="30" t="n">
        <v>0.8197</v>
      </c>
      <c r="AD251" s="24" t="inlineStr">
        <is>
          <t>2026-08-26T22:12:15.358980Z</t>
        </is>
      </c>
      <c r="AE251" s="31" t="inlineStr">
        <is>
          <t>Surface-blended Elo on Hard: Ignacio Buse p=0.538 vs Daniel Altmaier. Executable ask 0.5500 (aec-atp-danalt-ignbus-2026-08-26).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Ignacio Buse</t>
        </is>
      </c>
      <c r="AQ251" s="24" t="inlineStr">
        <is>
          <t>Ignacio Buse</t>
        </is>
      </c>
      <c r="AR251" s="24" t="inlineStr">
        <is>
          <t>Ignacio Buse</t>
        </is>
      </c>
      <c r="AS251" s="24" t="inlineStr">
        <is>
          <t>Daniel Altmaier</t>
        </is>
      </c>
      <c r="AT251" s="24" t="inlineStr">
        <is>
          <t>Daniel Altmaier</t>
        </is>
      </c>
      <c r="AU251" s="24" t="inlineStr">
        <is>
          <t>Daniel Altmaier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d777da58446bc099047b154203518e2585ef1a678f613f2b430f2589f7bf5cff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d777da58446bc099047b154203518e2585ef1a678f613f2b430f2589f7bf5cff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d777da58446bc099047b154203518e2585ef1a678f613f2b430f2589f7bf5cff</t>
        </is>
      </c>
      <c r="BH251" s="24" t="inlineStr">
        <is>
          <t>2026-08-26T16:31:19.895196Z</t>
        </is>
      </c>
      <c r="BI251" s="24" t="inlineStr">
        <is>
          <t>["same_event","same_team_same_day","same_league_same_day"]</t>
        </is>
      </c>
      <c r="BJ251" s="25" t="n"/>
      <c r="BK251" s="26" t="n">
        <v>-122</v>
      </c>
      <c r="BL251" s="27" t="n">
        <v>1.819672</v>
      </c>
      <c r="BM251" s="28" t="n">
        <v>0.54955</v>
      </c>
      <c r="BN251" s="28" t="n"/>
      <c r="BO251" s="28" t="n"/>
      <c r="BP251" s="25" t="n"/>
      <c r="BQ251" s="27" t="n">
        <v>1.819672</v>
      </c>
      <c r="BR251" s="28" t="n">
        <v>0.55</v>
      </c>
      <c r="BS251" s="28" t="n"/>
      <c r="BT251" s="28" t="n"/>
      <c r="BU251" s="25" t="n"/>
      <c r="BV251" s="29" t="n"/>
      <c r="BW251" s="24" t="n"/>
      <c r="BX251" s="30" t="n">
        <v>1</v>
      </c>
      <c r="BY251" s="27" t="n">
        <v>0.819671</v>
      </c>
      <c r="BZ251" s="24" t="inlineStr">
        <is>
          <t>2026-08-26T22:12:15.358980Z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inlineStr">
        <is>
          <t>dd6b941b6f1b2c186c4d5f655e976fa7b5b4877d1ffbd82a2361042820a0aae5</t>
        </is>
      </c>
      <c r="DE251" s="24" t="inlineStr">
        <is>
          <t>/Users/vincentc9002/model-prediction/data/odds/tennis/2026-08-26/polymarket_snapshots.jsonl</t>
        </is>
      </c>
      <c r="DF251" s="24" t="inlineStr">
        <is>
          <t>522435:2026-08-26T16:31:19.895196Z</t>
        </is>
      </c>
      <c r="DG251" s="24" t="n"/>
      <c r="DH251" s="24" t="n"/>
      <c r="DI251" s="24" t="n"/>
      <c r="DJ251" s="24" t="inlineStr">
        <is>
          <t>0.54955</t>
        </is>
      </c>
      <c r="DK251" s="24" t="n"/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02969f7ba0c244bf</t>
        </is>
      </c>
      <c r="B252" s="24" t="inlineStr">
        <is>
          <t>2026-08-26T16:35:15.923799Z</t>
        </is>
      </c>
      <c r="C252" s="24" t="inlineStr">
        <is>
          <t>2026-08-26T18:00Z</t>
        </is>
      </c>
      <c r="D252" s="24" t="inlineStr">
        <is>
          <t>363-2026:182037</t>
        </is>
      </c>
      <c r="E252" s="24" t="inlineStr">
        <is>
          <t>TENNIS</t>
        </is>
      </c>
      <c r="F252" s="24" t="inlineStr">
        <is>
          <t>Benjamin Bonzi</t>
        </is>
      </c>
      <c r="G252" s="24" t="inlineStr">
        <is>
          <t>Rinky Hijikata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-108</v>
      </c>
      <c r="M252" s="27" t="n">
        <v>1.925926</v>
      </c>
      <c r="N252" s="28" t="n">
        <v>0.519231</v>
      </c>
      <c r="O252" s="28" t="n">
        <v>0.574</v>
      </c>
      <c r="P252" s="28" t="n">
        <v>0.05</v>
      </c>
      <c r="Q252" s="28" t="n">
        <v>0.054769</v>
      </c>
      <c r="R252" s="26" t="n">
        <v>47</v>
      </c>
      <c r="S252" s="29" t="n">
        <v>1</v>
      </c>
      <c r="T252" s="24" t="inlineStr">
        <is>
          <t>tennis-surface-elo-v1</t>
        </is>
      </c>
      <c r="U252" s="24" t="inlineStr">
        <is>
          <t>settled</t>
        </is>
      </c>
      <c r="V252" s="24" t="inlineStr">
        <is>
          <t>loss</t>
        </is>
      </c>
      <c r="W252" s="26" t="n">
        <v>1</v>
      </c>
      <c r="X252" s="26" t="n">
        <v>0</v>
      </c>
      <c r="Y252" s="25" t="n"/>
      <c r="Z252" s="26" t="n">
        <v>-108</v>
      </c>
      <c r="AA252" s="28" t="n">
        <v>0.52</v>
      </c>
      <c r="AB252" s="28" t="n">
        <v>0.000769</v>
      </c>
      <c r="AC252" s="30" t="n">
        <v>-1</v>
      </c>
      <c r="AD252" s="24" t="inlineStr">
        <is>
          <t>2026-08-26T22:12:16.944102Z</t>
        </is>
      </c>
      <c r="AE252" s="31" t="inlineStr">
        <is>
          <t>Surface-blended Elo on Hard: Benjamin Bonzi p=0.426 vs Rinky Hijikata. Executable ask 0.5200 (aec-atp-rinhij-benbon-2026-08-26).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Benjamin Bonzi</t>
        </is>
      </c>
      <c r="AQ252" s="24" t="inlineStr">
        <is>
          <t>Benjamin Bonzi</t>
        </is>
      </c>
      <c r="AR252" s="24" t="inlineStr">
        <is>
          <t>Benjamin Bonzi</t>
        </is>
      </c>
      <c r="AS252" s="24" t="inlineStr">
        <is>
          <t>Rinky Hijikata</t>
        </is>
      </c>
      <c r="AT252" s="24" t="inlineStr">
        <is>
          <t>Rinky Hijikata</t>
        </is>
      </c>
      <c r="AU252" s="24" t="inlineStr">
        <is>
          <t>Rinky Hijikata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d777da58446bc099047b154203518e2585ef1a678f613f2b430f2589f7bf5cff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d777da58446bc099047b154203518e2585ef1a678f613f2b430f2589f7bf5cff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d777da58446bc099047b154203518e2585ef1a678f613f2b430f2589f7bf5cff</t>
        </is>
      </c>
      <c r="BH252" s="24" t="inlineStr">
        <is>
          <t>2026-08-26T16:31:19.580782Z</t>
        </is>
      </c>
      <c r="BI252" s="24" t="inlineStr">
        <is>
          <t>["same_event","same_team_same_day","same_league_same_day"]</t>
        </is>
      </c>
      <c r="BJ252" s="25" t="n"/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>
        <v>1.925926</v>
      </c>
      <c r="BR252" s="28" t="n">
        <v>0.52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inlineStr">
        <is>
          <t>b9dcb26f129ab349347559da139031554c961834fec6eadfc06c1a30b7c9cd77</t>
        </is>
      </c>
      <c r="DE252" s="24" t="inlineStr">
        <is>
          <t>/Users/vincentc9002/model-prediction/data/odds/tennis/2026-08-26/polymarket_snapshots.jsonl</t>
        </is>
      </c>
      <c r="DF252" s="24" t="inlineStr">
        <is>
          <t>524208:2026-08-26T16:31:19.580782Z</t>
        </is>
      </c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c33ed6efb0cc4a9e</t>
        </is>
      </c>
      <c r="B253" s="24" t="inlineStr">
        <is>
          <t>2026-08-26T16:35:15.923799Z</t>
        </is>
      </c>
      <c r="C253" s="24" t="inlineStr">
        <is>
          <t>2026-08-26T18:00Z</t>
        </is>
      </c>
      <c r="D253" s="24" t="inlineStr">
        <is>
          <t>363-2026:182045</t>
        </is>
      </c>
      <c r="E253" s="24" t="inlineStr">
        <is>
          <t>TENNIS</t>
        </is>
      </c>
      <c r="F253" s="24" t="inlineStr">
        <is>
          <t>Luciano Darderi</t>
        </is>
      </c>
      <c r="G253" s="24" t="inlineStr">
        <is>
          <t>Botic Van De Zandschulp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144</v>
      </c>
      <c r="M253" s="27" t="n">
        <v>2.44</v>
      </c>
      <c r="N253" s="28" t="n">
        <v>0.409836</v>
      </c>
      <c r="O253" s="28" t="n">
        <v>0.5396</v>
      </c>
      <c r="P253" s="28" t="n">
        <v>0.05</v>
      </c>
      <c r="Q253" s="28" t="n">
        <v>0.129764</v>
      </c>
      <c r="R253" s="26" t="n">
        <v>85</v>
      </c>
      <c r="S253" s="29" t="n">
        <v>1.5</v>
      </c>
      <c r="T253" s="24" t="inlineStr">
        <is>
          <t>tennis-surface-elo-v1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1</v>
      </c>
      <c r="Y253" s="25" t="n"/>
      <c r="Z253" s="26" t="n">
        <v>144</v>
      </c>
      <c r="AA253" s="28" t="n">
        <v>0.41</v>
      </c>
      <c r="AB253" s="28" t="n">
        <v>0.000164</v>
      </c>
      <c r="AC253" s="30" t="n">
        <v>-1.5</v>
      </c>
      <c r="AD253" s="24" t="inlineStr">
        <is>
          <t>2026-08-26T22:12:18.501267Z</t>
        </is>
      </c>
      <c r="AE253" s="31" t="inlineStr">
        <is>
          <t>Surface-blended Elo on Hard: Luciano Darderi p=0.540 vs Botic Van De Zandschulp. Executable ask 0.4100 (aec-atp-botzan-lucdar-2026-08-26).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Luciano Darderi</t>
        </is>
      </c>
      <c r="AQ253" s="24" t="inlineStr">
        <is>
          <t>Luciano Darderi</t>
        </is>
      </c>
      <c r="AR253" s="24" t="inlineStr">
        <is>
          <t>Luciano Darderi</t>
        </is>
      </c>
      <c r="AS253" s="24" t="inlineStr">
        <is>
          <t>Botic Van De Zandschulp</t>
        </is>
      </c>
      <c r="AT253" s="24" t="inlineStr">
        <is>
          <t>Botic Van De Zandschulp</t>
        </is>
      </c>
      <c r="AU253" s="24" t="inlineStr">
        <is>
          <t>Botic Van De Zandschulp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d777da58446bc099047b154203518e2585ef1a678f613f2b430f2589f7bf5cff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d777da58446bc099047b154203518e2585ef1a678f613f2b430f2589f7bf5cff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d777da58446bc099047b154203518e2585ef1a678f613f2b430f2589f7bf5cff</t>
        </is>
      </c>
      <c r="BH253" s="24" t="inlineStr">
        <is>
          <t>2026-08-26T16:31:20.012063Z</t>
        </is>
      </c>
      <c r="BI253" s="24" t="inlineStr">
        <is>
          <t>["same_event","same_team_same_day","same_league_same_day"]</t>
        </is>
      </c>
      <c r="BJ253" s="25" t="n"/>
      <c r="BK253" s="26" t="n">
        <v>144</v>
      </c>
      <c r="BL253" s="27" t="n">
        <v>2.44</v>
      </c>
      <c r="BM253" s="28" t="n">
        <v>0.409836</v>
      </c>
      <c r="BN253" s="28" t="n"/>
      <c r="BO253" s="28" t="n"/>
      <c r="BP253" s="25" t="n"/>
      <c r="BQ253" s="27" t="n">
        <v>2.44</v>
      </c>
      <c r="BR253" s="28" t="n">
        <v>0.41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inlineStr">
        <is>
          <t>0b89543d233f715e7609e9512b69f82f3ed10b7da6acad2769d19b61f4e79702</t>
        </is>
      </c>
      <c r="DE253" s="24" t="inlineStr">
        <is>
          <t>/Users/vincentc9002/model-prediction/data/odds/tennis/2026-08-26/polymarket_snapshots.jsonl</t>
        </is>
      </c>
      <c r="DF253" s="24" t="inlineStr">
        <is>
          <t>523336:2026-08-26T16:31:20.012063Z</t>
        </is>
      </c>
      <c r="DG253" s="24" t="n"/>
      <c r="DH253" s="24" t="n"/>
      <c r="DI253" s="24" t="n"/>
      <c r="DJ253" s="24" t="inlineStr">
        <is>
          <t>0.409836</t>
        </is>
      </c>
      <c r="DK253" s="24" t="n"/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21e7cb3eb0684c49</t>
        </is>
      </c>
      <c r="B254" s="24" t="inlineStr">
        <is>
          <t>2026-08-26T16:35:15.923799Z</t>
        </is>
      </c>
      <c r="C254" s="24" t="inlineStr">
        <is>
          <t>2026-08-26T19:30Z</t>
        </is>
      </c>
      <c r="D254" s="24" t="inlineStr">
        <is>
          <t>363-2026:182060</t>
        </is>
      </c>
      <c r="E254" s="24" t="inlineStr">
        <is>
          <t>TENNIS</t>
        </is>
      </c>
      <c r="F254" s="24" t="inlineStr">
        <is>
          <t>Mees Rottgering</t>
        </is>
      </c>
      <c r="G254" s="24" t="inlineStr">
        <is>
          <t>Arthur Fery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-213</v>
      </c>
      <c r="M254" s="27" t="n">
        <v>1.469484</v>
      </c>
      <c r="N254" s="28" t="n">
        <v>0.680511</v>
      </c>
      <c r="O254" s="28" t="n">
        <v>0.5816</v>
      </c>
      <c r="P254" s="28" t="n">
        <v>0.05</v>
      </c>
      <c r="Q254" s="28" t="n">
        <v>-0.098911</v>
      </c>
      <c r="R254" s="26" t="n">
        <v>0</v>
      </c>
      <c r="S254" s="29" t="n">
        <v>1</v>
      </c>
      <c r="T254" s="24" t="inlineStr">
        <is>
          <t>tennis-surface-elo-v1</t>
        </is>
      </c>
      <c r="U254" s="24" t="inlineStr">
        <is>
          <t>settled</t>
        </is>
      </c>
      <c r="V254" s="24" t="inlineStr">
        <is>
          <t>win</t>
        </is>
      </c>
      <c r="W254" s="26" t="n">
        <v>0</v>
      </c>
      <c r="X254" s="26" t="n">
        <v>1</v>
      </c>
      <c r="Y254" s="25" t="n"/>
      <c r="Z254" s="26" t="n">
        <v>-213</v>
      </c>
      <c r="AA254" s="28" t="n">
        <v>0.68</v>
      </c>
      <c r="AB254" s="28" t="n">
        <v>-0.000511</v>
      </c>
      <c r="AC254" s="30" t="n">
        <v>0.4695</v>
      </c>
      <c r="AD254" s="24" t="inlineStr">
        <is>
          <t>2026-08-26T22:12:20.078788Z</t>
        </is>
      </c>
      <c r="AE254" s="31" t="inlineStr">
        <is>
          <t>Surface-blended Elo on Hard: Mees Rottgering p=0.418 vs Arthur Fery. Executable ask 0.6800 (aec-atp-artfer-meerot-2026-08-26).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PAPER_CALL_LOW_EDGE</t>
        </is>
      </c>
      <c r="AP254" s="24" t="inlineStr">
        <is>
          <t>Mees Rottgering</t>
        </is>
      </c>
      <c r="AQ254" s="24" t="inlineStr">
        <is>
          <t>Mees Rottgering</t>
        </is>
      </c>
      <c r="AR254" s="24" t="inlineStr">
        <is>
          <t>Mees Rottgering</t>
        </is>
      </c>
      <c r="AS254" s="24" t="inlineStr">
        <is>
          <t>Arthur Fery</t>
        </is>
      </c>
      <c r="AT254" s="24" t="inlineStr">
        <is>
          <t>Arthur Fery</t>
        </is>
      </c>
      <c r="AU254" s="24" t="inlineStr">
        <is>
          <t>Arthur Fery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d777da58446bc099047b154203518e2585ef1a678f613f2b430f2589f7bf5cff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d777da58446bc099047b154203518e2585ef1a678f613f2b430f2589f7bf5cff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d777da58446bc099047b154203518e2585ef1a678f613f2b430f2589f7bf5cff</t>
        </is>
      </c>
      <c r="BH254" s="24" t="inlineStr">
        <is>
          <t>2026-08-26T16:31:20.349748Z</t>
        </is>
      </c>
      <c r="BI254" s="24" t="inlineStr">
        <is>
          <t>["same_event","same_team_same_day","same_league_same_day"]</t>
        </is>
      </c>
      <c r="BJ254" s="25" t="n"/>
      <c r="BK254" s="26" t="n">
        <v>-213</v>
      </c>
      <c r="BL254" s="27" t="n">
        <v>1.469484</v>
      </c>
      <c r="BM254" s="28" t="n">
        <v>0.680511</v>
      </c>
      <c r="BN254" s="28" t="n"/>
      <c r="BO254" s="28" t="n"/>
      <c r="BP254" s="25" t="n"/>
      <c r="BQ254" s="27" t="n">
        <v>1.469484</v>
      </c>
      <c r="BR254" s="28" t="n">
        <v>0.68</v>
      </c>
      <c r="BS254" s="28" t="n"/>
      <c r="BT254" s="28" t="n"/>
      <c r="BU254" s="25" t="n"/>
      <c r="BV254" s="29" t="n"/>
      <c r="BW254" s="24" t="n"/>
      <c r="BX254" s="30" t="n">
        <v>1</v>
      </c>
      <c r="BY254" s="27" t="n">
        <v>0.469484</v>
      </c>
      <c r="BZ254" s="24" t="inlineStr">
        <is>
          <t>2026-08-26T22:12:20.078788Z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inlineStr">
        <is>
          <t>e1b7b4e8eb0d73b13242ab09661caaee2dd83953688b624a08f99130769dfecb</t>
        </is>
      </c>
      <c r="DE254" s="24" t="inlineStr">
        <is>
          <t>/Users/vincentc9002/model-prediction/data/odds/tennis/2026-08-26/polymarket_snapshots.jsonl</t>
        </is>
      </c>
      <c r="DF254" s="24" t="inlineStr">
        <is>
          <t>524253:2026-08-26T16:31:20.349748Z</t>
        </is>
      </c>
      <c r="DG254" s="24" t="n"/>
      <c r="DH254" s="24" t="n"/>
      <c r="DI254" s="24" t="n"/>
      <c r="DJ254" s="24" t="inlineStr">
        <is>
          <t>0.680511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b2f38a440f8249b5</t>
        </is>
      </c>
      <c r="B255" s="24" t="inlineStr">
        <is>
          <t>2026-08-26T16:35:15.923799Z</t>
        </is>
      </c>
      <c r="C255" s="24" t="inlineStr">
        <is>
          <t>2026-08-26T20:00Z</t>
        </is>
      </c>
      <c r="D255" s="24" t="inlineStr">
        <is>
          <t>363-2026:182039</t>
        </is>
      </c>
      <c r="E255" s="24" t="inlineStr">
        <is>
          <t>TENNIS</t>
        </is>
      </c>
      <c r="F255" s="24" t="inlineStr">
        <is>
          <t>Sebastian Baez</t>
        </is>
      </c>
      <c r="G255" s="24" t="inlineStr">
        <is>
          <t>Juan Manuel Cerundolo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-144</v>
      </c>
      <c r="M255" s="27" t="n">
        <v>1.694444</v>
      </c>
      <c r="N255" s="28" t="n">
        <v>0.590164</v>
      </c>
      <c r="O255" s="28" t="n">
        <v>0.5698</v>
      </c>
      <c r="P255" s="28" t="n">
        <v>0.05</v>
      </c>
      <c r="Q255" s="28" t="n">
        <v>-0.020364</v>
      </c>
      <c r="R255" s="26" t="n">
        <v>10</v>
      </c>
      <c r="S255" s="29" t="n">
        <v>1</v>
      </c>
      <c r="T255" s="24" t="inlineStr">
        <is>
          <t>tennis-surface-elo-v1</t>
        </is>
      </c>
      <c r="U255" s="24" t="inlineStr">
        <is>
          <t>settled</t>
        </is>
      </c>
      <c r="V255" s="24" t="inlineStr">
        <is>
          <t>loss</t>
        </is>
      </c>
      <c r="W255" s="26" t="n">
        <v>0</v>
      </c>
      <c r="X255" s="26" t="n">
        <v>1</v>
      </c>
      <c r="Y255" s="25" t="n"/>
      <c r="Z255" s="26" t="n">
        <v>-144</v>
      </c>
      <c r="AA255" s="28" t="n">
        <v>0.59</v>
      </c>
      <c r="AB255" s="28" t="n">
        <v>-0.000164</v>
      </c>
      <c r="AC255" s="30" t="n">
        <v>-1</v>
      </c>
      <c r="AD255" s="24" t="inlineStr">
        <is>
          <t>2026-08-26T22:12:21.647560Z</t>
        </is>
      </c>
      <c r="AE255" s="31" t="inlineStr">
        <is>
          <t>Surface-blended Elo on Hard: Sebastian Baez p=0.570 vs Juan Manuel Cerundolo. Executable ask 0.5900 (aec-atp-juacer-sebbae-2026-08-26).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Sebastian Baez</t>
        </is>
      </c>
      <c r="AQ255" s="24" t="inlineStr">
        <is>
          <t>Sebastian Baez</t>
        </is>
      </c>
      <c r="AR255" s="24" t="inlineStr">
        <is>
          <t>Sebastian Baez</t>
        </is>
      </c>
      <c r="AS255" s="24" t="inlineStr">
        <is>
          <t>Juan Manuel Cerundolo</t>
        </is>
      </c>
      <c r="AT255" s="24" t="inlineStr">
        <is>
          <t>Juan Manuel Cerundolo</t>
        </is>
      </c>
      <c r="AU255" s="24" t="inlineStr">
        <is>
          <t>Juan Manuel Cerundolo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d777da58446bc099047b154203518e2585ef1a678f613f2b430f2589f7bf5cff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d777da58446bc099047b154203518e2585ef1a678f613f2b430f2589f7bf5cff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d777da58446bc099047b154203518e2585ef1a678f613f2b430f2589f7bf5cff</t>
        </is>
      </c>
      <c r="BH255" s="24" t="inlineStr">
        <is>
          <t>2026-08-26T16:31:24.384243Z</t>
        </is>
      </c>
      <c r="BI255" s="24" t="inlineStr">
        <is>
          <t>["same_event","same_team_same_day","same_league_same_day"]</t>
        </is>
      </c>
      <c r="BJ255" s="25" t="n"/>
      <c r="BK255" s="26" t="n">
        <v>-144</v>
      </c>
      <c r="BL255" s="27" t="n">
        <v>1.694444</v>
      </c>
      <c r="BM255" s="28" t="n">
        <v>0.590164</v>
      </c>
      <c r="BN255" s="28" t="n"/>
      <c r="BO255" s="28" t="n"/>
      <c r="BP255" s="25" t="n"/>
      <c r="BQ255" s="27" t="n">
        <v>1.694444</v>
      </c>
      <c r="BR255" s="28" t="n">
        <v>0.59</v>
      </c>
      <c r="BS255" s="28" t="n"/>
      <c r="BT255" s="28" t="n"/>
      <c r="BU255" s="25" t="n"/>
      <c r="BV255" s="29" t="n"/>
      <c r="BW255" s="24" t="n"/>
      <c r="BX255" s="30" t="n">
        <v>1</v>
      </c>
      <c r="BY255" s="27" t="n">
        <v>-1</v>
      </c>
      <c r="BZ255" s="24" t="inlineStr">
        <is>
          <t>2026-08-26T22:12:21.647560Z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inlineStr">
        <is>
          <t>1446ebc2735b2ab7bc50021cc17a6ed147ecb2b063723a46eb71e59d33e43c82</t>
        </is>
      </c>
      <c r="DE255" s="24" t="inlineStr">
        <is>
          <t>/Users/vincentc9002/model-prediction/data/odds/tennis/2026-08-26/polymarket_snapshots.jsonl</t>
        </is>
      </c>
      <c r="DF255" s="24" t="inlineStr">
        <is>
          <t>524769:2026-08-26T16:31:24.384243Z</t>
        </is>
      </c>
      <c r="DG255" s="24" t="n"/>
      <c r="DH255" s="24" t="n"/>
      <c r="DI255" s="24" t="n"/>
      <c r="DJ255" s="24" t="inlineStr">
        <is>
          <t>0.590164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9a9e8af65bfa47b6</t>
        </is>
      </c>
      <c r="B256" s="24" t="inlineStr">
        <is>
          <t>2026-08-26T16:35:15.923799Z</t>
        </is>
      </c>
      <c r="C256" s="24" t="inlineStr">
        <is>
          <t>2026-08-26T21:30Z</t>
        </is>
      </c>
      <c r="D256" s="24" t="inlineStr">
        <is>
          <t>363-2026:182061</t>
        </is>
      </c>
      <c r="E256" s="24" t="inlineStr">
        <is>
          <t>TENNIS</t>
        </is>
      </c>
      <c r="F256" s="24" t="inlineStr">
        <is>
          <t>James Duckworth</t>
        </is>
      </c>
      <c r="G256" s="24" t="inlineStr">
        <is>
          <t>Lorenzo Sonego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0.5814</v>
      </c>
      <c r="P256" s="28" t="n">
        <v>0.05</v>
      </c>
      <c r="Q256" s="28" t="n">
        <v>0.021929</v>
      </c>
      <c r="R256" s="26" t="n">
        <v>31</v>
      </c>
      <c r="S256" s="29" t="n">
        <v>1</v>
      </c>
      <c r="T256" s="24" t="inlineStr">
        <is>
          <t>tennis-surface-elo-v1</t>
        </is>
      </c>
      <c r="U256" s="24" t="inlineStr">
        <is>
          <t>settled</t>
        </is>
      </c>
      <c r="V256" s="24" t="inlineStr">
        <is>
          <t>loss</t>
        </is>
      </c>
      <c r="W256" s="26" t="n">
        <v>1</v>
      </c>
      <c r="X256" s="26" t="n">
        <v>0</v>
      </c>
      <c r="Y256" s="25" t="n"/>
      <c r="Z256" s="26" t="n">
        <v>-127</v>
      </c>
      <c r="AA256" s="28" t="n">
        <v>0.5600000000000001</v>
      </c>
      <c r="AB256" s="28" t="n">
        <v>0.000529</v>
      </c>
      <c r="AC256" s="30" t="n">
        <v>-1</v>
      </c>
      <c r="AD256" s="24" t="inlineStr">
        <is>
          <t>2026-08-27T00:40:26.352899Z</t>
        </is>
      </c>
      <c r="AE256" s="31" t="inlineStr">
        <is>
          <t>Surface-blended Elo on Hard: James Duckworth p=0.419 vs Lorenzo Sonego. Executable ask 0.5600 (aec-atp-lorson-jamduc-2026-08-27).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James Duckworth</t>
        </is>
      </c>
      <c r="AQ256" s="24" t="inlineStr">
        <is>
          <t>James Duckworth</t>
        </is>
      </c>
      <c r="AR256" s="24" t="inlineStr">
        <is>
          <t>James Duckworth</t>
        </is>
      </c>
      <c r="AS256" s="24" t="inlineStr">
        <is>
          <t>Lorenzo Sonego</t>
        </is>
      </c>
      <c r="AT256" s="24" t="inlineStr">
        <is>
          <t>Lorenzo Sonego</t>
        </is>
      </c>
      <c r="AU256" s="24" t="inlineStr">
        <is>
          <t>Lorenzo Sonego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d777da58446bc099047b154203518e2585ef1a678f613f2b430f2589f7bf5cff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d777da58446bc099047b154203518e2585ef1a678f613f2b430f2589f7bf5cff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d777da58446bc099047b154203518e2585ef1a678f613f2b430f2589f7bf5cff</t>
        </is>
      </c>
      <c r="BH256" s="24" t="inlineStr">
        <is>
          <t>2026-08-26T16:31:26.642760Z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>
        <v>1.787402</v>
      </c>
      <c r="BR256" s="28" t="n">
        <v>0.5600000000000001</v>
      </c>
      <c r="BS256" s="28" t="n"/>
      <c r="BT256" s="28" t="n"/>
      <c r="BU256" s="25" t="n"/>
      <c r="BV256" s="29" t="n"/>
      <c r="BW256" s="24" t="n"/>
      <c r="BX256" s="30" t="n">
        <v>1</v>
      </c>
      <c r="BY256" s="27" t="n">
        <v>-1</v>
      </c>
      <c r="BZ256" s="24" t="inlineStr">
        <is>
          <t>2026-08-27T00:40:26.352899Z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inlineStr">
        <is>
          <t>fc3f4f021ccdd2d779cb7edb26086e4c65f0571653205b1388a304b878707f5a</t>
        </is>
      </c>
      <c r="DE256" s="24" t="inlineStr">
        <is>
          <t>/Users/vincentc9002/model-prediction/data/odds/tennis/2026-08-26/polymarket_snapshots.jsonl</t>
        </is>
      </c>
      <c r="DF256" s="24" t="inlineStr">
        <is>
          <t>524833:2026-08-26T16:31:26.642760Z</t>
        </is>
      </c>
      <c r="DG256" s="24" t="n"/>
      <c r="DH256" s="24" t="n"/>
      <c r="DI256" s="24" t="n"/>
      <c r="DJ256" s="24" t="inlineStr">
        <is>
          <t>0.559471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4a2c18f981c04ff3</t>
        </is>
      </c>
      <c r="B257" s="24" t="inlineStr">
        <is>
          <t>2026-08-26T22:18:02.207568Z</t>
        </is>
      </c>
      <c r="C257" s="24" t="inlineStr">
        <is>
          <t>2026-08-26T23:00Z</t>
        </is>
      </c>
      <c r="D257" s="24" t="inlineStr">
        <is>
          <t>341-2026:182508</t>
        </is>
      </c>
      <c r="E257" s="24" t="inlineStr">
        <is>
          <t>TENNIS</t>
        </is>
      </c>
      <c r="F257" s="24" t="inlineStr">
        <is>
          <t>Elise Mertens</t>
        </is>
      </c>
      <c r="G257" s="24" t="inlineStr">
        <is>
          <t>Panna Udvardy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-400</v>
      </c>
      <c r="M257" s="27" t="n">
        <v>1.25</v>
      </c>
      <c r="N257" s="28" t="n">
        <v>0.8</v>
      </c>
      <c r="O257" s="28" t="n">
        <v>0.5646</v>
      </c>
      <c r="P257" s="28" t="n">
        <v>0.05</v>
      </c>
      <c r="Q257" s="28" t="n">
        <v>-0.2354</v>
      </c>
      <c r="R257" s="26" t="n">
        <v>0</v>
      </c>
      <c r="S257" s="29" t="n">
        <v>1</v>
      </c>
      <c r="T257" s="24" t="inlineStr">
        <is>
          <t>tennis-surface-elo-v1</t>
        </is>
      </c>
      <c r="U257" s="24" t="inlineStr">
        <is>
          <t>settled</t>
        </is>
      </c>
      <c r="V257" s="24" t="inlineStr">
        <is>
          <t>win</t>
        </is>
      </c>
      <c r="W257" s="26" t="n">
        <v>1</v>
      </c>
      <c r="X257" s="26" t="n">
        <v>0</v>
      </c>
      <c r="Y257" s="25" t="n"/>
      <c r="Z257" s="26" t="n">
        <v>-400</v>
      </c>
      <c r="AA257" s="28" t="n">
        <v>0.8</v>
      </c>
      <c r="AB257" s="28" t="n">
        <v>0</v>
      </c>
      <c r="AC257" s="30" t="n">
        <v>0.25</v>
      </c>
      <c r="AD257" s="24" t="inlineStr">
        <is>
          <t>2026-08-27T03:39:21.095155Z</t>
        </is>
      </c>
      <c r="AE257" s="31" t="inlineStr">
        <is>
          <t>Surface-blended Elo on Hard: Elise Mertens p=0.565 vs Panna Udvardy. Executable ask 0.8000 (aec-wta-panudv-elimer-2026-08-26).</t>
        </is>
      </c>
      <c r="AF257" s="31" t="inlineStr">
        <is>
          <t>Surface-blended Elo model; singles only, WTA+ATP market coverage, not yet locked-holdout qualified -- promoted by explicit operator directive, not genuine walk-forward validation.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paper_call</t>
        </is>
      </c>
      <c r="AL257" s="26" t="n">
        <v>4</v>
      </c>
      <c r="AM257" s="24" t="inlineStr">
        <is>
          <t>RESEARCH_OBSERVATION</t>
        </is>
      </c>
      <c r="AN257" s="24" t="inlineStr">
        <is>
          <t>CALL</t>
        </is>
      </c>
      <c r="AO257" s="24" t="inlineStr">
        <is>
          <t>PAPER_CALL_LOW_EDGE</t>
        </is>
      </c>
      <c r="AP257" s="24" t="inlineStr">
        <is>
          <t>Elise Mertens</t>
        </is>
      </c>
      <c r="AQ257" s="24" t="inlineStr">
        <is>
          <t>Elise Mertens</t>
        </is>
      </c>
      <c r="AR257" s="24" t="inlineStr">
        <is>
          <t>Elise Mertens</t>
        </is>
      </c>
      <c r="AS257" s="24" t="inlineStr">
        <is>
          <t>Panna Udvardy</t>
        </is>
      </c>
      <c r="AT257" s="24" t="inlineStr">
        <is>
          <t>Panna Udvardy</t>
        </is>
      </c>
      <c r="AU257" s="24" t="inlineStr">
        <is>
          <t>Panna Udvardy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d777da58446bc099047b154203518e2585ef1a678f613f2b430f2589f7bf5cff</t>
        </is>
      </c>
      <c r="BB257" s="24" t="inlineStr">
        <is>
          <t>surface_blended_elo</t>
        </is>
      </c>
      <c r="BC257" s="24" t="inlineStr">
        <is>
          <t>tennis-surface-elo-v1</t>
        </is>
      </c>
      <c r="BD257" s="24" t="inlineStr">
        <is>
          <t>d777da58446bc099047b154203518e2585ef1a678f613f2b430f2589f7bf5cff</t>
        </is>
      </c>
      <c r="BE257" s="24" t="inlineStr">
        <is>
          <t>tennis-surface-elo-v1</t>
        </is>
      </c>
      <c r="BF257" s="24" t="inlineStr">
        <is>
          <t>1</t>
        </is>
      </c>
      <c r="BG257" s="24" t="inlineStr">
        <is>
          <t>d777da58446bc099047b154203518e2585ef1a678f613f2b430f2589f7bf5cff</t>
        </is>
      </c>
      <c r="BH257" s="24" t="inlineStr">
        <is>
          <t>2026-08-26T22:16:55.446261Z</t>
        </is>
      </c>
      <c r="BI257" s="24" t="inlineStr">
        <is>
          <t>["same_event","same_team_same_day","same_league_same_day"]</t>
        </is>
      </c>
      <c r="BJ257" s="25" t="n"/>
      <c r="BK257" s="26" t="n">
        <v>-400</v>
      </c>
      <c r="BL257" s="27" t="n">
        <v>1.25</v>
      </c>
      <c r="BM257" s="28" t="n">
        <v>0.8</v>
      </c>
      <c r="BN257" s="28" t="n"/>
      <c r="BO257" s="28" t="n"/>
      <c r="BP257" s="25" t="n"/>
      <c r="BQ257" s="27" t="n">
        <v>1.25</v>
      </c>
      <c r="BR257" s="28" t="n">
        <v>0.8</v>
      </c>
      <c r="BS257" s="28" t="n"/>
      <c r="BT257" s="28" t="n"/>
      <c r="BU257" s="25" t="n"/>
      <c r="BV257" s="29" t="n"/>
      <c r="BW257" s="24" t="n"/>
      <c r="BX257" s="30" t="n">
        <v>1</v>
      </c>
      <c r="BY257" s="27" t="n">
        <v>0.25</v>
      </c>
      <c r="BZ257" s="24" t="inlineStr">
        <is>
          <t>2026-08-27T03:39:21.095155Z</t>
        </is>
      </c>
      <c r="CA257" s="31" t="inlineStr">
        <is>
          <t>fixed one-unit hypothetical scoring; no real exposure or execution</t>
        </is>
      </c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False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inlineStr">
        <is>
          <t>6d753db152e76947f048c5528c878757ede30cb5e3b63dc66e417d1ce45b809b</t>
        </is>
      </c>
      <c r="DE257" s="24" t="inlineStr">
        <is>
          <t>/Users/vincentc9002/model-prediction/data/odds/tennis/2026-08-26/polymarket_snapshots.jsonl</t>
        </is>
      </c>
      <c r="DF257" s="24" t="inlineStr">
        <is>
          <t>524706:2026-08-26T22:16:55.446261Z</t>
        </is>
      </c>
      <c r="DG257" s="24" t="n"/>
      <c r="DH257" s="24" t="n"/>
      <c r="DI257" s="24" t="n"/>
      <c r="DJ257" s="24" t="inlineStr">
        <is>
          <t>0.8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ebce9090004740c3</t>
        </is>
      </c>
      <c r="B258" s="24" t="inlineStr">
        <is>
          <t>2026-08-26T22:18:02.207568Z</t>
        </is>
      </c>
      <c r="C258" s="24" t="inlineStr">
        <is>
          <t>2026-08-26T22:25Z</t>
        </is>
      </c>
      <c r="D258" s="24" t="inlineStr">
        <is>
          <t>189-2026:184797</t>
        </is>
      </c>
      <c r="E258" s="24" t="inlineStr">
        <is>
          <t>TENNIS</t>
        </is>
      </c>
      <c r="F258" s="24" t="inlineStr">
        <is>
          <t>Sofia Costoulas</t>
        </is>
      </c>
      <c r="G258" s="24" t="inlineStr">
        <is>
          <t>Elvina Kalieva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108</v>
      </c>
      <c r="M258" s="27" t="n">
        <v>2.08</v>
      </c>
      <c r="N258" s="28" t="n">
        <v>0.480769</v>
      </c>
      <c r="O258" s="28" t="n">
        <v>0.5083</v>
      </c>
      <c r="P258" s="28" t="n">
        <v>0.05</v>
      </c>
      <c r="Q258" s="28" t="n">
        <v>0.027531</v>
      </c>
      <c r="R258" s="26" t="n">
        <v>34</v>
      </c>
      <c r="S258" s="29" t="n">
        <v>1</v>
      </c>
      <c r="T258" s="24" t="inlineStr">
        <is>
          <t>tennis-surface-elo-v1</t>
        </is>
      </c>
      <c r="U258" s="24" t="inlineStr">
        <is>
          <t>settled</t>
        </is>
      </c>
      <c r="V258" s="24" t="inlineStr">
        <is>
          <t>loss</t>
        </is>
      </c>
      <c r="W258" s="26" t="n">
        <v>0</v>
      </c>
      <c r="X258" s="26" t="n">
        <v>1</v>
      </c>
      <c r="Y258" s="25" t="n"/>
      <c r="Z258" s="26" t="n">
        <v>108</v>
      </c>
      <c r="AA258" s="28" t="n">
        <v>0.48</v>
      </c>
      <c r="AB258" s="28" t="n">
        <v>-0.000769</v>
      </c>
      <c r="AC258" s="30" t="n">
        <v>-1</v>
      </c>
      <c r="AD258" s="24" t="inlineStr">
        <is>
          <t>2026-08-27T03:39:24.364738Z</t>
        </is>
      </c>
      <c r="AE258" s="31" t="inlineStr">
        <is>
          <t>Surface-blended Elo on Hard: Sofia Costoulas p=0.508 vs Elvina Kalieva. Executable ask 0.4800 (aec-wta-elvkal-sofcos-2026-08-27).</t>
        </is>
      </c>
      <c r="AF258" s="31" t="inlineStr">
        <is>
          <t>Surface-blended Elo model; singles only, WTA+ATP market coverage, not yet locked-holdout qualified -- promoted by explicit operator directive, not genuine walk-forward validation.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Sofia Costoulas</t>
        </is>
      </c>
      <c r="AQ258" s="24" t="inlineStr">
        <is>
          <t>Sofia Costoulas</t>
        </is>
      </c>
      <c r="AR258" s="24" t="inlineStr">
        <is>
          <t>Sofia Costoulas</t>
        </is>
      </c>
      <c r="AS258" s="24" t="inlineStr">
        <is>
          <t>Elvina Kalieva</t>
        </is>
      </c>
      <c r="AT258" s="24" t="inlineStr">
        <is>
          <t>Elvina Kalieva</t>
        </is>
      </c>
      <c r="AU258" s="24" t="inlineStr">
        <is>
          <t>Elvina Kalieva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d777da58446bc099047b154203518e2585ef1a678f613f2b430f2589f7bf5cff</t>
        </is>
      </c>
      <c r="BB258" s="24" t="inlineStr">
        <is>
          <t>surface_blended_elo</t>
        </is>
      </c>
      <c r="BC258" s="24" t="inlineStr">
        <is>
          <t>tennis-surface-elo-v1</t>
        </is>
      </c>
      <c r="BD258" s="24" t="inlineStr">
        <is>
          <t>d777da58446bc099047b154203518e2585ef1a678f613f2b430f2589f7bf5cff</t>
        </is>
      </c>
      <c r="BE258" s="24" t="inlineStr">
        <is>
          <t>tennis-surface-elo-v1</t>
        </is>
      </c>
      <c r="BF258" s="24" t="inlineStr">
        <is>
          <t>1</t>
        </is>
      </c>
      <c r="BG258" s="24" t="inlineStr">
        <is>
          <t>d777da58446bc099047b154203518e2585ef1a678f613f2b430f2589f7bf5cff</t>
        </is>
      </c>
      <c r="BH258" s="24" t="inlineStr">
        <is>
          <t>2026-08-26T22:16:55.713188Z</t>
        </is>
      </c>
      <c r="BI258" s="24" t="inlineStr">
        <is>
          <t>["same_event","same_team_same_day","same_league_same_day"]</t>
        </is>
      </c>
      <c r="BJ258" s="25" t="n"/>
      <c r="BK258" s="26" t="n">
        <v>108</v>
      </c>
      <c r="BL258" s="27" t="n">
        <v>2.08</v>
      </c>
      <c r="BM258" s="28" t="n">
        <v>0.480769</v>
      </c>
      <c r="BN258" s="28" t="n"/>
      <c r="BO258" s="28" t="n"/>
      <c r="BP258" s="25" t="n"/>
      <c r="BQ258" s="27" t="n">
        <v>2.08</v>
      </c>
      <c r="BR258" s="28" t="n">
        <v>0.48</v>
      </c>
      <c r="BS258" s="28" t="n"/>
      <c r="BT258" s="28" t="n"/>
      <c r="BU258" s="25" t="n"/>
      <c r="BV258" s="29" t="n"/>
      <c r="BW258" s="24" t="n"/>
      <c r="BX258" s="30" t="n">
        <v>1</v>
      </c>
      <c r="BY258" s="27" t="n">
        <v>-1</v>
      </c>
      <c r="BZ258" s="24" t="inlineStr">
        <is>
          <t>2026-08-27T03:39:24.364738Z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inlineStr">
        <is>
          <t>e7746ec0c6b5483fa6431cf7d9c0ad4f195e805ce83e4c66bccc5cc0808fdf3e</t>
        </is>
      </c>
      <c r="DE258" s="24" t="inlineStr">
        <is>
          <t>/Users/vincentc9002/model-prediction/data/odds/tennis/2026-08-26/polymarket_snapshots.jsonl</t>
        </is>
      </c>
      <c r="DF258" s="24" t="inlineStr">
        <is>
          <t>524251:2026-08-26T22:16:55.713188Z</t>
        </is>
      </c>
      <c r="DG258" s="24" t="n"/>
      <c r="DH258" s="24" t="n"/>
      <c r="DI258" s="24" t="n"/>
      <c r="DJ258" s="24" t="inlineStr">
        <is>
          <t>0.480769</t>
        </is>
      </c>
      <c r="DK258" s="24" t="n"/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393ca1dcc52b4ea0</t>
        </is>
      </c>
      <c r="B259" s="24" t="inlineStr">
        <is>
          <t>2026-08-26T22:18:02.207568Z</t>
        </is>
      </c>
      <c r="C259" s="24" t="inlineStr">
        <is>
          <t>2026-08-26T22:30Z</t>
        </is>
      </c>
      <c r="D259" s="24" t="inlineStr">
        <is>
          <t>363-2026:182038</t>
        </is>
      </c>
      <c r="E259" s="24" t="inlineStr">
        <is>
          <t>TENNIS</t>
        </is>
      </c>
      <c r="F259" s="24" t="inlineStr">
        <is>
          <t>Stefanos Tsitsipas</t>
        </is>
      </c>
      <c r="G259" s="24" t="inlineStr">
        <is>
          <t>Aleksandar Kovacevic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polymarket_us</t>
        </is>
      </c>
      <c r="L259" s="26" t="n">
        <v>-233</v>
      </c>
      <c r="M259" s="27" t="n">
        <v>1.429185</v>
      </c>
      <c r="N259" s="28" t="n">
        <v>0.6997</v>
      </c>
      <c r="O259" s="28" t="n">
        <v>0.6734</v>
      </c>
      <c r="P259" s="28" t="n">
        <v>0.05</v>
      </c>
      <c r="Q259" s="28" t="n">
        <v>-0.0263</v>
      </c>
      <c r="R259" s="26" t="n">
        <v>7</v>
      </c>
      <c r="S259" s="29" t="n">
        <v>1</v>
      </c>
      <c r="T259" s="24" t="inlineStr">
        <is>
          <t>tennis-surface-elo-v1</t>
        </is>
      </c>
      <c r="U259" s="24" t="inlineStr">
        <is>
          <t>settled</t>
        </is>
      </c>
      <c r="V259" s="24" t="inlineStr">
        <is>
          <t>loss</t>
        </is>
      </c>
      <c r="W259" s="26" t="n">
        <v>0</v>
      </c>
      <c r="X259" s="26" t="n">
        <v>1</v>
      </c>
      <c r="Y259" s="25" t="n"/>
      <c r="Z259" s="26" t="n">
        <v>-233</v>
      </c>
      <c r="AA259" s="28" t="n">
        <v>0.7</v>
      </c>
      <c r="AB259" s="28" t="n">
        <v>0.0003</v>
      </c>
      <c r="AC259" s="30" t="n">
        <v>-1</v>
      </c>
      <c r="AD259" s="24" t="inlineStr">
        <is>
          <t>2026-08-27T00:40:29.005417Z</t>
        </is>
      </c>
      <c r="AE259" s="31" t="inlineStr">
        <is>
          <t>Surface-blended Elo on Hard: Stefanos Tsitsipas p=0.673 vs Aleksandar Kovacevic. Executable ask 0.7000 (aec-atp-alekov-stetsi-2026-08-26).</t>
        </is>
      </c>
      <c r="AF259" s="31" t="inlineStr">
        <is>
          <t>Surface-blended Elo model; singles only, WTA+ATP market coverage, not yet locked-holdout qualified -- promoted by explicit operator directive, not genuine walk-forward validation.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Stefanos Tsitsipas</t>
        </is>
      </c>
      <c r="AQ259" s="24" t="inlineStr">
        <is>
          <t>Stefanos Tsitsipas</t>
        </is>
      </c>
      <c r="AR259" s="24" t="inlineStr">
        <is>
          <t>Stefanos Tsitsipas</t>
        </is>
      </c>
      <c r="AS259" s="24" t="inlineStr">
        <is>
          <t>Aleksandar Kovacevic</t>
        </is>
      </c>
      <c r="AT259" s="24" t="inlineStr">
        <is>
          <t>Aleksandar Kovacevic</t>
        </is>
      </c>
      <c r="AU259" s="24" t="inlineStr">
        <is>
          <t>Aleksandar Kovacevic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d777da58446bc099047b154203518e2585ef1a678f613f2b430f2589f7bf5cff</t>
        </is>
      </c>
      <c r="BB259" s="24" t="inlineStr">
        <is>
          <t>surface_blended_elo</t>
        </is>
      </c>
      <c r="BC259" s="24" t="inlineStr">
        <is>
          <t>tennis-surface-elo-v1</t>
        </is>
      </c>
      <c r="BD259" s="24" t="inlineStr">
        <is>
          <t>d777da58446bc099047b154203518e2585ef1a678f613f2b430f2589f7bf5cff</t>
        </is>
      </c>
      <c r="BE259" s="24" t="inlineStr">
        <is>
          <t>tennis-surface-elo-v1</t>
        </is>
      </c>
      <c r="BF259" s="24" t="inlineStr">
        <is>
          <t>1</t>
        </is>
      </c>
      <c r="BG259" s="24" t="inlineStr">
        <is>
          <t>d777da58446bc099047b154203518e2585ef1a678f613f2b430f2589f7bf5cff</t>
        </is>
      </c>
      <c r="BH259" s="24" t="inlineStr">
        <is>
          <t>2026-08-26T22:16:58.083674Z</t>
        </is>
      </c>
      <c r="BI259" s="24" t="inlineStr">
        <is>
          <t>["same_event","same_team_same_day","same_league_same_day"]</t>
        </is>
      </c>
      <c r="BJ259" s="25" t="n"/>
      <c r="BK259" s="26" t="n">
        <v>-233</v>
      </c>
      <c r="BL259" s="27" t="n">
        <v>1.429185</v>
      </c>
      <c r="BM259" s="28" t="n">
        <v>0.6997</v>
      </c>
      <c r="BN259" s="28" t="n"/>
      <c r="BO259" s="28" t="n"/>
      <c r="BP259" s="25" t="n"/>
      <c r="BQ259" s="27" t="n">
        <v>1.429185</v>
      </c>
      <c r="BR259" s="28" t="n">
        <v>0.7</v>
      </c>
      <c r="BS259" s="28" t="n"/>
      <c r="BT259" s="28" t="n"/>
      <c r="BU259" s="25" t="n"/>
      <c r="BV259" s="29" t="n"/>
      <c r="BW259" s="24" t="n"/>
      <c r="BX259" s="30" t="n">
        <v>1</v>
      </c>
      <c r="BY259" s="27" t="n">
        <v>-1</v>
      </c>
      <c r="BZ259" s="24" t="inlineStr">
        <is>
          <t>2026-08-27T00:40:29.005417Z</t>
        </is>
      </c>
      <c r="CA259" s="31" t="inlineStr">
        <is>
          <t>fixed one-unit hypothetical scoring; no real exposure or execution</t>
        </is>
      </c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inlineStr">
        <is>
          <t>f546cc1253e261f10d614b582ba8daed3b16a3deec6d953efa1e22274202a55b</t>
        </is>
      </c>
      <c r="DE259" s="24" t="inlineStr">
        <is>
          <t>/Users/vincentc9002/model-prediction/data/odds/tennis/2026-08-26/polymarket_snapshots.jsonl</t>
        </is>
      </c>
      <c r="DF259" s="24" t="inlineStr">
        <is>
          <t>523347:2026-08-26T22:16:58.083674Z</t>
        </is>
      </c>
      <c r="DG259" s="24" t="n"/>
      <c r="DH259" s="24" t="n"/>
      <c r="DI259" s="24" t="n"/>
      <c r="DJ259" s="24" t="inlineStr">
        <is>
          <t>0.6997</t>
        </is>
      </c>
      <c r="DK259" s="24" t="n"/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84a266ed98024053</t>
        </is>
      </c>
      <c r="B260" s="24" t="inlineStr">
        <is>
          <t>2026-08-26T22:18:02.207568Z</t>
        </is>
      </c>
      <c r="C260" s="24" t="inlineStr">
        <is>
          <t>2026-08-27T00:00Z</t>
        </is>
      </c>
      <c r="D260" s="24" t="inlineStr">
        <is>
          <t>363-2026:182056</t>
        </is>
      </c>
      <c r="E260" s="24" t="inlineStr">
        <is>
          <t>TENNIS</t>
        </is>
      </c>
      <c r="F260" s="24" t="inlineStr">
        <is>
          <t>Fabian Marozsan</t>
        </is>
      </c>
      <c r="G260" s="24" t="inlineStr">
        <is>
          <t>Martin Damm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127</v>
      </c>
      <c r="M260" s="27" t="n">
        <v>2.27</v>
      </c>
      <c r="N260" s="28" t="n">
        <v>0.440529</v>
      </c>
      <c r="O260" s="28" t="n">
        <v>0.5687</v>
      </c>
      <c r="P260" s="28" t="n">
        <v>0.05</v>
      </c>
      <c r="Q260" s="28" t="n">
        <v>0.128171</v>
      </c>
      <c r="R260" s="26" t="n">
        <v>84</v>
      </c>
      <c r="S260" s="29" t="n">
        <v>1.5</v>
      </c>
      <c r="T260" s="24" t="inlineStr">
        <is>
          <t>tennis-surface-elo-v1</t>
        </is>
      </c>
      <c r="U260" s="24" t="inlineStr">
        <is>
          <t>settled</t>
        </is>
      </c>
      <c r="V260" s="24" t="inlineStr">
        <is>
          <t>loss</t>
        </is>
      </c>
      <c r="W260" s="26" t="n">
        <v>1</v>
      </c>
      <c r="X260" s="26" t="n">
        <v>0</v>
      </c>
      <c r="Y260" s="25" t="n"/>
      <c r="Z260" s="26" t="n">
        <v>127</v>
      </c>
      <c r="AA260" s="28" t="n">
        <v>0.44</v>
      </c>
      <c r="AB260" s="28" t="n">
        <v>-0.000529</v>
      </c>
      <c r="AC260" s="30" t="n">
        <v>-1.5</v>
      </c>
      <c r="AD260" s="24" t="inlineStr">
        <is>
          <t>2026-08-27T03:39:27.848486Z</t>
        </is>
      </c>
      <c r="AE260" s="31" t="inlineStr">
        <is>
          <t>Surface-blended Elo on Hard: Fabian Marozsan p=0.431 vs Martin Damm. Executable ask 0.4400 (aec-atp-mardam-fabmar-2026-08-27).</t>
        </is>
      </c>
      <c r="AF260" s="31" t="inlineStr">
        <is>
          <t>Surface-blended Elo model; singles only, WTA+ATP market coverage, not yet locked-holdout qualified -- promoted by explicit operator directive, not genuine walk-forward validation.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model_qualified</t>
        </is>
      </c>
      <c r="AL260" s="26" t="n">
        <v>4</v>
      </c>
      <c r="AM260" s="24" t="inlineStr">
        <is>
          <t>QUALIFIED_SHADOW_CALL</t>
        </is>
      </c>
      <c r="AN260" s="24" t="inlineStr">
        <is>
          <t>CALL</t>
        </is>
      </c>
      <c r="AO260" s="24" t="inlineStr">
        <is>
          <t>QUALIFIED</t>
        </is>
      </c>
      <c r="AP260" s="24" t="inlineStr">
        <is>
          <t>Fabian Marozsan</t>
        </is>
      </c>
      <c r="AQ260" s="24" t="inlineStr">
        <is>
          <t>Fabian Marozsan</t>
        </is>
      </c>
      <c r="AR260" s="24" t="inlineStr">
        <is>
          <t>Fabian Marozsan</t>
        </is>
      </c>
      <c r="AS260" s="24" t="inlineStr">
        <is>
          <t>Martin Damm</t>
        </is>
      </c>
      <c r="AT260" s="24" t="inlineStr">
        <is>
          <t>Martin Damm</t>
        </is>
      </c>
      <c r="AU260" s="24" t="inlineStr">
        <is>
          <t>Martin Damm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d777da58446bc099047b154203518e2585ef1a678f613f2b430f2589f7bf5cff</t>
        </is>
      </c>
      <c r="BB260" s="24" t="inlineStr">
        <is>
          <t>surface_blended_elo</t>
        </is>
      </c>
      <c r="BC260" s="24" t="inlineStr">
        <is>
          <t>tennis-surface-elo-v1</t>
        </is>
      </c>
      <c r="BD260" s="24" t="inlineStr">
        <is>
          <t>d777da58446bc099047b154203518e2585ef1a678f613f2b430f2589f7bf5cff</t>
        </is>
      </c>
      <c r="BE260" s="24" t="inlineStr">
        <is>
          <t>tennis-surface-elo-v1</t>
        </is>
      </c>
      <c r="BF260" s="24" t="inlineStr">
        <is>
          <t>1</t>
        </is>
      </c>
      <c r="BG260" s="24" t="inlineStr">
        <is>
          <t>d777da58446bc099047b154203518e2585ef1a678f613f2b430f2589f7bf5cff</t>
        </is>
      </c>
      <c r="BH260" s="24" t="inlineStr">
        <is>
          <t>2026-08-26T22:16:58.572565Z</t>
        </is>
      </c>
      <c r="BI260" s="24" t="inlineStr">
        <is>
          <t>["same_event","same_team_same_day","same_league_same_day"]</t>
        </is>
      </c>
      <c r="BJ260" s="25" t="n"/>
      <c r="BK260" s="26" t="n">
        <v>127</v>
      </c>
      <c r="BL260" s="27" t="n">
        <v>2.27</v>
      </c>
      <c r="BM260" s="28" t="n">
        <v>0.440529</v>
      </c>
      <c r="BN260" s="28" t="n"/>
      <c r="BO260" s="28" t="n"/>
      <c r="BP260" s="25" t="n"/>
      <c r="BQ260" s="27" t="n">
        <v>2.27</v>
      </c>
      <c r="BR260" s="28" t="n">
        <v>0.44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inlineStr">
        <is>
          <t>14d6de91b08183d7c7f968b8c2626348363e64216173f5f2f6abd957d26b2d8b</t>
        </is>
      </c>
      <c r="DE260" s="24" t="inlineStr">
        <is>
          <t>/Users/vincentc9002/model-prediction/data/odds/tennis/2026-08-26/polymarket_snapshots.jsonl</t>
        </is>
      </c>
      <c r="DF260" s="24" t="inlineStr">
        <is>
          <t>524784:2026-08-26T22:16:58.572565Z</t>
        </is>
      </c>
      <c r="DG260" s="24" t="n"/>
      <c r="DH260" s="24" t="n"/>
      <c r="DI260" s="24" t="n"/>
      <c r="DJ260" s="24" t="inlineStr">
        <is>
          <t>0.440529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5610407e1b094761</t>
        </is>
      </c>
      <c r="B261" s="24" t="inlineStr">
        <is>
          <t>2026-08-27T00:43:55.471336Z</t>
        </is>
      </c>
      <c r="C261" s="24" t="inlineStr">
        <is>
          <t>2026-08-27T01:30Z</t>
        </is>
      </c>
      <c r="D261" s="24" t="inlineStr">
        <is>
          <t>341-2026:182495</t>
        </is>
      </c>
      <c r="E261" s="24" t="inlineStr">
        <is>
          <t>TENNIS</t>
        </is>
      </c>
      <c r="F261" s="24" t="inlineStr">
        <is>
          <t>Alycia Parks</t>
        </is>
      </c>
      <c r="G261" s="24" t="inlineStr">
        <is>
          <t>Maja Chwalinska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-170</v>
      </c>
      <c r="M261" s="27" t="n">
        <v>1.588235</v>
      </c>
      <c r="N261" s="28" t="n">
        <v>0.62963</v>
      </c>
      <c r="O261" s="28" t="n">
        <v>0.6561</v>
      </c>
      <c r="P261" s="28" t="n">
        <v>0.05</v>
      </c>
      <c r="Q261" s="28" t="n">
        <v>0.02647</v>
      </c>
      <c r="R261" s="26" t="n">
        <v>33</v>
      </c>
      <c r="S261" s="29" t="n">
        <v>1</v>
      </c>
      <c r="T261" s="24" t="inlineStr">
        <is>
          <t>tennis-surface-elo-v1</t>
        </is>
      </c>
      <c r="U261" s="24" t="inlineStr">
        <is>
          <t>settled</t>
        </is>
      </c>
      <c r="V261" s="24" t="inlineStr">
        <is>
          <t>loss</t>
        </is>
      </c>
      <c r="W261" s="26" t="n">
        <v>1</v>
      </c>
      <c r="X261" s="26" t="n">
        <v>0</v>
      </c>
      <c r="Y261" s="25" t="n"/>
      <c r="Z261" s="26" t="n">
        <v>-170</v>
      </c>
      <c r="AA261" s="28" t="n">
        <v>0.63</v>
      </c>
      <c r="AB261" s="28" t="n">
        <v>0.00037</v>
      </c>
      <c r="AC261" s="30" t="n">
        <v>-1</v>
      </c>
      <c r="AD261" s="24" t="inlineStr">
        <is>
          <t>2026-08-27T12:30:10.080138Z</t>
        </is>
      </c>
      <c r="AE261" s="31" t="inlineStr">
        <is>
          <t>Surface-blended Elo on Hard: Alycia Parks p=0.344 vs Maja Chwalinska. Executable ask 0.6300 (aec-wta-majchw-alypar-2026-08-26).</t>
        </is>
      </c>
      <c r="AF261" s="31" t="inlineStr">
        <is>
          <t>Surface-blended Elo model; singles only, WTA+ATP market coverage, not yet locked-holdout qualified -- promoted by explicit operator directive, not genuine walk-forward validation.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Alycia Parks</t>
        </is>
      </c>
      <c r="AQ261" s="24" t="inlineStr">
        <is>
          <t>Alycia Parks</t>
        </is>
      </c>
      <c r="AR261" s="24" t="inlineStr">
        <is>
          <t>Alycia Parks</t>
        </is>
      </c>
      <c r="AS261" s="24" t="inlineStr">
        <is>
          <t>Maja Chwalinska</t>
        </is>
      </c>
      <c r="AT261" s="24" t="inlineStr">
        <is>
          <t>Maja Chwalinska</t>
        </is>
      </c>
      <c r="AU261" s="24" t="inlineStr">
        <is>
          <t>Maja Chwalinska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d777da58446bc099047b154203518e2585ef1a678f613f2b430f2589f7bf5cff</t>
        </is>
      </c>
      <c r="BB261" s="24" t="inlineStr">
        <is>
          <t>surface_blended_elo</t>
        </is>
      </c>
      <c r="BC261" s="24" t="inlineStr">
        <is>
          <t>tennis-surface-elo-v1</t>
        </is>
      </c>
      <c r="BD261" s="24" t="inlineStr">
        <is>
          <t>d777da58446bc099047b154203518e2585ef1a678f613f2b430f2589f7bf5cff</t>
        </is>
      </c>
      <c r="BE261" s="24" t="inlineStr">
        <is>
          <t>tennis-surface-elo-v1</t>
        </is>
      </c>
      <c r="BF261" s="24" t="inlineStr">
        <is>
          <t>1</t>
        </is>
      </c>
      <c r="BG261" s="24" t="inlineStr">
        <is>
          <t>d777da58446bc099047b154203518e2585ef1a678f613f2b430f2589f7bf5cff</t>
        </is>
      </c>
      <c r="BH261" s="24" t="inlineStr">
        <is>
          <t>2026-08-27T00:43:23.855957Z</t>
        </is>
      </c>
      <c r="BI261" s="24" t="inlineStr">
        <is>
          <t>["same_event","same_team_same_day","same_league_same_day"]</t>
        </is>
      </c>
      <c r="BJ261" s="25" t="n"/>
      <c r="BK261" s="26" t="n">
        <v>-170</v>
      </c>
      <c r="BL261" s="27" t="n">
        <v>1.588235</v>
      </c>
      <c r="BM261" s="28" t="n">
        <v>0.62963</v>
      </c>
      <c r="BN261" s="28" t="n"/>
      <c r="BO261" s="28" t="n"/>
      <c r="BP261" s="25" t="n"/>
      <c r="BQ261" s="27" t="n">
        <v>1.588235</v>
      </c>
      <c r="BR261" s="28" t="n">
        <v>0.63</v>
      </c>
      <c r="BS261" s="28" t="n"/>
      <c r="BT261" s="28" t="n"/>
      <c r="BU261" s="25" t="n"/>
      <c r="BV261" s="29" t="n"/>
      <c r="BW261" s="24" t="n"/>
      <c r="BX261" s="30" t="n">
        <v>1</v>
      </c>
      <c r="BY261" s="27" t="n">
        <v>-1</v>
      </c>
      <c r="BZ261" s="24" t="inlineStr">
        <is>
          <t>2026-08-27T12:30:10.080138Z</t>
        </is>
      </c>
      <c r="CA261" s="31" t="inlineStr">
        <is>
          <t>fixed one-unit hypothetical scoring; no real exposure or execution</t>
        </is>
      </c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inlineStr">
        <is>
          <t>6ac62869bfa3a354b43cd9adc51700f94208f4c3e2bec94dfac5c3a153d4d7b3</t>
        </is>
      </c>
      <c r="DE261" s="24" t="inlineStr">
        <is>
          <t>/Users/vincentc9002/model-prediction/data/odds/tennis/2026-08-26/polymarket_snapshots.jsonl</t>
        </is>
      </c>
      <c r="DF261" s="24" t="inlineStr">
        <is>
          <t>516434:2026-08-27T00:43:23.855957Z</t>
        </is>
      </c>
      <c r="DG261" s="24" t="n"/>
      <c r="DH261" s="24" t="n"/>
      <c r="DI261" s="24" t="n"/>
      <c r="DJ261" s="24" t="inlineStr">
        <is>
          <t>0.62963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6b89bd2912b44b21</t>
        </is>
      </c>
      <c r="B262" s="24" t="inlineStr">
        <is>
          <t>2026-08-27T00:43:55.471336Z</t>
        </is>
      </c>
      <c r="C262" s="24" t="inlineStr">
        <is>
          <t>2026-08-27T03:00Z</t>
        </is>
      </c>
      <c r="D262" s="24" t="inlineStr">
        <is>
          <t>341-2026:182493</t>
        </is>
      </c>
      <c r="E262" s="24" t="inlineStr">
        <is>
          <t>TENNIS</t>
        </is>
      </c>
      <c r="F262" s="24" t="inlineStr">
        <is>
          <t>Clara Tauson</t>
        </is>
      </c>
      <c r="G262" s="24" t="inlineStr">
        <is>
          <t>Ekaterina Alexandrova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108</v>
      </c>
      <c r="M262" s="27" t="n">
        <v>2.08</v>
      </c>
      <c r="N262" s="28" t="n">
        <v>0.480769</v>
      </c>
      <c r="O262" s="28" t="n">
        <v>0.5551</v>
      </c>
      <c r="P262" s="28" t="n">
        <v>0.05</v>
      </c>
      <c r="Q262" s="28" t="n">
        <v>0.07433099999999999</v>
      </c>
      <c r="R262" s="26" t="n">
        <v>57</v>
      </c>
      <c r="S262" s="29" t="n">
        <v>1.25</v>
      </c>
      <c r="T262" s="24" t="inlineStr">
        <is>
          <t>tennis-surface-elo-v1</t>
        </is>
      </c>
      <c r="U262" s="24" t="inlineStr">
        <is>
          <t>settled</t>
        </is>
      </c>
      <c r="V262" s="24" t="inlineStr">
        <is>
          <t>loss</t>
        </is>
      </c>
      <c r="W262" s="26" t="n">
        <v>1</v>
      </c>
      <c r="X262" s="26" t="n">
        <v>0</v>
      </c>
      <c r="Y262" s="25" t="n"/>
      <c r="Z262" s="26" t="n">
        <v>108</v>
      </c>
      <c r="AA262" s="28" t="n">
        <v>0.48</v>
      </c>
      <c r="AB262" s="28" t="n">
        <v>-0.000769</v>
      </c>
      <c r="AC262" s="30" t="n">
        <v>-1.25</v>
      </c>
      <c r="AD262" s="24" t="inlineStr">
        <is>
          <t>2026-08-27T12:30:11.053501Z</t>
        </is>
      </c>
      <c r="AE262" s="31" t="inlineStr">
        <is>
          <t>Surface-blended Elo on Hard: Clara Tauson p=0.445 vs Ekaterina Alexandrova. Executable ask 0.4800 (aec-wta-ekaale-clatau-2026-08-26).</t>
        </is>
      </c>
      <c r="AF262" s="31" t="inlineStr">
        <is>
          <t>Surface-blended Elo model; singles only, WTA+ATP market coverage, not yet locked-holdout qualified -- promoted by explicit operator directive, not genuine walk-forward validation.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Clara Tauson</t>
        </is>
      </c>
      <c r="AQ262" s="24" t="inlineStr">
        <is>
          <t>Clara Tauson</t>
        </is>
      </c>
      <c r="AR262" s="24" t="inlineStr">
        <is>
          <t>Clara Tauson</t>
        </is>
      </c>
      <c r="AS262" s="24" t="inlineStr">
        <is>
          <t>Ekaterina Alexandrova</t>
        </is>
      </c>
      <c r="AT262" s="24" t="inlineStr">
        <is>
          <t>Ekaterina Alexandrova</t>
        </is>
      </c>
      <c r="AU262" s="24" t="inlineStr">
        <is>
          <t>Ekaterina Alexandrova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d777da58446bc099047b154203518e2585ef1a678f613f2b430f2589f7bf5cff</t>
        </is>
      </c>
      <c r="BB262" s="24" t="inlineStr">
        <is>
          <t>surface_blended_elo</t>
        </is>
      </c>
      <c r="BC262" s="24" t="inlineStr">
        <is>
          <t>tennis-surface-elo-v1</t>
        </is>
      </c>
      <c r="BD262" s="24" t="inlineStr">
        <is>
          <t>d777da58446bc099047b154203518e2585ef1a678f613f2b430f2589f7bf5cff</t>
        </is>
      </c>
      <c r="BE262" s="24" t="inlineStr">
        <is>
          <t>tennis-surface-elo-v1</t>
        </is>
      </c>
      <c r="BF262" s="24" t="inlineStr">
        <is>
          <t>1</t>
        </is>
      </c>
      <c r="BG262" s="24" t="inlineStr">
        <is>
          <t>d777da58446bc099047b154203518e2585ef1a678f613f2b430f2589f7bf5cff</t>
        </is>
      </c>
      <c r="BH262" s="24" t="inlineStr">
        <is>
          <t>2026-08-27T00:43:24.082456Z</t>
        </is>
      </c>
      <c r="BI262" s="24" t="inlineStr">
        <is>
          <t>["same_event","same_team_same_day","same_league_same_day"]</t>
        </is>
      </c>
      <c r="BJ262" s="25" t="n"/>
      <c r="BK262" s="26" t="n">
        <v>108</v>
      </c>
      <c r="BL262" s="27" t="n">
        <v>2.08</v>
      </c>
      <c r="BM262" s="28" t="n">
        <v>0.480769</v>
      </c>
      <c r="BN262" s="28" t="n"/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inlineStr">
        <is>
          <t>963dfee4188ef0769f2e18c8981af6f800290e4d1ad7bccc142c1a22f1952a6d</t>
        </is>
      </c>
      <c r="DE262" s="24" t="inlineStr">
        <is>
          <t>/Users/vincentc9002/model-prediction/data/odds/tennis/2026-08-26/polymarket_snapshots.jsonl</t>
        </is>
      </c>
      <c r="DF262" s="24" t="inlineStr">
        <is>
          <t>516952:2026-08-27T00:43:24.082456Z</t>
        </is>
      </c>
      <c r="DG262" s="24" t="n"/>
      <c r="DH262" s="24" t="n"/>
      <c r="DI262" s="24" t="n"/>
      <c r="DJ262" s="24" t="inlineStr">
        <is>
          <t>0.480769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796a235a3ff24b3b</t>
        </is>
      </c>
      <c r="B263" s="24" t="inlineStr">
        <is>
          <t>2026-08-27T13:58:24.220632Z</t>
        </is>
      </c>
      <c r="C263" s="24" t="inlineStr">
        <is>
          <t>2026-08-27T21:00Z</t>
        </is>
      </c>
      <c r="D263" s="24" t="inlineStr">
        <is>
          <t>341-2026:182488</t>
        </is>
      </c>
      <c r="E263" s="24" t="inlineStr">
        <is>
          <t>TENNIS</t>
        </is>
      </c>
      <c r="F263" s="24" t="inlineStr">
        <is>
          <t>Ann Li</t>
        </is>
      </c>
      <c r="G263" s="24" t="inlineStr">
        <is>
          <t>Alycia Parks</t>
        </is>
      </c>
      <c r="H263" s="24" t="inlineStr">
        <is>
          <t>moneyline</t>
        </is>
      </c>
      <c r="I263" s="24" t="inlineStr">
        <is>
          <t>away</t>
        </is>
      </c>
      <c r="J263" s="25" t="n"/>
      <c r="K263" s="24" t="inlineStr">
        <is>
          <t>polymarket_us</t>
        </is>
      </c>
      <c r="L263" s="26" t="n">
        <v>-245</v>
      </c>
      <c r="M263" s="27" t="n">
        <v>1.408163</v>
      </c>
      <c r="N263" s="28" t="n">
        <v>0.710145</v>
      </c>
      <c r="O263" s="28" t="n">
        <v>0.6297</v>
      </c>
      <c r="P263" s="28" t="n">
        <v>0.05</v>
      </c>
      <c r="Q263" s="28" t="n">
        <v>-0.080445</v>
      </c>
      <c r="R263" s="26" t="n">
        <v>0</v>
      </c>
      <c r="S263" s="29" t="n">
        <v>1</v>
      </c>
      <c r="T263" s="24" t="inlineStr">
        <is>
          <t>tennis-surface-elo-v1</t>
        </is>
      </c>
      <c r="U263" s="24" t="inlineStr">
        <is>
          <t>settled</t>
        </is>
      </c>
      <c r="V263" s="24" t="inlineStr">
        <is>
          <t>win</t>
        </is>
      </c>
      <c r="W263" s="26" t="n">
        <v>1</v>
      </c>
      <c r="X263" s="26" t="n">
        <v>0</v>
      </c>
      <c r="Y263" s="25" t="n"/>
      <c r="Z263" s="26" t="n">
        <v>-245</v>
      </c>
      <c r="AA263" s="28" t="n">
        <v>0.71</v>
      </c>
      <c r="AB263" s="28" t="n">
        <v>-0.000145</v>
      </c>
      <c r="AC263" s="30" t="n">
        <v>0.4082</v>
      </c>
      <c r="AD263" s="24" t="inlineStr">
        <is>
          <t>2026-08-28T02:36:10.209089Z</t>
        </is>
      </c>
      <c r="AE263" s="31" t="inlineStr">
        <is>
          <t>Surface-blended Elo on Hard: Ann Li p=0.630 vs Alycia Parks. Executable ask 0.7100 (aec-wta-alypar-annli-2026-08-27).</t>
        </is>
      </c>
      <c r="AF263" s="31" t="inlineStr">
        <is>
          <t>Surface-blended Elo model; singles only, WTA+ATP market coverage, not yet locked-holdout qualified -- promoted by explicit operator directive, not genuine walk-forward validation.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paper_call</t>
        </is>
      </c>
      <c r="AL263" s="26" t="n">
        <v>4</v>
      </c>
      <c r="AM263" s="24" t="inlineStr">
        <is>
          <t>RESEARCH_OBSERVATION</t>
        </is>
      </c>
      <c r="AN263" s="24" t="inlineStr">
        <is>
          <t>CALL</t>
        </is>
      </c>
      <c r="AO263" s="24" t="inlineStr">
        <is>
          <t>PAPER_CALL_LOW_EDGE</t>
        </is>
      </c>
      <c r="AP263" s="24" t="inlineStr">
        <is>
          <t>Ann Li</t>
        </is>
      </c>
      <c r="AQ263" s="24" t="inlineStr">
        <is>
          <t>Ann Li</t>
        </is>
      </c>
      <c r="AR263" s="24" t="inlineStr">
        <is>
          <t>Ann Li</t>
        </is>
      </c>
      <c r="AS263" s="24" t="inlineStr">
        <is>
          <t>Alycia Parks</t>
        </is>
      </c>
      <c r="AT263" s="24" t="inlineStr">
        <is>
          <t>Alycia Parks</t>
        </is>
      </c>
      <c r="AU263" s="24" t="inlineStr">
        <is>
          <t>Alycia Parks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d777da58446bc099047b154203518e2585ef1a678f613f2b430f2589f7bf5cff</t>
        </is>
      </c>
      <c r="BB263" s="24" t="inlineStr">
        <is>
          <t>surface_blended_elo</t>
        </is>
      </c>
      <c r="BC263" s="24" t="inlineStr">
        <is>
          <t>tennis-surface-elo-v1</t>
        </is>
      </c>
      <c r="BD263" s="24" t="inlineStr">
        <is>
          <t>d777da58446bc099047b154203518e2585ef1a678f613f2b430f2589f7bf5cff</t>
        </is>
      </c>
      <c r="BE263" s="24" t="inlineStr">
        <is>
          <t>tennis-surface-elo-v1</t>
        </is>
      </c>
      <c r="BF263" s="24" t="inlineStr">
        <is>
          <t>1</t>
        </is>
      </c>
      <c r="BG263" s="24" t="inlineStr">
        <is>
          <t>d777da58446bc099047b154203518e2585ef1a678f613f2b430f2589f7bf5cff</t>
        </is>
      </c>
      <c r="BH263" s="24" t="inlineStr">
        <is>
          <t>2026-08-27T13:56:40.185428Z</t>
        </is>
      </c>
      <c r="BI263" s="24" t="inlineStr">
        <is>
          <t>["same_event","same_team_same_day","same_league_same_day"]</t>
        </is>
      </c>
      <c r="BJ263" s="25" t="n"/>
      <c r="BK263" s="26" t="n">
        <v>-245</v>
      </c>
      <c r="BL263" s="27" t="n">
        <v>1.408163</v>
      </c>
      <c r="BM263" s="28" t="n">
        <v>0.710145</v>
      </c>
      <c r="BN263" s="28" t="n"/>
      <c r="BO263" s="28" t="n"/>
      <c r="BP263" s="25" t="n"/>
      <c r="BQ263" s="27" t="n">
        <v>1.408163</v>
      </c>
      <c r="BR263" s="28" t="n">
        <v>0.71</v>
      </c>
      <c r="BS263" s="28" t="n"/>
      <c r="BT263" s="28" t="n"/>
      <c r="BU263" s="25" t="n"/>
      <c r="BV263" s="29" t="n"/>
      <c r="BW263" s="24" t="n"/>
      <c r="BX263" s="30" t="n">
        <v>1</v>
      </c>
      <c r="BY263" s="27" t="n">
        <v>0.408163</v>
      </c>
      <c r="BZ263" s="24" t="inlineStr">
        <is>
          <t>2026-08-28T02:36:10.209089Z</t>
        </is>
      </c>
      <c r="CA263" s="31" t="inlineStr">
        <is>
          <t>fixed one-unit hypothetical scoring; no real exposure or execution</t>
        </is>
      </c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False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inlineStr">
        <is>
          <t>d9a12f7c7c563641007f5b5d2d797512c677c77a69e8f007a0282b4597ead8e8</t>
        </is>
      </c>
      <c r="DE263" s="24" t="inlineStr">
        <is>
          <t>/Users/vincentc9002/model-prediction/data/odds/tennis/2026-08-27/polymarket_snapshots.jsonl</t>
        </is>
      </c>
      <c r="DF263" s="24" t="inlineStr">
        <is>
          <t>538203:2026-08-27T13:56:40.185428Z</t>
        </is>
      </c>
      <c r="DG263" s="24" t="n"/>
      <c r="DH263" s="24" t="n"/>
      <c r="DI263" s="24" t="n"/>
      <c r="DJ263" s="24" t="inlineStr">
        <is>
          <t>0.710145</t>
        </is>
      </c>
      <c r="DK263" s="24" t="n"/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9164cda55e454016</t>
        </is>
      </c>
      <c r="B264" s="24" t="inlineStr">
        <is>
          <t>2026-08-27T13:58:24.220632Z</t>
        </is>
      </c>
      <c r="C264" s="24" t="inlineStr">
        <is>
          <t>2026-08-27T16:00Z</t>
        </is>
      </c>
      <c r="D264" s="24" t="inlineStr">
        <is>
          <t>1075-2026:182148</t>
        </is>
      </c>
      <c r="E264" s="24" t="inlineStr">
        <is>
          <t>TENNIS</t>
        </is>
      </c>
      <c r="F264" s="24" t="inlineStr">
        <is>
          <t>Julia Grabher</t>
        </is>
      </c>
      <c r="G264" s="24" t="inlineStr">
        <is>
          <t>Fiona Crawley</t>
        </is>
      </c>
      <c r="H264" s="24" t="inlineStr">
        <is>
          <t>moneyline</t>
        </is>
      </c>
      <c r="I264" s="24" t="inlineStr">
        <is>
          <t>away</t>
        </is>
      </c>
      <c r="J264" s="25" t="n"/>
      <c r="K264" s="24" t="inlineStr">
        <is>
          <t>polymarket_us</t>
        </is>
      </c>
      <c r="L264" s="26" t="n">
        <v>-108</v>
      </c>
      <c r="M264" s="27" t="n">
        <v>1.925926</v>
      </c>
      <c r="N264" s="28" t="n">
        <v>0.519231</v>
      </c>
      <c r="O264" s="28" t="n">
        <v>0.5373</v>
      </c>
      <c r="P264" s="28" t="n">
        <v>0.05</v>
      </c>
      <c r="Q264" s="28" t="n">
        <v>0.018069</v>
      </c>
      <c r="R264" s="26" t="n">
        <v>29</v>
      </c>
      <c r="S264" s="29" t="n">
        <v>1</v>
      </c>
      <c r="T264" s="24" t="inlineStr">
        <is>
          <t>tennis-surface-elo-v1</t>
        </is>
      </c>
      <c r="U264" s="24" t="inlineStr">
        <is>
          <t>settled</t>
        </is>
      </c>
      <c r="V264" s="24" t="inlineStr">
        <is>
          <t>win</t>
        </is>
      </c>
      <c r="W264" s="26" t="n">
        <v>1</v>
      </c>
      <c r="X264" s="26" t="n">
        <v>0</v>
      </c>
      <c r="Y264" s="25" t="n"/>
      <c r="Z264" s="26" t="n">
        <v>-108</v>
      </c>
      <c r="AA264" s="28" t="n">
        <v>0.52</v>
      </c>
      <c r="AB264" s="28" t="n">
        <v>0.000769</v>
      </c>
      <c r="AC264" s="30" t="n">
        <v>0.9258999999999999</v>
      </c>
      <c r="AD264" s="24" t="inlineStr">
        <is>
          <t>2026-08-28T02:36:13.580240Z</t>
        </is>
      </c>
      <c r="AE264" s="31" t="inlineStr">
        <is>
          <t>Surface-blended Elo on Hard: Julia Grabher p=0.537 vs Fiona Crawley. Executable ask 0.5200 (aec-wta-fiocra-julgra-2026-08-27).</t>
        </is>
      </c>
      <c r="AF264" s="31" t="inlineStr">
        <is>
          <t>Surface-blended Elo model; singles only, WTA+ATP market coverage, not yet locked-holdout qualified -- promoted by explicit operator directive, not genuine walk-forward validation.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paper_call</t>
        </is>
      </c>
      <c r="AL264" s="26" t="n">
        <v>4</v>
      </c>
      <c r="AM264" s="24" t="inlineStr">
        <is>
          <t>RESEARCH_OBSERVATION</t>
        </is>
      </c>
      <c r="AN264" s="24" t="inlineStr">
        <is>
          <t>CALL</t>
        </is>
      </c>
      <c r="AO264" s="24" t="inlineStr">
        <is>
          <t>PAPER_CALL_LOW_EDGE</t>
        </is>
      </c>
      <c r="AP264" s="24" t="inlineStr">
        <is>
          <t>Julia Grabher</t>
        </is>
      </c>
      <c r="AQ264" s="24" t="inlineStr">
        <is>
          <t>Julia Grabher</t>
        </is>
      </c>
      <c r="AR264" s="24" t="inlineStr">
        <is>
          <t>Julia Grabher</t>
        </is>
      </c>
      <c r="AS264" s="24" t="inlineStr">
        <is>
          <t>Fiona Crawley</t>
        </is>
      </c>
      <c r="AT264" s="24" t="inlineStr">
        <is>
          <t>Fiona Crawley</t>
        </is>
      </c>
      <c r="AU264" s="24" t="inlineStr">
        <is>
          <t>Fiona Crawley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d777da58446bc099047b154203518e2585ef1a678f613f2b430f2589f7bf5cff</t>
        </is>
      </c>
      <c r="BB264" s="24" t="inlineStr">
        <is>
          <t>surface_blended_elo</t>
        </is>
      </c>
      <c r="BC264" s="24" t="inlineStr">
        <is>
          <t>tennis-surface-elo-v1</t>
        </is>
      </c>
      <c r="BD264" s="24" t="inlineStr">
        <is>
          <t>d777da58446bc099047b154203518e2585ef1a678f613f2b430f2589f7bf5cff</t>
        </is>
      </c>
      <c r="BE264" s="24" t="inlineStr">
        <is>
          <t>tennis-surface-elo-v1</t>
        </is>
      </c>
      <c r="BF264" s="24" t="inlineStr">
        <is>
          <t>1</t>
        </is>
      </c>
      <c r="BG264" s="24" t="inlineStr">
        <is>
          <t>d777da58446bc099047b154203518e2585ef1a678f613f2b430f2589f7bf5cff</t>
        </is>
      </c>
      <c r="BH264" s="24" t="inlineStr">
        <is>
          <t>2026-08-27T13:56:39.265153Z</t>
        </is>
      </c>
      <c r="BI264" s="24" t="inlineStr">
        <is>
          <t>["same_event","same_team_same_day","same_league_same_day"]</t>
        </is>
      </c>
      <c r="BJ264" s="25" t="n"/>
      <c r="BK264" s="26" t="n">
        <v>-108</v>
      </c>
      <c r="BL264" s="27" t="n">
        <v>1.925926</v>
      </c>
      <c r="BM264" s="28" t="n">
        <v>0.519231</v>
      </c>
      <c r="BN264" s="28" t="n"/>
      <c r="BO264" s="28" t="n"/>
      <c r="BP264" s="25" t="n"/>
      <c r="BQ264" s="27" t="n">
        <v>1.925926</v>
      </c>
      <c r="BR264" s="28" t="n">
        <v>0.52</v>
      </c>
      <c r="BS264" s="28" t="n"/>
      <c r="BT264" s="28" t="n"/>
      <c r="BU264" s="25" t="n"/>
      <c r="BV264" s="29" t="n"/>
      <c r="BW264" s="24" t="n"/>
      <c r="BX264" s="30" t="n">
        <v>1</v>
      </c>
      <c r="BY264" s="27" t="n">
        <v>0.925925</v>
      </c>
      <c r="BZ264" s="24" t="inlineStr">
        <is>
          <t>2026-08-28T02:36:13.580240Z</t>
        </is>
      </c>
      <c r="CA264" s="31" t="inlineStr">
        <is>
          <t>fixed one-unit hypothetical scoring; no real exposure or execution</t>
        </is>
      </c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inlineStr">
        <is>
          <t>73eab20d1dbf7e138c8b4087421f2320fbafc1b23733e15bdf918e138e00f641</t>
        </is>
      </c>
      <c r="DE264" s="24" t="inlineStr">
        <is>
          <t>/Users/vincentc9002/model-prediction/data/odds/tennis/2026-08-27/polymarket_snapshots.jsonl</t>
        </is>
      </c>
      <c r="DF264" s="24" t="inlineStr">
        <is>
          <t>532715:2026-08-27T13:56:39.265153Z</t>
        </is>
      </c>
      <c r="DG264" s="24" t="n"/>
      <c r="DH264" s="24" t="n"/>
      <c r="DI264" s="24" t="n"/>
      <c r="DJ264" s="24" t="inlineStr">
        <is>
          <t>0.519231</t>
        </is>
      </c>
      <c r="DK264" s="24" t="n"/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d88c447bc7e544a3</t>
        </is>
      </c>
      <c r="B265" s="24" t="inlineStr">
        <is>
          <t>2026-08-27T13:58:24.220632Z</t>
        </is>
      </c>
      <c r="C265" s="24" t="inlineStr">
        <is>
          <t>2026-08-27T17:30Z</t>
        </is>
      </c>
      <c r="D265" s="24" t="inlineStr">
        <is>
          <t>1075-2026:182145</t>
        </is>
      </c>
      <c r="E265" s="24" t="inlineStr">
        <is>
          <t>TENNIS</t>
        </is>
      </c>
      <c r="F265" s="24" t="inlineStr">
        <is>
          <t>Tereza Valentova</t>
        </is>
      </c>
      <c r="G265" s="24" t="inlineStr">
        <is>
          <t>Kylie Collins</t>
        </is>
      </c>
      <c r="H265" s="24" t="inlineStr">
        <is>
          <t>moneyline</t>
        </is>
      </c>
      <c r="I265" s="24" t="inlineStr">
        <is>
          <t>away</t>
        </is>
      </c>
      <c r="J265" s="25" t="n"/>
      <c r="K265" s="24" t="inlineStr">
        <is>
          <t>polymarket_us</t>
        </is>
      </c>
      <c r="L265" s="26" t="n">
        <v>-1150</v>
      </c>
      <c r="M265" s="27" t="n">
        <v>1.086957</v>
      </c>
      <c r="N265" s="28" t="n">
        <v>0.92</v>
      </c>
      <c r="O265" s="28" t="n">
        <v>0.7342</v>
      </c>
      <c r="P265" s="28" t="n">
        <v>0.05</v>
      </c>
      <c r="Q265" s="28" t="n">
        <v>-0.1858</v>
      </c>
      <c r="R265" s="26" t="n">
        <v>0</v>
      </c>
      <c r="S265" s="29" t="n">
        <v>1</v>
      </c>
      <c r="T265" s="24" t="inlineStr">
        <is>
          <t>tennis-surface-elo-v1</t>
        </is>
      </c>
      <c r="U265" s="24" t="inlineStr">
        <is>
          <t>settled</t>
        </is>
      </c>
      <c r="V265" s="24" t="inlineStr">
        <is>
          <t>win</t>
        </is>
      </c>
      <c r="W265" s="26" t="n">
        <v>1</v>
      </c>
      <c r="X265" s="26" t="n">
        <v>0</v>
      </c>
      <c r="Y265" s="25" t="n"/>
      <c r="Z265" s="26" t="n">
        <v>-1150</v>
      </c>
      <c r="AA265" s="28" t="n">
        <v>0.92</v>
      </c>
      <c r="AB265" s="28" t="n">
        <v>0</v>
      </c>
      <c r="AC265" s="30" t="n">
        <v>0.08699999999999999</v>
      </c>
      <c r="AD265" s="24" t="inlineStr">
        <is>
          <t>2026-08-27T22:15:38.900979Z</t>
        </is>
      </c>
      <c r="AE265" s="31" t="inlineStr">
        <is>
          <t>Surface-blended Elo on Hard: Tereza Valentova p=0.734 vs Kylie Collins. Executable ask 0.9200 (aec-wta-kylcol-terval-2026-08-27).</t>
        </is>
      </c>
      <c r="AF265" s="31" t="inlineStr">
        <is>
          <t>Surface-blended Elo model; singles only, WTA+ATP market coverage, not yet locked-holdout qualified -- promoted by explicit operator directive, not genuine walk-forward validation.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PAPER_CALL_MODEL_UNVALIDATED</t>
        </is>
      </c>
      <c r="AP265" s="24" t="inlineStr">
        <is>
          <t>Tereza Valentova</t>
        </is>
      </c>
      <c r="AQ265" s="24" t="inlineStr">
        <is>
          <t>Tereza Valentova</t>
        </is>
      </c>
      <c r="AR265" s="24" t="inlineStr">
        <is>
          <t>Tereza Valentova</t>
        </is>
      </c>
      <c r="AS265" s="24" t="inlineStr">
        <is>
          <t>Kylie Collins</t>
        </is>
      </c>
      <c r="AT265" s="24" t="inlineStr">
        <is>
          <t>Kylie Collins</t>
        </is>
      </c>
      <c r="AU265" s="24" t="inlineStr">
        <is>
          <t>Kylie Collins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d777da58446bc099047b154203518e2585ef1a678f613f2b430f2589f7bf5cff</t>
        </is>
      </c>
      <c r="BB265" s="24" t="inlineStr">
        <is>
          <t>surface_blended_elo</t>
        </is>
      </c>
      <c r="BC265" s="24" t="inlineStr">
        <is>
          <t>tennis-surface-elo-v1</t>
        </is>
      </c>
      <c r="BD265" s="24" t="inlineStr">
        <is>
          <t>d777da58446bc099047b154203518e2585ef1a678f613f2b430f2589f7bf5cff</t>
        </is>
      </c>
      <c r="BE265" s="24" t="inlineStr">
        <is>
          <t>tennis-surface-elo-v1</t>
        </is>
      </c>
      <c r="BF265" s="24" t="inlineStr">
        <is>
          <t>1</t>
        </is>
      </c>
      <c r="BG265" s="24" t="inlineStr">
        <is>
          <t>d777da58446bc099047b154203518e2585ef1a678f613f2b430f2589f7bf5cff</t>
        </is>
      </c>
      <c r="BH265" s="24" t="inlineStr">
        <is>
          <t>2026-08-27T13:56:39.911952Z</t>
        </is>
      </c>
      <c r="BI265" s="24" t="inlineStr">
        <is>
          <t>["same_event","same_team_same_day","same_league_same_day"]</t>
        </is>
      </c>
      <c r="BJ265" s="25" t="n"/>
      <c r="BK265" s="26" t="n">
        <v>-1150</v>
      </c>
      <c r="BL265" s="27" t="n">
        <v>1.086957</v>
      </c>
      <c r="BM265" s="28" t="n">
        <v>0.92</v>
      </c>
      <c r="BN265" s="28" t="n"/>
      <c r="BO265" s="28" t="n"/>
      <c r="BP265" s="25" t="n"/>
      <c r="BQ265" s="27" t="n">
        <v>1.086957</v>
      </c>
      <c r="BR265" s="28" t="n">
        <v>0.92</v>
      </c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0.08695700000000001</v>
      </c>
      <c r="BZ265" s="24" t="inlineStr">
        <is>
          <t>2026-08-27T22:15:38.900979Z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inlineStr">
        <is>
          <t>5edca6056549542d9528e9cf593c71ee5866224ab724121bed3a8937518e73fe</t>
        </is>
      </c>
      <c r="DE265" s="24" t="inlineStr">
        <is>
          <t>/Users/vincentc9002/model-prediction/data/odds/tennis/2026-08-27/polymarket_snapshots.jsonl</t>
        </is>
      </c>
      <c r="DF265" s="24" t="inlineStr">
        <is>
          <t>531344:2026-08-27T13:56:39.911952Z</t>
        </is>
      </c>
      <c r="DG265" s="24" t="n"/>
      <c r="DH265" s="24" t="n"/>
      <c r="DI265" s="24" t="n"/>
      <c r="DJ265" s="24" t="inlineStr">
        <is>
          <t>0.92</t>
        </is>
      </c>
      <c r="DK265" s="24" t="n"/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7d4e6aa07e504634</t>
        </is>
      </c>
      <c r="B266" s="24" t="inlineStr">
        <is>
          <t>2026-08-27T13:58:24.220632Z</t>
        </is>
      </c>
      <c r="C266" s="24" t="inlineStr">
        <is>
          <t>2026-08-27T15:00Z</t>
        </is>
      </c>
      <c r="D266" s="24" t="inlineStr">
        <is>
          <t>189-2026:184809</t>
        </is>
      </c>
      <c r="E266" s="24" t="inlineStr">
        <is>
          <t>TENNIS</t>
        </is>
      </c>
      <c r="F266" s="24" t="inlineStr">
        <is>
          <t>Robin Montgomery</t>
        </is>
      </c>
      <c r="G266" s="24" t="inlineStr">
        <is>
          <t>Carson Branstine</t>
        </is>
      </c>
      <c r="H266" s="24" t="inlineStr">
        <is>
          <t>moneyline</t>
        </is>
      </c>
      <c r="I266" s="24" t="inlineStr">
        <is>
          <t>away</t>
        </is>
      </c>
      <c r="J266" s="25" t="n"/>
      <c r="K266" s="24" t="inlineStr">
        <is>
          <t>polymarket_us</t>
        </is>
      </c>
      <c r="L266" s="26" t="n">
        <v>-355</v>
      </c>
      <c r="M266" s="27" t="n">
        <v>1.28169</v>
      </c>
      <c r="N266" s="28" t="n">
        <v>0.78022</v>
      </c>
      <c r="O266" s="28" t="n">
        <v>0.6684</v>
      </c>
      <c r="P266" s="28" t="n">
        <v>0.05</v>
      </c>
      <c r="Q266" s="28" t="n">
        <v>-0.11182</v>
      </c>
      <c r="R266" s="26" t="n">
        <v>0</v>
      </c>
      <c r="S266" s="29" t="n">
        <v>1</v>
      </c>
      <c r="T266" s="24" t="inlineStr">
        <is>
          <t>tennis-surface-elo-v1</t>
        </is>
      </c>
      <c r="U266" s="24" t="inlineStr">
        <is>
          <t>settled</t>
        </is>
      </c>
      <c r="V266" s="24" t="inlineStr">
        <is>
          <t>win</t>
        </is>
      </c>
      <c r="W266" s="26" t="n">
        <v>1</v>
      </c>
      <c r="X266" s="26" t="n">
        <v>0</v>
      </c>
      <c r="Y266" s="25" t="n"/>
      <c r="Z266" s="26" t="n">
        <v>-355</v>
      </c>
      <c r="AA266" s="28" t="n">
        <v>0.78</v>
      </c>
      <c r="AB266" s="28" t="n">
        <v>-0.00022</v>
      </c>
      <c r="AC266" s="30" t="n">
        <v>0.2817</v>
      </c>
      <c r="AD266" s="24" t="inlineStr">
        <is>
          <t>2026-08-27T21:47:04.320847Z</t>
        </is>
      </c>
      <c r="AE266" s="31" t="inlineStr">
        <is>
          <t>Surface-blended Elo on Hard: Robin Montgomery p=0.668 vs Carson Branstine. Executable ask 0.7800 (aec-wta-carbra-robmon-2026-08-27).</t>
        </is>
      </c>
      <c r="AF266" s="31" t="inlineStr">
        <is>
          <t>Surface-blended Elo model; singles only, WTA+ATP market coverage, not yet locked-holdout qualified -- promoted by explicit operator directive, not genuine walk-forward validation.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paper_call</t>
        </is>
      </c>
      <c r="AL266" s="26" t="n">
        <v>4</v>
      </c>
      <c r="AM266" s="24" t="inlineStr">
        <is>
          <t>RESEARCH_OBSERVATION</t>
        </is>
      </c>
      <c r="AN266" s="24" t="inlineStr">
        <is>
          <t>CALL</t>
        </is>
      </c>
      <c r="AO266" s="24" t="inlineStr">
        <is>
          <t>PAPER_CALL_LOW_EDGE</t>
        </is>
      </c>
      <c r="AP266" s="24" t="inlineStr">
        <is>
          <t>Robin Montgomery</t>
        </is>
      </c>
      <c r="AQ266" s="24" t="inlineStr">
        <is>
          <t>Robin Montgomery</t>
        </is>
      </c>
      <c r="AR266" s="24" t="inlineStr">
        <is>
          <t>Robin Montgomery</t>
        </is>
      </c>
      <c r="AS266" s="24" t="inlineStr">
        <is>
          <t>Carson Branstine</t>
        </is>
      </c>
      <c r="AT266" s="24" t="inlineStr">
        <is>
          <t>Carson Branstine</t>
        </is>
      </c>
      <c r="AU266" s="24" t="inlineStr">
        <is>
          <t>Carson Branstine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d777da58446bc099047b154203518e2585ef1a678f613f2b430f2589f7bf5cff</t>
        </is>
      </c>
      <c r="BB266" s="24" t="inlineStr">
        <is>
          <t>surface_blended_elo</t>
        </is>
      </c>
      <c r="BC266" s="24" t="inlineStr">
        <is>
          <t>tennis-surface-elo-v1</t>
        </is>
      </c>
      <c r="BD266" s="24" t="inlineStr">
        <is>
          <t>d777da58446bc099047b154203518e2585ef1a678f613f2b430f2589f7bf5cff</t>
        </is>
      </c>
      <c r="BE266" s="24" t="inlineStr">
        <is>
          <t>tennis-surface-elo-v1</t>
        </is>
      </c>
      <c r="BF266" s="24" t="inlineStr">
        <is>
          <t>1</t>
        </is>
      </c>
      <c r="BG266" s="24" t="inlineStr">
        <is>
          <t>d777da58446bc099047b154203518e2585ef1a678f613f2b430f2589f7bf5cff</t>
        </is>
      </c>
      <c r="BH266" s="24" t="inlineStr">
        <is>
          <t>2026-08-27T13:56:39.035145Z</t>
        </is>
      </c>
      <c r="BI266" s="24" t="inlineStr">
        <is>
          <t>["same_event","same_team_same_day","same_league_same_day"]</t>
        </is>
      </c>
      <c r="BJ266" s="25" t="n"/>
      <c r="BK266" s="26" t="n">
        <v>-355</v>
      </c>
      <c r="BL266" s="27" t="n">
        <v>1.28169</v>
      </c>
      <c r="BM266" s="28" t="n">
        <v>0.78022</v>
      </c>
      <c r="BN266" s="28" t="n"/>
      <c r="BO266" s="28" t="n"/>
      <c r="BP266" s="25" t="n"/>
      <c r="BQ266" s="27" t="n">
        <v>1.28169</v>
      </c>
      <c r="BR266" s="28" t="n">
        <v>0.78</v>
      </c>
      <c r="BS266" s="28" t="n"/>
      <c r="BT266" s="28" t="n"/>
      <c r="BU266" s="25" t="n"/>
      <c r="BV266" s="29" t="n"/>
      <c r="BW266" s="24" t="n"/>
      <c r="BX266" s="30" t="n">
        <v>1</v>
      </c>
      <c r="BY266" s="27" t="n">
        <v>0.28169</v>
      </c>
      <c r="BZ266" s="24" t="inlineStr">
        <is>
          <t>2026-08-27T21:47:04.320847Z</t>
        </is>
      </c>
      <c r="CA266" s="31" t="inlineStr">
        <is>
          <t>fixed one-unit hypothetical scoring; no real exposure or execution</t>
        </is>
      </c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False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inlineStr">
        <is>
          <t>0b9304ab107f09d87d39bd7421933194fbc82f47c969078b141ba1ea2a2eab70</t>
        </is>
      </c>
      <c r="DE266" s="24" t="inlineStr">
        <is>
          <t>/Users/vincentc9002/model-prediction/data/odds/tennis/2026-08-27/polymarket_snapshots.jsonl</t>
        </is>
      </c>
      <c r="DF266" s="24" t="inlineStr">
        <is>
          <t>530846:2026-08-27T13:56:39.035145Z</t>
        </is>
      </c>
      <c r="DG266" s="24" t="n"/>
      <c r="DH266" s="24" t="n"/>
      <c r="DI266" s="24" t="n"/>
      <c r="DJ266" s="24" t="inlineStr">
        <is>
          <t>0.78022</t>
        </is>
      </c>
      <c r="DK266" s="24" t="n"/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f82323089c2b4110</t>
        </is>
      </c>
      <c r="B267" s="24" t="inlineStr">
        <is>
          <t>2026-08-27T13:58:24.220632Z</t>
        </is>
      </c>
      <c r="C267" s="24" t="inlineStr">
        <is>
          <t>2026-08-27T15:00Z</t>
        </is>
      </c>
      <c r="D267" s="24" t="inlineStr">
        <is>
          <t>189-2026:184811</t>
        </is>
      </c>
      <c r="E267" s="24" t="inlineStr">
        <is>
          <t>TENNIS</t>
        </is>
      </c>
      <c r="F267" s="24" t="inlineStr">
        <is>
          <t>Andrea Lazaro Garcia</t>
        </is>
      </c>
      <c r="G267" s="24" t="inlineStr">
        <is>
          <t>Polina Iatcenko</t>
        </is>
      </c>
      <c r="H267" s="24" t="inlineStr">
        <is>
          <t>moneyline</t>
        </is>
      </c>
      <c r="I267" s="24" t="inlineStr">
        <is>
          <t>away</t>
        </is>
      </c>
      <c r="J267" s="25" t="n"/>
      <c r="K267" s="24" t="inlineStr">
        <is>
          <t>polymarket_us</t>
        </is>
      </c>
      <c r="L267" s="26" t="n">
        <v>133</v>
      </c>
      <c r="M267" s="27" t="n">
        <v>2.33</v>
      </c>
      <c r="N267" s="28" t="n">
        <v>0.429185</v>
      </c>
      <c r="O267" s="28" t="n">
        <v>0.548</v>
      </c>
      <c r="P267" s="28" t="n">
        <v>0.05</v>
      </c>
      <c r="Q267" s="28" t="n">
        <v>0.118815</v>
      </c>
      <c r="R267" s="26" t="n">
        <v>79</v>
      </c>
      <c r="S267" s="29" t="n">
        <v>1.5</v>
      </c>
      <c r="T267" s="24" t="inlineStr">
        <is>
          <t>tennis-surface-elo-v1</t>
        </is>
      </c>
      <c r="U267" s="24" t="inlineStr">
        <is>
          <t>settled</t>
        </is>
      </c>
      <c r="V267" s="24" t="inlineStr">
        <is>
          <t>loss</t>
        </is>
      </c>
      <c r="W267" s="26" t="n">
        <v>0</v>
      </c>
      <c r="X267" s="26" t="n">
        <v>1</v>
      </c>
      <c r="Y267" s="25" t="n"/>
      <c r="Z267" s="26" t="n">
        <v>133</v>
      </c>
      <c r="AA267" s="28" t="n">
        <v>0.43</v>
      </c>
      <c r="AB267" s="28" t="n">
        <v>0.000815</v>
      </c>
      <c r="AC267" s="30" t="n">
        <v>-1.5</v>
      </c>
      <c r="AD267" s="24" t="inlineStr">
        <is>
          <t>2026-08-27T21:47:07.675387Z</t>
        </is>
      </c>
      <c r="AE267" s="31" t="inlineStr">
        <is>
          <t>Surface-blended Elo on Hard: Andrea Lazaro Garcia p=0.548 vs Polina Iatcenko. Executable ask 0.4300 (aec-wta-poliat-andgar-2026-08-27).</t>
        </is>
      </c>
      <c r="AF267" s="31" t="inlineStr">
        <is>
          <t>Surface-blended Elo model; singles only, WTA+ATP market coverage, not yet locked-holdout qualified -- promoted by explicit operator directive, not genuine walk-forward validation.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model_qualified</t>
        </is>
      </c>
      <c r="AL267" s="26" t="n">
        <v>4</v>
      </c>
      <c r="AM267" s="24" t="inlineStr">
        <is>
          <t>QUALIFIED_SHADOW_CALL</t>
        </is>
      </c>
      <c r="AN267" s="24" t="inlineStr">
        <is>
          <t>CALL</t>
        </is>
      </c>
      <c r="AO267" s="24" t="inlineStr">
        <is>
          <t>QUALIFIED</t>
        </is>
      </c>
      <c r="AP267" s="24" t="inlineStr">
        <is>
          <t>Andrea Lazaro Garcia</t>
        </is>
      </c>
      <c r="AQ267" s="24" t="inlineStr">
        <is>
          <t>Andrea Lazaro Garcia</t>
        </is>
      </c>
      <c r="AR267" s="24" t="inlineStr">
        <is>
          <t>Andrea Lazaro Garcia</t>
        </is>
      </c>
      <c r="AS267" s="24" t="inlineStr">
        <is>
          <t>Polina Iatcenko</t>
        </is>
      </c>
      <c r="AT267" s="24" t="inlineStr">
        <is>
          <t>Polina Iatcenko</t>
        </is>
      </c>
      <c r="AU267" s="24" t="inlineStr">
        <is>
          <t>Polina Iatcenko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d777da58446bc099047b154203518e2585ef1a678f613f2b430f2589f7bf5cff</t>
        </is>
      </c>
      <c r="BB267" s="24" t="inlineStr">
        <is>
          <t>surface_blended_elo</t>
        </is>
      </c>
      <c r="BC267" s="24" t="inlineStr">
        <is>
          <t>tennis-surface-elo-v1</t>
        </is>
      </c>
      <c r="BD267" s="24" t="inlineStr">
        <is>
          <t>d777da58446bc099047b154203518e2585ef1a678f613f2b430f2589f7bf5cff</t>
        </is>
      </c>
      <c r="BE267" s="24" t="inlineStr">
        <is>
          <t>tennis-surface-elo-v1</t>
        </is>
      </c>
      <c r="BF267" s="24" t="inlineStr">
        <is>
          <t>1</t>
        </is>
      </c>
      <c r="BG267" s="24" t="inlineStr">
        <is>
          <t>d777da58446bc099047b154203518e2585ef1a678f613f2b430f2589f7bf5cff</t>
        </is>
      </c>
      <c r="BH267" s="24" t="inlineStr">
        <is>
          <t>2026-08-27T13:56:38.784059Z</t>
        </is>
      </c>
      <c r="BI267" s="24" t="inlineStr">
        <is>
          <t>["same_event","same_team_same_day","same_league_same_day"]</t>
        </is>
      </c>
      <c r="BJ267" s="25" t="n"/>
      <c r="BK267" s="26" t="n">
        <v>133</v>
      </c>
      <c r="BL267" s="27" t="n">
        <v>2.33</v>
      </c>
      <c r="BM267" s="28" t="n">
        <v>0.429185</v>
      </c>
      <c r="BN267" s="28" t="n"/>
      <c r="BO267" s="28" t="n"/>
      <c r="BP267" s="25" t="n"/>
      <c r="BQ267" s="27" t="n">
        <v>2.33</v>
      </c>
      <c r="BR267" s="28" t="n">
        <v>0.43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inlineStr">
        <is>
          <t>2e7a679b4fc3eb1d2d6d99005a03cd6921cb4fd1269d041c021be7d99fd4fd9f</t>
        </is>
      </c>
      <c r="DE267" s="24" t="inlineStr">
        <is>
          <t>/Users/vincentc9002/model-prediction/data/odds/tennis/2026-08-27/polymarket_snapshots.jsonl</t>
        </is>
      </c>
      <c r="DF267" s="24" t="inlineStr">
        <is>
          <t>531333:2026-08-27T13:56:38.784059Z</t>
        </is>
      </c>
      <c r="DG267" s="24" t="n"/>
      <c r="DH267" s="24" t="n"/>
      <c r="DI267" s="24" t="n"/>
      <c r="DJ267" s="24" t="inlineStr">
        <is>
          <t>0.429185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496be2e21a9547b6</t>
        </is>
      </c>
      <c r="B268" s="24" t="inlineStr">
        <is>
          <t>2026-08-27T13:58:24.220632Z</t>
        </is>
      </c>
      <c r="C268" s="24" t="inlineStr">
        <is>
          <t>2026-08-27T15:00Z</t>
        </is>
      </c>
      <c r="D268" s="24" t="inlineStr">
        <is>
          <t>189-2026:184815</t>
        </is>
      </c>
      <c r="E268" s="24" t="inlineStr">
        <is>
          <t>TENNIS</t>
        </is>
      </c>
      <c r="F268" s="24" t="inlineStr">
        <is>
          <t>Anouk Koevermans</t>
        </is>
      </c>
      <c r="G268" s="24" t="inlineStr">
        <is>
          <t>Mariam Bolkvadze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polymarket_us</t>
        </is>
      </c>
      <c r="L268" s="26" t="n">
        <v>156</v>
      </c>
      <c r="M268" s="27" t="n">
        <v>2.56</v>
      </c>
      <c r="N268" s="28" t="n">
        <v>0.390625</v>
      </c>
      <c r="O268" s="28" t="n">
        <v>0.5525</v>
      </c>
      <c r="P268" s="28" t="n">
        <v>0.05</v>
      </c>
      <c r="Q268" s="28" t="n">
        <v>0.161875</v>
      </c>
      <c r="R268" s="26" t="n">
        <v>100</v>
      </c>
      <c r="S268" s="29" t="n">
        <v>1.75</v>
      </c>
      <c r="T268" s="24" t="inlineStr">
        <is>
          <t>tennis-surface-elo-v1</t>
        </is>
      </c>
      <c r="U268" s="24" t="inlineStr">
        <is>
          <t>settled</t>
        </is>
      </c>
      <c r="V268" s="24" t="inlineStr">
        <is>
          <t>loss</t>
        </is>
      </c>
      <c r="W268" s="26" t="n">
        <v>1</v>
      </c>
      <c r="X268" s="26" t="n">
        <v>0</v>
      </c>
      <c r="Y268" s="25" t="n"/>
      <c r="Z268" s="26" t="n">
        <v>156</v>
      </c>
      <c r="AA268" s="28" t="n">
        <v>0.39</v>
      </c>
      <c r="AB268" s="28" t="n">
        <v>-0.000625</v>
      </c>
      <c r="AC268" s="30" t="n">
        <v>-1.75</v>
      </c>
      <c r="AD268" s="24" t="inlineStr">
        <is>
          <t>2026-08-29T12:30:07.826341Z</t>
        </is>
      </c>
      <c r="AE268" s="31" t="inlineStr">
        <is>
          <t>Surface-blended Elo on Hard: Anouk Koevermans p=0.448 vs Mariam Bolkvadze. Executable ask 0.3900 (aec-wta-marbol-anokoe-2026-08-27).</t>
        </is>
      </c>
      <c r="AF268" s="31" t="inlineStr">
        <is>
          <t>Surface-blended Elo model; singles only, WTA+ATP market coverage, not yet locked-holdout qualified -- promoted by explicit operator directive, not genuine walk-forward validation.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model_qualified</t>
        </is>
      </c>
      <c r="AL268" s="26" t="n">
        <v>4</v>
      </c>
      <c r="AM268" s="24" t="inlineStr">
        <is>
          <t>QUALIFIED_SHADOW_CALL</t>
        </is>
      </c>
      <c r="AN268" s="24" t="inlineStr">
        <is>
          <t>CALL</t>
        </is>
      </c>
      <c r="AO268" s="24" t="inlineStr">
        <is>
          <t>QUALIFIED</t>
        </is>
      </c>
      <c r="AP268" s="24" t="inlineStr">
        <is>
          <t>Anouk Koevermans</t>
        </is>
      </c>
      <c r="AQ268" s="24" t="inlineStr">
        <is>
          <t>Anouk Koevermans</t>
        </is>
      </c>
      <c r="AR268" s="24" t="inlineStr">
        <is>
          <t>Anouk Koevermans</t>
        </is>
      </c>
      <c r="AS268" s="24" t="inlineStr">
        <is>
          <t>Mariam Bolkvadze</t>
        </is>
      </c>
      <c r="AT268" s="24" t="inlineStr">
        <is>
          <t>Mariam Bolkvadze</t>
        </is>
      </c>
      <c r="AU268" s="24" t="inlineStr">
        <is>
          <t>Mariam Bolkvadze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d777da58446bc099047b154203518e2585ef1a678f613f2b430f2589f7bf5cff</t>
        </is>
      </c>
      <c r="BB268" s="24" t="inlineStr">
        <is>
          <t>surface_blended_elo</t>
        </is>
      </c>
      <c r="BC268" s="24" t="inlineStr">
        <is>
          <t>tennis-surface-elo-v1</t>
        </is>
      </c>
      <c r="BD268" s="24" t="inlineStr">
        <is>
          <t>d777da58446bc099047b154203518e2585ef1a678f613f2b430f2589f7bf5cff</t>
        </is>
      </c>
      <c r="BE268" s="24" t="inlineStr">
        <is>
          <t>tennis-surface-elo-v1</t>
        </is>
      </c>
      <c r="BF268" s="24" t="inlineStr">
        <is>
          <t>1</t>
        </is>
      </c>
      <c r="BG268" s="24" t="inlineStr">
        <is>
          <t>d777da58446bc099047b154203518e2585ef1a678f613f2b430f2589f7bf5cff</t>
        </is>
      </c>
      <c r="BH268" s="24" t="inlineStr">
        <is>
          <t>2026-08-27T13:56:39.172092Z</t>
        </is>
      </c>
      <c r="BI268" s="24" t="inlineStr">
        <is>
          <t>["same_event","same_team_same_day","same_league_same_day"]</t>
        </is>
      </c>
      <c r="BJ268" s="25" t="n"/>
      <c r="BK268" s="26" t="n">
        <v>156</v>
      </c>
      <c r="BL268" s="27" t="n">
        <v>2.56</v>
      </c>
      <c r="BM268" s="28" t="n">
        <v>0.390625</v>
      </c>
      <c r="BN268" s="28" t="n"/>
      <c r="BO268" s="28" t="n"/>
      <c r="BP268" s="25" t="n"/>
      <c r="BQ268" s="27" t="n">
        <v>2.56</v>
      </c>
      <c r="BR268" s="28" t="n">
        <v>0.39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inlineStr">
        <is>
          <t>59b9faa065363df4bfcf8e44611279cd0b742975694ad1c181ac953da9aa82a1</t>
        </is>
      </c>
      <c r="DE268" s="24" t="inlineStr">
        <is>
          <t>/Users/vincentc9002/model-prediction/data/odds/tennis/2026-08-27/polymarket_snapshots.jsonl</t>
        </is>
      </c>
      <c r="DF268" s="24" t="inlineStr">
        <is>
          <t>530625:2026-08-27T13:56:39.172092Z</t>
        </is>
      </c>
      <c r="DG268" s="24" t="n"/>
      <c r="DH268" s="24" t="n"/>
      <c r="DI268" s="24" t="n"/>
      <c r="DJ268" s="24" t="inlineStr">
        <is>
          <t>0.390625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51e5117d408b4b7e</t>
        </is>
      </c>
      <c r="B269" s="24" t="inlineStr">
        <is>
          <t>2026-08-27T13:58:24.220632Z</t>
        </is>
      </c>
      <c r="C269" s="24" t="inlineStr">
        <is>
          <t>2026-08-27T15:00Z</t>
        </is>
      </c>
      <c r="D269" s="24" t="inlineStr">
        <is>
          <t>189-2026:184817</t>
        </is>
      </c>
      <c r="E269" s="24" t="inlineStr">
        <is>
          <t>TENNIS</t>
        </is>
      </c>
      <c r="F269" s="24" t="inlineStr">
        <is>
          <t>Elena Pridankina</t>
        </is>
      </c>
      <c r="G269" s="24" t="inlineStr">
        <is>
          <t>Zheng Qinwen</t>
        </is>
      </c>
      <c r="H269" s="24" t="inlineStr">
        <is>
          <t>moneyline</t>
        </is>
      </c>
      <c r="I269" s="24" t="inlineStr">
        <is>
          <t>home</t>
        </is>
      </c>
      <c r="J269" s="25" t="n"/>
      <c r="K269" s="24" t="inlineStr">
        <is>
          <t>polymarket_us</t>
        </is>
      </c>
      <c r="L269" s="26" t="n">
        <v>-525</v>
      </c>
      <c r="M269" s="27" t="n">
        <v>1.190476</v>
      </c>
      <c r="N269" s="28" t="n">
        <v>0.84</v>
      </c>
      <c r="O269" s="28" t="n">
        <v>0.6627</v>
      </c>
      <c r="P269" s="28" t="n">
        <v>0.05</v>
      </c>
      <c r="Q269" s="28" t="n">
        <v>-0.1773</v>
      </c>
      <c r="R269" s="26" t="n">
        <v>0</v>
      </c>
      <c r="S269" s="29" t="n">
        <v>1</v>
      </c>
      <c r="T269" s="24" t="inlineStr">
        <is>
          <t>tennis-surface-elo-v1</t>
        </is>
      </c>
      <c r="U269" s="24" t="inlineStr">
        <is>
          <t>settled</t>
        </is>
      </c>
      <c r="V269" s="24" t="inlineStr">
        <is>
          <t>win</t>
        </is>
      </c>
      <c r="W269" s="26" t="n">
        <v>0</v>
      </c>
      <c r="X269" s="26" t="n">
        <v>1</v>
      </c>
      <c r="Y269" s="25" t="n"/>
      <c r="Z269" s="26" t="n"/>
      <c r="AA269" s="28" t="n"/>
      <c r="AB269" s="28" t="n"/>
      <c r="AC269" s="30" t="n">
        <v>0.1905</v>
      </c>
      <c r="AD269" s="24" t="inlineStr">
        <is>
          <t>2026-08-29T12:30:09.407668Z</t>
        </is>
      </c>
      <c r="AE269" s="31" t="inlineStr">
        <is>
          <t>Surface-blended Elo on Hard: Elena Pridankina p=0.337 vs Zheng Qinwen. Executable ask 0.8400 (aec-wta-qinzhe-elepri-2026-08-27).</t>
        </is>
      </c>
      <c r="AF269" s="31" t="inlineStr">
        <is>
          <t>Surface-blended Elo model; singles only, WTA+ATP market coverage, not yet locked-holdout qualified -- promoted by explicit operator directive, not genuine walk-forward validation.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paper_call</t>
        </is>
      </c>
      <c r="AL269" s="26" t="n">
        <v>4</v>
      </c>
      <c r="AM269" s="24" t="inlineStr">
        <is>
          <t>RESEARCH_OBSERVATION</t>
        </is>
      </c>
      <c r="AN269" s="24" t="inlineStr">
        <is>
          <t>CALL</t>
        </is>
      </c>
      <c r="AO269" s="24" t="inlineStr">
        <is>
          <t>PAPER_CALL_LOW_EDGE</t>
        </is>
      </c>
      <c r="AP269" s="24" t="inlineStr">
        <is>
          <t>Elena Pridankina</t>
        </is>
      </c>
      <c r="AQ269" s="24" t="inlineStr">
        <is>
          <t>Elena Pridankina</t>
        </is>
      </c>
      <c r="AR269" s="24" t="inlineStr">
        <is>
          <t>Elena Pridankina</t>
        </is>
      </c>
      <c r="AS269" s="24" t="inlineStr">
        <is>
          <t>Zheng Qinwen</t>
        </is>
      </c>
      <c r="AT269" s="24" t="inlineStr">
        <is>
          <t>Zheng Qinwen</t>
        </is>
      </c>
      <c r="AU269" s="24" t="inlineStr">
        <is>
          <t>Zheng Qinwen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d777da58446bc099047b154203518e2585ef1a678f613f2b430f2589f7bf5cff</t>
        </is>
      </c>
      <c r="BB269" s="24" t="inlineStr">
        <is>
          <t>surface_blended_elo</t>
        </is>
      </c>
      <c r="BC269" s="24" t="inlineStr">
        <is>
          <t>tennis-surface-elo-v1</t>
        </is>
      </c>
      <c r="BD269" s="24" t="inlineStr">
        <is>
          <t>d777da58446bc099047b154203518e2585ef1a678f613f2b430f2589f7bf5cff</t>
        </is>
      </c>
      <c r="BE269" s="24" t="inlineStr">
        <is>
          <t>tennis-surface-elo-v1</t>
        </is>
      </c>
      <c r="BF269" s="24" t="inlineStr">
        <is>
          <t>1</t>
        </is>
      </c>
      <c r="BG269" s="24" t="inlineStr">
        <is>
          <t>d777da58446bc099047b154203518e2585ef1a678f613f2b430f2589f7bf5cff</t>
        </is>
      </c>
      <c r="BH269" s="24" t="inlineStr">
        <is>
          <t>2026-08-27T13:56:38.933894Z</t>
        </is>
      </c>
      <c r="BI269" s="24" t="inlineStr">
        <is>
          <t>["same_event","same_team_same_day","same_league_same_day"]</t>
        </is>
      </c>
      <c r="BJ269" s="25" t="n"/>
      <c r="BK269" s="26" t="n">
        <v>-525</v>
      </c>
      <c r="BL269" s="27" t="n">
        <v>1.190476</v>
      </c>
      <c r="BM269" s="28" t="n">
        <v>0.84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>
        <v>1</v>
      </c>
      <c r="BY269" s="27" t="n">
        <v>0.190476</v>
      </c>
      <c r="BZ269" s="24" t="inlineStr">
        <is>
          <t>2026-08-29T12:30:09.407668Z</t>
        </is>
      </c>
      <c r="CA269" s="31" t="inlineStr">
        <is>
          <t>fixed one-unit hypothetical scoring; no real exposure or execution</t>
        </is>
      </c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inlineStr">
        <is>
          <t>cd2894d4313c675d2ace5ef78b437f379c7432a2550f21ea3ef0c1cef73f0a65</t>
        </is>
      </c>
      <c r="DE269" s="24" t="inlineStr">
        <is>
          <t>/Users/vincentc9002/model-prediction/data/odds/tennis/2026-08-27/polymarket_snapshots.jsonl</t>
        </is>
      </c>
      <c r="DF269" s="24" t="inlineStr">
        <is>
          <t>530622:2026-08-27T13:56:38.933894Z</t>
        </is>
      </c>
      <c r="DG269" s="24" t="n"/>
      <c r="DH269" s="24" t="n"/>
      <c r="DI269" s="24" t="n"/>
      <c r="DJ269" s="24" t="inlineStr">
        <is>
          <t>0.84</t>
        </is>
      </c>
      <c r="DK269" s="24" t="n"/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4b0e8ff75c5c4a27</t>
        </is>
      </c>
      <c r="B270" s="24" t="inlineStr">
        <is>
          <t>2026-08-27T13:58:24.220632Z</t>
        </is>
      </c>
      <c r="C270" s="24" t="inlineStr">
        <is>
          <t>2026-08-27T15:00Z</t>
        </is>
      </c>
      <c r="D270" s="24" t="inlineStr">
        <is>
          <t>189-2026:184819</t>
        </is>
      </c>
      <c r="E270" s="24" t="inlineStr">
        <is>
          <t>TENNIS</t>
        </is>
      </c>
      <c r="F270" s="24" t="inlineStr">
        <is>
          <t>Lucrezia Stefanini</t>
        </is>
      </c>
      <c r="G270" s="24" t="inlineStr">
        <is>
          <t>Julieta Pareja</t>
        </is>
      </c>
      <c r="H270" s="24" t="inlineStr">
        <is>
          <t>moneyline</t>
        </is>
      </c>
      <c r="I270" s="24" t="inlineStr">
        <is>
          <t>home</t>
        </is>
      </c>
      <c r="J270" s="25" t="n"/>
      <c r="K270" s="24" t="inlineStr">
        <is>
          <t>polymarket_us</t>
        </is>
      </c>
      <c r="L270" s="26" t="n">
        <v>-127</v>
      </c>
      <c r="M270" s="27" t="n">
        <v>1.787402</v>
      </c>
      <c r="N270" s="28" t="n">
        <v>0.5594710000000001</v>
      </c>
      <c r="O270" s="28" t="n">
        <v>0.5114</v>
      </c>
      <c r="P270" s="28" t="n">
        <v>0.05</v>
      </c>
      <c r="Q270" s="28" t="n">
        <v>-0.048071</v>
      </c>
      <c r="R270" s="26" t="n">
        <v>0</v>
      </c>
      <c r="S270" s="29" t="n">
        <v>1</v>
      </c>
      <c r="T270" s="24" t="inlineStr">
        <is>
          <t>tennis-surface-elo-v1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</v>
      </c>
      <c r="X270" s="26" t="n">
        <v>0</v>
      </c>
      <c r="Y270" s="25" t="n"/>
      <c r="Z270" s="26" t="n">
        <v>-127</v>
      </c>
      <c r="AA270" s="28" t="n">
        <v>0.5600000000000001</v>
      </c>
      <c r="AB270" s="28" t="n">
        <v>0.000529</v>
      </c>
      <c r="AC270" s="30" t="n">
        <v>-1</v>
      </c>
      <c r="AD270" s="24" t="inlineStr">
        <is>
          <t>2026-08-27T21:47:11.084901Z</t>
        </is>
      </c>
      <c r="AE270" s="31" t="inlineStr">
        <is>
          <t>Surface-blended Elo on Hard: Lucrezia Stefanini p=0.489 vs Julieta Pareja. Executable ask 0.5600 (aec-wta-julpar-lucste-2026-08-27).</t>
        </is>
      </c>
      <c r="AF270" s="31" t="inlineStr">
        <is>
          <t>Surface-blended Elo model; singles only, WTA+ATP market coverage, not yet locked-holdout qualified -- promoted by explicit operator directive, not genuine walk-forward validation.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Lucrezia Stefanini</t>
        </is>
      </c>
      <c r="AQ270" s="24" t="inlineStr">
        <is>
          <t>Lucrezia Stefanini</t>
        </is>
      </c>
      <c r="AR270" s="24" t="inlineStr">
        <is>
          <t>Lucrezia Stefanini</t>
        </is>
      </c>
      <c r="AS270" s="24" t="inlineStr">
        <is>
          <t>Julieta Pareja</t>
        </is>
      </c>
      <c r="AT270" s="24" t="inlineStr">
        <is>
          <t>Julieta Pareja</t>
        </is>
      </c>
      <c r="AU270" s="24" t="inlineStr">
        <is>
          <t>Julieta Pareja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d777da58446bc099047b154203518e2585ef1a678f613f2b430f2589f7bf5cff</t>
        </is>
      </c>
      <c r="BB270" s="24" t="inlineStr">
        <is>
          <t>surface_blended_elo</t>
        </is>
      </c>
      <c r="BC270" s="24" t="inlineStr">
        <is>
          <t>tennis-surface-elo-v1</t>
        </is>
      </c>
      <c r="BD270" s="24" t="inlineStr">
        <is>
          <t>d777da58446bc099047b154203518e2585ef1a678f613f2b430f2589f7bf5cff</t>
        </is>
      </c>
      <c r="BE270" s="24" t="inlineStr">
        <is>
          <t>tennis-surface-elo-v1</t>
        </is>
      </c>
      <c r="BF270" s="24" t="inlineStr">
        <is>
          <t>1</t>
        </is>
      </c>
      <c r="BG270" s="24" t="inlineStr">
        <is>
          <t>d777da58446bc099047b154203518e2585ef1a678f613f2b430f2589f7bf5cff</t>
        </is>
      </c>
      <c r="BH270" s="24" t="inlineStr">
        <is>
          <t>2026-08-27T13:56:38.577646Z</t>
        </is>
      </c>
      <c r="BI270" s="24" t="inlineStr">
        <is>
          <t>["same_event","same_team_same_day","same_league_same_day"]</t>
        </is>
      </c>
      <c r="BJ270" s="25" t="n"/>
      <c r="BK270" s="26" t="n">
        <v>-127</v>
      </c>
      <c r="BL270" s="27" t="n">
        <v>1.787402</v>
      </c>
      <c r="BM270" s="28" t="n">
        <v>0.5594710000000001</v>
      </c>
      <c r="BN270" s="28" t="n"/>
      <c r="BO270" s="28" t="n"/>
      <c r="BP270" s="25" t="n"/>
      <c r="BQ270" s="27" t="n">
        <v>1.787402</v>
      </c>
      <c r="BR270" s="28" t="n">
        <v>0.5600000000000001</v>
      </c>
      <c r="BS270" s="28" t="n"/>
      <c r="BT270" s="28" t="n"/>
      <c r="BU270" s="25" t="n"/>
      <c r="BV270" s="29" t="n"/>
      <c r="BW270" s="24" t="n"/>
      <c r="BX270" s="30" t="n">
        <v>1</v>
      </c>
      <c r="BY270" s="27" t="n">
        <v>-1</v>
      </c>
      <c r="BZ270" s="24" t="inlineStr">
        <is>
          <t>2026-08-27T21:47:11.084901Z</t>
        </is>
      </c>
      <c r="CA270" s="31" t="inlineStr">
        <is>
          <t>fixed one-unit hypothetical scoring; no real exposure or execution</t>
        </is>
      </c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inlineStr">
        <is>
          <t>966ae402e87cd710b7e64259ea730c1350bbceb91d0d2de8a2ff695db39133b2</t>
        </is>
      </c>
      <c r="DE270" s="24" t="inlineStr">
        <is>
          <t>/Users/vincentc9002/model-prediction/data/odds/tennis/2026-08-27/polymarket_snapshots.jsonl</t>
        </is>
      </c>
      <c r="DF270" s="24" t="inlineStr">
        <is>
          <t>531546:2026-08-27T13:56:38.577646Z</t>
        </is>
      </c>
      <c r="DG270" s="24" t="n"/>
      <c r="DH270" s="24" t="n"/>
      <c r="DI270" s="24" t="n"/>
      <c r="DJ270" s="24" t="inlineStr">
        <is>
          <t>0.559471</t>
        </is>
      </c>
      <c r="DK270" s="24" t="n"/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c11da2e6ff6c430a</t>
        </is>
      </c>
      <c r="B271" s="24" t="inlineStr">
        <is>
          <t>2026-08-27T13:58:24.220632Z</t>
        </is>
      </c>
      <c r="C271" s="24" t="inlineStr">
        <is>
          <t>2026-08-27T15:00Z</t>
        </is>
      </c>
      <c r="D271" s="24" t="inlineStr">
        <is>
          <t>189-2026:184821</t>
        </is>
      </c>
      <c r="E271" s="24" t="inlineStr">
        <is>
          <t>TENNIS</t>
        </is>
      </c>
      <c r="F271" s="24" t="inlineStr">
        <is>
          <t>Ekaterine Gorgodze</t>
        </is>
      </c>
      <c r="G271" s="24" t="inlineStr">
        <is>
          <t>Gabriela Knutson</t>
        </is>
      </c>
      <c r="H271" s="24" t="inlineStr">
        <is>
          <t>moneyline</t>
        </is>
      </c>
      <c r="I271" s="24" t="inlineStr">
        <is>
          <t>home</t>
        </is>
      </c>
      <c r="J271" s="25" t="n"/>
      <c r="K271" s="24" t="inlineStr">
        <is>
          <t>polymarket_us</t>
        </is>
      </c>
      <c r="L271" s="26" t="n">
        <v>-270</v>
      </c>
      <c r="M271" s="27" t="n">
        <v>1.37037</v>
      </c>
      <c r="N271" s="28" t="n">
        <v>0.72973</v>
      </c>
      <c r="O271" s="28" t="n">
        <v>0.5725</v>
      </c>
      <c r="P271" s="28" t="n">
        <v>0.05</v>
      </c>
      <c r="Q271" s="28" t="n">
        <v>-0.15723</v>
      </c>
      <c r="R271" s="26" t="n">
        <v>0</v>
      </c>
      <c r="S271" s="29" t="n">
        <v>1</v>
      </c>
      <c r="T271" s="24" t="inlineStr">
        <is>
          <t>tennis-surface-elo-v1</t>
        </is>
      </c>
      <c r="U271" s="24" t="inlineStr">
        <is>
          <t>settled</t>
        </is>
      </c>
      <c r="V271" s="24" t="inlineStr">
        <is>
          <t>win</t>
        </is>
      </c>
      <c r="W271" s="26" t="n">
        <v>0</v>
      </c>
      <c r="X271" s="26" t="n">
        <v>1</v>
      </c>
      <c r="Y271" s="25" t="n"/>
      <c r="Z271" s="26" t="n">
        <v>-270</v>
      </c>
      <c r="AA271" s="28" t="n">
        <v>0.73</v>
      </c>
      <c r="AB271" s="28" t="n">
        <v>0.00027</v>
      </c>
      <c r="AC271" s="30" t="n">
        <v>0.3704</v>
      </c>
      <c r="AD271" s="24" t="inlineStr">
        <is>
          <t>2026-08-27T21:47:14.415558Z</t>
        </is>
      </c>
      <c r="AE271" s="31" t="inlineStr">
        <is>
          <t>Surface-blended Elo on Hard: Ekaterine Gorgodze p=0.428 vs Gabriela Knutson. Executable ask 0.7300 (aec-wta-gabknu-ekagor-2026-08-27).</t>
        </is>
      </c>
      <c r="AF271" s="31" t="inlineStr">
        <is>
          <t>Surface-blended Elo model; singles only, WTA+ATP market coverage, not yet locked-holdout qualified -- promoted by explicit operator directive, not genuine walk-forward validation.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Ekaterine Gorgodze</t>
        </is>
      </c>
      <c r="AQ271" s="24" t="inlineStr">
        <is>
          <t>Ekaterine Gorgodze</t>
        </is>
      </c>
      <c r="AR271" s="24" t="inlineStr">
        <is>
          <t>Ekaterine Gorgodze</t>
        </is>
      </c>
      <c r="AS271" s="24" t="inlineStr">
        <is>
          <t>Gabriela Knutson</t>
        </is>
      </c>
      <c r="AT271" s="24" t="inlineStr">
        <is>
          <t>Gabriela Knutson</t>
        </is>
      </c>
      <c r="AU271" s="24" t="inlineStr">
        <is>
          <t>Gabriela Knutson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d777da58446bc099047b154203518e2585ef1a678f613f2b430f2589f7bf5cff</t>
        </is>
      </c>
      <c r="BB271" s="24" t="inlineStr">
        <is>
          <t>surface_blended_elo</t>
        </is>
      </c>
      <c r="BC271" s="24" t="inlineStr">
        <is>
          <t>tennis-surface-elo-v1</t>
        </is>
      </c>
      <c r="BD271" s="24" t="inlineStr">
        <is>
          <t>d777da58446bc099047b154203518e2585ef1a678f613f2b430f2589f7bf5cff</t>
        </is>
      </c>
      <c r="BE271" s="24" t="inlineStr">
        <is>
          <t>tennis-surface-elo-v1</t>
        </is>
      </c>
      <c r="BF271" s="24" t="inlineStr">
        <is>
          <t>1</t>
        </is>
      </c>
      <c r="BG271" s="24" t="inlineStr">
        <is>
          <t>d777da58446bc099047b154203518e2585ef1a678f613f2b430f2589f7bf5cff</t>
        </is>
      </c>
      <c r="BH271" s="24" t="inlineStr">
        <is>
          <t>2026-08-27T13:56:38.680087Z</t>
        </is>
      </c>
      <c r="BI271" s="24" t="inlineStr">
        <is>
          <t>["same_event","same_team_same_day","same_league_same_day"]</t>
        </is>
      </c>
      <c r="BJ271" s="25" t="n"/>
      <c r="BK271" s="26" t="n">
        <v>-270</v>
      </c>
      <c r="BL271" s="27" t="n">
        <v>1.37037</v>
      </c>
      <c r="BM271" s="28" t="n">
        <v>0.72973</v>
      </c>
      <c r="BN271" s="28" t="n"/>
      <c r="BO271" s="28" t="n"/>
      <c r="BP271" s="25" t="n"/>
      <c r="BQ271" s="27" t="n">
        <v>1.37037</v>
      </c>
      <c r="BR271" s="28" t="n">
        <v>0.73</v>
      </c>
      <c r="BS271" s="28" t="n"/>
      <c r="BT271" s="28" t="n"/>
      <c r="BU271" s="25" t="n"/>
      <c r="BV271" s="29" t="n"/>
      <c r="BW271" s="24" t="n"/>
      <c r="BX271" s="30" t="n">
        <v>1</v>
      </c>
      <c r="BY271" s="27" t="n">
        <v>0.37037</v>
      </c>
      <c r="BZ271" s="24" t="inlineStr">
        <is>
          <t>2026-08-27T21:47:14.415558Z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inlineStr">
        <is>
          <t>29271ad4d20f83340e5a50f2f7c784fb8ef3362a7c40262317255bb9c07c0055</t>
        </is>
      </c>
      <c r="DE271" s="24" t="inlineStr">
        <is>
          <t>/Users/vincentc9002/model-prediction/data/odds/tennis/2026-08-27/polymarket_snapshots.jsonl</t>
        </is>
      </c>
      <c r="DF271" s="24" t="inlineStr">
        <is>
          <t>532073:2026-08-27T13:56:38.680087Z</t>
        </is>
      </c>
      <c r="DG271" s="24" t="n"/>
      <c r="DH271" s="24" t="n"/>
      <c r="DI271" s="24" t="n"/>
      <c r="DJ271" s="24" t="inlineStr">
        <is>
          <t>0.72973</t>
        </is>
      </c>
      <c r="DK271" s="24" t="n"/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36d98087f4b54bcf</t>
        </is>
      </c>
      <c r="B272" s="24" t="inlineStr">
        <is>
          <t>2026-08-27T13:58:24.220632Z</t>
        </is>
      </c>
      <c r="C272" s="24" t="inlineStr">
        <is>
          <t>2026-08-27T16:30Z</t>
        </is>
      </c>
      <c r="D272" s="24" t="inlineStr">
        <is>
          <t>189-2026:184808</t>
        </is>
      </c>
      <c r="E272" s="24" t="inlineStr">
        <is>
          <t>TENNIS</t>
        </is>
      </c>
      <c r="F272" s="24" t="inlineStr">
        <is>
          <t>Arantxa Rus</t>
        </is>
      </c>
      <c r="G272" s="24" t="inlineStr">
        <is>
          <t>Susan Bandecchi</t>
        </is>
      </c>
      <c r="H272" s="24" t="inlineStr">
        <is>
          <t>moneyline</t>
        </is>
      </c>
      <c r="I272" s="24" t="inlineStr">
        <is>
          <t>home</t>
        </is>
      </c>
      <c r="J272" s="25" t="n"/>
      <c r="K272" s="24" t="inlineStr">
        <is>
          <t>polymarket_us</t>
        </is>
      </c>
      <c r="L272" s="26" t="n">
        <v>-203</v>
      </c>
      <c r="M272" s="27" t="n">
        <v>1.492611</v>
      </c>
      <c r="N272" s="28" t="n">
        <v>0.669967</v>
      </c>
      <c r="O272" s="28" t="n">
        <v>0.5063</v>
      </c>
      <c r="P272" s="28" t="n">
        <v>0.05</v>
      </c>
      <c r="Q272" s="28" t="n">
        <v>-0.163667</v>
      </c>
      <c r="R272" s="26" t="n">
        <v>0</v>
      </c>
      <c r="S272" s="29" t="n">
        <v>1</v>
      </c>
      <c r="T272" s="24" t="inlineStr">
        <is>
          <t>tennis-surface-elo-v1</t>
        </is>
      </c>
      <c r="U272" s="24" t="inlineStr">
        <is>
          <t>settled</t>
        </is>
      </c>
      <c r="V272" s="24" t="inlineStr">
        <is>
          <t>loss</t>
        </is>
      </c>
      <c r="W272" s="26" t="n">
        <v>1</v>
      </c>
      <c r="X272" s="26" t="n">
        <v>0</v>
      </c>
      <c r="Y272" s="25" t="n"/>
      <c r="Z272" s="26" t="n">
        <v>-203</v>
      </c>
      <c r="AA272" s="28" t="n">
        <v>0.67</v>
      </c>
      <c r="AB272" s="28" t="n">
        <v>3.3e-05</v>
      </c>
      <c r="AC272" s="30" t="n">
        <v>-1</v>
      </c>
      <c r="AD272" s="24" t="inlineStr">
        <is>
          <t>2026-08-29T12:30:10.955627Z</t>
        </is>
      </c>
      <c r="AE272" s="31" t="inlineStr">
        <is>
          <t>Surface-blended Elo on Hard: Arantxa Rus p=0.494 vs Susan Bandecchi. Executable ask 0.6700 (aec-wta-susban-ararus-2026-08-27).</t>
        </is>
      </c>
      <c r="AF272" s="31" t="inlineStr">
        <is>
          <t>Surface-blended Elo model; singles only, WTA+ATP market coverage, not yet locked-holdout qualified -- promoted by explicit operator directive, not genuine walk-forward validation.</t>
        </is>
      </c>
      <c r="AG272" s="24" t="inlineStr">
        <is>
          <t>review_required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Arantxa Rus</t>
        </is>
      </c>
      <c r="AQ272" s="24" t="inlineStr">
        <is>
          <t>Arantxa Rus</t>
        </is>
      </c>
      <c r="AR272" s="24" t="inlineStr">
        <is>
          <t>Arantxa Rus</t>
        </is>
      </c>
      <c r="AS272" s="24" t="inlineStr">
        <is>
          <t>Susan Bandecchi</t>
        </is>
      </c>
      <c r="AT272" s="24" t="inlineStr">
        <is>
          <t>Susan Bandecchi</t>
        </is>
      </c>
      <c r="AU272" s="24" t="inlineStr">
        <is>
          <t>Susan Bandecchi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d777da58446bc099047b154203518e2585ef1a678f613f2b430f2589f7bf5cff</t>
        </is>
      </c>
      <c r="BB272" s="24" t="inlineStr">
        <is>
          <t>surface_blended_elo</t>
        </is>
      </c>
      <c r="BC272" s="24" t="inlineStr">
        <is>
          <t>tennis-surface-elo-v1</t>
        </is>
      </c>
      <c r="BD272" s="24" t="inlineStr">
        <is>
          <t>d777da58446bc099047b154203518e2585ef1a678f613f2b430f2589f7bf5cff</t>
        </is>
      </c>
      <c r="BE272" s="24" t="inlineStr">
        <is>
          <t>tennis-surface-elo-v1</t>
        </is>
      </c>
      <c r="BF272" s="24" t="inlineStr">
        <is>
          <t>1</t>
        </is>
      </c>
      <c r="BG272" s="24" t="inlineStr">
        <is>
          <t>d777da58446bc099047b154203518e2585ef1a678f613f2b430f2589f7bf5cff</t>
        </is>
      </c>
      <c r="BH272" s="24" t="inlineStr">
        <is>
          <t>2026-08-27T13:56:39.630482Z</t>
        </is>
      </c>
      <c r="BI272" s="24" t="inlineStr">
        <is>
          <t>["same_event","same_team_same_day","same_league_same_day"]</t>
        </is>
      </c>
      <c r="BJ272" s="25" t="n"/>
      <c r="BK272" s="26" t="n">
        <v>-203</v>
      </c>
      <c r="BL272" s="27" t="n">
        <v>1.492611</v>
      </c>
      <c r="BM272" s="28" t="n">
        <v>0.669967</v>
      </c>
      <c r="BN272" s="28" t="n"/>
      <c r="BO272" s="28" t="n"/>
      <c r="BP272" s="25" t="n"/>
      <c r="BQ272" s="27" t="n">
        <v>1.492611</v>
      </c>
      <c r="BR272" s="28" t="n">
        <v>0.67</v>
      </c>
      <c r="BS272" s="28" t="n"/>
      <c r="BT272" s="28" t="n"/>
      <c r="BU272" s="25" t="n"/>
      <c r="BV272" s="29" t="n"/>
      <c r="BW272" s="24" t="n"/>
      <c r="BX272" s="30" t="n">
        <v>1</v>
      </c>
      <c r="BY272" s="27" t="n">
        <v>-1</v>
      </c>
      <c r="BZ272" s="24" t="inlineStr">
        <is>
          <t>2026-08-29T12:30:10.955627Z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inlineStr">
        <is>
          <t>ab62cb43d4e57b149c8afa54d4b4208c13024877d8b89c26e509c9d1eef9ac9c</t>
        </is>
      </c>
      <c r="DE272" s="24" t="inlineStr">
        <is>
          <t>/Users/vincentc9002/model-prediction/data/odds/tennis/2026-08-27/polymarket_snapshots.jsonl</t>
        </is>
      </c>
      <c r="DF272" s="24" t="inlineStr">
        <is>
          <t>533475:2026-08-27T13:56:39.630482Z</t>
        </is>
      </c>
      <c r="DG272" s="24" t="n"/>
      <c r="DH272" s="24" t="n"/>
      <c r="DI272" s="24" t="n"/>
      <c r="DJ272" s="24" t="inlineStr">
        <is>
          <t>0.669967</t>
        </is>
      </c>
      <c r="DK272" s="24" t="n"/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186784083e3f416b</t>
        </is>
      </c>
      <c r="B273" s="24" t="inlineStr">
        <is>
          <t>2026-08-27T13:58:24.220632Z</t>
        </is>
      </c>
      <c r="C273" s="24" t="inlineStr">
        <is>
          <t>2026-08-27T16:30Z</t>
        </is>
      </c>
      <c r="D273" s="24" t="inlineStr">
        <is>
          <t>189-2026:184810</t>
        </is>
      </c>
      <c r="E273" s="24" t="inlineStr">
        <is>
          <t>TENNIS</t>
        </is>
      </c>
      <c r="F273" s="24" t="inlineStr">
        <is>
          <t>Nao Hibino</t>
        </is>
      </c>
      <c r="G273" s="24" t="inlineStr">
        <is>
          <t>Lucie Havlickova</t>
        </is>
      </c>
      <c r="H273" s="24" t="inlineStr">
        <is>
          <t>moneyline</t>
        </is>
      </c>
      <c r="I273" s="24" t="inlineStr">
        <is>
          <t>home</t>
        </is>
      </c>
      <c r="J273" s="25" t="n"/>
      <c r="K273" s="24" t="inlineStr">
        <is>
          <t>polymarket_us</t>
        </is>
      </c>
      <c r="L273" s="26" t="n">
        <v>113</v>
      </c>
      <c r="M273" s="27" t="n">
        <v>2.13</v>
      </c>
      <c r="N273" s="28" t="n">
        <v>0.469484</v>
      </c>
      <c r="O273" s="28" t="n">
        <v>0.5823</v>
      </c>
      <c r="P273" s="28" t="n">
        <v>0.05</v>
      </c>
      <c r="Q273" s="28" t="n">
        <v>0.112816</v>
      </c>
      <c r="R273" s="26" t="n">
        <v>76</v>
      </c>
      <c r="S273" s="29" t="n">
        <v>1.5</v>
      </c>
      <c r="T273" s="24" t="inlineStr">
        <is>
          <t>tennis-surface-elo-v1</t>
        </is>
      </c>
      <c r="U273" s="24" t="inlineStr">
        <is>
          <t>settled</t>
        </is>
      </c>
      <c r="V273" s="24" t="inlineStr">
        <is>
          <t>win</t>
        </is>
      </c>
      <c r="W273" s="26" t="n">
        <v>0</v>
      </c>
      <c r="X273" s="26" t="n">
        <v>1</v>
      </c>
      <c r="Y273" s="25" t="n"/>
      <c r="Z273" s="26" t="n">
        <v>113</v>
      </c>
      <c r="AA273" s="28" t="n">
        <v>0.47</v>
      </c>
      <c r="AB273" s="28" t="n">
        <v>0.000516</v>
      </c>
      <c r="AC273" s="30" t="n">
        <v>1.695</v>
      </c>
      <c r="AD273" s="24" t="inlineStr">
        <is>
          <t>2026-08-29T12:30:12.517413Z</t>
        </is>
      </c>
      <c r="AE273" s="31" t="inlineStr">
        <is>
          <t>Surface-blended Elo on Hard: Nao Hibino p=0.418 vs Lucie Havlickova. Executable ask 0.4700 (aec-wta-luchav-naohib-2026-08-27).</t>
        </is>
      </c>
      <c r="AF273" s="31" t="inlineStr">
        <is>
          <t>Surface-blended Elo model; singles only, WTA+ATP market coverage, not yet locked-holdout qualified -- promoted by explicit operator directive, not genuine walk-forward validation.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Nao Hibino</t>
        </is>
      </c>
      <c r="AQ273" s="24" t="inlineStr">
        <is>
          <t>Nao Hibino</t>
        </is>
      </c>
      <c r="AR273" s="24" t="inlineStr">
        <is>
          <t>Nao Hibino</t>
        </is>
      </c>
      <c r="AS273" s="24" t="inlineStr">
        <is>
          <t>Lucie Havlickova</t>
        </is>
      </c>
      <c r="AT273" s="24" t="inlineStr">
        <is>
          <t>Lucie Havlickova</t>
        </is>
      </c>
      <c r="AU273" s="24" t="inlineStr">
        <is>
          <t>Lucie Havlickova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d777da58446bc099047b154203518e2585ef1a678f613f2b430f2589f7bf5cff</t>
        </is>
      </c>
      <c r="BB273" s="24" t="inlineStr">
        <is>
          <t>surface_blended_elo</t>
        </is>
      </c>
      <c r="BC273" s="24" t="inlineStr">
        <is>
          <t>tennis-surface-elo-v1</t>
        </is>
      </c>
      <c r="BD273" s="24" t="inlineStr">
        <is>
          <t>d777da58446bc099047b154203518e2585ef1a678f613f2b430f2589f7bf5cff</t>
        </is>
      </c>
      <c r="BE273" s="24" t="inlineStr">
        <is>
          <t>tennis-surface-elo-v1</t>
        </is>
      </c>
      <c r="BF273" s="24" t="inlineStr">
        <is>
          <t>1</t>
        </is>
      </c>
      <c r="BG273" s="24" t="inlineStr">
        <is>
          <t>d777da58446bc099047b154203518e2585ef1a678f613f2b430f2589f7bf5cff</t>
        </is>
      </c>
      <c r="BH273" s="24" t="inlineStr">
        <is>
          <t>2026-08-27T13:56:39.406853Z</t>
        </is>
      </c>
      <c r="BI273" s="24" t="inlineStr">
        <is>
          <t>["same_event","same_team_same_day","same_league_same_day"]</t>
        </is>
      </c>
      <c r="BJ273" s="25" t="n"/>
      <c r="BK273" s="26" t="n">
        <v>113</v>
      </c>
      <c r="BL273" s="27" t="n">
        <v>2.13</v>
      </c>
      <c r="BM273" s="28" t="n">
        <v>0.469484</v>
      </c>
      <c r="BN273" s="28" t="n"/>
      <c r="BO273" s="28" t="n"/>
      <c r="BP273" s="25" t="n"/>
      <c r="BQ273" s="27" t="n">
        <v>2.13</v>
      </c>
      <c r="BR273" s="28" t="n">
        <v>0.47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inlineStr">
        <is>
          <t>f9702d8c23e15d7fbe0da0f468a219eaca158b3dce1312af42497efdf29c16ca</t>
        </is>
      </c>
      <c r="DE273" s="24" t="inlineStr">
        <is>
          <t>/Users/vincentc9002/model-prediction/data/odds/tennis/2026-08-27/polymarket_snapshots.jsonl</t>
        </is>
      </c>
      <c r="DF273" s="24" t="inlineStr">
        <is>
          <t>533690:2026-08-27T13:56:39.406853Z</t>
        </is>
      </c>
      <c r="DG273" s="24" t="n"/>
      <c r="DH273" s="24" t="n"/>
      <c r="DI273" s="24" t="n"/>
      <c r="DJ273" s="24" t="inlineStr">
        <is>
          <t>0.469484</t>
        </is>
      </c>
      <c r="DK273" s="24" t="n"/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2c2677a629184718</t>
        </is>
      </c>
      <c r="B274" s="24" t="inlineStr">
        <is>
          <t>2026-08-27T13:58:24.220632Z</t>
        </is>
      </c>
      <c r="C274" s="24" t="inlineStr">
        <is>
          <t>2026-08-27T16:30Z</t>
        </is>
      </c>
      <c r="D274" s="24" t="inlineStr">
        <is>
          <t>189-2026:184813</t>
        </is>
      </c>
      <c r="E274" s="24" t="inlineStr">
        <is>
          <t>TENNIS</t>
        </is>
      </c>
      <c r="F274" s="24" t="inlineStr">
        <is>
          <t>Mary Stoiana</t>
        </is>
      </c>
      <c r="G274" s="24" t="inlineStr">
        <is>
          <t>Yuan Yue</t>
        </is>
      </c>
      <c r="H274" s="24" t="inlineStr">
        <is>
          <t>moneyline</t>
        </is>
      </c>
      <c r="I274" s="24" t="inlineStr">
        <is>
          <t>away</t>
        </is>
      </c>
      <c r="J274" s="25" t="n"/>
      <c r="K274" s="24" t="inlineStr">
        <is>
          <t>polymarket_us</t>
        </is>
      </c>
      <c r="L274" s="26" t="n">
        <v>-122</v>
      </c>
      <c r="M274" s="27" t="n">
        <v>1.819672</v>
      </c>
      <c r="N274" s="28" t="n">
        <v>0.54955</v>
      </c>
      <c r="O274" s="28" t="n">
        <v>0.5896</v>
      </c>
      <c r="P274" s="28" t="n">
        <v>0.05</v>
      </c>
      <c r="Q274" s="28" t="n">
        <v>0.04005</v>
      </c>
      <c r="R274" s="26" t="n">
        <v>40</v>
      </c>
      <c r="S274" s="29" t="n">
        <v>1</v>
      </c>
      <c r="T274" s="24" t="inlineStr">
        <is>
          <t>tennis-surface-elo-v1</t>
        </is>
      </c>
      <c r="U274" s="24" t="inlineStr">
        <is>
          <t>settled</t>
        </is>
      </c>
      <c r="V274" s="24" t="inlineStr">
        <is>
          <t>win</t>
        </is>
      </c>
      <c r="W274" s="26" t="n">
        <v>1</v>
      </c>
      <c r="X274" s="26" t="n">
        <v>0</v>
      </c>
      <c r="Y274" s="25" t="n"/>
      <c r="Z274" s="26" t="n">
        <v>-122</v>
      </c>
      <c r="AA274" s="28" t="n">
        <v>0.55</v>
      </c>
      <c r="AB274" s="28" t="n">
        <v>0.00045</v>
      </c>
      <c r="AC274" s="30" t="n">
        <v>0.8197</v>
      </c>
      <c r="AD274" s="24" t="inlineStr">
        <is>
          <t>2026-08-29T12:30:14.033846Z</t>
        </is>
      </c>
      <c r="AE274" s="31" t="inlineStr">
        <is>
          <t>Surface-blended Elo on Hard: Mary Stoiana p=0.590 vs Yuan Yue. Executable ask 0.5500 (aec-wta-yueyua-marsto-2026-08-27).</t>
        </is>
      </c>
      <c r="AF274" s="31" t="inlineStr">
        <is>
          <t>Surface-blended Elo model; singles only, WTA+ATP market coverage, not yet locked-holdout qualified -- promoted by explicit operator directive, not genuine walk-forward validation.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Mary Stoiana</t>
        </is>
      </c>
      <c r="AQ274" s="24" t="inlineStr">
        <is>
          <t>Mary Stoiana</t>
        </is>
      </c>
      <c r="AR274" s="24" t="inlineStr">
        <is>
          <t>Mary Stoiana</t>
        </is>
      </c>
      <c r="AS274" s="24" t="inlineStr">
        <is>
          <t>Yuan Yue</t>
        </is>
      </c>
      <c r="AT274" s="24" t="inlineStr">
        <is>
          <t>Yuan Yue</t>
        </is>
      </c>
      <c r="AU274" s="24" t="inlineStr">
        <is>
          <t>Yuan Yue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d777da58446bc099047b154203518e2585ef1a678f613f2b430f2589f7bf5cff</t>
        </is>
      </c>
      <c r="BB274" s="24" t="inlineStr">
        <is>
          <t>surface_blended_elo</t>
        </is>
      </c>
      <c r="BC274" s="24" t="inlineStr">
        <is>
          <t>tennis-surface-elo-v1</t>
        </is>
      </c>
      <c r="BD274" s="24" t="inlineStr">
        <is>
          <t>d777da58446bc099047b154203518e2585ef1a678f613f2b430f2589f7bf5cff</t>
        </is>
      </c>
      <c r="BE274" s="24" t="inlineStr">
        <is>
          <t>tennis-surface-elo-v1</t>
        </is>
      </c>
      <c r="BF274" s="24" t="inlineStr">
        <is>
          <t>1</t>
        </is>
      </c>
      <c r="BG274" s="24" t="inlineStr">
        <is>
          <t>d777da58446bc099047b154203518e2585ef1a678f613f2b430f2589f7bf5cff</t>
        </is>
      </c>
      <c r="BH274" s="24" t="inlineStr">
        <is>
          <t>2026-08-27T13:56:39.315746Z</t>
        </is>
      </c>
      <c r="BI274" s="24" t="inlineStr">
        <is>
          <t>["same_event","same_team_same_day","same_league_same_day"]</t>
        </is>
      </c>
      <c r="BJ274" s="25" t="n"/>
      <c r="BK274" s="26" t="n">
        <v>-122</v>
      </c>
      <c r="BL274" s="27" t="n">
        <v>1.819672</v>
      </c>
      <c r="BM274" s="28" t="n">
        <v>0.54955</v>
      </c>
      <c r="BN274" s="28" t="n"/>
      <c r="BO274" s="28" t="n"/>
      <c r="BP274" s="25" t="n"/>
      <c r="BQ274" s="27" t="n">
        <v>1.819672</v>
      </c>
      <c r="BR274" s="28" t="n">
        <v>0.55</v>
      </c>
      <c r="BS274" s="28" t="n"/>
      <c r="BT274" s="28" t="n"/>
      <c r="BU274" s="25" t="n"/>
      <c r="BV274" s="29" t="n"/>
      <c r="BW274" s="24" t="n"/>
      <c r="BX274" s="30" t="n">
        <v>1</v>
      </c>
      <c r="BY274" s="27" t="n">
        <v>0.819671</v>
      </c>
      <c r="BZ274" s="24" t="inlineStr">
        <is>
          <t>2026-08-29T12:30:14.033846Z</t>
        </is>
      </c>
      <c r="CA274" s="31" t="inlineStr">
        <is>
          <t>fixed one-unit hypothetical scoring; no real exposure or execution</t>
        </is>
      </c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inlineStr">
        <is>
          <t>470e4862bb6349e892727ee6fca80b0cbb4a1699a0bff04a84290a2bf2a82870</t>
        </is>
      </c>
      <c r="DE274" s="24" t="inlineStr">
        <is>
          <t>/Users/vincentc9002/model-prediction/data/odds/tennis/2026-08-27/polymarket_snapshots.jsonl</t>
        </is>
      </c>
      <c r="DF274" s="24" t="inlineStr">
        <is>
          <t>534048:2026-08-27T13:56:39.315746Z</t>
        </is>
      </c>
      <c r="DG274" s="24" t="n"/>
      <c r="DH274" s="24" t="n"/>
      <c r="DI274" s="24" t="n"/>
      <c r="DJ274" s="24" t="inlineStr">
        <is>
          <t>0.54955</t>
        </is>
      </c>
      <c r="DK274" s="24" t="n"/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dd79924dbe6540fd</t>
        </is>
      </c>
      <c r="B275" s="24" t="inlineStr">
        <is>
          <t>2026-08-27T13:58:24.220632Z</t>
        </is>
      </c>
      <c r="C275" s="24" t="inlineStr">
        <is>
          <t>2026-08-27T16:30Z</t>
        </is>
      </c>
      <c r="D275" s="24" t="inlineStr">
        <is>
          <t>189-2026:184816</t>
        </is>
      </c>
      <c r="E275" s="24" t="inlineStr">
        <is>
          <t>TENNIS</t>
        </is>
      </c>
      <c r="F275" s="24" t="inlineStr">
        <is>
          <t>Himeno Sakatsume</t>
        </is>
      </c>
      <c r="G275" s="24" t="inlineStr">
        <is>
          <t>Mia Ristic</t>
        </is>
      </c>
      <c r="H275" s="24" t="inlineStr">
        <is>
          <t>moneyline</t>
        </is>
      </c>
      <c r="I275" s="24" t="inlineStr">
        <is>
          <t>away</t>
        </is>
      </c>
      <c r="J275" s="25" t="n"/>
      <c r="K275" s="24" t="inlineStr">
        <is>
          <t>polymarket_us</t>
        </is>
      </c>
      <c r="L275" s="26" t="n">
        <v>-133</v>
      </c>
      <c r="M275" s="27" t="n">
        <v>1.75188</v>
      </c>
      <c r="N275" s="28" t="n">
        <v>0.570815</v>
      </c>
      <c r="O275" s="28" t="n">
        <v>0.5242</v>
      </c>
      <c r="P275" s="28" t="n">
        <v>0.05</v>
      </c>
      <c r="Q275" s="28" t="n">
        <v>-0.046615</v>
      </c>
      <c r="R275" s="26" t="n">
        <v>0</v>
      </c>
      <c r="S275" s="29" t="n">
        <v>1</v>
      </c>
      <c r="T275" s="24" t="inlineStr">
        <is>
          <t>tennis-surface-elo-v1</t>
        </is>
      </c>
      <c r="U275" s="24" t="inlineStr">
        <is>
          <t>settled</t>
        </is>
      </c>
      <c r="V275" s="24" t="inlineStr">
        <is>
          <t>win</t>
        </is>
      </c>
      <c r="W275" s="26" t="n">
        <v>1</v>
      </c>
      <c r="X275" s="26" t="n">
        <v>0</v>
      </c>
      <c r="Y275" s="25" t="n"/>
      <c r="Z275" s="26" t="n">
        <v>-133</v>
      </c>
      <c r="AA275" s="28" t="n">
        <v>0.57</v>
      </c>
      <c r="AB275" s="28" t="n">
        <v>-0.000815</v>
      </c>
      <c r="AC275" s="30" t="n">
        <v>0.7519</v>
      </c>
      <c r="AD275" s="24" t="inlineStr">
        <is>
          <t>2026-08-29T12:30:15.550121Z</t>
        </is>
      </c>
      <c r="AE275" s="31" t="inlineStr">
        <is>
          <t>Surface-blended Elo on Hard: Himeno Sakatsume p=0.524 vs Mia Ristic. Executable ask 0.5700 (aec-wta-miaris-himsak-2026-08-27).</t>
        </is>
      </c>
      <c r="AF275" s="31" t="inlineStr">
        <is>
          <t>Surface-blended Elo model; singles only, WTA+ATP market coverage, not yet locked-holdout qualified -- promoted by explicit operator directive, not genuine walk-forward validation.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Himeno Sakatsume</t>
        </is>
      </c>
      <c r="AQ275" s="24" t="inlineStr">
        <is>
          <t>Himeno Sakatsume</t>
        </is>
      </c>
      <c r="AR275" s="24" t="inlineStr">
        <is>
          <t>Himeno Sakatsume</t>
        </is>
      </c>
      <c r="AS275" s="24" t="inlineStr">
        <is>
          <t>Mia Ristic</t>
        </is>
      </c>
      <c r="AT275" s="24" t="inlineStr">
        <is>
          <t>Mia Ristic</t>
        </is>
      </c>
      <c r="AU275" s="24" t="inlineStr">
        <is>
          <t>Mia Ristic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d777da58446bc099047b154203518e2585ef1a678f613f2b430f2589f7bf5cff</t>
        </is>
      </c>
      <c r="BB275" s="24" t="inlineStr">
        <is>
          <t>surface_blended_elo</t>
        </is>
      </c>
      <c r="BC275" s="24" t="inlineStr">
        <is>
          <t>tennis-surface-elo-v1</t>
        </is>
      </c>
      <c r="BD275" s="24" t="inlineStr">
        <is>
          <t>d777da58446bc099047b154203518e2585ef1a678f613f2b430f2589f7bf5cff</t>
        </is>
      </c>
      <c r="BE275" s="24" t="inlineStr">
        <is>
          <t>tennis-surface-elo-v1</t>
        </is>
      </c>
      <c r="BF275" s="24" t="inlineStr">
        <is>
          <t>1</t>
        </is>
      </c>
      <c r="BG275" s="24" t="inlineStr">
        <is>
          <t>d777da58446bc099047b154203518e2585ef1a678f613f2b430f2589f7bf5cff</t>
        </is>
      </c>
      <c r="BH275" s="24" t="inlineStr">
        <is>
          <t>2026-08-27T13:56:39.564544Z</t>
        </is>
      </c>
      <c r="BI275" s="24" t="inlineStr">
        <is>
          <t>["same_event","same_team_same_day","same_league_same_day"]</t>
        </is>
      </c>
      <c r="BJ275" s="25" t="n"/>
      <c r="BK275" s="26" t="n">
        <v>-133</v>
      </c>
      <c r="BL275" s="27" t="n">
        <v>1.75188</v>
      </c>
      <c r="BM275" s="28" t="n">
        <v>0.570815</v>
      </c>
      <c r="BN275" s="28" t="n"/>
      <c r="BO275" s="28" t="n"/>
      <c r="BP275" s="25" t="n"/>
      <c r="BQ275" s="27" t="n">
        <v>1.75188</v>
      </c>
      <c r="BR275" s="28" t="n">
        <v>0.57</v>
      </c>
      <c r="BS275" s="28" t="n"/>
      <c r="BT275" s="28" t="n"/>
      <c r="BU275" s="25" t="n"/>
      <c r="BV275" s="29" t="n"/>
      <c r="BW275" s="24" t="n"/>
      <c r="BX275" s="30" t="n">
        <v>1</v>
      </c>
      <c r="BY275" s="27" t="n">
        <v>0.751881</v>
      </c>
      <c r="BZ275" s="24" t="inlineStr">
        <is>
          <t>2026-08-29T12:30:15.550121Z</t>
        </is>
      </c>
      <c r="CA275" s="31" t="inlineStr">
        <is>
          <t>fixed one-unit hypothetical scoring; no real exposure or execution</t>
        </is>
      </c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inlineStr">
        <is>
          <t>f09fd13288f26d109ec1c79458731200927ca65a20c7f37127d49b96663bc018</t>
        </is>
      </c>
      <c r="DE275" s="24" t="inlineStr">
        <is>
          <t>/Users/vincentc9002/model-prediction/data/odds/tennis/2026-08-27/polymarket_snapshots.jsonl</t>
        </is>
      </c>
      <c r="DF275" s="24" t="inlineStr">
        <is>
          <t>533474:2026-08-27T13:56:39.564544Z</t>
        </is>
      </c>
      <c r="DG275" s="24" t="n"/>
      <c r="DH275" s="24" t="n"/>
      <c r="DI275" s="24" t="n"/>
      <c r="DJ275" s="24" t="inlineStr">
        <is>
          <t>0.570815</t>
        </is>
      </c>
      <c r="DK275" s="24" t="n"/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10a708d5296043d9</t>
        </is>
      </c>
      <c r="B276" s="24" t="inlineStr">
        <is>
          <t>2026-08-27T13:58:24.220632Z</t>
        </is>
      </c>
      <c r="C276" s="24" t="inlineStr">
        <is>
          <t>2026-08-27T16:30Z</t>
        </is>
      </c>
      <c r="D276" s="24" t="inlineStr">
        <is>
          <t>189-2026:184820</t>
        </is>
      </c>
      <c r="E276" s="24" t="inlineStr">
        <is>
          <t>TENNIS</t>
        </is>
      </c>
      <c r="F276" s="24" t="inlineStr">
        <is>
          <t>Bianca Andreescu</t>
        </is>
      </c>
      <c r="G276" s="24" t="inlineStr">
        <is>
          <t>Tamara Zidansek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polymarket_us</t>
        </is>
      </c>
      <c r="L276" s="26" t="n">
        <v>317</v>
      </c>
      <c r="M276" s="27" t="n">
        <v>4.17</v>
      </c>
      <c r="N276" s="28" t="n">
        <v>0.239808</v>
      </c>
      <c r="O276" s="28" t="n">
        <v>0.6338</v>
      </c>
      <c r="P276" s="28" t="n">
        <v>0.05</v>
      </c>
      <c r="Q276" s="28" t="n">
        <v>0.393992</v>
      </c>
      <c r="R276" s="26" t="n">
        <v>100</v>
      </c>
      <c r="S276" s="29" t="n">
        <v>2</v>
      </c>
      <c r="T276" s="24" t="inlineStr">
        <is>
          <t>tennis-surface-elo-v1</t>
        </is>
      </c>
      <c r="U276" s="24" t="inlineStr">
        <is>
          <t>settled</t>
        </is>
      </c>
      <c r="V276" s="24" t="inlineStr">
        <is>
          <t>win</t>
        </is>
      </c>
      <c r="W276" s="26" t="n">
        <v>0</v>
      </c>
      <c r="X276" s="26" t="n">
        <v>1</v>
      </c>
      <c r="Y276" s="25" t="n"/>
      <c r="Z276" s="26" t="n">
        <v>317</v>
      </c>
      <c r="AA276" s="28" t="n">
        <v>0.24</v>
      </c>
      <c r="AB276" s="28" t="n">
        <v>0.000192</v>
      </c>
      <c r="AC276" s="30" t="n">
        <v>6.34</v>
      </c>
      <c r="AD276" s="24" t="inlineStr">
        <is>
          <t>2026-08-29T12:30:17.110713Z</t>
        </is>
      </c>
      <c r="AE276" s="31" t="inlineStr">
        <is>
          <t>Surface-blended Elo on Hard: Bianca Andreescu p=0.366 vs Tamara Zidansek. Executable ask 0.2400 (aec-wta-tamzid-biaand-2026-08-27).</t>
        </is>
      </c>
      <c r="AF276" s="31" t="inlineStr">
        <is>
          <t>Surface-blended Elo model; singles only, WTA+ATP market coverage, not yet locked-holdout qualified -- promoted by explicit operator directive, not genuine walk-forward validation.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Bianca Andreescu</t>
        </is>
      </c>
      <c r="AQ276" s="24" t="inlineStr">
        <is>
          <t>Bianca Andreescu</t>
        </is>
      </c>
      <c r="AR276" s="24" t="inlineStr">
        <is>
          <t>Bianca Andreescu</t>
        </is>
      </c>
      <c r="AS276" s="24" t="inlineStr">
        <is>
          <t>Tamara Zidansek</t>
        </is>
      </c>
      <c r="AT276" s="24" t="inlineStr">
        <is>
          <t>Tamara Zidansek</t>
        </is>
      </c>
      <c r="AU276" s="24" t="inlineStr">
        <is>
          <t>Tamara Zidansek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d777da58446bc099047b154203518e2585ef1a678f613f2b430f2589f7bf5cff</t>
        </is>
      </c>
      <c r="BB276" s="24" t="inlineStr">
        <is>
          <t>surface_blended_elo</t>
        </is>
      </c>
      <c r="BC276" s="24" t="inlineStr">
        <is>
          <t>tennis-surface-elo-v1</t>
        </is>
      </c>
      <c r="BD276" s="24" t="inlineStr">
        <is>
          <t>d777da58446bc099047b154203518e2585ef1a678f613f2b430f2589f7bf5cff</t>
        </is>
      </c>
      <c r="BE276" s="24" t="inlineStr">
        <is>
          <t>tennis-surface-elo-v1</t>
        </is>
      </c>
      <c r="BF276" s="24" t="inlineStr">
        <is>
          <t>1</t>
        </is>
      </c>
      <c r="BG276" s="24" t="inlineStr">
        <is>
          <t>d777da58446bc099047b154203518e2585ef1a678f613f2b430f2589f7bf5cff</t>
        </is>
      </c>
      <c r="BH276" s="24" t="inlineStr">
        <is>
          <t>2026-08-27T13:56:39.777808Z</t>
        </is>
      </c>
      <c r="BI276" s="24" t="inlineStr">
        <is>
          <t>["same_event","same_team_same_day","same_league_same_day"]</t>
        </is>
      </c>
      <c r="BJ276" s="25" t="n"/>
      <c r="BK276" s="26" t="n">
        <v>317</v>
      </c>
      <c r="BL276" s="27" t="n">
        <v>4.17</v>
      </c>
      <c r="BM276" s="28" t="n">
        <v>0.239808</v>
      </c>
      <c r="BN276" s="28" t="n"/>
      <c r="BO276" s="28" t="n"/>
      <c r="BP276" s="25" t="n"/>
      <c r="BQ276" s="27" t="n">
        <v>4.17</v>
      </c>
      <c r="BR276" s="28" t="n">
        <v>0.24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inlineStr">
        <is>
          <t>33246148f1acb47c631ab2d6ec31ab86e70475e2bede712bd0d2da0e5e94ed63</t>
        </is>
      </c>
      <c r="DE276" s="24" t="inlineStr">
        <is>
          <t>/Users/vincentc9002/model-prediction/data/odds/tennis/2026-08-27/polymarket_snapshots.jsonl</t>
        </is>
      </c>
      <c r="DF276" s="24" t="inlineStr">
        <is>
          <t>533866:2026-08-27T13:56:39.777808Z</t>
        </is>
      </c>
      <c r="DG276" s="24" t="n"/>
      <c r="DH276" s="24" t="n"/>
      <c r="DI276" s="24" t="n"/>
      <c r="DJ276" s="24" t="inlineStr">
        <is>
          <t>0.239808</t>
        </is>
      </c>
      <c r="DK276" s="24" t="n"/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ed9cea7af30d4da0</t>
        </is>
      </c>
      <c r="B277" s="24" t="inlineStr">
        <is>
          <t>2026-08-27T13:58:24.220632Z</t>
        </is>
      </c>
      <c r="C277" s="24" t="inlineStr">
        <is>
          <t>2026-08-27T17:00Z</t>
        </is>
      </c>
      <c r="D277" s="24" t="inlineStr">
        <is>
          <t>189-2026:184818</t>
        </is>
      </c>
      <c r="E277" s="24" t="inlineStr">
        <is>
          <t>TENNIS</t>
        </is>
      </c>
      <c r="F277" s="24" t="inlineStr">
        <is>
          <t>Harriet Dart</t>
        </is>
      </c>
      <c r="G277" s="24" t="inlineStr">
        <is>
          <t>Heather Watson</t>
        </is>
      </c>
      <c r="H277" s="24" t="inlineStr">
        <is>
          <t>moneyline</t>
        </is>
      </c>
      <c r="I277" s="24" t="inlineStr">
        <is>
          <t>home</t>
        </is>
      </c>
      <c r="J277" s="25" t="n"/>
      <c r="K277" s="24" t="inlineStr">
        <is>
          <t>polymarket_us</t>
        </is>
      </c>
      <c r="L277" s="26" t="n">
        <v>156</v>
      </c>
      <c r="M277" s="27" t="n">
        <v>2.56</v>
      </c>
      <c r="N277" s="28" t="n">
        <v>0.390625</v>
      </c>
      <c r="O277" s="28" t="n">
        <v>0.5033</v>
      </c>
      <c r="P277" s="28" t="n">
        <v>0.05</v>
      </c>
      <c r="Q277" s="28" t="n">
        <v>0.112675</v>
      </c>
      <c r="R277" s="26" t="n">
        <v>76</v>
      </c>
      <c r="S277" s="29" t="n">
        <v>1.5</v>
      </c>
      <c r="T277" s="24" t="inlineStr">
        <is>
          <t>tennis-surface-elo-v1</t>
        </is>
      </c>
      <c r="U277" s="24" t="inlineStr">
        <is>
          <t>settled</t>
        </is>
      </c>
      <c r="V277" s="24" t="inlineStr">
        <is>
          <t>loss</t>
        </is>
      </c>
      <c r="W277" s="26" t="n">
        <v>1</v>
      </c>
      <c r="X277" s="26" t="n">
        <v>0</v>
      </c>
      <c r="Y277" s="25" t="n"/>
      <c r="Z277" s="26" t="n">
        <v>156</v>
      </c>
      <c r="AA277" s="28" t="n">
        <v>0.39</v>
      </c>
      <c r="AB277" s="28" t="n">
        <v>-0.000625</v>
      </c>
      <c r="AC277" s="30" t="n">
        <v>-1.5</v>
      </c>
      <c r="AD277" s="24" t="inlineStr">
        <is>
          <t>2026-08-29T12:30:18.651350Z</t>
        </is>
      </c>
      <c r="AE277" s="31" t="inlineStr">
        <is>
          <t>Surface-blended Elo on Hard: Harriet Dart p=0.497 vs Heather Watson. Executable ask 0.3900 (aec-wta-heawat-hardar-2026-08-27).</t>
        </is>
      </c>
      <c r="AF277" s="31" t="inlineStr">
        <is>
          <t>Surface-blended Elo model; singles only, WTA+ATP market coverage, not yet locked-holdout qualified -- promoted by explicit operator directive, not genuine walk-forward validation.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PAPER_CALL_LOW_EDGE</t>
        </is>
      </c>
      <c r="AP277" s="24" t="inlineStr">
        <is>
          <t>Harriet Dart</t>
        </is>
      </c>
      <c r="AQ277" s="24" t="inlineStr">
        <is>
          <t>Harriet Dart</t>
        </is>
      </c>
      <c r="AR277" s="24" t="inlineStr">
        <is>
          <t>Harriet Dart</t>
        </is>
      </c>
      <c r="AS277" s="24" t="inlineStr">
        <is>
          <t>Heather Watson</t>
        </is>
      </c>
      <c r="AT277" s="24" t="inlineStr">
        <is>
          <t>Heather Watson</t>
        </is>
      </c>
      <c r="AU277" s="24" t="inlineStr">
        <is>
          <t>Heather Watson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d777da58446bc099047b154203518e2585ef1a678f613f2b430f2589f7bf5cff</t>
        </is>
      </c>
      <c r="BB277" s="24" t="inlineStr">
        <is>
          <t>surface_blended_elo</t>
        </is>
      </c>
      <c r="BC277" s="24" t="inlineStr">
        <is>
          <t>tennis-surface-elo-v1</t>
        </is>
      </c>
      <c r="BD277" s="24" t="inlineStr">
        <is>
          <t>d777da58446bc099047b154203518e2585ef1a678f613f2b430f2589f7bf5cff</t>
        </is>
      </c>
      <c r="BE277" s="24" t="inlineStr">
        <is>
          <t>tennis-surface-elo-v1</t>
        </is>
      </c>
      <c r="BF277" s="24" t="inlineStr">
        <is>
          <t>1</t>
        </is>
      </c>
      <c r="BG277" s="24" t="inlineStr">
        <is>
          <t>d777da58446bc099047b154203518e2585ef1a678f613f2b430f2589f7bf5cff</t>
        </is>
      </c>
      <c r="BH277" s="24" t="inlineStr">
        <is>
          <t>2026-08-27T13:56:39.882043Z</t>
        </is>
      </c>
      <c r="BI277" s="24" t="inlineStr">
        <is>
          <t>["same_event","same_team_same_day","same_league_same_day"]</t>
        </is>
      </c>
      <c r="BJ277" s="25" t="n"/>
      <c r="BK277" s="26" t="n">
        <v>156</v>
      </c>
      <c r="BL277" s="27" t="n">
        <v>2.56</v>
      </c>
      <c r="BM277" s="28" t="n">
        <v>0.390625</v>
      </c>
      <c r="BN277" s="28" t="n"/>
      <c r="BO277" s="28" t="n"/>
      <c r="BP277" s="25" t="n"/>
      <c r="BQ277" s="27" t="n">
        <v>2.56</v>
      </c>
      <c r="BR277" s="28" t="n">
        <v>0.39</v>
      </c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2026-08-29T12:30:18.651350Z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inlineStr">
        <is>
          <t>e10ef01ecd563b60364df09f74588af2dd21750a0633630ae6cb9cbcff85b39b</t>
        </is>
      </c>
      <c r="DE277" s="24" t="inlineStr">
        <is>
          <t>/Users/vincentc9002/model-prediction/data/odds/tennis/2026-08-27/polymarket_snapshots.jsonl</t>
        </is>
      </c>
      <c r="DF277" s="24" t="inlineStr">
        <is>
          <t>534117:2026-08-27T13:56:39.882043Z</t>
        </is>
      </c>
      <c r="DG277" s="24" t="n"/>
      <c r="DH277" s="24" t="n"/>
      <c r="DI277" s="24" t="n"/>
      <c r="DJ277" s="24" t="inlineStr">
        <is>
          <t>0.390625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1142ee64616e4d60</t>
        </is>
      </c>
      <c r="B278" s="24" t="inlineStr">
        <is>
          <t>2026-08-27T13:58:24.220632Z</t>
        </is>
      </c>
      <c r="C278" s="24" t="inlineStr">
        <is>
          <t>2026-08-27T18:00Z</t>
        </is>
      </c>
      <c r="D278" s="24" t="inlineStr">
        <is>
          <t>189-2026:184759</t>
        </is>
      </c>
      <c r="E278" s="24" t="inlineStr">
        <is>
          <t>TENNIS</t>
        </is>
      </c>
      <c r="F278" s="24" t="inlineStr">
        <is>
          <t>Joanna Garland</t>
        </is>
      </c>
      <c r="G278" s="24" t="inlineStr">
        <is>
          <t>Francesca Jones</t>
        </is>
      </c>
      <c r="H278" s="24" t="inlineStr">
        <is>
          <t>moneyline</t>
        </is>
      </c>
      <c r="I278" s="24" t="inlineStr">
        <is>
          <t>home</t>
        </is>
      </c>
      <c r="J278" s="25" t="n"/>
      <c r="K278" s="24" t="inlineStr">
        <is>
          <t>polymarket_us</t>
        </is>
      </c>
      <c r="L278" s="26" t="n">
        <v>-156</v>
      </c>
      <c r="M278" s="27" t="n">
        <v>1.641026</v>
      </c>
      <c r="N278" s="28" t="n">
        <v>0.609375</v>
      </c>
      <c r="O278" s="28" t="n">
        <v>0.6297</v>
      </c>
      <c r="P278" s="28" t="n">
        <v>0.05</v>
      </c>
      <c r="Q278" s="28" t="n">
        <v>0.020325</v>
      </c>
      <c r="R278" s="26" t="n">
        <v>30</v>
      </c>
      <c r="S278" s="29" t="n">
        <v>1</v>
      </c>
      <c r="T278" s="24" t="inlineStr">
        <is>
          <t>tennis-surface-elo-v1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1</v>
      </c>
      <c r="Y278" s="25" t="n"/>
      <c r="Z278" s="26" t="n">
        <v>-156</v>
      </c>
      <c r="AA278" s="28" t="n">
        <v>0.61</v>
      </c>
      <c r="AB278" s="28" t="n">
        <v>0.000625</v>
      </c>
      <c r="AC278" s="30" t="n">
        <v>0.641</v>
      </c>
      <c r="AD278" s="24" t="inlineStr">
        <is>
          <t>2026-08-29T12:30:20.183091Z</t>
        </is>
      </c>
      <c r="AE278" s="31" t="inlineStr">
        <is>
          <t>Surface-blended Elo on Hard: Joanna Garland p=0.370 vs Francesca Jones. Executable ask 0.6100 (aec-wta-frajon-joagar-2026-08-27).</t>
        </is>
      </c>
      <c r="AF278" s="31" t="inlineStr">
        <is>
          <t>Surface-blended Elo model; singles only, WTA+ATP market coverage, not yet locked-holdout qualified -- promoted by explicit operator directive, not genuine walk-forward validation.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PAPER_CALL_LOW_EDGE</t>
        </is>
      </c>
      <c r="AP278" s="24" t="inlineStr">
        <is>
          <t>Joanna Garland</t>
        </is>
      </c>
      <c r="AQ278" s="24" t="inlineStr">
        <is>
          <t>Joanna Garland</t>
        </is>
      </c>
      <c r="AR278" s="24" t="inlineStr">
        <is>
          <t>Joanna Garland</t>
        </is>
      </c>
      <c r="AS278" s="24" t="inlineStr">
        <is>
          <t>Francesca Jones</t>
        </is>
      </c>
      <c r="AT278" s="24" t="inlineStr">
        <is>
          <t>Francesca Jones</t>
        </is>
      </c>
      <c r="AU278" s="24" t="inlineStr">
        <is>
          <t>Francesca Jones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d777da58446bc099047b154203518e2585ef1a678f613f2b430f2589f7bf5cff</t>
        </is>
      </c>
      <c r="BB278" s="24" t="inlineStr">
        <is>
          <t>surface_blended_elo</t>
        </is>
      </c>
      <c r="BC278" s="24" t="inlineStr">
        <is>
          <t>tennis-surface-elo-v1</t>
        </is>
      </c>
      <c r="BD278" s="24" t="inlineStr">
        <is>
          <t>d777da58446bc099047b154203518e2585ef1a678f613f2b430f2589f7bf5cff</t>
        </is>
      </c>
      <c r="BE278" s="24" t="inlineStr">
        <is>
          <t>tennis-surface-elo-v1</t>
        </is>
      </c>
      <c r="BF278" s="24" t="inlineStr">
        <is>
          <t>1</t>
        </is>
      </c>
      <c r="BG278" s="24" t="inlineStr">
        <is>
          <t>d777da58446bc099047b154203518e2585ef1a678f613f2b430f2589f7bf5cff</t>
        </is>
      </c>
      <c r="BH278" s="24" t="inlineStr">
        <is>
          <t>2026-08-27T13:56:39.981943Z</t>
        </is>
      </c>
      <c r="BI278" s="24" t="inlineStr">
        <is>
          <t>["same_event","same_team_same_day","same_league_same_day"]</t>
        </is>
      </c>
      <c r="BJ278" s="25" t="n"/>
      <c r="BK278" s="26" t="n">
        <v>-156</v>
      </c>
      <c r="BL278" s="27" t="n">
        <v>1.641026</v>
      </c>
      <c r="BM278" s="28" t="n">
        <v>0.609375</v>
      </c>
      <c r="BN278" s="28" t="n"/>
      <c r="BO278" s="28" t="n"/>
      <c r="BP278" s="25" t="n"/>
      <c r="BQ278" s="27" t="n">
        <v>1.641026</v>
      </c>
      <c r="BR278" s="28" t="n">
        <v>0.61</v>
      </c>
      <c r="BS278" s="28" t="n"/>
      <c r="BT278" s="28" t="n"/>
      <c r="BU278" s="25" t="n"/>
      <c r="BV278" s="29" t="n"/>
      <c r="BW278" s="24" t="n"/>
      <c r="BX278" s="30" t="n">
        <v>1</v>
      </c>
      <c r="BY278" s="27" t="n">
        <v>0.641026</v>
      </c>
      <c r="BZ278" s="24" t="inlineStr">
        <is>
          <t>2026-08-29T12:30:20.183091Z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inlineStr">
        <is>
          <t>a557b7bf140ad61acf239e0c16a803c110ca7ac936d10e969d612ada2a81fbe7</t>
        </is>
      </c>
      <c r="DE278" s="24" t="inlineStr">
        <is>
          <t>/Users/vincentc9002/model-prediction/data/odds/tennis/2026-08-27/polymarket_snapshots.jsonl</t>
        </is>
      </c>
      <c r="DF278" s="24" t="inlineStr">
        <is>
          <t>534311:2026-08-27T13:56:39.981943Z</t>
        </is>
      </c>
      <c r="DG278" s="24" t="n"/>
      <c r="DH278" s="24" t="n"/>
      <c r="DI278" s="24" t="n"/>
      <c r="DJ278" s="24" t="inlineStr">
        <is>
          <t>0.609375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1dd4aa3f756b4ff5</t>
        </is>
      </c>
      <c r="B279" s="24" t="inlineStr">
        <is>
          <t>2026-08-27T13:58:24.220632Z</t>
        </is>
      </c>
      <c r="C279" s="24" t="inlineStr">
        <is>
          <t>2026-08-27T18:00Z</t>
        </is>
      </c>
      <c r="D279" s="24" t="inlineStr">
        <is>
          <t>189-2026:184807</t>
        </is>
      </c>
      <c r="E279" s="24" t="inlineStr">
        <is>
          <t>TENNIS</t>
        </is>
      </c>
      <c r="F279" s="24" t="inlineStr">
        <is>
          <t>Storm Hunter</t>
        </is>
      </c>
      <c r="G279" s="24" t="inlineStr">
        <is>
          <t>Darja Semenistaja</t>
        </is>
      </c>
      <c r="H279" s="24" t="inlineStr">
        <is>
          <t>moneyline</t>
        </is>
      </c>
      <c r="I279" s="24" t="inlineStr">
        <is>
          <t>away</t>
        </is>
      </c>
      <c r="J279" s="25" t="n"/>
      <c r="K279" s="24" t="inlineStr">
        <is>
          <t>polymarket_us</t>
        </is>
      </c>
      <c r="L279" s="26" t="n">
        <v>-178</v>
      </c>
      <c r="M279" s="27" t="n">
        <v>1.561798</v>
      </c>
      <c r="N279" s="28" t="n">
        <v>0.640288</v>
      </c>
      <c r="O279" s="28" t="n">
        <v>0.5254</v>
      </c>
      <c r="P279" s="28" t="n">
        <v>0.05</v>
      </c>
      <c r="Q279" s="28" t="n">
        <v>-0.114888</v>
      </c>
      <c r="R279" s="26" t="n">
        <v>0</v>
      </c>
      <c r="S279" s="29" t="n">
        <v>1</v>
      </c>
      <c r="T279" s="24" t="inlineStr">
        <is>
          <t>tennis-surface-elo-v1</t>
        </is>
      </c>
      <c r="U279" s="24" t="inlineStr">
        <is>
          <t>settled</t>
        </is>
      </c>
      <c r="V279" s="24" t="inlineStr">
        <is>
          <t>win</t>
        </is>
      </c>
      <c r="W279" s="26" t="n">
        <v>1</v>
      </c>
      <c r="X279" s="26" t="n">
        <v>0</v>
      </c>
      <c r="Y279" s="25" t="n"/>
      <c r="Z279" s="26" t="n">
        <v>-178</v>
      </c>
      <c r="AA279" s="28" t="n">
        <v>0.64</v>
      </c>
      <c r="AB279" s="28" t="n">
        <v>-0.000288</v>
      </c>
      <c r="AC279" s="30" t="n">
        <v>0.5618</v>
      </c>
      <c r="AD279" s="24" t="inlineStr">
        <is>
          <t>2026-08-29T12:30:21.757664Z</t>
        </is>
      </c>
      <c r="AE279" s="31" t="inlineStr">
        <is>
          <t>Surface-blended Elo on Hard: Storm Hunter p=0.525 vs Darja Semenistaja. Executable ask 0.6400 (aec-wta-darsem-stohun-2026-08-27).</t>
        </is>
      </c>
      <c r="AF279" s="31" t="inlineStr">
        <is>
          <t>Surface-blended Elo model; singles only, WTA+ATP market coverage, not yet locked-holdout qualified -- promoted by explicit operator directive, not genuine walk-forward validation.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Storm Hunter</t>
        </is>
      </c>
      <c r="AQ279" s="24" t="inlineStr">
        <is>
          <t>Storm Hunter</t>
        </is>
      </c>
      <c r="AR279" s="24" t="inlineStr">
        <is>
          <t>Storm Hunter</t>
        </is>
      </c>
      <c r="AS279" s="24" t="inlineStr">
        <is>
          <t>Darja Semenistaja</t>
        </is>
      </c>
      <c r="AT279" s="24" t="inlineStr">
        <is>
          <t>Darja Semenistaja</t>
        </is>
      </c>
      <c r="AU279" s="24" t="inlineStr">
        <is>
          <t>Darja Semenistaja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d777da58446bc099047b154203518e2585ef1a678f613f2b430f2589f7bf5cff</t>
        </is>
      </c>
      <c r="BB279" s="24" t="inlineStr">
        <is>
          <t>surface_blended_elo</t>
        </is>
      </c>
      <c r="BC279" s="24" t="inlineStr">
        <is>
          <t>tennis-surface-elo-v1</t>
        </is>
      </c>
      <c r="BD279" s="24" t="inlineStr">
        <is>
          <t>d777da58446bc099047b154203518e2585ef1a678f613f2b430f2589f7bf5cff</t>
        </is>
      </c>
      <c r="BE279" s="24" t="inlineStr">
        <is>
          <t>tennis-surface-elo-v1</t>
        </is>
      </c>
      <c r="BF279" s="24" t="inlineStr">
        <is>
          <t>1</t>
        </is>
      </c>
      <c r="BG279" s="24" t="inlineStr">
        <is>
          <t>d777da58446bc099047b154203518e2585ef1a678f613f2b430f2589f7bf5cff</t>
        </is>
      </c>
      <c r="BH279" s="24" t="inlineStr">
        <is>
          <t>2026-08-27T13:56:40.140965Z</t>
        </is>
      </c>
      <c r="BI279" s="24" t="inlineStr">
        <is>
          <t>["same_event","same_team_same_day","same_league_same_day"]</t>
        </is>
      </c>
      <c r="BJ279" s="25" t="n"/>
      <c r="BK279" s="26" t="n">
        <v>-178</v>
      </c>
      <c r="BL279" s="27" t="n">
        <v>1.561798</v>
      </c>
      <c r="BM279" s="28" t="n">
        <v>0.640288</v>
      </c>
      <c r="BN279" s="28" t="n"/>
      <c r="BO279" s="28" t="n"/>
      <c r="BP279" s="25" t="n"/>
      <c r="BQ279" s="27" t="n">
        <v>1.561798</v>
      </c>
      <c r="BR279" s="28" t="n">
        <v>0.64</v>
      </c>
      <c r="BS279" s="28" t="n"/>
      <c r="BT279" s="28" t="n"/>
      <c r="BU279" s="25" t="n"/>
      <c r="BV279" s="29" t="n"/>
      <c r="BW279" s="24" t="n"/>
      <c r="BX279" s="30" t="n">
        <v>1</v>
      </c>
      <c r="BY279" s="27" t="n">
        <v>0.561797</v>
      </c>
      <c r="BZ279" s="24" t="inlineStr">
        <is>
          <t>2026-08-29T12:30:21.757664Z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inlineStr">
        <is>
          <t>94fffe0a4177af8828030b259d6d2d94392fb3fa1abdb27ab038dce5bdfc5a20</t>
        </is>
      </c>
      <c r="DE279" s="24" t="inlineStr">
        <is>
          <t>/Users/vincentc9002/model-prediction/data/odds/tennis/2026-08-27/polymarket_snapshots.jsonl</t>
        </is>
      </c>
      <c r="DF279" s="24" t="inlineStr">
        <is>
          <t>535210:2026-08-27T13:56:40.140965Z</t>
        </is>
      </c>
      <c r="DG279" s="24" t="n"/>
      <c r="DH279" s="24" t="n"/>
      <c r="DI279" s="24" t="n"/>
      <c r="DJ279" s="24" t="inlineStr">
        <is>
          <t>0.640288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769d5bb336344017</t>
        </is>
      </c>
      <c r="B280" s="24" t="inlineStr">
        <is>
          <t>2026-08-27T13:58:24.220632Z</t>
        </is>
      </c>
      <c r="C280" s="24" t="inlineStr">
        <is>
          <t>2026-08-27T18:00Z</t>
        </is>
      </c>
      <c r="D280" s="24" t="inlineStr">
        <is>
          <t>189-2026:184812</t>
        </is>
      </c>
      <c r="E280" s="24" t="inlineStr">
        <is>
          <t>TENNIS</t>
        </is>
      </c>
      <c r="F280" s="24" t="inlineStr">
        <is>
          <t>Vendula Valdmannova</t>
        </is>
      </c>
      <c r="G280" s="24" t="inlineStr">
        <is>
          <t>Elvina Kalieva</t>
        </is>
      </c>
      <c r="H280" s="24" t="inlineStr">
        <is>
          <t>moneyline</t>
        </is>
      </c>
      <c r="I280" s="24" t="inlineStr">
        <is>
          <t>away</t>
        </is>
      </c>
      <c r="J280" s="25" t="n"/>
      <c r="K280" s="24" t="inlineStr">
        <is>
          <t>polymarket_us</t>
        </is>
      </c>
      <c r="L280" s="26" t="n">
        <v>-117</v>
      </c>
      <c r="M280" s="27" t="n">
        <v>1.854701</v>
      </c>
      <c r="N280" s="28" t="n">
        <v>0.539171</v>
      </c>
      <c r="O280" s="28" t="n">
        <v>0.5304</v>
      </c>
      <c r="P280" s="28" t="n">
        <v>0.05</v>
      </c>
      <c r="Q280" s="28" t="n">
        <v>-0.008770999999999999</v>
      </c>
      <c r="R280" s="26" t="n">
        <v>16</v>
      </c>
      <c r="S280" s="29" t="n">
        <v>1</v>
      </c>
      <c r="T280" s="24" t="inlineStr">
        <is>
          <t>tennis-surface-elo-v1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1</v>
      </c>
      <c r="Y280" s="25" t="n"/>
      <c r="Z280" s="26" t="n">
        <v>-117</v>
      </c>
      <c r="AA280" s="28" t="n">
        <v>0.54</v>
      </c>
      <c r="AB280" s="28" t="n">
        <v>0.000829</v>
      </c>
      <c r="AC280" s="30" t="n">
        <v>-1</v>
      </c>
      <c r="AD280" s="24" t="inlineStr">
        <is>
          <t>2026-08-29T12:30:23.305527Z</t>
        </is>
      </c>
      <c r="AE280" s="31" t="inlineStr">
        <is>
          <t>Surface-blended Elo on Hard: Vendula Valdmannova p=0.530 vs Elvina Kalieva. Executable ask 0.5400 (aec-wta-elvkal-venval-2026-08-27).</t>
        </is>
      </c>
      <c r="AF280" s="31" t="inlineStr">
        <is>
          <t>Surface-blended Elo model; singles only, WTA+ATP market coverage, not yet locked-holdout qualified -- promoted by explicit operator directive, not genuine walk-forward validation.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Vendula Valdmannova</t>
        </is>
      </c>
      <c r="AQ280" s="24" t="inlineStr">
        <is>
          <t>Vendula Valdmannova</t>
        </is>
      </c>
      <c r="AR280" s="24" t="inlineStr">
        <is>
          <t>Vendula Valdmannova</t>
        </is>
      </c>
      <c r="AS280" s="24" t="inlineStr">
        <is>
          <t>Elvina Kalieva</t>
        </is>
      </c>
      <c r="AT280" s="24" t="inlineStr">
        <is>
          <t>Elvina Kalieva</t>
        </is>
      </c>
      <c r="AU280" s="24" t="inlineStr">
        <is>
          <t>Elvina Kalieva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d777da58446bc099047b154203518e2585ef1a678f613f2b430f2589f7bf5cff</t>
        </is>
      </c>
      <c r="BB280" s="24" t="inlineStr">
        <is>
          <t>surface_blended_elo</t>
        </is>
      </c>
      <c r="BC280" s="24" t="inlineStr">
        <is>
          <t>tennis-surface-elo-v1</t>
        </is>
      </c>
      <c r="BD280" s="24" t="inlineStr">
        <is>
          <t>d777da58446bc099047b154203518e2585ef1a678f613f2b430f2589f7bf5cff</t>
        </is>
      </c>
      <c r="BE280" s="24" t="inlineStr">
        <is>
          <t>tennis-surface-elo-v1</t>
        </is>
      </c>
      <c r="BF280" s="24" t="inlineStr">
        <is>
          <t>1</t>
        </is>
      </c>
      <c r="BG280" s="24" t="inlineStr">
        <is>
          <t>d777da58446bc099047b154203518e2585ef1a678f613f2b430f2589f7bf5cff</t>
        </is>
      </c>
      <c r="BH280" s="24" t="inlineStr">
        <is>
          <t>2026-08-27T13:56:40.186066Z</t>
        </is>
      </c>
      <c r="BI280" s="24" t="inlineStr">
        <is>
          <t>["same_event","same_team_same_day","same_league_same_day"]</t>
        </is>
      </c>
      <c r="BJ280" s="25" t="n"/>
      <c r="BK280" s="26" t="n">
        <v>-117</v>
      </c>
      <c r="BL280" s="27" t="n">
        <v>1.854701</v>
      </c>
      <c r="BM280" s="28" t="n">
        <v>0.539171</v>
      </c>
      <c r="BN280" s="28" t="n"/>
      <c r="BO280" s="28" t="n"/>
      <c r="BP280" s="25" t="n"/>
      <c r="BQ280" s="27" t="n">
        <v>1.854701</v>
      </c>
      <c r="BR280" s="28" t="n">
        <v>0.54</v>
      </c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2026-08-29T12:30:23.305527Z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inlineStr">
        <is>
          <t>952b833748871f6d2ccf24363409bbc21195d0327cefd62ae8eb6f51c9fd8508</t>
        </is>
      </c>
      <c r="DE280" s="24" t="inlineStr">
        <is>
          <t>/Users/vincentc9002/model-prediction/data/odds/tennis/2026-08-27/polymarket_snapshots.jsonl</t>
        </is>
      </c>
      <c r="DF280" s="24" t="inlineStr">
        <is>
          <t>535243:2026-08-27T13:56:40.186066Z</t>
        </is>
      </c>
      <c r="DG280" s="24" t="n"/>
      <c r="DH280" s="24" t="n"/>
      <c r="DI280" s="24" t="n"/>
      <c r="DJ280" s="24" t="inlineStr">
        <is>
          <t>0.539171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c65b26c827724024</t>
        </is>
      </c>
      <c r="B281" s="24" t="inlineStr">
        <is>
          <t>2026-08-27T13:58:24.220632Z</t>
        </is>
      </c>
      <c r="C281" s="24" t="inlineStr">
        <is>
          <t>2026-08-27T18:00Z</t>
        </is>
      </c>
      <c r="D281" s="24" t="inlineStr">
        <is>
          <t>189-2026:184814</t>
        </is>
      </c>
      <c r="E281" s="24" t="inlineStr">
        <is>
          <t>TENNIS</t>
        </is>
      </c>
      <c r="F281" s="24" t="inlineStr">
        <is>
          <t>Martyna Kubka</t>
        </is>
      </c>
      <c r="G281" s="24" t="inlineStr">
        <is>
          <t>Kristina Liutova</t>
        </is>
      </c>
      <c r="H281" s="24" t="inlineStr">
        <is>
          <t>moneyline</t>
        </is>
      </c>
      <c r="I281" s="24" t="inlineStr">
        <is>
          <t>home</t>
        </is>
      </c>
      <c r="J281" s="25" t="n"/>
      <c r="K281" s="24" t="inlineStr">
        <is>
          <t>polymarket_us</t>
        </is>
      </c>
      <c r="L281" s="26" t="n">
        <v>-300</v>
      </c>
      <c r="M281" s="27" t="n">
        <v>1.333333</v>
      </c>
      <c r="N281" s="28" t="n">
        <v>0.75</v>
      </c>
      <c r="O281" s="28" t="n">
        <v>0.5819</v>
      </c>
      <c r="P281" s="28" t="n">
        <v>0.05</v>
      </c>
      <c r="Q281" s="28" t="n">
        <v>-0.1681</v>
      </c>
      <c r="R281" s="26" t="n">
        <v>0</v>
      </c>
      <c r="S281" s="29" t="n">
        <v>1</v>
      </c>
      <c r="T281" s="24" t="inlineStr">
        <is>
          <t>tennis-surface-elo-v1</t>
        </is>
      </c>
      <c r="U281" s="24" t="inlineStr">
        <is>
          <t>settled</t>
        </is>
      </c>
      <c r="V281" s="24" t="inlineStr">
        <is>
          <t>win</t>
        </is>
      </c>
      <c r="W281" s="26" t="n">
        <v>0</v>
      </c>
      <c r="X281" s="26" t="n">
        <v>1</v>
      </c>
      <c r="Y281" s="25" t="n"/>
      <c r="Z281" s="26" t="n">
        <v>-300</v>
      </c>
      <c r="AA281" s="28" t="n">
        <v>0.75</v>
      </c>
      <c r="AB281" s="28" t="n">
        <v>0</v>
      </c>
      <c r="AC281" s="30" t="n">
        <v>0.3333</v>
      </c>
      <c r="AD281" s="24" t="inlineStr">
        <is>
          <t>2026-08-29T12:30:24.849484Z</t>
        </is>
      </c>
      <c r="AE281" s="31" t="inlineStr">
        <is>
          <t>Surface-blended Elo on Hard: Martyna Kubka p=0.418 vs Kristina Liutova. Executable ask 0.7500 (aec-wta-kriliu-markub-2026-08-28).</t>
        </is>
      </c>
      <c r="AF281" s="31" t="inlineStr">
        <is>
          <t>Surface-blended Elo model; singles only, WTA+ATP market coverage, not yet locked-holdout qualified -- promoted by explicit operator directive, not genuine walk-forward validation.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PAPER_CALL_MODEL_UNVALIDATED</t>
        </is>
      </c>
      <c r="AP281" s="24" t="inlineStr">
        <is>
          <t>Martyna Kubka</t>
        </is>
      </c>
      <c r="AQ281" s="24" t="inlineStr">
        <is>
          <t>Martyna Kubka</t>
        </is>
      </c>
      <c r="AR281" s="24" t="inlineStr">
        <is>
          <t>Martyna Kubka</t>
        </is>
      </c>
      <c r="AS281" s="24" t="inlineStr">
        <is>
          <t>Kristina Liutova</t>
        </is>
      </c>
      <c r="AT281" s="24" t="inlineStr">
        <is>
          <t>Kristina Liutova</t>
        </is>
      </c>
      <c r="AU281" s="24" t="inlineStr">
        <is>
          <t>Kristina Liutova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d777da58446bc099047b154203518e2585ef1a678f613f2b430f2589f7bf5cff</t>
        </is>
      </c>
      <c r="BB281" s="24" t="inlineStr">
        <is>
          <t>surface_blended_elo</t>
        </is>
      </c>
      <c r="BC281" s="24" t="inlineStr">
        <is>
          <t>tennis-surface-elo-v1</t>
        </is>
      </c>
      <c r="BD281" s="24" t="inlineStr">
        <is>
          <t>d777da58446bc099047b154203518e2585ef1a678f613f2b430f2589f7bf5cff</t>
        </is>
      </c>
      <c r="BE281" s="24" t="inlineStr">
        <is>
          <t>tennis-surface-elo-v1</t>
        </is>
      </c>
      <c r="BF281" s="24" t="inlineStr">
        <is>
          <t>1</t>
        </is>
      </c>
      <c r="BG281" s="24" t="inlineStr">
        <is>
          <t>d777da58446bc099047b154203518e2585ef1a678f613f2b430f2589f7bf5cff</t>
        </is>
      </c>
      <c r="BH281" s="24" t="inlineStr">
        <is>
          <t>2026-08-27T13:56:40.076610Z</t>
        </is>
      </c>
      <c r="BI281" s="24" t="inlineStr">
        <is>
          <t>["same_event","same_team_same_day","same_league_same_day"]</t>
        </is>
      </c>
      <c r="BJ281" s="25" t="n"/>
      <c r="BK281" s="26" t="n">
        <v>-300</v>
      </c>
      <c r="BL281" s="27" t="n">
        <v>1.333333</v>
      </c>
      <c r="BM281" s="28" t="n">
        <v>0.75</v>
      </c>
      <c r="BN281" s="28" t="n"/>
      <c r="BO281" s="28" t="n"/>
      <c r="BP281" s="25" t="n"/>
      <c r="BQ281" s="27" t="n">
        <v>1.333333</v>
      </c>
      <c r="BR281" s="28" t="n">
        <v>0.75</v>
      </c>
      <c r="BS281" s="28" t="n"/>
      <c r="BT281" s="28" t="n"/>
      <c r="BU281" s="25" t="n"/>
      <c r="BV281" s="29" t="n"/>
      <c r="BW281" s="24" t="n"/>
      <c r="BX281" s="30" t="n">
        <v>1</v>
      </c>
      <c r="BY281" s="27" t="n">
        <v>0.333333</v>
      </c>
      <c r="BZ281" s="24" t="inlineStr">
        <is>
          <t>2026-08-29T12:30:24.849484Z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inlineStr">
        <is>
          <t>e7df79559b5df4ad4cf87957bfdc1ee0bf12f0cc7ff1b759444599a4f0353ff9</t>
        </is>
      </c>
      <c r="DE281" s="24" t="inlineStr">
        <is>
          <t>/Users/vincentc9002/model-prediction/data/odds/tennis/2026-08-27/polymarket_snapshots.jsonl</t>
        </is>
      </c>
      <c r="DF281" s="24" t="inlineStr">
        <is>
          <t>535047:2026-08-27T13:56:40.076610Z</t>
        </is>
      </c>
      <c r="DG281" s="24" t="n"/>
      <c r="DH281" s="24" t="n"/>
      <c r="DI281" s="24" t="n"/>
      <c r="DJ281" s="24" t="inlineStr">
        <is>
          <t>0.75</t>
        </is>
      </c>
      <c r="DK281" s="24" t="n"/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7665f4cfad2f44fc</t>
        </is>
      </c>
      <c r="B282" s="24" t="inlineStr">
        <is>
          <t>2026-08-27T13:58:24.220632Z</t>
        </is>
      </c>
      <c r="C282" s="24" t="inlineStr">
        <is>
          <t>2026-08-27T15:00Z</t>
        </is>
      </c>
      <c r="D282" s="24" t="inlineStr">
        <is>
          <t>189-2026:184679</t>
        </is>
      </c>
      <c r="E282" s="24" t="inlineStr">
        <is>
          <t>TENNIS</t>
        </is>
      </c>
      <c r="F282" s="24" t="inlineStr">
        <is>
          <t>Jurij Rodionov</t>
        </is>
      </c>
      <c r="G282" s="24" t="inlineStr">
        <is>
          <t>Jacob Fearnley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-245</v>
      </c>
      <c r="M282" s="27" t="n">
        <v>1.408163</v>
      </c>
      <c r="N282" s="28" t="n">
        <v>0.710145</v>
      </c>
      <c r="O282" s="28" t="n">
        <v>0.5343</v>
      </c>
      <c r="P282" s="28" t="n">
        <v>0.05</v>
      </c>
      <c r="Q282" s="28" t="n">
        <v>-0.175845</v>
      </c>
      <c r="R282" s="26" t="n">
        <v>0</v>
      </c>
      <c r="S282" s="29" t="n">
        <v>1</v>
      </c>
      <c r="T282" s="24" t="inlineStr">
        <is>
          <t>tennis-surface-elo-v1</t>
        </is>
      </c>
      <c r="U282" s="24" t="inlineStr">
        <is>
          <t>settled</t>
        </is>
      </c>
      <c r="V282" s="24" t="inlineStr">
        <is>
          <t>loss</t>
        </is>
      </c>
      <c r="W282" s="26" t="n">
        <v>1</v>
      </c>
      <c r="X282" s="26" t="n">
        <v>0</v>
      </c>
      <c r="Y282" s="25" t="n"/>
      <c r="Z282" s="26" t="n">
        <v>-245</v>
      </c>
      <c r="AA282" s="28" t="n">
        <v>0.71</v>
      </c>
      <c r="AB282" s="28" t="n">
        <v>-0.000145</v>
      </c>
      <c r="AC282" s="30" t="n">
        <v>-1</v>
      </c>
      <c r="AD282" s="24" t="inlineStr">
        <is>
          <t>2026-08-29T12:30:26.446500Z</t>
        </is>
      </c>
      <c r="AE282" s="31" t="inlineStr">
        <is>
          <t>Surface-blended Elo on Hard: Jurij Rodionov p=0.466 vs Jacob Fearnley. Executable ask 0.7100 (aec-atp-jacfea-jurrod-2026-08-27).</t>
        </is>
      </c>
      <c r="AF282" s="31" t="inlineStr">
        <is>
          <t>Surface-blended Elo model; singles only, WTA+ATP market coverage, not yet locked-holdout qualified -- promoted by explicit operator directive, not genuine walk-forward validation.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Jurij Rodionov</t>
        </is>
      </c>
      <c r="AQ282" s="24" t="inlineStr">
        <is>
          <t>Jurij Rodionov</t>
        </is>
      </c>
      <c r="AR282" s="24" t="inlineStr">
        <is>
          <t>Jurij Rodionov</t>
        </is>
      </c>
      <c r="AS282" s="24" t="inlineStr">
        <is>
          <t>Jacob Fearnley</t>
        </is>
      </c>
      <c r="AT282" s="24" t="inlineStr">
        <is>
          <t>Jacob Fearnley</t>
        </is>
      </c>
      <c r="AU282" s="24" t="inlineStr">
        <is>
          <t>Jacob Fearnley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d777da58446bc099047b154203518e2585ef1a678f613f2b430f2589f7bf5cff</t>
        </is>
      </c>
      <c r="BB282" s="24" t="inlineStr">
        <is>
          <t>surface_blended_elo</t>
        </is>
      </c>
      <c r="BC282" s="24" t="inlineStr">
        <is>
          <t>tennis-surface-elo-v1</t>
        </is>
      </c>
      <c r="BD282" s="24" t="inlineStr">
        <is>
          <t>d777da58446bc099047b154203518e2585ef1a678f613f2b430f2589f7bf5cff</t>
        </is>
      </c>
      <c r="BE282" s="24" t="inlineStr">
        <is>
          <t>tennis-surface-elo-v1</t>
        </is>
      </c>
      <c r="BF282" s="24" t="inlineStr">
        <is>
          <t>1</t>
        </is>
      </c>
      <c r="BG282" s="24" t="inlineStr">
        <is>
          <t>d777da58446bc099047b154203518e2585ef1a678f613f2b430f2589f7bf5cff</t>
        </is>
      </c>
      <c r="BH282" s="24" t="inlineStr">
        <is>
          <t>2026-08-27T13:57:07.203680Z</t>
        </is>
      </c>
      <c r="BI282" s="24" t="inlineStr">
        <is>
          <t>["same_event","same_team_same_day","same_league_same_day"]</t>
        </is>
      </c>
      <c r="BJ282" s="25" t="n"/>
      <c r="BK282" s="26" t="n">
        <v>-245</v>
      </c>
      <c r="BL282" s="27" t="n">
        <v>1.408163</v>
      </c>
      <c r="BM282" s="28" t="n">
        <v>0.710145</v>
      </c>
      <c r="BN282" s="28" t="n"/>
      <c r="BO282" s="28" t="n"/>
      <c r="BP282" s="25" t="n"/>
      <c r="BQ282" s="27" t="n">
        <v>1.408163</v>
      </c>
      <c r="BR282" s="28" t="n">
        <v>0.71</v>
      </c>
      <c r="BS282" s="28" t="n"/>
      <c r="BT282" s="28" t="n"/>
      <c r="BU282" s="25" t="n"/>
      <c r="BV282" s="29" t="n"/>
      <c r="BW282" s="24" t="n"/>
      <c r="BX282" s="30" t="n">
        <v>1</v>
      </c>
      <c r="BY282" s="27" t="n">
        <v>-1</v>
      </c>
      <c r="BZ282" s="24" t="inlineStr">
        <is>
          <t>2026-08-29T12:30:26.446500Z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inlineStr">
        <is>
          <t>0db7454105651c507e92d823b0ef8445893d51ce3768833d71af7a0394d2a7d9</t>
        </is>
      </c>
      <c r="DE282" s="24" t="inlineStr">
        <is>
          <t>/Users/vincentc9002/model-prediction/data/odds/tennis/2026-08-27/polymarket_snapshots.jsonl</t>
        </is>
      </c>
      <c r="DF282" s="24" t="inlineStr">
        <is>
          <t>531136:2026-08-27T13:57:07.203680Z</t>
        </is>
      </c>
      <c r="DG282" s="24" t="n"/>
      <c r="DH282" s="24" t="n"/>
      <c r="DI282" s="24" t="n"/>
      <c r="DJ282" s="24" t="inlineStr">
        <is>
          <t>0.710145</t>
        </is>
      </c>
      <c r="DK282" s="24" t="n"/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a8e9959bff864dfc</t>
        </is>
      </c>
      <c r="B283" s="24" t="inlineStr">
        <is>
          <t>2026-08-27T13:58:24.220632Z</t>
        </is>
      </c>
      <c r="C283" s="24" t="inlineStr">
        <is>
          <t>2026-08-27T15:00Z</t>
        </is>
      </c>
      <c r="D283" s="24" t="inlineStr">
        <is>
          <t>189-2026:184683</t>
        </is>
      </c>
      <c r="E283" s="24" t="inlineStr">
        <is>
          <t>TENNIS</t>
        </is>
      </c>
      <c r="F283" s="24" t="inlineStr">
        <is>
          <t>Dusan Lajovic</t>
        </is>
      </c>
      <c r="G283" s="24" t="inlineStr">
        <is>
          <t>Chak Lam Coleman Wong</t>
        </is>
      </c>
      <c r="H283" s="24" t="inlineStr">
        <is>
          <t>moneyline</t>
        </is>
      </c>
      <c r="I283" s="24" t="inlineStr">
        <is>
          <t>home</t>
        </is>
      </c>
      <c r="J283" s="25" t="n"/>
      <c r="K283" s="24" t="inlineStr">
        <is>
          <t>polymarket_us</t>
        </is>
      </c>
      <c r="L283" s="26" t="n">
        <v>-203</v>
      </c>
      <c r="M283" s="27" t="n">
        <v>1.492611</v>
      </c>
      <c r="N283" s="28" t="n">
        <v>0.669967</v>
      </c>
      <c r="O283" s="28" t="n">
        <v>0.5788</v>
      </c>
      <c r="P283" s="28" t="n">
        <v>0.05</v>
      </c>
      <c r="Q283" s="28" t="n">
        <v>-0.091167</v>
      </c>
      <c r="R283" s="26" t="n">
        <v>0</v>
      </c>
      <c r="S283" s="29" t="n">
        <v>1</v>
      </c>
      <c r="T283" s="24" t="inlineStr">
        <is>
          <t>tennis-surface-elo-v1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1</v>
      </c>
      <c r="Y283" s="25" t="n"/>
      <c r="Z283" s="26" t="n">
        <v>-203</v>
      </c>
      <c r="AA283" s="28" t="n">
        <v>0.67</v>
      </c>
      <c r="AB283" s="28" t="n">
        <v>3.3e-05</v>
      </c>
      <c r="AC283" s="30" t="n">
        <v>0.4926</v>
      </c>
      <c r="AD283" s="24" t="inlineStr">
        <is>
          <t>2026-08-27T21:47:17.683935Z</t>
        </is>
      </c>
      <c r="AE283" s="31" t="inlineStr">
        <is>
          <t>Surface-blended Elo on Hard: Dusan Lajovic p=0.421 vs Chak Lam Coleman Wong. Executable ask 0.6700 (aec-atp-colwon-duslaj-2026-08-27).</t>
        </is>
      </c>
      <c r="AF283" s="31" t="inlineStr">
        <is>
          <t>Surface-blended Elo model; singles only, WTA+ATP market coverage, not yet locked-holdout qualified -- promoted by explicit operator directive, not genuine walk-forward validation.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Dusan Lajovic</t>
        </is>
      </c>
      <c r="AQ283" s="24" t="inlineStr">
        <is>
          <t>Dusan Lajovic</t>
        </is>
      </c>
      <c r="AR283" s="24" t="inlineStr">
        <is>
          <t>Dusan Lajovic</t>
        </is>
      </c>
      <c r="AS283" s="24" t="inlineStr">
        <is>
          <t>Chak Lam Coleman Wong</t>
        </is>
      </c>
      <c r="AT283" s="24" t="inlineStr">
        <is>
          <t>Chak Lam Coleman Wong</t>
        </is>
      </c>
      <c r="AU283" s="24" t="inlineStr">
        <is>
          <t>Chak Lam Coleman Wong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d777da58446bc099047b154203518e2585ef1a678f613f2b430f2589f7bf5cff</t>
        </is>
      </c>
      <c r="BB283" s="24" t="inlineStr">
        <is>
          <t>surface_blended_elo</t>
        </is>
      </c>
      <c r="BC283" s="24" t="inlineStr">
        <is>
          <t>tennis-surface-elo-v1</t>
        </is>
      </c>
      <c r="BD283" s="24" t="inlineStr">
        <is>
          <t>d777da58446bc099047b154203518e2585ef1a678f613f2b430f2589f7bf5cff</t>
        </is>
      </c>
      <c r="BE283" s="24" t="inlineStr">
        <is>
          <t>tennis-surface-elo-v1</t>
        </is>
      </c>
      <c r="BF283" s="24" t="inlineStr">
        <is>
          <t>1</t>
        </is>
      </c>
      <c r="BG283" s="24" t="inlineStr">
        <is>
          <t>d777da58446bc099047b154203518e2585ef1a678f613f2b430f2589f7bf5cff</t>
        </is>
      </c>
      <c r="BH283" s="24" t="inlineStr">
        <is>
          <t>2026-08-27T13:56:40.358056Z</t>
        </is>
      </c>
      <c r="BI283" s="24" t="inlineStr">
        <is>
          <t>["same_event","same_team_same_day","same_league_same_day"]</t>
        </is>
      </c>
      <c r="BJ283" s="25" t="n"/>
      <c r="BK283" s="26" t="n">
        <v>-203</v>
      </c>
      <c r="BL283" s="27" t="n">
        <v>1.492611</v>
      </c>
      <c r="BM283" s="28" t="n">
        <v>0.669967</v>
      </c>
      <c r="BN283" s="28" t="n"/>
      <c r="BO283" s="28" t="n"/>
      <c r="BP283" s="25" t="n"/>
      <c r="BQ283" s="27" t="n">
        <v>1.492611</v>
      </c>
      <c r="BR283" s="28" t="n">
        <v>0.67</v>
      </c>
      <c r="BS283" s="28" t="n"/>
      <c r="BT283" s="28" t="n"/>
      <c r="BU283" s="25" t="n"/>
      <c r="BV283" s="29" t="n"/>
      <c r="BW283" s="24" t="n"/>
      <c r="BX283" s="30" t="n">
        <v>1</v>
      </c>
      <c r="BY283" s="27" t="n">
        <v>0.492611</v>
      </c>
      <c r="BZ283" s="24" t="inlineStr">
        <is>
          <t>2026-08-27T21:47:17.683935Z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False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inlineStr">
        <is>
          <t>f017156f77dd3987588cf262df9bd5239010470390bc5ca0d7e2e29eca3875a7</t>
        </is>
      </c>
      <c r="DE283" s="24" t="inlineStr">
        <is>
          <t>/Users/vincentc9002/model-prediction/data/odds/tennis/2026-08-27/polymarket_snapshots.jsonl</t>
        </is>
      </c>
      <c r="DF283" s="24" t="inlineStr">
        <is>
          <t>531941:2026-08-27T13:56:40.358056Z</t>
        </is>
      </c>
      <c r="DG283" s="24" t="n"/>
      <c r="DH283" s="24" t="n"/>
      <c r="DI283" s="24" t="n"/>
      <c r="DJ283" s="24" t="inlineStr">
        <is>
          <t>0.669967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e807867a451a41e1</t>
        </is>
      </c>
      <c r="B284" s="24" t="inlineStr">
        <is>
          <t>2026-08-27T13:58:24.220632Z</t>
        </is>
      </c>
      <c r="C284" s="24" t="inlineStr">
        <is>
          <t>2026-08-27T15:00Z</t>
        </is>
      </c>
      <c r="D284" s="24" t="inlineStr">
        <is>
          <t>189-2026:184686</t>
        </is>
      </c>
      <c r="E284" s="24" t="inlineStr">
        <is>
          <t>TENNIS</t>
        </is>
      </c>
      <c r="F284" s="24" t="inlineStr">
        <is>
          <t>Cristian Garin</t>
        </is>
      </c>
      <c r="G284" s="24" t="inlineStr">
        <is>
          <t>Toby Samuel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-213</v>
      </c>
      <c r="M284" s="27" t="n">
        <v>1.469484</v>
      </c>
      <c r="N284" s="28" t="n">
        <v>0.680511</v>
      </c>
      <c r="O284" s="28" t="n">
        <v>0.6185</v>
      </c>
      <c r="P284" s="28" t="n">
        <v>0.05</v>
      </c>
      <c r="Q284" s="28" t="n">
        <v>-0.062011</v>
      </c>
      <c r="R284" s="26" t="n">
        <v>0</v>
      </c>
      <c r="S284" s="29" t="n">
        <v>1</v>
      </c>
      <c r="T284" s="24" t="inlineStr">
        <is>
          <t>tennis-surface-elo-v1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1</v>
      </c>
      <c r="Y284" s="25" t="n"/>
      <c r="Z284" s="26" t="n">
        <v>-213</v>
      </c>
      <c r="AA284" s="28" t="n">
        <v>0.68</v>
      </c>
      <c r="AB284" s="28" t="n">
        <v>-0.000511</v>
      </c>
      <c r="AC284" s="30" t="n">
        <v>0.4695</v>
      </c>
      <c r="AD284" s="24" t="inlineStr">
        <is>
          <t>2026-08-27T22:15:42.306436Z</t>
        </is>
      </c>
      <c r="AE284" s="31" t="inlineStr">
        <is>
          <t>Surface-blended Elo on Hard: Cristian Garin p=0.382 vs Toby Samuel. Executable ask 0.6800 (aec-atp-tobsam-crigar-2026-08-27).</t>
        </is>
      </c>
      <c r="AF284" s="31" t="inlineStr">
        <is>
          <t>Surface-blended Elo model; singles only, WTA+ATP market coverage, not yet locked-holdout qualified -- promoted by explicit operator directive, not genuine walk-forward validation.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Cristian Garin</t>
        </is>
      </c>
      <c r="AQ284" s="24" t="inlineStr">
        <is>
          <t>Cristian Garin</t>
        </is>
      </c>
      <c r="AR284" s="24" t="inlineStr">
        <is>
          <t>Cristian Garin</t>
        </is>
      </c>
      <c r="AS284" s="24" t="inlineStr">
        <is>
          <t>Toby Samuel</t>
        </is>
      </c>
      <c r="AT284" s="24" t="inlineStr">
        <is>
          <t>Toby Samuel</t>
        </is>
      </c>
      <c r="AU284" s="24" t="inlineStr">
        <is>
          <t>Toby Samuel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d777da58446bc099047b154203518e2585ef1a678f613f2b430f2589f7bf5cff</t>
        </is>
      </c>
      <c r="BB284" s="24" t="inlineStr">
        <is>
          <t>surface_blended_elo</t>
        </is>
      </c>
      <c r="BC284" s="24" t="inlineStr">
        <is>
          <t>tennis-surface-elo-v1</t>
        </is>
      </c>
      <c r="BD284" s="24" t="inlineStr">
        <is>
          <t>d777da58446bc099047b154203518e2585ef1a678f613f2b430f2589f7bf5cff</t>
        </is>
      </c>
      <c r="BE284" s="24" t="inlineStr">
        <is>
          <t>tennis-surface-elo-v1</t>
        </is>
      </c>
      <c r="BF284" s="24" t="inlineStr">
        <is>
          <t>1</t>
        </is>
      </c>
      <c r="BG284" s="24" t="inlineStr">
        <is>
          <t>d777da58446bc099047b154203518e2585ef1a678f613f2b430f2589f7bf5cff</t>
        </is>
      </c>
      <c r="BH284" s="24" t="inlineStr">
        <is>
          <t>2026-08-27T13:56:41.315147Z</t>
        </is>
      </c>
      <c r="BI284" s="24" t="inlineStr">
        <is>
          <t>["same_event","same_team_same_day","same_league_same_day"]</t>
        </is>
      </c>
      <c r="BJ284" s="25" t="n"/>
      <c r="BK284" s="26" t="n">
        <v>-213</v>
      </c>
      <c r="BL284" s="27" t="n">
        <v>1.469484</v>
      </c>
      <c r="BM284" s="28" t="n">
        <v>0.680511</v>
      </c>
      <c r="BN284" s="28" t="n"/>
      <c r="BO284" s="28" t="n"/>
      <c r="BP284" s="25" t="n"/>
      <c r="BQ284" s="27" t="n">
        <v>1.469484</v>
      </c>
      <c r="BR284" s="28" t="n">
        <v>0.68</v>
      </c>
      <c r="BS284" s="28" t="n"/>
      <c r="BT284" s="28" t="n"/>
      <c r="BU284" s="25" t="n"/>
      <c r="BV284" s="29" t="n"/>
      <c r="BW284" s="24" t="n"/>
      <c r="BX284" s="30" t="n">
        <v>1</v>
      </c>
      <c r="BY284" s="27" t="n">
        <v>0.469484</v>
      </c>
      <c r="BZ284" s="24" t="inlineStr">
        <is>
          <t>2026-08-27T22:15:42.306436Z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False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inlineStr">
        <is>
          <t>3d4ef7c15c27d3350c4f7c17a3f2a575048e4b4c01d1d3ca8c4f362e119929f8</t>
        </is>
      </c>
      <c r="DE284" s="24" t="inlineStr">
        <is>
          <t>/Users/vincentc9002/model-prediction/data/odds/tennis/2026-08-27/polymarket_snapshots.jsonl</t>
        </is>
      </c>
      <c r="DF284" s="24" t="inlineStr">
        <is>
          <t>532716:2026-08-27T13:56:41.315147Z</t>
        </is>
      </c>
      <c r="DG284" s="24" t="n"/>
      <c r="DH284" s="24" t="n"/>
      <c r="DI284" s="24" t="n"/>
      <c r="DJ284" s="24" t="inlineStr">
        <is>
          <t>0.680511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a5a79dc558014daa</t>
        </is>
      </c>
      <c r="B285" s="24" t="inlineStr">
        <is>
          <t>2026-08-27T13:58:24.220632Z</t>
        </is>
      </c>
      <c r="C285" s="24" t="inlineStr">
        <is>
          <t>2026-08-27T15:00Z</t>
        </is>
      </c>
      <c r="D285" s="24" t="inlineStr">
        <is>
          <t>189-2026:184771</t>
        </is>
      </c>
      <c r="E285" s="24" t="inlineStr">
        <is>
          <t>TENNIS</t>
        </is>
      </c>
      <c r="F285" s="24" t="inlineStr">
        <is>
          <t>Harry Wendelken</t>
        </is>
      </c>
      <c r="G285" s="24" t="inlineStr">
        <is>
          <t>Vilius Gaubas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polymarket_us</t>
        </is>
      </c>
      <c r="L285" s="26" t="n">
        <v>-144</v>
      </c>
      <c r="M285" s="27" t="n">
        <v>1.694444</v>
      </c>
      <c r="N285" s="28" t="n">
        <v>0.590164</v>
      </c>
      <c r="O285" s="28" t="n">
        <v>0.5547</v>
      </c>
      <c r="P285" s="28" t="n">
        <v>0.05</v>
      </c>
      <c r="Q285" s="28" t="n">
        <v>-0.035464</v>
      </c>
      <c r="R285" s="26" t="n">
        <v>2</v>
      </c>
      <c r="S285" s="29" t="n">
        <v>1</v>
      </c>
      <c r="T285" s="24" t="inlineStr">
        <is>
          <t>tennis-surface-elo-v1</t>
        </is>
      </c>
      <c r="U285" s="24" t="inlineStr">
        <is>
          <t>settled</t>
        </is>
      </c>
      <c r="V285" s="24" t="inlineStr">
        <is>
          <t>loss</t>
        </is>
      </c>
      <c r="W285" s="26" t="n">
        <v>1</v>
      </c>
      <c r="X285" s="26" t="n">
        <v>0</v>
      </c>
      <c r="Y285" s="25" t="n"/>
      <c r="Z285" s="26" t="n">
        <v>-144</v>
      </c>
      <c r="AA285" s="28" t="n">
        <v>0.59</v>
      </c>
      <c r="AB285" s="28" t="n">
        <v>-0.000164</v>
      </c>
      <c r="AC285" s="30" t="n">
        <v>-1</v>
      </c>
      <c r="AD285" s="24" t="inlineStr">
        <is>
          <t>2026-08-29T12:30:27.998955Z</t>
        </is>
      </c>
      <c r="AE285" s="31" t="inlineStr">
        <is>
          <t>Surface-blended Elo on Hard: Harry Wendelken p=0.445 vs Vilius Gaubas. Executable ask 0.5900 (aec-atp-vilgau-harwen-2026-08-27).</t>
        </is>
      </c>
      <c r="AF285" s="31" t="inlineStr">
        <is>
          <t>Surface-blended Elo model; singles only, WTA+ATP market coverage, not yet locked-holdout qualified -- promoted by explicit operator directive, not genuine walk-forward validation.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Harry Wendelken</t>
        </is>
      </c>
      <c r="AQ285" s="24" t="inlineStr">
        <is>
          <t>Harry Wendelken</t>
        </is>
      </c>
      <c r="AR285" s="24" t="inlineStr">
        <is>
          <t>Harry Wendelken</t>
        </is>
      </c>
      <c r="AS285" s="24" t="inlineStr">
        <is>
          <t>Vilius Gaubas</t>
        </is>
      </c>
      <c r="AT285" s="24" t="inlineStr">
        <is>
          <t>Vilius Gaubas</t>
        </is>
      </c>
      <c r="AU285" s="24" t="inlineStr">
        <is>
          <t>Vilius Gaubas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d777da58446bc099047b154203518e2585ef1a678f613f2b430f2589f7bf5cff</t>
        </is>
      </c>
      <c r="BB285" s="24" t="inlineStr">
        <is>
          <t>surface_blended_elo</t>
        </is>
      </c>
      <c r="BC285" s="24" t="inlineStr">
        <is>
          <t>tennis-surface-elo-v1</t>
        </is>
      </c>
      <c r="BD285" s="24" t="inlineStr">
        <is>
          <t>d777da58446bc099047b154203518e2585ef1a678f613f2b430f2589f7bf5cff</t>
        </is>
      </c>
      <c r="BE285" s="24" t="inlineStr">
        <is>
          <t>tennis-surface-elo-v1</t>
        </is>
      </c>
      <c r="BF285" s="24" t="inlineStr">
        <is>
          <t>1</t>
        </is>
      </c>
      <c r="BG285" s="24" t="inlineStr">
        <is>
          <t>d777da58446bc099047b154203518e2585ef1a678f613f2b430f2589f7bf5cff</t>
        </is>
      </c>
      <c r="BH285" s="24" t="inlineStr">
        <is>
          <t>2026-08-27T13:56:41.711079Z</t>
        </is>
      </c>
      <c r="BI285" s="24" t="inlineStr">
        <is>
          <t>["same_event","same_team_same_day","same_league_same_day"]</t>
        </is>
      </c>
      <c r="BJ285" s="25" t="n"/>
      <c r="BK285" s="26" t="n">
        <v>-144</v>
      </c>
      <c r="BL285" s="27" t="n">
        <v>1.694444</v>
      </c>
      <c r="BM285" s="28" t="n">
        <v>0.590164</v>
      </c>
      <c r="BN285" s="28" t="n"/>
      <c r="BO285" s="28" t="n"/>
      <c r="BP285" s="25" t="n"/>
      <c r="BQ285" s="27" t="n">
        <v>1.694444</v>
      </c>
      <c r="BR285" s="28" t="n">
        <v>0.59</v>
      </c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2026-08-29T12:30:27.998955Z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inlineStr">
        <is>
          <t>b05069239eca373b9b408dff2603b8247bd6273d6b6fef6e61025bcd5d1cfba1</t>
        </is>
      </c>
      <c r="DE285" s="24" t="inlineStr">
        <is>
          <t>/Users/vincentc9002/model-prediction/data/odds/tennis/2026-08-27/polymarket_snapshots.jsonl</t>
        </is>
      </c>
      <c r="DF285" s="24" t="inlineStr">
        <is>
          <t>533480:2026-08-27T13:56:41.711079Z</t>
        </is>
      </c>
      <c r="DG285" s="24" t="n"/>
      <c r="DH285" s="24" t="n"/>
      <c r="DI285" s="24" t="n"/>
      <c r="DJ285" s="24" t="inlineStr">
        <is>
          <t>0.590164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9c4c92e1d03244b7</t>
        </is>
      </c>
      <c r="B286" s="24" t="inlineStr">
        <is>
          <t>2026-08-27T13:58:24.220632Z</t>
        </is>
      </c>
      <c r="C286" s="24" t="inlineStr">
        <is>
          <t>2026-08-27T15:00Z</t>
        </is>
      </c>
      <c r="D286" s="24" t="inlineStr">
        <is>
          <t>189-2026:184805</t>
        </is>
      </c>
      <c r="E286" s="24" t="inlineStr">
        <is>
          <t>TENNIS</t>
        </is>
      </c>
      <c r="F286" s="24" t="inlineStr">
        <is>
          <t>Andrea Guerrieri</t>
        </is>
      </c>
      <c r="G286" s="24" t="inlineStr">
        <is>
          <t>Aziz Dougaz</t>
        </is>
      </c>
      <c r="H286" s="24" t="inlineStr">
        <is>
          <t>moneyline</t>
        </is>
      </c>
      <c r="I286" s="24" t="inlineStr">
        <is>
          <t>away</t>
        </is>
      </c>
      <c r="J286" s="25" t="n"/>
      <c r="K286" s="24" t="inlineStr">
        <is>
          <t>polymarket_us</t>
        </is>
      </c>
      <c r="L286" s="26" t="n">
        <v>100</v>
      </c>
      <c r="M286" s="27" t="n">
        <v>2</v>
      </c>
      <c r="N286" s="28" t="n">
        <v>0.5</v>
      </c>
      <c r="O286" s="28" t="n">
        <v>0.5996</v>
      </c>
      <c r="P286" s="28" t="n">
        <v>0.05</v>
      </c>
      <c r="Q286" s="28" t="n">
        <v>0.09959999999999999</v>
      </c>
      <c r="R286" s="26" t="n">
        <v>70</v>
      </c>
      <c r="S286" s="29" t="n">
        <v>1.25</v>
      </c>
      <c r="T286" s="24" t="inlineStr">
        <is>
          <t>tennis-surface-elo-v1</t>
        </is>
      </c>
      <c r="U286" s="24" t="inlineStr">
        <is>
          <t>settled</t>
        </is>
      </c>
      <c r="V286" s="24" t="inlineStr">
        <is>
          <t>win</t>
        </is>
      </c>
      <c r="W286" s="26" t="n">
        <v>1</v>
      </c>
      <c r="X286" s="26" t="n">
        <v>0</v>
      </c>
      <c r="Y286" s="25" t="n"/>
      <c r="Z286" s="26" t="n">
        <v>100</v>
      </c>
      <c r="AA286" s="28" t="n">
        <v>0.5</v>
      </c>
      <c r="AB286" s="28" t="n">
        <v>0</v>
      </c>
      <c r="AC286" s="30" t="n">
        <v>1.25</v>
      </c>
      <c r="AD286" s="24" t="inlineStr">
        <is>
          <t>2026-08-27T21:47:21.407665Z</t>
        </is>
      </c>
      <c r="AE286" s="31" t="inlineStr">
        <is>
          <t>Surface-blended Elo on Hard: Andrea Guerrieri p=0.600 vs Aziz Dougaz. Executable ask 0.5000 (aec-atp-azidou-andgue-2026-08-27).</t>
        </is>
      </c>
      <c r="AF286" s="31" t="inlineStr">
        <is>
          <t>Surface-blended Elo model; singles only, WTA+ATP market coverage, not yet locked-holdout qualified -- promoted by explicit operator directive, not genuine walk-forward validation.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Andrea Guerrieri</t>
        </is>
      </c>
      <c r="AQ286" s="24" t="inlineStr">
        <is>
          <t>Andrea Guerrieri</t>
        </is>
      </c>
      <c r="AR286" s="24" t="inlineStr">
        <is>
          <t>Andrea Guerrieri</t>
        </is>
      </c>
      <c r="AS286" s="24" t="inlineStr">
        <is>
          <t>Aziz Dougaz</t>
        </is>
      </c>
      <c r="AT286" s="24" t="inlineStr">
        <is>
          <t>Aziz Dougaz</t>
        </is>
      </c>
      <c r="AU286" s="24" t="inlineStr">
        <is>
          <t>Aziz Dougaz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d777da58446bc099047b154203518e2585ef1a678f613f2b430f2589f7bf5cff</t>
        </is>
      </c>
      <c r="BB286" s="24" t="inlineStr">
        <is>
          <t>surface_blended_elo</t>
        </is>
      </c>
      <c r="BC286" s="24" t="inlineStr">
        <is>
          <t>tennis-surface-elo-v1</t>
        </is>
      </c>
      <c r="BD286" s="24" t="inlineStr">
        <is>
          <t>d777da58446bc099047b154203518e2585ef1a678f613f2b430f2589f7bf5cff</t>
        </is>
      </c>
      <c r="BE286" s="24" t="inlineStr">
        <is>
          <t>tennis-surface-elo-v1</t>
        </is>
      </c>
      <c r="BF286" s="24" t="inlineStr">
        <is>
          <t>1</t>
        </is>
      </c>
      <c r="BG286" s="24" t="inlineStr">
        <is>
          <t>d777da58446bc099047b154203518e2585ef1a678f613f2b430f2589f7bf5cff</t>
        </is>
      </c>
      <c r="BH286" s="24" t="inlineStr">
        <is>
          <t>2026-08-27T13:56:41.150248Z</t>
        </is>
      </c>
      <c r="BI286" s="24" t="inlineStr">
        <is>
          <t>["same_event","same_team_same_day","same_league_same_day"]</t>
        </is>
      </c>
      <c r="BJ286" s="25" t="n"/>
      <c r="BK286" s="26" t="n">
        <v>100</v>
      </c>
      <c r="BL286" s="27" t="n">
        <v>2</v>
      </c>
      <c r="BM286" s="28" t="n">
        <v>0.5</v>
      </c>
      <c r="BN286" s="28" t="n"/>
      <c r="BO286" s="28" t="n"/>
      <c r="BP286" s="25" t="n"/>
      <c r="BQ286" s="27" t="n">
        <v>2</v>
      </c>
      <c r="BR286" s="28" t="n">
        <v>0.5</v>
      </c>
      <c r="BS286" s="28" t="n"/>
      <c r="BT286" s="28" t="n"/>
      <c r="BU286" s="25" t="n"/>
      <c r="BV286" s="29" t="n"/>
      <c r="BW286" s="24" t="n"/>
      <c r="BX286" s="30" t="n">
        <v>1</v>
      </c>
      <c r="BY286" s="27" t="n">
        <v>1</v>
      </c>
      <c r="BZ286" s="24" t="inlineStr">
        <is>
          <t>2026-08-27T21:47:21.407665Z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inlineStr">
        <is>
          <t>1ffe6f6c6c7922523d4d11724131eb46fc0063b9f35efa963c70fbc03aa9ce2a</t>
        </is>
      </c>
      <c r="DE286" s="24" t="inlineStr">
        <is>
          <t>/Users/vincentc9002/model-prediction/data/odds/tennis/2026-08-27/polymarket_snapshots.jsonl</t>
        </is>
      </c>
      <c r="DF286" s="24" t="inlineStr">
        <is>
          <t>530980:2026-08-27T13:56:41.150248Z</t>
        </is>
      </c>
      <c r="DG286" s="24" t="n"/>
      <c r="DH286" s="24" t="n"/>
      <c r="DI286" s="24" t="n"/>
      <c r="DJ286" s="24" t="inlineStr">
        <is>
          <t>0.5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eb2ae64e24454679</t>
        </is>
      </c>
      <c r="B287" s="24" t="inlineStr">
        <is>
          <t>2026-08-27T13:58:24.220632Z</t>
        </is>
      </c>
      <c r="C287" s="24" t="inlineStr">
        <is>
          <t>2026-08-27T16:30Z</t>
        </is>
      </c>
      <c r="D287" s="24" t="inlineStr">
        <is>
          <t>189-2026:184688</t>
        </is>
      </c>
      <c r="E287" s="24" t="inlineStr">
        <is>
          <t>TENNIS</t>
        </is>
      </c>
      <c r="F287" s="24" t="inlineStr">
        <is>
          <t>Francesco Passaro</t>
        </is>
      </c>
      <c r="G287" s="24" t="inlineStr">
        <is>
          <t>Shintaro Mochizuki</t>
        </is>
      </c>
      <c r="H287" s="24" t="inlineStr">
        <is>
          <t>moneyline</t>
        </is>
      </c>
      <c r="I287" s="24" t="inlineStr">
        <is>
          <t>away</t>
        </is>
      </c>
      <c r="J287" s="25" t="n"/>
      <c r="K287" s="24" t="inlineStr">
        <is>
          <t>polymarket_us</t>
        </is>
      </c>
      <c r="L287" s="26" t="n">
        <v>104</v>
      </c>
      <c r="M287" s="27" t="n">
        <v>2.04</v>
      </c>
      <c r="N287" s="28" t="n">
        <v>0.490196</v>
      </c>
      <c r="O287" s="28" t="n">
        <v>0.6111</v>
      </c>
      <c r="P287" s="28" t="n">
        <v>0.05</v>
      </c>
      <c r="Q287" s="28" t="n">
        <v>0.120904</v>
      </c>
      <c r="R287" s="26" t="n">
        <v>80</v>
      </c>
      <c r="S287" s="29" t="n">
        <v>1.5</v>
      </c>
      <c r="T287" s="24" t="inlineStr">
        <is>
          <t>tennis-surface-elo-v1</t>
        </is>
      </c>
      <c r="U287" s="24" t="inlineStr">
        <is>
          <t>settled</t>
        </is>
      </c>
      <c r="V287" s="24" t="inlineStr">
        <is>
          <t>win</t>
        </is>
      </c>
      <c r="W287" s="26" t="n">
        <v>1</v>
      </c>
      <c r="X287" s="26" t="n">
        <v>0</v>
      </c>
      <c r="Y287" s="25" t="n"/>
      <c r="Z287" s="26" t="n">
        <v>104</v>
      </c>
      <c r="AA287" s="28" t="n">
        <v>0.49</v>
      </c>
      <c r="AB287" s="28" t="n">
        <v>-0.000196</v>
      </c>
      <c r="AC287" s="30" t="n">
        <v>1.56</v>
      </c>
      <c r="AD287" s="24" t="inlineStr">
        <is>
          <t>2026-08-29T12:30:29.570705Z</t>
        </is>
      </c>
      <c r="AE287" s="31" t="inlineStr">
        <is>
          <t>Surface-blended Elo on Hard: Francesco Passaro p=0.611 vs Shintaro Mochizuki. Executable ask 0.4900 (aec-atp-shimoc-frapas-2026-08-27).</t>
        </is>
      </c>
      <c r="AF287" s="31" t="inlineStr">
        <is>
          <t>Surface-blended Elo model; singles only, WTA+ATP market coverage, not yet locked-holdout qualified -- promoted by explicit operator directive, not genuine walk-forward validation.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Francesco Passaro</t>
        </is>
      </c>
      <c r="AQ287" s="24" t="inlineStr">
        <is>
          <t>Francesco Passaro</t>
        </is>
      </c>
      <c r="AR287" s="24" t="inlineStr">
        <is>
          <t>Francesco Passaro</t>
        </is>
      </c>
      <c r="AS287" s="24" t="inlineStr">
        <is>
          <t>Shintaro Mochizuki</t>
        </is>
      </c>
      <c r="AT287" s="24" t="inlineStr">
        <is>
          <t>Shintaro Mochizuki</t>
        </is>
      </c>
      <c r="AU287" s="24" t="inlineStr">
        <is>
          <t>Shintaro Mochizuki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d777da58446bc099047b154203518e2585ef1a678f613f2b430f2589f7bf5cff</t>
        </is>
      </c>
      <c r="BB287" s="24" t="inlineStr">
        <is>
          <t>surface_blended_elo</t>
        </is>
      </c>
      <c r="BC287" s="24" t="inlineStr">
        <is>
          <t>tennis-surface-elo-v1</t>
        </is>
      </c>
      <c r="BD287" s="24" t="inlineStr">
        <is>
          <t>d777da58446bc099047b154203518e2585ef1a678f613f2b430f2589f7bf5cff</t>
        </is>
      </c>
      <c r="BE287" s="24" t="inlineStr">
        <is>
          <t>tennis-surface-elo-v1</t>
        </is>
      </c>
      <c r="BF287" s="24" t="inlineStr">
        <is>
          <t>1</t>
        </is>
      </c>
      <c r="BG287" s="24" t="inlineStr">
        <is>
          <t>d777da58446bc099047b154203518e2585ef1a678f613f2b430f2589f7bf5cff</t>
        </is>
      </c>
      <c r="BH287" s="24" t="inlineStr">
        <is>
          <t>2026-08-27T13:56:41.548383Z</t>
        </is>
      </c>
      <c r="BI287" s="24" t="inlineStr">
        <is>
          <t>["same_event","same_team_same_day","same_league_same_day"]</t>
        </is>
      </c>
      <c r="BJ287" s="25" t="n"/>
      <c r="BK287" s="26" t="n">
        <v>104</v>
      </c>
      <c r="BL287" s="27" t="n">
        <v>2.04</v>
      </c>
      <c r="BM287" s="28" t="n">
        <v>0.490196</v>
      </c>
      <c r="BN287" s="28" t="n"/>
      <c r="BO287" s="28" t="n"/>
      <c r="BP287" s="25" t="n"/>
      <c r="BQ287" s="27" t="n">
        <v>2.04</v>
      </c>
      <c r="BR287" s="28" t="n">
        <v>0.49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inlineStr">
        <is>
          <t>a6a73c3728f68ad33cbf50a4a27f71b1190002daff4b13475c8f583aaa407ef4</t>
        </is>
      </c>
      <c r="DE287" s="24" t="inlineStr">
        <is>
          <t>/Users/vincentc9002/model-prediction/data/odds/tennis/2026-08-27/polymarket_snapshots.jsonl</t>
        </is>
      </c>
      <c r="DF287" s="24" t="inlineStr">
        <is>
          <t>533483:2026-08-27T13:56:41.548383Z</t>
        </is>
      </c>
      <c r="DG287" s="24" t="n"/>
      <c r="DH287" s="24" t="n"/>
      <c r="DI287" s="24" t="n"/>
      <c r="DJ287" s="24" t="inlineStr">
        <is>
          <t>0.490196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bc64e0e9dbcc43c1</t>
        </is>
      </c>
      <c r="B288" s="24" t="inlineStr">
        <is>
          <t>2026-08-27T13:58:24.220632Z</t>
        </is>
      </c>
      <c r="C288" s="24" t="inlineStr">
        <is>
          <t>2026-08-27T16:30Z</t>
        </is>
      </c>
      <c r="D288" s="24" t="inlineStr">
        <is>
          <t>189-2026:184766</t>
        </is>
      </c>
      <c r="E288" s="24" t="inlineStr">
        <is>
          <t>TENNIS</t>
        </is>
      </c>
      <c r="F288" s="24" t="inlineStr">
        <is>
          <t>Nishesh Basavareddy</t>
        </is>
      </c>
      <c r="G288" s="24" t="inlineStr">
        <is>
          <t>Arthur Gea</t>
        </is>
      </c>
      <c r="H288" s="24" t="inlineStr">
        <is>
          <t>moneyline</t>
        </is>
      </c>
      <c r="I288" s="24" t="inlineStr">
        <is>
          <t>away</t>
        </is>
      </c>
      <c r="J288" s="25" t="n"/>
      <c r="K288" s="24" t="inlineStr">
        <is>
          <t>polymarket_us</t>
        </is>
      </c>
      <c r="L288" s="26" t="n">
        <v>133</v>
      </c>
      <c r="M288" s="27" t="n">
        <v>2.33</v>
      </c>
      <c r="N288" s="28" t="n">
        <v>0.429185</v>
      </c>
      <c r="O288" s="28" t="n">
        <v>0.5346</v>
      </c>
      <c r="P288" s="28" t="n">
        <v>0.05</v>
      </c>
      <c r="Q288" s="28" t="n">
        <v>0.105415</v>
      </c>
      <c r="R288" s="26" t="n">
        <v>73</v>
      </c>
      <c r="S288" s="29" t="n">
        <v>1.25</v>
      </c>
      <c r="T288" s="24" t="inlineStr">
        <is>
          <t>tennis-surface-elo-v1</t>
        </is>
      </c>
      <c r="U288" s="24" t="inlineStr">
        <is>
          <t>settled</t>
        </is>
      </c>
      <c r="V288" s="24" t="inlineStr">
        <is>
          <t>win</t>
        </is>
      </c>
      <c r="W288" s="26" t="n">
        <v>1</v>
      </c>
      <c r="X288" s="26" t="n">
        <v>0</v>
      </c>
      <c r="Y288" s="25" t="n"/>
      <c r="Z288" s="26" t="n">
        <v>133</v>
      </c>
      <c r="AA288" s="28" t="n">
        <v>0.43</v>
      </c>
      <c r="AB288" s="28" t="n">
        <v>0.000815</v>
      </c>
      <c r="AC288" s="30" t="n">
        <v>1.6625</v>
      </c>
      <c r="AD288" s="24" t="inlineStr">
        <is>
          <t>2026-08-29T12:30:31.173886Z</t>
        </is>
      </c>
      <c r="AE288" s="31" t="inlineStr">
        <is>
          <t>Surface-blended Elo on Hard: Nishesh Basavareddy p=0.535 vs Arthur Gea. Executable ask 0.4300 (aec-atp-artgea-nisbas-2026-08-27).</t>
        </is>
      </c>
      <c r="AF288" s="31" t="inlineStr">
        <is>
          <t>Surface-blended Elo model; singles only, WTA+ATP market coverage, not yet locked-holdout qualified -- promoted by explicit operator directive, not genuine walk-forward validation.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PAPER_CALL_LOW_EDGE</t>
        </is>
      </c>
      <c r="AP288" s="24" t="inlineStr">
        <is>
          <t>Nishesh Basavareddy</t>
        </is>
      </c>
      <c r="AQ288" s="24" t="inlineStr">
        <is>
          <t>Nishesh Basavareddy</t>
        </is>
      </c>
      <c r="AR288" s="24" t="inlineStr">
        <is>
          <t>Nishesh Basavareddy</t>
        </is>
      </c>
      <c r="AS288" s="24" t="inlineStr">
        <is>
          <t>Arthur Gea</t>
        </is>
      </c>
      <c r="AT288" s="24" t="inlineStr">
        <is>
          <t>Arthur Gea</t>
        </is>
      </c>
      <c r="AU288" s="24" t="inlineStr">
        <is>
          <t>Arthur Gea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d777da58446bc099047b154203518e2585ef1a678f613f2b430f2589f7bf5cff</t>
        </is>
      </c>
      <c r="BB288" s="24" t="inlineStr">
        <is>
          <t>surface_blended_elo</t>
        </is>
      </c>
      <c r="BC288" s="24" t="inlineStr">
        <is>
          <t>tennis-surface-elo-v1</t>
        </is>
      </c>
      <c r="BD288" s="24" t="inlineStr">
        <is>
          <t>d777da58446bc099047b154203518e2585ef1a678f613f2b430f2589f7bf5cff</t>
        </is>
      </c>
      <c r="BE288" s="24" t="inlineStr">
        <is>
          <t>tennis-surface-elo-v1</t>
        </is>
      </c>
      <c r="BF288" s="24" t="inlineStr">
        <is>
          <t>1</t>
        </is>
      </c>
      <c r="BG288" s="24" t="inlineStr">
        <is>
          <t>d777da58446bc099047b154203518e2585ef1a678f613f2b430f2589f7bf5cff</t>
        </is>
      </c>
      <c r="BH288" s="24" t="inlineStr">
        <is>
          <t>2026-08-27T13:56:40.467826Z</t>
        </is>
      </c>
      <c r="BI288" s="24" t="inlineStr">
        <is>
          <t>["same_event","same_team_same_day","same_league_same_day"]</t>
        </is>
      </c>
      <c r="BJ288" s="25" t="n"/>
      <c r="BK288" s="26" t="n">
        <v>133</v>
      </c>
      <c r="BL288" s="27" t="n">
        <v>2.33</v>
      </c>
      <c r="BM288" s="28" t="n">
        <v>0.429185</v>
      </c>
      <c r="BN288" s="28" t="n"/>
      <c r="BO288" s="28" t="n"/>
      <c r="BP288" s="25" t="n"/>
      <c r="BQ288" s="27" t="n">
        <v>2.33</v>
      </c>
      <c r="BR288" s="28" t="n">
        <v>0.43</v>
      </c>
      <c r="BS288" s="28" t="n"/>
      <c r="BT288" s="28" t="n"/>
      <c r="BU288" s="25" t="n"/>
      <c r="BV288" s="29" t="n"/>
      <c r="BW288" s="24" t="n"/>
      <c r="BX288" s="30" t="n">
        <v>1</v>
      </c>
      <c r="BY288" s="27" t="n">
        <v>1.329998</v>
      </c>
      <c r="BZ288" s="24" t="inlineStr">
        <is>
          <t>2026-08-29T12:30:31.173886Z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inlineStr">
        <is>
          <t>002d2e1942ede9c4d22be53e886ea9b59cc6d017b5176288897cb5377d303bb0</t>
        </is>
      </c>
      <c r="DE288" s="24" t="inlineStr">
        <is>
          <t>/Users/vincentc9002/model-prediction/data/odds/tennis/2026-08-27/polymarket_snapshots.jsonl</t>
        </is>
      </c>
      <c r="DF288" s="24" t="inlineStr">
        <is>
          <t>533486:2026-08-27T13:56:40.467826Z</t>
        </is>
      </c>
      <c r="DG288" s="24" t="n"/>
      <c r="DH288" s="24" t="n"/>
      <c r="DI288" s="24" t="n"/>
      <c r="DJ288" s="24" t="inlineStr">
        <is>
          <t>0.429185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bee1acab0d734b94</t>
        </is>
      </c>
      <c r="B289" s="24" t="inlineStr">
        <is>
          <t>2026-08-27T13:58:24.220632Z</t>
        </is>
      </c>
      <c r="C289" s="24" t="inlineStr">
        <is>
          <t>2026-08-27T16:30Z</t>
        </is>
      </c>
      <c r="D289" s="24" t="inlineStr">
        <is>
          <t>189-2026:184769</t>
        </is>
      </c>
      <c r="E289" s="24" t="inlineStr">
        <is>
          <t>TENNIS</t>
        </is>
      </c>
      <c r="F289" s="24" t="inlineStr">
        <is>
          <t>Grigor Dimitrov</t>
        </is>
      </c>
      <c r="G289" s="24" t="inlineStr">
        <is>
          <t>Otto Virtanen</t>
        </is>
      </c>
      <c r="H289" s="24" t="inlineStr">
        <is>
          <t>moneyline</t>
        </is>
      </c>
      <c r="I289" s="24" t="inlineStr">
        <is>
          <t>away</t>
        </is>
      </c>
      <c r="J289" s="25" t="n"/>
      <c r="K289" s="24" t="inlineStr">
        <is>
          <t>polymarket_us</t>
        </is>
      </c>
      <c r="L289" s="26" t="n">
        <v>-270</v>
      </c>
      <c r="M289" s="27" t="n">
        <v>1.37037</v>
      </c>
      <c r="N289" s="28" t="n">
        <v>0.72973</v>
      </c>
      <c r="O289" s="28" t="n">
        <v>0.6366000000000001</v>
      </c>
      <c r="P289" s="28" t="n">
        <v>0.05</v>
      </c>
      <c r="Q289" s="28" t="n">
        <v>-0.09313</v>
      </c>
      <c r="R289" s="26" t="n">
        <v>0</v>
      </c>
      <c r="S289" s="29" t="n">
        <v>1</v>
      </c>
      <c r="T289" s="24" t="inlineStr">
        <is>
          <t>tennis-surface-elo-v1</t>
        </is>
      </c>
      <c r="U289" s="24" t="inlineStr">
        <is>
          <t>settled</t>
        </is>
      </c>
      <c r="V289" s="24" t="inlineStr">
        <is>
          <t>win</t>
        </is>
      </c>
      <c r="W289" s="26" t="n">
        <v>1</v>
      </c>
      <c r="X289" s="26" t="n">
        <v>0</v>
      </c>
      <c r="Y289" s="25" t="n"/>
      <c r="Z289" s="26" t="n">
        <v>-270</v>
      </c>
      <c r="AA289" s="28" t="n">
        <v>0.73</v>
      </c>
      <c r="AB289" s="28" t="n">
        <v>0.00027</v>
      </c>
      <c r="AC289" s="30" t="n">
        <v>0.3704</v>
      </c>
      <c r="AD289" s="24" t="inlineStr">
        <is>
          <t>2026-08-27T21:47:24.668037Z</t>
        </is>
      </c>
      <c r="AE289" s="31" t="inlineStr">
        <is>
          <t>Surface-blended Elo on Hard: Grigor Dimitrov p=0.637 vs Otto Virtanen. Executable ask 0.7300 (aec-atp-ottvir-gridim-2026-08-27).</t>
        </is>
      </c>
      <c r="AF289" s="31" t="inlineStr">
        <is>
          <t>Surface-blended Elo model; singles only, WTA+ATP market coverage, not yet locked-holdout qualified -- promoted by explicit operator directive, not genuine walk-forward validation.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Grigor Dimitrov</t>
        </is>
      </c>
      <c r="AQ289" s="24" t="inlineStr">
        <is>
          <t>Grigor Dimitrov</t>
        </is>
      </c>
      <c r="AR289" s="24" t="inlineStr">
        <is>
          <t>Grigor Dimitrov</t>
        </is>
      </c>
      <c r="AS289" s="24" t="inlineStr">
        <is>
          <t>Otto Virtanen</t>
        </is>
      </c>
      <c r="AT289" s="24" t="inlineStr">
        <is>
          <t>Otto Virtanen</t>
        </is>
      </c>
      <c r="AU289" s="24" t="inlineStr">
        <is>
          <t>Otto Virtanen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d777da58446bc099047b154203518e2585ef1a678f613f2b430f2589f7bf5cff</t>
        </is>
      </c>
      <c r="BB289" s="24" t="inlineStr">
        <is>
          <t>surface_blended_elo</t>
        </is>
      </c>
      <c r="BC289" s="24" t="inlineStr">
        <is>
          <t>tennis-surface-elo-v1</t>
        </is>
      </c>
      <c r="BD289" s="24" t="inlineStr">
        <is>
          <t>d777da58446bc099047b154203518e2585ef1a678f613f2b430f2589f7bf5cff</t>
        </is>
      </c>
      <c r="BE289" s="24" t="inlineStr">
        <is>
          <t>tennis-surface-elo-v1</t>
        </is>
      </c>
      <c r="BF289" s="24" t="inlineStr">
        <is>
          <t>1</t>
        </is>
      </c>
      <c r="BG289" s="24" t="inlineStr">
        <is>
          <t>d777da58446bc099047b154203518e2585ef1a678f613f2b430f2589f7bf5cff</t>
        </is>
      </c>
      <c r="BH289" s="24" t="inlineStr">
        <is>
          <t>2026-08-27T13:56:42.022952Z</t>
        </is>
      </c>
      <c r="BI289" s="24" t="inlineStr">
        <is>
          <t>["same_event","same_team_same_day","same_league_same_day"]</t>
        </is>
      </c>
      <c r="BJ289" s="25" t="n"/>
      <c r="BK289" s="26" t="n">
        <v>-270</v>
      </c>
      <c r="BL289" s="27" t="n">
        <v>1.37037</v>
      </c>
      <c r="BM289" s="28" t="n">
        <v>0.72973</v>
      </c>
      <c r="BN289" s="28" t="n"/>
      <c r="BO289" s="28" t="n"/>
      <c r="BP289" s="25" t="n"/>
      <c r="BQ289" s="27" t="n">
        <v>1.37037</v>
      </c>
      <c r="BR289" s="28" t="n">
        <v>0.73</v>
      </c>
      <c r="BS289" s="28" t="n"/>
      <c r="BT289" s="28" t="n"/>
      <c r="BU289" s="25" t="n"/>
      <c r="BV289" s="29" t="n"/>
      <c r="BW289" s="24" t="n"/>
      <c r="BX289" s="30" t="n">
        <v>1</v>
      </c>
      <c r="BY289" s="27" t="n">
        <v>0.37037</v>
      </c>
      <c r="BZ289" s="24" t="inlineStr">
        <is>
          <t>2026-08-27T21:47:24.668037Z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inlineStr">
        <is>
          <t>3e7ba327bbb70a7b953b6a8a80183e85f82933faea8e493ea8d61997c29f5380</t>
        </is>
      </c>
      <c r="DE289" s="24" t="inlineStr">
        <is>
          <t>/Users/vincentc9002/model-prediction/data/odds/tennis/2026-08-27/polymarket_snapshots.jsonl</t>
        </is>
      </c>
      <c r="DF289" s="24" t="inlineStr">
        <is>
          <t>532493:2026-08-27T13:56:42.022952Z</t>
        </is>
      </c>
      <c r="DG289" s="24" t="n"/>
      <c r="DH289" s="24" t="n"/>
      <c r="DI289" s="24" t="n"/>
      <c r="DJ289" s="24" t="inlineStr">
        <is>
          <t>0.72973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28a7233a60e842b7</t>
        </is>
      </c>
      <c r="B290" s="24" t="inlineStr">
        <is>
          <t>2026-08-27T13:58:24.220632Z</t>
        </is>
      </c>
      <c r="C290" s="24" t="inlineStr">
        <is>
          <t>2026-08-27T16:30Z</t>
        </is>
      </c>
      <c r="D290" s="24" t="inlineStr">
        <is>
          <t>189-2026:184770</t>
        </is>
      </c>
      <c r="E290" s="24" t="inlineStr">
        <is>
          <t>TENNIS</t>
        </is>
      </c>
      <c r="F290" s="24" t="inlineStr">
        <is>
          <t>Mackenzie McDonald</t>
        </is>
      </c>
      <c r="G290" s="24" t="inlineStr">
        <is>
          <t>Dalibor Svrcina</t>
        </is>
      </c>
      <c r="H290" s="24" t="inlineStr">
        <is>
          <t>moneyline</t>
        </is>
      </c>
      <c r="I290" s="24" t="inlineStr">
        <is>
          <t>home</t>
        </is>
      </c>
      <c r="J290" s="25" t="n"/>
      <c r="K290" s="24" t="inlineStr">
        <is>
          <t>polymarket_us</t>
        </is>
      </c>
      <c r="L290" s="26" t="n">
        <v>-122</v>
      </c>
      <c r="M290" s="27" t="n">
        <v>1.819672</v>
      </c>
      <c r="N290" s="28" t="n">
        <v>0.54955</v>
      </c>
      <c r="O290" s="28" t="n">
        <v>0.503</v>
      </c>
      <c r="P290" s="28" t="n">
        <v>0.05</v>
      </c>
      <c r="Q290" s="28" t="n">
        <v>-0.04655</v>
      </c>
      <c r="R290" s="26" t="n">
        <v>0</v>
      </c>
      <c r="S290" s="29" t="n">
        <v>1</v>
      </c>
      <c r="T290" s="24" t="inlineStr">
        <is>
          <t>tennis-surface-elo-v1</t>
        </is>
      </c>
      <c r="U290" s="24" t="inlineStr">
        <is>
          <t>settled</t>
        </is>
      </c>
      <c r="V290" s="24" t="inlineStr">
        <is>
          <t>win</t>
        </is>
      </c>
      <c r="W290" s="26" t="n">
        <v>0</v>
      </c>
      <c r="X290" s="26" t="n">
        <v>1</v>
      </c>
      <c r="Y290" s="25" t="n"/>
      <c r="Z290" s="26" t="n">
        <v>-122</v>
      </c>
      <c r="AA290" s="28" t="n">
        <v>0.55</v>
      </c>
      <c r="AB290" s="28" t="n">
        <v>0.00045</v>
      </c>
      <c r="AC290" s="30" t="n">
        <v>0.8197</v>
      </c>
      <c r="AD290" s="24" t="inlineStr">
        <is>
          <t>2026-08-29T12:30:32.710297Z</t>
        </is>
      </c>
      <c r="AE290" s="31" t="inlineStr">
        <is>
          <t>Surface-blended Elo on Hard: Mackenzie McDonald p=0.497 vs Dalibor Svrcina. Executable ask 0.5500 (aec-atp-dalsvr-macmcd-2026-08-27).</t>
        </is>
      </c>
      <c r="AF290" s="31" t="inlineStr">
        <is>
          <t>Surface-blended Elo model; singles only, WTA+ATP market coverage, not yet locked-holdout qualified -- promoted by explicit operator directive, not genuine walk-forward validation.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Mackenzie McDonald</t>
        </is>
      </c>
      <c r="AQ290" s="24" t="inlineStr">
        <is>
          <t>Mackenzie McDonald</t>
        </is>
      </c>
      <c r="AR290" s="24" t="inlineStr">
        <is>
          <t>Mackenzie McDonald</t>
        </is>
      </c>
      <c r="AS290" s="24" t="inlineStr">
        <is>
          <t>Dalibor Svrcina</t>
        </is>
      </c>
      <c r="AT290" s="24" t="inlineStr">
        <is>
          <t>Dalibor Svrcina</t>
        </is>
      </c>
      <c r="AU290" s="24" t="inlineStr">
        <is>
          <t>Dalibor Svrcina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d777da58446bc099047b154203518e2585ef1a678f613f2b430f2589f7bf5cff</t>
        </is>
      </c>
      <c r="BB290" s="24" t="inlineStr">
        <is>
          <t>surface_blended_elo</t>
        </is>
      </c>
      <c r="BC290" s="24" t="inlineStr">
        <is>
          <t>tennis-surface-elo-v1</t>
        </is>
      </c>
      <c r="BD290" s="24" t="inlineStr">
        <is>
          <t>d777da58446bc099047b154203518e2585ef1a678f613f2b430f2589f7bf5cff</t>
        </is>
      </c>
      <c r="BE290" s="24" t="inlineStr">
        <is>
          <t>tennis-surface-elo-v1</t>
        </is>
      </c>
      <c r="BF290" s="24" t="inlineStr">
        <is>
          <t>1</t>
        </is>
      </c>
      <c r="BG290" s="24" t="inlineStr">
        <is>
          <t>d777da58446bc099047b154203518e2585ef1a678f613f2b430f2589f7bf5cff</t>
        </is>
      </c>
      <c r="BH290" s="24" t="inlineStr">
        <is>
          <t>2026-08-27T13:56:40.580365Z</t>
        </is>
      </c>
      <c r="BI290" s="24" t="inlineStr">
        <is>
          <t>["same_event","same_team_same_day","same_league_same_day"]</t>
        </is>
      </c>
      <c r="BJ290" s="25" t="n"/>
      <c r="BK290" s="26" t="n">
        <v>-122</v>
      </c>
      <c r="BL290" s="27" t="n">
        <v>1.819672</v>
      </c>
      <c r="BM290" s="28" t="n">
        <v>0.54955</v>
      </c>
      <c r="BN290" s="28" t="n"/>
      <c r="BO290" s="28" t="n"/>
      <c r="BP290" s="25" t="n"/>
      <c r="BQ290" s="27" t="n">
        <v>1.819672</v>
      </c>
      <c r="BR290" s="28" t="n">
        <v>0.55</v>
      </c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0.819671</v>
      </c>
      <c r="BZ290" s="24" t="inlineStr">
        <is>
          <t>2026-08-29T12:30:32.710297Z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False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inlineStr">
        <is>
          <t>b2a1a888ddb4c8002a92065bc30b97a1cd846883adb131e4be54aed27b06f560</t>
        </is>
      </c>
      <c r="DE290" s="24" t="inlineStr">
        <is>
          <t>/Users/vincentc9002/model-prediction/data/odds/tennis/2026-08-27/polymarket_snapshots.jsonl</t>
        </is>
      </c>
      <c r="DF290" s="24" t="inlineStr">
        <is>
          <t>533481:2026-08-27T13:56:40.580365Z</t>
        </is>
      </c>
      <c r="DG290" s="24" t="n"/>
      <c r="DH290" s="24" t="n"/>
      <c r="DI290" s="24" t="n"/>
      <c r="DJ290" s="24" t="inlineStr">
        <is>
          <t>0.54955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11636077f76e40b4</t>
        </is>
      </c>
      <c r="B291" s="24" t="inlineStr">
        <is>
          <t>2026-08-27T13:58:24.220632Z</t>
        </is>
      </c>
      <c r="C291" s="24" t="inlineStr">
        <is>
          <t>2026-08-27T17:00Z</t>
        </is>
      </c>
      <c r="D291" s="24" t="inlineStr">
        <is>
          <t>189-2026:184685</t>
        </is>
      </c>
      <c r="E291" s="24" t="inlineStr">
        <is>
          <t>TENNIS</t>
        </is>
      </c>
      <c r="F291" s="24" t="inlineStr">
        <is>
          <t>Christopher O'Connell</t>
        </is>
      </c>
      <c r="G291" s="24" t="inlineStr">
        <is>
          <t>Zsombor Piros</t>
        </is>
      </c>
      <c r="H291" s="24" t="inlineStr">
        <is>
          <t>moneyline</t>
        </is>
      </c>
      <c r="I291" s="24" t="inlineStr">
        <is>
          <t>away</t>
        </is>
      </c>
      <c r="J291" s="25" t="n"/>
      <c r="K291" s="24" t="inlineStr">
        <is>
          <t>polymarket_us</t>
        </is>
      </c>
      <c r="L291" s="26" t="n">
        <v>-163</v>
      </c>
      <c r="M291" s="27" t="n">
        <v>1.613497</v>
      </c>
      <c r="N291" s="28" t="n">
        <v>0.619772</v>
      </c>
      <c r="O291" s="28" t="n">
        <v>0.6953</v>
      </c>
      <c r="P291" s="28" t="n">
        <v>0.05</v>
      </c>
      <c r="Q291" s="28" t="n">
        <v>0.075528</v>
      </c>
      <c r="R291" s="26" t="n">
        <v>58</v>
      </c>
      <c r="S291" s="29" t="n">
        <v>1.25</v>
      </c>
      <c r="T291" s="24" t="inlineStr">
        <is>
          <t>tennis-surface-elo-v1</t>
        </is>
      </c>
      <c r="U291" s="24" t="inlineStr">
        <is>
          <t>settled</t>
        </is>
      </c>
      <c r="V291" s="24" t="inlineStr">
        <is>
          <t>loss</t>
        </is>
      </c>
      <c r="W291" s="26" t="n">
        <v>0</v>
      </c>
      <c r="X291" s="26" t="n">
        <v>1</v>
      </c>
      <c r="Y291" s="25" t="n"/>
      <c r="Z291" s="26" t="n">
        <v>-163</v>
      </c>
      <c r="AA291" s="28" t="n">
        <v>0.62</v>
      </c>
      <c r="AB291" s="28" t="n">
        <v>0.000228</v>
      </c>
      <c r="AC291" s="30" t="n">
        <v>-1.25</v>
      </c>
      <c r="AD291" s="24" t="inlineStr">
        <is>
          <t>2026-08-29T12:30:34.266917Z</t>
        </is>
      </c>
      <c r="AE291" s="31" t="inlineStr">
        <is>
          <t>Surface-blended Elo on Hard: Christopher O'Connell p=0.695 vs Zsombor Piros. Executable ask 0.6200 (aec-atp-zsopir-chroco-2026-08-27).</t>
        </is>
      </c>
      <c r="AF291" s="31" t="inlineStr">
        <is>
          <t>Surface-blended Elo model; singles only, WTA+ATP market coverage, not yet locked-holdout qualified -- promoted by explicit operator directive, not genuine walk-forward validation.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Christopher O'Connell</t>
        </is>
      </c>
      <c r="AQ291" s="24" t="inlineStr">
        <is>
          <t>Christopher O'Connell</t>
        </is>
      </c>
      <c r="AR291" s="24" t="inlineStr">
        <is>
          <t>Christopher O'Connell</t>
        </is>
      </c>
      <c r="AS291" s="24" t="inlineStr">
        <is>
          <t>Zsombor Piros</t>
        </is>
      </c>
      <c r="AT291" s="24" t="inlineStr">
        <is>
          <t>Zsombor Piros</t>
        </is>
      </c>
      <c r="AU291" s="24" t="inlineStr">
        <is>
          <t>Zsombor Piros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d777da58446bc099047b154203518e2585ef1a678f613f2b430f2589f7bf5cff</t>
        </is>
      </c>
      <c r="BB291" s="24" t="inlineStr">
        <is>
          <t>surface_blended_elo</t>
        </is>
      </c>
      <c r="BC291" s="24" t="inlineStr">
        <is>
          <t>tennis-surface-elo-v1</t>
        </is>
      </c>
      <c r="BD291" s="24" t="inlineStr">
        <is>
          <t>d777da58446bc099047b154203518e2585ef1a678f613f2b430f2589f7bf5cff</t>
        </is>
      </c>
      <c r="BE291" s="24" t="inlineStr">
        <is>
          <t>tennis-surface-elo-v1</t>
        </is>
      </c>
      <c r="BF291" s="24" t="inlineStr">
        <is>
          <t>1</t>
        </is>
      </c>
      <c r="BG291" s="24" t="inlineStr">
        <is>
          <t>d777da58446bc099047b154203518e2585ef1a678f613f2b430f2589f7bf5cff</t>
        </is>
      </c>
      <c r="BH291" s="24" t="inlineStr">
        <is>
          <t>2026-08-27T13:56:42.351188Z</t>
        </is>
      </c>
      <c r="BI291" s="24" t="inlineStr">
        <is>
          <t>["same_event","same_team_same_day","same_league_same_day"]</t>
        </is>
      </c>
      <c r="BJ291" s="25" t="n"/>
      <c r="BK291" s="26" t="n">
        <v>-163</v>
      </c>
      <c r="BL291" s="27" t="n">
        <v>1.613497</v>
      </c>
      <c r="BM291" s="28" t="n">
        <v>0.619772</v>
      </c>
      <c r="BN291" s="28" t="n"/>
      <c r="BO291" s="28" t="n"/>
      <c r="BP291" s="25" t="n"/>
      <c r="BQ291" s="27" t="n">
        <v>1.613497</v>
      </c>
      <c r="BR291" s="28" t="n">
        <v>0.62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inlineStr">
        <is>
          <t>a3b8b298c93937bcc76ec9f04716d7adbf51d662cbd95c6eebe948a1966857ab</t>
        </is>
      </c>
      <c r="DE291" s="24" t="inlineStr">
        <is>
          <t>/Users/vincentc9002/model-prediction/data/odds/tennis/2026-08-27/polymarket_snapshots.jsonl</t>
        </is>
      </c>
      <c r="DF291" s="24" t="inlineStr">
        <is>
          <t>534041:2026-08-27T13:56:42.351188Z</t>
        </is>
      </c>
      <c r="DG291" s="24" t="n"/>
      <c r="DH291" s="24" t="n"/>
      <c r="DI291" s="24" t="n"/>
      <c r="DJ291" s="24" t="inlineStr">
        <is>
          <t>0.619772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dcd864a806154bf0</t>
        </is>
      </c>
      <c r="B292" s="24" t="inlineStr">
        <is>
          <t>2026-08-27T13:58:24.220632Z</t>
        </is>
      </c>
      <c r="C292" s="24" t="inlineStr">
        <is>
          <t>2026-08-27T17:00Z</t>
        </is>
      </c>
      <c r="D292" s="24" t="inlineStr">
        <is>
          <t>189-2026:184689</t>
        </is>
      </c>
      <c r="E292" s="24" t="inlineStr">
        <is>
          <t>TENNIS</t>
        </is>
      </c>
      <c r="F292" s="24" t="inlineStr">
        <is>
          <t>Pablo Llamas Ruiz</t>
        </is>
      </c>
      <c r="G292" s="24" t="inlineStr">
        <is>
          <t>Lloyd Harris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polymarket_us</t>
        </is>
      </c>
      <c r="L292" s="26" t="n">
        <v>-178</v>
      </c>
      <c r="M292" s="27" t="n">
        <v>1.561798</v>
      </c>
      <c r="N292" s="28" t="n">
        <v>0.640288</v>
      </c>
      <c r="O292" s="28" t="n">
        <v>0.515</v>
      </c>
      <c r="P292" s="28" t="n">
        <v>0.05</v>
      </c>
      <c r="Q292" s="28" t="n">
        <v>-0.125288</v>
      </c>
      <c r="R292" s="26" t="n">
        <v>0</v>
      </c>
      <c r="S292" s="29" t="n">
        <v>1</v>
      </c>
      <c r="T292" s="24" t="inlineStr">
        <is>
          <t>tennis-surface-elo-v1</t>
        </is>
      </c>
      <c r="U292" s="24" t="inlineStr">
        <is>
          <t>settled</t>
        </is>
      </c>
      <c r="V292" s="24" t="inlineStr">
        <is>
          <t>win</t>
        </is>
      </c>
      <c r="W292" s="26" t="n">
        <v>0</v>
      </c>
      <c r="X292" s="26" t="n">
        <v>1</v>
      </c>
      <c r="Y292" s="25" t="n"/>
      <c r="Z292" s="26" t="n">
        <v>-178</v>
      </c>
      <c r="AA292" s="28" t="n">
        <v>0.64</v>
      </c>
      <c r="AB292" s="28" t="n">
        <v>-0.000288</v>
      </c>
      <c r="AC292" s="30" t="n">
        <v>0.5618</v>
      </c>
      <c r="AD292" s="24" t="inlineStr">
        <is>
          <t>2026-08-29T12:30:35.821559Z</t>
        </is>
      </c>
      <c r="AE292" s="31" t="inlineStr">
        <is>
          <t>Surface-blended Elo on Hard: Pablo Llamas Ruiz p=0.485 vs Lloyd Harris. Executable ask 0.6400 (aec-atp-llohar-pabrui-2026-08-27).</t>
        </is>
      </c>
      <c r="AF292" s="31" t="inlineStr">
        <is>
          <t>Surface-blended Elo model; singles only, WTA+ATP market coverage, not yet locked-holdout qualified -- promoted by explicit operator directive, not genuine walk-forward validation.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Pablo Llamas Ruiz</t>
        </is>
      </c>
      <c r="AQ292" s="24" t="inlineStr">
        <is>
          <t>Pablo Llamas Ruiz</t>
        </is>
      </c>
      <c r="AR292" s="24" t="inlineStr">
        <is>
          <t>Pablo Llamas Ruiz</t>
        </is>
      </c>
      <c r="AS292" s="24" t="inlineStr">
        <is>
          <t>Lloyd Harris</t>
        </is>
      </c>
      <c r="AT292" s="24" t="inlineStr">
        <is>
          <t>Lloyd Harris</t>
        </is>
      </c>
      <c r="AU292" s="24" t="inlineStr">
        <is>
          <t>Lloyd Harris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d777da58446bc099047b154203518e2585ef1a678f613f2b430f2589f7bf5cff</t>
        </is>
      </c>
      <c r="BB292" s="24" t="inlineStr">
        <is>
          <t>surface_blended_elo</t>
        </is>
      </c>
      <c r="BC292" s="24" t="inlineStr">
        <is>
          <t>tennis-surface-elo-v1</t>
        </is>
      </c>
      <c r="BD292" s="24" t="inlineStr">
        <is>
          <t>d777da58446bc099047b154203518e2585ef1a678f613f2b430f2589f7bf5cff</t>
        </is>
      </c>
      <c r="BE292" s="24" t="inlineStr">
        <is>
          <t>tennis-surface-elo-v1</t>
        </is>
      </c>
      <c r="BF292" s="24" t="inlineStr">
        <is>
          <t>1</t>
        </is>
      </c>
      <c r="BG292" s="24" t="inlineStr">
        <is>
          <t>d777da58446bc099047b154203518e2585ef1a678f613f2b430f2589f7bf5cff</t>
        </is>
      </c>
      <c r="BH292" s="24" t="inlineStr">
        <is>
          <t>2026-08-27T13:56:42.136106Z</t>
        </is>
      </c>
      <c r="BI292" s="24" t="inlineStr">
        <is>
          <t>["same_event","same_team_same_day","same_league_same_day"]</t>
        </is>
      </c>
      <c r="BJ292" s="25" t="n"/>
      <c r="BK292" s="26" t="n">
        <v>-178</v>
      </c>
      <c r="BL292" s="27" t="n">
        <v>1.561798</v>
      </c>
      <c r="BM292" s="28" t="n">
        <v>0.640288</v>
      </c>
      <c r="BN292" s="28" t="n"/>
      <c r="BO292" s="28" t="n"/>
      <c r="BP292" s="25" t="n"/>
      <c r="BQ292" s="27" t="n">
        <v>1.561798</v>
      </c>
      <c r="BR292" s="28" t="n">
        <v>0.64</v>
      </c>
      <c r="BS292" s="28" t="n"/>
      <c r="BT292" s="28" t="n"/>
      <c r="BU292" s="25" t="n"/>
      <c r="BV292" s="29" t="n"/>
      <c r="BW292" s="24" t="n"/>
      <c r="BX292" s="30" t="n">
        <v>1</v>
      </c>
      <c r="BY292" s="27" t="n">
        <v>0.561797</v>
      </c>
      <c r="BZ292" s="24" t="inlineStr">
        <is>
          <t>2026-08-29T12:30:35.821559Z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inlineStr">
        <is>
          <t>4d35d53fd27bec2bf3bea4182df6b4cfc5ad607be0779184cdd591d7fe10749c</t>
        </is>
      </c>
      <c r="DE292" s="24" t="inlineStr">
        <is>
          <t>/Users/vincentc9002/model-prediction/data/odds/tennis/2026-08-27/polymarket_snapshots.jsonl</t>
        </is>
      </c>
      <c r="DF292" s="24" t="inlineStr">
        <is>
          <t>535134:2026-08-27T13:56:42.136106Z</t>
        </is>
      </c>
      <c r="DG292" s="24" t="n"/>
      <c r="DH292" s="24" t="n"/>
      <c r="DI292" s="24" t="n"/>
      <c r="DJ292" s="24" t="inlineStr">
        <is>
          <t>0.640288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1a5f4b6fe3754d82</t>
        </is>
      </c>
      <c r="B293" s="24" t="inlineStr">
        <is>
          <t>2026-08-27T13:58:24.220632Z</t>
        </is>
      </c>
      <c r="C293" s="24" t="inlineStr">
        <is>
          <t>2026-08-27T18:00Z</t>
        </is>
      </c>
      <c r="D293" s="24" t="inlineStr">
        <is>
          <t>189-2026:184680</t>
        </is>
      </c>
      <c r="E293" s="24" t="inlineStr">
        <is>
          <t>TENNIS</t>
        </is>
      </c>
      <c r="F293" s="24" t="inlineStr">
        <is>
          <t>Tristan Schoolkate</t>
        </is>
      </c>
      <c r="G293" s="24" t="inlineStr">
        <is>
          <t>Liam Draxl</t>
        </is>
      </c>
      <c r="H293" s="24" t="inlineStr">
        <is>
          <t>moneyline</t>
        </is>
      </c>
      <c r="I293" s="24" t="inlineStr">
        <is>
          <t>away</t>
        </is>
      </c>
      <c r="J293" s="25" t="n"/>
      <c r="K293" s="24" t="inlineStr">
        <is>
          <t>polymarket_us</t>
        </is>
      </c>
      <c r="L293" s="26" t="n">
        <v>113</v>
      </c>
      <c r="M293" s="27" t="n">
        <v>2.13</v>
      </c>
      <c r="N293" s="28" t="n">
        <v>0.469484</v>
      </c>
      <c r="O293" s="28" t="n">
        <v>0.5042</v>
      </c>
      <c r="P293" s="28" t="n">
        <v>0.05</v>
      </c>
      <c r="Q293" s="28" t="n">
        <v>0.034716</v>
      </c>
      <c r="R293" s="26" t="n">
        <v>37</v>
      </c>
      <c r="S293" s="29" t="n">
        <v>1</v>
      </c>
      <c r="T293" s="24" t="inlineStr">
        <is>
          <t>tennis-surface-elo-v1</t>
        </is>
      </c>
      <c r="U293" s="24" t="inlineStr">
        <is>
          <t>settled</t>
        </is>
      </c>
      <c r="V293" s="24" t="inlineStr">
        <is>
          <t>win</t>
        </is>
      </c>
      <c r="W293" s="26" t="n">
        <v>1</v>
      </c>
      <c r="X293" s="26" t="n">
        <v>0</v>
      </c>
      <c r="Y293" s="25" t="n"/>
      <c r="Z293" s="26" t="n">
        <v>113</v>
      </c>
      <c r="AA293" s="28" t="n">
        <v>0.47</v>
      </c>
      <c r="AB293" s="28" t="n">
        <v>0.000516</v>
      </c>
      <c r="AC293" s="30" t="n">
        <v>1.13</v>
      </c>
      <c r="AD293" s="24" t="inlineStr">
        <is>
          <t>2026-08-29T12:30:37.428253Z</t>
        </is>
      </c>
      <c r="AE293" s="31" t="inlineStr">
        <is>
          <t>Surface-blended Elo on Hard: Tristan Schoolkate p=0.504 vs Liam Draxl. Executable ask 0.4700 (aec-atp-liadra-trisch-2026-08-27).</t>
        </is>
      </c>
      <c r="AF293" s="31" t="inlineStr">
        <is>
          <t>Surface-blended Elo model; singles only, WTA+ATP market coverage, not yet locked-holdout qualified -- promoted by explicit operator directive, not genuine walk-forward validation.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PAPER_CALL_LOW_EDGE</t>
        </is>
      </c>
      <c r="AP293" s="24" t="inlineStr">
        <is>
          <t>Tristan Schoolkate</t>
        </is>
      </c>
      <c r="AQ293" s="24" t="inlineStr">
        <is>
          <t>Tristan Schoolkate</t>
        </is>
      </c>
      <c r="AR293" s="24" t="inlineStr">
        <is>
          <t>Tristan Schoolkate</t>
        </is>
      </c>
      <c r="AS293" s="24" t="inlineStr">
        <is>
          <t>Liam Draxl</t>
        </is>
      </c>
      <c r="AT293" s="24" t="inlineStr">
        <is>
          <t>Liam Draxl</t>
        </is>
      </c>
      <c r="AU293" s="24" t="inlineStr">
        <is>
          <t>Liam Draxl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d777da58446bc099047b154203518e2585ef1a678f613f2b430f2589f7bf5cff</t>
        </is>
      </c>
      <c r="BB293" s="24" t="inlineStr">
        <is>
          <t>surface_blended_elo</t>
        </is>
      </c>
      <c r="BC293" s="24" t="inlineStr">
        <is>
          <t>tennis-surface-elo-v1</t>
        </is>
      </c>
      <c r="BD293" s="24" t="inlineStr">
        <is>
          <t>d777da58446bc099047b154203518e2585ef1a678f613f2b430f2589f7bf5cff</t>
        </is>
      </c>
      <c r="BE293" s="24" t="inlineStr">
        <is>
          <t>tennis-surface-elo-v1</t>
        </is>
      </c>
      <c r="BF293" s="24" t="inlineStr">
        <is>
          <t>1</t>
        </is>
      </c>
      <c r="BG293" s="24" t="inlineStr">
        <is>
          <t>d777da58446bc099047b154203518e2585ef1a678f613f2b430f2589f7bf5cff</t>
        </is>
      </c>
      <c r="BH293" s="24" t="inlineStr">
        <is>
          <t>2026-08-27T13:56:42.890276Z</t>
        </is>
      </c>
      <c r="BI293" s="24" t="inlineStr">
        <is>
          <t>["same_event","same_team_same_day","same_league_same_day"]</t>
        </is>
      </c>
      <c r="BJ293" s="25" t="n"/>
      <c r="BK293" s="26" t="n">
        <v>113</v>
      </c>
      <c r="BL293" s="27" t="n">
        <v>2.13</v>
      </c>
      <c r="BM293" s="28" t="n">
        <v>0.469484</v>
      </c>
      <c r="BN293" s="28" t="n"/>
      <c r="BO293" s="28" t="n"/>
      <c r="BP293" s="25" t="n"/>
      <c r="BQ293" s="27" t="n">
        <v>2.13</v>
      </c>
      <c r="BR293" s="28" t="n">
        <v>0.47</v>
      </c>
      <c r="BS293" s="28" t="n"/>
      <c r="BT293" s="28" t="n"/>
      <c r="BU293" s="25" t="n"/>
      <c r="BV293" s="29" t="n"/>
      <c r="BW293" s="24" t="n"/>
      <c r="BX293" s="30" t="n">
        <v>1</v>
      </c>
      <c r="BY293" s="27" t="n">
        <v>1.129998</v>
      </c>
      <c r="BZ293" s="24" t="inlineStr">
        <is>
          <t>2026-08-29T12:30:37.428253Z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inlineStr">
        <is>
          <t>99a9876f59dc5d8e004a87706ebca081c642c76746f3517f28ca0490d340ef45</t>
        </is>
      </c>
      <c r="DE293" s="24" t="inlineStr">
        <is>
          <t>/Users/vincentc9002/model-prediction/data/odds/tennis/2026-08-27/polymarket_snapshots.jsonl</t>
        </is>
      </c>
      <c r="DF293" s="24" t="inlineStr">
        <is>
          <t>535133:2026-08-27T13:56:42.890276Z</t>
        </is>
      </c>
      <c r="DG293" s="24" t="n"/>
      <c r="DH293" s="24" t="n"/>
      <c r="DI293" s="24" t="n"/>
      <c r="DJ293" s="24" t="inlineStr">
        <is>
          <t>0.469484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78a9f7bba9f146c6</t>
        </is>
      </c>
      <c r="B294" s="24" t="inlineStr">
        <is>
          <t>2026-08-27T13:58:24.220632Z</t>
        </is>
      </c>
      <c r="C294" s="24" t="inlineStr">
        <is>
          <t>2026-08-27T18:00Z</t>
        </is>
      </c>
      <c r="D294" s="24" t="inlineStr">
        <is>
          <t>189-2026:184684</t>
        </is>
      </c>
      <c r="E294" s="24" t="inlineStr">
        <is>
          <t>TENNIS</t>
        </is>
      </c>
      <c r="F294" s="24" t="inlineStr">
        <is>
          <t>Federico Cina</t>
        </is>
      </c>
      <c r="G294" s="24" t="inlineStr">
        <is>
          <t>Bu Yunchaokete</t>
        </is>
      </c>
      <c r="H294" s="24" t="inlineStr">
        <is>
          <t>moneyline</t>
        </is>
      </c>
      <c r="I294" s="24" t="inlineStr">
        <is>
          <t>away</t>
        </is>
      </c>
      <c r="J294" s="25" t="n"/>
      <c r="K294" s="24" t="inlineStr">
        <is>
          <t>polymarket_us</t>
        </is>
      </c>
      <c r="L294" s="26" t="n">
        <v>156</v>
      </c>
      <c r="M294" s="27" t="n">
        <v>2.56</v>
      </c>
      <c r="N294" s="28" t="n">
        <v>0.390625</v>
      </c>
      <c r="O294" s="28" t="n">
        <v>0.5329</v>
      </c>
      <c r="P294" s="28" t="n">
        <v>0.05</v>
      </c>
      <c r="Q294" s="28" t="n">
        <v>0.142275</v>
      </c>
      <c r="R294" s="26" t="n">
        <v>91</v>
      </c>
      <c r="S294" s="29" t="n">
        <v>1.5</v>
      </c>
      <c r="T294" s="24" t="inlineStr">
        <is>
          <t>tennis-surface-elo-v1</t>
        </is>
      </c>
      <c r="U294" s="24" t="inlineStr">
        <is>
          <t>settled</t>
        </is>
      </c>
      <c r="V294" s="24" t="inlineStr">
        <is>
          <t>win</t>
        </is>
      </c>
      <c r="W294" s="26" t="n">
        <v>1</v>
      </c>
      <c r="X294" s="26" t="n">
        <v>0</v>
      </c>
      <c r="Y294" s="25" t="n"/>
      <c r="Z294" s="26" t="n">
        <v>156</v>
      </c>
      <c r="AA294" s="28" t="n">
        <v>0.39</v>
      </c>
      <c r="AB294" s="28" t="n">
        <v>-0.000625</v>
      </c>
      <c r="AC294" s="30" t="n">
        <v>2.34</v>
      </c>
      <c r="AD294" s="24" t="inlineStr">
        <is>
          <t>2026-08-29T12:30:39.002083Z</t>
        </is>
      </c>
      <c r="AE294" s="31" t="inlineStr">
        <is>
          <t>Surface-blended Elo on Hard: Federico Cina p=0.533 vs Bu Yunchaokete. Executable ask 0.3900 (aec-atp-yunbu-fedcin-2026-08-27).</t>
        </is>
      </c>
      <c r="AF294" s="31" t="inlineStr">
        <is>
          <t>Surface-blended Elo model; singles only, WTA+ATP market coverage, not yet locked-holdout qualified -- promoted by explicit operator directive, not genuine walk-forward validation.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PAPER_CALL_LOW_EDGE</t>
        </is>
      </c>
      <c r="AP294" s="24" t="inlineStr">
        <is>
          <t>Federico Cina</t>
        </is>
      </c>
      <c r="AQ294" s="24" t="inlineStr">
        <is>
          <t>Federico Cina</t>
        </is>
      </c>
      <c r="AR294" s="24" t="inlineStr">
        <is>
          <t>Federico Cina</t>
        </is>
      </c>
      <c r="AS294" s="24" t="inlineStr">
        <is>
          <t>Bu Yunchaokete</t>
        </is>
      </c>
      <c r="AT294" s="24" t="inlineStr">
        <is>
          <t>Bu Yunchaokete</t>
        </is>
      </c>
      <c r="AU294" s="24" t="inlineStr">
        <is>
          <t>Bu Yunchaokete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d777da58446bc099047b154203518e2585ef1a678f613f2b430f2589f7bf5cff</t>
        </is>
      </c>
      <c r="BB294" s="24" t="inlineStr">
        <is>
          <t>surface_blended_elo</t>
        </is>
      </c>
      <c r="BC294" s="24" t="inlineStr">
        <is>
          <t>tennis-surface-elo-v1</t>
        </is>
      </c>
      <c r="BD294" s="24" t="inlineStr">
        <is>
          <t>d777da58446bc099047b154203518e2585ef1a678f613f2b430f2589f7bf5cff</t>
        </is>
      </c>
      <c r="BE294" s="24" t="inlineStr">
        <is>
          <t>tennis-surface-elo-v1</t>
        </is>
      </c>
      <c r="BF294" s="24" t="inlineStr">
        <is>
          <t>1</t>
        </is>
      </c>
      <c r="BG294" s="24" t="inlineStr">
        <is>
          <t>d777da58446bc099047b154203518e2585ef1a678f613f2b430f2589f7bf5cff</t>
        </is>
      </c>
      <c r="BH294" s="24" t="inlineStr">
        <is>
          <t>2026-08-27T13:56:43.326901Z</t>
        </is>
      </c>
      <c r="BI294" s="24" t="inlineStr">
        <is>
          <t>["same_event","same_team_same_day","same_league_same_day"]</t>
        </is>
      </c>
      <c r="BJ294" s="25" t="n"/>
      <c r="BK294" s="26" t="n">
        <v>156</v>
      </c>
      <c r="BL294" s="27" t="n">
        <v>2.56</v>
      </c>
      <c r="BM294" s="28" t="n">
        <v>0.390625</v>
      </c>
      <c r="BN294" s="28" t="n"/>
      <c r="BO294" s="28" t="n"/>
      <c r="BP294" s="25" t="n"/>
      <c r="BQ294" s="27" t="n">
        <v>2.56</v>
      </c>
      <c r="BR294" s="28" t="n">
        <v>0.39</v>
      </c>
      <c r="BS294" s="28" t="n"/>
      <c r="BT294" s="28" t="n"/>
      <c r="BU294" s="25" t="n"/>
      <c r="BV294" s="29" t="n"/>
      <c r="BW294" s="24" t="n"/>
      <c r="BX294" s="30" t="n">
        <v>1</v>
      </c>
      <c r="BY294" s="27" t="n">
        <v>1.56</v>
      </c>
      <c r="BZ294" s="24" t="inlineStr">
        <is>
          <t>2026-08-29T12:30:39.002083Z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inlineStr">
        <is>
          <t>78629ad2284b0f706c9ab4238a46a8d38821ec7500e2ecefd42f1358b9d4ddbb</t>
        </is>
      </c>
      <c r="DE294" s="24" t="inlineStr">
        <is>
          <t>/Users/vincentc9002/model-prediction/data/odds/tennis/2026-08-27/polymarket_snapshots.jsonl</t>
        </is>
      </c>
      <c r="DF294" s="24" t="inlineStr">
        <is>
          <t>535222:2026-08-27T13:56:43.326901Z</t>
        </is>
      </c>
      <c r="DG294" s="24" t="n"/>
      <c r="DH294" s="24" t="n"/>
      <c r="DI294" s="24" t="n"/>
      <c r="DJ294" s="24" t="inlineStr">
        <is>
          <t>0.390625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22913d8356144165</t>
        </is>
      </c>
      <c r="B295" s="24" t="inlineStr">
        <is>
          <t>2026-08-27T13:58:24.220632Z</t>
        </is>
      </c>
      <c r="C295" s="24" t="inlineStr">
        <is>
          <t>2026-08-27T18:00Z</t>
        </is>
      </c>
      <c r="D295" s="24" t="inlineStr">
        <is>
          <t>189-2026:184767</t>
        </is>
      </c>
      <c r="E295" s="24" t="inlineStr">
        <is>
          <t>TENNIS</t>
        </is>
      </c>
      <c r="F295" s="24" t="inlineStr">
        <is>
          <t>Colton Smith</t>
        </is>
      </c>
      <c r="G295" s="24" t="inlineStr">
        <is>
          <t>Hugo Gaston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133</v>
      </c>
      <c r="M295" s="27" t="n">
        <v>2.33</v>
      </c>
      <c r="N295" s="28" t="n">
        <v>0.429185</v>
      </c>
      <c r="O295" s="28" t="n">
        <v>0.5665</v>
      </c>
      <c r="P295" s="28" t="n">
        <v>0.05</v>
      </c>
      <c r="Q295" s="28" t="n">
        <v>0.137315</v>
      </c>
      <c r="R295" s="26" t="n">
        <v>89</v>
      </c>
      <c r="S295" s="29" t="n">
        <v>1.5</v>
      </c>
      <c r="T295" s="24" t="inlineStr">
        <is>
          <t>tennis-surface-elo-v1</t>
        </is>
      </c>
      <c r="U295" s="24" t="inlineStr">
        <is>
          <t>settled</t>
        </is>
      </c>
      <c r="V295" s="24" t="inlineStr">
        <is>
          <t>loss</t>
        </is>
      </c>
      <c r="W295" s="26" t="n">
        <v>0</v>
      </c>
      <c r="X295" s="26" t="n">
        <v>1</v>
      </c>
      <c r="Y295" s="25" t="n"/>
      <c r="Z295" s="26" t="n">
        <v>133</v>
      </c>
      <c r="AA295" s="28" t="n">
        <v>0.43</v>
      </c>
      <c r="AB295" s="28" t="n">
        <v>0.000815</v>
      </c>
      <c r="AC295" s="30" t="n">
        <v>-1.5</v>
      </c>
      <c r="AD295" s="24" t="inlineStr">
        <is>
          <t>2026-08-29T12:30:40.561888Z</t>
        </is>
      </c>
      <c r="AE295" s="31" t="inlineStr">
        <is>
          <t>Surface-blended Elo on Hard: Colton Smith p=0.566 vs Hugo Gaston. Executable ask 0.4300 (aec-atp-huggas-colsmi-2026-08-28).</t>
        </is>
      </c>
      <c r="AF295" s="31" t="inlineStr">
        <is>
          <t>Surface-blended Elo model; singles only, WTA+ATP market coverage, not yet locked-holdout qualified -- promoted by explicit operator directive, not genuine walk-forward validation.</t>
        </is>
      </c>
      <c r="AG295" s="24" t="inlineStr">
        <is>
          <t>review_required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Colton Smith</t>
        </is>
      </c>
      <c r="AQ295" s="24" t="inlineStr">
        <is>
          <t>Colton Smith</t>
        </is>
      </c>
      <c r="AR295" s="24" t="inlineStr">
        <is>
          <t>Colton Smith</t>
        </is>
      </c>
      <c r="AS295" s="24" t="inlineStr">
        <is>
          <t>Hugo Gaston</t>
        </is>
      </c>
      <c r="AT295" s="24" t="inlineStr">
        <is>
          <t>Hugo Gaston</t>
        </is>
      </c>
      <c r="AU295" s="24" t="inlineStr">
        <is>
          <t>Hugo Gaston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d777da58446bc099047b154203518e2585ef1a678f613f2b430f2589f7bf5cff</t>
        </is>
      </c>
      <c r="BB295" s="24" t="inlineStr">
        <is>
          <t>surface_blended_elo</t>
        </is>
      </c>
      <c r="BC295" s="24" t="inlineStr">
        <is>
          <t>tennis-surface-elo-v1</t>
        </is>
      </c>
      <c r="BD295" s="24" t="inlineStr">
        <is>
          <t>d777da58446bc099047b154203518e2585ef1a678f613f2b430f2589f7bf5cff</t>
        </is>
      </c>
      <c r="BE295" s="24" t="inlineStr">
        <is>
          <t>tennis-surface-elo-v1</t>
        </is>
      </c>
      <c r="BF295" s="24" t="inlineStr">
        <is>
          <t>1</t>
        </is>
      </c>
      <c r="BG295" s="24" t="inlineStr">
        <is>
          <t>d777da58446bc099047b154203518e2585ef1a678f613f2b430f2589f7bf5cff</t>
        </is>
      </c>
      <c r="BH295" s="24" t="inlineStr">
        <is>
          <t>2026-08-27T13:56:42.661791Z</t>
        </is>
      </c>
      <c r="BI295" s="24" t="inlineStr">
        <is>
          <t>["same_event","same_team_same_day","same_league_same_day"]</t>
        </is>
      </c>
      <c r="BJ295" s="25" t="n"/>
      <c r="BK295" s="26" t="n">
        <v>133</v>
      </c>
      <c r="BL295" s="27" t="n">
        <v>2.33</v>
      </c>
      <c r="BM295" s="28" t="n">
        <v>0.429185</v>
      </c>
      <c r="BN295" s="28" t="n"/>
      <c r="BO295" s="28" t="n"/>
      <c r="BP295" s="25" t="n"/>
      <c r="BQ295" s="27" t="n">
        <v>2.33</v>
      </c>
      <c r="BR295" s="28" t="n">
        <v>0.43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inlineStr">
        <is>
          <t>dac7b66cefc8ea3189da2f1b193da69d5791a84d9e4219dede038d6843cfb9cb</t>
        </is>
      </c>
      <c r="DE295" s="24" t="inlineStr">
        <is>
          <t>/Users/vincentc9002/model-prediction/data/odds/tennis/2026-08-27/polymarket_snapshots.jsonl</t>
        </is>
      </c>
      <c r="DF295" s="24" t="inlineStr">
        <is>
          <t>535245:2026-08-27T13:56:42.661791Z</t>
        </is>
      </c>
      <c r="DG295" s="24" t="n"/>
      <c r="DH295" s="24" t="n"/>
      <c r="DI295" s="24" t="n"/>
      <c r="DJ295" s="24" t="inlineStr">
        <is>
          <t>0.429185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24bdeb731b474f96</t>
        </is>
      </c>
      <c r="B296" s="24" t="inlineStr">
        <is>
          <t>2026-08-27T13:58:24.220632Z</t>
        </is>
      </c>
      <c r="C296" s="24" t="inlineStr">
        <is>
          <t>2026-08-27T18:00Z</t>
        </is>
      </c>
      <c r="D296" s="24" t="inlineStr">
        <is>
          <t>189-2026:184806</t>
        </is>
      </c>
      <c r="E296" s="24" t="inlineStr">
        <is>
          <t>TENNIS</t>
        </is>
      </c>
      <c r="F296" s="24" t="inlineStr">
        <is>
          <t>Rei Sakamoto</t>
        </is>
      </c>
      <c r="G296" s="24" t="inlineStr">
        <is>
          <t>Kei Nishikori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150</v>
      </c>
      <c r="M296" s="27" t="n">
        <v>2.5</v>
      </c>
      <c r="N296" s="28" t="n">
        <v>0.4</v>
      </c>
      <c r="O296" s="28" t="n">
        <v>0.5232</v>
      </c>
      <c r="P296" s="28" t="n">
        <v>0.05</v>
      </c>
      <c r="Q296" s="28" t="n">
        <v>0.1232</v>
      </c>
      <c r="R296" s="26" t="n">
        <v>82</v>
      </c>
      <c r="S296" s="29" t="n">
        <v>1.5</v>
      </c>
      <c r="T296" s="24" t="inlineStr">
        <is>
          <t>tennis-surface-elo-v1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</v>
      </c>
      <c r="X296" s="26" t="n">
        <v>0</v>
      </c>
      <c r="Y296" s="25" t="n"/>
      <c r="Z296" s="26" t="n">
        <v>150</v>
      </c>
      <c r="AA296" s="28" t="n">
        <v>0.4</v>
      </c>
      <c r="AB296" s="28" t="n">
        <v>0</v>
      </c>
      <c r="AC296" s="30" t="n">
        <v>-1.5</v>
      </c>
      <c r="AD296" s="24" t="inlineStr">
        <is>
          <t>2026-08-29T12:30:42.170552Z</t>
        </is>
      </c>
      <c r="AE296" s="31" t="inlineStr">
        <is>
          <t>Surface-blended Elo on Hard: Rei Sakamoto p=0.477 vs Kei Nishikori. Executable ask 0.4000 (aec-atp-keinis-reisak-2026-08-27).</t>
        </is>
      </c>
      <c r="AF296" s="31" t="inlineStr">
        <is>
          <t>Surface-blended Elo model; singles only, WTA+ATP market coverage, not yet locked-holdout qualified -- promoted by explicit operator directive, not genuine walk-forward validation.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Rei Sakamoto</t>
        </is>
      </c>
      <c r="AQ296" s="24" t="inlineStr">
        <is>
          <t>Rei Sakamoto</t>
        </is>
      </c>
      <c r="AR296" s="24" t="inlineStr">
        <is>
          <t>Rei Sakamoto</t>
        </is>
      </c>
      <c r="AS296" s="24" t="inlineStr">
        <is>
          <t>Kei Nishikori</t>
        </is>
      </c>
      <c r="AT296" s="24" t="inlineStr">
        <is>
          <t>Kei Nishikori</t>
        </is>
      </c>
      <c r="AU296" s="24" t="inlineStr">
        <is>
          <t>Kei Nishikori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d777da58446bc099047b154203518e2585ef1a678f613f2b430f2589f7bf5cff</t>
        </is>
      </c>
      <c r="BB296" s="24" t="inlineStr">
        <is>
          <t>surface_blended_elo</t>
        </is>
      </c>
      <c r="BC296" s="24" t="inlineStr">
        <is>
          <t>tennis-surface-elo-v1</t>
        </is>
      </c>
      <c r="BD296" s="24" t="inlineStr">
        <is>
          <t>d777da58446bc099047b154203518e2585ef1a678f613f2b430f2589f7bf5cff</t>
        </is>
      </c>
      <c r="BE296" s="24" t="inlineStr">
        <is>
          <t>tennis-surface-elo-v1</t>
        </is>
      </c>
      <c r="BF296" s="24" t="inlineStr">
        <is>
          <t>1</t>
        </is>
      </c>
      <c r="BG296" s="24" t="inlineStr">
        <is>
          <t>d777da58446bc099047b154203518e2585ef1a678f613f2b430f2589f7bf5cff</t>
        </is>
      </c>
      <c r="BH296" s="24" t="inlineStr">
        <is>
          <t>2026-08-27T13:56:44.224433Z</t>
        </is>
      </c>
      <c r="BI296" s="24" t="inlineStr">
        <is>
          <t>["same_event","same_team_same_day","same_league_same_day"]</t>
        </is>
      </c>
      <c r="BJ296" s="25" t="n"/>
      <c r="BK296" s="26" t="n">
        <v>150</v>
      </c>
      <c r="BL296" s="27" t="n">
        <v>2.5</v>
      </c>
      <c r="BM296" s="28" t="n">
        <v>0.4</v>
      </c>
      <c r="BN296" s="28" t="n"/>
      <c r="BO296" s="28" t="n"/>
      <c r="BP296" s="25" t="n"/>
      <c r="BQ296" s="27" t="n">
        <v>2.5</v>
      </c>
      <c r="BR296" s="28" t="n">
        <v>0.4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-1</v>
      </c>
      <c r="BZ296" s="24" t="inlineStr">
        <is>
          <t>2026-08-29T12:30:42.170552Z</t>
        </is>
      </c>
      <c r="CA296" s="31" t="inlineStr">
        <is>
          <t>fixed one-unit hypothetical scoring; no real exposure or execution</t>
        </is>
      </c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inlineStr">
        <is>
          <t>1158ce37aa17bdbf70a3c31da7bc8238289bba9f583edb84766ceb5ece4e35a5</t>
        </is>
      </c>
      <c r="DE296" s="24" t="inlineStr">
        <is>
          <t>/Users/vincentc9002/model-prediction/data/odds/tennis/2026-08-27/polymarket_snapshots.jsonl</t>
        </is>
      </c>
      <c r="DF296" s="24" t="inlineStr">
        <is>
          <t>533968:2026-08-27T13:56:44.224433Z</t>
        </is>
      </c>
      <c r="DG296" s="24" t="n"/>
      <c r="DH296" s="24" t="n"/>
      <c r="DI296" s="24" t="n"/>
      <c r="DJ296" s="24" t="inlineStr">
        <is>
          <t>0.4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fa955e21554f4bdb</t>
        </is>
      </c>
      <c r="B297" s="24" t="inlineStr">
        <is>
          <t>2026-08-27T13:58:24.220632Z</t>
        </is>
      </c>
      <c r="C297" s="24" t="inlineStr">
        <is>
          <t>2026-08-27T18:00Z</t>
        </is>
      </c>
      <c r="D297" s="24" t="inlineStr">
        <is>
          <t>363-2026:182051</t>
        </is>
      </c>
      <c r="E297" s="24" t="inlineStr">
        <is>
          <t>TENNIS</t>
        </is>
      </c>
      <c r="F297" s="24" t="inlineStr">
        <is>
          <t>Botic Van De Zandschulp</t>
        </is>
      </c>
      <c r="G297" s="24" t="inlineStr">
        <is>
          <t>Benjamin Bonzi</t>
        </is>
      </c>
      <c r="H297" s="24" t="inlineStr">
        <is>
          <t>moneyline</t>
        </is>
      </c>
      <c r="I297" s="24" t="inlineStr">
        <is>
          <t>away</t>
        </is>
      </c>
      <c r="J297" s="25" t="n"/>
      <c r="K297" s="24" t="inlineStr">
        <is>
          <t>polymarket_us</t>
        </is>
      </c>
      <c r="L297" s="26" t="n">
        <v>-186</v>
      </c>
      <c r="M297" s="27" t="n">
        <v>1.537634</v>
      </c>
      <c r="N297" s="28" t="n">
        <v>0.65035</v>
      </c>
      <c r="O297" s="28" t="n">
        <v>0.5226</v>
      </c>
      <c r="P297" s="28" t="n">
        <v>0.05</v>
      </c>
      <c r="Q297" s="28" t="n">
        <v>-0.12775</v>
      </c>
      <c r="R297" s="26" t="n">
        <v>0</v>
      </c>
      <c r="S297" s="29" t="n">
        <v>1</v>
      </c>
      <c r="T297" s="24" t="inlineStr">
        <is>
          <t>tennis-surface-elo-v1</t>
        </is>
      </c>
      <c r="U297" s="24" t="inlineStr">
        <is>
          <t>settled</t>
        </is>
      </c>
      <c r="V297" s="24" t="inlineStr">
        <is>
          <t>loss</t>
        </is>
      </c>
      <c r="W297" s="26" t="n">
        <v>0</v>
      </c>
      <c r="X297" s="26" t="n">
        <v>1</v>
      </c>
      <c r="Y297" s="25" t="n"/>
      <c r="Z297" s="26" t="n">
        <v>-186</v>
      </c>
      <c r="AA297" s="28" t="n">
        <v>0.65</v>
      </c>
      <c r="AB297" s="28" t="n">
        <v>-0.00035</v>
      </c>
      <c r="AC297" s="30" t="n">
        <v>-1</v>
      </c>
      <c r="AD297" s="24" t="inlineStr">
        <is>
          <t>2026-08-27T21:47:28.392785Z</t>
        </is>
      </c>
      <c r="AE297" s="31" t="inlineStr">
        <is>
          <t>Surface-blended Elo on Hard: Botic Van De Zandschulp p=0.523 vs Benjamin Bonzi. Executable ask 0.6500 (aec-atp-benbon-botzan-2026-08-27).</t>
        </is>
      </c>
      <c r="AF297" s="31" t="inlineStr">
        <is>
          <t>Surface-blended Elo model; singles only, WTA+ATP market coverage, not yet locked-holdout qualified -- promoted by explicit operator directive, not genuine walk-forward validation.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Botic Van De Zandschulp</t>
        </is>
      </c>
      <c r="AQ297" s="24" t="inlineStr">
        <is>
          <t>Botic Van De Zandschulp</t>
        </is>
      </c>
      <c r="AR297" s="24" t="inlineStr">
        <is>
          <t>Botic Van De Zandschulp</t>
        </is>
      </c>
      <c r="AS297" s="24" t="inlineStr">
        <is>
          <t>Benjamin Bonzi</t>
        </is>
      </c>
      <c r="AT297" s="24" t="inlineStr">
        <is>
          <t>Benjamin Bonzi</t>
        </is>
      </c>
      <c r="AU297" s="24" t="inlineStr">
        <is>
          <t>Benjamin Bonzi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d777da58446bc099047b154203518e2585ef1a678f613f2b430f2589f7bf5cff</t>
        </is>
      </c>
      <c r="BB297" s="24" t="inlineStr">
        <is>
          <t>surface_blended_elo</t>
        </is>
      </c>
      <c r="BC297" s="24" t="inlineStr">
        <is>
          <t>tennis-surface-elo-v1</t>
        </is>
      </c>
      <c r="BD297" s="24" t="inlineStr">
        <is>
          <t>d777da58446bc099047b154203518e2585ef1a678f613f2b430f2589f7bf5cff</t>
        </is>
      </c>
      <c r="BE297" s="24" t="inlineStr">
        <is>
          <t>tennis-surface-elo-v1</t>
        </is>
      </c>
      <c r="BF297" s="24" t="inlineStr">
        <is>
          <t>1</t>
        </is>
      </c>
      <c r="BG297" s="24" t="inlineStr">
        <is>
          <t>d777da58446bc099047b154203518e2585ef1a678f613f2b430f2589f7bf5cff</t>
        </is>
      </c>
      <c r="BH297" s="24" t="inlineStr">
        <is>
          <t>2026-08-27T13:56:42.574675Z</t>
        </is>
      </c>
      <c r="BI297" s="24" t="inlineStr">
        <is>
          <t>["same_event","same_team_same_day","same_league_same_day"]</t>
        </is>
      </c>
      <c r="BJ297" s="25" t="n"/>
      <c r="BK297" s="26" t="n">
        <v>-186</v>
      </c>
      <c r="BL297" s="27" t="n">
        <v>1.537634</v>
      </c>
      <c r="BM297" s="28" t="n">
        <v>0.65035</v>
      </c>
      <c r="BN297" s="28" t="n"/>
      <c r="BO297" s="28" t="n"/>
      <c r="BP297" s="25" t="n"/>
      <c r="BQ297" s="27" t="n">
        <v>1.537634</v>
      </c>
      <c r="BR297" s="28" t="n">
        <v>0.65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2026-08-27T21:47:28.392785Z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False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inlineStr">
        <is>
          <t>b579752c42721d1eb92bdbf2d5ebacf8be2a74ce4380f47df17d8f7963677d40</t>
        </is>
      </c>
      <c r="DE297" s="24" t="inlineStr">
        <is>
          <t>/Users/vincentc9002/model-prediction/data/odds/tennis/2026-08-27/polymarket_snapshots.jsonl</t>
        </is>
      </c>
      <c r="DF297" s="24" t="inlineStr">
        <is>
          <t>532074:2026-08-27T13:56:42.574675Z</t>
        </is>
      </c>
      <c r="DG297" s="24" t="n"/>
      <c r="DH297" s="24" t="n"/>
      <c r="DI297" s="24" t="n"/>
      <c r="DJ297" s="24" t="inlineStr">
        <is>
          <t>0.65035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819b594153284200</t>
        </is>
      </c>
      <c r="B298" s="24" t="inlineStr">
        <is>
          <t>2026-08-27T13:58:24.220632Z</t>
        </is>
      </c>
      <c r="C298" s="24" t="inlineStr">
        <is>
          <t>2026-08-27T20:00Z</t>
        </is>
      </c>
      <c r="D298" s="24" t="inlineStr">
        <is>
          <t>363-2026:182043</t>
        </is>
      </c>
      <c r="E298" s="24" t="inlineStr">
        <is>
          <t>TENNIS</t>
        </is>
      </c>
      <c r="F298" s="24" t="inlineStr">
        <is>
          <t>Ignacio Buse</t>
        </is>
      </c>
      <c r="G298" s="24" t="inlineStr">
        <is>
          <t>Juan Manuel Cerundolo</t>
        </is>
      </c>
      <c r="H298" s="24" t="inlineStr">
        <is>
          <t>moneyline</t>
        </is>
      </c>
      <c r="I298" s="24" t="inlineStr">
        <is>
          <t>away</t>
        </is>
      </c>
      <c r="J298" s="25" t="n"/>
      <c r="K298" s="24" t="inlineStr">
        <is>
          <t>polymarket_us</t>
        </is>
      </c>
      <c r="L298" s="26" t="n">
        <v>117</v>
      </c>
      <c r="M298" s="27" t="n">
        <v>2.17</v>
      </c>
      <c r="N298" s="28" t="n">
        <v>0.460829</v>
      </c>
      <c r="O298" s="28" t="n">
        <v>0.5042</v>
      </c>
      <c r="P298" s="28" t="n">
        <v>0.05</v>
      </c>
      <c r="Q298" s="28" t="n">
        <v>0.043371</v>
      </c>
      <c r="R298" s="26" t="n">
        <v>42</v>
      </c>
      <c r="S298" s="29" t="n">
        <v>1</v>
      </c>
      <c r="T298" s="24" t="inlineStr">
        <is>
          <t>tennis-surface-elo-v1</t>
        </is>
      </c>
      <c r="U298" s="24" t="inlineStr">
        <is>
          <t>settled</t>
        </is>
      </c>
      <c r="V298" s="24" t="inlineStr">
        <is>
          <t>win</t>
        </is>
      </c>
      <c r="W298" s="26" t="n">
        <v>1</v>
      </c>
      <c r="X298" s="26" t="n">
        <v>0</v>
      </c>
      <c r="Y298" s="25" t="n"/>
      <c r="Z298" s="26" t="n">
        <v>117</v>
      </c>
      <c r="AA298" s="28" t="n">
        <v>0.46</v>
      </c>
      <c r="AB298" s="28" t="n">
        <v>-0.000829</v>
      </c>
      <c r="AC298" s="30" t="n">
        <v>1.17</v>
      </c>
      <c r="AD298" s="24" t="inlineStr">
        <is>
          <t>2026-08-28T02:36:16.917839Z</t>
        </is>
      </c>
      <c r="AE298" s="31" t="inlineStr">
        <is>
          <t>Surface-blended Elo on Hard: Ignacio Buse p=0.504 vs Juan Manuel Cerundolo. Executable ask 0.4600 (aec-atp-juacer-ignbus-2026-08-27).</t>
        </is>
      </c>
      <c r="AF298" s="31" t="inlineStr">
        <is>
          <t>Surface-blended Elo model; singles only, WTA+ATP market coverage, not yet locked-holdout qualified -- promoted by explicit operator directive, not genuine walk-forward validation.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PAPER_CALL_LOW_EDGE</t>
        </is>
      </c>
      <c r="AP298" s="24" t="inlineStr">
        <is>
          <t>Ignacio Buse</t>
        </is>
      </c>
      <c r="AQ298" s="24" t="inlineStr">
        <is>
          <t>Ignacio Buse</t>
        </is>
      </c>
      <c r="AR298" s="24" t="inlineStr">
        <is>
          <t>Ignacio Buse</t>
        </is>
      </c>
      <c r="AS298" s="24" t="inlineStr">
        <is>
          <t>Juan Manuel Cerundolo</t>
        </is>
      </c>
      <c r="AT298" s="24" t="inlineStr">
        <is>
          <t>Juan Manuel Cerundolo</t>
        </is>
      </c>
      <c r="AU298" s="24" t="inlineStr">
        <is>
          <t>Juan Manuel Cerundolo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d777da58446bc099047b154203518e2585ef1a678f613f2b430f2589f7bf5cff</t>
        </is>
      </c>
      <c r="BB298" s="24" t="inlineStr">
        <is>
          <t>surface_blended_elo</t>
        </is>
      </c>
      <c r="BC298" s="24" t="inlineStr">
        <is>
          <t>tennis-surface-elo-v1</t>
        </is>
      </c>
      <c r="BD298" s="24" t="inlineStr">
        <is>
          <t>d777da58446bc099047b154203518e2585ef1a678f613f2b430f2589f7bf5cff</t>
        </is>
      </c>
      <c r="BE298" s="24" t="inlineStr">
        <is>
          <t>tennis-surface-elo-v1</t>
        </is>
      </c>
      <c r="BF298" s="24" t="inlineStr">
        <is>
          <t>1</t>
        </is>
      </c>
      <c r="BG298" s="24" t="inlineStr">
        <is>
          <t>d777da58446bc099047b154203518e2585ef1a678f613f2b430f2589f7bf5cff</t>
        </is>
      </c>
      <c r="BH298" s="24" t="inlineStr">
        <is>
          <t>2026-08-27T13:56:44.525174Z</t>
        </is>
      </c>
      <c r="BI298" s="24" t="inlineStr">
        <is>
          <t>["same_event","same_team_same_day","same_league_same_day"]</t>
        </is>
      </c>
      <c r="BJ298" s="25" t="n"/>
      <c r="BK298" s="26" t="n">
        <v>117</v>
      </c>
      <c r="BL298" s="27" t="n">
        <v>2.17</v>
      </c>
      <c r="BM298" s="28" t="n">
        <v>0.460829</v>
      </c>
      <c r="BN298" s="28" t="n"/>
      <c r="BO298" s="28" t="n"/>
      <c r="BP298" s="25" t="n"/>
      <c r="BQ298" s="27" t="n">
        <v>2.17</v>
      </c>
      <c r="BR298" s="28" t="n">
        <v>0.46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1.170002</v>
      </c>
      <c r="BZ298" s="24" t="inlineStr">
        <is>
          <t>2026-08-28T02:36:16.917839Z</t>
        </is>
      </c>
      <c r="CA298" s="31" t="inlineStr">
        <is>
          <t>fixed one-unit hypothetical scoring; no real exposure or execution</t>
        </is>
      </c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inlineStr">
        <is>
          <t>5de4a418a90c4ac6b95c6bcf12231a410be146c41c816a111c2ba48510868f28</t>
        </is>
      </c>
      <c r="DE298" s="24" t="inlineStr">
        <is>
          <t>/Users/vincentc9002/model-prediction/data/odds/tennis/2026-08-27/polymarket_snapshots.jsonl</t>
        </is>
      </c>
      <c r="DF298" s="24" t="inlineStr">
        <is>
          <t>533473:2026-08-27T13:56:44.525174Z</t>
        </is>
      </c>
      <c r="DG298" s="24" t="n"/>
      <c r="DH298" s="24" t="n"/>
      <c r="DI298" s="24" t="n"/>
      <c r="DJ298" s="24" t="inlineStr">
        <is>
          <t>0.460829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ed20290b5ecb4023</t>
        </is>
      </c>
      <c r="B299" s="24" t="inlineStr">
        <is>
          <t>2026-08-27T21:55:36.911998Z</t>
        </is>
      </c>
      <c r="C299" s="24" t="inlineStr">
        <is>
          <t>2026-08-27T22:00Z</t>
        </is>
      </c>
      <c r="D299" s="24" t="inlineStr">
        <is>
          <t>1075-2026:182144</t>
        </is>
      </c>
      <c r="E299" s="24" t="inlineStr">
        <is>
          <t>TENNIS</t>
        </is>
      </c>
      <c r="F299" s="24" t="inlineStr">
        <is>
          <t>Katie Volynets</t>
        </is>
      </c>
      <c r="G299" s="24" t="inlineStr">
        <is>
          <t>Mananchaya Sawangkaew</t>
        </is>
      </c>
      <c r="H299" s="24" t="inlineStr">
        <is>
          <t>moneyline</t>
        </is>
      </c>
      <c r="I299" s="24" t="inlineStr">
        <is>
          <t>away</t>
        </is>
      </c>
      <c r="J299" s="25" t="n"/>
      <c r="K299" s="24" t="inlineStr">
        <is>
          <t>polymarket_us</t>
        </is>
      </c>
      <c r="L299" s="26" t="n">
        <v>-194</v>
      </c>
      <c r="M299" s="27" t="n">
        <v>1.515464</v>
      </c>
      <c r="N299" s="28" t="n">
        <v>0.659864</v>
      </c>
      <c r="O299" s="28" t="n">
        <v>0.5409</v>
      </c>
      <c r="P299" s="28" t="n">
        <v>0.05</v>
      </c>
      <c r="Q299" s="28" t="n">
        <v>-0.118964</v>
      </c>
      <c r="R299" s="26" t="n">
        <v>0</v>
      </c>
      <c r="S299" s="29" t="n">
        <v>1</v>
      </c>
      <c r="T299" s="24" t="inlineStr">
        <is>
          <t>tennis-surface-elo-v1</t>
        </is>
      </c>
      <c r="U299" s="24" t="inlineStr">
        <is>
          <t>settled</t>
        </is>
      </c>
      <c r="V299" s="24" t="inlineStr">
        <is>
          <t>win</t>
        </is>
      </c>
      <c r="W299" s="26" t="n">
        <v>1</v>
      </c>
      <c r="X299" s="26" t="n">
        <v>0</v>
      </c>
      <c r="Y299" s="25" t="n"/>
      <c r="Z299" s="26" t="n">
        <v>-194</v>
      </c>
      <c r="AA299" s="28" t="n">
        <v>0.66</v>
      </c>
      <c r="AB299" s="28" t="n">
        <v>0.000136</v>
      </c>
      <c r="AC299" s="30" t="n">
        <v>0.5155</v>
      </c>
      <c r="AD299" s="24" t="inlineStr">
        <is>
          <t>2026-08-28T02:36:20.259717Z</t>
        </is>
      </c>
      <c r="AE299" s="31" t="inlineStr">
        <is>
          <t>Surface-blended Elo on Hard: Katie Volynets p=0.541 vs Mananchaya Sawangkaew. Executable ask 0.6600 (aec-wta-mansaw-katvol-2026-08-27).</t>
        </is>
      </c>
      <c r="AF299" s="31" t="inlineStr">
        <is>
          <t>Surface-blended Elo model; singles only, WTA+ATP market coverage, not yet locked-holdout qualified -- promoted by explicit operator directive, not genuine walk-forward validation.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PAPER_CALL_LOW_EDGE</t>
        </is>
      </c>
      <c r="AP299" s="24" t="inlineStr">
        <is>
          <t>Katie Volynets</t>
        </is>
      </c>
      <c r="AQ299" s="24" t="inlineStr">
        <is>
          <t>Katie Volynets</t>
        </is>
      </c>
      <c r="AR299" s="24" t="inlineStr">
        <is>
          <t>Katie Volynets</t>
        </is>
      </c>
      <c r="AS299" s="24" t="inlineStr">
        <is>
          <t>Mananchaya Sawangkaew</t>
        </is>
      </c>
      <c r="AT299" s="24" t="inlineStr">
        <is>
          <t>Mananchaya Sawangkaew</t>
        </is>
      </c>
      <c r="AU299" s="24" t="inlineStr">
        <is>
          <t>Mananchaya Sawangkaew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d777da58446bc099047b154203518e2585ef1a678f613f2b430f2589f7bf5cff</t>
        </is>
      </c>
      <c r="BB299" s="24" t="inlineStr">
        <is>
          <t>surface_blended_elo</t>
        </is>
      </c>
      <c r="BC299" s="24" t="inlineStr">
        <is>
          <t>tennis-surface-elo-v1</t>
        </is>
      </c>
      <c r="BD299" s="24" t="inlineStr">
        <is>
          <t>d777da58446bc099047b154203518e2585ef1a678f613f2b430f2589f7bf5cff</t>
        </is>
      </c>
      <c r="BE299" s="24" t="inlineStr">
        <is>
          <t>tennis-surface-elo-v1</t>
        </is>
      </c>
      <c r="BF299" s="24" t="inlineStr">
        <is>
          <t>1</t>
        </is>
      </c>
      <c r="BG299" s="24" t="inlineStr">
        <is>
          <t>d777da58446bc099047b154203518e2585ef1a678f613f2b430f2589f7bf5cff</t>
        </is>
      </c>
      <c r="BH299" s="24" t="inlineStr">
        <is>
          <t>2026-08-27T21:53:56.470564Z</t>
        </is>
      </c>
      <c r="BI299" s="24" t="inlineStr">
        <is>
          <t>["same_event","same_team_same_day","same_league_same_day"]</t>
        </is>
      </c>
      <c r="BJ299" s="25" t="n"/>
      <c r="BK299" s="26" t="n">
        <v>-194</v>
      </c>
      <c r="BL299" s="27" t="n">
        <v>1.515464</v>
      </c>
      <c r="BM299" s="28" t="n">
        <v>0.659864</v>
      </c>
      <c r="BN299" s="28" t="n"/>
      <c r="BO299" s="28" t="n"/>
      <c r="BP299" s="25" t="n"/>
      <c r="BQ299" s="27" t="n">
        <v>1.515464</v>
      </c>
      <c r="BR299" s="28" t="n">
        <v>0.66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0.515464</v>
      </c>
      <c r="BZ299" s="24" t="inlineStr">
        <is>
          <t>2026-08-28T02:36:20.259717Z</t>
        </is>
      </c>
      <c r="CA299" s="31" t="inlineStr">
        <is>
          <t>fixed one-unit hypothetical scoring; no real exposure or execution</t>
        </is>
      </c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False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inlineStr">
        <is>
          <t>1661acf79d166f6a2b26f08e72d51863d1df25fc0f069b12b64c0eefb5656bcd</t>
        </is>
      </c>
      <c r="DE299" s="24" t="inlineStr">
        <is>
          <t>/Users/vincentc9002/model-prediction/data/odds/tennis/2026-08-27/polymarket_snapshots.jsonl</t>
        </is>
      </c>
      <c r="DF299" s="24" t="inlineStr">
        <is>
          <t>530132:2026-08-27T21:53:56.470564Z</t>
        </is>
      </c>
      <c r="DG299" s="24" t="n"/>
      <c r="DH299" s="24" t="n"/>
      <c r="DI299" s="24" t="n"/>
      <c r="DJ299" s="24" t="inlineStr">
        <is>
          <t>0.659864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636ab23faebd4891</t>
        </is>
      </c>
      <c r="B300" s="24" t="inlineStr">
        <is>
          <t>2026-08-27T22:19:18.088226Z</t>
        </is>
      </c>
      <c r="C300" s="24" t="inlineStr">
        <is>
          <t>2026-08-27T22:30Z</t>
        </is>
      </c>
      <c r="D300" s="24" t="inlineStr">
        <is>
          <t>341-2026:182482</t>
        </is>
      </c>
      <c r="E300" s="24" t="inlineStr">
        <is>
          <t>TENNIS</t>
        </is>
      </c>
      <c r="F300" s="24" t="inlineStr">
        <is>
          <t>Nikola Bartunkova</t>
        </is>
      </c>
      <c r="G300" s="24" t="inlineStr">
        <is>
          <t>Darja Vidmanova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-170</v>
      </c>
      <c r="M300" s="27" t="n">
        <v>1.588235</v>
      </c>
      <c r="N300" s="28" t="n">
        <v>0.62963</v>
      </c>
      <c r="O300" s="28" t="n">
        <v>0.5335</v>
      </c>
      <c r="P300" s="28" t="n">
        <v>0.05</v>
      </c>
      <c r="Q300" s="28" t="n">
        <v>-0.09612999999999999</v>
      </c>
      <c r="R300" s="26" t="n">
        <v>0</v>
      </c>
      <c r="S300" s="29" t="n">
        <v>1</v>
      </c>
      <c r="T300" s="24" t="inlineStr">
        <is>
          <t>tennis-surface-elo-v1</t>
        </is>
      </c>
      <c r="U300" s="24" t="inlineStr">
        <is>
          <t>settled</t>
        </is>
      </c>
      <c r="V300" s="24" t="inlineStr">
        <is>
          <t>win</t>
        </is>
      </c>
      <c r="W300" s="26" t="n">
        <v>1</v>
      </c>
      <c r="X300" s="26" t="n">
        <v>0</v>
      </c>
      <c r="Y300" s="25" t="n"/>
      <c r="Z300" s="26" t="n">
        <v>-170</v>
      </c>
      <c r="AA300" s="28" t="n">
        <v>0.63</v>
      </c>
      <c r="AB300" s="28" t="n">
        <v>0.00037</v>
      </c>
      <c r="AC300" s="30" t="n">
        <v>0.5881999999999999</v>
      </c>
      <c r="AD300" s="24" t="inlineStr">
        <is>
          <t>2026-08-28T02:37:27.795853Z</t>
        </is>
      </c>
      <c r="AE300" s="31" t="inlineStr">
        <is>
          <t>Surface-blended Elo on Hard: Nikola Bartunkova p=0.533 vs Darja Vidmanova. Executable ask 0.6300 (aec-wta-darvid-nikbar-2026-08-27).</t>
        </is>
      </c>
      <c r="AF300" s="31" t="inlineStr">
        <is>
          <t>Surface-blended Elo model; singles only, WTA+ATP market coverage, not yet locked-holdout qualified -- promoted by explicit operator directive, not genuine walk-forward validation.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Nikola Bartunkova</t>
        </is>
      </c>
      <c r="AQ300" s="24" t="inlineStr">
        <is>
          <t>Nikola Bartunkova</t>
        </is>
      </c>
      <c r="AR300" s="24" t="inlineStr">
        <is>
          <t>Nikola Bartunkova</t>
        </is>
      </c>
      <c r="AS300" s="24" t="inlineStr">
        <is>
          <t>Darja Vidmanova</t>
        </is>
      </c>
      <c r="AT300" s="24" t="inlineStr">
        <is>
          <t>Darja Vidmanova</t>
        </is>
      </c>
      <c r="AU300" s="24" t="inlineStr">
        <is>
          <t>Darja Vidmanova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d777da58446bc099047b154203518e2585ef1a678f613f2b430f2589f7bf5cff</t>
        </is>
      </c>
      <c r="BB300" s="24" t="inlineStr">
        <is>
          <t>surface_blended_elo</t>
        </is>
      </c>
      <c r="BC300" s="24" t="inlineStr">
        <is>
          <t>tennis-surface-elo-v1</t>
        </is>
      </c>
      <c r="BD300" s="24" t="inlineStr">
        <is>
          <t>d777da58446bc099047b154203518e2585ef1a678f613f2b430f2589f7bf5cff</t>
        </is>
      </c>
      <c r="BE300" s="24" t="inlineStr">
        <is>
          <t>tennis-surface-elo-v1</t>
        </is>
      </c>
      <c r="BF300" s="24" t="inlineStr">
        <is>
          <t>1</t>
        </is>
      </c>
      <c r="BG300" s="24" t="inlineStr">
        <is>
          <t>d777da58446bc099047b154203518e2585ef1a678f613f2b430f2589f7bf5cff</t>
        </is>
      </c>
      <c r="BH300" s="24" t="inlineStr">
        <is>
          <t>2026-08-27T22:17:29.047365Z</t>
        </is>
      </c>
      <c r="BI300" s="24" t="inlineStr">
        <is>
          <t>["same_event","same_team_same_day","same_league_same_day"]</t>
        </is>
      </c>
      <c r="BJ300" s="25" t="n"/>
      <c r="BK300" s="26" t="n">
        <v>-170</v>
      </c>
      <c r="BL300" s="27" t="n">
        <v>1.588235</v>
      </c>
      <c r="BM300" s="28" t="n">
        <v>0.62963</v>
      </c>
      <c r="BN300" s="28" t="n"/>
      <c r="BO300" s="28" t="n"/>
      <c r="BP300" s="25" t="n"/>
      <c r="BQ300" s="27" t="n">
        <v>1.588235</v>
      </c>
      <c r="BR300" s="28" t="n">
        <v>0.63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0.588234</v>
      </c>
      <c r="BZ300" s="24" t="inlineStr">
        <is>
          <t>2026-08-28T02:37:27.795853Z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inlineStr">
        <is>
          <t>f8f051632fc3ab62d533b13008869adcfd45675f6b1f4ee45cefda5948f8c3ee</t>
        </is>
      </c>
      <c r="DE300" s="24" t="inlineStr">
        <is>
          <t>/Users/vincentc9002/model-prediction/data/odds/tennis/2026-08-27/polymarket_snapshots.jsonl</t>
        </is>
      </c>
      <c r="DF300" s="24" t="inlineStr">
        <is>
          <t>534202:2026-08-27T22:17:29.047365Z</t>
        </is>
      </c>
      <c r="DG300" s="24" t="n"/>
      <c r="DH300" s="24" t="n"/>
      <c r="DI300" s="24" t="n"/>
      <c r="DJ300" s="24" t="inlineStr">
        <is>
          <t>0.62963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c970bb47efab4cf4</t>
        </is>
      </c>
      <c r="B301" s="24" t="inlineStr">
        <is>
          <t>2026-08-27T22:19:18.088226Z</t>
        </is>
      </c>
      <c r="C301" s="24" t="inlineStr">
        <is>
          <t>2026-08-28T01:30Z</t>
        </is>
      </c>
      <c r="D301" s="24" t="inlineStr">
        <is>
          <t>341-2026:182485</t>
        </is>
      </c>
      <c r="E301" s="24" t="inlineStr">
        <is>
          <t>TENNIS</t>
        </is>
      </c>
      <c r="F301" s="24" t="inlineStr">
        <is>
          <t>Diane Parry</t>
        </is>
      </c>
      <c r="G301" s="24" t="inlineStr">
        <is>
          <t>Clara Tauson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-178</v>
      </c>
      <c r="M301" s="27" t="n">
        <v>1.561798</v>
      </c>
      <c r="N301" s="28" t="n">
        <v>0.640288</v>
      </c>
      <c r="O301" s="28" t="n">
        <v>0.5251</v>
      </c>
      <c r="P301" s="28" t="n">
        <v>0.05</v>
      </c>
      <c r="Q301" s="28" t="n">
        <v>-0.115188</v>
      </c>
      <c r="R301" s="26" t="n">
        <v>0</v>
      </c>
      <c r="S301" s="29" t="n">
        <v>1</v>
      </c>
      <c r="T301" s="24" t="inlineStr">
        <is>
          <t>tennis-surface-elo-v1</t>
        </is>
      </c>
      <c r="U301" s="24" t="inlineStr">
        <is>
          <t>settled</t>
        </is>
      </c>
      <c r="V301" s="24" t="inlineStr">
        <is>
          <t>loss</t>
        </is>
      </c>
      <c r="W301" s="26" t="n">
        <v>1</v>
      </c>
      <c r="X301" s="26" t="n">
        <v>0</v>
      </c>
      <c r="Y301" s="25" t="n"/>
      <c r="Z301" s="26" t="n">
        <v>-178</v>
      </c>
      <c r="AA301" s="28" t="n">
        <v>0.64</v>
      </c>
      <c r="AB301" s="28" t="n">
        <v>-0.000288</v>
      </c>
      <c r="AC301" s="30" t="n">
        <v>-1</v>
      </c>
      <c r="AD301" s="24" t="inlineStr">
        <is>
          <t>2026-08-28T12:30:16.340400Z</t>
        </is>
      </c>
      <c r="AE301" s="31" t="inlineStr">
        <is>
          <t>Surface-blended Elo on Hard: Diane Parry p=0.475 vs Clara Tauson. Executable ask 0.6400 (aec-wta-clatau-diapar-2026-08-27).</t>
        </is>
      </c>
      <c r="AF301" s="31" t="inlineStr">
        <is>
          <t>Surface-blended Elo model; singles only, WTA+ATP market coverage, not yet locked-holdout qualified -- promoted by explicit operator directive, not genuine walk-forward validation.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Diane Parry</t>
        </is>
      </c>
      <c r="AQ301" s="24" t="inlineStr">
        <is>
          <t>Diane Parry</t>
        </is>
      </c>
      <c r="AR301" s="24" t="inlineStr">
        <is>
          <t>Diane Parry</t>
        </is>
      </c>
      <c r="AS301" s="24" t="inlineStr">
        <is>
          <t>Clara Tauson</t>
        </is>
      </c>
      <c r="AT301" s="24" t="inlineStr">
        <is>
          <t>Clara Tauson</t>
        </is>
      </c>
      <c r="AU301" s="24" t="inlineStr">
        <is>
          <t>Clara Tauson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d777da58446bc099047b154203518e2585ef1a678f613f2b430f2589f7bf5cff</t>
        </is>
      </c>
      <c r="BB301" s="24" t="inlineStr">
        <is>
          <t>surface_blended_elo</t>
        </is>
      </c>
      <c r="BC301" s="24" t="inlineStr">
        <is>
          <t>tennis-surface-elo-v1</t>
        </is>
      </c>
      <c r="BD301" s="24" t="inlineStr">
        <is>
          <t>d777da58446bc099047b154203518e2585ef1a678f613f2b430f2589f7bf5cff</t>
        </is>
      </c>
      <c r="BE301" s="24" t="inlineStr">
        <is>
          <t>tennis-surface-elo-v1</t>
        </is>
      </c>
      <c r="BF301" s="24" t="inlineStr">
        <is>
          <t>1</t>
        </is>
      </c>
      <c r="BG301" s="24" t="inlineStr">
        <is>
          <t>d777da58446bc099047b154203518e2585ef1a678f613f2b430f2589f7bf5cff</t>
        </is>
      </c>
      <c r="BH301" s="24" t="inlineStr">
        <is>
          <t>2026-08-27T22:17:29.065929Z</t>
        </is>
      </c>
      <c r="BI301" s="24" t="inlineStr">
        <is>
          <t>["same_event","same_team_same_day","same_league_same_day"]</t>
        </is>
      </c>
      <c r="BJ301" s="25" t="n"/>
      <c r="BK301" s="26" t="n">
        <v>-178</v>
      </c>
      <c r="BL301" s="27" t="n">
        <v>1.561798</v>
      </c>
      <c r="BM301" s="28" t="n">
        <v>0.640288</v>
      </c>
      <c r="BN301" s="28" t="n"/>
      <c r="BO301" s="28" t="n"/>
      <c r="BP301" s="25" t="n"/>
      <c r="BQ301" s="27" t="n">
        <v>1.561798</v>
      </c>
      <c r="BR301" s="28" t="n">
        <v>0.64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2026-08-28T12:30:16.340400Z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inlineStr">
        <is>
          <t>2b0251ac6389ab7d78fa0ff93f7f30a71279b3364c13118c9e3d4388c021e84c</t>
        </is>
      </c>
      <c r="DE301" s="24" t="inlineStr">
        <is>
          <t>/Users/vincentc9002/model-prediction/data/odds/tennis/2026-08-27/polymarket_snapshots.jsonl</t>
        </is>
      </c>
      <c r="DF301" s="24" t="inlineStr">
        <is>
          <t>538205:2026-08-27T22:17:29.065929Z</t>
        </is>
      </c>
      <c r="DG301" s="24" t="n"/>
      <c r="DH301" s="24" t="n"/>
      <c r="DI301" s="24" t="n"/>
      <c r="DJ301" s="24" t="inlineStr">
        <is>
          <t>0.640288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7c07d50f040c4f90</t>
        </is>
      </c>
      <c r="B302" s="24" t="inlineStr">
        <is>
          <t>2026-08-27T22:19:18.088226Z</t>
        </is>
      </c>
      <c r="C302" s="24" t="inlineStr">
        <is>
          <t>2026-08-27T22:30Z</t>
        </is>
      </c>
      <c r="D302" s="24" t="inlineStr">
        <is>
          <t>363-2026:182041</t>
        </is>
      </c>
      <c r="E302" s="24" t="inlineStr">
        <is>
          <t>TENNIS</t>
        </is>
      </c>
      <c r="F302" s="24" t="inlineStr">
        <is>
          <t>Aleksandar Kovacevic</t>
        </is>
      </c>
      <c r="G302" s="24" t="inlineStr">
        <is>
          <t>Arthur Fery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-108</v>
      </c>
      <c r="M302" s="27" t="n">
        <v>1.925926</v>
      </c>
      <c r="N302" s="28" t="n">
        <v>0.519231</v>
      </c>
      <c r="O302" s="28" t="n">
        <v>0.6278</v>
      </c>
      <c r="P302" s="28" t="n">
        <v>0.05</v>
      </c>
      <c r="Q302" s="28" t="n">
        <v>0.108569</v>
      </c>
      <c r="R302" s="26" t="n">
        <v>74</v>
      </c>
      <c r="S302" s="29" t="n">
        <v>1.5</v>
      </c>
      <c r="T302" s="24" t="inlineStr">
        <is>
          <t>tennis-surface-elo-v1</t>
        </is>
      </c>
      <c r="U302" s="24" t="inlineStr">
        <is>
          <t>settled</t>
        </is>
      </c>
      <c r="V302" s="24" t="inlineStr">
        <is>
          <t>win</t>
        </is>
      </c>
      <c r="W302" s="26" t="n">
        <v>0</v>
      </c>
      <c r="X302" s="26" t="n">
        <v>1</v>
      </c>
      <c r="Y302" s="25" t="n"/>
      <c r="Z302" s="26" t="n">
        <v>-108</v>
      </c>
      <c r="AA302" s="28" t="n">
        <v>0.52</v>
      </c>
      <c r="AB302" s="28" t="n">
        <v>0.000769</v>
      </c>
      <c r="AC302" s="30" t="n">
        <v>1.3889</v>
      </c>
      <c r="AD302" s="24" t="inlineStr">
        <is>
          <t>2026-08-28T02:37:31.804991Z</t>
        </is>
      </c>
      <c r="AE302" s="31" t="inlineStr">
        <is>
          <t>Surface-blended Elo on Hard: Aleksandar Kovacevic p=0.372 vs Arthur Fery. Executable ask 0.5200 (aec-atp-artfer-alekov-2026-08-27).</t>
        </is>
      </c>
      <c r="AF302" s="31" t="inlineStr">
        <is>
          <t>Surface-blended Elo model; singles only, WTA+ATP market coverage, not yet locked-holdout qualified -- promoted by explicit operator directive, not genuine walk-forward validation.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Aleksandar Kovacevic</t>
        </is>
      </c>
      <c r="AQ302" s="24" t="inlineStr">
        <is>
          <t>Aleksandar Kovacevic</t>
        </is>
      </c>
      <c r="AR302" s="24" t="inlineStr">
        <is>
          <t>Aleksandar Kovacevic</t>
        </is>
      </c>
      <c r="AS302" s="24" t="inlineStr">
        <is>
          <t>Arthur Fery</t>
        </is>
      </c>
      <c r="AT302" s="24" t="inlineStr">
        <is>
          <t>Arthur Fery</t>
        </is>
      </c>
      <c r="AU302" s="24" t="inlineStr">
        <is>
          <t>Arthur Fery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d777da58446bc099047b154203518e2585ef1a678f613f2b430f2589f7bf5cff</t>
        </is>
      </c>
      <c r="BB302" s="24" t="inlineStr">
        <is>
          <t>surface_blended_elo</t>
        </is>
      </c>
      <c r="BC302" s="24" t="inlineStr">
        <is>
          <t>tennis-surface-elo-v1</t>
        </is>
      </c>
      <c r="BD302" s="24" t="inlineStr">
        <is>
          <t>d777da58446bc099047b154203518e2585ef1a678f613f2b430f2589f7bf5cff</t>
        </is>
      </c>
      <c r="BE302" s="24" t="inlineStr">
        <is>
          <t>tennis-surface-elo-v1</t>
        </is>
      </c>
      <c r="BF302" s="24" t="inlineStr">
        <is>
          <t>1</t>
        </is>
      </c>
      <c r="BG302" s="24" t="inlineStr">
        <is>
          <t>d777da58446bc099047b154203518e2585ef1a678f613f2b430f2589f7bf5cff</t>
        </is>
      </c>
      <c r="BH302" s="24" t="inlineStr">
        <is>
          <t>2026-08-27T22:17:30.662347Z</t>
        </is>
      </c>
      <c r="BI302" s="24" t="inlineStr">
        <is>
          <t>["same_event","same_team_same_day","same_league_same_day"]</t>
        </is>
      </c>
      <c r="BJ302" s="25" t="n"/>
      <c r="BK302" s="26" t="n">
        <v>-108</v>
      </c>
      <c r="BL302" s="27" t="n">
        <v>1.925926</v>
      </c>
      <c r="BM302" s="28" t="n">
        <v>0.519231</v>
      </c>
      <c r="BN302" s="28" t="n"/>
      <c r="BO302" s="28" t="n"/>
      <c r="BP302" s="25" t="n"/>
      <c r="BQ302" s="27" t="n">
        <v>1.925926</v>
      </c>
      <c r="BR302" s="28" t="n">
        <v>0.52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inlineStr">
        <is>
          <t>125d9a1f5f1e8db0304a2e06a1d69ac17a002bebd585696612e16c7f7462b461</t>
        </is>
      </c>
      <c r="DE302" s="24" t="inlineStr">
        <is>
          <t>/Users/vincentc9002/model-prediction/data/odds/tennis/2026-08-27/polymarket_snapshots.jsonl</t>
        </is>
      </c>
      <c r="DF302" s="24" t="inlineStr">
        <is>
          <t>534549:2026-08-27T22:17:30.662347Z</t>
        </is>
      </c>
      <c r="DG302" s="24" t="n"/>
      <c r="DH302" s="24" t="n"/>
      <c r="DI302" s="24" t="n"/>
      <c r="DJ302" s="24" t="inlineStr">
        <is>
          <t>0.519231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7ebafcbe90ca4fb4</t>
        </is>
      </c>
      <c r="B303" s="24" t="inlineStr">
        <is>
          <t>2026-08-28T02:43:25.101348Z</t>
        </is>
      </c>
      <c r="C303" s="24" t="inlineStr">
        <is>
          <t>2026-08-28T03:15Z</t>
        </is>
      </c>
      <c r="D303" s="24" t="inlineStr">
        <is>
          <t>341-2026:182484</t>
        </is>
      </c>
      <c r="E303" s="24" t="inlineStr">
        <is>
          <t>TENNIS</t>
        </is>
      </c>
      <c r="F303" s="24" t="inlineStr">
        <is>
          <t>Elise Mertens</t>
        </is>
      </c>
      <c r="G303" s="24" t="inlineStr">
        <is>
          <t>Yuliia Starodubtseva</t>
        </is>
      </c>
      <c r="H303" s="24" t="inlineStr">
        <is>
          <t>moneyline</t>
        </is>
      </c>
      <c r="I303" s="24" t="inlineStr">
        <is>
          <t>away</t>
        </is>
      </c>
      <c r="J303" s="25" t="n"/>
      <c r="K303" s="24" t="inlineStr">
        <is>
          <t>polymarket_us</t>
        </is>
      </c>
      <c r="L303" s="26" t="n">
        <v>-223</v>
      </c>
      <c r="M303" s="27" t="n">
        <v>1.44843</v>
      </c>
      <c r="N303" s="28" t="n">
        <v>0.690402</v>
      </c>
      <c r="O303" s="28" t="n">
        <v>0.5617</v>
      </c>
      <c r="P303" s="28" t="n">
        <v>0.05</v>
      </c>
      <c r="Q303" s="28" t="n">
        <v>-0.128702</v>
      </c>
      <c r="R303" s="26" t="n">
        <v>0</v>
      </c>
      <c r="S303" s="29" t="n">
        <v>1</v>
      </c>
      <c r="T303" s="24" t="inlineStr">
        <is>
          <t>tennis-surface-elo-v1</t>
        </is>
      </c>
      <c r="U303" s="24" t="inlineStr">
        <is>
          <t>settled</t>
        </is>
      </c>
      <c r="V303" s="24" t="inlineStr">
        <is>
          <t>win</t>
        </is>
      </c>
      <c r="W303" s="26" t="n">
        <v>1</v>
      </c>
      <c r="X303" s="26" t="n">
        <v>0</v>
      </c>
      <c r="Y303" s="25" t="n"/>
      <c r="Z303" s="26" t="n">
        <v>-223</v>
      </c>
      <c r="AA303" s="28" t="n">
        <v>0.6899999999999999</v>
      </c>
      <c r="AB303" s="28" t="n">
        <v>-0.000402</v>
      </c>
      <c r="AC303" s="30" t="n">
        <v>0.4484</v>
      </c>
      <c r="AD303" s="24" t="inlineStr">
        <is>
          <t>2026-08-28T12:30:17.821141Z</t>
        </is>
      </c>
      <c r="AE303" s="31" t="inlineStr">
        <is>
          <t>Surface-blended Elo on Hard: Elise Mertens p=0.562 vs Yuliia Starodubtseva. Executable ask 0.6900 (aec-wta-yulsta-elimer-2026-08-28).</t>
        </is>
      </c>
      <c r="AF303" s="31" t="inlineStr">
        <is>
          <t>Surface-blended Elo model; singles only, WTA+ATP market coverage, not yet locked-holdout qualified -- promoted by explicit operator directive, not genuine walk-forward validation.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Elise Mertens</t>
        </is>
      </c>
      <c r="AQ303" s="24" t="inlineStr">
        <is>
          <t>Elise Mertens</t>
        </is>
      </c>
      <c r="AR303" s="24" t="inlineStr">
        <is>
          <t>Elise Mertens</t>
        </is>
      </c>
      <c r="AS303" s="24" t="inlineStr">
        <is>
          <t>Yuliia Starodubtseva</t>
        </is>
      </c>
      <c r="AT303" s="24" t="inlineStr">
        <is>
          <t>Yuliia Starodubtseva</t>
        </is>
      </c>
      <c r="AU303" s="24" t="inlineStr">
        <is>
          <t>Yuliia Starodubtseva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d777da58446bc099047b154203518e2585ef1a678f613f2b430f2589f7bf5cff</t>
        </is>
      </c>
      <c r="BB303" s="24" t="inlineStr">
        <is>
          <t>surface_blended_elo</t>
        </is>
      </c>
      <c r="BC303" s="24" t="inlineStr">
        <is>
          <t>tennis-surface-elo-v1</t>
        </is>
      </c>
      <c r="BD303" s="24" t="inlineStr">
        <is>
          <t>d777da58446bc099047b154203518e2585ef1a678f613f2b430f2589f7bf5cff</t>
        </is>
      </c>
      <c r="BE303" s="24" t="inlineStr">
        <is>
          <t>tennis-surface-elo-v1</t>
        </is>
      </c>
      <c r="BF303" s="24" t="inlineStr">
        <is>
          <t>1</t>
        </is>
      </c>
      <c r="BG303" s="24" t="inlineStr">
        <is>
          <t>d777da58446bc099047b154203518e2585ef1a678f613f2b430f2589f7bf5cff</t>
        </is>
      </c>
      <c r="BH303" s="24" t="inlineStr">
        <is>
          <t>2026-08-28T02:42:43.408213Z</t>
        </is>
      </c>
      <c r="BI303" s="24" t="inlineStr">
        <is>
          <t>["same_event","same_team_same_day","same_league_same_day"]</t>
        </is>
      </c>
      <c r="BJ303" s="25" t="n"/>
      <c r="BK303" s="26" t="n">
        <v>-223</v>
      </c>
      <c r="BL303" s="27" t="n">
        <v>1.44843</v>
      </c>
      <c r="BM303" s="28" t="n">
        <v>0.690402</v>
      </c>
      <c r="BN303" s="28" t="n"/>
      <c r="BO303" s="28" t="n"/>
      <c r="BP303" s="25" t="n"/>
      <c r="BQ303" s="27" t="n">
        <v>1.44843</v>
      </c>
      <c r="BR303" s="28" t="n">
        <v>0.6899999999999999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0.448431</v>
      </c>
      <c r="BZ303" s="24" t="inlineStr">
        <is>
          <t>2026-08-28T12:30:17.821141Z</t>
        </is>
      </c>
      <c r="CA303" s="31" t="inlineStr">
        <is>
          <t>fixed one-unit hypothetical scoring; no real exposure or execution</t>
        </is>
      </c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inlineStr">
        <is>
          <t>8425c77bd468e08ec85950e7e603a11734ff34c7094cba830bb6ca713c3332c1</t>
        </is>
      </c>
      <c r="DE303" s="24" t="inlineStr">
        <is>
          <t>/Users/vincentc9002/model-prediction/data/odds/tennis/2026-08-27/polymarket_snapshots.jsonl</t>
        </is>
      </c>
      <c r="DF303" s="24" t="inlineStr">
        <is>
          <t>535244:2026-08-28T02:42:43.408213Z</t>
        </is>
      </c>
      <c r="DG303" s="24" t="n"/>
      <c r="DH303" s="24" t="n"/>
      <c r="DI303" s="24" t="n"/>
      <c r="DJ303" s="24" t="inlineStr">
        <is>
          <t>0.690402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dadb2c59e01a411c</t>
        </is>
      </c>
      <c r="B304" s="24" t="inlineStr">
        <is>
          <t>2026-08-28T12:35:00.632364Z</t>
        </is>
      </c>
      <c r="C304" s="24" t="inlineStr">
        <is>
          <t>2026-08-28T23:00Z</t>
        </is>
      </c>
      <c r="D304" s="24" t="inlineStr">
        <is>
          <t>341-2026:182489</t>
        </is>
      </c>
      <c r="E304" s="24" t="inlineStr">
        <is>
          <t>TENNIS</t>
        </is>
      </c>
      <c r="F304" s="24" t="inlineStr">
        <is>
          <t>Ann Li</t>
        </is>
      </c>
      <c r="G304" s="24" t="inlineStr">
        <is>
          <t>Diane Parry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-163</v>
      </c>
      <c r="M304" s="27" t="n">
        <v>1.613497</v>
      </c>
      <c r="N304" s="28" t="n">
        <v>0.619772</v>
      </c>
      <c r="O304" s="28" t="n">
        <v>0.5309</v>
      </c>
      <c r="P304" s="28" t="n">
        <v>0.05</v>
      </c>
      <c r="Q304" s="28" t="n">
        <v>-0.08887200000000001</v>
      </c>
      <c r="R304" s="26" t="n">
        <v>0</v>
      </c>
      <c r="S304" s="29" t="n">
        <v>1</v>
      </c>
      <c r="T304" s="24" t="inlineStr">
        <is>
          <t>tennis-surface-elo-v1</t>
        </is>
      </c>
      <c r="U304" s="24" t="inlineStr">
        <is>
          <t>settled</t>
        </is>
      </c>
      <c r="V304" s="24" t="inlineStr">
        <is>
          <t>loss</t>
        </is>
      </c>
      <c r="W304" s="26" t="n">
        <v>0</v>
      </c>
      <c r="X304" s="26" t="n">
        <v>1</v>
      </c>
      <c r="Y304" s="25" t="n"/>
      <c r="Z304" s="26" t="n">
        <v>-163</v>
      </c>
      <c r="AA304" s="28" t="n">
        <v>0.62</v>
      </c>
      <c r="AB304" s="28" t="n">
        <v>0.000228</v>
      </c>
      <c r="AC304" s="30" t="n">
        <v>-1</v>
      </c>
      <c r="AD304" s="24" t="inlineStr">
        <is>
          <t>2026-08-29T12:32:45.580678Z</t>
        </is>
      </c>
      <c r="AE304" s="31" t="inlineStr">
        <is>
          <t>Surface-blended Elo on Hard: Ann Li p=0.531 vs Diane Parry. Executable ask 0.6200 (aec-wta-diapar-annli-2026-08-28).</t>
        </is>
      </c>
      <c r="AF304" s="31" t="inlineStr">
        <is>
          <t>Surface-blended Elo model; singles only, WTA+ATP market coverage, not yet locked-holdout qualified -- promoted by explicit operator directive, not genuine walk-forward validation.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Ann Li</t>
        </is>
      </c>
      <c r="AQ304" s="24" t="inlineStr">
        <is>
          <t>Ann Li</t>
        </is>
      </c>
      <c r="AR304" s="24" t="inlineStr">
        <is>
          <t>Ann Li</t>
        </is>
      </c>
      <c r="AS304" s="24" t="inlineStr">
        <is>
          <t>Diane Parry</t>
        </is>
      </c>
      <c r="AT304" s="24" t="inlineStr">
        <is>
          <t>Diane Parry</t>
        </is>
      </c>
      <c r="AU304" s="24" t="inlineStr">
        <is>
          <t>Diane Parry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d777da58446bc099047b154203518e2585ef1a678f613f2b430f2589f7bf5cff</t>
        </is>
      </c>
      <c r="BB304" s="24" t="inlineStr">
        <is>
          <t>surface_blended_elo</t>
        </is>
      </c>
      <c r="BC304" s="24" t="inlineStr">
        <is>
          <t>tennis-surface-elo-v1</t>
        </is>
      </c>
      <c r="BD304" s="24" t="inlineStr">
        <is>
          <t>d777da58446bc099047b154203518e2585ef1a678f613f2b430f2589f7bf5cff</t>
        </is>
      </c>
      <c r="BE304" s="24" t="inlineStr">
        <is>
          <t>tennis-surface-elo-v1</t>
        </is>
      </c>
      <c r="BF304" s="24" t="inlineStr">
        <is>
          <t>1</t>
        </is>
      </c>
      <c r="BG304" s="24" t="inlineStr">
        <is>
          <t>d777da58446bc099047b154203518e2585ef1a678f613f2b430f2589f7bf5cff</t>
        </is>
      </c>
      <c r="BH304" s="24" t="inlineStr">
        <is>
          <t>2026-08-28T12:33:31.909804Z</t>
        </is>
      </c>
      <c r="BI304" s="24" t="inlineStr">
        <is>
          <t>["same_event","same_team_same_day","same_league_same_day"]</t>
        </is>
      </c>
      <c r="BJ304" s="25" t="n"/>
      <c r="BK304" s="26" t="n">
        <v>-163</v>
      </c>
      <c r="BL304" s="27" t="n">
        <v>1.613497</v>
      </c>
      <c r="BM304" s="28" t="n">
        <v>0.619772</v>
      </c>
      <c r="BN304" s="28" t="n"/>
      <c r="BO304" s="28" t="n"/>
      <c r="BP304" s="25" t="n"/>
      <c r="BQ304" s="27" t="n">
        <v>1.613497</v>
      </c>
      <c r="BR304" s="28" t="n">
        <v>0.62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-1</v>
      </c>
      <c r="BZ304" s="24" t="inlineStr">
        <is>
          <t>2026-08-29T12:32:45.580678Z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inlineStr">
        <is>
          <t>78320277fe6a71028d0b2ca120eb77ad9cd8e93e997bdbd8c5d95e26b033815e</t>
        </is>
      </c>
      <c r="DE304" s="24" t="inlineStr">
        <is>
          <t>/Users/vincentc9002/model-prediction/data/odds/tennis/2026-08-28/polymarket_snapshots.jsonl</t>
        </is>
      </c>
      <c r="DF304" s="24" t="inlineStr">
        <is>
          <t>543899:2026-08-28T12:33:31.909804Z</t>
        </is>
      </c>
      <c r="DG304" s="24" t="n"/>
      <c r="DH304" s="24" t="n"/>
      <c r="DI304" s="24" t="n"/>
      <c r="DJ304" s="24" t="inlineStr">
        <is>
          <t>0.619772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0a88a4c30d9a4b22</t>
        </is>
      </c>
      <c r="B305" s="24" t="inlineStr">
        <is>
          <t>2026-08-28T12:35:00.632364Z</t>
        </is>
      </c>
      <c r="C305" s="24" t="inlineStr">
        <is>
          <t>2026-08-29T01:00Z</t>
        </is>
      </c>
      <c r="D305" s="24" t="inlineStr">
        <is>
          <t>341-2026:182491</t>
        </is>
      </c>
      <c r="E305" s="24" t="inlineStr">
        <is>
          <t>TENNIS</t>
        </is>
      </c>
      <c r="F305" s="24" t="inlineStr">
        <is>
          <t>Elise Mertens</t>
        </is>
      </c>
      <c r="G305" s="24" t="inlineStr">
        <is>
          <t>Nikola Bartunkova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-133</v>
      </c>
      <c r="M305" s="27" t="n">
        <v>1.75188</v>
      </c>
      <c r="N305" s="28" t="n">
        <v>0.570815</v>
      </c>
      <c r="O305" s="28" t="n">
        <v>0.529</v>
      </c>
      <c r="P305" s="28" t="n">
        <v>0.05</v>
      </c>
      <c r="Q305" s="28" t="n">
        <v>-0.041815</v>
      </c>
      <c r="R305" s="26" t="n">
        <v>0</v>
      </c>
      <c r="S305" s="29" t="n">
        <v>1</v>
      </c>
      <c r="T305" s="24" t="inlineStr">
        <is>
          <t>tennis-surface-elo-v1</t>
        </is>
      </c>
      <c r="U305" s="24" t="inlineStr">
        <is>
          <t>settled</t>
        </is>
      </c>
      <c r="V305" s="24" t="inlineStr">
        <is>
          <t>win</t>
        </is>
      </c>
      <c r="W305" s="26" t="n">
        <v>1</v>
      </c>
      <c r="X305" s="26" t="n">
        <v>0</v>
      </c>
      <c r="Y305" s="25" t="n"/>
      <c r="Z305" s="26" t="n">
        <v>-133</v>
      </c>
      <c r="AA305" s="28" t="n">
        <v>0.57</v>
      </c>
      <c r="AB305" s="28" t="n">
        <v>-0.000815</v>
      </c>
      <c r="AC305" s="30" t="n">
        <v>0.7519</v>
      </c>
      <c r="AD305" s="24" t="inlineStr">
        <is>
          <t>2026-08-29T12:32:47.263464Z</t>
        </is>
      </c>
      <c r="AE305" s="31" t="inlineStr">
        <is>
          <t>Surface-blended Elo on Hard: Elise Mertens p=0.529 vs Nikola Bartunkova. Executable ask 0.5700 (aec-wta-nikbar-elimer-2026-08-28).</t>
        </is>
      </c>
      <c r="AF305" s="31" t="inlineStr">
        <is>
          <t>Surface-blended Elo model; singles only, WTA+ATP market coverage, not yet locked-holdout qualified -- promoted by explicit operator directive, not genuine walk-forward validation.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Elise Mertens</t>
        </is>
      </c>
      <c r="AQ305" s="24" t="inlineStr">
        <is>
          <t>Elise Mertens</t>
        </is>
      </c>
      <c r="AR305" s="24" t="inlineStr">
        <is>
          <t>Elise Mertens</t>
        </is>
      </c>
      <c r="AS305" s="24" t="inlineStr">
        <is>
          <t>Nikola Bartunkova</t>
        </is>
      </c>
      <c r="AT305" s="24" t="inlineStr">
        <is>
          <t>Nikola Bartunkova</t>
        </is>
      </c>
      <c r="AU305" s="24" t="inlineStr">
        <is>
          <t>Nikola Bartunkova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d777da58446bc099047b154203518e2585ef1a678f613f2b430f2589f7bf5cff</t>
        </is>
      </c>
      <c r="BB305" s="24" t="inlineStr">
        <is>
          <t>surface_blended_elo</t>
        </is>
      </c>
      <c r="BC305" s="24" t="inlineStr">
        <is>
          <t>tennis-surface-elo-v1</t>
        </is>
      </c>
      <c r="BD305" s="24" t="inlineStr">
        <is>
          <t>d777da58446bc099047b154203518e2585ef1a678f613f2b430f2589f7bf5cff</t>
        </is>
      </c>
      <c r="BE305" s="24" t="inlineStr">
        <is>
          <t>tennis-surface-elo-v1</t>
        </is>
      </c>
      <c r="BF305" s="24" t="inlineStr">
        <is>
          <t>1</t>
        </is>
      </c>
      <c r="BG305" s="24" t="inlineStr">
        <is>
          <t>d777da58446bc099047b154203518e2585ef1a678f613f2b430f2589f7bf5cff</t>
        </is>
      </c>
      <c r="BH305" s="24" t="inlineStr">
        <is>
          <t>2026-08-28T12:33:31.927937Z</t>
        </is>
      </c>
      <c r="BI305" s="24" t="inlineStr">
        <is>
          <t>["same_event","same_team_same_day","same_league_same_day"]</t>
        </is>
      </c>
      <c r="BJ305" s="25" t="n"/>
      <c r="BK305" s="26" t="n">
        <v>-133</v>
      </c>
      <c r="BL305" s="27" t="n">
        <v>1.75188</v>
      </c>
      <c r="BM305" s="28" t="n">
        <v>0.570815</v>
      </c>
      <c r="BN305" s="28" t="n"/>
      <c r="BO305" s="28" t="n"/>
      <c r="BP305" s="25" t="n"/>
      <c r="BQ305" s="27" t="n">
        <v>1.75188</v>
      </c>
      <c r="BR305" s="28" t="n">
        <v>0.57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0.751881</v>
      </c>
      <c r="BZ305" s="24" t="inlineStr">
        <is>
          <t>2026-08-29T12:32:47.263464Z</t>
        </is>
      </c>
      <c r="CA305" s="31" t="inlineStr">
        <is>
          <t>fixed one-unit hypothetical scoring; no real exposure or execution</t>
        </is>
      </c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inlineStr">
        <is>
          <t>5985cb1f7c5e71679bf44180b6f6a2c37160ea0937281057032cc4006b0c5309</t>
        </is>
      </c>
      <c r="DE305" s="24" t="inlineStr">
        <is>
          <t>/Users/vincentc9002/model-prediction/data/odds/tennis/2026-08-28/polymarket_snapshots.jsonl</t>
        </is>
      </c>
      <c r="DF305" s="24" t="inlineStr">
        <is>
          <t>544676:2026-08-28T12:33:31.927937Z</t>
        </is>
      </c>
      <c r="DG305" s="24" t="n"/>
      <c r="DH305" s="24" t="n"/>
      <c r="DI305" s="24" t="n"/>
      <c r="DJ305" s="24" t="inlineStr">
        <is>
          <t>0.570815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7baf47fad1ee4279</t>
        </is>
      </c>
      <c r="B306" s="24" t="inlineStr">
        <is>
          <t>2026-08-28T12:35:00.632364Z</t>
        </is>
      </c>
      <c r="C306" s="24" t="inlineStr">
        <is>
          <t>2026-08-28T22:00Z</t>
        </is>
      </c>
      <c r="D306" s="24" t="inlineStr">
        <is>
          <t>1075-2026:182149</t>
        </is>
      </c>
      <c r="E306" s="24" t="inlineStr">
        <is>
          <t>TENNIS</t>
        </is>
      </c>
      <c r="F306" s="24" t="inlineStr">
        <is>
          <t>Katie Volynets</t>
        </is>
      </c>
      <c r="G306" s="24" t="inlineStr">
        <is>
          <t>Oksana Selekhmeteva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-426</v>
      </c>
      <c r="M306" s="27" t="n">
        <v>1.234742</v>
      </c>
      <c r="N306" s="28" t="n">
        <v>0.809886</v>
      </c>
      <c r="O306" s="28" t="n">
        <v>0.6395</v>
      </c>
      <c r="P306" s="28" t="n">
        <v>0.05</v>
      </c>
      <c r="Q306" s="28" t="n">
        <v>-0.170386</v>
      </c>
      <c r="R306" s="26" t="n">
        <v>0</v>
      </c>
      <c r="S306" s="29" t="n">
        <v>1</v>
      </c>
      <c r="T306" s="24" t="inlineStr">
        <is>
          <t>tennis-surface-elo-v1</t>
        </is>
      </c>
      <c r="U306" s="24" t="inlineStr">
        <is>
          <t>settled</t>
        </is>
      </c>
      <c r="V306" s="24" t="inlineStr">
        <is>
          <t>win</t>
        </is>
      </c>
      <c r="W306" s="26" t="n">
        <v>1</v>
      </c>
      <c r="X306" s="26" t="n">
        <v>0</v>
      </c>
      <c r="Y306" s="25" t="n"/>
      <c r="Z306" s="26" t="n">
        <v>-426</v>
      </c>
      <c r="AA306" s="28" t="n">
        <v>0.8100000000000001</v>
      </c>
      <c r="AB306" s="28" t="n">
        <v>0.000114</v>
      </c>
      <c r="AC306" s="30" t="n">
        <v>0.2347</v>
      </c>
      <c r="AD306" s="24" t="inlineStr">
        <is>
          <t>2026-08-29T12:32:48.892953Z</t>
        </is>
      </c>
      <c r="AE306" s="31" t="inlineStr">
        <is>
          <t>Surface-blended Elo on Hard: Katie Volynets p=0.639 vs Oksana Selekhmeteva. Executable ask 0.8100 (aec-wta-okssel-katvol-2026-08-28).</t>
        </is>
      </c>
      <c r="AF306" s="31" t="inlineStr">
        <is>
          <t>Surface-blended Elo model; singles only, WTA+ATP market coverage, not yet locked-holdout qualified -- promoted by explicit operator directive, not genuine walk-forward validation.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Katie Volynets</t>
        </is>
      </c>
      <c r="AQ306" s="24" t="inlineStr">
        <is>
          <t>Katie Volynets</t>
        </is>
      </c>
      <c r="AR306" s="24" t="inlineStr">
        <is>
          <t>Katie Volynets</t>
        </is>
      </c>
      <c r="AS306" s="24" t="inlineStr">
        <is>
          <t>Oksana Selekhmeteva</t>
        </is>
      </c>
      <c r="AT306" s="24" t="inlineStr">
        <is>
          <t>Oksana Selekhmeteva</t>
        </is>
      </c>
      <c r="AU306" s="24" t="inlineStr">
        <is>
          <t>Oksana Selekhmeteva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d777da58446bc099047b154203518e2585ef1a678f613f2b430f2589f7bf5cff</t>
        </is>
      </c>
      <c r="BB306" s="24" t="inlineStr">
        <is>
          <t>surface_blended_elo</t>
        </is>
      </c>
      <c r="BC306" s="24" t="inlineStr">
        <is>
          <t>tennis-surface-elo-v1</t>
        </is>
      </c>
      <c r="BD306" s="24" t="inlineStr">
        <is>
          <t>d777da58446bc099047b154203518e2585ef1a678f613f2b430f2589f7bf5cff</t>
        </is>
      </c>
      <c r="BE306" s="24" t="inlineStr">
        <is>
          <t>tennis-surface-elo-v1</t>
        </is>
      </c>
      <c r="BF306" s="24" t="inlineStr">
        <is>
          <t>1</t>
        </is>
      </c>
      <c r="BG306" s="24" t="inlineStr">
        <is>
          <t>d777da58446bc099047b154203518e2585ef1a678f613f2b430f2589f7bf5cff</t>
        </is>
      </c>
      <c r="BH306" s="24" t="inlineStr">
        <is>
          <t>2026-08-28T12:33:31.805642Z</t>
        </is>
      </c>
      <c r="BI306" s="24" t="inlineStr">
        <is>
          <t>["same_event","same_team_same_day","same_league_same_day"]</t>
        </is>
      </c>
      <c r="BJ306" s="25" t="n"/>
      <c r="BK306" s="26" t="n">
        <v>-426</v>
      </c>
      <c r="BL306" s="27" t="n">
        <v>1.234742</v>
      </c>
      <c r="BM306" s="28" t="n">
        <v>0.809886</v>
      </c>
      <c r="BN306" s="28" t="n"/>
      <c r="BO306" s="28" t="n"/>
      <c r="BP306" s="25" t="n"/>
      <c r="BQ306" s="27" t="n">
        <v>1.234742</v>
      </c>
      <c r="BR306" s="28" t="n">
        <v>0.8100000000000001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0.234742</v>
      </c>
      <c r="BZ306" s="24" t="inlineStr">
        <is>
          <t>2026-08-29T12:32:48.892953Z</t>
        </is>
      </c>
      <c r="CA306" s="31" t="inlineStr">
        <is>
          <t>fixed one-unit hypothetical scoring; no real exposure or execution</t>
        </is>
      </c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inlineStr">
        <is>
          <t>70bd64cdfcbf7147900b611710f23e1ee89b13da251c13283db87b479fa38dc9</t>
        </is>
      </c>
      <c r="DE306" s="24" t="inlineStr">
        <is>
          <t>/Users/vincentc9002/model-prediction/data/odds/tennis/2026-08-28/polymarket_snapshots.jsonl</t>
        </is>
      </c>
      <c r="DF306" s="24" t="inlineStr">
        <is>
          <t>543655:2026-08-28T12:33:31.805642Z</t>
        </is>
      </c>
      <c r="DG306" s="24" t="n"/>
      <c r="DH306" s="24" t="n"/>
      <c r="DI306" s="24" t="n"/>
      <c r="DJ306" s="24" t="inlineStr">
        <is>
          <t>0.809886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9c5e1419c81e45c0</t>
        </is>
      </c>
      <c r="B307" s="24" t="inlineStr">
        <is>
          <t>2026-08-28T12:35:00.632364Z</t>
        </is>
      </c>
      <c r="C307" s="24" t="inlineStr">
        <is>
          <t>2026-08-28T20:00Z</t>
        </is>
      </c>
      <c r="D307" s="24" t="inlineStr">
        <is>
          <t>363-2026:182064</t>
        </is>
      </c>
      <c r="E307" s="24" t="inlineStr">
        <is>
          <t>TENNIS</t>
        </is>
      </c>
      <c r="F307" s="24" t="inlineStr">
        <is>
          <t>Benjamin Bonzi</t>
        </is>
      </c>
      <c r="G307" s="24" t="inlineStr">
        <is>
          <t>Ignacio Buse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-127</v>
      </c>
      <c r="M307" s="27" t="n">
        <v>1.787402</v>
      </c>
      <c r="N307" s="28" t="n">
        <v>0.5594710000000001</v>
      </c>
      <c r="O307" s="28" t="n">
        <v>0.5698</v>
      </c>
      <c r="P307" s="28" t="n">
        <v>0.05</v>
      </c>
      <c r="Q307" s="28" t="n">
        <v>0.010329</v>
      </c>
      <c r="R307" s="26" t="n">
        <v>25</v>
      </c>
      <c r="S307" s="29" t="n">
        <v>1</v>
      </c>
      <c r="T307" s="24" t="inlineStr">
        <is>
          <t>tennis-surface-elo-v1</t>
        </is>
      </c>
      <c r="U307" s="24" t="inlineStr">
        <is>
          <t>settled</t>
        </is>
      </c>
      <c r="V307" s="24" t="inlineStr">
        <is>
          <t>loss</t>
        </is>
      </c>
      <c r="W307" s="26" t="n">
        <v>0</v>
      </c>
      <c r="X307" s="26" t="n">
        <v>1</v>
      </c>
      <c r="Y307" s="25" t="n"/>
      <c r="Z307" s="26" t="n">
        <v>-127</v>
      </c>
      <c r="AA307" s="28" t="n">
        <v>0.5600000000000001</v>
      </c>
      <c r="AB307" s="28" t="n">
        <v>0.000529</v>
      </c>
      <c r="AC307" s="30" t="n">
        <v>-1</v>
      </c>
      <c r="AD307" s="24" t="inlineStr">
        <is>
          <t>2026-08-29T12:32:50.513534Z</t>
        </is>
      </c>
      <c r="AE307" s="31" t="inlineStr">
        <is>
          <t>Surface-blended Elo on Hard: Benjamin Bonzi p=0.570 vs Ignacio Buse. Executable ask 0.5600 (aec-atp-ignbus-benbon-2026-08-28).</t>
        </is>
      </c>
      <c r="AF307" s="31" t="inlineStr">
        <is>
          <t>Surface-blended Elo model; singles only, WTA+ATP market coverage, not yet locked-holdout qualified -- promoted by explicit operator directive, not genuine walk-forward validation.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Benjamin Bonzi</t>
        </is>
      </c>
      <c r="AQ307" s="24" t="inlineStr">
        <is>
          <t>Benjamin Bonzi</t>
        </is>
      </c>
      <c r="AR307" s="24" t="inlineStr">
        <is>
          <t>Benjamin Bonzi</t>
        </is>
      </c>
      <c r="AS307" s="24" t="inlineStr">
        <is>
          <t>Ignacio Buse</t>
        </is>
      </c>
      <c r="AT307" s="24" t="inlineStr">
        <is>
          <t>Ignacio Buse</t>
        </is>
      </c>
      <c r="AU307" s="24" t="inlineStr">
        <is>
          <t>Ignacio Buse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d777da58446bc099047b154203518e2585ef1a678f613f2b430f2589f7bf5cff</t>
        </is>
      </c>
      <c r="BB307" s="24" t="inlineStr">
        <is>
          <t>surface_blended_elo</t>
        </is>
      </c>
      <c r="BC307" s="24" t="inlineStr">
        <is>
          <t>tennis-surface-elo-v1</t>
        </is>
      </c>
      <c r="BD307" s="24" t="inlineStr">
        <is>
          <t>d777da58446bc099047b154203518e2585ef1a678f613f2b430f2589f7bf5cff</t>
        </is>
      </c>
      <c r="BE307" s="24" t="inlineStr">
        <is>
          <t>tennis-surface-elo-v1</t>
        </is>
      </c>
      <c r="BF307" s="24" t="inlineStr">
        <is>
          <t>1</t>
        </is>
      </c>
      <c r="BG307" s="24" t="inlineStr">
        <is>
          <t>d777da58446bc099047b154203518e2585ef1a678f613f2b430f2589f7bf5cff</t>
        </is>
      </c>
      <c r="BH307" s="24" t="inlineStr">
        <is>
          <t>2026-08-28T12:33:32.100359Z</t>
        </is>
      </c>
      <c r="BI307" s="24" t="inlineStr">
        <is>
          <t>["same_event","same_team_same_day","same_league_same_day"]</t>
        </is>
      </c>
      <c r="BJ307" s="25" t="n"/>
      <c r="BK307" s="26" t="n">
        <v>-127</v>
      </c>
      <c r="BL307" s="27" t="n">
        <v>1.787402</v>
      </c>
      <c r="BM307" s="28" t="n">
        <v>0.5594710000000001</v>
      </c>
      <c r="BN307" s="28" t="n"/>
      <c r="BO307" s="28" t="n"/>
      <c r="BP307" s="25" t="n"/>
      <c r="BQ307" s="27" t="n">
        <v>1.787402</v>
      </c>
      <c r="BR307" s="28" t="n">
        <v>0.5600000000000001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-1</v>
      </c>
      <c r="BZ307" s="24" t="inlineStr">
        <is>
          <t>2026-08-29T12:32:50.513534Z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inlineStr">
        <is>
          <t>c1713a1292ee47700a047554558ebc3fe437e0eea0d1472e3109ac786f620ec9</t>
        </is>
      </c>
      <c r="DE307" s="24" t="inlineStr">
        <is>
          <t>/Users/vincentc9002/model-prediction/data/odds/tennis/2026-08-28/polymarket_snapshots.jsonl</t>
        </is>
      </c>
      <c r="DF307" s="24" t="inlineStr">
        <is>
          <t>542681:2026-08-28T12:33:32.100359Z</t>
        </is>
      </c>
      <c r="DG307" s="24" t="n"/>
      <c r="DH307" s="24" t="n"/>
      <c r="DI307" s="24" t="n"/>
      <c r="DJ307" s="24" t="inlineStr">
        <is>
          <t>0.559471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cd9ae825e6ee484b</t>
        </is>
      </c>
      <c r="B308" s="24" t="inlineStr">
        <is>
          <t>2026-08-28T12:35:00.632364Z</t>
        </is>
      </c>
      <c r="C308" s="24" t="inlineStr">
        <is>
          <t>2026-08-28T22:30Z</t>
        </is>
      </c>
      <c r="D308" s="24" t="inlineStr">
        <is>
          <t>363-2026:182063</t>
        </is>
      </c>
      <c r="E308" s="24" t="inlineStr">
        <is>
          <t>TENNIS</t>
        </is>
      </c>
      <c r="F308" s="24" t="inlineStr">
        <is>
          <t>Arthur Fery</t>
        </is>
      </c>
      <c r="G308" s="24" t="inlineStr">
        <is>
          <t>James Duckworth</t>
        </is>
      </c>
      <c r="H308" s="24" t="inlineStr">
        <is>
          <t>moneyline</t>
        </is>
      </c>
      <c r="I308" s="24" t="inlineStr">
        <is>
          <t>away</t>
        </is>
      </c>
      <c r="J308" s="25" t="n"/>
      <c r="K308" s="24" t="inlineStr">
        <is>
          <t>polymarket_us</t>
        </is>
      </c>
      <c r="L308" s="26" t="n">
        <v>-144</v>
      </c>
      <c r="M308" s="27" t="n">
        <v>1.694444</v>
      </c>
      <c r="N308" s="28" t="n">
        <v>0.590164</v>
      </c>
      <c r="O308" s="28" t="n">
        <v>0.6074000000000001</v>
      </c>
      <c r="P308" s="28" t="n">
        <v>0.05</v>
      </c>
      <c r="Q308" s="28" t="n">
        <v>0.017236</v>
      </c>
      <c r="R308" s="26" t="n">
        <v>29</v>
      </c>
      <c r="S308" s="29" t="n">
        <v>1</v>
      </c>
      <c r="T308" s="24" t="inlineStr">
        <is>
          <t>tennis-surface-elo-v1</t>
        </is>
      </c>
      <c r="U308" s="24" t="inlineStr">
        <is>
          <t>settled</t>
        </is>
      </c>
      <c r="V308" s="24" t="inlineStr">
        <is>
          <t>win</t>
        </is>
      </c>
      <c r="W308" s="26" t="n">
        <v>1</v>
      </c>
      <c r="X308" s="26" t="n">
        <v>0</v>
      </c>
      <c r="Y308" s="25" t="n"/>
      <c r="Z308" s="26" t="n">
        <v>-144</v>
      </c>
      <c r="AA308" s="28" t="n">
        <v>0.59</v>
      </c>
      <c r="AB308" s="28" t="n">
        <v>-0.000164</v>
      </c>
      <c r="AC308" s="30" t="n">
        <v>0.6944</v>
      </c>
      <c r="AD308" s="24" t="inlineStr">
        <is>
          <t>2026-08-29T12:32:52.201242Z</t>
        </is>
      </c>
      <c r="AE308" s="31" t="inlineStr">
        <is>
          <t>Surface-blended Elo on Hard: Arthur Fery p=0.607 vs James Duckworth. Executable ask 0.5900 (aec-atp-jamduc-artfer-2026-08-29).</t>
        </is>
      </c>
      <c r="AF308" s="31" t="inlineStr">
        <is>
          <t>Surface-blended Elo model; singles only, WTA+ATP market coverage, not yet locked-holdout qualified -- promoted by explicit operator directive, not genuine walk-forward validation.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PAPER_CALL_LOW_EDGE</t>
        </is>
      </c>
      <c r="AP308" s="24" t="inlineStr">
        <is>
          <t>Arthur Fery</t>
        </is>
      </c>
      <c r="AQ308" s="24" t="inlineStr">
        <is>
          <t>Arthur Fery</t>
        </is>
      </c>
      <c r="AR308" s="24" t="inlineStr">
        <is>
          <t>Arthur Fery</t>
        </is>
      </c>
      <c r="AS308" s="24" t="inlineStr">
        <is>
          <t>James Duckworth</t>
        </is>
      </c>
      <c r="AT308" s="24" t="inlineStr">
        <is>
          <t>James Duckworth</t>
        </is>
      </c>
      <c r="AU308" s="24" t="inlineStr">
        <is>
          <t>James Duckworth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d777da58446bc099047b154203518e2585ef1a678f613f2b430f2589f7bf5cff</t>
        </is>
      </c>
      <c r="BB308" s="24" t="inlineStr">
        <is>
          <t>surface_blended_elo</t>
        </is>
      </c>
      <c r="BC308" s="24" t="inlineStr">
        <is>
          <t>tennis-surface-elo-v1</t>
        </is>
      </c>
      <c r="BD308" s="24" t="inlineStr">
        <is>
          <t>d777da58446bc099047b154203518e2585ef1a678f613f2b430f2589f7bf5cff</t>
        </is>
      </c>
      <c r="BE308" s="24" t="inlineStr">
        <is>
          <t>tennis-surface-elo-v1</t>
        </is>
      </c>
      <c r="BF308" s="24" t="inlineStr">
        <is>
          <t>1</t>
        </is>
      </c>
      <c r="BG308" s="24" t="inlineStr">
        <is>
          <t>d777da58446bc099047b154203518e2585ef1a678f613f2b430f2589f7bf5cff</t>
        </is>
      </c>
      <c r="BH308" s="24" t="inlineStr">
        <is>
          <t>2026-08-28T12:33:32.213242Z</t>
        </is>
      </c>
      <c r="BI308" s="24" t="inlineStr">
        <is>
          <t>["same_event","same_team_same_day","same_league_same_day"]</t>
        </is>
      </c>
      <c r="BJ308" s="25" t="n"/>
      <c r="BK308" s="26" t="n">
        <v>-144</v>
      </c>
      <c r="BL308" s="27" t="n">
        <v>1.694444</v>
      </c>
      <c r="BM308" s="28" t="n">
        <v>0.590164</v>
      </c>
      <c r="BN308" s="28" t="n"/>
      <c r="BO308" s="28" t="n"/>
      <c r="BP308" s="25" t="n"/>
      <c r="BQ308" s="27" t="n">
        <v>1.694444</v>
      </c>
      <c r="BR308" s="28" t="n">
        <v>0.59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0.694444</v>
      </c>
      <c r="BZ308" s="24" t="inlineStr">
        <is>
          <t>2026-08-29T12:32:52.201242Z</t>
        </is>
      </c>
      <c r="CA308" s="31" t="inlineStr">
        <is>
          <t>fixed one-unit hypothetical scoring; no real exposure or execution</t>
        </is>
      </c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inlineStr">
        <is>
          <t>f0784aa9c99af2de1b339d30348c1a03805497a35528aeba88079a57676d783f</t>
        </is>
      </c>
      <c r="DE308" s="24" t="inlineStr">
        <is>
          <t>/Users/vincentc9002/model-prediction/data/odds/tennis/2026-08-28/polymarket_snapshots.jsonl</t>
        </is>
      </c>
      <c r="DF308" s="24" t="inlineStr">
        <is>
          <t>544349:2026-08-28T12:33:32.213242Z</t>
        </is>
      </c>
      <c r="DG308" s="24" t="n"/>
      <c r="DH308" s="24" t="n"/>
      <c r="DI308" s="24" t="n"/>
      <c r="DJ308" s="24" t="inlineStr">
        <is>
          <t>0.590164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5897dfb1f7a44f03</t>
        </is>
      </c>
      <c r="B309" s="24" t="inlineStr">
        <is>
          <t>2026-08-29T16:04:47.713724Z</t>
        </is>
      </c>
      <c r="C309" s="24" t="inlineStr">
        <is>
          <t>2026-08-29T23:30Z</t>
        </is>
      </c>
      <c r="D309" s="24" t="inlineStr">
        <is>
          <t>341-2026:182511</t>
        </is>
      </c>
      <c r="E309" s="24" t="inlineStr">
        <is>
          <t>TENNIS</t>
        </is>
      </c>
      <c r="F309" s="24" t="inlineStr">
        <is>
          <t>Elise Mertens</t>
        </is>
      </c>
      <c r="G309" s="24" t="inlineStr">
        <is>
          <t>Diane Parry</t>
        </is>
      </c>
      <c r="H309" s="24" t="inlineStr">
        <is>
          <t>moneyline</t>
        </is>
      </c>
      <c r="I309" s="24" t="inlineStr">
        <is>
          <t>away</t>
        </is>
      </c>
      <c r="J309" s="25" t="n"/>
      <c r="K309" s="24" t="inlineStr">
        <is>
          <t>polymarket_us</t>
        </is>
      </c>
      <c r="L309" s="26" t="n">
        <v>-178</v>
      </c>
      <c r="M309" s="27" t="n">
        <v>1.561798</v>
      </c>
      <c r="N309" s="28" t="n">
        <v>0.640288</v>
      </c>
      <c r="O309" s="28" t="n">
        <v>0.5546</v>
      </c>
      <c r="P309" s="28" t="n">
        <v>0.05</v>
      </c>
      <c r="Q309" s="28" t="n">
        <v>-0.085688</v>
      </c>
      <c r="R309" s="26" t="n">
        <v>0</v>
      </c>
      <c r="S309" s="29" t="n">
        <v>1</v>
      </c>
      <c r="T309" s="24" t="inlineStr">
        <is>
          <t>tennis-surface-elo-v1</t>
        </is>
      </c>
      <c r="U309" s="24" t="inlineStr">
        <is>
          <t>settled</t>
        </is>
      </c>
      <c r="V309" s="24" t="inlineStr">
        <is>
          <t>loss</t>
        </is>
      </c>
      <c r="W309" s="26" t="n">
        <v>0</v>
      </c>
      <c r="X309" s="26" t="n">
        <v>1</v>
      </c>
      <c r="Y309" s="25" t="n"/>
      <c r="Z309" s="26" t="n">
        <v>-178</v>
      </c>
      <c r="AA309" s="28" t="n">
        <v>0.64</v>
      </c>
      <c r="AB309" s="28" t="n">
        <v>-0.000288</v>
      </c>
      <c r="AC309" s="30" t="n">
        <v>-1</v>
      </c>
      <c r="AD309" s="24" t="inlineStr">
        <is>
          <t>2026-08-30T03:26:17.336168Z</t>
        </is>
      </c>
      <c r="AE309" s="31" t="inlineStr">
        <is>
          <t>Surface-blended Elo on Hard: Elise Mertens p=0.555 vs Diane Parry. Executable ask 0.6400 (aec-wta-diapar-elimer-2026-08-30).</t>
        </is>
      </c>
      <c r="AF309" s="31" t="inlineStr">
        <is>
          <t>Surface-blended Elo model; singles only, WTA+ATP market coverage, not yet locked-holdout qualified -- promoted by explicit operator directive, not genuine walk-forward validation.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Elise Mertens</t>
        </is>
      </c>
      <c r="AQ309" s="24" t="inlineStr">
        <is>
          <t>Elise Mertens</t>
        </is>
      </c>
      <c r="AR309" s="24" t="inlineStr">
        <is>
          <t>Elise Mertens</t>
        </is>
      </c>
      <c r="AS309" s="24" t="inlineStr">
        <is>
          <t>Diane Parry</t>
        </is>
      </c>
      <c r="AT309" s="24" t="inlineStr">
        <is>
          <t>Diane Parry</t>
        </is>
      </c>
      <c r="AU309" s="24" t="inlineStr">
        <is>
          <t>Diane Parry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d777da58446bc099047b154203518e2585ef1a678f613f2b430f2589f7bf5cff</t>
        </is>
      </c>
      <c r="BB309" s="24" t="inlineStr">
        <is>
          <t>surface_blended_elo</t>
        </is>
      </c>
      <c r="BC309" s="24" t="inlineStr">
        <is>
          <t>tennis-surface-elo-v1</t>
        </is>
      </c>
      <c r="BD309" s="24" t="inlineStr">
        <is>
          <t>d777da58446bc099047b154203518e2585ef1a678f613f2b430f2589f7bf5cff</t>
        </is>
      </c>
      <c r="BE309" s="24" t="inlineStr">
        <is>
          <t>tennis-surface-elo-v1</t>
        </is>
      </c>
      <c r="BF309" s="24" t="inlineStr">
        <is>
          <t>1</t>
        </is>
      </c>
      <c r="BG309" s="24" t="inlineStr">
        <is>
          <t>d777da58446bc099047b154203518e2585ef1a678f613f2b430f2589f7bf5cff</t>
        </is>
      </c>
      <c r="BH309" s="24" t="inlineStr">
        <is>
          <t>2026-08-29T16:02:52.747836Z</t>
        </is>
      </c>
      <c r="BI309" s="24" t="inlineStr">
        <is>
          <t>["same_event","same_team_same_day","same_league_same_day"]</t>
        </is>
      </c>
      <c r="BJ309" s="25" t="n"/>
      <c r="BK309" s="26" t="n">
        <v>-178</v>
      </c>
      <c r="BL309" s="27" t="n">
        <v>1.561798</v>
      </c>
      <c r="BM309" s="28" t="n">
        <v>0.640288</v>
      </c>
      <c r="BN309" s="28" t="n"/>
      <c r="BO309" s="28" t="n"/>
      <c r="BP309" s="25" t="n"/>
      <c r="BQ309" s="27" t="n">
        <v>1.561798</v>
      </c>
      <c r="BR309" s="28" t="n">
        <v>0.64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-1</v>
      </c>
      <c r="BZ309" s="24" t="inlineStr">
        <is>
          <t>2026-08-30T03:26:17.336168Z</t>
        </is>
      </c>
      <c r="CA309" s="31" t="inlineStr">
        <is>
          <t>fixed one-unit hypothetical scoring; no real exposure or execution</t>
        </is>
      </c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inlineStr">
        <is>
          <t>e0fd242b1245d68c3ac767950cbd1032da9e2ddae3ec0ecb1f0445c7a22e0e3f</t>
        </is>
      </c>
      <c r="DE309" s="24" t="inlineStr">
        <is>
          <t>/Users/vincentc9002/model-prediction/data/odds/tennis/2026-08-29/polymarket_snapshots.jsonl</t>
        </is>
      </c>
      <c r="DF309" s="24" t="inlineStr">
        <is>
          <t>554199:2026-08-29T16:02:52.747836Z</t>
        </is>
      </c>
      <c r="DG309" s="24" t="n"/>
      <c r="DH309" s="24" t="n"/>
      <c r="DI309" s="24" t="n"/>
      <c r="DJ309" s="24" t="inlineStr">
        <is>
          <t>0.640288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2c3a340261bb4155</t>
        </is>
      </c>
      <c r="B310" s="24" t="inlineStr">
        <is>
          <t>2026-08-29T16:04:47.713724Z</t>
        </is>
      </c>
      <c r="C310" s="24" t="inlineStr">
        <is>
          <t>2026-08-29T18:00Z</t>
        </is>
      </c>
      <c r="D310" s="24" t="inlineStr">
        <is>
          <t>1075-2026:182147</t>
        </is>
      </c>
      <c r="E310" s="24" t="inlineStr">
        <is>
          <t>TENNIS</t>
        </is>
      </c>
      <c r="F310" s="24" t="inlineStr">
        <is>
          <t>Tereza Valentova</t>
        </is>
      </c>
      <c r="G310" s="24" t="inlineStr">
        <is>
          <t>Katie Volynets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polymarket_us</t>
        </is>
      </c>
      <c r="L310" s="26" t="n">
        <v>-186</v>
      </c>
      <c r="M310" s="27" t="n">
        <v>1.537634</v>
      </c>
      <c r="N310" s="28" t="n">
        <v>0.65035</v>
      </c>
      <c r="O310" s="28" t="n">
        <v>0.5574</v>
      </c>
      <c r="P310" s="28" t="n">
        <v>0.05</v>
      </c>
      <c r="Q310" s="28" t="n">
        <v>-0.09295</v>
      </c>
      <c r="R310" s="26" t="n">
        <v>0</v>
      </c>
      <c r="S310" s="29" t="n">
        <v>1</v>
      </c>
      <c r="T310" s="24" t="inlineStr">
        <is>
          <t>tennis-surface-elo-v1</t>
        </is>
      </c>
      <c r="U310" s="24" t="inlineStr">
        <is>
          <t>settled</t>
        </is>
      </c>
      <c r="V310" s="24" t="inlineStr">
        <is>
          <t>loss</t>
        </is>
      </c>
      <c r="W310" s="26" t="n">
        <v>0</v>
      </c>
      <c r="X310" s="26" t="n">
        <v>1</v>
      </c>
      <c r="Y310" s="25" t="n"/>
      <c r="Z310" s="26" t="n">
        <v>-186</v>
      </c>
      <c r="AA310" s="28" t="n">
        <v>0.65</v>
      </c>
      <c r="AB310" s="28" t="n">
        <v>-0.00035</v>
      </c>
      <c r="AC310" s="30" t="n">
        <v>-1</v>
      </c>
      <c r="AD310" s="24" t="inlineStr">
        <is>
          <t>2026-08-30T03:26:19.131246Z</t>
        </is>
      </c>
      <c r="AE310" s="31" t="inlineStr">
        <is>
          <t>Surface-blended Elo on Hard: Tereza Valentova p=0.557 vs Katie Volynets. Executable ask 0.6500 (aec-wta-katvol-terval-2026-08-30).</t>
        </is>
      </c>
      <c r="AF310" s="31" t="inlineStr">
        <is>
          <t>Surface-blended Elo model; singles only, WTA+ATP market coverage, not yet locked-holdout qualified -- promoted by explicit operator directive, not genuine walk-forward validation.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PAPER_CALL_LOW_EDGE</t>
        </is>
      </c>
      <c r="AP310" s="24" t="inlineStr">
        <is>
          <t>Tereza Valentova</t>
        </is>
      </c>
      <c r="AQ310" s="24" t="inlineStr">
        <is>
          <t>Tereza Valentova</t>
        </is>
      </c>
      <c r="AR310" s="24" t="inlineStr">
        <is>
          <t>Tereza Valentova</t>
        </is>
      </c>
      <c r="AS310" s="24" t="inlineStr">
        <is>
          <t>Katie Volynets</t>
        </is>
      </c>
      <c r="AT310" s="24" t="inlineStr">
        <is>
          <t>Katie Volynets</t>
        </is>
      </c>
      <c r="AU310" s="24" t="inlineStr">
        <is>
          <t>Katie Volynets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d777da58446bc099047b154203518e2585ef1a678f613f2b430f2589f7bf5cff</t>
        </is>
      </c>
      <c r="BB310" s="24" t="inlineStr">
        <is>
          <t>surface_blended_elo</t>
        </is>
      </c>
      <c r="BC310" s="24" t="inlineStr">
        <is>
          <t>tennis-surface-elo-v1</t>
        </is>
      </c>
      <c r="BD310" s="24" t="inlineStr">
        <is>
          <t>d777da58446bc099047b154203518e2585ef1a678f613f2b430f2589f7bf5cff</t>
        </is>
      </c>
      <c r="BE310" s="24" t="inlineStr">
        <is>
          <t>tennis-surface-elo-v1</t>
        </is>
      </c>
      <c r="BF310" s="24" t="inlineStr">
        <is>
          <t>1</t>
        </is>
      </c>
      <c r="BG310" s="24" t="inlineStr">
        <is>
          <t>d777da58446bc099047b154203518e2585ef1a678f613f2b430f2589f7bf5cff</t>
        </is>
      </c>
      <c r="BH310" s="24" t="inlineStr">
        <is>
          <t>2026-08-29T16:02:52.742786Z</t>
        </is>
      </c>
      <c r="BI310" s="24" t="inlineStr">
        <is>
          <t>["same_event","same_team_same_day","same_league_same_day"]</t>
        </is>
      </c>
      <c r="BJ310" s="25" t="n"/>
      <c r="BK310" s="26" t="n">
        <v>-186</v>
      </c>
      <c r="BL310" s="27" t="n">
        <v>1.537634</v>
      </c>
      <c r="BM310" s="28" t="n">
        <v>0.65035</v>
      </c>
      <c r="BN310" s="28" t="n"/>
      <c r="BO310" s="28" t="n"/>
      <c r="BP310" s="25" t="n"/>
      <c r="BQ310" s="27" t="n">
        <v>1.537634</v>
      </c>
      <c r="BR310" s="28" t="n">
        <v>0.65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2026-08-30T03:26:19.131246Z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False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inlineStr">
        <is>
          <t>2d7719bc389b78a3a1ebbb02b5863aae1a9780c767471e4a9ea8c11bae2c5d7e</t>
        </is>
      </c>
      <c r="DE310" s="24" t="inlineStr">
        <is>
          <t>/Users/vincentc9002/model-prediction/data/odds/tennis/2026-08-29/polymarket_snapshots.jsonl</t>
        </is>
      </c>
      <c r="DF310" s="24" t="inlineStr">
        <is>
          <t>552700:2026-08-29T16:02:52.742786Z</t>
        </is>
      </c>
      <c r="DG310" s="24" t="n"/>
      <c r="DH310" s="24" t="n"/>
      <c r="DI310" s="24" t="n"/>
      <c r="DJ310" s="24" t="inlineStr">
        <is>
          <t>0.65035</t>
        </is>
      </c>
      <c r="DK310" s="24" t="n"/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50783de8c2cb4b70</t>
        </is>
      </c>
      <c r="B311" s="24" t="inlineStr">
        <is>
          <t>2026-08-29T16:04:47.713724Z</t>
        </is>
      </c>
      <c r="C311" s="24" t="inlineStr">
        <is>
          <t>2026-08-29T20:00Z</t>
        </is>
      </c>
      <c r="D311" s="24" t="inlineStr">
        <is>
          <t>363-2026:182065</t>
        </is>
      </c>
      <c r="E311" s="24" t="inlineStr">
        <is>
          <t>TENNIS</t>
        </is>
      </c>
      <c r="F311" s="24" t="inlineStr">
        <is>
          <t>Ignacio Buse</t>
        </is>
      </c>
      <c r="G311" s="24" t="inlineStr">
        <is>
          <t>Arthur Fery</t>
        </is>
      </c>
      <c r="H311" s="24" t="inlineStr">
        <is>
          <t>moneyline</t>
        </is>
      </c>
      <c r="I311" s="24" t="inlineStr">
        <is>
          <t>home</t>
        </is>
      </c>
      <c r="J311" s="25" t="n"/>
      <c r="K311" s="24" t="inlineStr">
        <is>
          <t>polymarket_us</t>
        </is>
      </c>
      <c r="L311" s="26" t="n">
        <v>-122</v>
      </c>
      <c r="M311" s="27" t="n">
        <v>1.819672</v>
      </c>
      <c r="N311" s="28" t="n">
        <v>0.54955</v>
      </c>
      <c r="O311" s="28" t="n">
        <v>0.5614</v>
      </c>
      <c r="P311" s="28" t="n">
        <v>0.05</v>
      </c>
      <c r="Q311" s="28" t="n">
        <v>0.01185</v>
      </c>
      <c r="R311" s="26" t="n">
        <v>26</v>
      </c>
      <c r="S311" s="29" t="n">
        <v>1</v>
      </c>
      <c r="T311" s="24" t="inlineStr">
        <is>
          <t>tennis-surface-elo-v1</t>
        </is>
      </c>
      <c r="U311" s="24" t="inlineStr">
        <is>
          <t>settled</t>
        </is>
      </c>
      <c r="V311" s="24" t="inlineStr">
        <is>
          <t>loss</t>
        </is>
      </c>
      <c r="W311" s="26" t="n">
        <v>1</v>
      </c>
      <c r="X311" s="26" t="n">
        <v>0</v>
      </c>
      <c r="Y311" s="25" t="n"/>
      <c r="Z311" s="26" t="n">
        <v>-122</v>
      </c>
      <c r="AA311" s="28" t="n">
        <v>0.55</v>
      </c>
      <c r="AB311" s="28" t="n">
        <v>0.00045</v>
      </c>
      <c r="AC311" s="30" t="n">
        <v>-1</v>
      </c>
      <c r="AD311" s="24" t="inlineStr">
        <is>
          <t>2026-08-30T03:26:20.858003Z</t>
        </is>
      </c>
      <c r="AE311" s="31" t="inlineStr">
        <is>
          <t>Surface-blended Elo on Hard: Ignacio Buse p=0.439 vs Arthur Fery. Executable ask 0.5500 (aec-atp-artfer-ignbus-2026-08-30).</t>
        </is>
      </c>
      <c r="AF311" s="31" t="inlineStr">
        <is>
          <t>Surface-blended Elo model; singles only, WTA+ATP market coverage, not yet locked-holdout qualified -- promoted by explicit operator directive, not genuine walk-forward validation.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PAPER_CALL_LOW_EDGE</t>
        </is>
      </c>
      <c r="AP311" s="24" t="inlineStr">
        <is>
          <t>Ignacio Buse</t>
        </is>
      </c>
      <c r="AQ311" s="24" t="inlineStr">
        <is>
          <t>Ignacio Buse</t>
        </is>
      </c>
      <c r="AR311" s="24" t="inlineStr">
        <is>
          <t>Ignacio Buse</t>
        </is>
      </c>
      <c r="AS311" s="24" t="inlineStr">
        <is>
          <t>Arthur Fery</t>
        </is>
      </c>
      <c r="AT311" s="24" t="inlineStr">
        <is>
          <t>Arthur Fery</t>
        </is>
      </c>
      <c r="AU311" s="24" t="inlineStr">
        <is>
          <t>Arthur Fery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d777da58446bc099047b154203518e2585ef1a678f613f2b430f2589f7bf5cff</t>
        </is>
      </c>
      <c r="BB311" s="24" t="inlineStr">
        <is>
          <t>surface_blended_elo</t>
        </is>
      </c>
      <c r="BC311" s="24" t="inlineStr">
        <is>
          <t>tennis-surface-elo-v1</t>
        </is>
      </c>
      <c r="BD311" s="24" t="inlineStr">
        <is>
          <t>d777da58446bc099047b154203518e2585ef1a678f613f2b430f2589f7bf5cff</t>
        </is>
      </c>
      <c r="BE311" s="24" t="inlineStr">
        <is>
          <t>tennis-surface-elo-v1</t>
        </is>
      </c>
      <c r="BF311" s="24" t="inlineStr">
        <is>
          <t>1</t>
        </is>
      </c>
      <c r="BG311" s="24" t="inlineStr">
        <is>
          <t>d777da58446bc099047b154203518e2585ef1a678f613f2b430f2589f7bf5cff</t>
        </is>
      </c>
      <c r="BH311" s="24" t="inlineStr">
        <is>
          <t>2026-08-29T16:02:52.813044Z</t>
        </is>
      </c>
      <c r="BI311" s="24" t="inlineStr">
        <is>
          <t>["same_event","same_team_same_day","same_league_same_day"]</t>
        </is>
      </c>
      <c r="BJ311" s="25" t="n"/>
      <c r="BK311" s="26" t="n">
        <v>-122</v>
      </c>
      <c r="BL311" s="27" t="n">
        <v>1.819672</v>
      </c>
      <c r="BM311" s="28" t="n">
        <v>0.54955</v>
      </c>
      <c r="BN311" s="28" t="n"/>
      <c r="BO311" s="28" t="n"/>
      <c r="BP311" s="25" t="n"/>
      <c r="BQ311" s="27" t="n">
        <v>1.819672</v>
      </c>
      <c r="BR311" s="28" t="n">
        <v>0.55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-1</v>
      </c>
      <c r="BZ311" s="24" t="inlineStr">
        <is>
          <t>2026-08-30T03:26:20.858003Z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inlineStr">
        <is>
          <t>fdc4bec91836b6e12925f076b24bf736d76b0ab9d560cb8ee705c45677da2344</t>
        </is>
      </c>
      <c r="DE311" s="24" t="inlineStr">
        <is>
          <t>/Users/vincentc9002/model-prediction/data/odds/tennis/2026-08-29/polymarket_snapshots.jsonl</t>
        </is>
      </c>
      <c r="DF311" s="24" t="inlineStr">
        <is>
          <t>552330:2026-08-29T16:02:52.813044Z</t>
        </is>
      </c>
      <c r="DG311" s="24" t="n"/>
      <c r="DH311" s="24" t="n"/>
      <c r="DI311" s="24" t="n"/>
      <c r="DJ311" s="24" t="inlineStr">
        <is>
          <t>0.54955</t>
        </is>
      </c>
      <c r="DK311" s="24" t="n"/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88f1e6f4fb9249b5</t>
        </is>
      </c>
      <c r="B312" s="24" t="inlineStr">
        <is>
          <t>2026-08-30T16:06:30.429692Z</t>
        </is>
      </c>
      <c r="C312" s="24" t="inlineStr">
        <is>
          <t>2026-08-30T16:10Z</t>
        </is>
      </c>
      <c r="D312" s="24" t="inlineStr">
        <is>
          <t>189-2026:182616</t>
        </is>
      </c>
      <c r="E312" s="24" t="inlineStr">
        <is>
          <t>TENNIS</t>
        </is>
      </c>
      <c r="F312" s="24" t="inlineStr">
        <is>
          <t>Elena-Gabriela Ruse</t>
        </is>
      </c>
      <c r="G312" s="24" t="inlineStr">
        <is>
          <t>Jessica Pegula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-900</v>
      </c>
      <c r="M312" s="27" t="n">
        <v>1.111111</v>
      </c>
      <c r="N312" s="28" t="n">
        <v>0.9</v>
      </c>
      <c r="O312" s="28" t="n">
        <v>0.8464</v>
      </c>
      <c r="P312" s="28" t="n">
        <v>0.05</v>
      </c>
      <c r="Q312" s="28" t="n">
        <v>-0.0536</v>
      </c>
      <c r="R312" s="26" t="n">
        <v>0</v>
      </c>
      <c r="S312" s="29" t="n">
        <v>1</v>
      </c>
      <c r="T312" s="24" t="inlineStr">
        <is>
          <t>tennis-surface-elo-v1</t>
        </is>
      </c>
      <c r="U312" s="24" t="inlineStr">
        <is>
          <t>settled</t>
        </is>
      </c>
      <c r="V312" s="24" t="inlineStr">
        <is>
          <t>win</t>
        </is>
      </c>
      <c r="W312" s="26" t="n">
        <v>0</v>
      </c>
      <c r="X312" s="26" t="n">
        <v>1</v>
      </c>
      <c r="Y312" s="25" t="n"/>
      <c r="Z312" s="26" t="n">
        <v>-1150</v>
      </c>
      <c r="AA312" s="28" t="n">
        <v>0.92</v>
      </c>
      <c r="AB312" s="28" t="n">
        <v>0.02</v>
      </c>
      <c r="AC312" s="30" t="n">
        <v>0.1111</v>
      </c>
      <c r="AD312" s="24" t="inlineStr">
        <is>
          <t>2026-08-31T04:32:46.490486Z</t>
        </is>
      </c>
      <c r="AE312" s="31" t="inlineStr">
        <is>
          <t>Surface-blended Elo on Hard: Elena-Gabriela Ruse p=0.154 vs Jessica Pegula. Executable ask 0.9000 (aec-wta-jespeg-gabrus-2026-08-30).</t>
        </is>
      </c>
      <c r="AF312" s="31" t="inlineStr">
        <is>
          <t>Surface-blended Elo model; singles only, WTA+ATP market coverage, not yet locked-holdout qualified -- promoted by explicit operator directive, not genuine walk-forward validation.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PAPER_CALL_LOW_EDGE</t>
        </is>
      </c>
      <c r="AP312" s="24" t="inlineStr">
        <is>
          <t>Elena-Gabriela Ruse</t>
        </is>
      </c>
      <c r="AQ312" s="24" t="inlineStr">
        <is>
          <t>Elena-Gabriela Ruse</t>
        </is>
      </c>
      <c r="AR312" s="24" t="inlineStr">
        <is>
          <t>Elena-Gabriela Ruse</t>
        </is>
      </c>
      <c r="AS312" s="24" t="inlineStr">
        <is>
          <t>Jessica Pegula</t>
        </is>
      </c>
      <c r="AT312" s="24" t="inlineStr">
        <is>
          <t>Jessica Pegula</t>
        </is>
      </c>
      <c r="AU312" s="24" t="inlineStr">
        <is>
          <t>Jessica Pegula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d777da58446bc099047b154203518e2585ef1a678f613f2b430f2589f7bf5cff</t>
        </is>
      </c>
      <c r="BB312" s="24" t="inlineStr">
        <is>
          <t>surface_blended_elo</t>
        </is>
      </c>
      <c r="BC312" s="24" t="inlineStr">
        <is>
          <t>tennis-surface-elo-v1</t>
        </is>
      </c>
      <c r="BD312" s="24" t="inlineStr">
        <is>
          <t>d777da58446bc099047b154203518e2585ef1a678f613f2b430f2589f7bf5cff</t>
        </is>
      </c>
      <c r="BE312" s="24" t="inlineStr">
        <is>
          <t>tennis-surface-elo-v1</t>
        </is>
      </c>
      <c r="BF312" s="24" t="inlineStr">
        <is>
          <t>1</t>
        </is>
      </c>
      <c r="BG312" s="24" t="inlineStr">
        <is>
          <t>d777da58446bc099047b154203518e2585ef1a678f613f2b430f2589f7bf5cff</t>
        </is>
      </c>
      <c r="BH312" s="24" t="inlineStr">
        <is>
          <t>2026-08-30T05:39:23.310937Z</t>
        </is>
      </c>
      <c r="BI312" s="24" t="inlineStr">
        <is>
          <t>["same_event","same_team_same_day","same_league_same_day"]</t>
        </is>
      </c>
      <c r="BJ312" s="25" t="n"/>
      <c r="BK312" s="26" t="n">
        <v>-900</v>
      </c>
      <c r="BL312" s="27" t="n">
        <v>1.111111</v>
      </c>
      <c r="BM312" s="28" t="n">
        <v>0.9</v>
      </c>
      <c r="BN312" s="28" t="n"/>
      <c r="BO312" s="28" t="n"/>
      <c r="BP312" s="25" t="n"/>
      <c r="BQ312" s="27" t="n">
        <v>1.086957</v>
      </c>
      <c r="BR312" s="28" t="n">
        <v>0.92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0.111111</v>
      </c>
      <c r="BZ312" s="24" t="inlineStr">
        <is>
          <t>2026-08-31T04:32:46.490486Z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False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inlineStr">
        <is>
          <t>9f5f2a55105e107cecec85722f9929480b7786869f1e85720d1d6d458b53731d</t>
        </is>
      </c>
      <c r="DE312" s="24" t="inlineStr">
        <is>
          <t>/Users/vincentc9002/model-prediction/data/odds/tennis/2026-08-30/polymarket_snapshots.jsonl</t>
        </is>
      </c>
      <c r="DF312" s="24" t="inlineStr">
        <is>
          <t>547268:2026-08-30T05:39:23.310937Z</t>
        </is>
      </c>
      <c r="DG312" s="24" t="n"/>
      <c r="DH312" s="24" t="n"/>
      <c r="DI312" s="24" t="n"/>
      <c r="DJ312" s="24" t="inlineStr">
        <is>
          <t>0.9</t>
        </is>
      </c>
      <c r="DK312" s="24" t="n"/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518a4f463c2f4b70</t>
        </is>
      </c>
      <c r="B313" s="24" t="inlineStr">
        <is>
          <t>2026-08-30T16:06:30.429692Z</t>
        </is>
      </c>
      <c r="C313" s="24" t="inlineStr">
        <is>
          <t>2026-08-30T16:30Z</t>
        </is>
      </c>
      <c r="D313" s="24" t="inlineStr">
        <is>
          <t>189-2026:182633</t>
        </is>
      </c>
      <c r="E313" s="24" t="inlineStr">
        <is>
          <t>TENNIS</t>
        </is>
      </c>
      <c r="F313" s="24" t="inlineStr">
        <is>
          <t>Leylah Fernandez</t>
        </is>
      </c>
      <c r="G313" s="24" t="inlineStr">
        <is>
          <t>Zhang Shuai</t>
        </is>
      </c>
      <c r="H313" s="24" t="inlineStr">
        <is>
          <t>moneyline</t>
        </is>
      </c>
      <c r="I313" s="24" t="inlineStr">
        <is>
          <t>away</t>
        </is>
      </c>
      <c r="J313" s="25" t="n"/>
      <c r="K313" s="24" t="inlineStr">
        <is>
          <t>polymarket_us</t>
        </is>
      </c>
      <c r="L313" s="26" t="n">
        <v>-213</v>
      </c>
      <c r="M313" s="27" t="n">
        <v>1.469484</v>
      </c>
      <c r="N313" s="28" t="n">
        <v>0.680511</v>
      </c>
      <c r="O313" s="28" t="n">
        <v>0.5887</v>
      </c>
      <c r="P313" s="28" t="n">
        <v>0.05</v>
      </c>
      <c r="Q313" s="28" t="n">
        <v>-0.091811</v>
      </c>
      <c r="R313" s="26" t="n">
        <v>0</v>
      </c>
      <c r="S313" s="29" t="n">
        <v>1</v>
      </c>
      <c r="T313" s="24" t="inlineStr">
        <is>
          <t>tennis-surface-elo-v1</t>
        </is>
      </c>
      <c r="U313" s="24" t="inlineStr">
        <is>
          <t>settled</t>
        </is>
      </c>
      <c r="V313" s="24" t="inlineStr">
        <is>
          <t>win</t>
        </is>
      </c>
      <c r="W313" s="26" t="n">
        <v>1</v>
      </c>
      <c r="X313" s="26" t="n">
        <v>0</v>
      </c>
      <c r="Y313" s="25" t="n"/>
      <c r="Z313" s="26" t="n">
        <v>-213</v>
      </c>
      <c r="AA313" s="28" t="n">
        <v>0.68</v>
      </c>
      <c r="AB313" s="28" t="n">
        <v>-0.000511</v>
      </c>
      <c r="AC313" s="30" t="n">
        <v>0.4695</v>
      </c>
      <c r="AD313" s="24" t="inlineStr">
        <is>
          <t>2026-08-31T04:32:48.308767Z</t>
        </is>
      </c>
      <c r="AE313" s="31" t="inlineStr">
        <is>
          <t>Surface-blended Elo on Hard: Leylah Fernandez p=0.589 vs Zhang Shuai. Executable ask 0.6800 (aec-wta-shuzha-leyfer-2026-08-30).</t>
        </is>
      </c>
      <c r="AF313" s="31" t="inlineStr">
        <is>
          <t>Surface-blended Elo model; singles only, WTA+ATP market coverage, not yet locked-holdout qualified -- promoted by explicit operator directive, not genuine walk-forward validation.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Leylah Fernandez</t>
        </is>
      </c>
      <c r="AQ313" s="24" t="inlineStr">
        <is>
          <t>Leylah Fernandez</t>
        </is>
      </c>
      <c r="AR313" s="24" t="inlineStr">
        <is>
          <t>Leylah Fernandez</t>
        </is>
      </c>
      <c r="AS313" s="24" t="inlineStr">
        <is>
          <t>Zhang Shuai</t>
        </is>
      </c>
      <c r="AT313" s="24" t="inlineStr">
        <is>
          <t>Zhang Shuai</t>
        </is>
      </c>
      <c r="AU313" s="24" t="inlineStr">
        <is>
          <t>Zhang Shuai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d777da58446bc099047b154203518e2585ef1a678f613f2b430f2589f7bf5cff</t>
        </is>
      </c>
      <c r="BB313" s="24" t="inlineStr">
        <is>
          <t>surface_blended_elo</t>
        </is>
      </c>
      <c r="BC313" s="24" t="inlineStr">
        <is>
          <t>tennis-surface-elo-v1</t>
        </is>
      </c>
      <c r="BD313" s="24" t="inlineStr">
        <is>
          <t>d777da58446bc099047b154203518e2585ef1a678f613f2b430f2589f7bf5cff</t>
        </is>
      </c>
      <c r="BE313" s="24" t="inlineStr">
        <is>
          <t>tennis-surface-elo-v1</t>
        </is>
      </c>
      <c r="BF313" s="24" t="inlineStr">
        <is>
          <t>1</t>
        </is>
      </c>
      <c r="BG313" s="24" t="inlineStr">
        <is>
          <t>d777da58446bc099047b154203518e2585ef1a678f613f2b430f2589f7bf5cff</t>
        </is>
      </c>
      <c r="BH313" s="24" t="inlineStr">
        <is>
          <t>2026-08-30T16:04:55.679027Z</t>
        </is>
      </c>
      <c r="BI313" s="24" t="inlineStr">
        <is>
          <t>["same_event","same_team_same_day","same_league_same_day"]</t>
        </is>
      </c>
      <c r="BJ313" s="25" t="n"/>
      <c r="BK313" s="26" t="n">
        <v>-213</v>
      </c>
      <c r="BL313" s="27" t="n">
        <v>1.469484</v>
      </c>
      <c r="BM313" s="28" t="n">
        <v>0.680511</v>
      </c>
      <c r="BN313" s="28" t="n"/>
      <c r="BO313" s="28" t="n"/>
      <c r="BP313" s="25" t="n"/>
      <c r="BQ313" s="27" t="n">
        <v>1.469484</v>
      </c>
      <c r="BR313" s="28" t="n">
        <v>0.68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0.469484</v>
      </c>
      <c r="BZ313" s="24" t="inlineStr">
        <is>
          <t>2026-08-31T04:32:48.308767Z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inlineStr">
        <is>
          <t>420d97d9d5a194f90cfe418e53f8c7e54a83ab4863f267e5715d0bbeea9f06ea</t>
        </is>
      </c>
      <c r="DE313" s="24" t="inlineStr">
        <is>
          <t>/Users/vincentc9002/model-prediction/data/odds/tennis/2026-08-30/polymarket_snapshots.jsonl</t>
        </is>
      </c>
      <c r="DF313" s="24" t="inlineStr">
        <is>
          <t>547273:2026-08-30T16:04:55.679027Z</t>
        </is>
      </c>
      <c r="DG313" s="24" t="n"/>
      <c r="DH313" s="24" t="n"/>
      <c r="DI313" s="24" t="n"/>
      <c r="DJ313" s="24" t="inlineStr">
        <is>
          <t>0.680511</t>
        </is>
      </c>
      <c r="DK313" s="24" t="n"/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5ecb9af393a8424a</t>
        </is>
      </c>
      <c r="B314" s="24" t="inlineStr">
        <is>
          <t>2026-08-30T16:06:30.429692Z</t>
        </is>
      </c>
      <c r="C314" s="24" t="inlineStr">
        <is>
          <t>2026-08-30T16:30Z</t>
        </is>
      </c>
      <c r="D314" s="24" t="inlineStr">
        <is>
          <t>189-2026:182651</t>
        </is>
      </c>
      <c r="E314" s="24" t="inlineStr">
        <is>
          <t>TENNIS</t>
        </is>
      </c>
      <c r="F314" s="24" t="inlineStr">
        <is>
          <t>Wang Xinyu</t>
        </is>
      </c>
      <c r="G314" s="24" t="inlineStr">
        <is>
          <t>Emiliana Arango</t>
        </is>
      </c>
      <c r="H314" s="24" t="inlineStr">
        <is>
          <t>moneyline</t>
        </is>
      </c>
      <c r="I314" s="24" t="inlineStr">
        <is>
          <t>away</t>
        </is>
      </c>
      <c r="J314" s="25" t="n"/>
      <c r="K314" s="24" t="inlineStr">
        <is>
          <t>polymarket_us</t>
        </is>
      </c>
      <c r="L314" s="26" t="n">
        <v>-285</v>
      </c>
      <c r="M314" s="27" t="n">
        <v>1.350877</v>
      </c>
      <c r="N314" s="28" t="n">
        <v>0.74026</v>
      </c>
      <c r="O314" s="28" t="n">
        <v>0.6937</v>
      </c>
      <c r="P314" s="28" t="n">
        <v>0.05</v>
      </c>
      <c r="Q314" s="28" t="n">
        <v>-0.04656</v>
      </c>
      <c r="R314" s="26" t="n">
        <v>0</v>
      </c>
      <c r="S314" s="29" t="n">
        <v>1</v>
      </c>
      <c r="T314" s="24" t="inlineStr">
        <is>
          <t>tennis-surface-elo-v1</t>
        </is>
      </c>
      <c r="U314" s="24" t="inlineStr">
        <is>
          <t>settled</t>
        </is>
      </c>
      <c r="V314" s="24" t="inlineStr">
        <is>
          <t>win</t>
        </is>
      </c>
      <c r="W314" s="26" t="n">
        <v>1</v>
      </c>
      <c r="X314" s="26" t="n">
        <v>0</v>
      </c>
      <c r="Y314" s="25" t="n"/>
      <c r="Z314" s="26" t="n"/>
      <c r="AA314" s="28" t="n"/>
      <c r="AB314" s="28" t="n"/>
      <c r="AC314" s="30" t="n">
        <v>0.3509</v>
      </c>
      <c r="AD314" s="24" t="inlineStr">
        <is>
          <t>2026-08-31T04:32:50.055848Z</t>
        </is>
      </c>
      <c r="AE314" s="31" t="inlineStr">
        <is>
          <t>Surface-blended Elo on Hard: Wang Xinyu p=0.694 vs Emiliana Arango. Executable ask 0.7400 (aec-wta-emiara-xinwan-2026-08-30).</t>
        </is>
      </c>
      <c r="AF314" s="31" t="inlineStr">
        <is>
          <t>Surface-blended Elo model; singles only, WTA+ATP market coverage, not yet locked-holdout qualified -- promoted by explicit operator directive, not genuine walk-forward validation.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Wang Xinyu</t>
        </is>
      </c>
      <c r="AQ314" s="24" t="inlineStr">
        <is>
          <t>Wang Xinyu</t>
        </is>
      </c>
      <c r="AR314" s="24" t="inlineStr">
        <is>
          <t>Wang Xinyu</t>
        </is>
      </c>
      <c r="AS314" s="24" t="inlineStr">
        <is>
          <t>Emiliana Arango</t>
        </is>
      </c>
      <c r="AT314" s="24" t="inlineStr">
        <is>
          <t>Emiliana Arango</t>
        </is>
      </c>
      <c r="AU314" s="24" t="inlineStr">
        <is>
          <t>Emiliana Arango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d777da58446bc099047b154203518e2585ef1a678f613f2b430f2589f7bf5cff</t>
        </is>
      </c>
      <c r="BB314" s="24" t="inlineStr">
        <is>
          <t>surface_blended_elo</t>
        </is>
      </c>
      <c r="BC314" s="24" t="inlineStr">
        <is>
          <t>tennis-surface-elo-v1</t>
        </is>
      </c>
      <c r="BD314" s="24" t="inlineStr">
        <is>
          <t>d777da58446bc099047b154203518e2585ef1a678f613f2b430f2589f7bf5cff</t>
        </is>
      </c>
      <c r="BE314" s="24" t="inlineStr">
        <is>
          <t>tennis-surface-elo-v1</t>
        </is>
      </c>
      <c r="BF314" s="24" t="inlineStr">
        <is>
          <t>1</t>
        </is>
      </c>
      <c r="BG314" s="24" t="inlineStr">
        <is>
          <t>d777da58446bc099047b154203518e2585ef1a678f613f2b430f2589f7bf5cff</t>
        </is>
      </c>
      <c r="BH314" s="24" t="inlineStr">
        <is>
          <t>2026-08-30T16:04:55.669722Z</t>
        </is>
      </c>
      <c r="BI314" s="24" t="inlineStr">
        <is>
          <t>["same_event","same_team_same_day","same_league_same_day"]</t>
        </is>
      </c>
      <c r="BJ314" s="25" t="n"/>
      <c r="BK314" s="26" t="n">
        <v>-285</v>
      </c>
      <c r="BL314" s="27" t="n">
        <v>1.350877</v>
      </c>
      <c r="BM314" s="28" t="n">
        <v>0.74026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>
        <v>1</v>
      </c>
      <c r="BY314" s="27" t="n">
        <v>0.350877</v>
      </c>
      <c r="BZ314" s="24" t="inlineStr">
        <is>
          <t>2026-08-31T04:32:50.055848Z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inlineStr">
        <is>
          <t>9e7d658e362a941f6702eb7059b0608dbb355671f458df418e457d3c34e3a36d</t>
        </is>
      </c>
      <c r="DE314" s="24" t="inlineStr">
        <is>
          <t>/Users/vincentc9002/model-prediction/data/odds/tennis/2026-08-30/polymarket_snapshots.jsonl</t>
        </is>
      </c>
      <c r="DF314" s="24" t="inlineStr">
        <is>
          <t>547284:2026-08-30T16:04:55.669722Z</t>
        </is>
      </c>
      <c r="DG314" s="24" t="n"/>
      <c r="DH314" s="24" t="n"/>
      <c r="DI314" s="24" t="n"/>
      <c r="DJ314" s="24" t="inlineStr">
        <is>
          <t>0.74026</t>
        </is>
      </c>
      <c r="DK314" s="24" t="n"/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17980044153c48f3</t>
        </is>
      </c>
      <c r="B315" s="24" t="inlineStr">
        <is>
          <t>2026-08-30T16:06:30.429692Z</t>
        </is>
      </c>
      <c r="C315" s="24" t="inlineStr">
        <is>
          <t>2026-08-30T17:00Z</t>
        </is>
      </c>
      <c r="D315" s="24" t="inlineStr">
        <is>
          <t>189-2026:182605</t>
        </is>
      </c>
      <c r="E315" s="24" t="inlineStr">
        <is>
          <t>TENNIS</t>
        </is>
      </c>
      <c r="F315" s="24" t="inlineStr">
        <is>
          <t>Storm Hunter</t>
        </is>
      </c>
      <c r="G315" s="24" t="inlineStr">
        <is>
          <t>Marta Kostyuk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-900</v>
      </c>
      <c r="M315" s="27" t="n">
        <v>1.111111</v>
      </c>
      <c r="N315" s="28" t="n">
        <v>0.9</v>
      </c>
      <c r="O315" s="28" t="n">
        <v>0.7902</v>
      </c>
      <c r="P315" s="28" t="n">
        <v>0.05</v>
      </c>
      <c r="Q315" s="28" t="n">
        <v>-0.1098</v>
      </c>
      <c r="R315" s="26" t="n">
        <v>0</v>
      </c>
      <c r="S315" s="29" t="n">
        <v>1</v>
      </c>
      <c r="T315" s="24" t="inlineStr">
        <is>
          <t>tennis-surface-elo-v1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1</v>
      </c>
      <c r="Y315" s="25" t="n"/>
      <c r="Z315" s="26" t="n">
        <v>-900</v>
      </c>
      <c r="AA315" s="28" t="n">
        <v>0.9</v>
      </c>
      <c r="AB315" s="28" t="n">
        <v>0</v>
      </c>
      <c r="AC315" s="30" t="n">
        <v>0.1111</v>
      </c>
      <c r="AD315" s="24" t="inlineStr">
        <is>
          <t>2026-08-31T04:32:51.819023Z</t>
        </is>
      </c>
      <c r="AE315" s="31" t="inlineStr">
        <is>
          <t>Surface-blended Elo on Hard: Storm Hunter p=0.210 vs Marta Kostyuk. Executable ask 0.9000 (aec-wta-markos-stohun-2026-08-30).</t>
        </is>
      </c>
      <c r="AF315" s="31" t="inlineStr">
        <is>
          <t>Surface-blended Elo model; singles only, WTA+ATP market coverage, not yet locked-holdout qualified -- promoted by explicit operator directive, not genuine walk-forward validation.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Storm Hunter</t>
        </is>
      </c>
      <c r="AQ315" s="24" t="inlineStr">
        <is>
          <t>Storm Hunter</t>
        </is>
      </c>
      <c r="AR315" s="24" t="inlineStr">
        <is>
          <t>Storm Hunter</t>
        </is>
      </c>
      <c r="AS315" s="24" t="inlineStr">
        <is>
          <t>Marta Kostyuk</t>
        </is>
      </c>
      <c r="AT315" s="24" t="inlineStr">
        <is>
          <t>Marta Kostyuk</t>
        </is>
      </c>
      <c r="AU315" s="24" t="inlineStr">
        <is>
          <t>Marta Kostyuk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d777da58446bc099047b154203518e2585ef1a678f613f2b430f2589f7bf5cff</t>
        </is>
      </c>
      <c r="BB315" s="24" t="inlineStr">
        <is>
          <t>surface_blended_elo</t>
        </is>
      </c>
      <c r="BC315" s="24" t="inlineStr">
        <is>
          <t>tennis-surface-elo-v1</t>
        </is>
      </c>
      <c r="BD315" s="24" t="inlineStr">
        <is>
          <t>d777da58446bc099047b154203518e2585ef1a678f613f2b430f2589f7bf5cff</t>
        </is>
      </c>
      <c r="BE315" s="24" t="inlineStr">
        <is>
          <t>tennis-surface-elo-v1</t>
        </is>
      </c>
      <c r="BF315" s="24" t="inlineStr">
        <is>
          <t>1</t>
        </is>
      </c>
      <c r="BG315" s="24" t="inlineStr">
        <is>
          <t>d777da58446bc099047b154203518e2585ef1a678f613f2b430f2589f7bf5cff</t>
        </is>
      </c>
      <c r="BH315" s="24" t="inlineStr">
        <is>
          <t>2026-08-30T16:04:55.681163Z</t>
        </is>
      </c>
      <c r="BI315" s="24" t="inlineStr">
        <is>
          <t>["same_event","same_team_same_day","same_league_same_day"]</t>
        </is>
      </c>
      <c r="BJ315" s="25" t="n"/>
      <c r="BK315" s="26" t="n">
        <v>-900</v>
      </c>
      <c r="BL315" s="27" t="n">
        <v>1.111111</v>
      </c>
      <c r="BM315" s="28" t="n">
        <v>0.9</v>
      </c>
      <c r="BN315" s="28" t="n"/>
      <c r="BO315" s="28" t="n"/>
      <c r="BP315" s="25" t="n"/>
      <c r="BQ315" s="27" t="n">
        <v>1.111111</v>
      </c>
      <c r="BR315" s="28" t="n">
        <v>0.9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0.111111</v>
      </c>
      <c r="BZ315" s="24" t="inlineStr">
        <is>
          <t>2026-08-31T04:32:51.819023Z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False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inlineStr">
        <is>
          <t>333d360b1f4a33120b1cc0186822c5675f7b24d1ee843ad9b27c78b608cfb329</t>
        </is>
      </c>
      <c r="DE315" s="24" t="inlineStr">
        <is>
          <t>/Users/vincentc9002/model-prediction/data/odds/tennis/2026-08-30/polymarket_snapshots.jsonl</t>
        </is>
      </c>
      <c r="DF315" s="24" t="inlineStr">
        <is>
          <t>550626:2026-08-30T16:04:55.681163Z</t>
        </is>
      </c>
      <c r="DG315" s="24" t="n"/>
      <c r="DH315" s="24" t="n"/>
      <c r="DI315" s="24" t="n"/>
      <c r="DJ315" s="24" t="inlineStr">
        <is>
          <t>0.9</t>
        </is>
      </c>
      <c r="DK315" s="24" t="n"/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beead5a24f5748a3</t>
        </is>
      </c>
      <c r="B316" s="24" t="inlineStr">
        <is>
          <t>2026-08-30T16:06:30.429692Z</t>
        </is>
      </c>
      <c r="C316" s="24" t="inlineStr">
        <is>
          <t>2026-08-30T17:00Z</t>
        </is>
      </c>
      <c r="D316" s="24" t="inlineStr">
        <is>
          <t>189-2026:182623</t>
        </is>
      </c>
      <c r="E316" s="24" t="inlineStr">
        <is>
          <t>TENNIS</t>
        </is>
      </c>
      <c r="F316" s="24" t="inlineStr">
        <is>
          <t>Lanlana Tararudee</t>
        </is>
      </c>
      <c r="G316" s="24" t="inlineStr">
        <is>
          <t>Elvina Kalieva</t>
        </is>
      </c>
      <c r="H316" s="24" t="inlineStr">
        <is>
          <t>moneyline</t>
        </is>
      </c>
      <c r="I316" s="24" t="inlineStr">
        <is>
          <t>away</t>
        </is>
      </c>
      <c r="J316" s="25" t="n"/>
      <c r="K316" s="24" t="inlineStr">
        <is>
          <t>polymarket_us</t>
        </is>
      </c>
      <c r="L316" s="26" t="n">
        <v>-203</v>
      </c>
      <c r="M316" s="27" t="n">
        <v>1.492611</v>
      </c>
      <c r="N316" s="28" t="n">
        <v>0.669967</v>
      </c>
      <c r="O316" s="28" t="n">
        <v>0.6567</v>
      </c>
      <c r="P316" s="28" t="n">
        <v>0.05</v>
      </c>
      <c r="Q316" s="28" t="n">
        <v>-0.013267</v>
      </c>
      <c r="R316" s="26" t="n">
        <v>13</v>
      </c>
      <c r="S316" s="29" t="n">
        <v>1</v>
      </c>
      <c r="T316" s="24" t="inlineStr">
        <is>
          <t>tennis-surface-elo-v1</t>
        </is>
      </c>
      <c r="U316" s="24" t="inlineStr">
        <is>
          <t>settled</t>
        </is>
      </c>
      <c r="V316" s="24" t="inlineStr">
        <is>
          <t>win</t>
        </is>
      </c>
      <c r="W316" s="26" t="n">
        <v>1</v>
      </c>
      <c r="X316" s="26" t="n">
        <v>0</v>
      </c>
      <c r="Y316" s="25" t="n"/>
      <c r="Z316" s="26" t="n">
        <v>-203</v>
      </c>
      <c r="AA316" s="28" t="n">
        <v>0.67</v>
      </c>
      <c r="AB316" s="28" t="n">
        <v>3.3e-05</v>
      </c>
      <c r="AC316" s="30" t="n">
        <v>0.4926</v>
      </c>
      <c r="AD316" s="24" t="inlineStr">
        <is>
          <t>2026-08-31T04:32:53.631100Z</t>
        </is>
      </c>
      <c r="AE316" s="31" t="inlineStr">
        <is>
          <t>Surface-blended Elo on Hard: Lanlana Tararudee p=0.657 vs Elvina Kalieva. Executable ask 0.6700 (aec-wta-elvkal-lantar-2026-08-30).</t>
        </is>
      </c>
      <c r="AF316" s="31" t="inlineStr">
        <is>
          <t>Surface-blended Elo model; singles only, WTA+ATP market coverage, not yet locked-holdout qualified -- promoted by explicit operator directive, not genuine walk-forward validation.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PAPER_CALL_LOW_EDGE</t>
        </is>
      </c>
      <c r="AP316" s="24" t="inlineStr">
        <is>
          <t>Lanlana Tararudee</t>
        </is>
      </c>
      <c r="AQ316" s="24" t="inlineStr">
        <is>
          <t>Lanlana Tararudee</t>
        </is>
      </c>
      <c r="AR316" s="24" t="inlineStr">
        <is>
          <t>Lanlana Tararudee</t>
        </is>
      </c>
      <c r="AS316" s="24" t="inlineStr">
        <is>
          <t>Elvina Kalieva</t>
        </is>
      </c>
      <c r="AT316" s="24" t="inlineStr">
        <is>
          <t>Elvina Kalieva</t>
        </is>
      </c>
      <c r="AU316" s="24" t="inlineStr">
        <is>
          <t>Elvina Kalieva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d777da58446bc099047b154203518e2585ef1a678f613f2b430f2589f7bf5cff</t>
        </is>
      </c>
      <c r="BB316" s="24" t="inlineStr">
        <is>
          <t>surface_blended_elo</t>
        </is>
      </c>
      <c r="BC316" s="24" t="inlineStr">
        <is>
          <t>tennis-surface-elo-v1</t>
        </is>
      </c>
      <c r="BD316" s="24" t="inlineStr">
        <is>
          <t>d777da58446bc099047b154203518e2585ef1a678f613f2b430f2589f7bf5cff</t>
        </is>
      </c>
      <c r="BE316" s="24" t="inlineStr">
        <is>
          <t>tennis-surface-elo-v1</t>
        </is>
      </c>
      <c r="BF316" s="24" t="inlineStr">
        <is>
          <t>1</t>
        </is>
      </c>
      <c r="BG316" s="24" t="inlineStr">
        <is>
          <t>d777da58446bc099047b154203518e2585ef1a678f613f2b430f2589f7bf5cff</t>
        </is>
      </c>
      <c r="BH316" s="24" t="inlineStr">
        <is>
          <t>2026-08-30T16:04:55.673609Z</t>
        </is>
      </c>
      <c r="BI316" s="24" t="inlineStr">
        <is>
          <t>["same_event","same_team_same_day","same_league_same_day"]</t>
        </is>
      </c>
      <c r="BJ316" s="25" t="n"/>
      <c r="BK316" s="26" t="n">
        <v>-203</v>
      </c>
      <c r="BL316" s="27" t="n">
        <v>1.492611</v>
      </c>
      <c r="BM316" s="28" t="n">
        <v>0.669967</v>
      </c>
      <c r="BN316" s="28" t="n"/>
      <c r="BO316" s="28" t="n"/>
      <c r="BP316" s="25" t="n"/>
      <c r="BQ316" s="27" t="n">
        <v>1.492611</v>
      </c>
      <c r="BR316" s="28" t="n">
        <v>0.67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0.492611</v>
      </c>
      <c r="BZ316" s="24" t="inlineStr">
        <is>
          <t>2026-08-31T04:32:53.631100Z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inlineStr">
        <is>
          <t>f9a05eae883f0b2decaafbf7c7fd43bd1cd2760cfae4beff888576d79697e0df</t>
        </is>
      </c>
      <c r="DE316" s="24" t="inlineStr">
        <is>
          <t>/Users/vincentc9002/model-prediction/data/odds/tennis/2026-08-30/polymarket_snapshots.jsonl</t>
        </is>
      </c>
      <c r="DF316" s="24" t="inlineStr">
        <is>
          <t>550510:2026-08-30T16:04:55.673609Z</t>
        </is>
      </c>
      <c r="DG316" s="24" t="n"/>
      <c r="DH316" s="24" t="n"/>
      <c r="DI316" s="24" t="n"/>
      <c r="DJ316" s="24" t="inlineStr">
        <is>
          <t>0.669967</t>
        </is>
      </c>
      <c r="DK316" s="24" t="n"/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066596f7954d4b15</t>
        </is>
      </c>
      <c r="B317" s="24" t="inlineStr">
        <is>
          <t>2026-08-30T16:06:30.429692Z</t>
        </is>
      </c>
      <c r="C317" s="24" t="inlineStr">
        <is>
          <t>2026-08-30T17:00Z</t>
        </is>
      </c>
      <c r="D317" s="24" t="inlineStr">
        <is>
          <t>189-2026:182634</t>
        </is>
      </c>
      <c r="E317" s="24" t="inlineStr">
        <is>
          <t>TENNIS</t>
        </is>
      </c>
      <c r="F317" s="24" t="inlineStr">
        <is>
          <t>Dayana Yastremska</t>
        </is>
      </c>
      <c r="G317" s="24" t="inlineStr">
        <is>
          <t>Lucrezia Stefanini</t>
        </is>
      </c>
      <c r="H317" s="24" t="inlineStr">
        <is>
          <t>moneyline</t>
        </is>
      </c>
      <c r="I317" s="24" t="inlineStr">
        <is>
          <t>home</t>
        </is>
      </c>
      <c r="J317" s="25" t="n"/>
      <c r="K317" s="24" t="inlineStr">
        <is>
          <t>polymarket_us</t>
        </is>
      </c>
      <c r="L317" s="26" t="n">
        <v>117</v>
      </c>
      <c r="M317" s="27" t="n">
        <v>2.17</v>
      </c>
      <c r="N317" s="28" t="n">
        <v>0.460829</v>
      </c>
      <c r="O317" s="28" t="n">
        <v>0.5391</v>
      </c>
      <c r="P317" s="28" t="n">
        <v>0.05</v>
      </c>
      <c r="Q317" s="28" t="n">
        <v>0.07827099999999999</v>
      </c>
      <c r="R317" s="26" t="n">
        <v>59</v>
      </c>
      <c r="S317" s="29" t="n">
        <v>1.25</v>
      </c>
      <c r="T317" s="24" t="inlineStr">
        <is>
          <t>tennis-surface-elo-v1</t>
        </is>
      </c>
      <c r="U317" s="24" t="inlineStr">
        <is>
          <t>settled</t>
        </is>
      </c>
      <c r="V317" s="24" t="inlineStr">
        <is>
          <t>win</t>
        </is>
      </c>
      <c r="W317" s="26" t="n">
        <v>0</v>
      </c>
      <c r="X317" s="26" t="n">
        <v>1</v>
      </c>
      <c r="Y317" s="25" t="n"/>
      <c r="Z317" s="26" t="n">
        <v>117</v>
      </c>
      <c r="AA317" s="28" t="n">
        <v>0.46</v>
      </c>
      <c r="AB317" s="28" t="n">
        <v>-0.000829</v>
      </c>
      <c r="AC317" s="30" t="n">
        <v>1.4625</v>
      </c>
      <c r="AD317" s="24" t="inlineStr">
        <is>
          <t>2026-08-31T04:32:55.401941Z</t>
        </is>
      </c>
      <c r="AE317" s="31" t="inlineStr">
        <is>
          <t>Surface-blended Elo on Hard: Dayana Yastremska p=0.461 vs Lucrezia Stefanini. Executable ask 0.4600 (aec-wta-lucste-dayyas-2026-08-30).</t>
        </is>
      </c>
      <c r="AF317" s="31" t="inlineStr">
        <is>
          <t>Surface-blended Elo model; singles only, WTA+ATP market coverage, not yet locked-holdout qualified -- promoted by explicit operator directive, not genuine walk-forward validation.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Dayana Yastremska</t>
        </is>
      </c>
      <c r="AQ317" s="24" t="inlineStr">
        <is>
          <t>Dayana Yastremska</t>
        </is>
      </c>
      <c r="AR317" s="24" t="inlineStr">
        <is>
          <t>Dayana Yastremska</t>
        </is>
      </c>
      <c r="AS317" s="24" t="inlineStr">
        <is>
          <t>Lucrezia Stefanini</t>
        </is>
      </c>
      <c r="AT317" s="24" t="inlineStr">
        <is>
          <t>Lucrezia Stefanini</t>
        </is>
      </c>
      <c r="AU317" s="24" t="inlineStr">
        <is>
          <t>Lucrezia Stefanini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d777da58446bc099047b154203518e2585ef1a678f613f2b430f2589f7bf5cff</t>
        </is>
      </c>
      <c r="BB317" s="24" t="inlineStr">
        <is>
          <t>surface_blended_elo</t>
        </is>
      </c>
      <c r="BC317" s="24" t="inlineStr">
        <is>
          <t>tennis-surface-elo-v1</t>
        </is>
      </c>
      <c r="BD317" s="24" t="inlineStr">
        <is>
          <t>d777da58446bc099047b154203518e2585ef1a678f613f2b430f2589f7bf5cff</t>
        </is>
      </c>
      <c r="BE317" s="24" t="inlineStr">
        <is>
          <t>tennis-surface-elo-v1</t>
        </is>
      </c>
      <c r="BF317" s="24" t="inlineStr">
        <is>
          <t>1</t>
        </is>
      </c>
      <c r="BG317" s="24" t="inlineStr">
        <is>
          <t>d777da58446bc099047b154203518e2585ef1a678f613f2b430f2589f7bf5cff</t>
        </is>
      </c>
      <c r="BH317" s="24" t="inlineStr">
        <is>
          <t>2026-08-30T16:04:55.683052Z</t>
        </is>
      </c>
      <c r="BI317" s="24" t="inlineStr">
        <is>
          <t>["same_event","same_team_same_day","same_league_same_day"]</t>
        </is>
      </c>
      <c r="BJ317" s="25" t="n"/>
      <c r="BK317" s="26" t="n">
        <v>117</v>
      </c>
      <c r="BL317" s="27" t="n">
        <v>2.17</v>
      </c>
      <c r="BM317" s="28" t="n">
        <v>0.460829</v>
      </c>
      <c r="BN317" s="28" t="n"/>
      <c r="BO317" s="28" t="n"/>
      <c r="BP317" s="25" t="n"/>
      <c r="BQ317" s="27" t="n">
        <v>2.17</v>
      </c>
      <c r="BR317" s="28" t="n">
        <v>0.46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inlineStr">
        <is>
          <t>7feee36dfea81dd65e88d86f5cea0f8313fa8a1f884d7e5d4f9e6b1fc3352408</t>
        </is>
      </c>
      <c r="DE317" s="24" t="inlineStr">
        <is>
          <t>/Users/vincentc9002/model-prediction/data/odds/tennis/2026-08-30/polymarket_snapshots.jsonl</t>
        </is>
      </c>
      <c r="DF317" s="24" t="inlineStr">
        <is>
          <t>550512:2026-08-30T16:04:55.683052Z</t>
        </is>
      </c>
      <c r="DG317" s="24" t="n"/>
      <c r="DH317" s="24" t="n"/>
      <c r="DI317" s="24" t="n"/>
      <c r="DJ317" s="24" t="inlineStr">
        <is>
          <t>0.460829</t>
        </is>
      </c>
      <c r="DK317" s="24" t="n"/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b128055275a64995</t>
        </is>
      </c>
      <c r="B318" s="24" t="inlineStr">
        <is>
          <t>2026-08-30T16:06:30.429692Z</t>
        </is>
      </c>
      <c r="C318" s="24" t="inlineStr">
        <is>
          <t>2026-08-30T18:30Z</t>
        </is>
      </c>
      <c r="D318" s="24" t="inlineStr">
        <is>
          <t>189-2026:182620</t>
        </is>
      </c>
      <c r="E318" s="24" t="inlineStr">
        <is>
          <t>TENNIS</t>
        </is>
      </c>
      <c r="F318" s="24" t="inlineStr">
        <is>
          <t>Ekaterina Alexandrova</t>
        </is>
      </c>
      <c r="G318" s="24" t="inlineStr">
        <is>
          <t>McCartney Kessler</t>
        </is>
      </c>
      <c r="H318" s="24" t="inlineStr">
        <is>
          <t>moneyline</t>
        </is>
      </c>
      <c r="I318" s="24" t="inlineStr">
        <is>
          <t>away</t>
        </is>
      </c>
      <c r="J318" s="25" t="n"/>
      <c r="K318" s="24" t="inlineStr">
        <is>
          <t>polymarket_us</t>
        </is>
      </c>
      <c r="L318" s="26" t="n">
        <v>-138</v>
      </c>
      <c r="M318" s="27" t="n">
        <v>1.724638</v>
      </c>
      <c r="N318" s="28" t="n">
        <v>0.579832</v>
      </c>
      <c r="O318" s="28" t="n">
        <v>0.5578</v>
      </c>
      <c r="P318" s="28" t="n">
        <v>0.05</v>
      </c>
      <c r="Q318" s="28" t="n">
        <v>-0.022032</v>
      </c>
      <c r="R318" s="26" t="n">
        <v>9</v>
      </c>
      <c r="S318" s="29" t="n">
        <v>1</v>
      </c>
      <c r="T318" s="24" t="inlineStr">
        <is>
          <t>tennis-surface-elo-v1</t>
        </is>
      </c>
      <c r="U318" s="24" t="inlineStr">
        <is>
          <t>settled</t>
        </is>
      </c>
      <c r="V318" s="24" t="inlineStr">
        <is>
          <t>win</t>
        </is>
      </c>
      <c r="W318" s="26" t="n">
        <v>1</v>
      </c>
      <c r="X318" s="26" t="n">
        <v>0</v>
      </c>
      <c r="Y318" s="25" t="n"/>
      <c r="Z318" s="26" t="n">
        <v>-138</v>
      </c>
      <c r="AA318" s="28" t="n">
        <v>0.58</v>
      </c>
      <c r="AB318" s="28" t="n">
        <v>0.000168</v>
      </c>
      <c r="AC318" s="30" t="n">
        <v>0.7246</v>
      </c>
      <c r="AD318" s="24" t="inlineStr">
        <is>
          <t>2026-08-31T04:32:57.160619Z</t>
        </is>
      </c>
      <c r="AE318" s="31" t="inlineStr">
        <is>
          <t>Surface-blended Elo on Hard: Ekaterina Alexandrova p=0.558 vs McCartney Kessler. Executable ask 0.5800 (aec-wta-mcckes-ekaale-2026-08-30).</t>
        </is>
      </c>
      <c r="AF318" s="31" t="inlineStr">
        <is>
          <t>Surface-blended Elo model; singles only, WTA+ATP market coverage, not yet locked-holdout qualified -- promoted by explicit operator directive, not genuine walk-forward validation.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Ekaterina Alexandrova</t>
        </is>
      </c>
      <c r="AQ318" s="24" t="inlineStr">
        <is>
          <t>Ekaterina Alexandrova</t>
        </is>
      </c>
      <c r="AR318" s="24" t="inlineStr">
        <is>
          <t>Ekaterina Alexandrova</t>
        </is>
      </c>
      <c r="AS318" s="24" t="inlineStr">
        <is>
          <t>McCartney Kessler</t>
        </is>
      </c>
      <c r="AT318" s="24" t="inlineStr">
        <is>
          <t>McCartney Kessler</t>
        </is>
      </c>
      <c r="AU318" s="24" t="inlineStr">
        <is>
          <t>McCartney Kessler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d777da58446bc099047b154203518e2585ef1a678f613f2b430f2589f7bf5cff</t>
        </is>
      </c>
      <c r="BB318" s="24" t="inlineStr">
        <is>
          <t>surface_blended_elo</t>
        </is>
      </c>
      <c r="BC318" s="24" t="inlineStr">
        <is>
          <t>tennis-surface-elo-v1</t>
        </is>
      </c>
      <c r="BD318" s="24" t="inlineStr">
        <is>
          <t>d777da58446bc099047b154203518e2585ef1a678f613f2b430f2589f7bf5cff</t>
        </is>
      </c>
      <c r="BE318" s="24" t="inlineStr">
        <is>
          <t>tennis-surface-elo-v1</t>
        </is>
      </c>
      <c r="BF318" s="24" t="inlineStr">
        <is>
          <t>1</t>
        </is>
      </c>
      <c r="BG318" s="24" t="inlineStr">
        <is>
          <t>d777da58446bc099047b154203518e2585ef1a678f613f2b430f2589f7bf5cff</t>
        </is>
      </c>
      <c r="BH318" s="24" t="inlineStr">
        <is>
          <t>2026-08-30T16:04:55.701215Z</t>
        </is>
      </c>
      <c r="BI318" s="24" t="inlineStr">
        <is>
          <t>["same_event","same_team_same_day","same_league_same_day"]</t>
        </is>
      </c>
      <c r="BJ318" s="25" t="n"/>
      <c r="BK318" s="26" t="n">
        <v>-138</v>
      </c>
      <c r="BL318" s="27" t="n">
        <v>1.724638</v>
      </c>
      <c r="BM318" s="28" t="n">
        <v>0.579832</v>
      </c>
      <c r="BN318" s="28" t="n"/>
      <c r="BO318" s="28" t="n"/>
      <c r="BP318" s="25" t="n"/>
      <c r="BQ318" s="27" t="n">
        <v>1.724638</v>
      </c>
      <c r="BR318" s="28" t="n">
        <v>0.58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0.724637</v>
      </c>
      <c r="BZ318" s="24" t="inlineStr">
        <is>
          <t>2026-08-31T04:32:57.160619Z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inlineStr">
        <is>
          <t>07f25a21de2a05b936048ee758d7c9db484e3e7d526fc96e194966bb31eb2453</t>
        </is>
      </c>
      <c r="DE318" s="24" t="inlineStr">
        <is>
          <t>/Users/vincentc9002/model-prediction/data/odds/tennis/2026-08-30/polymarket_snapshots.jsonl</t>
        </is>
      </c>
      <c r="DF318" s="24" t="inlineStr">
        <is>
          <t>547261:2026-08-30T16:04:55.701215Z</t>
        </is>
      </c>
      <c r="DG318" s="24" t="n"/>
      <c r="DH318" s="24" t="n"/>
      <c r="DI318" s="24" t="n"/>
      <c r="DJ318" s="24" t="inlineStr">
        <is>
          <t>0.579832</t>
        </is>
      </c>
      <c r="DK318" s="24" t="n"/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e22c7b0219714944</t>
        </is>
      </c>
      <c r="B319" s="24" t="inlineStr">
        <is>
          <t>2026-08-30T16:06:30.429692Z</t>
        </is>
      </c>
      <c r="C319" s="24" t="inlineStr">
        <is>
          <t>2026-08-30T18:30Z</t>
        </is>
      </c>
      <c r="D319" s="24" t="inlineStr">
        <is>
          <t>189-2026:182646</t>
        </is>
      </c>
      <c r="E319" s="24" t="inlineStr">
        <is>
          <t>TENNIS</t>
        </is>
      </c>
      <c r="F319" s="24" t="inlineStr">
        <is>
          <t>Katie Boulter</t>
        </is>
      </c>
      <c r="G319" s="24" t="inlineStr">
        <is>
          <t>Carol Young Suh Lee</t>
        </is>
      </c>
      <c r="H319" s="24" t="inlineStr">
        <is>
          <t>moneyline</t>
        </is>
      </c>
      <c r="I319" s="24" t="inlineStr">
        <is>
          <t>away</t>
        </is>
      </c>
      <c r="J319" s="25" t="n"/>
      <c r="K319" s="24" t="inlineStr">
        <is>
          <t>polymarket_us</t>
        </is>
      </c>
      <c r="L319" s="26" t="n">
        <v>-133</v>
      </c>
      <c r="M319" s="27" t="n">
        <v>1.75188</v>
      </c>
      <c r="N319" s="28" t="n">
        <v>0.570815</v>
      </c>
      <c r="O319" s="28" t="n">
        <v>0.6772</v>
      </c>
      <c r="P319" s="28" t="n">
        <v>0.05</v>
      </c>
      <c r="Q319" s="28" t="n">
        <v>0.106385</v>
      </c>
      <c r="R319" s="26" t="n">
        <v>73</v>
      </c>
      <c r="S319" s="29" t="n">
        <v>1.5</v>
      </c>
      <c r="T319" s="24" t="inlineStr">
        <is>
          <t>tennis-surface-elo-v1</t>
        </is>
      </c>
      <c r="U319" s="24" t="inlineStr">
        <is>
          <t>settled</t>
        </is>
      </c>
      <c r="V319" s="24" t="inlineStr">
        <is>
          <t>win</t>
        </is>
      </c>
      <c r="W319" s="26" t="n">
        <v>1</v>
      </c>
      <c r="X319" s="26" t="n">
        <v>0</v>
      </c>
      <c r="Y319" s="25" t="n"/>
      <c r="Z319" s="26" t="n">
        <v>-133</v>
      </c>
      <c r="AA319" s="28" t="n">
        <v>0.57</v>
      </c>
      <c r="AB319" s="28" t="n">
        <v>-0.000815</v>
      </c>
      <c r="AC319" s="30" t="n">
        <v>1.1278</v>
      </c>
      <c r="AD319" s="24" t="inlineStr">
        <is>
          <t>2026-08-31T04:32:58.999568Z</t>
        </is>
      </c>
      <c r="AE319" s="31" t="inlineStr">
        <is>
          <t>Surface-blended Elo on Hard: Katie Boulter p=0.677 vs Carol Young Suh Lee. Executable ask 0.5700 (aec-wta-carlee-katbou-2026-08-30).</t>
        </is>
      </c>
      <c r="AF319" s="31" t="inlineStr">
        <is>
          <t>Surface-blended Elo model; singles only, WTA+ATP market coverage, not yet locked-holdout qualified -- promoted by explicit operator directive, not genuine walk-forward validation.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Katie Boulter</t>
        </is>
      </c>
      <c r="AQ319" s="24" t="inlineStr">
        <is>
          <t>Katie Boulter</t>
        </is>
      </c>
      <c r="AR319" s="24" t="inlineStr">
        <is>
          <t>Katie Boulter</t>
        </is>
      </c>
      <c r="AS319" s="24" t="inlineStr">
        <is>
          <t>Carol Young Suh Lee</t>
        </is>
      </c>
      <c r="AT319" s="24" t="inlineStr">
        <is>
          <t>Carol Young Suh Lee</t>
        </is>
      </c>
      <c r="AU319" s="24" t="inlineStr">
        <is>
          <t>Carol Young Suh Lee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d777da58446bc099047b154203518e2585ef1a678f613f2b430f2589f7bf5cff</t>
        </is>
      </c>
      <c r="BB319" s="24" t="inlineStr">
        <is>
          <t>surface_blended_elo</t>
        </is>
      </c>
      <c r="BC319" s="24" t="inlineStr">
        <is>
          <t>tennis-surface-elo-v1</t>
        </is>
      </c>
      <c r="BD319" s="24" t="inlineStr">
        <is>
          <t>d777da58446bc099047b154203518e2585ef1a678f613f2b430f2589f7bf5cff</t>
        </is>
      </c>
      <c r="BE319" s="24" t="inlineStr">
        <is>
          <t>tennis-surface-elo-v1</t>
        </is>
      </c>
      <c r="BF319" s="24" t="inlineStr">
        <is>
          <t>1</t>
        </is>
      </c>
      <c r="BG319" s="24" t="inlineStr">
        <is>
          <t>d777da58446bc099047b154203518e2585ef1a678f613f2b430f2589f7bf5cff</t>
        </is>
      </c>
      <c r="BH319" s="24" t="inlineStr">
        <is>
          <t>2026-08-30T16:04:55.694793Z</t>
        </is>
      </c>
      <c r="BI319" s="24" t="inlineStr">
        <is>
          <t>["same_event","same_team_same_day","same_league_same_day"]</t>
        </is>
      </c>
      <c r="BJ319" s="25" t="n"/>
      <c r="BK319" s="26" t="n">
        <v>-133</v>
      </c>
      <c r="BL319" s="27" t="n">
        <v>1.75188</v>
      </c>
      <c r="BM319" s="28" t="n">
        <v>0.570815</v>
      </c>
      <c r="BN319" s="28" t="n"/>
      <c r="BO319" s="28" t="n"/>
      <c r="BP319" s="25" t="n"/>
      <c r="BQ319" s="27" t="n">
        <v>1.75188</v>
      </c>
      <c r="BR319" s="28" t="n">
        <v>0.57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inlineStr">
        <is>
          <t>5a334b7bfe26498d8ae68e88686ad9093e45338b7a34aebf2932a7a9fef56914</t>
        </is>
      </c>
      <c r="DE319" s="24" t="inlineStr">
        <is>
          <t>/Users/vincentc9002/model-prediction/data/odds/tennis/2026-08-30/polymarket_snapshots.jsonl</t>
        </is>
      </c>
      <c r="DF319" s="24" t="inlineStr">
        <is>
          <t>547290:2026-08-30T16:04:55.694793Z</t>
        </is>
      </c>
      <c r="DG319" s="24" t="n"/>
      <c r="DH319" s="24" t="n"/>
      <c r="DI319" s="24" t="n"/>
      <c r="DJ319" s="24" t="inlineStr">
        <is>
          <t>0.570815</t>
        </is>
      </c>
      <c r="DK319" s="24" t="n"/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8326779e748841cd</t>
        </is>
      </c>
      <c r="B320" s="24" t="inlineStr">
        <is>
          <t>2026-08-30T16:06:30.429692Z</t>
        </is>
      </c>
      <c r="C320" s="24" t="inlineStr">
        <is>
          <t>2026-08-30T19:00Z</t>
        </is>
      </c>
      <c r="D320" s="24" t="inlineStr">
        <is>
          <t>189-2026:182594</t>
        </is>
      </c>
      <c r="E320" s="24" t="inlineStr">
        <is>
          <t>TENNIS</t>
        </is>
      </c>
      <c r="F320" s="24" t="inlineStr">
        <is>
          <t>Karolina Pliskova</t>
        </is>
      </c>
      <c r="G320" s="24" t="inlineStr">
        <is>
          <t>Hanne Vandewinkel</t>
        </is>
      </c>
      <c r="H320" s="24" t="inlineStr">
        <is>
          <t>moneyline</t>
        </is>
      </c>
      <c r="I320" s="24" t="inlineStr">
        <is>
          <t>away</t>
        </is>
      </c>
      <c r="J320" s="25" t="n"/>
      <c r="K320" s="24" t="inlineStr">
        <is>
          <t>polymarket_us</t>
        </is>
      </c>
      <c r="L320" s="26" t="n">
        <v>100</v>
      </c>
      <c r="M320" s="27" t="n">
        <v>2</v>
      </c>
      <c r="N320" s="28" t="n">
        <v>0.5</v>
      </c>
      <c r="O320" s="28" t="n">
        <v>0.5505</v>
      </c>
      <c r="P320" s="28" t="n">
        <v>0.05</v>
      </c>
      <c r="Q320" s="28" t="n">
        <v>0.0505</v>
      </c>
      <c r="R320" s="26" t="n">
        <v>45</v>
      </c>
      <c r="S320" s="29" t="n">
        <v>1</v>
      </c>
      <c r="T320" s="24" t="inlineStr">
        <is>
          <t>tennis-surface-elo-v1</t>
        </is>
      </c>
      <c r="U320" s="24" t="inlineStr">
        <is>
          <t>settled</t>
        </is>
      </c>
      <c r="V320" s="24" t="inlineStr">
        <is>
          <t>win</t>
        </is>
      </c>
      <c r="W320" s="26" t="n">
        <v>1</v>
      </c>
      <c r="X320" s="26" t="n">
        <v>0</v>
      </c>
      <c r="Y320" s="25" t="n"/>
      <c r="Z320" s="26" t="n">
        <v>100</v>
      </c>
      <c r="AA320" s="28" t="n">
        <v>0.5</v>
      </c>
      <c r="AB320" s="28" t="n">
        <v>0</v>
      </c>
      <c r="AC320" s="30" t="n">
        <v>1</v>
      </c>
      <c r="AD320" s="24" t="inlineStr">
        <is>
          <t>2026-08-31T04:33:00.807618Z</t>
        </is>
      </c>
      <c r="AE320" s="31" t="inlineStr">
        <is>
          <t>Surface-blended Elo on Hard: Karolina Pliskova p=0.550 vs Hanne Vandewinkel. Executable ask 0.5000 (aec-wta-hanvan-karpli-2026-08-30).</t>
        </is>
      </c>
      <c r="AF320" s="31" t="inlineStr">
        <is>
          <t>Surface-blended Elo model; singles only, WTA+ATP market coverage, not yet locked-holdout qualified -- promoted by explicit operator directive, not genuine walk-forward validation.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Karolina Pliskova</t>
        </is>
      </c>
      <c r="AQ320" s="24" t="inlineStr">
        <is>
          <t>Karolina Pliskova</t>
        </is>
      </c>
      <c r="AR320" s="24" t="inlineStr">
        <is>
          <t>Karolina Pliskova</t>
        </is>
      </c>
      <c r="AS320" s="24" t="inlineStr">
        <is>
          <t>Hanne Vandewinkel</t>
        </is>
      </c>
      <c r="AT320" s="24" t="inlineStr">
        <is>
          <t>Hanne Vandewinkel</t>
        </is>
      </c>
      <c r="AU320" s="24" t="inlineStr">
        <is>
          <t>Hanne Vandewinkel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d777da58446bc099047b154203518e2585ef1a678f613f2b430f2589f7bf5cff</t>
        </is>
      </c>
      <c r="BB320" s="24" t="inlineStr">
        <is>
          <t>surface_blended_elo</t>
        </is>
      </c>
      <c r="BC320" s="24" t="inlineStr">
        <is>
          <t>tennis-surface-elo-v1</t>
        </is>
      </c>
      <c r="BD320" s="24" t="inlineStr">
        <is>
          <t>d777da58446bc099047b154203518e2585ef1a678f613f2b430f2589f7bf5cff</t>
        </is>
      </c>
      <c r="BE320" s="24" t="inlineStr">
        <is>
          <t>tennis-surface-elo-v1</t>
        </is>
      </c>
      <c r="BF320" s="24" t="inlineStr">
        <is>
          <t>1</t>
        </is>
      </c>
      <c r="BG320" s="24" t="inlineStr">
        <is>
          <t>d777da58446bc099047b154203518e2585ef1a678f613f2b430f2589f7bf5cff</t>
        </is>
      </c>
      <c r="BH320" s="24" t="inlineStr">
        <is>
          <t>2026-08-30T16:04:55.685291Z</t>
        </is>
      </c>
      <c r="BI320" s="24" t="inlineStr">
        <is>
          <t>["same_event","same_team_same_day","same_league_same_day"]</t>
        </is>
      </c>
      <c r="BJ320" s="25" t="n"/>
      <c r="BK320" s="26" t="n">
        <v>100</v>
      </c>
      <c r="BL320" s="27" t="n">
        <v>2</v>
      </c>
      <c r="BM320" s="28" t="n">
        <v>0.5</v>
      </c>
      <c r="BN320" s="28" t="n"/>
      <c r="BO320" s="28" t="n"/>
      <c r="BP320" s="25" t="n"/>
      <c r="BQ320" s="27" t="n">
        <v>2</v>
      </c>
      <c r="BR320" s="28" t="n">
        <v>0.5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inlineStr">
        <is>
          <t>60d85c5c50631e936ca95e3642daf4251935095c099d2e21e16134d6ef9fbc39</t>
        </is>
      </c>
      <c r="DE320" s="24" t="inlineStr">
        <is>
          <t>/Users/vincentc9002/model-prediction/data/odds/tennis/2026-08-30/polymarket_snapshots.jsonl</t>
        </is>
      </c>
      <c r="DF320" s="24" t="inlineStr">
        <is>
          <t>547253:2026-08-30T16:04:55.685291Z</t>
        </is>
      </c>
      <c r="DG320" s="24" t="n"/>
      <c r="DH320" s="24" t="n"/>
      <c r="DI320" s="24" t="n"/>
      <c r="DJ320" s="24" t="inlineStr">
        <is>
          <t>0.5</t>
        </is>
      </c>
      <c r="DK320" s="24" t="n"/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e38f93c28c3e4e76</t>
        </is>
      </c>
      <c r="B321" s="24" t="inlineStr">
        <is>
          <t>2026-08-30T16:06:30.429692Z</t>
        </is>
      </c>
      <c r="C321" s="24" t="inlineStr">
        <is>
          <t>2026-08-30T20:30Z</t>
        </is>
      </c>
      <c r="D321" s="24" t="inlineStr">
        <is>
          <t>189-2026:182596</t>
        </is>
      </c>
      <c r="E321" s="24" t="inlineStr">
        <is>
          <t>TENNIS</t>
        </is>
      </c>
      <c r="F321" s="24" t="inlineStr">
        <is>
          <t>Alycia Parks</t>
        </is>
      </c>
      <c r="G321" s="24" t="inlineStr">
        <is>
          <t>Taylah Preston</t>
        </is>
      </c>
      <c r="H321" s="24" t="inlineStr">
        <is>
          <t>moneyline</t>
        </is>
      </c>
      <c r="I321" s="24" t="inlineStr">
        <is>
          <t>away</t>
        </is>
      </c>
      <c r="J321" s="25" t="n"/>
      <c r="K321" s="24" t="inlineStr">
        <is>
          <t>polymarket_us</t>
        </is>
      </c>
      <c r="L321" s="26" t="n">
        <v>-104</v>
      </c>
      <c r="M321" s="27" t="n">
        <v>1.961538</v>
      </c>
      <c r="N321" s="28" t="n">
        <v>0.509804</v>
      </c>
      <c r="O321" s="28" t="n">
        <v>0.6473</v>
      </c>
      <c r="P321" s="28" t="n">
        <v>0.05</v>
      </c>
      <c r="Q321" s="28" t="n">
        <v>0.137496</v>
      </c>
      <c r="R321" s="26" t="n">
        <v>89</v>
      </c>
      <c r="S321" s="29" t="n">
        <v>1.5</v>
      </c>
      <c r="T321" s="24" t="inlineStr">
        <is>
          <t>tennis-surface-elo-v1</t>
        </is>
      </c>
      <c r="U321" s="24" t="inlineStr">
        <is>
          <t>settled</t>
        </is>
      </c>
      <c r="V321" s="24" t="inlineStr">
        <is>
          <t>loss</t>
        </is>
      </c>
      <c r="W321" s="26" t="n">
        <v>0</v>
      </c>
      <c r="X321" s="26" t="n">
        <v>1</v>
      </c>
      <c r="Y321" s="25" t="n"/>
      <c r="Z321" s="26" t="n">
        <v>-104</v>
      </c>
      <c r="AA321" s="28" t="n">
        <v>0.51</v>
      </c>
      <c r="AB321" s="28" t="n">
        <v>0.000196</v>
      </c>
      <c r="AC321" s="30" t="n">
        <v>-1.5</v>
      </c>
      <c r="AD321" s="24" t="inlineStr">
        <is>
          <t>2026-08-31T04:33:02.625539Z</t>
        </is>
      </c>
      <c r="AE321" s="31" t="inlineStr">
        <is>
          <t>Surface-blended Elo on Hard: Alycia Parks p=0.647 vs Taylah Preston. Executable ask 0.5100 (aec-wta-taypre-alypar-2026-08-30).</t>
        </is>
      </c>
      <c r="AF321" s="31" t="inlineStr">
        <is>
          <t>Surface-blended Elo model; singles only, WTA+ATP market coverage, not yet locked-holdout qualified -- promoted by explicit operator directive, not genuine walk-forward validation.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Alycia Parks</t>
        </is>
      </c>
      <c r="AQ321" s="24" t="inlineStr">
        <is>
          <t>Alycia Parks</t>
        </is>
      </c>
      <c r="AR321" s="24" t="inlineStr">
        <is>
          <t>Alycia Parks</t>
        </is>
      </c>
      <c r="AS321" s="24" t="inlineStr">
        <is>
          <t>Taylah Preston</t>
        </is>
      </c>
      <c r="AT321" s="24" t="inlineStr">
        <is>
          <t>Taylah Preston</t>
        </is>
      </c>
      <c r="AU321" s="24" t="inlineStr">
        <is>
          <t>Taylah Preston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d777da58446bc099047b154203518e2585ef1a678f613f2b430f2589f7bf5cff</t>
        </is>
      </c>
      <c r="BB321" s="24" t="inlineStr">
        <is>
          <t>surface_blended_elo</t>
        </is>
      </c>
      <c r="BC321" s="24" t="inlineStr">
        <is>
          <t>tennis-surface-elo-v1</t>
        </is>
      </c>
      <c r="BD321" s="24" t="inlineStr">
        <is>
          <t>d777da58446bc099047b154203518e2585ef1a678f613f2b430f2589f7bf5cff</t>
        </is>
      </c>
      <c r="BE321" s="24" t="inlineStr">
        <is>
          <t>tennis-surface-elo-v1</t>
        </is>
      </c>
      <c r="BF321" s="24" t="inlineStr">
        <is>
          <t>1</t>
        </is>
      </c>
      <c r="BG321" s="24" t="inlineStr">
        <is>
          <t>d777da58446bc099047b154203518e2585ef1a678f613f2b430f2589f7bf5cff</t>
        </is>
      </c>
      <c r="BH321" s="24" t="inlineStr">
        <is>
          <t>2026-08-30T16:04:55.711255Z</t>
        </is>
      </c>
      <c r="BI321" s="24" t="inlineStr">
        <is>
          <t>["same_event","same_team_same_day","same_league_same_day"]</t>
        </is>
      </c>
      <c r="BJ321" s="25" t="n"/>
      <c r="BK321" s="26" t="n">
        <v>-104</v>
      </c>
      <c r="BL321" s="27" t="n">
        <v>1.961538</v>
      </c>
      <c r="BM321" s="28" t="n">
        <v>0.509804</v>
      </c>
      <c r="BN321" s="28" t="n"/>
      <c r="BO321" s="28" t="n"/>
      <c r="BP321" s="25" t="n"/>
      <c r="BQ321" s="27" t="n">
        <v>1.961538</v>
      </c>
      <c r="BR321" s="28" t="n">
        <v>0.51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inlineStr">
        <is>
          <t>fd2f3d6918310dae8c33d2be3d382d3266c169baa81a0f592df89cf3f929a69a</t>
        </is>
      </c>
      <c r="DE321" s="24" t="inlineStr">
        <is>
          <t>/Users/vincentc9002/model-prediction/data/odds/tennis/2026-08-30/polymarket_snapshots.jsonl</t>
        </is>
      </c>
      <c r="DF321" s="24" t="inlineStr">
        <is>
          <t>547252:2026-08-30T16:04:55.711255Z</t>
        </is>
      </c>
      <c r="DG321" s="24" t="n"/>
      <c r="DH321" s="24" t="n"/>
      <c r="DI321" s="24" t="n"/>
      <c r="DJ321" s="24" t="inlineStr">
        <is>
          <t>0.509804</t>
        </is>
      </c>
      <c r="DK321" s="24" t="n"/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dd8b2a7867114ae1</t>
        </is>
      </c>
      <c r="B322" s="24" t="inlineStr">
        <is>
          <t>2026-08-30T16:06:30.429692Z</t>
        </is>
      </c>
      <c r="C322" s="24" t="inlineStr">
        <is>
          <t>2026-08-30T20:30Z</t>
        </is>
      </c>
      <c r="D322" s="24" t="inlineStr">
        <is>
          <t>189-2026:182621</t>
        </is>
      </c>
      <c r="E322" s="24" t="inlineStr">
        <is>
          <t>TENNIS</t>
        </is>
      </c>
      <c r="F322" s="24" t="inlineStr">
        <is>
          <t>Petra Marcinko</t>
        </is>
      </c>
      <c r="G322" s="24" t="inlineStr">
        <is>
          <t>Kimberly Birrell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polymarket_us</t>
        </is>
      </c>
      <c r="L322" s="26" t="n">
        <v>-104</v>
      </c>
      <c r="M322" s="27" t="n">
        <v>1.961538</v>
      </c>
      <c r="N322" s="28" t="n">
        <v>0.509804</v>
      </c>
      <c r="O322" s="28" t="n">
        <v>0.5659</v>
      </c>
      <c r="P322" s="28" t="n">
        <v>0.05</v>
      </c>
      <c r="Q322" s="28" t="n">
        <v>0.056096</v>
      </c>
      <c r="R322" s="26" t="n">
        <v>48</v>
      </c>
      <c r="S322" s="29" t="n">
        <v>1</v>
      </c>
      <c r="T322" s="24" t="inlineStr">
        <is>
          <t>tennis-surface-elo-v1</t>
        </is>
      </c>
      <c r="U322" s="24" t="inlineStr">
        <is>
          <t>settled</t>
        </is>
      </c>
      <c r="V322" s="24" t="inlineStr">
        <is>
          <t>win</t>
        </is>
      </c>
      <c r="W322" s="26" t="n">
        <v>0</v>
      </c>
      <c r="X322" s="26" t="n">
        <v>1</v>
      </c>
      <c r="Y322" s="25" t="n"/>
      <c r="Z322" s="26" t="n">
        <v>-104</v>
      </c>
      <c r="AA322" s="28" t="n">
        <v>0.51</v>
      </c>
      <c r="AB322" s="28" t="n">
        <v>0.000196</v>
      </c>
      <c r="AC322" s="30" t="n">
        <v>0.9615</v>
      </c>
      <c r="AD322" s="24" t="inlineStr">
        <is>
          <t>2026-09-01T04:30:09.084597Z</t>
        </is>
      </c>
      <c r="AE322" s="31" t="inlineStr">
        <is>
          <t>Surface-blended Elo on Hard: Petra Marcinko p=0.434 vs Kimberly Birrell. Executable ask 0.5100 (aec-wta-kimbir-petmar-2026-08-30).</t>
        </is>
      </c>
      <c r="AF322" s="31" t="inlineStr">
        <is>
          <t>Surface-blended Elo model; singles only, WTA+ATP market coverage, not yet locked-holdout qualified -- promoted by explicit operator directive, not genuine walk-forward validation.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Petra Marcinko</t>
        </is>
      </c>
      <c r="AQ322" s="24" t="inlineStr">
        <is>
          <t>Petra Marcinko</t>
        </is>
      </c>
      <c r="AR322" s="24" t="inlineStr">
        <is>
          <t>Petra Marcinko</t>
        </is>
      </c>
      <c r="AS322" s="24" t="inlineStr">
        <is>
          <t>Kimberly Birrell</t>
        </is>
      </c>
      <c r="AT322" s="24" t="inlineStr">
        <is>
          <t>Kimberly Birrell</t>
        </is>
      </c>
      <c r="AU322" s="24" t="inlineStr">
        <is>
          <t>Kimberly Birrell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d777da58446bc099047b154203518e2585ef1a678f613f2b430f2589f7bf5cff</t>
        </is>
      </c>
      <c r="BB322" s="24" t="inlineStr">
        <is>
          <t>surface_blended_elo</t>
        </is>
      </c>
      <c r="BC322" s="24" t="inlineStr">
        <is>
          <t>tennis-surface-elo-v1</t>
        </is>
      </c>
      <c r="BD322" s="24" t="inlineStr">
        <is>
          <t>d777da58446bc099047b154203518e2585ef1a678f613f2b430f2589f7bf5cff</t>
        </is>
      </c>
      <c r="BE322" s="24" t="inlineStr">
        <is>
          <t>tennis-surface-elo-v1</t>
        </is>
      </c>
      <c r="BF322" s="24" t="inlineStr">
        <is>
          <t>1</t>
        </is>
      </c>
      <c r="BG322" s="24" t="inlineStr">
        <is>
          <t>d777da58446bc099047b154203518e2585ef1a678f613f2b430f2589f7bf5cff</t>
        </is>
      </c>
      <c r="BH322" s="24" t="inlineStr">
        <is>
          <t>2026-08-30T16:04:55.695628Z</t>
        </is>
      </c>
      <c r="BI322" s="24" t="inlineStr">
        <is>
          <t>["same_event","same_team_same_day","same_league_same_day"]</t>
        </is>
      </c>
      <c r="BJ322" s="25" t="n"/>
      <c r="BK322" s="26" t="n">
        <v>-104</v>
      </c>
      <c r="BL322" s="27" t="n">
        <v>1.961538</v>
      </c>
      <c r="BM322" s="28" t="n">
        <v>0.509804</v>
      </c>
      <c r="BN322" s="28" t="n"/>
      <c r="BO322" s="28" t="n"/>
      <c r="BP322" s="25" t="n"/>
      <c r="BQ322" s="27" t="n">
        <v>1.961538</v>
      </c>
      <c r="BR322" s="28" t="n">
        <v>0.51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inlineStr">
        <is>
          <t>946c094aa001490f0e418e926acb372c3e8296aa092e81cc053743fbf9fb01a6</t>
        </is>
      </c>
      <c r="DE322" s="24" t="inlineStr">
        <is>
          <t>/Users/vincentc9002/model-prediction/data/odds/tennis/2026-08-30/polymarket_snapshots.jsonl</t>
        </is>
      </c>
      <c r="DF322" s="24" t="inlineStr">
        <is>
          <t>547259:2026-08-30T16:04:55.695628Z</t>
        </is>
      </c>
      <c r="DG322" s="24" t="n"/>
      <c r="DH322" s="24" t="n"/>
      <c r="DI322" s="24" t="n"/>
      <c r="DJ322" s="24" t="inlineStr">
        <is>
          <t>0.509804</t>
        </is>
      </c>
      <c r="DK322" s="24" t="n"/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742b4873f59d4030</t>
        </is>
      </c>
      <c r="B323" s="24" t="inlineStr">
        <is>
          <t>2026-08-30T16:06:30.429692Z</t>
        </is>
      </c>
      <c r="C323" s="24" t="inlineStr">
        <is>
          <t>2026-08-30T21:00Z</t>
        </is>
      </c>
      <c r="D323" s="24" t="inlineStr">
        <is>
          <t>189-2026:182637</t>
        </is>
      </c>
      <c r="E323" s="24" t="inlineStr">
        <is>
          <t>TENNIS</t>
        </is>
      </c>
      <c r="F323" s="24" t="inlineStr">
        <is>
          <t>Lois Boisson</t>
        </is>
      </c>
      <c r="G323" s="24" t="inlineStr">
        <is>
          <t>Emma Navarro</t>
        </is>
      </c>
      <c r="H323" s="24" t="inlineStr">
        <is>
          <t>moneyline</t>
        </is>
      </c>
      <c r="I323" s="24" t="inlineStr">
        <is>
          <t>home</t>
        </is>
      </c>
      <c r="J323" s="25" t="n"/>
      <c r="K323" s="24" t="inlineStr">
        <is>
          <t>polymarket_us</t>
        </is>
      </c>
      <c r="L323" s="26" t="n">
        <v>-270</v>
      </c>
      <c r="M323" s="27" t="n">
        <v>1.37037</v>
      </c>
      <c r="N323" s="28" t="n">
        <v>0.72973</v>
      </c>
      <c r="O323" s="28" t="n">
        <v>0.6544</v>
      </c>
      <c r="P323" s="28" t="n">
        <v>0.05</v>
      </c>
      <c r="Q323" s="28" t="n">
        <v>-0.07532999999999999</v>
      </c>
      <c r="R323" s="26" t="n">
        <v>0</v>
      </c>
      <c r="S323" s="29" t="n">
        <v>1</v>
      </c>
      <c r="T323" s="24" t="inlineStr">
        <is>
          <t>tennis-surface-elo-v1</t>
        </is>
      </c>
      <c r="U323" s="24" t="inlineStr">
        <is>
          <t>settled</t>
        </is>
      </c>
      <c r="V323" s="24" t="inlineStr">
        <is>
          <t>win</t>
        </is>
      </c>
      <c r="W323" s="26" t="n">
        <v>0</v>
      </c>
      <c r="X323" s="26" t="n">
        <v>1</v>
      </c>
      <c r="Y323" s="25" t="n"/>
      <c r="Z323" s="26" t="n">
        <v>-270</v>
      </c>
      <c r="AA323" s="28" t="n">
        <v>0.73</v>
      </c>
      <c r="AB323" s="28" t="n">
        <v>0.00027</v>
      </c>
      <c r="AC323" s="30" t="n">
        <v>0.3704</v>
      </c>
      <c r="AD323" s="24" t="inlineStr">
        <is>
          <t>2026-09-01T04:30:10.926909Z</t>
        </is>
      </c>
      <c r="AE323" s="31" t="inlineStr">
        <is>
          <t>Surface-blended Elo on Hard: Lois Boisson p=0.346 vs Emma Navarro. Executable ask 0.7300 (aec-wta-emmnav-loiboi-2026-08-30).</t>
        </is>
      </c>
      <c r="AF323" s="31" t="inlineStr">
        <is>
          <t>Surface-blended Elo model; singles only, WTA+ATP market coverage, not yet locked-holdout qualified -- promoted by explicit operator directive, not genuine walk-forward validation.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PAPER_CALL_LOW_EDGE</t>
        </is>
      </c>
      <c r="AP323" s="24" t="inlineStr">
        <is>
          <t>Lois Boisson</t>
        </is>
      </c>
      <c r="AQ323" s="24" t="inlineStr">
        <is>
          <t>Lois Boisson</t>
        </is>
      </c>
      <c r="AR323" s="24" t="inlineStr">
        <is>
          <t>Lois Boisson</t>
        </is>
      </c>
      <c r="AS323" s="24" t="inlineStr">
        <is>
          <t>Emma Navarro</t>
        </is>
      </c>
      <c r="AT323" s="24" t="inlineStr">
        <is>
          <t>Emma Navarro</t>
        </is>
      </c>
      <c r="AU323" s="24" t="inlineStr">
        <is>
          <t>Emma Navarro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d777da58446bc099047b154203518e2585ef1a678f613f2b430f2589f7bf5cff</t>
        </is>
      </c>
      <c r="BB323" s="24" t="inlineStr">
        <is>
          <t>surface_blended_elo</t>
        </is>
      </c>
      <c r="BC323" s="24" t="inlineStr">
        <is>
          <t>tennis-surface-elo-v1</t>
        </is>
      </c>
      <c r="BD323" s="24" t="inlineStr">
        <is>
          <t>d777da58446bc099047b154203518e2585ef1a678f613f2b430f2589f7bf5cff</t>
        </is>
      </c>
      <c r="BE323" s="24" t="inlineStr">
        <is>
          <t>tennis-surface-elo-v1</t>
        </is>
      </c>
      <c r="BF323" s="24" t="inlineStr">
        <is>
          <t>1</t>
        </is>
      </c>
      <c r="BG323" s="24" t="inlineStr">
        <is>
          <t>d777da58446bc099047b154203518e2585ef1a678f613f2b430f2589f7bf5cff</t>
        </is>
      </c>
      <c r="BH323" s="24" t="inlineStr">
        <is>
          <t>2026-08-30T16:04:55.712670Z</t>
        </is>
      </c>
      <c r="BI323" s="24" t="inlineStr">
        <is>
          <t>["same_event","same_team_same_day","same_league_same_day"]</t>
        </is>
      </c>
      <c r="BJ323" s="25" t="n"/>
      <c r="BK323" s="26" t="n">
        <v>-270</v>
      </c>
      <c r="BL323" s="27" t="n">
        <v>1.37037</v>
      </c>
      <c r="BM323" s="28" t="n">
        <v>0.72973</v>
      </c>
      <c r="BN323" s="28" t="n"/>
      <c r="BO323" s="28" t="n"/>
      <c r="BP323" s="25" t="n"/>
      <c r="BQ323" s="27" t="n">
        <v>1.37037</v>
      </c>
      <c r="BR323" s="28" t="n">
        <v>0.73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0.37037</v>
      </c>
      <c r="BZ323" s="24" t="inlineStr">
        <is>
          <t>2026-09-01T04:30:10.926909Z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False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inlineStr">
        <is>
          <t>54793ca30cb6d60245dfd22832cff4fdc40ac654066b3b63b7bfd2e917881e7b</t>
        </is>
      </c>
      <c r="DE323" s="24" t="inlineStr">
        <is>
          <t>/Users/vincentc9002/model-prediction/data/odds/tennis/2026-08-30/polymarket_snapshots.jsonl</t>
        </is>
      </c>
      <c r="DF323" s="24" t="inlineStr">
        <is>
          <t>547288:2026-08-30T16:04:55.712670Z</t>
        </is>
      </c>
      <c r="DG323" s="24" t="n"/>
      <c r="DH323" s="24" t="n"/>
      <c r="DI323" s="24" t="n"/>
      <c r="DJ323" s="24" t="inlineStr">
        <is>
          <t>0.72973</t>
        </is>
      </c>
      <c r="DK323" s="24" t="n"/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909edb9008dd4121</t>
        </is>
      </c>
      <c r="B324" s="24" t="inlineStr">
        <is>
          <t>2026-08-30T16:06:30.429692Z</t>
        </is>
      </c>
      <c r="C324" s="24" t="inlineStr">
        <is>
          <t>2026-08-30T23:00Z</t>
        </is>
      </c>
      <c r="D324" s="24" t="inlineStr">
        <is>
          <t>189-2026:182629</t>
        </is>
      </c>
      <c r="E324" s="24" t="inlineStr">
        <is>
          <t>TENNIS</t>
        </is>
      </c>
      <c r="F324" s="24" t="inlineStr">
        <is>
          <t>Solana Sierra</t>
        </is>
      </c>
      <c r="G324" s="24" t="inlineStr">
        <is>
          <t>Elina Svitolina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-1150</v>
      </c>
      <c r="M324" s="27" t="n">
        <v>1.086957</v>
      </c>
      <c r="N324" s="28" t="n">
        <v>0.92</v>
      </c>
      <c r="O324" s="28" t="n">
        <v>0.8557</v>
      </c>
      <c r="P324" s="28" t="n">
        <v>0.05</v>
      </c>
      <c r="Q324" s="28" t="n">
        <v>-0.0643</v>
      </c>
      <c r="R324" s="26" t="n">
        <v>0</v>
      </c>
      <c r="S324" s="29" t="n">
        <v>1</v>
      </c>
      <c r="T324" s="24" t="inlineStr">
        <is>
          <t>tennis-surface-elo-v1</t>
        </is>
      </c>
      <c r="U324" s="24" t="inlineStr">
        <is>
          <t>settled</t>
        </is>
      </c>
      <c r="V324" s="24" t="inlineStr">
        <is>
          <t>win</t>
        </is>
      </c>
      <c r="W324" s="26" t="n">
        <v>0</v>
      </c>
      <c r="X324" s="26" t="n">
        <v>1</v>
      </c>
      <c r="Y324" s="25" t="n"/>
      <c r="Z324" s="26" t="n">
        <v>-1150</v>
      </c>
      <c r="AA324" s="28" t="n">
        <v>0.92</v>
      </c>
      <c r="AB324" s="28" t="n">
        <v>0</v>
      </c>
      <c r="AC324" s="30" t="n">
        <v>0.08699999999999999</v>
      </c>
      <c r="AD324" s="24" t="inlineStr">
        <is>
          <t>2026-08-31T04:33:04.383995Z</t>
        </is>
      </c>
      <c r="AE324" s="31" t="inlineStr">
        <is>
          <t>Surface-blended Elo on Hard: Solana Sierra p=0.144 vs Elina Svitolina. Executable ask 0.9200 (aec-wta-elisvi-solsie-2026-08-30).</t>
        </is>
      </c>
      <c r="AF324" s="31" t="inlineStr">
        <is>
          <t>Surface-blended Elo model; singles only, WTA+ATP market coverage, not yet locked-holdout qualified -- promoted by explicit operator directive, not genuine walk-forward validation.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Solana Sierra</t>
        </is>
      </c>
      <c r="AQ324" s="24" t="inlineStr">
        <is>
          <t>Solana Sierra</t>
        </is>
      </c>
      <c r="AR324" s="24" t="inlineStr">
        <is>
          <t>Solana Sierra</t>
        </is>
      </c>
      <c r="AS324" s="24" t="inlineStr">
        <is>
          <t>Elina Svitolina</t>
        </is>
      </c>
      <c r="AT324" s="24" t="inlineStr">
        <is>
          <t>Elina Svitolina</t>
        </is>
      </c>
      <c r="AU324" s="24" t="inlineStr">
        <is>
          <t>Elina Svitolina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d777da58446bc099047b154203518e2585ef1a678f613f2b430f2589f7bf5cff</t>
        </is>
      </c>
      <c r="BB324" s="24" t="inlineStr">
        <is>
          <t>surface_blended_elo</t>
        </is>
      </c>
      <c r="BC324" s="24" t="inlineStr">
        <is>
          <t>tennis-surface-elo-v1</t>
        </is>
      </c>
      <c r="BD324" s="24" t="inlineStr">
        <is>
          <t>d777da58446bc099047b154203518e2585ef1a678f613f2b430f2589f7bf5cff</t>
        </is>
      </c>
      <c r="BE324" s="24" t="inlineStr">
        <is>
          <t>tennis-surface-elo-v1</t>
        </is>
      </c>
      <c r="BF324" s="24" t="inlineStr">
        <is>
          <t>1</t>
        </is>
      </c>
      <c r="BG324" s="24" t="inlineStr">
        <is>
          <t>d777da58446bc099047b154203518e2585ef1a678f613f2b430f2589f7bf5cff</t>
        </is>
      </c>
      <c r="BH324" s="24" t="inlineStr">
        <is>
          <t>2026-08-30T16:04:55.740081Z</t>
        </is>
      </c>
      <c r="BI324" s="24" t="inlineStr">
        <is>
          <t>["same_event","same_team_same_day","same_league_same_day"]</t>
        </is>
      </c>
      <c r="BJ324" s="25" t="n"/>
      <c r="BK324" s="26" t="n">
        <v>-1150</v>
      </c>
      <c r="BL324" s="27" t="n">
        <v>1.086957</v>
      </c>
      <c r="BM324" s="28" t="n">
        <v>0.92</v>
      </c>
      <c r="BN324" s="28" t="n"/>
      <c r="BO324" s="28" t="n"/>
      <c r="BP324" s="25" t="n"/>
      <c r="BQ324" s="27" t="n">
        <v>1.086957</v>
      </c>
      <c r="BR324" s="28" t="n">
        <v>0.92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0.08695700000000001</v>
      </c>
      <c r="BZ324" s="24" t="inlineStr">
        <is>
          <t>2026-08-31T04:33:04.383995Z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False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inlineStr">
        <is>
          <t>4b90192aa9e0e06bb51ad4112a24e45cbf66a850e27cc545f5126b89f5316935</t>
        </is>
      </c>
      <c r="DE324" s="24" t="inlineStr">
        <is>
          <t>/Users/vincentc9002/model-prediction/data/odds/tennis/2026-08-30/polymarket_snapshots.jsonl</t>
        </is>
      </c>
      <c r="DF324" s="24" t="inlineStr">
        <is>
          <t>547280:2026-08-30T16:04:55.740081Z</t>
        </is>
      </c>
      <c r="DG324" s="24" t="n"/>
      <c r="DH324" s="24" t="n"/>
      <c r="DI324" s="24" t="n"/>
      <c r="DJ324" s="24" t="inlineStr">
        <is>
          <t>0.92</t>
        </is>
      </c>
      <c r="DK324" s="24" t="n"/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53608d41ffe249a6</t>
        </is>
      </c>
      <c r="B325" s="24" t="inlineStr">
        <is>
          <t>2026-08-30T16:06:30.429692Z</t>
        </is>
      </c>
      <c r="C325" s="24" t="inlineStr">
        <is>
          <t>2026-08-31T01:00Z</t>
        </is>
      </c>
      <c r="D325" s="24" t="inlineStr">
        <is>
          <t>189-2026:182618</t>
        </is>
      </c>
      <c r="E325" s="24" t="inlineStr">
        <is>
          <t>TENNIS</t>
        </is>
      </c>
      <c r="F325" s="24" t="inlineStr">
        <is>
          <t>Sofia Kenin</t>
        </is>
      </c>
      <c r="G325" s="24" t="inlineStr">
        <is>
          <t>Venus Williams</t>
        </is>
      </c>
      <c r="H325" s="24" t="inlineStr">
        <is>
          <t>moneyline</t>
        </is>
      </c>
      <c r="I325" s="24" t="inlineStr">
        <is>
          <t>away</t>
        </is>
      </c>
      <c r="J325" s="25" t="n"/>
      <c r="K325" s="24" t="inlineStr">
        <is>
          <t>polymarket_us</t>
        </is>
      </c>
      <c r="L325" s="26" t="n">
        <v>-669</v>
      </c>
      <c r="M325" s="27" t="n">
        <v>1.149477</v>
      </c>
      <c r="N325" s="28" t="n">
        <v>0.869961</v>
      </c>
      <c r="O325" s="28" t="n">
        <v>0.6857</v>
      </c>
      <c r="P325" s="28" t="n">
        <v>0.05</v>
      </c>
      <c r="Q325" s="28" t="n">
        <v>-0.184261</v>
      </c>
      <c r="R325" s="26" t="n">
        <v>0</v>
      </c>
      <c r="S325" s="29" t="n">
        <v>1</v>
      </c>
      <c r="T325" s="24" t="inlineStr">
        <is>
          <t>tennis-surface-elo-v1</t>
        </is>
      </c>
      <c r="U325" s="24" t="inlineStr">
        <is>
          <t>settled</t>
        </is>
      </c>
      <c r="V325" s="24" t="inlineStr">
        <is>
          <t>win</t>
        </is>
      </c>
      <c r="W325" s="26" t="n">
        <v>1</v>
      </c>
      <c r="X325" s="26" t="n">
        <v>0</v>
      </c>
      <c r="Y325" s="25" t="n"/>
      <c r="Z325" s="26" t="n">
        <v>-669</v>
      </c>
      <c r="AA325" s="28" t="n">
        <v>0.87</v>
      </c>
      <c r="AB325" s="28" t="n">
        <v>3.9e-05</v>
      </c>
      <c r="AC325" s="30" t="n">
        <v>0.1495</v>
      </c>
      <c r="AD325" s="24" t="inlineStr">
        <is>
          <t>2026-08-31T16:00:07.419233Z</t>
        </is>
      </c>
      <c r="AE325" s="31" t="inlineStr">
        <is>
          <t>Surface-blended Elo on Hard: Sofia Kenin p=0.686 vs Venus Williams. Executable ask 0.8700 (aec-wta-venwil-sofken-2026-08-30).</t>
        </is>
      </c>
      <c r="AF325" s="31" t="inlineStr">
        <is>
          <t>Surface-blended Elo model; singles only, WTA+ATP market coverage, not yet locked-holdout qualified -- promoted by explicit operator directive, not genuine walk-forward validation.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Sofia Kenin</t>
        </is>
      </c>
      <c r="AQ325" s="24" t="inlineStr">
        <is>
          <t>Sofia Kenin</t>
        </is>
      </c>
      <c r="AR325" s="24" t="inlineStr">
        <is>
          <t>Sofia Kenin</t>
        </is>
      </c>
      <c r="AS325" s="24" t="inlineStr">
        <is>
          <t>Venus Williams</t>
        </is>
      </c>
      <c r="AT325" s="24" t="inlineStr">
        <is>
          <t>Venus Williams</t>
        </is>
      </c>
      <c r="AU325" s="24" t="inlineStr">
        <is>
          <t>Venus Williams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d777da58446bc099047b154203518e2585ef1a678f613f2b430f2589f7bf5cff</t>
        </is>
      </c>
      <c r="BB325" s="24" t="inlineStr">
        <is>
          <t>surface_blended_elo</t>
        </is>
      </c>
      <c r="BC325" s="24" t="inlineStr">
        <is>
          <t>tennis-surface-elo-v1</t>
        </is>
      </c>
      <c r="BD325" s="24" t="inlineStr">
        <is>
          <t>d777da58446bc099047b154203518e2585ef1a678f613f2b430f2589f7bf5cff</t>
        </is>
      </c>
      <c r="BE325" s="24" t="inlineStr">
        <is>
          <t>tennis-surface-elo-v1</t>
        </is>
      </c>
      <c r="BF325" s="24" t="inlineStr">
        <is>
          <t>1</t>
        </is>
      </c>
      <c r="BG325" s="24" t="inlineStr">
        <is>
          <t>d777da58446bc099047b154203518e2585ef1a678f613f2b430f2589f7bf5cff</t>
        </is>
      </c>
      <c r="BH325" s="24" t="inlineStr">
        <is>
          <t>2026-08-30T16:04:55.727045Z</t>
        </is>
      </c>
      <c r="BI325" s="24" t="inlineStr">
        <is>
          <t>["same_event","same_team_same_day","same_league_same_day"]</t>
        </is>
      </c>
      <c r="BJ325" s="25" t="n"/>
      <c r="BK325" s="26" t="n">
        <v>-669</v>
      </c>
      <c r="BL325" s="27" t="n">
        <v>1.149477</v>
      </c>
      <c r="BM325" s="28" t="n">
        <v>0.869961</v>
      </c>
      <c r="BN325" s="28" t="n"/>
      <c r="BO325" s="28" t="n"/>
      <c r="BP325" s="25" t="n"/>
      <c r="BQ325" s="27" t="n">
        <v>1.149477</v>
      </c>
      <c r="BR325" s="28" t="n">
        <v>0.87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0.149477</v>
      </c>
      <c r="BZ325" s="24" t="inlineStr">
        <is>
          <t>2026-08-31T16:00:07.419233Z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inlineStr">
        <is>
          <t>ae4004fc1fe5d6d8fc74fad3e21232fb15875c48250a0ad02590f1f455d35535</t>
        </is>
      </c>
      <c r="DE325" s="24" t="inlineStr">
        <is>
          <t>/Users/vincentc9002/model-prediction/data/odds/tennis/2026-08-30/polymarket_snapshots.jsonl</t>
        </is>
      </c>
      <c r="DF325" s="24" t="inlineStr">
        <is>
          <t>547270:2026-08-30T16:04:55.727045Z</t>
        </is>
      </c>
      <c r="DG325" s="24" t="n"/>
      <c r="DH325" s="24" t="n"/>
      <c r="DI325" s="24" t="n"/>
      <c r="DJ325" s="24" t="inlineStr">
        <is>
          <t>0.869961</t>
        </is>
      </c>
      <c r="DK325" s="24" t="n"/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725c899f212b4167</t>
        </is>
      </c>
      <c r="B326" s="24" t="inlineStr">
        <is>
          <t>2026-08-30T16:06:30.429692Z</t>
        </is>
      </c>
      <c r="C326" s="24" t="inlineStr">
        <is>
          <t>2026-08-30T16:30Z</t>
        </is>
      </c>
      <c r="D326" s="24" t="inlineStr">
        <is>
          <t>189-2026:182667</t>
        </is>
      </c>
      <c r="E326" s="24" t="inlineStr">
        <is>
          <t>TENNIS</t>
        </is>
      </c>
      <c r="F326" s="24" t="inlineStr">
        <is>
          <t>Tommy Paul</t>
        </is>
      </c>
      <c r="G326" s="24" t="inlineStr">
        <is>
          <t>Chak Lam Coleman Wong</t>
        </is>
      </c>
      <c r="H326" s="24" t="inlineStr">
        <is>
          <t>moneyline</t>
        </is>
      </c>
      <c r="I326" s="24" t="inlineStr">
        <is>
          <t>away</t>
        </is>
      </c>
      <c r="J326" s="25" t="n"/>
      <c r="K326" s="24" t="inlineStr">
        <is>
          <t>polymarket_us</t>
        </is>
      </c>
      <c r="L326" s="26" t="n">
        <v>-525</v>
      </c>
      <c r="M326" s="27" t="n">
        <v>1.190476</v>
      </c>
      <c r="N326" s="28" t="n">
        <v>0.84</v>
      </c>
      <c r="O326" s="28" t="n">
        <v>0.785</v>
      </c>
      <c r="P326" s="28" t="n">
        <v>0.05</v>
      </c>
      <c r="Q326" s="28" t="n">
        <v>-0.055</v>
      </c>
      <c r="R326" s="26" t="n">
        <v>0</v>
      </c>
      <c r="S326" s="29" t="n">
        <v>1</v>
      </c>
      <c r="T326" s="24" t="inlineStr">
        <is>
          <t>tennis-surface-elo-v1</t>
        </is>
      </c>
      <c r="U326" s="24" t="inlineStr">
        <is>
          <t>settled</t>
        </is>
      </c>
      <c r="V326" s="24" t="inlineStr">
        <is>
          <t>win</t>
        </is>
      </c>
      <c r="W326" s="26" t="n">
        <v>1</v>
      </c>
      <c r="X326" s="26" t="n">
        <v>0</v>
      </c>
      <c r="Y326" s="25" t="n"/>
      <c r="Z326" s="26" t="n">
        <v>-525</v>
      </c>
      <c r="AA326" s="28" t="n">
        <v>0.84</v>
      </c>
      <c r="AB326" s="28" t="n">
        <v>0</v>
      </c>
      <c r="AC326" s="30" t="n">
        <v>0.1905</v>
      </c>
      <c r="AD326" s="24" t="inlineStr">
        <is>
          <t>2026-08-31T04:33:06.134251Z</t>
        </is>
      </c>
      <c r="AE326" s="31" t="inlineStr">
        <is>
          <t>Surface-blended Elo on Hard: Tommy Paul p=0.785 vs Chak Lam Coleman Wong. Executable ask 0.8400 (aec-atp-colwon-tompau-2026-08-30).</t>
        </is>
      </c>
      <c r="AF326" s="31" t="inlineStr">
        <is>
          <t>Surface-blended Elo model; singles only, WTA+ATP market coverage, not yet locked-holdout qualified -- promoted by explicit operator directive, not genuine walk-forward validation.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Tommy Paul</t>
        </is>
      </c>
      <c r="AQ326" s="24" t="inlineStr">
        <is>
          <t>Tommy Paul</t>
        </is>
      </c>
      <c r="AR326" s="24" t="inlineStr">
        <is>
          <t>Tommy Paul</t>
        </is>
      </c>
      <c r="AS326" s="24" t="inlineStr">
        <is>
          <t>Chak Lam Coleman Wong</t>
        </is>
      </c>
      <c r="AT326" s="24" t="inlineStr">
        <is>
          <t>Chak Lam Coleman Wong</t>
        </is>
      </c>
      <c r="AU326" s="24" t="inlineStr">
        <is>
          <t>Chak Lam Coleman Wong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d777da58446bc099047b154203518e2585ef1a678f613f2b430f2589f7bf5cff</t>
        </is>
      </c>
      <c r="BB326" s="24" t="inlineStr">
        <is>
          <t>surface_blended_elo</t>
        </is>
      </c>
      <c r="BC326" s="24" t="inlineStr">
        <is>
          <t>tennis-surface-elo-v1</t>
        </is>
      </c>
      <c r="BD326" s="24" t="inlineStr">
        <is>
          <t>d777da58446bc099047b154203518e2585ef1a678f613f2b430f2589f7bf5cff</t>
        </is>
      </c>
      <c r="BE326" s="24" t="inlineStr">
        <is>
          <t>tennis-surface-elo-v1</t>
        </is>
      </c>
      <c r="BF326" s="24" t="inlineStr">
        <is>
          <t>1</t>
        </is>
      </c>
      <c r="BG326" s="24" t="inlineStr">
        <is>
          <t>d777da58446bc099047b154203518e2585ef1a678f613f2b430f2589f7bf5cff</t>
        </is>
      </c>
      <c r="BH326" s="24" t="inlineStr">
        <is>
          <t>2026-08-30T16:04:56.290924Z</t>
        </is>
      </c>
      <c r="BI326" s="24" t="inlineStr">
        <is>
          <t>["same_event","same_team_same_day","same_league_same_day"]</t>
        </is>
      </c>
      <c r="BJ326" s="25" t="n"/>
      <c r="BK326" s="26" t="n">
        <v>-525</v>
      </c>
      <c r="BL326" s="27" t="n">
        <v>1.190476</v>
      </c>
      <c r="BM326" s="28" t="n">
        <v>0.84</v>
      </c>
      <c r="BN326" s="28" t="n"/>
      <c r="BO326" s="28" t="n"/>
      <c r="BP326" s="25" t="n"/>
      <c r="BQ326" s="27" t="n">
        <v>1.190476</v>
      </c>
      <c r="BR326" s="28" t="n">
        <v>0.84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0.190476</v>
      </c>
      <c r="BZ326" s="24" t="inlineStr">
        <is>
          <t>2026-08-31T04:33:06.134251Z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inlineStr">
        <is>
          <t>c211d3962da64fd9195a990701a87b07cade8fd68eb7ea016db8bb5cc245b30e</t>
        </is>
      </c>
      <c r="DE326" s="24" t="inlineStr">
        <is>
          <t>/Users/vincentc9002/model-prediction/data/odds/tennis/2026-08-30/polymarket_snapshots.jsonl</t>
        </is>
      </c>
      <c r="DF326" s="24" t="inlineStr">
        <is>
          <t>550523:2026-08-30T16:04:56.290924Z</t>
        </is>
      </c>
      <c r="DG326" s="24" t="n"/>
      <c r="DH326" s="24" t="n"/>
      <c r="DI326" s="24" t="n"/>
      <c r="DJ326" s="24" t="inlineStr">
        <is>
          <t>0.84</t>
        </is>
      </c>
      <c r="DK326" s="24" t="n"/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fef55c606b2041ad</t>
        </is>
      </c>
      <c r="B327" s="24" t="inlineStr">
        <is>
          <t>2026-08-30T16:06:30.429692Z</t>
        </is>
      </c>
      <c r="C327" s="24" t="inlineStr">
        <is>
          <t>2026-08-30T16:30Z</t>
        </is>
      </c>
      <c r="D327" s="24" t="inlineStr">
        <is>
          <t>189-2026:182678</t>
        </is>
      </c>
      <c r="E327" s="24" t="inlineStr">
        <is>
          <t>TENNIS</t>
        </is>
      </c>
      <c r="F327" s="24" t="inlineStr">
        <is>
          <t>Cameron Norrie</t>
        </is>
      </c>
      <c r="G327" s="24" t="inlineStr">
        <is>
          <t>Luca Van Assche</t>
        </is>
      </c>
      <c r="H327" s="24" t="inlineStr">
        <is>
          <t>moneyline</t>
        </is>
      </c>
      <c r="I327" s="24" t="inlineStr">
        <is>
          <t>away</t>
        </is>
      </c>
      <c r="J327" s="25" t="n"/>
      <c r="K327" s="24" t="inlineStr">
        <is>
          <t>polymarket_us</t>
        </is>
      </c>
      <c r="L327" s="26" t="n">
        <v>-203</v>
      </c>
      <c r="M327" s="27" t="n">
        <v>1.492611</v>
      </c>
      <c r="N327" s="28" t="n">
        <v>0.669967</v>
      </c>
      <c r="O327" s="28" t="n">
        <v>0.7139</v>
      </c>
      <c r="P327" s="28" t="n">
        <v>0.05</v>
      </c>
      <c r="Q327" s="28" t="n">
        <v>0.043933</v>
      </c>
      <c r="R327" s="26" t="n">
        <v>42</v>
      </c>
      <c r="S327" s="29" t="n">
        <v>1</v>
      </c>
      <c r="T327" s="24" t="inlineStr">
        <is>
          <t>tennis-surface-elo-v1</t>
        </is>
      </c>
      <c r="U327" s="24" t="inlineStr">
        <is>
          <t>settled</t>
        </is>
      </c>
      <c r="V327" s="24" t="inlineStr">
        <is>
          <t>loss</t>
        </is>
      </c>
      <c r="W327" s="26" t="n">
        <v>0</v>
      </c>
      <c r="X327" s="26" t="n">
        <v>1</v>
      </c>
      <c r="Y327" s="25" t="n"/>
      <c r="Z327" s="26" t="n">
        <v>-203</v>
      </c>
      <c r="AA327" s="28" t="n">
        <v>0.67</v>
      </c>
      <c r="AB327" s="28" t="n">
        <v>3.3e-05</v>
      </c>
      <c r="AC327" s="30" t="n">
        <v>-1</v>
      </c>
      <c r="AD327" s="24" t="inlineStr">
        <is>
          <t>2026-08-31T04:33:07.951384Z</t>
        </is>
      </c>
      <c r="AE327" s="31" t="inlineStr">
        <is>
          <t>Surface-blended Elo on Hard: Cameron Norrie p=0.714 vs Luca Van Assche. Executable ask 0.6700 (aec-atp-lucass-camnor-2026-08-30).</t>
        </is>
      </c>
      <c r="AF327" s="31" t="inlineStr">
        <is>
          <t>Surface-blended Elo model; singles only, WTA+ATP market coverage, not yet locked-holdout qualified -- promoted by explicit operator directive, not genuine walk-forward validation.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PAPER_CALL_LOW_EDGE</t>
        </is>
      </c>
      <c r="AP327" s="24" t="inlineStr">
        <is>
          <t>Cameron Norrie</t>
        </is>
      </c>
      <c r="AQ327" s="24" t="inlineStr">
        <is>
          <t>Cameron Norrie</t>
        </is>
      </c>
      <c r="AR327" s="24" t="inlineStr">
        <is>
          <t>Cameron Norrie</t>
        </is>
      </c>
      <c r="AS327" s="24" t="inlineStr">
        <is>
          <t>Luca Van Assche</t>
        </is>
      </c>
      <c r="AT327" s="24" t="inlineStr">
        <is>
          <t>Luca Van Assche</t>
        </is>
      </c>
      <c r="AU327" s="24" t="inlineStr">
        <is>
          <t>Luca Van Assche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d777da58446bc099047b154203518e2585ef1a678f613f2b430f2589f7bf5cff</t>
        </is>
      </c>
      <c r="BB327" s="24" t="inlineStr">
        <is>
          <t>surface_blended_elo</t>
        </is>
      </c>
      <c r="BC327" s="24" t="inlineStr">
        <is>
          <t>tennis-surface-elo-v1</t>
        </is>
      </c>
      <c r="BD327" s="24" t="inlineStr">
        <is>
          <t>d777da58446bc099047b154203518e2585ef1a678f613f2b430f2589f7bf5cff</t>
        </is>
      </c>
      <c r="BE327" s="24" t="inlineStr">
        <is>
          <t>tennis-surface-elo-v1</t>
        </is>
      </c>
      <c r="BF327" s="24" t="inlineStr">
        <is>
          <t>1</t>
        </is>
      </c>
      <c r="BG327" s="24" t="inlineStr">
        <is>
          <t>d777da58446bc099047b154203518e2585ef1a678f613f2b430f2589f7bf5cff</t>
        </is>
      </c>
      <c r="BH327" s="24" t="inlineStr">
        <is>
          <t>2026-08-30T16:04:56.394413Z</t>
        </is>
      </c>
      <c r="BI327" s="24" t="inlineStr">
        <is>
          <t>["same_event","same_team_same_day","same_league_same_day"]</t>
        </is>
      </c>
      <c r="BJ327" s="25" t="n"/>
      <c r="BK327" s="26" t="n">
        <v>-203</v>
      </c>
      <c r="BL327" s="27" t="n">
        <v>1.492611</v>
      </c>
      <c r="BM327" s="28" t="n">
        <v>0.669967</v>
      </c>
      <c r="BN327" s="28" t="n"/>
      <c r="BO327" s="28" t="n"/>
      <c r="BP327" s="25" t="n"/>
      <c r="BQ327" s="27" t="n">
        <v>1.492611</v>
      </c>
      <c r="BR327" s="28" t="n">
        <v>0.67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-1</v>
      </c>
      <c r="BZ327" s="24" t="inlineStr">
        <is>
          <t>2026-08-31T04:33:07.951384Z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inlineStr">
        <is>
          <t>a9dbc06b562bb1a745811018b565c68209502cfaa2e656c5b08c0e037cf33e99</t>
        </is>
      </c>
      <c r="DE327" s="24" t="inlineStr">
        <is>
          <t>/Users/vincentc9002/model-prediction/data/odds/tennis/2026-08-30/polymarket_snapshots.jsonl</t>
        </is>
      </c>
      <c r="DF327" s="24" t="inlineStr">
        <is>
          <t>547327:2026-08-30T16:04:56.394413Z</t>
        </is>
      </c>
      <c r="DG327" s="24" t="n"/>
      <c r="DH327" s="24" t="n"/>
      <c r="DI327" s="24" t="n"/>
      <c r="DJ327" s="24" t="inlineStr">
        <is>
          <t>0.669967</t>
        </is>
      </c>
      <c r="DK327" s="24" t="n"/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b6ccc92041fb454e</t>
        </is>
      </c>
      <c r="B328" s="24" t="inlineStr">
        <is>
          <t>2026-08-30T16:06:30.429692Z</t>
        </is>
      </c>
      <c r="C328" s="24" t="inlineStr">
        <is>
          <t>2026-08-30T17:00Z</t>
        </is>
      </c>
      <c r="D328" s="24" t="inlineStr">
        <is>
          <t>189-2026:182654</t>
        </is>
      </c>
      <c r="E328" s="24" t="inlineStr">
        <is>
          <t>TENNIS</t>
        </is>
      </c>
      <c r="F328" s="24" t="inlineStr">
        <is>
          <t>Jack Kennedy</t>
        </is>
      </c>
      <c r="G328" s="24" t="inlineStr">
        <is>
          <t>Lloyd Harris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polymarket_us</t>
        </is>
      </c>
      <c r="L328" s="26" t="n">
        <v>-567</v>
      </c>
      <c r="M328" s="27" t="n">
        <v>1.176367</v>
      </c>
      <c r="N328" s="28" t="n">
        <v>0.850075</v>
      </c>
      <c r="O328" s="28" t="n">
        <v>0.6683</v>
      </c>
      <c r="P328" s="28" t="n">
        <v>0.05</v>
      </c>
      <c r="Q328" s="28" t="n">
        <v>-0.181775</v>
      </c>
      <c r="R328" s="26" t="n">
        <v>0</v>
      </c>
      <c r="S328" s="29" t="n">
        <v>1</v>
      </c>
      <c r="T328" s="24" t="inlineStr">
        <is>
          <t>tennis-surface-elo-v1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1</v>
      </c>
      <c r="Y328" s="25" t="n"/>
      <c r="Z328" s="26" t="n">
        <v>-567</v>
      </c>
      <c r="AA328" s="28" t="n">
        <v>0.85</v>
      </c>
      <c r="AB328" s="28" t="n">
        <v>-7.499999999999999e-05</v>
      </c>
      <c r="AC328" s="30" t="n">
        <v>0.1764</v>
      </c>
      <c r="AD328" s="24" t="inlineStr">
        <is>
          <t>2026-08-31T04:33:09.760655Z</t>
        </is>
      </c>
      <c r="AE328" s="31" t="inlineStr">
        <is>
          <t>Surface-blended Elo on Hard: Jack Kennedy p=0.332 vs Lloyd Harris. Executable ask 0.8500 (aec-atp-llohar-jacken-2026-08-30).</t>
        </is>
      </c>
      <c r="AF328" s="31" t="inlineStr">
        <is>
          <t>Surface-blended Elo model; singles only, WTA+ATP market coverage, not yet locked-holdout qualified -- promoted by explicit operator directive, not genuine walk-forward validation.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Jack Kennedy</t>
        </is>
      </c>
      <c r="AQ328" s="24" t="inlineStr">
        <is>
          <t>Jack Kennedy</t>
        </is>
      </c>
      <c r="AR328" s="24" t="inlineStr">
        <is>
          <t>Jack Kennedy</t>
        </is>
      </c>
      <c r="AS328" s="24" t="inlineStr">
        <is>
          <t>Lloyd Harris</t>
        </is>
      </c>
      <c r="AT328" s="24" t="inlineStr">
        <is>
          <t>Lloyd Harris</t>
        </is>
      </c>
      <c r="AU328" s="24" t="inlineStr">
        <is>
          <t>Lloyd Harris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d777da58446bc099047b154203518e2585ef1a678f613f2b430f2589f7bf5cff</t>
        </is>
      </c>
      <c r="BB328" s="24" t="inlineStr">
        <is>
          <t>surface_blended_elo</t>
        </is>
      </c>
      <c r="BC328" s="24" t="inlineStr">
        <is>
          <t>tennis-surface-elo-v1</t>
        </is>
      </c>
      <c r="BD328" s="24" t="inlineStr">
        <is>
          <t>d777da58446bc099047b154203518e2585ef1a678f613f2b430f2589f7bf5cff</t>
        </is>
      </c>
      <c r="BE328" s="24" t="inlineStr">
        <is>
          <t>tennis-surface-elo-v1</t>
        </is>
      </c>
      <c r="BF328" s="24" t="inlineStr">
        <is>
          <t>1</t>
        </is>
      </c>
      <c r="BG328" s="24" t="inlineStr">
        <is>
          <t>d777da58446bc099047b154203518e2585ef1a678f613f2b430f2589f7bf5cff</t>
        </is>
      </c>
      <c r="BH328" s="24" t="inlineStr">
        <is>
          <t>2026-08-30T16:04:56.667892Z</t>
        </is>
      </c>
      <c r="BI328" s="24" t="inlineStr">
        <is>
          <t>["same_event","same_team_same_day","same_league_same_day"]</t>
        </is>
      </c>
      <c r="BJ328" s="25" t="n"/>
      <c r="BK328" s="26" t="n">
        <v>-567</v>
      </c>
      <c r="BL328" s="27" t="n">
        <v>1.176367</v>
      </c>
      <c r="BM328" s="28" t="n">
        <v>0.850075</v>
      </c>
      <c r="BN328" s="28" t="n"/>
      <c r="BO328" s="28" t="n"/>
      <c r="BP328" s="25" t="n"/>
      <c r="BQ328" s="27" t="n">
        <v>1.176367</v>
      </c>
      <c r="BR328" s="28" t="n">
        <v>0.85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0.176367</v>
      </c>
      <c r="BZ328" s="24" t="inlineStr">
        <is>
          <t>2026-08-31T04:33:09.760655Z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inlineStr">
        <is>
          <t>cea6f31495758a56b64a3893bfba9ada01a55598230d9bbb9ff2fd22887a4d73</t>
        </is>
      </c>
      <c r="DE328" s="24" t="inlineStr">
        <is>
          <t>/Users/vincentc9002/model-prediction/data/odds/tennis/2026-08-30/polymarket_snapshots.jsonl</t>
        </is>
      </c>
      <c r="DF328" s="24" t="inlineStr">
        <is>
          <t>550521:2026-08-30T16:04:56.667892Z</t>
        </is>
      </c>
      <c r="DG328" s="24" t="n"/>
      <c r="DH328" s="24" t="n"/>
      <c r="DI328" s="24" t="n"/>
      <c r="DJ328" s="24" t="inlineStr">
        <is>
          <t>0.850075</t>
        </is>
      </c>
      <c r="DK328" s="24" t="n"/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00d60d0992d44e50</t>
        </is>
      </c>
      <c r="B329" s="24" t="inlineStr">
        <is>
          <t>2026-08-30T16:06:30.429692Z</t>
        </is>
      </c>
      <c r="C329" s="24" t="inlineStr">
        <is>
          <t>2026-08-30T17:00Z</t>
        </is>
      </c>
      <c r="D329" s="24" t="inlineStr">
        <is>
          <t>189-2026:182657</t>
        </is>
      </c>
      <c r="E329" s="24" t="inlineStr">
        <is>
          <t>TENNIS</t>
        </is>
      </c>
      <c r="F329" s="24" t="inlineStr">
        <is>
          <t>Tomas Machac</t>
        </is>
      </c>
      <c r="G329" s="24" t="inlineStr">
        <is>
          <t>Toby Samuel</t>
        </is>
      </c>
      <c r="H329" s="24" t="inlineStr">
        <is>
          <t>moneyline</t>
        </is>
      </c>
      <c r="I329" s="24" t="inlineStr">
        <is>
          <t>away</t>
        </is>
      </c>
      <c r="J329" s="25" t="n"/>
      <c r="K329" s="24" t="inlineStr">
        <is>
          <t>polymarket_us</t>
        </is>
      </c>
      <c r="L329" s="26" t="n">
        <v>133</v>
      </c>
      <c r="M329" s="27" t="n">
        <v>2.33</v>
      </c>
      <c r="N329" s="28" t="n">
        <v>0.429185</v>
      </c>
      <c r="O329" s="28" t="n">
        <v>0.5571</v>
      </c>
      <c r="P329" s="28" t="n">
        <v>0.05</v>
      </c>
      <c r="Q329" s="28" t="n">
        <v>0.127915</v>
      </c>
      <c r="R329" s="26" t="n">
        <v>84</v>
      </c>
      <c r="S329" s="29" t="n">
        <v>1.5</v>
      </c>
      <c r="T329" s="24" t="inlineStr">
        <is>
          <t>tennis-surface-elo-v1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1</v>
      </c>
      <c r="Y329" s="25" t="n"/>
      <c r="Z329" s="26" t="n">
        <v>133</v>
      </c>
      <c r="AA329" s="28" t="n">
        <v>0.43</v>
      </c>
      <c r="AB329" s="28" t="n">
        <v>0.000815</v>
      </c>
      <c r="AC329" s="30" t="n">
        <v>-1.5</v>
      </c>
      <c r="AD329" s="24" t="inlineStr">
        <is>
          <t>2026-08-31T04:33:11.625229Z</t>
        </is>
      </c>
      <c r="AE329" s="31" t="inlineStr">
        <is>
          <t>Surface-blended Elo on Hard: Tomas Machac p=0.557 vs Toby Samuel. Executable ask 0.4300 (aec-atp-tobsam-tommac-2026-08-30).</t>
        </is>
      </c>
      <c r="AF329" s="31" t="inlineStr">
        <is>
          <t>Surface-blended Elo model; singles only, WTA+ATP market coverage, not yet locked-holdout qualified -- promoted by explicit operator directive, not genuine walk-forward validation.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Tomas Machac</t>
        </is>
      </c>
      <c r="AQ329" s="24" t="inlineStr">
        <is>
          <t>Tomas Machac</t>
        </is>
      </c>
      <c r="AR329" s="24" t="inlineStr">
        <is>
          <t>Tomas Machac</t>
        </is>
      </c>
      <c r="AS329" s="24" t="inlineStr">
        <is>
          <t>Toby Samuel</t>
        </is>
      </c>
      <c r="AT329" s="24" t="inlineStr">
        <is>
          <t>Toby Samuel</t>
        </is>
      </c>
      <c r="AU329" s="24" t="inlineStr">
        <is>
          <t>Toby Samuel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d777da58446bc099047b154203518e2585ef1a678f613f2b430f2589f7bf5cff</t>
        </is>
      </c>
      <c r="BB329" s="24" t="inlineStr">
        <is>
          <t>surface_blended_elo</t>
        </is>
      </c>
      <c r="BC329" s="24" t="inlineStr">
        <is>
          <t>tennis-surface-elo-v1</t>
        </is>
      </c>
      <c r="BD329" s="24" t="inlineStr">
        <is>
          <t>d777da58446bc099047b154203518e2585ef1a678f613f2b430f2589f7bf5cff</t>
        </is>
      </c>
      <c r="BE329" s="24" t="inlineStr">
        <is>
          <t>tennis-surface-elo-v1</t>
        </is>
      </c>
      <c r="BF329" s="24" t="inlineStr">
        <is>
          <t>1</t>
        </is>
      </c>
      <c r="BG329" s="24" t="inlineStr">
        <is>
          <t>d777da58446bc099047b154203518e2585ef1a678f613f2b430f2589f7bf5cff</t>
        </is>
      </c>
      <c r="BH329" s="24" t="inlineStr">
        <is>
          <t>2026-08-30T16:04:56.572111Z</t>
        </is>
      </c>
      <c r="BI329" s="24" t="inlineStr">
        <is>
          <t>["same_event","same_team_same_day","same_league_same_day"]</t>
        </is>
      </c>
      <c r="BJ329" s="25" t="n"/>
      <c r="BK329" s="26" t="n">
        <v>133</v>
      </c>
      <c r="BL329" s="27" t="n">
        <v>2.33</v>
      </c>
      <c r="BM329" s="28" t="n">
        <v>0.429185</v>
      </c>
      <c r="BN329" s="28" t="n"/>
      <c r="BO329" s="28" t="n"/>
      <c r="BP329" s="25" t="n"/>
      <c r="BQ329" s="27" t="n">
        <v>2.33</v>
      </c>
      <c r="BR329" s="28" t="n">
        <v>0.43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inlineStr">
        <is>
          <t>9f0af9159806403cbd937c3fdb3609cbb13e3dece113b793d3f366f81e91bb83</t>
        </is>
      </c>
      <c r="DE329" s="24" t="inlineStr">
        <is>
          <t>/Users/vincentc9002/model-prediction/data/odds/tennis/2026-08-30/polymarket_snapshots.jsonl</t>
        </is>
      </c>
      <c r="DF329" s="24" t="inlineStr">
        <is>
          <t>550519:2026-08-30T16:04:56.572111Z</t>
        </is>
      </c>
      <c r="DG329" s="24" t="n"/>
      <c r="DH329" s="24" t="n"/>
      <c r="DI329" s="24" t="n"/>
      <c r="DJ329" s="24" t="inlineStr">
        <is>
          <t>0.429185</t>
        </is>
      </c>
      <c r="DK329" s="24" t="n"/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1fcb45eaea4249e5</t>
        </is>
      </c>
      <c r="B330" s="24" t="inlineStr">
        <is>
          <t>2026-08-30T16:06:30.429692Z</t>
        </is>
      </c>
      <c r="C330" s="24" t="inlineStr">
        <is>
          <t>2026-08-30T17:00Z</t>
        </is>
      </c>
      <c r="D330" s="24" t="inlineStr">
        <is>
          <t>189-2026:182774</t>
        </is>
      </c>
      <c r="E330" s="24" t="inlineStr">
        <is>
          <t>TENNIS</t>
        </is>
      </c>
      <c r="F330" s="24" t="inlineStr">
        <is>
          <t>Terence Atmane</t>
        </is>
      </c>
      <c r="G330" s="24" t="inlineStr">
        <is>
          <t>Jaume Munar</t>
        </is>
      </c>
      <c r="H330" s="24" t="inlineStr">
        <is>
          <t>moneyline</t>
        </is>
      </c>
      <c r="I330" s="24" t="inlineStr">
        <is>
          <t>home</t>
        </is>
      </c>
      <c r="J330" s="25" t="n"/>
      <c r="K330" s="24" t="inlineStr">
        <is>
          <t>polymarket_us</t>
        </is>
      </c>
      <c r="L330" s="26" t="n">
        <v>163</v>
      </c>
      <c r="M330" s="27" t="n">
        <v>2.63</v>
      </c>
      <c r="N330" s="28" t="n">
        <v>0.380228</v>
      </c>
      <c r="O330" s="28" t="n">
        <v>0.5177</v>
      </c>
      <c r="P330" s="28" t="n">
        <v>0.05</v>
      </c>
      <c r="Q330" s="28" t="n">
        <v>0.137472</v>
      </c>
      <c r="R330" s="26" t="n">
        <v>89</v>
      </c>
      <c r="S330" s="29" t="n">
        <v>1.5</v>
      </c>
      <c r="T330" s="24" t="inlineStr">
        <is>
          <t>tennis-surface-elo-v1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1</v>
      </c>
      <c r="Y330" s="25" t="n"/>
      <c r="Z330" s="26" t="n">
        <v>163</v>
      </c>
      <c r="AA330" s="28" t="n">
        <v>0.38</v>
      </c>
      <c r="AB330" s="28" t="n">
        <v>-0.000228</v>
      </c>
      <c r="AC330" s="30" t="n">
        <v>2.445</v>
      </c>
      <c r="AD330" s="24" t="inlineStr">
        <is>
          <t>2026-08-31T04:33:13.383070Z</t>
        </is>
      </c>
      <c r="AE330" s="31" t="inlineStr">
        <is>
          <t>Surface-blended Elo on Hard: Terence Atmane p=0.482 vs Jaume Munar. Executable ask 0.3800 (aec-atp-jaumun-teratm-2026-08-30).</t>
        </is>
      </c>
      <c r="AF330" s="31" t="inlineStr">
        <is>
          <t>Surface-blended Elo model; singles only, WTA+ATP market coverage, not yet locked-holdout qualified -- promoted by explicit operator directive, not genuine walk-forward validation.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PAPER_CALL_LOW_EDGE</t>
        </is>
      </c>
      <c r="AP330" s="24" t="inlineStr">
        <is>
          <t>Terence Atmane</t>
        </is>
      </c>
      <c r="AQ330" s="24" t="inlineStr">
        <is>
          <t>Terence Atmane</t>
        </is>
      </c>
      <c r="AR330" s="24" t="inlineStr">
        <is>
          <t>Terence Atmane</t>
        </is>
      </c>
      <c r="AS330" s="24" t="inlineStr">
        <is>
          <t>Jaume Munar</t>
        </is>
      </c>
      <c r="AT330" s="24" t="inlineStr">
        <is>
          <t>Jaume Munar</t>
        </is>
      </c>
      <c r="AU330" s="24" t="inlineStr">
        <is>
          <t>Jaume Munar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d777da58446bc099047b154203518e2585ef1a678f613f2b430f2589f7bf5cff</t>
        </is>
      </c>
      <c r="BB330" s="24" t="inlineStr">
        <is>
          <t>surface_blended_elo</t>
        </is>
      </c>
      <c r="BC330" s="24" t="inlineStr">
        <is>
          <t>tennis-surface-elo-v1</t>
        </is>
      </c>
      <c r="BD330" s="24" t="inlineStr">
        <is>
          <t>d777da58446bc099047b154203518e2585ef1a678f613f2b430f2589f7bf5cff</t>
        </is>
      </c>
      <c r="BE330" s="24" t="inlineStr">
        <is>
          <t>tennis-surface-elo-v1</t>
        </is>
      </c>
      <c r="BF330" s="24" t="inlineStr">
        <is>
          <t>1</t>
        </is>
      </c>
      <c r="BG330" s="24" t="inlineStr">
        <is>
          <t>d777da58446bc099047b154203518e2585ef1a678f613f2b430f2589f7bf5cff</t>
        </is>
      </c>
      <c r="BH330" s="24" t="inlineStr">
        <is>
          <t>2026-08-30T16:04:56.504679Z</t>
        </is>
      </c>
      <c r="BI330" s="24" t="inlineStr">
        <is>
          <t>["same_event","same_team_same_day","same_league_same_day"]</t>
        </is>
      </c>
      <c r="BJ330" s="25" t="n"/>
      <c r="BK330" s="26" t="n">
        <v>163</v>
      </c>
      <c r="BL330" s="27" t="n">
        <v>2.63</v>
      </c>
      <c r="BM330" s="28" t="n">
        <v>0.380228</v>
      </c>
      <c r="BN330" s="28" t="n"/>
      <c r="BO330" s="28" t="n"/>
      <c r="BP330" s="25" t="n"/>
      <c r="BQ330" s="27" t="n">
        <v>2.63</v>
      </c>
      <c r="BR330" s="28" t="n">
        <v>0.38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1.630001</v>
      </c>
      <c r="BZ330" s="24" t="inlineStr">
        <is>
          <t>2026-08-31T04:33:13.383070Z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inlineStr">
        <is>
          <t>caef5ea7a5dd66053f1c57c5bae2d131926b45cc81ea7fd3882375fe27eaac13</t>
        </is>
      </c>
      <c r="DE330" s="24" t="inlineStr">
        <is>
          <t>/Users/vincentc9002/model-prediction/data/odds/tennis/2026-08-30/polymarket_snapshots.jsonl</t>
        </is>
      </c>
      <c r="DF330" s="24" t="inlineStr">
        <is>
          <t>547297:2026-08-30T16:04:56.504679Z</t>
        </is>
      </c>
      <c r="DG330" s="24" t="n"/>
      <c r="DH330" s="24" t="n"/>
      <c r="DI330" s="24" t="n"/>
      <c r="DJ330" s="24" t="inlineStr">
        <is>
          <t>0.380228</t>
        </is>
      </c>
      <c r="DK330" s="24" t="n"/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26fe87502e184562</t>
        </is>
      </c>
      <c r="B331" s="24" t="inlineStr">
        <is>
          <t>2026-08-30T16:06:30.429692Z</t>
        </is>
      </c>
      <c r="C331" s="24" t="inlineStr">
        <is>
          <t>2026-08-30T17:30Z</t>
        </is>
      </c>
      <c r="D331" s="24" t="inlineStr">
        <is>
          <t>189-2026:182733</t>
        </is>
      </c>
      <c r="E331" s="24" t="inlineStr">
        <is>
          <t>TENNIS</t>
        </is>
      </c>
      <c r="F331" s="24" t="inlineStr">
        <is>
          <t>Hugo Gaston</t>
        </is>
      </c>
      <c r="G331" s="24" t="inlineStr">
        <is>
          <t>Daniil Medvedev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polymarket_us</t>
        </is>
      </c>
      <c r="L331" s="26" t="n">
        <v>-669</v>
      </c>
      <c r="M331" s="27" t="n">
        <v>1.149477</v>
      </c>
      <c r="N331" s="28" t="n">
        <v>0.869961</v>
      </c>
      <c r="O331" s="28" t="n">
        <v>0.8364</v>
      </c>
      <c r="P331" s="28" t="n">
        <v>0.05</v>
      </c>
      <c r="Q331" s="28" t="n">
        <v>-0.033561</v>
      </c>
      <c r="R331" s="26" t="n">
        <v>3</v>
      </c>
      <c r="S331" s="29" t="n">
        <v>1</v>
      </c>
      <c r="T331" s="24" t="inlineStr">
        <is>
          <t>tennis-surface-elo-v1</t>
        </is>
      </c>
      <c r="U331" s="24" t="inlineStr">
        <is>
          <t>settled</t>
        </is>
      </c>
      <c r="V331" s="24" t="inlineStr">
        <is>
          <t>win</t>
        </is>
      </c>
      <c r="W331" s="26" t="n">
        <v>0</v>
      </c>
      <c r="X331" s="26" t="n">
        <v>1</v>
      </c>
      <c r="Y331" s="25" t="n"/>
      <c r="Z331" s="26" t="n">
        <v>-669</v>
      </c>
      <c r="AA331" s="28" t="n">
        <v>0.87</v>
      </c>
      <c r="AB331" s="28" t="n">
        <v>3.9e-05</v>
      </c>
      <c r="AC331" s="30" t="n">
        <v>0.1495</v>
      </c>
      <c r="AD331" s="24" t="inlineStr">
        <is>
          <t>2026-08-31T04:33:15.150873Z</t>
        </is>
      </c>
      <c r="AE331" s="31" t="inlineStr">
        <is>
          <t>Surface-blended Elo on Hard: Hugo Gaston p=0.164 vs Daniil Medvedev. Executable ask 0.8700 (aec-atp-danmed-huggas-2026-08-30).</t>
        </is>
      </c>
      <c r="AF331" s="31" t="inlineStr">
        <is>
          <t>Surface-blended Elo model; singles only, WTA+ATP market coverage, not yet locked-holdout qualified -- promoted by explicit operator directive, not genuine walk-forward validation.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Hugo Gaston</t>
        </is>
      </c>
      <c r="AQ331" s="24" t="inlineStr">
        <is>
          <t>Hugo Gaston</t>
        </is>
      </c>
      <c r="AR331" s="24" t="inlineStr">
        <is>
          <t>Hugo Gaston</t>
        </is>
      </c>
      <c r="AS331" s="24" t="inlineStr">
        <is>
          <t>Daniil Medvedev</t>
        </is>
      </c>
      <c r="AT331" s="24" t="inlineStr">
        <is>
          <t>Daniil Medvedev</t>
        </is>
      </c>
      <c r="AU331" s="24" t="inlineStr">
        <is>
          <t>Daniil Medvedev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d777da58446bc099047b154203518e2585ef1a678f613f2b430f2589f7bf5cff</t>
        </is>
      </c>
      <c r="BB331" s="24" t="inlineStr">
        <is>
          <t>surface_blended_elo</t>
        </is>
      </c>
      <c r="BC331" s="24" t="inlineStr">
        <is>
          <t>tennis-surface-elo-v1</t>
        </is>
      </c>
      <c r="BD331" s="24" t="inlineStr">
        <is>
          <t>d777da58446bc099047b154203518e2585ef1a678f613f2b430f2589f7bf5cff</t>
        </is>
      </c>
      <c r="BE331" s="24" t="inlineStr">
        <is>
          <t>tennis-surface-elo-v1</t>
        </is>
      </c>
      <c r="BF331" s="24" t="inlineStr">
        <is>
          <t>1</t>
        </is>
      </c>
      <c r="BG331" s="24" t="inlineStr">
        <is>
          <t>d777da58446bc099047b154203518e2585ef1a678f613f2b430f2589f7bf5cff</t>
        </is>
      </c>
      <c r="BH331" s="24" t="inlineStr">
        <is>
          <t>2026-08-30T16:04:56.823923Z</t>
        </is>
      </c>
      <c r="BI331" s="24" t="inlineStr">
        <is>
          <t>["same_event","same_team_same_day","same_league_same_day"]</t>
        </is>
      </c>
      <c r="BJ331" s="25" t="n"/>
      <c r="BK331" s="26" t="n">
        <v>-669</v>
      </c>
      <c r="BL331" s="27" t="n">
        <v>1.149477</v>
      </c>
      <c r="BM331" s="28" t="n">
        <v>0.869961</v>
      </c>
      <c r="BN331" s="28" t="n"/>
      <c r="BO331" s="28" t="n"/>
      <c r="BP331" s="25" t="n"/>
      <c r="BQ331" s="27" t="n">
        <v>1.149477</v>
      </c>
      <c r="BR331" s="28" t="n">
        <v>0.87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0.149477</v>
      </c>
      <c r="BZ331" s="24" t="inlineStr">
        <is>
          <t>2026-08-31T04:33:15.150873Z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inlineStr">
        <is>
          <t>7377554ee369592005644fb918ae03dede27532e31e8551b4fa9af68c923fc96</t>
        </is>
      </c>
      <c r="DE331" s="24" t="inlineStr">
        <is>
          <t>/Users/vincentc9002/model-prediction/data/odds/tennis/2026-08-30/polymarket_snapshots.jsonl</t>
        </is>
      </c>
      <c r="DF331" s="24" t="inlineStr">
        <is>
          <t>550511:2026-08-30T16:04:56.823923Z</t>
        </is>
      </c>
      <c r="DG331" s="24" t="n"/>
      <c r="DH331" s="24" t="n"/>
      <c r="DI331" s="24" t="n"/>
      <c r="DJ331" s="24" t="inlineStr">
        <is>
          <t>0.869961</t>
        </is>
      </c>
      <c r="DK331" s="24" t="n"/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58839ba81f0748e5</t>
        </is>
      </c>
      <c r="B332" s="24" t="inlineStr">
        <is>
          <t>2026-08-30T16:06:30.429692Z</t>
        </is>
      </c>
      <c r="C332" s="24" t="inlineStr">
        <is>
          <t>2026-08-30T18:00Z</t>
        </is>
      </c>
      <c r="D332" s="24" t="inlineStr">
        <is>
          <t>189-2026:182659</t>
        </is>
      </c>
      <c r="E332" s="24" t="inlineStr">
        <is>
          <t>TENNIS</t>
        </is>
      </c>
      <c r="F332" s="24" t="inlineStr">
        <is>
          <t>Adrian Mannarino</t>
        </is>
      </c>
      <c r="G332" s="24" t="inlineStr">
        <is>
          <t>Thiago Agustin Tirante</t>
        </is>
      </c>
      <c r="H332" s="24" t="inlineStr">
        <is>
          <t>moneyline</t>
        </is>
      </c>
      <c r="I332" s="24" t="inlineStr">
        <is>
          <t>home</t>
        </is>
      </c>
      <c r="J332" s="25" t="n"/>
      <c r="K332" s="24" t="inlineStr">
        <is>
          <t>polymarket_us</t>
        </is>
      </c>
      <c r="L332" s="26" t="n">
        <v>-257</v>
      </c>
      <c r="M332" s="27" t="n">
        <v>1.389105</v>
      </c>
      <c r="N332" s="28" t="n">
        <v>0.719888</v>
      </c>
      <c r="O332" s="28" t="n">
        <v>0.7214</v>
      </c>
      <c r="P332" s="28" t="n">
        <v>0.05</v>
      </c>
      <c r="Q332" s="28" t="n">
        <v>0.001512</v>
      </c>
      <c r="R332" s="26" t="n">
        <v>21</v>
      </c>
      <c r="S332" s="29" t="n">
        <v>1</v>
      </c>
      <c r="T332" s="24" t="inlineStr">
        <is>
          <t>tennis-surface-elo-v1</t>
        </is>
      </c>
      <c r="U332" s="24" t="inlineStr">
        <is>
          <t>settled</t>
        </is>
      </c>
      <c r="V332" s="24" t="inlineStr">
        <is>
          <t>loss</t>
        </is>
      </c>
      <c r="W332" s="26" t="n">
        <v>1</v>
      </c>
      <c r="X332" s="26" t="n">
        <v>0</v>
      </c>
      <c r="Y332" s="25" t="n"/>
      <c r="Z332" s="26" t="n">
        <v>-257</v>
      </c>
      <c r="AA332" s="28" t="n">
        <v>0.72</v>
      </c>
      <c r="AB332" s="28" t="n">
        <v>0.000112</v>
      </c>
      <c r="AC332" s="30" t="n">
        <v>-1</v>
      </c>
      <c r="AD332" s="24" t="inlineStr">
        <is>
          <t>2026-09-01T04:30:12.872813Z</t>
        </is>
      </c>
      <c r="AE332" s="31" t="inlineStr">
        <is>
          <t>Surface-blended Elo on Hard: Adrian Mannarino p=0.279 vs Thiago Agustin Tirante. Executable ask 0.7200 (aec-atp-thitir-adrman-2026-08-30).</t>
        </is>
      </c>
      <c r="AF332" s="31" t="inlineStr">
        <is>
          <t>Surface-blended Elo model; singles only, WTA+ATP market coverage, not yet locked-holdout qualified -- promoted by explicit operator directive, not genuine walk-forward validation.</t>
        </is>
      </c>
      <c r="AG332" s="24" t="inlineStr">
        <is>
          <t>review_required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PAPER_CALL_LOW_EDGE</t>
        </is>
      </c>
      <c r="AP332" s="24" t="inlineStr">
        <is>
          <t>Adrian Mannarino</t>
        </is>
      </c>
      <c r="AQ332" s="24" t="inlineStr">
        <is>
          <t>Adrian Mannarino</t>
        </is>
      </c>
      <c r="AR332" s="24" t="inlineStr">
        <is>
          <t>Adrian Mannarino</t>
        </is>
      </c>
      <c r="AS332" s="24" t="inlineStr">
        <is>
          <t>Thiago Agustin Tirante</t>
        </is>
      </c>
      <c r="AT332" s="24" t="inlineStr">
        <is>
          <t>Thiago Agustin Tirante</t>
        </is>
      </c>
      <c r="AU332" s="24" t="inlineStr">
        <is>
          <t>Thiago Agustin Tirante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d777da58446bc099047b154203518e2585ef1a678f613f2b430f2589f7bf5cff</t>
        </is>
      </c>
      <c r="BB332" s="24" t="inlineStr">
        <is>
          <t>surface_blended_elo</t>
        </is>
      </c>
      <c r="BC332" s="24" t="inlineStr">
        <is>
          <t>tennis-surface-elo-v1</t>
        </is>
      </c>
      <c r="BD332" s="24" t="inlineStr">
        <is>
          <t>d777da58446bc099047b154203518e2585ef1a678f613f2b430f2589f7bf5cff</t>
        </is>
      </c>
      <c r="BE332" s="24" t="inlineStr">
        <is>
          <t>tennis-surface-elo-v1</t>
        </is>
      </c>
      <c r="BF332" s="24" t="inlineStr">
        <is>
          <t>1</t>
        </is>
      </c>
      <c r="BG332" s="24" t="inlineStr">
        <is>
          <t>d777da58446bc099047b154203518e2585ef1a678f613f2b430f2589f7bf5cff</t>
        </is>
      </c>
      <c r="BH332" s="24" t="inlineStr">
        <is>
          <t>2026-08-30T16:04:56.981928Z</t>
        </is>
      </c>
      <c r="BI332" s="24" t="inlineStr">
        <is>
          <t>["same_event","same_team_same_day","same_league_same_day"]</t>
        </is>
      </c>
      <c r="BJ332" s="25" t="n"/>
      <c r="BK332" s="26" t="n">
        <v>-257</v>
      </c>
      <c r="BL332" s="27" t="n">
        <v>1.389105</v>
      </c>
      <c r="BM332" s="28" t="n">
        <v>0.719888</v>
      </c>
      <c r="BN332" s="28" t="n"/>
      <c r="BO332" s="28" t="n"/>
      <c r="BP332" s="25" t="n"/>
      <c r="BQ332" s="27" t="n">
        <v>1.389105</v>
      </c>
      <c r="BR332" s="28" t="n">
        <v>0.72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-1</v>
      </c>
      <c r="BZ332" s="24" t="inlineStr">
        <is>
          <t>2026-09-01T04:30:12.872813Z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inlineStr">
        <is>
          <t>4536894541deae834b66e0fd89a7296d4643e68c464bce13b120296459a4c6aa</t>
        </is>
      </c>
      <c r="DE332" s="24" t="inlineStr">
        <is>
          <t>/Users/vincentc9002/model-prediction/data/odds/tennis/2026-08-30/polymarket_snapshots.jsonl</t>
        </is>
      </c>
      <c r="DF332" s="24" t="inlineStr">
        <is>
          <t>547355:2026-08-30T16:04:56.981928Z</t>
        </is>
      </c>
      <c r="DG332" s="24" t="n"/>
      <c r="DH332" s="24" t="n"/>
      <c r="DI332" s="24" t="n"/>
      <c r="DJ332" s="24" t="inlineStr">
        <is>
          <t>0.719888</t>
        </is>
      </c>
      <c r="DK332" s="24" t="n"/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d8a2c2ed792b4fad</t>
        </is>
      </c>
      <c r="B333" s="24" t="inlineStr">
        <is>
          <t>2026-08-30T16:06:30.429692Z</t>
        </is>
      </c>
      <c r="C333" s="24" t="inlineStr">
        <is>
          <t>2026-08-30T18:00Z</t>
        </is>
      </c>
      <c r="D333" s="24" t="inlineStr">
        <is>
          <t>189-2026:182665</t>
        </is>
      </c>
      <c r="E333" s="24" t="inlineStr">
        <is>
          <t>TENNIS</t>
        </is>
      </c>
      <c r="F333" s="24" t="inlineStr">
        <is>
          <t>Jenson Brooksby</t>
        </is>
      </c>
      <c r="G333" s="24" t="inlineStr">
        <is>
          <t>Jaime Faria</t>
        </is>
      </c>
      <c r="H333" s="24" t="inlineStr">
        <is>
          <t>moneyline</t>
        </is>
      </c>
      <c r="I333" s="24" t="inlineStr">
        <is>
          <t>home</t>
        </is>
      </c>
      <c r="J333" s="25" t="n"/>
      <c r="K333" s="24" t="inlineStr">
        <is>
          <t>polymarket_us</t>
        </is>
      </c>
      <c r="L333" s="26" t="n">
        <v>108</v>
      </c>
      <c r="M333" s="27" t="n">
        <v>2.08</v>
      </c>
      <c r="N333" s="28" t="n">
        <v>0.480769</v>
      </c>
      <c r="O333" s="28" t="n">
        <v>0.611</v>
      </c>
      <c r="P333" s="28" t="n">
        <v>0.05</v>
      </c>
      <c r="Q333" s="28" t="n">
        <v>0.130231</v>
      </c>
      <c r="R333" s="26" t="n">
        <v>85</v>
      </c>
      <c r="S333" s="29" t="n">
        <v>1.5</v>
      </c>
      <c r="T333" s="24" t="inlineStr">
        <is>
          <t>tennis-surface-elo-v1</t>
        </is>
      </c>
      <c r="U333" s="24" t="inlineStr">
        <is>
          <t>settled</t>
        </is>
      </c>
      <c r="V333" s="24" t="inlineStr">
        <is>
          <t>win</t>
        </is>
      </c>
      <c r="W333" s="26" t="n">
        <v>0</v>
      </c>
      <c r="X333" s="26" t="n">
        <v>1</v>
      </c>
      <c r="Y333" s="25" t="n"/>
      <c r="Z333" s="26" t="n">
        <v>108</v>
      </c>
      <c r="AA333" s="28" t="n">
        <v>0.48</v>
      </c>
      <c r="AB333" s="28" t="n">
        <v>-0.000769</v>
      </c>
      <c r="AC333" s="30" t="n">
        <v>1.62</v>
      </c>
      <c r="AD333" s="24" t="inlineStr">
        <is>
          <t>2026-08-31T04:33:16.956604Z</t>
        </is>
      </c>
      <c r="AE333" s="31" t="inlineStr">
        <is>
          <t>Surface-blended Elo on Hard: Jenson Brooksby p=0.389 vs Jaime Faria. Executable ask 0.4800 (aec-atp-jaifar-jenbro-2026-08-30).</t>
        </is>
      </c>
      <c r="AF333" s="31" t="inlineStr">
        <is>
          <t>Surface-blended Elo model; singles only, WTA+ATP market coverage, not yet locked-holdout qualified -- promoted by explicit operator directive, not genuine walk-forward validation.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Jenson Brooksby</t>
        </is>
      </c>
      <c r="AQ333" s="24" t="inlineStr">
        <is>
          <t>Jenson Brooksby</t>
        </is>
      </c>
      <c r="AR333" s="24" t="inlineStr">
        <is>
          <t>Jenson Brooksby</t>
        </is>
      </c>
      <c r="AS333" s="24" t="inlineStr">
        <is>
          <t>Jaime Faria</t>
        </is>
      </c>
      <c r="AT333" s="24" t="inlineStr">
        <is>
          <t>Jaime Faria</t>
        </is>
      </c>
      <c r="AU333" s="24" t="inlineStr">
        <is>
          <t>Jaime Faria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d777da58446bc099047b154203518e2585ef1a678f613f2b430f2589f7bf5cff</t>
        </is>
      </c>
      <c r="BB333" s="24" t="inlineStr">
        <is>
          <t>surface_blended_elo</t>
        </is>
      </c>
      <c r="BC333" s="24" t="inlineStr">
        <is>
          <t>tennis-surface-elo-v1</t>
        </is>
      </c>
      <c r="BD333" s="24" t="inlineStr">
        <is>
          <t>d777da58446bc099047b154203518e2585ef1a678f613f2b430f2589f7bf5cff</t>
        </is>
      </c>
      <c r="BE333" s="24" t="inlineStr">
        <is>
          <t>tennis-surface-elo-v1</t>
        </is>
      </c>
      <c r="BF333" s="24" t="inlineStr">
        <is>
          <t>1</t>
        </is>
      </c>
      <c r="BG333" s="24" t="inlineStr">
        <is>
          <t>d777da58446bc099047b154203518e2585ef1a678f613f2b430f2589f7bf5cff</t>
        </is>
      </c>
      <c r="BH333" s="24" t="inlineStr">
        <is>
          <t>2026-08-30T16:04:56.886087Z</t>
        </is>
      </c>
      <c r="BI333" s="24" t="inlineStr">
        <is>
          <t>["same_event","same_team_same_day","same_league_same_day"]</t>
        </is>
      </c>
      <c r="BJ333" s="25" t="n"/>
      <c r="BK333" s="26" t="n">
        <v>108</v>
      </c>
      <c r="BL333" s="27" t="n">
        <v>2.08</v>
      </c>
      <c r="BM333" s="28" t="n">
        <v>0.480769</v>
      </c>
      <c r="BN333" s="28" t="n"/>
      <c r="BO333" s="28" t="n"/>
      <c r="BP333" s="25" t="n"/>
      <c r="BQ333" s="27" t="n">
        <v>2.08</v>
      </c>
      <c r="BR333" s="28" t="n">
        <v>0.48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inlineStr">
        <is>
          <t>791e554653fcae509646e7b17844c8d75b8188f4f540e7e666824416a39654a8</t>
        </is>
      </c>
      <c r="DE333" s="24" t="inlineStr">
        <is>
          <t>/Users/vincentc9002/model-prediction/data/odds/tennis/2026-08-30/polymarket_snapshots.jsonl</t>
        </is>
      </c>
      <c r="DF333" s="24" t="inlineStr">
        <is>
          <t>547367:2026-08-30T16:04:56.886087Z</t>
        </is>
      </c>
      <c r="DG333" s="24" t="n"/>
      <c r="DH333" s="24" t="n"/>
      <c r="DI333" s="24" t="n"/>
      <c r="DJ333" s="24" t="inlineStr">
        <is>
          <t>0.480769</t>
        </is>
      </c>
      <c r="DK333" s="24" t="n"/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624290e0c8694956</t>
        </is>
      </c>
      <c r="B334" s="24" t="inlineStr">
        <is>
          <t>2026-08-30T16:06:30.429692Z</t>
        </is>
      </c>
      <c r="C334" s="24" t="inlineStr">
        <is>
          <t>2026-08-30T18:30Z</t>
        </is>
      </c>
      <c r="D334" s="24" t="inlineStr">
        <is>
          <t>189-2026:182680</t>
        </is>
      </c>
      <c r="E334" s="24" t="inlineStr">
        <is>
          <t>TENNIS</t>
        </is>
      </c>
      <c r="F334" s="24" t="inlineStr">
        <is>
          <t>Denis Shapovalov</t>
        </is>
      </c>
      <c r="G334" s="24" t="inlineStr">
        <is>
          <t>Miomir Kecmanovic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polymarket_us</t>
        </is>
      </c>
      <c r="L334" s="26" t="n">
        <v>-127</v>
      </c>
      <c r="M334" s="27" t="n">
        <v>1.787402</v>
      </c>
      <c r="N334" s="28" t="n">
        <v>0.5594710000000001</v>
      </c>
      <c r="O334" s="28" t="n">
        <v>0.5821</v>
      </c>
      <c r="P334" s="28" t="n">
        <v>0.05</v>
      </c>
      <c r="Q334" s="28" t="n">
        <v>0.022629</v>
      </c>
      <c r="R334" s="26" t="n">
        <v>31</v>
      </c>
      <c r="S334" s="29" t="n">
        <v>1</v>
      </c>
      <c r="T334" s="24" t="inlineStr">
        <is>
          <t>tennis-surface-elo-v1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0</v>
      </c>
      <c r="Y334" s="25" t="n"/>
      <c r="Z334" s="26" t="n">
        <v>-127</v>
      </c>
      <c r="AA334" s="28" t="n">
        <v>0.5600000000000001</v>
      </c>
      <c r="AB334" s="28" t="n">
        <v>0.000529</v>
      </c>
      <c r="AC334" s="30" t="n">
        <v>0.7874</v>
      </c>
      <c r="AD334" s="24" t="inlineStr">
        <is>
          <t>2026-08-31T04:33:18.730390Z</t>
        </is>
      </c>
      <c r="AE334" s="31" t="inlineStr">
        <is>
          <t>Surface-blended Elo on Hard: Denis Shapovalov p=0.582 vs Miomir Kecmanovic. Executable ask 0.5600 (aec-atp-miokec-densha-2026-08-30).</t>
        </is>
      </c>
      <c r="AF334" s="31" t="inlineStr">
        <is>
          <t>Surface-blended Elo model; singles only, WTA+ATP market coverage, not yet locked-holdout qualified -- promoted by explicit operator directive, not genuine walk-forward validation.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Denis Shapovalov</t>
        </is>
      </c>
      <c r="AQ334" s="24" t="inlineStr">
        <is>
          <t>Denis Shapovalov</t>
        </is>
      </c>
      <c r="AR334" s="24" t="inlineStr">
        <is>
          <t>Denis Shapovalov</t>
        </is>
      </c>
      <c r="AS334" s="24" t="inlineStr">
        <is>
          <t>Miomir Kecmanovic</t>
        </is>
      </c>
      <c r="AT334" s="24" t="inlineStr">
        <is>
          <t>Miomir Kecmanovic</t>
        </is>
      </c>
      <c r="AU334" s="24" t="inlineStr">
        <is>
          <t>Miomir Kecmanovic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d777da58446bc099047b154203518e2585ef1a678f613f2b430f2589f7bf5cff</t>
        </is>
      </c>
      <c r="BB334" s="24" t="inlineStr">
        <is>
          <t>surface_blended_elo</t>
        </is>
      </c>
      <c r="BC334" s="24" t="inlineStr">
        <is>
          <t>tennis-surface-elo-v1</t>
        </is>
      </c>
      <c r="BD334" s="24" t="inlineStr">
        <is>
          <t>d777da58446bc099047b154203518e2585ef1a678f613f2b430f2589f7bf5cff</t>
        </is>
      </c>
      <c r="BE334" s="24" t="inlineStr">
        <is>
          <t>tennis-surface-elo-v1</t>
        </is>
      </c>
      <c r="BF334" s="24" t="inlineStr">
        <is>
          <t>1</t>
        </is>
      </c>
      <c r="BG334" s="24" t="inlineStr">
        <is>
          <t>d777da58446bc099047b154203518e2585ef1a678f613f2b430f2589f7bf5cff</t>
        </is>
      </c>
      <c r="BH334" s="24" t="inlineStr">
        <is>
          <t>2026-08-30T16:05:01.097156Z</t>
        </is>
      </c>
      <c r="BI334" s="24" t="inlineStr">
        <is>
          <t>["same_event","same_team_same_day","same_league_same_day"]</t>
        </is>
      </c>
      <c r="BJ334" s="25" t="n"/>
      <c r="BK334" s="26" t="n">
        <v>-127</v>
      </c>
      <c r="BL334" s="27" t="n">
        <v>1.787402</v>
      </c>
      <c r="BM334" s="28" t="n">
        <v>0.5594710000000001</v>
      </c>
      <c r="BN334" s="28" t="n"/>
      <c r="BO334" s="28" t="n"/>
      <c r="BP334" s="25" t="n"/>
      <c r="BQ334" s="27" t="n">
        <v>1.787402</v>
      </c>
      <c r="BR334" s="28" t="n">
        <v>0.5600000000000001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0.787403</v>
      </c>
      <c r="BZ334" s="24" t="inlineStr">
        <is>
          <t>2026-08-31T04:33:18.730390Z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inlineStr">
        <is>
          <t>33c527b4e6d6f89a89ed35d2fafc5483237cb55b73fb70feb2a987cb4950ca67</t>
        </is>
      </c>
      <c r="DE334" s="24" t="inlineStr">
        <is>
          <t>/Users/vincentc9002/model-prediction/data/odds/tennis/2026-08-30/polymarket_snapshots.jsonl</t>
        </is>
      </c>
      <c r="DF334" s="24" t="inlineStr">
        <is>
          <t>547325:2026-08-30T16:05:01.097156Z</t>
        </is>
      </c>
      <c r="DG334" s="24" t="n"/>
      <c r="DH334" s="24" t="n"/>
      <c r="DI334" s="24" t="n"/>
      <c r="DJ334" s="24" t="inlineStr">
        <is>
          <t>0.559471</t>
        </is>
      </c>
      <c r="DK334" s="24" t="n"/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c203f5f0d9464bfb</t>
        </is>
      </c>
      <c r="B335" s="24" t="inlineStr">
        <is>
          <t>2026-08-30T16:06:30.429692Z</t>
        </is>
      </c>
      <c r="C335" s="24" t="inlineStr">
        <is>
          <t>2026-08-30T18:30Z</t>
        </is>
      </c>
      <c r="D335" s="24" t="inlineStr">
        <is>
          <t>189-2026:182763</t>
        </is>
      </c>
      <c r="E335" s="24" t="inlineStr">
        <is>
          <t>TENNIS</t>
        </is>
      </c>
      <c r="F335" s="24" t="inlineStr">
        <is>
          <t>Rei Sakamoto</t>
        </is>
      </c>
      <c r="G335" s="24" t="inlineStr">
        <is>
          <t>Aleksandar Vukic</t>
        </is>
      </c>
      <c r="H335" s="24" t="inlineStr">
        <is>
          <t>moneyline</t>
        </is>
      </c>
      <c r="I335" s="24" t="inlineStr">
        <is>
          <t>away</t>
        </is>
      </c>
      <c r="J335" s="25" t="n"/>
      <c r="K335" s="24" t="inlineStr">
        <is>
          <t>polymarket_us</t>
        </is>
      </c>
      <c r="L335" s="26" t="n">
        <v>-144</v>
      </c>
      <c r="M335" s="27" t="n">
        <v>1.694444</v>
      </c>
      <c r="N335" s="28" t="n">
        <v>0.590164</v>
      </c>
      <c r="O335" s="28" t="n">
        <v>0.5531</v>
      </c>
      <c r="P335" s="28" t="n">
        <v>0.05</v>
      </c>
      <c r="Q335" s="28" t="n">
        <v>-0.037064</v>
      </c>
      <c r="R335" s="26" t="n">
        <v>1</v>
      </c>
      <c r="S335" s="29" t="n">
        <v>1</v>
      </c>
      <c r="T335" s="24" t="inlineStr">
        <is>
          <t>tennis-surface-elo-v1</t>
        </is>
      </c>
      <c r="U335" s="24" t="inlineStr">
        <is>
          <t>settled</t>
        </is>
      </c>
      <c r="V335" s="24" t="inlineStr">
        <is>
          <t>win</t>
        </is>
      </c>
      <c r="W335" s="26" t="n">
        <v>1</v>
      </c>
      <c r="X335" s="26" t="n">
        <v>0</v>
      </c>
      <c r="Y335" s="25" t="n"/>
      <c r="Z335" s="26" t="n">
        <v>-144</v>
      </c>
      <c r="AA335" s="28" t="n">
        <v>0.59</v>
      </c>
      <c r="AB335" s="28" t="n">
        <v>-0.000164</v>
      </c>
      <c r="AC335" s="30" t="n">
        <v>0.6944</v>
      </c>
      <c r="AD335" s="24" t="inlineStr">
        <is>
          <t>2026-09-01T04:30:14.704020Z</t>
        </is>
      </c>
      <c r="AE335" s="31" t="inlineStr">
        <is>
          <t>Surface-blended Elo on Hard: Rei Sakamoto p=0.553 vs Aleksandar Vukic. Executable ask 0.5900 (aec-atp-alevuk-reisak-2026-08-30).</t>
        </is>
      </c>
      <c r="AF335" s="31" t="inlineStr">
        <is>
          <t>Surface-blended Elo model; singles only, WTA+ATP market coverage, not yet locked-holdout qualified -- promoted by explicit operator directive, not genuine walk-forward validation.</t>
        </is>
      </c>
      <c r="AG335" s="24" t="inlineStr">
        <is>
          <t>not_applicable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PAPER_CALL_LOW_EDGE</t>
        </is>
      </c>
      <c r="AP335" s="24" t="inlineStr">
        <is>
          <t>Rei Sakamoto</t>
        </is>
      </c>
      <c r="AQ335" s="24" t="inlineStr">
        <is>
          <t>Rei Sakamoto</t>
        </is>
      </c>
      <c r="AR335" s="24" t="inlineStr">
        <is>
          <t>Rei Sakamoto</t>
        </is>
      </c>
      <c r="AS335" s="24" t="inlineStr">
        <is>
          <t>Aleksandar Vukic</t>
        </is>
      </c>
      <c r="AT335" s="24" t="inlineStr">
        <is>
          <t>Aleksandar Vukic</t>
        </is>
      </c>
      <c r="AU335" s="24" t="inlineStr">
        <is>
          <t>Aleksandar Vukic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d777da58446bc099047b154203518e2585ef1a678f613f2b430f2589f7bf5cff</t>
        </is>
      </c>
      <c r="BB335" s="24" t="inlineStr">
        <is>
          <t>surface_blended_elo</t>
        </is>
      </c>
      <c r="BC335" s="24" t="inlineStr">
        <is>
          <t>tennis-surface-elo-v1</t>
        </is>
      </c>
      <c r="BD335" s="24" t="inlineStr">
        <is>
          <t>d777da58446bc099047b154203518e2585ef1a678f613f2b430f2589f7bf5cff</t>
        </is>
      </c>
      <c r="BE335" s="24" t="inlineStr">
        <is>
          <t>tennis-surface-elo-v1</t>
        </is>
      </c>
      <c r="BF335" s="24" t="inlineStr">
        <is>
          <t>1</t>
        </is>
      </c>
      <c r="BG335" s="24" t="inlineStr">
        <is>
          <t>d777da58446bc099047b154203518e2585ef1a678f613f2b430f2589f7bf5cff</t>
        </is>
      </c>
      <c r="BH335" s="24" t="inlineStr">
        <is>
          <t>2026-08-30T16:05:01.058670Z</t>
        </is>
      </c>
      <c r="BI335" s="24" t="inlineStr">
        <is>
          <t>["same_event","same_team_same_day","same_league_same_day"]</t>
        </is>
      </c>
      <c r="BJ335" s="25" t="n"/>
      <c r="BK335" s="26" t="n">
        <v>-144</v>
      </c>
      <c r="BL335" s="27" t="n">
        <v>1.694444</v>
      </c>
      <c r="BM335" s="28" t="n">
        <v>0.590164</v>
      </c>
      <c r="BN335" s="28" t="n"/>
      <c r="BO335" s="28" t="n"/>
      <c r="BP335" s="25" t="n"/>
      <c r="BQ335" s="27" t="n">
        <v>1.694444</v>
      </c>
      <c r="BR335" s="28" t="n">
        <v>0.59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0.694444</v>
      </c>
      <c r="BZ335" s="24" t="inlineStr">
        <is>
          <t>2026-09-01T04:30:14.704020Z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False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inlineStr">
        <is>
          <t>18584594285a832ff979809724c2d248f60906fb57b8bcbc0c3cd71327fa7f6a</t>
        </is>
      </c>
      <c r="DE335" s="24" t="inlineStr">
        <is>
          <t>/Users/vincentc9002/model-prediction/data/odds/tennis/2026-08-30/polymarket_snapshots.jsonl</t>
        </is>
      </c>
      <c r="DF335" s="24" t="inlineStr">
        <is>
          <t>550513:2026-08-30T16:05:01.058670Z</t>
        </is>
      </c>
      <c r="DG335" s="24" t="n"/>
      <c r="DH335" s="24" t="n"/>
      <c r="DI335" s="24" t="n"/>
      <c r="DJ335" s="24" t="inlineStr">
        <is>
          <t>0.590164</t>
        </is>
      </c>
      <c r="DK335" s="24" t="n"/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ebe374bb94194654</t>
        </is>
      </c>
      <c r="B336" s="24" t="inlineStr">
        <is>
          <t>2026-08-30T16:06:30.429692Z</t>
        </is>
      </c>
      <c r="C336" s="24" t="inlineStr">
        <is>
          <t>2026-08-30T20:00Z</t>
        </is>
      </c>
      <c r="D336" s="24" t="inlineStr">
        <is>
          <t>189-2026:182670</t>
        </is>
      </c>
      <c r="E336" s="24" t="inlineStr">
        <is>
          <t>TENNIS</t>
        </is>
      </c>
      <c r="F336" s="24" t="inlineStr">
        <is>
          <t>Vit Kopriva</t>
        </is>
      </c>
      <c r="G336" s="24" t="inlineStr">
        <is>
          <t>Tomas Martin Etcheverry</t>
        </is>
      </c>
      <c r="H336" s="24" t="inlineStr">
        <is>
          <t>moneyline</t>
        </is>
      </c>
      <c r="I336" s="24" t="inlineStr">
        <is>
          <t>home</t>
        </is>
      </c>
      <c r="J336" s="25" t="n"/>
      <c r="K336" s="24" t="inlineStr">
        <is>
          <t>polymarket_us</t>
        </is>
      </c>
      <c r="L336" s="26" t="n">
        <v>-170</v>
      </c>
      <c r="M336" s="27" t="n">
        <v>1.588235</v>
      </c>
      <c r="N336" s="28" t="n">
        <v>0.62963</v>
      </c>
      <c r="O336" s="28" t="n">
        <v>0.6202</v>
      </c>
      <c r="P336" s="28" t="n">
        <v>0.05</v>
      </c>
      <c r="Q336" s="28" t="n">
        <v>-0.009429999999999999</v>
      </c>
      <c r="R336" s="26" t="n">
        <v>15</v>
      </c>
      <c r="S336" s="29" t="n">
        <v>1</v>
      </c>
      <c r="T336" s="24" t="inlineStr">
        <is>
          <t>tennis-surface-elo-v1</t>
        </is>
      </c>
      <c r="U336" s="24" t="inlineStr">
        <is>
          <t>settled</t>
        </is>
      </c>
      <c r="V336" s="24" t="inlineStr">
        <is>
          <t>win</t>
        </is>
      </c>
      <c r="W336" s="26" t="n">
        <v>0</v>
      </c>
      <c r="X336" s="26" t="n">
        <v>1</v>
      </c>
      <c r="Y336" s="25" t="n"/>
      <c r="Z336" s="26" t="n"/>
      <c r="AA336" s="28" t="n"/>
      <c r="AB336" s="28" t="n"/>
      <c r="AC336" s="30" t="n">
        <v>0.5881999999999999</v>
      </c>
      <c r="AD336" s="24" t="inlineStr">
        <is>
          <t>2026-08-31T04:33:20.544390Z</t>
        </is>
      </c>
      <c r="AE336" s="31" t="inlineStr">
        <is>
          <t>Surface-blended Elo on Hard: Vit Kopriva p=0.380 vs Tomas Martin Etcheverry. Executable ask 0.6300 (aec-atp-tometc-vitkop-2026-08-30).</t>
        </is>
      </c>
      <c r="AF336" s="31" t="inlineStr">
        <is>
          <t>Surface-blended Elo model; singles only, WTA+ATP market coverage, not yet locked-holdout qualified -- promoted by explicit operator directive, not genuine walk-forward validation.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Vit Kopriva</t>
        </is>
      </c>
      <c r="AQ336" s="24" t="inlineStr">
        <is>
          <t>Vit Kopriva</t>
        </is>
      </c>
      <c r="AR336" s="24" t="inlineStr">
        <is>
          <t>Vit Kopriva</t>
        </is>
      </c>
      <c r="AS336" s="24" t="inlineStr">
        <is>
          <t>Tomas Martin Etcheverry</t>
        </is>
      </c>
      <c r="AT336" s="24" t="inlineStr">
        <is>
          <t>Tomas Martin Etcheverry</t>
        </is>
      </c>
      <c r="AU336" s="24" t="inlineStr">
        <is>
          <t>Tomas Martin Etcheverry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d777da58446bc099047b154203518e2585ef1a678f613f2b430f2589f7bf5cff</t>
        </is>
      </c>
      <c r="BB336" s="24" t="inlineStr">
        <is>
          <t>surface_blended_elo</t>
        </is>
      </c>
      <c r="BC336" s="24" t="inlineStr">
        <is>
          <t>tennis-surface-elo-v1</t>
        </is>
      </c>
      <c r="BD336" s="24" t="inlineStr">
        <is>
          <t>d777da58446bc099047b154203518e2585ef1a678f613f2b430f2589f7bf5cff</t>
        </is>
      </c>
      <c r="BE336" s="24" t="inlineStr">
        <is>
          <t>tennis-surface-elo-v1</t>
        </is>
      </c>
      <c r="BF336" s="24" t="inlineStr">
        <is>
          <t>1</t>
        </is>
      </c>
      <c r="BG336" s="24" t="inlineStr">
        <is>
          <t>d777da58446bc099047b154203518e2585ef1a678f613f2b430f2589f7bf5cff</t>
        </is>
      </c>
      <c r="BH336" s="24" t="inlineStr">
        <is>
          <t>2026-08-30T16:05:01.452807Z</t>
        </is>
      </c>
      <c r="BI336" s="24" t="inlineStr">
        <is>
          <t>["same_event","same_team_same_day","same_league_same_day"]</t>
        </is>
      </c>
      <c r="BJ336" s="25" t="n"/>
      <c r="BK336" s="26" t="n">
        <v>-170</v>
      </c>
      <c r="BL336" s="27" t="n">
        <v>1.588235</v>
      </c>
      <c r="BM336" s="28" t="n">
        <v>0.62963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0.588234</v>
      </c>
      <c r="BZ336" s="24" t="inlineStr">
        <is>
          <t>2026-08-31T04:33:20.544390Z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inlineStr">
        <is>
          <t>547f056b368993e9054dba81c7fdb1d12f09048525f54cb75224c38d5213fcea</t>
        </is>
      </c>
      <c r="DE336" s="24" t="inlineStr">
        <is>
          <t>/Users/vincentc9002/model-prediction/data/odds/tennis/2026-08-30/polymarket_snapshots.jsonl</t>
        </is>
      </c>
      <c r="DF336" s="24" t="inlineStr">
        <is>
          <t>547312:2026-08-30T16:05:01.452807Z</t>
        </is>
      </c>
      <c r="DG336" s="24" t="n"/>
      <c r="DH336" s="24" t="n"/>
      <c r="DI336" s="24" t="n"/>
      <c r="DJ336" s="24" t="inlineStr">
        <is>
          <t>0.62963</t>
        </is>
      </c>
      <c r="DK336" s="24" t="n"/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2cac4698f8494759</t>
        </is>
      </c>
      <c r="B337" s="24" t="inlineStr">
        <is>
          <t>2026-08-30T16:06:30.429692Z</t>
        </is>
      </c>
      <c r="C337" s="24" t="inlineStr">
        <is>
          <t>2026-08-30T20:00Z</t>
        </is>
      </c>
      <c r="D337" s="24" t="inlineStr">
        <is>
          <t>189-2026:182671</t>
        </is>
      </c>
      <c r="E337" s="24" t="inlineStr">
        <is>
          <t>TENNIS</t>
        </is>
      </c>
      <c r="F337" s="24" t="inlineStr">
        <is>
          <t>Jacob Fearnley</t>
        </is>
      </c>
      <c r="G337" s="24" t="inlineStr">
        <is>
          <t>Martin Landaluce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polymarket_us</t>
        </is>
      </c>
      <c r="L337" s="26" t="n">
        <v>-108</v>
      </c>
      <c r="M337" s="27" t="n">
        <v>1.925926</v>
      </c>
      <c r="N337" s="28" t="n">
        <v>0.519231</v>
      </c>
      <c r="O337" s="28" t="n">
        <v>0.5375</v>
      </c>
      <c r="P337" s="28" t="n">
        <v>0.05</v>
      </c>
      <c r="Q337" s="28" t="n">
        <v>0.018269</v>
      </c>
      <c r="R337" s="26" t="n">
        <v>29</v>
      </c>
      <c r="S337" s="29" t="n">
        <v>1</v>
      </c>
      <c r="T337" s="24" t="inlineStr">
        <is>
          <t>tennis-surface-elo-v1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/>
      <c r="Z337" s="26" t="n">
        <v>-108</v>
      </c>
      <c r="AA337" s="28" t="n">
        <v>0.52</v>
      </c>
      <c r="AB337" s="28" t="n">
        <v>0.000769</v>
      </c>
      <c r="AC337" s="30" t="n">
        <v>-1</v>
      </c>
      <c r="AD337" s="24" t="inlineStr">
        <is>
          <t>2026-09-01T04:30:16.551458Z</t>
        </is>
      </c>
      <c r="AE337" s="31" t="inlineStr">
        <is>
          <t>Surface-blended Elo on Hard: Jacob Fearnley p=0.462 vs Martin Landaluce. Executable ask 0.5200 (aec-atp-marlan-jacfea-2026-08-30).</t>
        </is>
      </c>
      <c r="AF337" s="31" t="inlineStr">
        <is>
          <t>Surface-blended Elo model; singles only, WTA+ATP market coverage, not yet locked-holdout qualified -- promoted by explicit operator directive, not genuine walk-forward validation.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Jacob Fearnley</t>
        </is>
      </c>
      <c r="AQ337" s="24" t="inlineStr">
        <is>
          <t>Jacob Fearnley</t>
        </is>
      </c>
      <c r="AR337" s="24" t="inlineStr">
        <is>
          <t>Jacob Fearnley</t>
        </is>
      </c>
      <c r="AS337" s="24" t="inlineStr">
        <is>
          <t>Martin Landaluce</t>
        </is>
      </c>
      <c r="AT337" s="24" t="inlineStr">
        <is>
          <t>Martin Landaluce</t>
        </is>
      </c>
      <c r="AU337" s="24" t="inlineStr">
        <is>
          <t>Martin Landaluce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d777da58446bc099047b154203518e2585ef1a678f613f2b430f2589f7bf5cff</t>
        </is>
      </c>
      <c r="BB337" s="24" t="inlineStr">
        <is>
          <t>surface_blended_elo</t>
        </is>
      </c>
      <c r="BC337" s="24" t="inlineStr">
        <is>
          <t>tennis-surface-elo-v1</t>
        </is>
      </c>
      <c r="BD337" s="24" t="inlineStr">
        <is>
          <t>d777da58446bc099047b154203518e2585ef1a678f613f2b430f2589f7bf5cff</t>
        </is>
      </c>
      <c r="BE337" s="24" t="inlineStr">
        <is>
          <t>tennis-surface-elo-v1</t>
        </is>
      </c>
      <c r="BF337" s="24" t="inlineStr">
        <is>
          <t>1</t>
        </is>
      </c>
      <c r="BG337" s="24" t="inlineStr">
        <is>
          <t>d777da58446bc099047b154203518e2585ef1a678f613f2b430f2589f7bf5cff</t>
        </is>
      </c>
      <c r="BH337" s="24" t="inlineStr">
        <is>
          <t>2026-08-30T16:05:01.301642Z</t>
        </is>
      </c>
      <c r="BI337" s="24" t="inlineStr">
        <is>
          <t>["same_event","same_team_same_day","same_league_same_day"]</t>
        </is>
      </c>
      <c r="BJ337" s="25" t="n"/>
      <c r="BK337" s="26" t="n">
        <v>-108</v>
      </c>
      <c r="BL337" s="27" t="n">
        <v>1.925926</v>
      </c>
      <c r="BM337" s="28" t="n">
        <v>0.519231</v>
      </c>
      <c r="BN337" s="28" t="n"/>
      <c r="BO337" s="28" t="n"/>
      <c r="BP337" s="25" t="n"/>
      <c r="BQ337" s="27" t="n">
        <v>1.925926</v>
      </c>
      <c r="BR337" s="28" t="n">
        <v>0.52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2026-09-01T04:30:16.551458Z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inlineStr">
        <is>
          <t>5c242674abb21faecf0067737ae71f7396ce8d5d6a2384158d170fbf75d0a677</t>
        </is>
      </c>
      <c r="DE337" s="24" t="inlineStr">
        <is>
          <t>/Users/vincentc9002/model-prediction/data/odds/tennis/2026-08-30/polymarket_snapshots.jsonl</t>
        </is>
      </c>
      <c r="DF337" s="24" t="inlineStr">
        <is>
          <t>550517:2026-08-30T16:05:01.301642Z</t>
        </is>
      </c>
      <c r="DG337" s="24" t="n"/>
      <c r="DH337" s="24" t="n"/>
      <c r="DI337" s="24" t="n"/>
      <c r="DJ337" s="24" t="inlineStr">
        <is>
          <t>0.519231</t>
        </is>
      </c>
      <c r="DK337" s="24" t="n"/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a72386b229e94997</t>
        </is>
      </c>
      <c r="B338" s="24" t="inlineStr">
        <is>
          <t>2026-08-30T16:06:30.429692Z</t>
        </is>
      </c>
      <c r="C338" s="24" t="inlineStr">
        <is>
          <t>2026-08-30T20:00Z</t>
        </is>
      </c>
      <c r="D338" s="24" t="inlineStr">
        <is>
          <t>189-2026:182769</t>
        </is>
      </c>
      <c r="E338" s="24" t="inlineStr">
        <is>
          <t>TENNIS</t>
        </is>
      </c>
      <c r="F338" s="24" t="inlineStr">
        <is>
          <t>Raphael Collignon</t>
        </is>
      </c>
      <c r="G338" s="24" t="inlineStr">
        <is>
          <t>Sebastian Gorzny</t>
        </is>
      </c>
      <c r="H338" s="24" t="inlineStr">
        <is>
          <t>moneyline</t>
        </is>
      </c>
      <c r="I338" s="24" t="inlineStr">
        <is>
          <t>away</t>
        </is>
      </c>
      <c r="J338" s="25" t="n"/>
      <c r="K338" s="24" t="inlineStr">
        <is>
          <t>polymarket_us</t>
        </is>
      </c>
      <c r="L338" s="26" t="n">
        <v>-669</v>
      </c>
      <c r="M338" s="27" t="n">
        <v>1.149477</v>
      </c>
      <c r="N338" s="28" t="n">
        <v>0.869961</v>
      </c>
      <c r="O338" s="28" t="n">
        <v>0.5832000000000001</v>
      </c>
      <c r="P338" s="28" t="n">
        <v>0.05</v>
      </c>
      <c r="Q338" s="28" t="n">
        <v>-0.286761</v>
      </c>
      <c r="R338" s="26" t="n">
        <v>0</v>
      </c>
      <c r="S338" s="29" t="n">
        <v>1</v>
      </c>
      <c r="T338" s="24" t="inlineStr">
        <is>
          <t>tennis-surface-elo-v1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1</v>
      </c>
      <c r="Y338" s="25" t="n"/>
      <c r="Z338" s="26" t="n">
        <v>-669</v>
      </c>
      <c r="AA338" s="28" t="n">
        <v>0.87</v>
      </c>
      <c r="AB338" s="28" t="n">
        <v>3.9e-05</v>
      </c>
      <c r="AC338" s="30" t="n">
        <v>-1</v>
      </c>
      <c r="AD338" s="24" t="inlineStr">
        <is>
          <t>2026-09-01T04:30:18.353849Z</t>
        </is>
      </c>
      <c r="AE338" s="31" t="inlineStr">
        <is>
          <t>Surface-blended Elo on Hard: Raphael Collignon p=0.583 vs Sebastian Gorzny. Executable ask 0.8700 (aec-atp-sebgor-rapcol-2026-08-30).</t>
        </is>
      </c>
      <c r="AF338" s="31" t="inlineStr">
        <is>
          <t>Surface-blended Elo model; singles only, WTA+ATP market coverage, not yet locked-holdout qualified -- promoted by explicit operator directive, not genuine walk-forward validation.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Raphael Collignon</t>
        </is>
      </c>
      <c r="AQ338" s="24" t="inlineStr">
        <is>
          <t>Raphael Collignon</t>
        </is>
      </c>
      <c r="AR338" s="24" t="inlineStr">
        <is>
          <t>Raphael Collignon</t>
        </is>
      </c>
      <c r="AS338" s="24" t="inlineStr">
        <is>
          <t>Sebastian Gorzny</t>
        </is>
      </c>
      <c r="AT338" s="24" t="inlineStr">
        <is>
          <t>Sebastian Gorzny</t>
        </is>
      </c>
      <c r="AU338" s="24" t="inlineStr">
        <is>
          <t>Sebastian Gorzny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d777da58446bc099047b154203518e2585ef1a678f613f2b430f2589f7bf5cff</t>
        </is>
      </c>
      <c r="BB338" s="24" t="inlineStr">
        <is>
          <t>surface_blended_elo</t>
        </is>
      </c>
      <c r="BC338" s="24" t="inlineStr">
        <is>
          <t>tennis-surface-elo-v1</t>
        </is>
      </c>
      <c r="BD338" s="24" t="inlineStr">
        <is>
          <t>d777da58446bc099047b154203518e2585ef1a678f613f2b430f2589f7bf5cff</t>
        </is>
      </c>
      <c r="BE338" s="24" t="inlineStr">
        <is>
          <t>tennis-surface-elo-v1</t>
        </is>
      </c>
      <c r="BF338" s="24" t="inlineStr">
        <is>
          <t>1</t>
        </is>
      </c>
      <c r="BG338" s="24" t="inlineStr">
        <is>
          <t>d777da58446bc099047b154203518e2585ef1a678f613f2b430f2589f7bf5cff</t>
        </is>
      </c>
      <c r="BH338" s="24" t="inlineStr">
        <is>
          <t>2026-08-30T16:05:01.225918Z</t>
        </is>
      </c>
      <c r="BI338" s="24" t="inlineStr">
        <is>
          <t>["same_event","same_team_same_day","same_league_same_day"]</t>
        </is>
      </c>
      <c r="BJ338" s="25" t="n"/>
      <c r="BK338" s="26" t="n">
        <v>-669</v>
      </c>
      <c r="BL338" s="27" t="n">
        <v>1.149477</v>
      </c>
      <c r="BM338" s="28" t="n">
        <v>0.869961</v>
      </c>
      <c r="BN338" s="28" t="n"/>
      <c r="BO338" s="28" t="n"/>
      <c r="BP338" s="25" t="n"/>
      <c r="BQ338" s="27" t="n">
        <v>1.149477</v>
      </c>
      <c r="BR338" s="28" t="n">
        <v>0.87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-1</v>
      </c>
      <c r="BZ338" s="24" t="inlineStr">
        <is>
          <t>2026-09-01T04:30:18.353849Z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False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inlineStr">
        <is>
          <t>b30db24013a28a06c80474630a6922ac94bedf23c661dfa12b37c2636b82fac8</t>
        </is>
      </c>
      <c r="DE338" s="24" t="inlineStr">
        <is>
          <t>/Users/vincentc9002/model-prediction/data/odds/tennis/2026-08-30/polymarket_snapshots.jsonl</t>
        </is>
      </c>
      <c r="DF338" s="24" t="inlineStr">
        <is>
          <t>547295:2026-08-30T16:05:01.225918Z</t>
        </is>
      </c>
      <c r="DG338" s="24" t="n"/>
      <c r="DH338" s="24" t="n"/>
      <c r="DI338" s="24" t="n"/>
      <c r="DJ338" s="24" t="inlineStr">
        <is>
          <t>0.869961</t>
        </is>
      </c>
      <c r="DK338" s="24" t="n"/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2128a3eab9574cf2</t>
        </is>
      </c>
      <c r="B339" s="24" t="inlineStr">
        <is>
          <t>2026-08-30T16:06:30.429692Z</t>
        </is>
      </c>
      <c r="C339" s="24" t="inlineStr">
        <is>
          <t>2026-08-30T21:00Z</t>
        </is>
      </c>
      <c r="D339" s="24" t="inlineStr">
        <is>
          <t>189-2026:182765</t>
        </is>
      </c>
      <c r="E339" s="24" t="inlineStr">
        <is>
          <t>TENNIS</t>
        </is>
      </c>
      <c r="F339" s="24" t="inlineStr">
        <is>
          <t>Federico Cina</t>
        </is>
      </c>
      <c r="G339" s="24" t="inlineStr">
        <is>
          <t>Alex Michelsen</t>
        </is>
      </c>
      <c r="H339" s="24" t="inlineStr">
        <is>
          <t>moneyline</t>
        </is>
      </c>
      <c r="I339" s="24" t="inlineStr">
        <is>
          <t>home</t>
        </is>
      </c>
      <c r="J339" s="25" t="n"/>
      <c r="K339" s="24" t="inlineStr">
        <is>
          <t>polymarket_us</t>
        </is>
      </c>
      <c r="L339" s="26" t="n">
        <v>-426</v>
      </c>
      <c r="M339" s="27" t="n">
        <v>1.234742</v>
      </c>
      <c r="N339" s="28" t="n">
        <v>0.809886</v>
      </c>
      <c r="O339" s="28" t="n">
        <v>0.6702</v>
      </c>
      <c r="P339" s="28" t="n">
        <v>0.05</v>
      </c>
      <c r="Q339" s="28" t="n">
        <v>-0.139686</v>
      </c>
      <c r="R339" s="26" t="n">
        <v>0</v>
      </c>
      <c r="S339" s="29" t="n">
        <v>1</v>
      </c>
      <c r="T339" s="24" t="inlineStr">
        <is>
          <t>tennis-surface-elo-v1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1</v>
      </c>
      <c r="Y339" s="25" t="n"/>
      <c r="Z339" s="26" t="n">
        <v>-426</v>
      </c>
      <c r="AA339" s="28" t="n">
        <v>0.8100000000000001</v>
      </c>
      <c r="AB339" s="28" t="n">
        <v>0.000114</v>
      </c>
      <c r="AC339" s="30" t="n">
        <v>0.2347</v>
      </c>
      <c r="AD339" s="24" t="inlineStr">
        <is>
          <t>2026-09-01T04:30:20.209560Z</t>
        </is>
      </c>
      <c r="AE339" s="31" t="inlineStr">
        <is>
          <t>Surface-blended Elo on Hard: Federico Cina p=0.330 vs Alex Michelsen. Executable ask 0.8100 (aec-atp-alemic-fedcin-2026-08-30).</t>
        </is>
      </c>
      <c r="AF339" s="31" t="inlineStr">
        <is>
          <t>Surface-blended Elo model; singles only, WTA+ATP market coverage, not yet locked-holdout qualified -- promoted by explicit operator directive, not genuine walk-forward validation.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Federico Cina</t>
        </is>
      </c>
      <c r="AQ339" s="24" t="inlineStr">
        <is>
          <t>Federico Cina</t>
        </is>
      </c>
      <c r="AR339" s="24" t="inlineStr">
        <is>
          <t>Federico Cina</t>
        </is>
      </c>
      <c r="AS339" s="24" t="inlineStr">
        <is>
          <t>Alex Michelsen</t>
        </is>
      </c>
      <c r="AT339" s="24" t="inlineStr">
        <is>
          <t>Alex Michelsen</t>
        </is>
      </c>
      <c r="AU339" s="24" t="inlineStr">
        <is>
          <t>Alex Michelsen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d777da58446bc099047b154203518e2585ef1a678f613f2b430f2589f7bf5cff</t>
        </is>
      </c>
      <c r="BB339" s="24" t="inlineStr">
        <is>
          <t>surface_blended_elo</t>
        </is>
      </c>
      <c r="BC339" s="24" t="inlineStr">
        <is>
          <t>tennis-surface-elo-v1</t>
        </is>
      </c>
      <c r="BD339" s="24" t="inlineStr">
        <is>
          <t>d777da58446bc099047b154203518e2585ef1a678f613f2b430f2589f7bf5cff</t>
        </is>
      </c>
      <c r="BE339" s="24" t="inlineStr">
        <is>
          <t>tennis-surface-elo-v1</t>
        </is>
      </c>
      <c r="BF339" s="24" t="inlineStr">
        <is>
          <t>1</t>
        </is>
      </c>
      <c r="BG339" s="24" t="inlineStr">
        <is>
          <t>d777da58446bc099047b154203518e2585ef1a678f613f2b430f2589f7bf5cff</t>
        </is>
      </c>
      <c r="BH339" s="24" t="inlineStr">
        <is>
          <t>2026-08-30T16:05:01.614883Z</t>
        </is>
      </c>
      <c r="BI339" s="24" t="inlineStr">
        <is>
          <t>["same_event","same_team_same_day","same_league_same_day"]</t>
        </is>
      </c>
      <c r="BJ339" s="25" t="n"/>
      <c r="BK339" s="26" t="n">
        <v>-426</v>
      </c>
      <c r="BL339" s="27" t="n">
        <v>1.234742</v>
      </c>
      <c r="BM339" s="28" t="n">
        <v>0.809886</v>
      </c>
      <c r="BN339" s="28" t="n"/>
      <c r="BO339" s="28" t="n"/>
      <c r="BP339" s="25" t="n"/>
      <c r="BQ339" s="27" t="n">
        <v>1.234742</v>
      </c>
      <c r="BR339" s="28" t="n">
        <v>0.8100000000000001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0.234742</v>
      </c>
      <c r="BZ339" s="24" t="inlineStr">
        <is>
          <t>2026-09-01T04:30:20.209560Z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inlineStr">
        <is>
          <t>69ab89e3e39de4c851fe1ccce26c7bc090c1fcebe614dcf1c3e8b178d3d6afec</t>
        </is>
      </c>
      <c r="DE339" s="24" t="inlineStr">
        <is>
          <t>/Users/vincentc9002/model-prediction/data/odds/tennis/2026-08-30/polymarket_snapshots.jsonl</t>
        </is>
      </c>
      <c r="DF339" s="24" t="inlineStr">
        <is>
          <t>550514:2026-08-30T16:05:01.614883Z</t>
        </is>
      </c>
      <c r="DG339" s="24" t="n"/>
      <c r="DH339" s="24" t="n"/>
      <c r="DI339" s="24" t="n"/>
      <c r="DJ339" s="24" t="inlineStr">
        <is>
          <t>0.809886</t>
        </is>
      </c>
      <c r="DK339" s="24" t="n"/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e8238041ee854d88</t>
        </is>
      </c>
      <c r="B340" s="24" t="inlineStr">
        <is>
          <t>2026-08-30T16:06:30.429692Z</t>
        </is>
      </c>
      <c r="C340" s="24" t="inlineStr">
        <is>
          <t>2026-08-30T23:00Z</t>
        </is>
      </c>
      <c r="D340" s="24" t="inlineStr">
        <is>
          <t>189-2026:182675</t>
        </is>
      </c>
      <c r="E340" s="24" t="inlineStr">
        <is>
          <t>TENNIS</t>
        </is>
      </c>
      <c r="F340" s="24" t="inlineStr">
        <is>
          <t>Novak Djokovic</t>
        </is>
      </c>
      <c r="G340" s="24" t="inlineStr">
        <is>
          <t>Mariano Navone</t>
        </is>
      </c>
      <c r="H340" s="24" t="inlineStr">
        <is>
          <t>moneyline</t>
        </is>
      </c>
      <c r="I340" s="24" t="inlineStr">
        <is>
          <t>away</t>
        </is>
      </c>
      <c r="J340" s="25" t="n"/>
      <c r="K340" s="24" t="inlineStr">
        <is>
          <t>polymarket_us</t>
        </is>
      </c>
      <c r="L340" s="26" t="n">
        <v>-488</v>
      </c>
      <c r="M340" s="27" t="n">
        <v>1.204918</v>
      </c>
      <c r="N340" s="28" t="n">
        <v>0.829932</v>
      </c>
      <c r="O340" s="28" t="n">
        <v>0.8407</v>
      </c>
      <c r="P340" s="28" t="n">
        <v>0.05</v>
      </c>
      <c r="Q340" s="28" t="n">
        <v>0.010768</v>
      </c>
      <c r="R340" s="26" t="n">
        <v>25</v>
      </c>
      <c r="S340" s="29" t="n">
        <v>1</v>
      </c>
      <c r="T340" s="24" t="inlineStr">
        <is>
          <t>tennis-surface-elo-v1</t>
        </is>
      </c>
      <c r="U340" s="24" t="inlineStr">
        <is>
          <t>settled</t>
        </is>
      </c>
      <c r="V340" s="24" t="inlineStr">
        <is>
          <t>loss</t>
        </is>
      </c>
      <c r="W340" s="26" t="n">
        <v>0</v>
      </c>
      <c r="X340" s="26" t="n">
        <v>1</v>
      </c>
      <c r="Y340" s="25" t="n"/>
      <c r="Z340" s="26" t="n">
        <v>-488</v>
      </c>
      <c r="AA340" s="28" t="n">
        <v>0.83</v>
      </c>
      <c r="AB340" s="28" t="n">
        <v>6.8e-05</v>
      </c>
      <c r="AC340" s="30" t="n">
        <v>-1</v>
      </c>
      <c r="AD340" s="24" t="inlineStr">
        <is>
          <t>2026-08-31T04:33:22.305460Z</t>
        </is>
      </c>
      <c r="AE340" s="31" t="inlineStr">
        <is>
          <t>Surface-blended Elo on Hard: Novak Djokovic p=0.841 vs Mariano Navone. Executable ask 0.8300 (aec-atp-marnav-novdjo-2026-08-30).</t>
        </is>
      </c>
      <c r="AF340" s="31" t="inlineStr">
        <is>
          <t>Surface-blended Elo model; singles only, WTA+ATP market coverage, not yet locked-holdout qualified -- promoted by explicit operator directive, not genuine walk-forward validation.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PAPER_CALL_LOW_EDGE</t>
        </is>
      </c>
      <c r="AP340" s="24" t="inlineStr">
        <is>
          <t>Novak Djokovic</t>
        </is>
      </c>
      <c r="AQ340" s="24" t="inlineStr">
        <is>
          <t>Novak Djokovic</t>
        </is>
      </c>
      <c r="AR340" s="24" t="inlineStr">
        <is>
          <t>Novak Djokovic</t>
        </is>
      </c>
      <c r="AS340" s="24" t="inlineStr">
        <is>
          <t>Mariano Navone</t>
        </is>
      </c>
      <c r="AT340" s="24" t="inlineStr">
        <is>
          <t>Mariano Navone</t>
        </is>
      </c>
      <c r="AU340" s="24" t="inlineStr">
        <is>
          <t>Mariano Navone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d777da58446bc099047b154203518e2585ef1a678f613f2b430f2589f7bf5cff</t>
        </is>
      </c>
      <c r="BB340" s="24" t="inlineStr">
        <is>
          <t>surface_blended_elo</t>
        </is>
      </c>
      <c r="BC340" s="24" t="inlineStr">
        <is>
          <t>tennis-surface-elo-v1</t>
        </is>
      </c>
      <c r="BD340" s="24" t="inlineStr">
        <is>
          <t>d777da58446bc099047b154203518e2585ef1a678f613f2b430f2589f7bf5cff</t>
        </is>
      </c>
      <c r="BE340" s="24" t="inlineStr">
        <is>
          <t>tennis-surface-elo-v1</t>
        </is>
      </c>
      <c r="BF340" s="24" t="inlineStr">
        <is>
          <t>1</t>
        </is>
      </c>
      <c r="BG340" s="24" t="inlineStr">
        <is>
          <t>d777da58446bc099047b154203518e2585ef1a678f613f2b430f2589f7bf5cff</t>
        </is>
      </c>
      <c r="BH340" s="24" t="inlineStr">
        <is>
          <t>2026-08-30T16:05:02.483364Z</t>
        </is>
      </c>
      <c r="BI340" s="24" t="inlineStr">
        <is>
          <t>["same_event","same_team_same_day","same_league_same_day"]</t>
        </is>
      </c>
      <c r="BJ340" s="25" t="n"/>
      <c r="BK340" s="26" t="n">
        <v>-488</v>
      </c>
      <c r="BL340" s="27" t="n">
        <v>1.204918</v>
      </c>
      <c r="BM340" s="28" t="n">
        <v>0.829932</v>
      </c>
      <c r="BN340" s="28" t="n"/>
      <c r="BO340" s="28" t="n"/>
      <c r="BP340" s="25" t="n"/>
      <c r="BQ340" s="27" t="n">
        <v>1.204918</v>
      </c>
      <c r="BR340" s="28" t="n">
        <v>0.83</v>
      </c>
      <c r="BS340" s="28" t="n"/>
      <c r="BT340" s="28" t="n"/>
      <c r="BU340" s="25" t="n"/>
      <c r="BV340" s="29" t="n"/>
      <c r="BW340" s="24" t="n"/>
      <c r="BX340" s="30" t="n">
        <v>1</v>
      </c>
      <c r="BY340" s="27" t="n">
        <v>-1</v>
      </c>
      <c r="BZ340" s="24" t="inlineStr">
        <is>
          <t>2026-08-31T04:33:22.305460Z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inlineStr">
        <is>
          <t>ab13f1dbe56d25f73b79b81b5f581c38ed573a1c0653ae642f7c87ea77833e26</t>
        </is>
      </c>
      <c r="DE340" s="24" t="inlineStr">
        <is>
          <t>/Users/vincentc9002/model-prediction/data/odds/tennis/2026-08-30/polymarket_snapshots.jsonl</t>
        </is>
      </c>
      <c r="DF340" s="24" t="inlineStr">
        <is>
          <t>547318:2026-08-30T16:05:02.483364Z</t>
        </is>
      </c>
      <c r="DG340" s="24" t="n"/>
      <c r="DH340" s="24" t="n"/>
      <c r="DI340" s="24" t="n"/>
      <c r="DJ340" s="24" t="inlineStr">
        <is>
          <t>0.829932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5fddbdd2e6544bb6</t>
        </is>
      </c>
      <c r="B341" s="24" t="inlineStr">
        <is>
          <t>2026-08-30T16:06:30.429692Z</t>
        </is>
      </c>
      <c r="C341" s="24" t="inlineStr">
        <is>
          <t>2026-08-31T00:30Z</t>
        </is>
      </c>
      <c r="D341" s="24" t="inlineStr">
        <is>
          <t>189-2026:182658</t>
        </is>
      </c>
      <c r="E341" s="24" t="inlineStr">
        <is>
          <t>TENNIS</t>
        </is>
      </c>
      <c r="F341" s="24" t="inlineStr">
        <is>
          <t>J.J. Wolf</t>
        </is>
      </c>
      <c r="G341" s="24" t="inlineStr">
        <is>
          <t>Alexander Bublik</t>
        </is>
      </c>
      <c r="H341" s="24" t="inlineStr">
        <is>
          <t>moneyline</t>
        </is>
      </c>
      <c r="I341" s="24" t="inlineStr">
        <is>
          <t>home</t>
        </is>
      </c>
      <c r="J341" s="25" t="n"/>
      <c r="K341" s="24" t="inlineStr">
        <is>
          <t>polymarket_us</t>
        </is>
      </c>
      <c r="L341" s="26" t="n">
        <v>-223</v>
      </c>
      <c r="M341" s="27" t="n">
        <v>1.44843</v>
      </c>
      <c r="N341" s="28" t="n">
        <v>0.690402</v>
      </c>
      <c r="O341" s="28" t="n">
        <v>0.8061</v>
      </c>
      <c r="P341" s="28" t="n">
        <v>0.05</v>
      </c>
      <c r="Q341" s="28" t="n">
        <v>0.115698</v>
      </c>
      <c r="R341" s="26" t="n">
        <v>78</v>
      </c>
      <c r="S341" s="29" t="n">
        <v>1.5</v>
      </c>
      <c r="T341" s="24" t="inlineStr">
        <is>
          <t>tennis-surface-elo-v1</t>
        </is>
      </c>
      <c r="U341" s="24" t="inlineStr">
        <is>
          <t>settled</t>
        </is>
      </c>
      <c r="V341" s="24" t="inlineStr">
        <is>
          <t>win</t>
        </is>
      </c>
      <c r="W341" s="26" t="n">
        <v>0</v>
      </c>
      <c r="X341" s="26" t="n">
        <v>1</v>
      </c>
      <c r="Y341" s="25" t="n"/>
      <c r="Z341" s="26" t="n">
        <v>-223</v>
      </c>
      <c r="AA341" s="28" t="n">
        <v>0.6899999999999999</v>
      </c>
      <c r="AB341" s="28" t="n">
        <v>-0.000402</v>
      </c>
      <c r="AC341" s="30" t="n">
        <v>0.6726</v>
      </c>
      <c r="AD341" s="24" t="inlineStr">
        <is>
          <t>2026-08-31T04:33:24.062748Z</t>
        </is>
      </c>
      <c r="AE341" s="31" t="inlineStr">
        <is>
          <t>Surface-blended Elo on Hard: J.J. Wolf p=0.194 vs Alexander Bublik. Executable ask 0.6900 (aec-atp-alebub-jjwol-2026-08-30).</t>
        </is>
      </c>
      <c r="AF341" s="31" t="inlineStr">
        <is>
          <t>Surface-blended Elo model; singles only, WTA+ATP market coverage, not yet locked-holdout qualified -- promoted by explicit operator directive, not genuine walk-forward validation.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J.J. Wolf</t>
        </is>
      </c>
      <c r="AQ341" s="24" t="inlineStr">
        <is>
          <t>J.J. Wolf</t>
        </is>
      </c>
      <c r="AR341" s="24" t="inlineStr">
        <is>
          <t>J.J. Wolf</t>
        </is>
      </c>
      <c r="AS341" s="24" t="inlineStr">
        <is>
          <t>Alexander Bublik</t>
        </is>
      </c>
      <c r="AT341" s="24" t="inlineStr">
        <is>
          <t>Alexander Bublik</t>
        </is>
      </c>
      <c r="AU341" s="24" t="inlineStr">
        <is>
          <t>Alexander Bublik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d777da58446bc099047b154203518e2585ef1a678f613f2b430f2589f7bf5cff</t>
        </is>
      </c>
      <c r="BB341" s="24" t="inlineStr">
        <is>
          <t>surface_blended_elo</t>
        </is>
      </c>
      <c r="BC341" s="24" t="inlineStr">
        <is>
          <t>tennis-surface-elo-v1</t>
        </is>
      </c>
      <c r="BD341" s="24" t="inlineStr">
        <is>
          <t>d777da58446bc099047b154203518e2585ef1a678f613f2b430f2589f7bf5cff</t>
        </is>
      </c>
      <c r="BE341" s="24" t="inlineStr">
        <is>
          <t>tennis-surface-elo-v1</t>
        </is>
      </c>
      <c r="BF341" s="24" t="inlineStr">
        <is>
          <t>1</t>
        </is>
      </c>
      <c r="BG341" s="24" t="inlineStr">
        <is>
          <t>d777da58446bc099047b154203518e2585ef1a678f613f2b430f2589f7bf5cff</t>
        </is>
      </c>
      <c r="BH341" s="24" t="inlineStr">
        <is>
          <t>2026-08-30T16:05:02.476773Z</t>
        </is>
      </c>
      <c r="BI341" s="24" t="inlineStr">
        <is>
          <t>["same_event","same_team_same_day","same_league_same_day"]</t>
        </is>
      </c>
      <c r="BJ341" s="25" t="n"/>
      <c r="BK341" s="26" t="n">
        <v>-223</v>
      </c>
      <c r="BL341" s="27" t="n">
        <v>1.44843</v>
      </c>
      <c r="BM341" s="28" t="n">
        <v>0.690402</v>
      </c>
      <c r="BN341" s="28" t="n"/>
      <c r="BO341" s="28" t="n"/>
      <c r="BP341" s="25" t="n"/>
      <c r="BQ341" s="27" t="n">
        <v>1.44843</v>
      </c>
      <c r="BR341" s="28" t="n">
        <v>0.6899999999999999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inlineStr">
        <is>
          <t>dabc5ee15a62ffce9ed0c01b6af8264fc8e6e773bdf76f32482b62d32711b809</t>
        </is>
      </c>
      <c r="DE341" s="24" t="inlineStr">
        <is>
          <t>/Users/vincentc9002/model-prediction/data/odds/tennis/2026-08-30/polymarket_snapshots.jsonl</t>
        </is>
      </c>
      <c r="DF341" s="24" t="inlineStr">
        <is>
          <t>547346:2026-08-30T16:05:02.476773Z</t>
        </is>
      </c>
      <c r="DG341" s="24" t="n"/>
      <c r="DH341" s="24" t="n"/>
      <c r="DI341" s="24" t="n"/>
      <c r="DJ341" s="24" t="inlineStr">
        <is>
          <t>0.690402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2dd02512c1a74b0f</t>
        </is>
      </c>
      <c r="B342" s="24" t="inlineStr">
        <is>
          <t>2026-08-31T04:42:52.714206Z</t>
        </is>
      </c>
      <c r="C342" s="24" t="inlineStr">
        <is>
          <t>2026-08-31T15:00Z</t>
        </is>
      </c>
      <c r="D342" s="24" t="inlineStr">
        <is>
          <t>189-2026:182606</t>
        </is>
      </c>
      <c r="E342" s="24" t="inlineStr">
        <is>
          <t>TENNIS</t>
        </is>
      </c>
      <c r="F342" s="24" t="inlineStr">
        <is>
          <t>Peyton Stearns</t>
        </is>
      </c>
      <c r="G342" s="24" t="inlineStr">
        <is>
          <t>Harriet Dart</t>
        </is>
      </c>
      <c r="H342" s="24" t="inlineStr">
        <is>
          <t>moneyline</t>
        </is>
      </c>
      <c r="I342" s="24" t="inlineStr">
        <is>
          <t>away</t>
        </is>
      </c>
      <c r="J342" s="25" t="n"/>
      <c r="K342" s="24" t="inlineStr">
        <is>
          <t>polymarket_us</t>
        </is>
      </c>
      <c r="L342" s="26" t="n">
        <v>-257</v>
      </c>
      <c r="M342" s="27" t="n">
        <v>1.389105</v>
      </c>
      <c r="N342" s="28" t="n">
        <v>0.719888</v>
      </c>
      <c r="O342" s="28" t="n">
        <v>0.5782</v>
      </c>
      <c r="P342" s="28" t="n">
        <v>0.05</v>
      </c>
      <c r="Q342" s="28" t="n">
        <v>-0.141688</v>
      </c>
      <c r="R342" s="26" t="n">
        <v>0</v>
      </c>
      <c r="S342" s="29" t="n">
        <v>1</v>
      </c>
      <c r="T342" s="24" t="inlineStr">
        <is>
          <t>tennis-surface-elo-v1</t>
        </is>
      </c>
      <c r="U342" s="24" t="inlineStr">
        <is>
          <t>settled</t>
        </is>
      </c>
      <c r="V342" s="24" t="inlineStr">
        <is>
          <t>loss</t>
        </is>
      </c>
      <c r="W342" s="26" t="n">
        <v>0</v>
      </c>
      <c r="X342" s="26" t="n">
        <v>1</v>
      </c>
      <c r="Y342" s="25" t="n"/>
      <c r="Z342" s="26" t="n">
        <v>-257</v>
      </c>
      <c r="AA342" s="28" t="n">
        <v>0.72</v>
      </c>
      <c r="AB342" s="28" t="n">
        <v>0.000112</v>
      </c>
      <c r="AC342" s="30" t="n">
        <v>-1</v>
      </c>
      <c r="AD342" s="24" t="inlineStr">
        <is>
          <t>2026-09-01T04:30:22.237940Z</t>
        </is>
      </c>
      <c r="AE342" s="31" t="inlineStr">
        <is>
          <t>Surface-blended Elo on Hard: Peyton Stearns p=0.578 vs Harriet Dart. Executable ask 0.7200 (aec-wta-hardar-peyste-2026-08-30).</t>
        </is>
      </c>
      <c r="AF342" s="31" t="inlineStr">
        <is>
          <t>Surface-blended Elo model; singles only, WTA+ATP market coverage, not yet locked-holdout qualified -- promoted by explicit operator directive, not genuine walk-forward validation.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Peyton Stearns</t>
        </is>
      </c>
      <c r="AQ342" s="24" t="inlineStr">
        <is>
          <t>Peyton Stearns</t>
        </is>
      </c>
      <c r="AR342" s="24" t="inlineStr">
        <is>
          <t>Peyton Stearns</t>
        </is>
      </c>
      <c r="AS342" s="24" t="inlineStr">
        <is>
          <t>Harriet Dart</t>
        </is>
      </c>
      <c r="AT342" s="24" t="inlineStr">
        <is>
          <t>Harriet Dart</t>
        </is>
      </c>
      <c r="AU342" s="24" t="inlineStr">
        <is>
          <t>Harriet Dart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d777da58446bc099047b154203518e2585ef1a678f613f2b430f2589f7bf5cff</t>
        </is>
      </c>
      <c r="BB342" s="24" t="inlineStr">
        <is>
          <t>surface_blended_elo</t>
        </is>
      </c>
      <c r="BC342" s="24" t="inlineStr">
        <is>
          <t>tennis-surface-elo-v1</t>
        </is>
      </c>
      <c r="BD342" s="24" t="inlineStr">
        <is>
          <t>d777da58446bc099047b154203518e2585ef1a678f613f2b430f2589f7bf5cff</t>
        </is>
      </c>
      <c r="BE342" s="24" t="inlineStr">
        <is>
          <t>tennis-surface-elo-v1</t>
        </is>
      </c>
      <c r="BF342" s="24" t="inlineStr">
        <is>
          <t>1</t>
        </is>
      </c>
      <c r="BG342" s="24" t="inlineStr">
        <is>
          <t>d777da58446bc099047b154203518e2585ef1a678f613f2b430f2589f7bf5cff</t>
        </is>
      </c>
      <c r="BH342" s="24" t="inlineStr">
        <is>
          <t>2026-08-31T04:41:24.631598Z</t>
        </is>
      </c>
      <c r="BI342" s="24" t="inlineStr">
        <is>
          <t>["same_event","same_team_same_day","same_league_same_day"]</t>
        </is>
      </c>
      <c r="BJ342" s="25" t="n"/>
      <c r="BK342" s="26" t="n">
        <v>-257</v>
      </c>
      <c r="BL342" s="27" t="n">
        <v>1.389105</v>
      </c>
      <c r="BM342" s="28" t="n">
        <v>0.719888</v>
      </c>
      <c r="BN342" s="28" t="n"/>
      <c r="BO342" s="28" t="n"/>
      <c r="BP342" s="25" t="n"/>
      <c r="BQ342" s="27" t="n">
        <v>1.389105</v>
      </c>
      <c r="BR342" s="28" t="n">
        <v>0.72</v>
      </c>
      <c r="BS342" s="28" t="n"/>
      <c r="BT342" s="28" t="n"/>
      <c r="BU342" s="25" t="n"/>
      <c r="BV342" s="29" t="n"/>
      <c r="BW342" s="24" t="n"/>
      <c r="BX342" s="30" t="n">
        <v>1</v>
      </c>
      <c r="BY342" s="27" t="n">
        <v>-1</v>
      </c>
      <c r="BZ342" s="24" t="inlineStr">
        <is>
          <t>2026-09-01T04:30:22.237940Z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inlineStr">
        <is>
          <t>7513faf42d23edfabea7a92837747e76576ed349c5ba19ef5be8a727a1b44fa3</t>
        </is>
      </c>
      <c r="DE342" s="24" t="inlineStr">
        <is>
          <t>/Users/vincentc9002/model-prediction/data/odds/tennis/2026-08-31/polymarket_snapshots.jsonl</t>
        </is>
      </c>
      <c r="DF342" s="24" t="inlineStr">
        <is>
          <t>550527:2026-08-31T04:41:24.631598Z</t>
        </is>
      </c>
      <c r="DG342" s="24" t="n"/>
      <c r="DH342" s="24" t="n"/>
      <c r="DI342" s="24" t="n"/>
      <c r="DJ342" s="24" t="inlineStr">
        <is>
          <t>0.719888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3a0c0b30d26647d8</t>
        </is>
      </c>
      <c r="B343" s="24" t="inlineStr">
        <is>
          <t>2026-08-31T04:42:52.714206Z</t>
        </is>
      </c>
      <c r="C343" s="24" t="inlineStr">
        <is>
          <t>2026-08-31T15:00Z</t>
        </is>
      </c>
      <c r="D343" s="24" t="inlineStr">
        <is>
          <t>189-2026:182610</t>
        </is>
      </c>
      <c r="E343" s="24" t="inlineStr">
        <is>
          <t>TENNIS</t>
        </is>
      </c>
      <c r="F343" s="24" t="inlineStr">
        <is>
          <t>Marie Bouzkova</t>
        </is>
      </c>
      <c r="G343" s="24" t="inlineStr">
        <is>
          <t>Elsa Jacquemot</t>
        </is>
      </c>
      <c r="H343" s="24" t="inlineStr">
        <is>
          <t>moneyline</t>
        </is>
      </c>
      <c r="I343" s="24" t="inlineStr">
        <is>
          <t>away</t>
        </is>
      </c>
      <c r="J343" s="25" t="n"/>
      <c r="K343" s="24" t="inlineStr">
        <is>
          <t>polymarket_us</t>
        </is>
      </c>
      <c r="L343" s="26" t="n">
        <v>-809</v>
      </c>
      <c r="M343" s="27" t="n">
        <v>1.123609</v>
      </c>
      <c r="N343" s="28" t="n">
        <v>0.889989</v>
      </c>
      <c r="O343" s="28" t="n">
        <v>0.8181</v>
      </c>
      <c r="P343" s="28" t="n">
        <v>0.05</v>
      </c>
      <c r="Q343" s="28" t="n">
        <v>-0.07188899999999999</v>
      </c>
      <c r="R343" s="26" t="n">
        <v>0</v>
      </c>
      <c r="S343" s="29" t="n">
        <v>1</v>
      </c>
      <c r="T343" s="24" t="inlineStr">
        <is>
          <t>tennis-surface-elo-v1</t>
        </is>
      </c>
      <c r="U343" s="24" t="inlineStr">
        <is>
          <t>settled</t>
        </is>
      </c>
      <c r="V343" s="24" t="inlineStr">
        <is>
          <t>win</t>
        </is>
      </c>
      <c r="W343" s="26" t="n">
        <v>1</v>
      </c>
      <c r="X343" s="26" t="n">
        <v>0</v>
      </c>
      <c r="Y343" s="25" t="n"/>
      <c r="Z343" s="26" t="n">
        <v>-809</v>
      </c>
      <c r="AA343" s="28" t="n">
        <v>0.89</v>
      </c>
      <c r="AB343" s="28" t="n">
        <v>1.1e-05</v>
      </c>
      <c r="AC343" s="30" t="n">
        <v>0.1236</v>
      </c>
      <c r="AD343" s="24" t="inlineStr">
        <is>
          <t>2026-09-01T04:30:24.120250Z</t>
        </is>
      </c>
      <c r="AE343" s="31" t="inlineStr">
        <is>
          <t>Surface-blended Elo on Hard: Marie Bouzkova p=0.818 vs Elsa Jacquemot. Executable ask 0.8900 (aec-wta-elsjac-marbou-2026-08-30).</t>
        </is>
      </c>
      <c r="AF343" s="31" t="inlineStr">
        <is>
          <t>Surface-blended Elo model; singles only, WTA+ATP market coverage, not yet locked-holdout qualified -- promoted by explicit operator directive, not genuine walk-forward validation.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PAPER_CALL_LOW_EDGE</t>
        </is>
      </c>
      <c r="AP343" s="24" t="inlineStr">
        <is>
          <t>Marie Bouzkova</t>
        </is>
      </c>
      <c r="AQ343" s="24" t="inlineStr">
        <is>
          <t>Marie Bouzkova</t>
        </is>
      </c>
      <c r="AR343" s="24" t="inlineStr">
        <is>
          <t>Marie Bouzkova</t>
        </is>
      </c>
      <c r="AS343" s="24" t="inlineStr">
        <is>
          <t>Elsa Jacquemot</t>
        </is>
      </c>
      <c r="AT343" s="24" t="inlineStr">
        <is>
          <t>Elsa Jacquemot</t>
        </is>
      </c>
      <c r="AU343" s="24" t="inlineStr">
        <is>
          <t>Elsa Jacquemot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d777da58446bc099047b154203518e2585ef1a678f613f2b430f2589f7bf5cff</t>
        </is>
      </c>
      <c r="BB343" s="24" t="inlineStr">
        <is>
          <t>surface_blended_elo</t>
        </is>
      </c>
      <c r="BC343" s="24" t="inlineStr">
        <is>
          <t>tennis-surface-elo-v1</t>
        </is>
      </c>
      <c r="BD343" s="24" t="inlineStr">
        <is>
          <t>d777da58446bc099047b154203518e2585ef1a678f613f2b430f2589f7bf5cff</t>
        </is>
      </c>
      <c r="BE343" s="24" t="inlineStr">
        <is>
          <t>tennis-surface-elo-v1</t>
        </is>
      </c>
      <c r="BF343" s="24" t="inlineStr">
        <is>
          <t>1</t>
        </is>
      </c>
      <c r="BG343" s="24" t="inlineStr">
        <is>
          <t>d777da58446bc099047b154203518e2585ef1a678f613f2b430f2589f7bf5cff</t>
        </is>
      </c>
      <c r="BH343" s="24" t="inlineStr">
        <is>
          <t>2026-08-31T04:41:24.850646Z</t>
        </is>
      </c>
      <c r="BI343" s="24" t="inlineStr">
        <is>
          <t>["same_event","same_team_same_day","same_league_same_day"]</t>
        </is>
      </c>
      <c r="BJ343" s="25" t="n"/>
      <c r="BK343" s="26" t="n">
        <v>-809</v>
      </c>
      <c r="BL343" s="27" t="n">
        <v>1.123609</v>
      </c>
      <c r="BM343" s="28" t="n">
        <v>0.889989</v>
      </c>
      <c r="BN343" s="28" t="n"/>
      <c r="BO343" s="28" t="n"/>
      <c r="BP343" s="25" t="n"/>
      <c r="BQ343" s="27" t="n">
        <v>1.123609</v>
      </c>
      <c r="BR343" s="28" t="n">
        <v>0.89</v>
      </c>
      <c r="BS343" s="28" t="n"/>
      <c r="BT343" s="28" t="n"/>
      <c r="BU343" s="25" t="n"/>
      <c r="BV343" s="29" t="n"/>
      <c r="BW343" s="24" t="n"/>
      <c r="BX343" s="30" t="n">
        <v>1</v>
      </c>
      <c r="BY343" s="27" t="n">
        <v>0.123609</v>
      </c>
      <c r="BZ343" s="24" t="inlineStr">
        <is>
          <t>2026-09-01T04:30:24.120250Z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False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inlineStr">
        <is>
          <t>b3e7f6972ae7e732e739150a95be1be3d63df7d7d32f37398e50e0c10104a82f</t>
        </is>
      </c>
      <c r="DE343" s="24" t="inlineStr">
        <is>
          <t>/Users/vincentc9002/model-prediction/data/odds/tennis/2026-08-31/polymarket_snapshots.jsonl</t>
        </is>
      </c>
      <c r="DF343" s="24" t="inlineStr">
        <is>
          <t>547319:2026-08-31T04:41:24.850646Z</t>
        </is>
      </c>
      <c r="DG343" s="24" t="n"/>
      <c r="DH343" s="24" t="n"/>
      <c r="DI343" s="24" t="n"/>
      <c r="DJ343" s="24" t="inlineStr">
        <is>
          <t>0.889989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2709c935238e474f</t>
        </is>
      </c>
      <c r="B344" s="24" t="inlineStr">
        <is>
          <t>2026-08-31T04:42:52.714206Z</t>
        </is>
      </c>
      <c r="C344" s="24" t="inlineStr">
        <is>
          <t>2026-08-31T15:00Z</t>
        </is>
      </c>
      <c r="D344" s="24" t="inlineStr">
        <is>
          <t>189-2026:182614</t>
        </is>
      </c>
      <c r="E344" s="24" t="inlineStr">
        <is>
          <t>TENNIS</t>
        </is>
      </c>
      <c r="F344" s="24" t="inlineStr">
        <is>
          <t>Kristina Liutova</t>
        </is>
      </c>
      <c r="G344" s="24" t="inlineStr">
        <is>
          <t>Zheng Qinwen</t>
        </is>
      </c>
      <c r="H344" s="24" t="inlineStr">
        <is>
          <t>moneyline</t>
        </is>
      </c>
      <c r="I344" s="24" t="inlineStr">
        <is>
          <t>home</t>
        </is>
      </c>
      <c r="J344" s="25" t="n"/>
      <c r="K344" s="24" t="inlineStr">
        <is>
          <t>polymarket_us</t>
        </is>
      </c>
      <c r="L344" s="26" t="n">
        <v>-170</v>
      </c>
      <c r="M344" s="27" t="n">
        <v>1.588235</v>
      </c>
      <c r="N344" s="28" t="n">
        <v>0.62963</v>
      </c>
      <c r="O344" s="28" t="n">
        <v>0.7319</v>
      </c>
      <c r="P344" s="28" t="n">
        <v>0.05</v>
      </c>
      <c r="Q344" s="28" t="n">
        <v>0.10227</v>
      </c>
      <c r="R344" s="26" t="n">
        <v>71</v>
      </c>
      <c r="S344" s="29" t="n">
        <v>1.25</v>
      </c>
      <c r="T344" s="24" t="inlineStr">
        <is>
          <t>tennis-surface-elo-v1</t>
        </is>
      </c>
      <c r="U344" s="24" t="inlineStr">
        <is>
          <t>settled</t>
        </is>
      </c>
      <c r="V344" s="24" t="inlineStr">
        <is>
          <t>win</t>
        </is>
      </c>
      <c r="W344" s="26" t="n">
        <v>0</v>
      </c>
      <c r="X344" s="26" t="n">
        <v>1</v>
      </c>
      <c r="Y344" s="25" t="n"/>
      <c r="Z344" s="26" t="n"/>
      <c r="AA344" s="28" t="n"/>
      <c r="AB344" s="28" t="n"/>
      <c r="AC344" s="30" t="n">
        <v>0.7353</v>
      </c>
      <c r="AD344" s="24" t="inlineStr">
        <is>
          <t>2026-09-01T04:30:25.958332Z</t>
        </is>
      </c>
      <c r="AE344" s="31" t="inlineStr">
        <is>
          <t>Surface-blended Elo on Hard: Kristina Liutova p=0.268 vs Zheng Qinwen. Executable ask 0.6300 (aec-wta-qinzhe-kriliu-2026-08-30).</t>
        </is>
      </c>
      <c r="AF344" s="31" t="inlineStr">
        <is>
          <t>Surface-blended Elo model; singles only, WTA+ATP market coverage, not yet locked-holdout qualified -- promoted by explicit operator directive, not genuine walk-forward validation.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Kristina Liutova</t>
        </is>
      </c>
      <c r="AQ344" s="24" t="inlineStr">
        <is>
          <t>Kristina Liutova</t>
        </is>
      </c>
      <c r="AR344" s="24" t="inlineStr">
        <is>
          <t>Kristina Liutova</t>
        </is>
      </c>
      <c r="AS344" s="24" t="inlineStr">
        <is>
          <t>Zheng Qinwen</t>
        </is>
      </c>
      <c r="AT344" s="24" t="inlineStr">
        <is>
          <t>Zheng Qinwen</t>
        </is>
      </c>
      <c r="AU344" s="24" t="inlineStr">
        <is>
          <t>Zheng Qinwen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d777da58446bc099047b154203518e2585ef1a678f613f2b430f2589f7bf5cff</t>
        </is>
      </c>
      <c r="BB344" s="24" t="inlineStr">
        <is>
          <t>surface_blended_elo</t>
        </is>
      </c>
      <c r="BC344" s="24" t="inlineStr">
        <is>
          <t>tennis-surface-elo-v1</t>
        </is>
      </c>
      <c r="BD344" s="24" t="inlineStr">
        <is>
          <t>d777da58446bc099047b154203518e2585ef1a678f613f2b430f2589f7bf5cff</t>
        </is>
      </c>
      <c r="BE344" s="24" t="inlineStr">
        <is>
          <t>tennis-surface-elo-v1</t>
        </is>
      </c>
      <c r="BF344" s="24" t="inlineStr">
        <is>
          <t>1</t>
        </is>
      </c>
      <c r="BG344" s="24" t="inlineStr">
        <is>
          <t>d777da58446bc099047b154203518e2585ef1a678f613f2b430f2589f7bf5cff</t>
        </is>
      </c>
      <c r="BH344" s="24" t="inlineStr">
        <is>
          <t>2026-08-31T04:41:24.751481Z</t>
        </is>
      </c>
      <c r="BI344" s="24" t="inlineStr">
        <is>
          <t>["same_event","same_team_same_day","same_league_same_day"]</t>
        </is>
      </c>
      <c r="BJ344" s="25" t="n"/>
      <c r="BK344" s="26" t="n">
        <v>-170</v>
      </c>
      <c r="BL344" s="27" t="n">
        <v>1.588235</v>
      </c>
      <c r="BM344" s="28" t="n">
        <v>0.62963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0.588234</v>
      </c>
      <c r="BZ344" s="24" t="inlineStr">
        <is>
          <t>2026-09-01T04:30:25.958332Z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inlineStr">
        <is>
          <t>6c73f805f9c7e960f591a1a809aac21ab5ebff39613d8e421daa2b6b26e011d4</t>
        </is>
      </c>
      <c r="DE344" s="24" t="inlineStr">
        <is>
          <t>/Users/vincentc9002/model-prediction/data/odds/tennis/2026-08-31/polymarket_snapshots.jsonl</t>
        </is>
      </c>
      <c r="DF344" s="24" t="inlineStr">
        <is>
          <t>550529:2026-08-31T04:41:24.751481Z</t>
        </is>
      </c>
      <c r="DG344" s="24" t="n"/>
      <c r="DH344" s="24" t="n"/>
      <c r="DI344" s="24" t="n"/>
      <c r="DJ344" s="24" t="inlineStr">
        <is>
          <t>0.62963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6a99a099dcfa4a08</t>
        </is>
      </c>
      <c r="B345" s="24" t="inlineStr">
        <is>
          <t>2026-08-31T04:42:52.714206Z</t>
        </is>
      </c>
      <c r="C345" s="24" t="inlineStr">
        <is>
          <t>2026-08-31T15:00Z</t>
        </is>
      </c>
      <c r="D345" s="24" t="inlineStr">
        <is>
          <t>189-2026:182619</t>
        </is>
      </c>
      <c r="E345" s="24" t="inlineStr">
        <is>
          <t>TENNIS</t>
        </is>
      </c>
      <c r="F345" s="24" t="inlineStr">
        <is>
          <t>Panna Udvardy</t>
        </is>
      </c>
      <c r="G345" s="24" t="inlineStr">
        <is>
          <t>Mananchaya Sawangkaew</t>
        </is>
      </c>
      <c r="H345" s="24" t="inlineStr">
        <is>
          <t>moneyline</t>
        </is>
      </c>
      <c r="I345" s="24" t="inlineStr">
        <is>
          <t>away</t>
        </is>
      </c>
      <c r="J345" s="25" t="n"/>
      <c r="K345" s="24" t="inlineStr">
        <is>
          <t>polymarket_us</t>
        </is>
      </c>
      <c r="L345" s="26" t="n">
        <v>156</v>
      </c>
      <c r="M345" s="27" t="n">
        <v>2.56</v>
      </c>
      <c r="N345" s="28" t="n">
        <v>0.390625</v>
      </c>
      <c r="O345" s="28" t="n">
        <v>0.5028</v>
      </c>
      <c r="P345" s="28" t="n">
        <v>0.05</v>
      </c>
      <c r="Q345" s="28" t="n">
        <v>0.112175</v>
      </c>
      <c r="R345" s="26" t="n">
        <v>76</v>
      </c>
      <c r="S345" s="29" t="n">
        <v>1.5</v>
      </c>
      <c r="T345" s="24" t="inlineStr">
        <is>
          <t>tennis-surface-elo-v1</t>
        </is>
      </c>
      <c r="U345" s="24" t="inlineStr">
        <is>
          <t>settled</t>
        </is>
      </c>
      <c r="V345" s="24" t="inlineStr">
        <is>
          <t>loss</t>
        </is>
      </c>
      <c r="W345" s="26" t="n">
        <v>0</v>
      </c>
      <c r="X345" s="26" t="n">
        <v>1</v>
      </c>
      <c r="Y345" s="25" t="n"/>
      <c r="Z345" s="26" t="n">
        <v>156</v>
      </c>
      <c r="AA345" s="28" t="n">
        <v>0.39</v>
      </c>
      <c r="AB345" s="28" t="n">
        <v>-0.000625</v>
      </c>
      <c r="AC345" s="30" t="n">
        <v>-1.5</v>
      </c>
      <c r="AD345" s="24" t="inlineStr">
        <is>
          <t>2026-09-01T04:30:27.847843Z</t>
        </is>
      </c>
      <c r="AE345" s="31" t="inlineStr">
        <is>
          <t>Surface-blended Elo on Hard: Panna Udvardy p=0.503 vs Mananchaya Sawangkaew. Executable ask 0.3900 (aec-wta-mansaw-panudv-2026-08-30).</t>
        </is>
      </c>
      <c r="AF345" s="31" t="inlineStr">
        <is>
          <t>Surface-blended Elo model; singles only, WTA+ATP market coverage, not yet locked-holdout qualified -- promoted by explicit operator directive, not genuine walk-forward validation.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PAPER_CALL_LOW_EDGE</t>
        </is>
      </c>
      <c r="AP345" s="24" t="inlineStr">
        <is>
          <t>Panna Udvardy</t>
        </is>
      </c>
      <c r="AQ345" s="24" t="inlineStr">
        <is>
          <t>Panna Udvardy</t>
        </is>
      </c>
      <c r="AR345" s="24" t="inlineStr">
        <is>
          <t>Panna Udvardy</t>
        </is>
      </c>
      <c r="AS345" s="24" t="inlineStr">
        <is>
          <t>Mananchaya Sawangkaew</t>
        </is>
      </c>
      <c r="AT345" s="24" t="inlineStr">
        <is>
          <t>Mananchaya Sawangkaew</t>
        </is>
      </c>
      <c r="AU345" s="24" t="inlineStr">
        <is>
          <t>Mananchaya Sawangkaew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d777da58446bc099047b154203518e2585ef1a678f613f2b430f2589f7bf5cff</t>
        </is>
      </c>
      <c r="BB345" s="24" t="inlineStr">
        <is>
          <t>surface_blended_elo</t>
        </is>
      </c>
      <c r="BC345" s="24" t="inlineStr">
        <is>
          <t>tennis-surface-elo-v1</t>
        </is>
      </c>
      <c r="BD345" s="24" t="inlineStr">
        <is>
          <t>d777da58446bc099047b154203518e2585ef1a678f613f2b430f2589f7bf5cff</t>
        </is>
      </c>
      <c r="BE345" s="24" t="inlineStr">
        <is>
          <t>tennis-surface-elo-v1</t>
        </is>
      </c>
      <c r="BF345" s="24" t="inlineStr">
        <is>
          <t>1</t>
        </is>
      </c>
      <c r="BG345" s="24" t="inlineStr">
        <is>
          <t>d777da58446bc099047b154203518e2585ef1a678f613f2b430f2589f7bf5cff</t>
        </is>
      </c>
      <c r="BH345" s="24" t="inlineStr">
        <is>
          <t>2026-08-31T04:41:24.759328Z</t>
        </is>
      </c>
      <c r="BI345" s="24" t="inlineStr">
        <is>
          <t>["same_event","same_team_same_day","same_league_same_day"]</t>
        </is>
      </c>
      <c r="BJ345" s="25" t="n"/>
      <c r="BK345" s="26" t="n">
        <v>156</v>
      </c>
      <c r="BL345" s="27" t="n">
        <v>2.56</v>
      </c>
      <c r="BM345" s="28" t="n">
        <v>0.390625</v>
      </c>
      <c r="BN345" s="28" t="n"/>
      <c r="BO345" s="28" t="n"/>
      <c r="BP345" s="25" t="n"/>
      <c r="BQ345" s="27" t="n">
        <v>2.56</v>
      </c>
      <c r="BR345" s="28" t="n">
        <v>0.39</v>
      </c>
      <c r="BS345" s="28" t="n"/>
      <c r="BT345" s="28" t="n"/>
      <c r="BU345" s="25" t="n"/>
      <c r="BV345" s="29" t="n"/>
      <c r="BW345" s="24" t="n"/>
      <c r="BX345" s="30" t="n">
        <v>1</v>
      </c>
      <c r="BY345" s="27" t="n">
        <v>-1</v>
      </c>
      <c r="BZ345" s="24" t="inlineStr">
        <is>
          <t>2026-09-01T04:30:27.847843Z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inlineStr">
        <is>
          <t>e7b31332bcc78864e2cc18697e3c9250d21e62d6680dbcba03e9b7892efd83bf</t>
        </is>
      </c>
      <c r="DE345" s="24" t="inlineStr">
        <is>
          <t>/Users/vincentc9002/model-prediction/data/odds/tennis/2026-08-31/polymarket_snapshots.jsonl</t>
        </is>
      </c>
      <c r="DF345" s="24" t="inlineStr">
        <is>
          <t>547442:2026-08-31T04:41:24.759328Z</t>
        </is>
      </c>
      <c r="DG345" s="24" t="n"/>
      <c r="DH345" s="24" t="n"/>
      <c r="DI345" s="24" t="n"/>
      <c r="DJ345" s="24" t="inlineStr">
        <is>
          <t>0.390625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d4b45acd42aa4dfd</t>
        </is>
      </c>
      <c r="B346" s="24" t="inlineStr">
        <is>
          <t>2026-08-31T04:42:52.714206Z</t>
        </is>
      </c>
      <c r="C346" s="24" t="inlineStr">
        <is>
          <t>2026-08-31T15:00Z</t>
        </is>
      </c>
      <c r="D346" s="24" t="inlineStr">
        <is>
          <t>189-2026:182626</t>
        </is>
      </c>
      <c r="E346" s="24" t="inlineStr">
        <is>
          <t>TENNIS</t>
        </is>
      </c>
      <c r="F346" s="24" t="inlineStr">
        <is>
          <t>Karolina Muchova</t>
        </is>
      </c>
      <c r="G346" s="24" t="inlineStr">
        <is>
          <t>Sinja Kraus</t>
        </is>
      </c>
      <c r="H346" s="24" t="inlineStr">
        <is>
          <t>moneyline</t>
        </is>
      </c>
      <c r="I346" s="24" t="inlineStr">
        <is>
          <t>away</t>
        </is>
      </c>
      <c r="J346" s="25" t="n"/>
      <c r="K346" s="24" t="inlineStr">
        <is>
          <t>polymarket_us</t>
        </is>
      </c>
      <c r="L346" s="26" t="n">
        <v>-809</v>
      </c>
      <c r="M346" s="27" t="n">
        <v>1.123609</v>
      </c>
      <c r="N346" s="28" t="n">
        <v>0.889989</v>
      </c>
      <c r="O346" s="28" t="n">
        <v>0.8351</v>
      </c>
      <c r="P346" s="28" t="n">
        <v>0.05</v>
      </c>
      <c r="Q346" s="28" t="n">
        <v>-0.054889</v>
      </c>
      <c r="R346" s="26" t="n">
        <v>0</v>
      </c>
      <c r="S346" s="29" t="n">
        <v>1</v>
      </c>
      <c r="T346" s="24" t="inlineStr">
        <is>
          <t>tennis-surface-elo-v1</t>
        </is>
      </c>
      <c r="U346" s="24" t="inlineStr">
        <is>
          <t>settled</t>
        </is>
      </c>
      <c r="V346" s="24" t="inlineStr">
        <is>
          <t>win</t>
        </is>
      </c>
      <c r="W346" s="26" t="n">
        <v>1</v>
      </c>
      <c r="X346" s="26" t="n">
        <v>0</v>
      </c>
      <c r="Y346" s="25" t="n"/>
      <c r="Z346" s="26" t="n">
        <v>-809</v>
      </c>
      <c r="AA346" s="28" t="n">
        <v>0.89</v>
      </c>
      <c r="AB346" s="28" t="n">
        <v>1.1e-05</v>
      </c>
      <c r="AC346" s="30" t="n">
        <v>0.1236</v>
      </c>
      <c r="AD346" s="24" t="inlineStr">
        <is>
          <t>2026-09-01T04:30:29.693399Z</t>
        </is>
      </c>
      <c r="AE346" s="31" t="inlineStr">
        <is>
          <t>Surface-blended Elo on Hard: Karolina Muchova p=0.835 vs Sinja Kraus. Executable ask 0.8900 (aec-wta-sinkra-karmuc-2026-08-30).</t>
        </is>
      </c>
      <c r="AF346" s="31" t="inlineStr">
        <is>
          <t>Surface-blended Elo model; singles only, WTA+ATP market coverage, not yet locked-holdout qualified -- promoted by explicit operator directive, not genuine walk-forward validation.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PAPER_CALL_LOW_EDGE</t>
        </is>
      </c>
      <c r="AP346" s="24" t="inlineStr">
        <is>
          <t>Karolina Muchova</t>
        </is>
      </c>
      <c r="AQ346" s="24" t="inlineStr">
        <is>
          <t>Karolina Muchova</t>
        </is>
      </c>
      <c r="AR346" s="24" t="inlineStr">
        <is>
          <t>Karolina Muchova</t>
        </is>
      </c>
      <c r="AS346" s="24" t="inlineStr">
        <is>
          <t>Sinja Kraus</t>
        </is>
      </c>
      <c r="AT346" s="24" t="inlineStr">
        <is>
          <t>Sinja Kraus</t>
        </is>
      </c>
      <c r="AU346" s="24" t="inlineStr">
        <is>
          <t>Sinja Kraus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d777da58446bc099047b154203518e2585ef1a678f613f2b430f2589f7bf5cff</t>
        </is>
      </c>
      <c r="BB346" s="24" t="inlineStr">
        <is>
          <t>surface_blended_elo</t>
        </is>
      </c>
      <c r="BC346" s="24" t="inlineStr">
        <is>
          <t>tennis-surface-elo-v1</t>
        </is>
      </c>
      <c r="BD346" s="24" t="inlineStr">
        <is>
          <t>d777da58446bc099047b154203518e2585ef1a678f613f2b430f2589f7bf5cff</t>
        </is>
      </c>
      <c r="BE346" s="24" t="inlineStr">
        <is>
          <t>tennis-surface-elo-v1</t>
        </is>
      </c>
      <c r="BF346" s="24" t="inlineStr">
        <is>
          <t>1</t>
        </is>
      </c>
      <c r="BG346" s="24" t="inlineStr">
        <is>
          <t>d777da58446bc099047b154203518e2585ef1a678f613f2b430f2589f7bf5cff</t>
        </is>
      </c>
      <c r="BH346" s="24" t="inlineStr">
        <is>
          <t>2026-08-31T04:41:24.589678Z</t>
        </is>
      </c>
      <c r="BI346" s="24" t="inlineStr">
        <is>
          <t>["same_event","same_team_same_day","same_league_same_day"]</t>
        </is>
      </c>
      <c r="BJ346" s="25" t="n"/>
      <c r="BK346" s="26" t="n">
        <v>-809</v>
      </c>
      <c r="BL346" s="27" t="n">
        <v>1.123609</v>
      </c>
      <c r="BM346" s="28" t="n">
        <v>0.889989</v>
      </c>
      <c r="BN346" s="28" t="n"/>
      <c r="BO346" s="28" t="n"/>
      <c r="BP346" s="25" t="n"/>
      <c r="BQ346" s="27" t="n">
        <v>1.123609</v>
      </c>
      <c r="BR346" s="28" t="n">
        <v>0.89</v>
      </c>
      <c r="BS346" s="28" t="n"/>
      <c r="BT346" s="28" t="n"/>
      <c r="BU346" s="25" t="n"/>
      <c r="BV346" s="29" t="n"/>
      <c r="BW346" s="24" t="n"/>
      <c r="BX346" s="30" t="n">
        <v>1</v>
      </c>
      <c r="BY346" s="27" t="n">
        <v>0.123609</v>
      </c>
      <c r="BZ346" s="24" t="inlineStr">
        <is>
          <t>2026-09-01T04:30:29.693399Z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False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inlineStr">
        <is>
          <t>6e58fe772165d73633daf0b5a3f56f95bb501373f5ef351ee804ce753bcbf3c8</t>
        </is>
      </c>
      <c r="DE346" s="24" t="inlineStr">
        <is>
          <t>/Users/vincentc9002/model-prediction/data/odds/tennis/2026-08-31/polymarket_snapshots.jsonl</t>
        </is>
      </c>
      <c r="DF346" s="24" t="inlineStr">
        <is>
          <t>547292:2026-08-31T04:41:24.589678Z</t>
        </is>
      </c>
      <c r="DG346" s="24" t="n"/>
      <c r="DH346" s="24" t="n"/>
      <c r="DI346" s="24" t="n"/>
      <c r="DJ346" s="24" t="inlineStr">
        <is>
          <t>0.889989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ffe2e5ba6d0b4fc5</t>
        </is>
      </c>
      <c r="B347" s="24" t="inlineStr">
        <is>
          <t>2026-08-31T04:42:52.714206Z</t>
        </is>
      </c>
      <c r="C347" s="24" t="inlineStr">
        <is>
          <t>2026-08-31T15:00Z</t>
        </is>
      </c>
      <c r="D347" s="24" t="inlineStr">
        <is>
          <t>189-2026:182640</t>
        </is>
      </c>
      <c r="E347" s="24" t="inlineStr">
        <is>
          <t>TENNIS</t>
        </is>
      </c>
      <c r="F347" s="24" t="inlineStr">
        <is>
          <t>Cristina Bucsa</t>
        </is>
      </c>
      <c r="G347" s="24" t="inlineStr">
        <is>
          <t>Sara Bejlek</t>
        </is>
      </c>
      <c r="H347" s="24" t="inlineStr">
        <is>
          <t>moneyline</t>
        </is>
      </c>
      <c r="I347" s="24" t="inlineStr">
        <is>
          <t>home</t>
        </is>
      </c>
      <c r="J347" s="25" t="n"/>
      <c r="K347" s="24" t="inlineStr">
        <is>
          <t>polymarket_us</t>
        </is>
      </c>
      <c r="L347" s="26" t="n">
        <v>-335</v>
      </c>
      <c r="M347" s="27" t="n">
        <v>1.298507</v>
      </c>
      <c r="N347" s="28" t="n">
        <v>0.770115</v>
      </c>
      <c r="O347" s="28" t="n">
        <v>0.6773</v>
      </c>
      <c r="P347" s="28" t="n">
        <v>0.05</v>
      </c>
      <c r="Q347" s="28" t="n">
        <v>-0.09281499999999999</v>
      </c>
      <c r="R347" s="26" t="n">
        <v>0</v>
      </c>
      <c r="S347" s="29" t="n">
        <v>1</v>
      </c>
      <c r="T347" s="24" t="inlineStr">
        <is>
          <t>tennis-surface-elo-v1</t>
        </is>
      </c>
      <c r="U347" s="24" t="inlineStr">
        <is>
          <t>settled</t>
        </is>
      </c>
      <c r="V347" s="24" t="inlineStr">
        <is>
          <t>loss</t>
        </is>
      </c>
      <c r="W347" s="26" t="n">
        <v>1</v>
      </c>
      <c r="X347" s="26" t="n">
        <v>0</v>
      </c>
      <c r="Y347" s="25" t="n"/>
      <c r="Z347" s="26" t="n">
        <v>-335</v>
      </c>
      <c r="AA347" s="28" t="n">
        <v>0.77</v>
      </c>
      <c r="AB347" s="28" t="n">
        <v>-0.000115</v>
      </c>
      <c r="AC347" s="30" t="n">
        <v>-1</v>
      </c>
      <c r="AD347" s="24" t="inlineStr">
        <is>
          <t>2026-09-01T04:30:31.604803Z</t>
        </is>
      </c>
      <c r="AE347" s="31" t="inlineStr">
        <is>
          <t>Surface-blended Elo on Hard: Cristina Bucsa p=0.323 vs Sara Bejlek. Executable ask 0.7700 (aec-wta-sarbej-cribuc-2026-08-30).</t>
        </is>
      </c>
      <c r="AF347" s="31" t="inlineStr">
        <is>
          <t>Surface-blended Elo model; singles only, WTA+ATP market coverage, not yet locked-holdout qualified -- promoted by explicit operator directive, not genuine walk-forward validation.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Cristina Bucsa</t>
        </is>
      </c>
      <c r="AQ347" s="24" t="inlineStr">
        <is>
          <t>Cristina Bucsa</t>
        </is>
      </c>
      <c r="AR347" s="24" t="inlineStr">
        <is>
          <t>Cristina Bucsa</t>
        </is>
      </c>
      <c r="AS347" s="24" t="inlineStr">
        <is>
          <t>Sara Bejlek</t>
        </is>
      </c>
      <c r="AT347" s="24" t="inlineStr">
        <is>
          <t>Sara Bejlek</t>
        </is>
      </c>
      <c r="AU347" s="24" t="inlineStr">
        <is>
          <t>Sara Bejlek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d777da58446bc099047b154203518e2585ef1a678f613f2b430f2589f7bf5cff</t>
        </is>
      </c>
      <c r="BB347" s="24" t="inlineStr">
        <is>
          <t>surface_blended_elo</t>
        </is>
      </c>
      <c r="BC347" s="24" t="inlineStr">
        <is>
          <t>tennis-surface-elo-v1</t>
        </is>
      </c>
      <c r="BD347" s="24" t="inlineStr">
        <is>
          <t>d777da58446bc099047b154203518e2585ef1a678f613f2b430f2589f7bf5cff</t>
        </is>
      </c>
      <c r="BE347" s="24" t="inlineStr">
        <is>
          <t>tennis-surface-elo-v1</t>
        </is>
      </c>
      <c r="BF347" s="24" t="inlineStr">
        <is>
          <t>1</t>
        </is>
      </c>
      <c r="BG347" s="24" t="inlineStr">
        <is>
          <t>d777da58446bc099047b154203518e2585ef1a678f613f2b430f2589f7bf5cff</t>
        </is>
      </c>
      <c r="BH347" s="24" t="inlineStr">
        <is>
          <t>2026-08-31T04:41:24.835372Z</t>
        </is>
      </c>
      <c r="BI347" s="24" t="inlineStr">
        <is>
          <t>["same_event","same_team_same_day","same_league_same_day"]</t>
        </is>
      </c>
      <c r="BJ347" s="25" t="n"/>
      <c r="BK347" s="26" t="n">
        <v>-335</v>
      </c>
      <c r="BL347" s="27" t="n">
        <v>1.298507</v>
      </c>
      <c r="BM347" s="28" t="n">
        <v>0.770115</v>
      </c>
      <c r="BN347" s="28" t="n"/>
      <c r="BO347" s="28" t="n"/>
      <c r="BP347" s="25" t="n"/>
      <c r="BQ347" s="27" t="n">
        <v>1.298507</v>
      </c>
      <c r="BR347" s="28" t="n">
        <v>0.77</v>
      </c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2026-09-01T04:30:31.604803Z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inlineStr">
        <is>
          <t>3dafd80684733af1cebd0d6166ea304fef50cfc9111a9c7c683ad9613d9c8ddb</t>
        </is>
      </c>
      <c r="DE347" s="24" t="inlineStr">
        <is>
          <t>/Users/vincentc9002/model-prediction/data/odds/tennis/2026-08-31/polymarket_snapshots.jsonl</t>
        </is>
      </c>
      <c r="DF347" s="24" t="inlineStr">
        <is>
          <t>547308:2026-08-31T04:41:24.835372Z</t>
        </is>
      </c>
      <c r="DG347" s="24" t="n"/>
      <c r="DH347" s="24" t="n"/>
      <c r="DI347" s="24" t="n"/>
      <c r="DJ347" s="24" t="inlineStr">
        <is>
          <t>0.770115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e9604ef9da624145</t>
        </is>
      </c>
      <c r="B348" s="24" t="inlineStr">
        <is>
          <t>2026-08-31T04:42:52.714206Z</t>
        </is>
      </c>
      <c r="C348" s="24" t="inlineStr">
        <is>
          <t>2026-08-31T15:00Z</t>
        </is>
      </c>
      <c r="D348" s="24" t="inlineStr">
        <is>
          <t>189-2026:182647</t>
        </is>
      </c>
      <c r="E348" s="24" t="inlineStr">
        <is>
          <t>TENNIS</t>
        </is>
      </c>
      <c r="F348" s="24" t="inlineStr">
        <is>
          <t>Himeno Sakatsume</t>
        </is>
      </c>
      <c r="G348" s="24" t="inlineStr">
        <is>
          <t>Anhelina Kalinina</t>
        </is>
      </c>
      <c r="H348" s="24" t="inlineStr">
        <is>
          <t>moneyline</t>
        </is>
      </c>
      <c r="I348" s="24" t="inlineStr">
        <is>
          <t>home</t>
        </is>
      </c>
      <c r="J348" s="25" t="n"/>
      <c r="K348" s="24" t="inlineStr">
        <is>
          <t>polymarket_us</t>
        </is>
      </c>
      <c r="L348" s="26" t="n">
        <v>-285</v>
      </c>
      <c r="M348" s="27" t="n">
        <v>1.350877</v>
      </c>
      <c r="N348" s="28" t="n">
        <v>0.74026</v>
      </c>
      <c r="O348" s="28" t="n">
        <v>0.6639</v>
      </c>
      <c r="P348" s="28" t="n">
        <v>0.05</v>
      </c>
      <c r="Q348" s="28" t="n">
        <v>-0.07636</v>
      </c>
      <c r="R348" s="26" t="n">
        <v>0</v>
      </c>
      <c r="S348" s="29" t="n">
        <v>1</v>
      </c>
      <c r="T348" s="24" t="inlineStr">
        <is>
          <t>tennis-surface-elo-v1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</v>
      </c>
      <c r="X348" s="26" t="n">
        <v>0</v>
      </c>
      <c r="Y348" s="25" t="n"/>
      <c r="Z348" s="26" t="n">
        <v>-285</v>
      </c>
      <c r="AA348" s="28" t="n">
        <v>0.74</v>
      </c>
      <c r="AB348" s="28" t="n">
        <v>-0.00026</v>
      </c>
      <c r="AC348" s="30" t="n">
        <v>-1</v>
      </c>
      <c r="AD348" s="24" t="inlineStr">
        <is>
          <t>2026-09-01T04:30:33.457439Z</t>
        </is>
      </c>
      <c r="AE348" s="31" t="inlineStr">
        <is>
          <t>Surface-blended Elo on Hard: Himeno Sakatsume p=0.336 vs Anhelina Kalinina. Executable ask 0.7400 (aec-wta-anhkal-himsak-2026-08-30).</t>
        </is>
      </c>
      <c r="AF348" s="31" t="inlineStr">
        <is>
          <t>Surface-blended Elo model; singles only, WTA+ATP market coverage, not yet locked-holdout qualified -- promoted by explicit operator directive, not genuine walk-forward validation.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Himeno Sakatsume</t>
        </is>
      </c>
      <c r="AQ348" s="24" t="inlineStr">
        <is>
          <t>Himeno Sakatsume</t>
        </is>
      </c>
      <c r="AR348" s="24" t="inlineStr">
        <is>
          <t>Himeno Sakatsume</t>
        </is>
      </c>
      <c r="AS348" s="24" t="inlineStr">
        <is>
          <t>Anhelina Kalinina</t>
        </is>
      </c>
      <c r="AT348" s="24" t="inlineStr">
        <is>
          <t>Anhelina Kalinina</t>
        </is>
      </c>
      <c r="AU348" s="24" t="inlineStr">
        <is>
          <t>Anhelina Kalinina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d777da58446bc099047b154203518e2585ef1a678f613f2b430f2589f7bf5cff</t>
        </is>
      </c>
      <c r="BB348" s="24" t="inlineStr">
        <is>
          <t>surface_blended_elo</t>
        </is>
      </c>
      <c r="BC348" s="24" t="inlineStr">
        <is>
          <t>tennis-surface-elo-v1</t>
        </is>
      </c>
      <c r="BD348" s="24" t="inlineStr">
        <is>
          <t>d777da58446bc099047b154203518e2585ef1a678f613f2b430f2589f7bf5cff</t>
        </is>
      </c>
      <c r="BE348" s="24" t="inlineStr">
        <is>
          <t>tennis-surface-elo-v1</t>
        </is>
      </c>
      <c r="BF348" s="24" t="inlineStr">
        <is>
          <t>1</t>
        </is>
      </c>
      <c r="BG348" s="24" t="inlineStr">
        <is>
          <t>d777da58446bc099047b154203518e2585ef1a678f613f2b430f2589f7bf5cff</t>
        </is>
      </c>
      <c r="BH348" s="24" t="inlineStr">
        <is>
          <t>2026-08-31T04:41:24.648127Z</t>
        </is>
      </c>
      <c r="BI348" s="24" t="inlineStr">
        <is>
          <t>["same_event","same_team_same_day","same_league_same_day"]</t>
        </is>
      </c>
      <c r="BJ348" s="25" t="n"/>
      <c r="BK348" s="26" t="n">
        <v>-285</v>
      </c>
      <c r="BL348" s="27" t="n">
        <v>1.350877</v>
      </c>
      <c r="BM348" s="28" t="n">
        <v>0.74026</v>
      </c>
      <c r="BN348" s="28" t="n"/>
      <c r="BO348" s="28" t="n"/>
      <c r="BP348" s="25" t="n"/>
      <c r="BQ348" s="27" t="n">
        <v>1.350877</v>
      </c>
      <c r="BR348" s="28" t="n">
        <v>0.74</v>
      </c>
      <c r="BS348" s="28" t="n"/>
      <c r="BT348" s="28" t="n"/>
      <c r="BU348" s="25" t="n"/>
      <c r="BV348" s="29" t="n"/>
      <c r="BW348" s="24" t="n"/>
      <c r="BX348" s="30" t="n">
        <v>1</v>
      </c>
      <c r="BY348" s="27" t="n">
        <v>-1</v>
      </c>
      <c r="BZ348" s="24" t="inlineStr">
        <is>
          <t>2026-09-01T04:30:33.457439Z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inlineStr">
        <is>
          <t>3d0e93193ba0b4c06efb68f11e5290386157ed3ebf4da478dc1a4da7fe1c7f87</t>
        </is>
      </c>
      <c r="DE348" s="24" t="inlineStr">
        <is>
          <t>/Users/vincentc9002/model-prediction/data/odds/tennis/2026-08-31/polymarket_snapshots.jsonl</t>
        </is>
      </c>
      <c r="DF348" s="24" t="inlineStr">
        <is>
          <t>550524:2026-08-31T04:41:24.648127Z</t>
        </is>
      </c>
      <c r="DG348" s="24" t="n"/>
      <c r="DH348" s="24" t="n"/>
      <c r="DI348" s="24" t="n"/>
      <c r="DJ348" s="24" t="inlineStr">
        <is>
          <t>0.74026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e45acc7dd76a453b</t>
        </is>
      </c>
      <c r="B349" s="24" t="inlineStr">
        <is>
          <t>2026-08-31T04:42:52.714206Z</t>
        </is>
      </c>
      <c r="C349" s="24" t="inlineStr">
        <is>
          <t>2026-08-31T15:00Z</t>
        </is>
      </c>
      <c r="D349" s="24" t="inlineStr">
        <is>
          <t>189-2026:182652</t>
        </is>
      </c>
      <c r="E349" s="24" t="inlineStr">
        <is>
          <t>TENNIS</t>
        </is>
      </c>
      <c r="F349" s="24" t="inlineStr">
        <is>
          <t>Tamara Korpatsch</t>
        </is>
      </c>
      <c r="G349" s="24" t="inlineStr">
        <is>
          <t>Lilli Tagger</t>
        </is>
      </c>
      <c r="H349" s="24" t="inlineStr">
        <is>
          <t>moneyline</t>
        </is>
      </c>
      <c r="I349" s="24" t="inlineStr">
        <is>
          <t>home</t>
        </is>
      </c>
      <c r="J349" s="25" t="n"/>
      <c r="K349" s="24" t="inlineStr">
        <is>
          <t>polymarket_us</t>
        </is>
      </c>
      <c r="L349" s="26" t="n">
        <v>-376</v>
      </c>
      <c r="M349" s="27" t="n">
        <v>1.265957</v>
      </c>
      <c r="N349" s="28" t="n">
        <v>0.789916</v>
      </c>
      <c r="O349" s="28" t="n">
        <v>0.6107</v>
      </c>
      <c r="P349" s="28" t="n">
        <v>0.05</v>
      </c>
      <c r="Q349" s="28" t="n">
        <v>-0.179216</v>
      </c>
      <c r="R349" s="26" t="n">
        <v>0</v>
      </c>
      <c r="S349" s="29" t="n">
        <v>1</v>
      </c>
      <c r="T349" s="24" t="inlineStr">
        <is>
          <t>tennis-surface-elo-v1</t>
        </is>
      </c>
      <c r="U349" s="24" t="inlineStr">
        <is>
          <t>settled</t>
        </is>
      </c>
      <c r="V349" s="24" t="inlineStr">
        <is>
          <t>win</t>
        </is>
      </c>
      <c r="W349" s="26" t="n">
        <v>0</v>
      </c>
      <c r="X349" s="26" t="n">
        <v>1</v>
      </c>
      <c r="Y349" s="25" t="n"/>
      <c r="Z349" s="26" t="n">
        <v>-376</v>
      </c>
      <c r="AA349" s="28" t="n">
        <v>0.79</v>
      </c>
      <c r="AB349" s="28" t="n">
        <v>8.4e-05</v>
      </c>
      <c r="AC349" s="30" t="n">
        <v>0.266</v>
      </c>
      <c r="AD349" s="24" t="inlineStr">
        <is>
          <t>2026-09-01T04:30:35.364154Z</t>
        </is>
      </c>
      <c r="AE349" s="31" t="inlineStr">
        <is>
          <t>Surface-blended Elo on Hard: Tamara Korpatsch p=0.389 vs Lilli Tagger. Executable ask 0.7900 (aec-wta-liltag-tamkor-2026-08-30).</t>
        </is>
      </c>
      <c r="AF349" s="31" t="inlineStr">
        <is>
          <t>Surface-blended Elo model; singles only, WTA+ATP market coverage, not yet locked-holdout qualified -- promoted by explicit operator directive, not genuine walk-forward validation.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PAPER_CALL_LOW_EDGE</t>
        </is>
      </c>
      <c r="AP349" s="24" t="inlineStr">
        <is>
          <t>Tamara Korpatsch</t>
        </is>
      </c>
      <c r="AQ349" s="24" t="inlineStr">
        <is>
          <t>Tamara Korpatsch</t>
        </is>
      </c>
      <c r="AR349" s="24" t="inlineStr">
        <is>
          <t>Tamara Korpatsch</t>
        </is>
      </c>
      <c r="AS349" s="24" t="inlineStr">
        <is>
          <t>Lilli Tagger</t>
        </is>
      </c>
      <c r="AT349" s="24" t="inlineStr">
        <is>
          <t>Lilli Tagger</t>
        </is>
      </c>
      <c r="AU349" s="24" t="inlineStr">
        <is>
          <t>Lilli Tagger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d777da58446bc099047b154203518e2585ef1a678f613f2b430f2589f7bf5cff</t>
        </is>
      </c>
      <c r="BB349" s="24" t="inlineStr">
        <is>
          <t>surface_blended_elo</t>
        </is>
      </c>
      <c r="BC349" s="24" t="inlineStr">
        <is>
          <t>tennis-surface-elo-v1</t>
        </is>
      </c>
      <c r="BD349" s="24" t="inlineStr">
        <is>
          <t>d777da58446bc099047b154203518e2585ef1a678f613f2b430f2589f7bf5cff</t>
        </is>
      </c>
      <c r="BE349" s="24" t="inlineStr">
        <is>
          <t>tennis-surface-elo-v1</t>
        </is>
      </c>
      <c r="BF349" s="24" t="inlineStr">
        <is>
          <t>1</t>
        </is>
      </c>
      <c r="BG349" s="24" t="inlineStr">
        <is>
          <t>d777da58446bc099047b154203518e2585ef1a678f613f2b430f2589f7bf5cff</t>
        </is>
      </c>
      <c r="BH349" s="24" t="inlineStr">
        <is>
          <t>2026-08-31T04:41:24.692193Z</t>
        </is>
      </c>
      <c r="BI349" s="24" t="inlineStr">
        <is>
          <t>["same_event","same_team_same_day","same_league_same_day"]</t>
        </is>
      </c>
      <c r="BJ349" s="25" t="n"/>
      <c r="BK349" s="26" t="n">
        <v>-376</v>
      </c>
      <c r="BL349" s="27" t="n">
        <v>1.265957</v>
      </c>
      <c r="BM349" s="28" t="n">
        <v>0.789916</v>
      </c>
      <c r="BN349" s="28" t="n"/>
      <c r="BO349" s="28" t="n"/>
      <c r="BP349" s="25" t="n"/>
      <c r="BQ349" s="27" t="n">
        <v>1.265957</v>
      </c>
      <c r="BR349" s="28" t="n">
        <v>0.79</v>
      </c>
      <c r="BS349" s="28" t="n"/>
      <c r="BT349" s="28" t="n"/>
      <c r="BU349" s="25" t="n"/>
      <c r="BV349" s="29" t="n"/>
      <c r="BW349" s="24" t="n"/>
      <c r="BX349" s="30" t="n">
        <v>1</v>
      </c>
      <c r="BY349" s="27" t="n">
        <v>0.265957</v>
      </c>
      <c r="BZ349" s="24" t="inlineStr">
        <is>
          <t>2026-09-01T04:30:35.364154Z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inlineStr">
        <is>
          <t>0236b54a7ebe61ff0de061d81a6e17ed09e0eb0b156aa7241ac34ee94a6a8392</t>
        </is>
      </c>
      <c r="DE349" s="24" t="inlineStr">
        <is>
          <t>/Users/vincentc9002/model-prediction/data/odds/tennis/2026-08-31/polymarket_snapshots.jsonl</t>
        </is>
      </c>
      <c r="DF349" s="24" t="inlineStr">
        <is>
          <t>547301:2026-08-31T04:41:24.692193Z</t>
        </is>
      </c>
      <c r="DG349" s="24" t="n"/>
      <c r="DH349" s="24" t="n"/>
      <c r="DI349" s="24" t="n"/>
      <c r="DJ349" s="24" t="inlineStr">
        <is>
          <t>0.789916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22a5c2cd3d784154</t>
        </is>
      </c>
      <c r="B350" s="24" t="inlineStr">
        <is>
          <t>2026-08-31T04:42:52.714206Z</t>
        </is>
      </c>
      <c r="C350" s="24" t="inlineStr">
        <is>
          <t>2026-08-31T15:30Z</t>
        </is>
      </c>
      <c r="D350" s="24" t="inlineStr">
        <is>
          <t>189-2026:182592</t>
        </is>
      </c>
      <c r="E350" s="24" t="inlineStr">
        <is>
          <t>TENNIS</t>
        </is>
      </c>
      <c r="F350" s="24" t="inlineStr">
        <is>
          <t>Camila Osorio</t>
        </is>
      </c>
      <c r="G350" s="24" t="inlineStr">
        <is>
          <t>Aryna Sabalenka</t>
        </is>
      </c>
      <c r="H350" s="24" t="inlineStr">
        <is>
          <t>moneyline</t>
        </is>
      </c>
      <c r="I350" s="24" t="inlineStr">
        <is>
          <t>home</t>
        </is>
      </c>
      <c r="J350" s="25" t="n"/>
      <c r="K350" s="24" t="inlineStr">
        <is>
          <t>polymarket_us</t>
        </is>
      </c>
      <c r="L350" s="26" t="n">
        <v>-1567</v>
      </c>
      <c r="M350" s="27" t="n">
        <v>1.063816</v>
      </c>
      <c r="N350" s="28" t="n">
        <v>0.940012</v>
      </c>
      <c r="O350" s="28" t="n">
        <v>0.9036</v>
      </c>
      <c r="P350" s="28" t="n">
        <v>0.05</v>
      </c>
      <c r="Q350" s="28" t="n">
        <v>-0.036412</v>
      </c>
      <c r="R350" s="26" t="n">
        <v>2</v>
      </c>
      <c r="S350" s="29" t="n">
        <v>1</v>
      </c>
      <c r="T350" s="24" t="inlineStr">
        <is>
          <t>tennis-surface-elo-v1</t>
        </is>
      </c>
      <c r="U350" s="24" t="inlineStr">
        <is>
          <t>settled</t>
        </is>
      </c>
      <c r="V350" s="24" t="inlineStr">
        <is>
          <t>win</t>
        </is>
      </c>
      <c r="W350" s="26" t="n">
        <v>0</v>
      </c>
      <c r="X350" s="26" t="n">
        <v>1</v>
      </c>
      <c r="Y350" s="25" t="n"/>
      <c r="Z350" s="26" t="n">
        <v>-1567</v>
      </c>
      <c r="AA350" s="28" t="n">
        <v>0.9399999999999999</v>
      </c>
      <c r="AB350" s="28" t="n">
        <v>-1.2e-05</v>
      </c>
      <c r="AC350" s="30" t="n">
        <v>0.0638</v>
      </c>
      <c r="AD350" s="24" t="inlineStr">
        <is>
          <t>2026-09-01T04:30:37.223389Z</t>
        </is>
      </c>
      <c r="AE350" s="31" t="inlineStr">
        <is>
          <t>Surface-blended Elo on Hard: Camila Osorio p=0.096 vs Aryna Sabalenka. Executable ask 0.9400 (aec-wta-arysab-camoso-2026-08-30).</t>
        </is>
      </c>
      <c r="AF350" s="31" t="inlineStr">
        <is>
          <t>Surface-blended Elo model; singles only, WTA+ATP market coverage, not yet locked-holdout qualified -- promoted by explicit operator directive, not genuine walk-forward validation.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Camila Osorio</t>
        </is>
      </c>
      <c r="AQ350" s="24" t="inlineStr">
        <is>
          <t>Camila Osorio</t>
        </is>
      </c>
      <c r="AR350" s="24" t="inlineStr">
        <is>
          <t>Camila Osorio</t>
        </is>
      </c>
      <c r="AS350" s="24" t="inlineStr">
        <is>
          <t>Aryna Sabalenka</t>
        </is>
      </c>
      <c r="AT350" s="24" t="inlineStr">
        <is>
          <t>Aryna Sabalenka</t>
        </is>
      </c>
      <c r="AU350" s="24" t="inlineStr">
        <is>
          <t>Aryna Sabalenka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d777da58446bc099047b154203518e2585ef1a678f613f2b430f2589f7bf5cff</t>
        </is>
      </c>
      <c r="BB350" s="24" t="inlineStr">
        <is>
          <t>surface_blended_elo</t>
        </is>
      </c>
      <c r="BC350" s="24" t="inlineStr">
        <is>
          <t>tennis-surface-elo-v1</t>
        </is>
      </c>
      <c r="BD350" s="24" t="inlineStr">
        <is>
          <t>d777da58446bc099047b154203518e2585ef1a678f613f2b430f2589f7bf5cff</t>
        </is>
      </c>
      <c r="BE350" s="24" t="inlineStr">
        <is>
          <t>tennis-surface-elo-v1</t>
        </is>
      </c>
      <c r="BF350" s="24" t="inlineStr">
        <is>
          <t>1</t>
        </is>
      </c>
      <c r="BG350" s="24" t="inlineStr">
        <is>
          <t>d777da58446bc099047b154203518e2585ef1a678f613f2b430f2589f7bf5cff</t>
        </is>
      </c>
      <c r="BH350" s="24" t="inlineStr">
        <is>
          <t>2026-08-31T04:41:24.861038Z</t>
        </is>
      </c>
      <c r="BI350" s="24" t="inlineStr">
        <is>
          <t>["same_event","same_team_same_day","same_league_same_day"]</t>
        </is>
      </c>
      <c r="BJ350" s="25" t="n"/>
      <c r="BK350" s="26" t="n">
        <v>-1567</v>
      </c>
      <c r="BL350" s="27" t="n">
        <v>1.063816</v>
      </c>
      <c r="BM350" s="28" t="n">
        <v>0.940012</v>
      </c>
      <c r="BN350" s="28" t="n"/>
      <c r="BO350" s="28" t="n"/>
      <c r="BP350" s="25" t="n"/>
      <c r="BQ350" s="27" t="n">
        <v>1.063816</v>
      </c>
      <c r="BR350" s="28" t="n">
        <v>0.9399999999999999</v>
      </c>
      <c r="BS350" s="28" t="n"/>
      <c r="BT350" s="28" t="n"/>
      <c r="BU350" s="25" t="n"/>
      <c r="BV350" s="29" t="n"/>
      <c r="BW350" s="24" t="n"/>
      <c r="BX350" s="30" t="n">
        <v>1</v>
      </c>
      <c r="BY350" s="27" t="n">
        <v>0.063816</v>
      </c>
      <c r="BZ350" s="24" t="inlineStr">
        <is>
          <t>2026-09-01T04:30:37.223389Z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inlineStr">
        <is>
          <t>f9da37ea5ac240ec2d4028458a2129ff7c7e3bac05d62ec74ee73d587f7f5a51</t>
        </is>
      </c>
      <c r="DE350" s="24" t="inlineStr">
        <is>
          <t>/Users/vincentc9002/model-prediction/data/odds/tennis/2026-08-31/polymarket_snapshots.jsonl</t>
        </is>
      </c>
      <c r="DF350" s="24" t="inlineStr">
        <is>
          <t>547248:2026-08-31T04:41:24.861038Z</t>
        </is>
      </c>
      <c r="DG350" s="24" t="n"/>
      <c r="DH350" s="24" t="n"/>
      <c r="DI350" s="24" t="n"/>
      <c r="DJ350" s="24" t="inlineStr">
        <is>
          <t>0.940012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56f3d30823e24f03</t>
        </is>
      </c>
      <c r="B351" s="24" t="inlineStr">
        <is>
          <t>2026-08-31T04:42:52.714206Z</t>
        </is>
      </c>
      <c r="C351" s="24" t="inlineStr">
        <is>
          <t>2026-08-31T15:00Z</t>
        </is>
      </c>
      <c r="D351" s="24" t="inlineStr">
        <is>
          <t>189-2026:182655</t>
        </is>
      </c>
      <c r="E351" s="24" t="inlineStr">
        <is>
          <t>TENNIS</t>
        </is>
      </c>
      <c r="F351" s="24" t="inlineStr">
        <is>
          <t>Arthur Fils</t>
        </is>
      </c>
      <c r="G351" s="24" t="inlineStr">
        <is>
          <t>Stefanos Tsitsipas</t>
        </is>
      </c>
      <c r="H351" s="24" t="inlineStr">
        <is>
          <t>moneyline</t>
        </is>
      </c>
      <c r="I351" s="24" t="inlineStr">
        <is>
          <t>away</t>
        </is>
      </c>
      <c r="J351" s="25" t="n"/>
      <c r="K351" s="24" t="inlineStr">
        <is>
          <t>polymarket_us</t>
        </is>
      </c>
      <c r="L351" s="26" t="n">
        <v>-426</v>
      </c>
      <c r="M351" s="27" t="n">
        <v>1.234742</v>
      </c>
      <c r="N351" s="28" t="n">
        <v>0.809886</v>
      </c>
      <c r="O351" s="28" t="n">
        <v>0.7864</v>
      </c>
      <c r="P351" s="28" t="n">
        <v>0.05</v>
      </c>
      <c r="Q351" s="28" t="n">
        <v>-0.023486</v>
      </c>
      <c r="R351" s="26" t="n">
        <v>8</v>
      </c>
      <c r="S351" s="29" t="n">
        <v>1</v>
      </c>
      <c r="T351" s="24" t="inlineStr">
        <is>
          <t>tennis-surface-elo-v1</t>
        </is>
      </c>
      <c r="U351" s="24" t="inlineStr">
        <is>
          <t>settled</t>
        </is>
      </c>
      <c r="V351" s="24" t="inlineStr">
        <is>
          <t>loss</t>
        </is>
      </c>
      <c r="W351" s="26" t="n">
        <v>0</v>
      </c>
      <c r="X351" s="26" t="n">
        <v>1</v>
      </c>
      <c r="Y351" s="25" t="n"/>
      <c r="Z351" s="26" t="n">
        <v>-426</v>
      </c>
      <c r="AA351" s="28" t="n">
        <v>0.8100000000000001</v>
      </c>
      <c r="AB351" s="28" t="n">
        <v>0.000114</v>
      </c>
      <c r="AC351" s="30" t="n">
        <v>-1</v>
      </c>
      <c r="AD351" s="24" t="inlineStr">
        <is>
          <t>2026-09-01T04:30:39.136343Z</t>
        </is>
      </c>
      <c r="AE351" s="31" t="inlineStr">
        <is>
          <t>Surface-blended Elo on Hard: Arthur Fils p=0.786 vs Stefanos Tsitsipas. Executable ask 0.8100 (aec-atp-stetsi-artfil-2026-08-30).</t>
        </is>
      </c>
      <c r="AF351" s="31" t="inlineStr">
        <is>
          <t>Surface-blended Elo model; singles only, WTA+ATP market coverage, not yet locked-holdout qualified -- promoted by explicit operator directive, not genuine walk-forward validation.</t>
        </is>
      </c>
      <c r="AG351" s="24" t="inlineStr">
        <is>
          <t>review_required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Arthur Fils</t>
        </is>
      </c>
      <c r="AQ351" s="24" t="inlineStr">
        <is>
          <t>Arthur Fils</t>
        </is>
      </c>
      <c r="AR351" s="24" t="inlineStr">
        <is>
          <t>Arthur Fils</t>
        </is>
      </c>
      <c r="AS351" s="24" t="inlineStr">
        <is>
          <t>Stefanos Tsitsipas</t>
        </is>
      </c>
      <c r="AT351" s="24" t="inlineStr">
        <is>
          <t>Stefanos Tsitsipas</t>
        </is>
      </c>
      <c r="AU351" s="24" t="inlineStr">
        <is>
          <t>Stefanos Tsitsipas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d777da58446bc099047b154203518e2585ef1a678f613f2b430f2589f7bf5cff</t>
        </is>
      </c>
      <c r="BB351" s="24" t="inlineStr">
        <is>
          <t>surface_blended_elo</t>
        </is>
      </c>
      <c r="BC351" s="24" t="inlineStr">
        <is>
          <t>tennis-surface-elo-v1</t>
        </is>
      </c>
      <c r="BD351" s="24" t="inlineStr">
        <is>
          <t>d777da58446bc099047b154203518e2585ef1a678f613f2b430f2589f7bf5cff</t>
        </is>
      </c>
      <c r="BE351" s="24" t="inlineStr">
        <is>
          <t>tennis-surface-elo-v1</t>
        </is>
      </c>
      <c r="BF351" s="24" t="inlineStr">
        <is>
          <t>1</t>
        </is>
      </c>
      <c r="BG351" s="24" t="inlineStr">
        <is>
          <t>d777da58446bc099047b154203518e2585ef1a678f613f2b430f2589f7bf5cff</t>
        </is>
      </c>
      <c r="BH351" s="24" t="inlineStr">
        <is>
          <t>2026-08-31T04:41:25.738526Z</t>
        </is>
      </c>
      <c r="BI351" s="24" t="inlineStr">
        <is>
          <t>["same_event","same_team_same_day","same_league_same_day"]</t>
        </is>
      </c>
      <c r="BJ351" s="25" t="n"/>
      <c r="BK351" s="26" t="n">
        <v>-426</v>
      </c>
      <c r="BL351" s="27" t="n">
        <v>1.234742</v>
      </c>
      <c r="BM351" s="28" t="n">
        <v>0.809886</v>
      </c>
      <c r="BN351" s="28" t="n"/>
      <c r="BO351" s="28" t="n"/>
      <c r="BP351" s="25" t="n"/>
      <c r="BQ351" s="27" t="n">
        <v>1.234742</v>
      </c>
      <c r="BR351" s="28" t="n">
        <v>0.8100000000000001</v>
      </c>
      <c r="BS351" s="28" t="n"/>
      <c r="BT351" s="28" t="n"/>
      <c r="BU351" s="25" t="n"/>
      <c r="BV351" s="29" t="n"/>
      <c r="BW351" s="24" t="n"/>
      <c r="BX351" s="30" t="n">
        <v>1</v>
      </c>
      <c r="BY351" s="27" t="n">
        <v>-1</v>
      </c>
      <c r="BZ351" s="24" t="inlineStr">
        <is>
          <t>2026-09-01T04:30:39.136343Z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inlineStr">
        <is>
          <t>ee405678253d555bd76403a9398217ac141064b6a1bf66152f3820eb4db88418</t>
        </is>
      </c>
      <c r="DE351" s="24" t="inlineStr">
        <is>
          <t>/Users/vincentc9002/model-prediction/data/odds/tennis/2026-08-31/polymarket_snapshots.jsonl</t>
        </is>
      </c>
      <c r="DF351" s="24" t="inlineStr">
        <is>
          <t>547338:2026-08-31T04:41:25.738526Z</t>
        </is>
      </c>
      <c r="DG351" s="24" t="n"/>
      <c r="DH351" s="24" t="n"/>
      <c r="DI351" s="24" t="n"/>
      <c r="DJ351" s="24" t="inlineStr">
        <is>
          <t>0.809886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bd9cc1d901d34031</t>
        </is>
      </c>
      <c r="B352" s="24" t="inlineStr">
        <is>
          <t>2026-08-31T04:42:52.714206Z</t>
        </is>
      </c>
      <c r="C352" s="24" t="inlineStr">
        <is>
          <t>2026-08-31T15:00Z</t>
        </is>
      </c>
      <c r="D352" s="24" t="inlineStr">
        <is>
          <t>189-2026:182673</t>
        </is>
      </c>
      <c r="E352" s="24" t="inlineStr">
        <is>
          <t>TENNIS</t>
        </is>
      </c>
      <c r="F352" s="24" t="inlineStr">
        <is>
          <t>Andrey Rublev</t>
        </is>
      </c>
      <c r="G352" s="24" t="inlineStr">
        <is>
          <t>Otto Virtanen</t>
        </is>
      </c>
      <c r="H352" s="24" t="inlineStr">
        <is>
          <t>moneyline</t>
        </is>
      </c>
      <c r="I352" s="24" t="inlineStr">
        <is>
          <t>away</t>
        </is>
      </c>
      <c r="J352" s="25" t="n"/>
      <c r="K352" s="24" t="inlineStr">
        <is>
          <t>polymarket_us</t>
        </is>
      </c>
      <c r="L352" s="26" t="n">
        <v>-488</v>
      </c>
      <c r="M352" s="27" t="n">
        <v>1.204918</v>
      </c>
      <c r="N352" s="28" t="n">
        <v>0.829932</v>
      </c>
      <c r="O352" s="28" t="n">
        <v>0.734</v>
      </c>
      <c r="P352" s="28" t="n">
        <v>0.05</v>
      </c>
      <c r="Q352" s="28" t="n">
        <v>-0.095932</v>
      </c>
      <c r="R352" s="26" t="n">
        <v>0</v>
      </c>
      <c r="S352" s="29" t="n">
        <v>1</v>
      </c>
      <c r="T352" s="24" t="inlineStr">
        <is>
          <t>tennis-surface-elo-v1</t>
        </is>
      </c>
      <c r="U352" s="24" t="inlineStr">
        <is>
          <t>settled</t>
        </is>
      </c>
      <c r="V352" s="24" t="inlineStr">
        <is>
          <t>win</t>
        </is>
      </c>
      <c r="W352" s="26" t="n">
        <v>1</v>
      </c>
      <c r="X352" s="26" t="n">
        <v>0</v>
      </c>
      <c r="Y352" s="25" t="n"/>
      <c r="Z352" s="26" t="n">
        <v>-488</v>
      </c>
      <c r="AA352" s="28" t="n">
        <v>0.83</v>
      </c>
      <c r="AB352" s="28" t="n">
        <v>6.8e-05</v>
      </c>
      <c r="AC352" s="30" t="n">
        <v>0.2049</v>
      </c>
      <c r="AD352" s="24" t="inlineStr">
        <is>
          <t>2026-09-01T04:30:40.998633Z</t>
        </is>
      </c>
      <c r="AE352" s="31" t="inlineStr">
        <is>
          <t>Surface-blended Elo on Hard: Andrey Rublev p=0.734 vs Otto Virtanen. Executable ask 0.8300 (aec-atp-ottvir-andrub-2026-08-31).</t>
        </is>
      </c>
      <c r="AF352" s="31" t="inlineStr">
        <is>
          <t>Surface-blended Elo model; singles only, WTA+ATP market coverage, not yet locked-holdout qualified -- promoted by explicit operator directive, not genuine walk-forward validation.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Andrey Rublev</t>
        </is>
      </c>
      <c r="AQ352" s="24" t="inlineStr">
        <is>
          <t>Andrey Rublev</t>
        </is>
      </c>
      <c r="AR352" s="24" t="inlineStr">
        <is>
          <t>Andrey Rublev</t>
        </is>
      </c>
      <c r="AS352" s="24" t="inlineStr">
        <is>
          <t>Otto Virtanen</t>
        </is>
      </c>
      <c r="AT352" s="24" t="inlineStr">
        <is>
          <t>Otto Virtanen</t>
        </is>
      </c>
      <c r="AU352" s="24" t="inlineStr">
        <is>
          <t>Otto Virtanen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d777da58446bc099047b154203518e2585ef1a678f613f2b430f2589f7bf5cff</t>
        </is>
      </c>
      <c r="BB352" s="24" t="inlineStr">
        <is>
          <t>surface_blended_elo</t>
        </is>
      </c>
      <c r="BC352" s="24" t="inlineStr">
        <is>
          <t>tennis-surface-elo-v1</t>
        </is>
      </c>
      <c r="BD352" s="24" t="inlineStr">
        <is>
          <t>d777da58446bc099047b154203518e2585ef1a678f613f2b430f2589f7bf5cff</t>
        </is>
      </c>
      <c r="BE352" s="24" t="inlineStr">
        <is>
          <t>tennis-surface-elo-v1</t>
        </is>
      </c>
      <c r="BF352" s="24" t="inlineStr">
        <is>
          <t>1</t>
        </is>
      </c>
      <c r="BG352" s="24" t="inlineStr">
        <is>
          <t>d777da58446bc099047b154203518e2585ef1a678f613f2b430f2589f7bf5cff</t>
        </is>
      </c>
      <c r="BH352" s="24" t="inlineStr">
        <is>
          <t>2026-08-31T04:41:25.752117Z</t>
        </is>
      </c>
      <c r="BI352" s="24" t="inlineStr">
        <is>
          <t>["same_event","same_team_same_day","same_league_same_day"]</t>
        </is>
      </c>
      <c r="BJ352" s="25" t="n"/>
      <c r="BK352" s="26" t="n">
        <v>-488</v>
      </c>
      <c r="BL352" s="27" t="n">
        <v>1.204918</v>
      </c>
      <c r="BM352" s="28" t="n">
        <v>0.829932</v>
      </c>
      <c r="BN352" s="28" t="n"/>
      <c r="BO352" s="28" t="n"/>
      <c r="BP352" s="25" t="n"/>
      <c r="BQ352" s="27" t="n">
        <v>1.204918</v>
      </c>
      <c r="BR352" s="28" t="n">
        <v>0.83</v>
      </c>
      <c r="BS352" s="28" t="n"/>
      <c r="BT352" s="28" t="n"/>
      <c r="BU352" s="25" t="n"/>
      <c r="BV352" s="29" t="n"/>
      <c r="BW352" s="24" t="n"/>
      <c r="BX352" s="30" t="n">
        <v>1</v>
      </c>
      <c r="BY352" s="27" t="n">
        <v>0.204918</v>
      </c>
      <c r="BZ352" s="24" t="inlineStr">
        <is>
          <t>2026-09-01T04:30:40.998633Z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inlineStr">
        <is>
          <t>623eeb023fa3a3368b10f9bb712ee67e2a8be9939eb40cb33b09305dd2ca2dd5</t>
        </is>
      </c>
      <c r="DE352" s="24" t="inlineStr">
        <is>
          <t>/Users/vincentc9002/model-prediction/data/odds/tennis/2026-08-31/polymarket_snapshots.jsonl</t>
        </is>
      </c>
      <c r="DF352" s="24" t="inlineStr">
        <is>
          <t>582226:2026-08-31T04:41:25.752117Z</t>
        </is>
      </c>
      <c r="DG352" s="24" t="n"/>
      <c r="DH352" s="24" t="n"/>
      <c r="DI352" s="24" t="n"/>
      <c r="DJ352" s="24" t="inlineStr">
        <is>
          <t>0.829932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55dfd65193ae4c3d</t>
        </is>
      </c>
      <c r="B353" s="24" t="inlineStr">
        <is>
          <t>2026-08-31T04:42:52.714206Z</t>
        </is>
      </c>
      <c r="C353" s="24" t="inlineStr">
        <is>
          <t>2026-08-31T15:00Z</t>
        </is>
      </c>
      <c r="D353" s="24" t="inlineStr">
        <is>
          <t>189-2026:182760</t>
        </is>
      </c>
      <c r="E353" s="24" t="inlineStr">
        <is>
          <t>TENNIS</t>
        </is>
      </c>
      <c r="F353" s="24" t="inlineStr">
        <is>
          <t>Aleksandar Kovacevic</t>
        </is>
      </c>
      <c r="G353" s="24" t="inlineStr">
        <is>
          <t>Valentin Vacherot</t>
        </is>
      </c>
      <c r="H353" s="24" t="inlineStr">
        <is>
          <t>moneyline</t>
        </is>
      </c>
      <c r="I353" s="24" t="inlineStr">
        <is>
          <t>home</t>
        </is>
      </c>
      <c r="J353" s="25" t="n"/>
      <c r="K353" s="24" t="inlineStr">
        <is>
          <t>polymarket_us</t>
        </is>
      </c>
      <c r="L353" s="26" t="n">
        <v>-108</v>
      </c>
      <c r="M353" s="27" t="n">
        <v>1.925926</v>
      </c>
      <c r="N353" s="28" t="n">
        <v>0.519231</v>
      </c>
      <c r="O353" s="28" t="n">
        <v>0.6385</v>
      </c>
      <c r="P353" s="28" t="n">
        <v>0.05</v>
      </c>
      <c r="Q353" s="28" t="n">
        <v>0.119269</v>
      </c>
      <c r="R353" s="26" t="n">
        <v>80</v>
      </c>
      <c r="S353" s="29" t="n">
        <v>1.5</v>
      </c>
      <c r="T353" s="24" t="inlineStr">
        <is>
          <t>tennis-surface-elo-v1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1</v>
      </c>
      <c r="Y353" s="25" t="n"/>
      <c r="Z353" s="26" t="n">
        <v>-108</v>
      </c>
      <c r="AA353" s="28" t="n">
        <v>0.52</v>
      </c>
      <c r="AB353" s="28" t="n">
        <v>0.000769</v>
      </c>
      <c r="AC353" s="30" t="n">
        <v>1.3889</v>
      </c>
      <c r="AD353" s="24" t="inlineStr">
        <is>
          <t>2026-09-01T04:30:42.959789Z</t>
        </is>
      </c>
      <c r="AE353" s="31" t="inlineStr">
        <is>
          <t>Surface-blended Elo on Hard: Aleksandar Kovacevic p=0.361 vs Valentin Vacherot. Executable ask 0.5200 (aec-atp-valvac-alekov-2026-08-30).</t>
        </is>
      </c>
      <c r="AF353" s="31" t="inlineStr">
        <is>
          <t>Surface-blended Elo model; singles only, WTA+ATP market coverage, not yet locked-holdout qualified -- promoted by explicit operator directive, not genuine walk-forward validation.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Aleksandar Kovacevic</t>
        </is>
      </c>
      <c r="AQ353" s="24" t="inlineStr">
        <is>
          <t>Aleksandar Kovacevic</t>
        </is>
      </c>
      <c r="AR353" s="24" t="inlineStr">
        <is>
          <t>Aleksandar Kovacevic</t>
        </is>
      </c>
      <c r="AS353" s="24" t="inlineStr">
        <is>
          <t>Valentin Vacherot</t>
        </is>
      </c>
      <c r="AT353" s="24" t="inlineStr">
        <is>
          <t>Valentin Vacherot</t>
        </is>
      </c>
      <c r="AU353" s="24" t="inlineStr">
        <is>
          <t>Valentin Vacherot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d777da58446bc099047b154203518e2585ef1a678f613f2b430f2589f7bf5cff</t>
        </is>
      </c>
      <c r="BB353" s="24" t="inlineStr">
        <is>
          <t>surface_blended_elo</t>
        </is>
      </c>
      <c r="BC353" s="24" t="inlineStr">
        <is>
          <t>tennis-surface-elo-v1</t>
        </is>
      </c>
      <c r="BD353" s="24" t="inlineStr">
        <is>
          <t>d777da58446bc099047b154203518e2585ef1a678f613f2b430f2589f7bf5cff</t>
        </is>
      </c>
      <c r="BE353" s="24" t="inlineStr">
        <is>
          <t>tennis-surface-elo-v1</t>
        </is>
      </c>
      <c r="BF353" s="24" t="inlineStr">
        <is>
          <t>1</t>
        </is>
      </c>
      <c r="BG353" s="24" t="inlineStr">
        <is>
          <t>d777da58446bc099047b154203518e2585ef1a678f613f2b430f2589f7bf5cff</t>
        </is>
      </c>
      <c r="BH353" s="24" t="inlineStr">
        <is>
          <t>2026-08-31T04:41:25.661335Z</t>
        </is>
      </c>
      <c r="BI353" s="24" t="inlineStr">
        <is>
          <t>["same_event","same_team_same_day","same_league_same_day"]</t>
        </is>
      </c>
      <c r="BJ353" s="25" t="n"/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>
        <v>1.925926</v>
      </c>
      <c r="BR353" s="28" t="n">
        <v>0.52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inlineStr">
        <is>
          <t>6ef7338cc3724e93d8a2c4bcfe12b2194cc700d62dd7021041630f529e342d10</t>
        </is>
      </c>
      <c r="DE353" s="24" t="inlineStr">
        <is>
          <t>/Users/vincentc9002/model-prediction/data/odds/tennis/2026-08-31/polymarket_snapshots.jsonl</t>
        </is>
      </c>
      <c r="DF353" s="24" t="inlineStr">
        <is>
          <t>547300:2026-08-31T04:41:25.661335Z</t>
        </is>
      </c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663dab7fa0cf406d</t>
        </is>
      </c>
      <c r="B354" s="24" t="inlineStr">
        <is>
          <t>2026-08-31T16:04:31.779137Z</t>
        </is>
      </c>
      <c r="C354" s="24" t="inlineStr">
        <is>
          <t>2026-08-31T16:30Z</t>
        </is>
      </c>
      <c r="D354" s="24" t="inlineStr">
        <is>
          <t>189-2026:182590</t>
        </is>
      </c>
      <c r="E354" s="24" t="inlineStr">
        <is>
          <t>TENNIS</t>
        </is>
      </c>
      <c r="F354" s="24" t="inlineStr">
        <is>
          <t>Oksana Selekhmeteva</t>
        </is>
      </c>
      <c r="G354" s="24" t="inlineStr">
        <is>
          <t>Aoi Ito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-170</v>
      </c>
      <c r="M354" s="27" t="n">
        <v>1.588235</v>
      </c>
      <c r="N354" s="28" t="n">
        <v>0.62963</v>
      </c>
      <c r="O354" s="28" t="n">
        <v>0.608</v>
      </c>
      <c r="P354" s="28" t="n">
        <v>0.05</v>
      </c>
      <c r="Q354" s="28" t="n">
        <v>-0.02163</v>
      </c>
      <c r="R354" s="26" t="n">
        <v>9</v>
      </c>
      <c r="S354" s="29" t="n">
        <v>1</v>
      </c>
      <c r="T354" s="24" t="inlineStr">
        <is>
          <t>tennis-surface-elo-v1</t>
        </is>
      </c>
      <c r="U354" s="24" t="inlineStr">
        <is>
          <t>settled</t>
        </is>
      </c>
      <c r="V354" s="24" t="inlineStr">
        <is>
          <t>win</t>
        </is>
      </c>
      <c r="W354" s="26" t="n">
        <v>1</v>
      </c>
      <c r="X354" s="26" t="n">
        <v>0</v>
      </c>
      <c r="Y354" s="25" t="n"/>
      <c r="Z354" s="26" t="n">
        <v>-170</v>
      </c>
      <c r="AA354" s="28" t="n">
        <v>0.63</v>
      </c>
      <c r="AB354" s="28" t="n">
        <v>0.00037</v>
      </c>
      <c r="AC354" s="30" t="n">
        <v>0.5881999999999999</v>
      </c>
      <c r="AD354" s="24" t="inlineStr">
        <is>
          <t>2026-09-01T04:32:31.172547Z</t>
        </is>
      </c>
      <c r="AE354" s="31" t="inlineStr">
        <is>
          <t>Surface-blended Elo on Hard: Oksana Selekhmeteva p=0.608 vs Aoi Ito. Executable ask 0.6300 (aec-wta-aoiito-okssel-2026-08-30).</t>
        </is>
      </c>
      <c r="AF354" s="31" t="inlineStr">
        <is>
          <t>Surface-blended Elo model; singles only, WTA+ATP market coverage, not yet locked-holdout qualified -- promoted by explicit operator directive, not genuine walk-forward validation.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PAPER_CALL_LOW_EDGE</t>
        </is>
      </c>
      <c r="AP354" s="24" t="inlineStr">
        <is>
          <t>Oksana Selekhmeteva</t>
        </is>
      </c>
      <c r="AQ354" s="24" t="inlineStr">
        <is>
          <t>Oksana Selekhmeteva</t>
        </is>
      </c>
      <c r="AR354" s="24" t="inlineStr">
        <is>
          <t>Oksana Selekhmeteva</t>
        </is>
      </c>
      <c r="AS354" s="24" t="inlineStr">
        <is>
          <t>Aoi Ito</t>
        </is>
      </c>
      <c r="AT354" s="24" t="inlineStr">
        <is>
          <t>Aoi Ito</t>
        </is>
      </c>
      <c r="AU354" s="24" t="inlineStr">
        <is>
          <t>Aoi Ito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a67bb04c83bafa75b17d3013fcd4c13f2ff17c27af73dd591a6770e000183022</t>
        </is>
      </c>
      <c r="BB354" s="24" t="inlineStr">
        <is>
          <t>surface_blended_elo</t>
        </is>
      </c>
      <c r="BC354" s="24" t="inlineStr">
        <is>
          <t>tennis-surface-elo-v1</t>
        </is>
      </c>
      <c r="BD354" s="24" t="inlineStr">
        <is>
          <t>a67bb04c83bafa75b17d3013fcd4c13f2ff17c27af73dd591a6770e000183022</t>
        </is>
      </c>
      <c r="BE354" s="24" t="inlineStr">
        <is>
          <t>tennis-surface-elo-v1</t>
        </is>
      </c>
      <c r="BF354" s="24" t="inlineStr">
        <is>
          <t>1</t>
        </is>
      </c>
      <c r="BG354" s="24" t="inlineStr">
        <is>
          <t>a67bb04c83bafa75b17d3013fcd4c13f2ff17c27af73dd591a6770e000183022</t>
        </is>
      </c>
      <c r="BH354" s="24" t="inlineStr">
        <is>
          <t>2026-08-31T16:02:38.692918Z</t>
        </is>
      </c>
      <c r="BI354" s="24" t="inlineStr">
        <is>
          <t>["same_event","same_team_same_day","same_league_same_day"]</t>
        </is>
      </c>
      <c r="BJ354" s="25" t="n"/>
      <c r="BK354" s="26" t="n">
        <v>-170</v>
      </c>
      <c r="BL354" s="27" t="n">
        <v>1.588235</v>
      </c>
      <c r="BM354" s="28" t="n">
        <v>0.62963</v>
      </c>
      <c r="BN354" s="28" t="n"/>
      <c r="BO354" s="28" t="n"/>
      <c r="BP354" s="25" t="n"/>
      <c r="BQ354" s="27" t="n">
        <v>1.588235</v>
      </c>
      <c r="BR354" s="28" t="n">
        <v>0.63</v>
      </c>
      <c r="BS354" s="28" t="n"/>
      <c r="BT354" s="28" t="n"/>
      <c r="BU354" s="25" t="n"/>
      <c r="BV354" s="29" t="n"/>
      <c r="BW354" s="24" t="n"/>
      <c r="BX354" s="30" t="n">
        <v>1</v>
      </c>
      <c r="BY354" s="27" t="n">
        <v>0.588234</v>
      </c>
      <c r="BZ354" s="24" t="inlineStr">
        <is>
          <t>2026-09-01T04:32:31.172547Z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False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inlineStr">
        <is>
          <t>f7ddd917b42ed5f4d91571abcfd462ce5bcbe4ecbacd6f8d7952771f0c286176</t>
        </is>
      </c>
      <c r="DE354" s="24" t="inlineStr">
        <is>
          <t>/Users/vincentc9002/model-prediction/data/odds/tennis/2026-08-31/polymarket_snapshots.jsonl</t>
        </is>
      </c>
      <c r="DF354" s="24" t="inlineStr">
        <is>
          <t>547249:2026-08-31T16:02:38.692918Z</t>
        </is>
      </c>
      <c r="DG354" s="24" t="n"/>
      <c r="DH354" s="24" t="n"/>
      <c r="DI354" s="24" t="n"/>
      <c r="DJ354" s="24" t="inlineStr">
        <is>
          <t>0.62963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bd3cfe4a66984a16</t>
        </is>
      </c>
      <c r="B355" s="24" t="inlineStr">
        <is>
          <t>2026-08-31T16:04:31.779137Z</t>
        </is>
      </c>
      <c r="C355" s="24" t="inlineStr">
        <is>
          <t>2026-08-31T16:30Z</t>
        </is>
      </c>
      <c r="D355" s="24" t="inlineStr">
        <is>
          <t>189-2026:182653</t>
        </is>
      </c>
      <c r="E355" s="24" t="inlineStr">
        <is>
          <t>TENNIS</t>
        </is>
      </c>
      <c r="F355" s="24" t="inlineStr">
        <is>
          <t>Anna Kalinskaya</t>
        </is>
      </c>
      <c r="G355" s="24" t="inlineStr">
        <is>
          <t>Anna Blinkova</t>
        </is>
      </c>
      <c r="H355" s="24" t="inlineStr">
        <is>
          <t>moneyline</t>
        </is>
      </c>
      <c r="I355" s="24" t="inlineStr">
        <is>
          <t>away</t>
        </is>
      </c>
      <c r="J355" s="25" t="n"/>
      <c r="K355" s="24" t="inlineStr">
        <is>
          <t>polymarket_us</t>
        </is>
      </c>
      <c r="L355" s="26" t="n">
        <v>-300</v>
      </c>
      <c r="M355" s="27" t="n">
        <v>1.333333</v>
      </c>
      <c r="N355" s="28" t="n">
        <v>0.75</v>
      </c>
      <c r="O355" s="28" t="n">
        <v>0.7119</v>
      </c>
      <c r="P355" s="28" t="n">
        <v>0.05</v>
      </c>
      <c r="Q355" s="28" t="n">
        <v>-0.0381</v>
      </c>
      <c r="R355" s="26" t="n">
        <v>1</v>
      </c>
      <c r="S355" s="29" t="n">
        <v>1</v>
      </c>
      <c r="T355" s="24" t="inlineStr">
        <is>
          <t>tennis-surface-elo-v1</t>
        </is>
      </c>
      <c r="U355" s="24" t="inlineStr">
        <is>
          <t>settled</t>
        </is>
      </c>
      <c r="V355" s="24" t="inlineStr">
        <is>
          <t>win</t>
        </is>
      </c>
      <c r="W355" s="26" t="n">
        <v>1</v>
      </c>
      <c r="X355" s="26" t="n">
        <v>0</v>
      </c>
      <c r="Y355" s="25" t="n"/>
      <c r="Z355" s="26" t="n">
        <v>-300</v>
      </c>
      <c r="AA355" s="28" t="n">
        <v>0.75</v>
      </c>
      <c r="AB355" s="28" t="n">
        <v>0</v>
      </c>
      <c r="AC355" s="30" t="n">
        <v>0.3333</v>
      </c>
      <c r="AD355" s="24" t="inlineStr">
        <is>
          <t>2026-09-01T04:32:33.144021Z</t>
        </is>
      </c>
      <c r="AE355" s="31" t="inlineStr">
        <is>
          <t>Surface-blended Elo on Hard: Anna Kalinskaya p=0.712 vs Anna Blinkova. Executable ask 0.7500 (aec-wta-annbli-annkal-2026-08-30).</t>
        </is>
      </c>
      <c r="AF355" s="31" t="inlineStr">
        <is>
          <t>Surface-blended Elo model; singles only, WTA+ATP market coverage, not yet locked-holdout qualified -- promoted by explicit operator directive, not genuine walk-forward validation.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Anna Kalinskaya</t>
        </is>
      </c>
      <c r="AQ355" s="24" t="inlineStr">
        <is>
          <t>Anna Kalinskaya</t>
        </is>
      </c>
      <c r="AR355" s="24" t="inlineStr">
        <is>
          <t>Anna Kalinskaya</t>
        </is>
      </c>
      <c r="AS355" s="24" t="inlineStr">
        <is>
          <t>Anna Blinkova</t>
        </is>
      </c>
      <c r="AT355" s="24" t="inlineStr">
        <is>
          <t>Anna Blinkova</t>
        </is>
      </c>
      <c r="AU355" s="24" t="inlineStr">
        <is>
          <t>Anna Blinkova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a67bb04c83bafa75b17d3013fcd4c13f2ff17c27af73dd591a6770e000183022</t>
        </is>
      </c>
      <c r="BB355" s="24" t="inlineStr">
        <is>
          <t>surface_blended_elo</t>
        </is>
      </c>
      <c r="BC355" s="24" t="inlineStr">
        <is>
          <t>tennis-surface-elo-v1</t>
        </is>
      </c>
      <c r="BD355" s="24" t="inlineStr">
        <is>
          <t>a67bb04c83bafa75b17d3013fcd4c13f2ff17c27af73dd591a6770e000183022</t>
        </is>
      </c>
      <c r="BE355" s="24" t="inlineStr">
        <is>
          <t>tennis-surface-elo-v1</t>
        </is>
      </c>
      <c r="BF355" s="24" t="inlineStr">
        <is>
          <t>1</t>
        </is>
      </c>
      <c r="BG355" s="24" t="inlineStr">
        <is>
          <t>a67bb04c83bafa75b17d3013fcd4c13f2ff17c27af73dd591a6770e000183022</t>
        </is>
      </c>
      <c r="BH355" s="24" t="inlineStr">
        <is>
          <t>2026-08-31T16:02:38.624702Z</t>
        </is>
      </c>
      <c r="BI355" s="24" t="inlineStr">
        <is>
          <t>["same_event","same_team_same_day","same_league_same_day"]</t>
        </is>
      </c>
      <c r="BJ355" s="25" t="n"/>
      <c r="BK355" s="26" t="n">
        <v>-300</v>
      </c>
      <c r="BL355" s="27" t="n">
        <v>1.333333</v>
      </c>
      <c r="BM355" s="28" t="n">
        <v>0.75</v>
      </c>
      <c r="BN355" s="28" t="n"/>
      <c r="BO355" s="28" t="n"/>
      <c r="BP355" s="25" t="n"/>
      <c r="BQ355" s="27" t="n">
        <v>1.333333</v>
      </c>
      <c r="BR355" s="28" t="n">
        <v>0.75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0.333333</v>
      </c>
      <c r="BZ355" s="24" t="inlineStr">
        <is>
          <t>2026-09-01T04:32:33.144021Z</t>
        </is>
      </c>
      <c r="CA355" s="31" t="inlineStr">
        <is>
          <t>fixed one-unit hypothetical scoring; no real exposure or execution</t>
        </is>
      </c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False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inlineStr">
        <is>
          <t>e0ad605747395bf33b30de993c435a8268b5ba40a59bc2f9bbf7fdf697b508f9</t>
        </is>
      </c>
      <c r="DE355" s="24" t="inlineStr">
        <is>
          <t>/Users/vincentc9002/model-prediction/data/odds/tennis/2026-08-31/polymarket_snapshots.jsonl</t>
        </is>
      </c>
      <c r="DF355" s="24" t="inlineStr">
        <is>
          <t>547286:2026-08-31T16:02:38.624702Z</t>
        </is>
      </c>
      <c r="DG355" s="24" t="n"/>
      <c r="DH355" s="24" t="n"/>
      <c r="DI355" s="24" t="n"/>
      <c r="DJ355" s="24" t="inlineStr">
        <is>
          <t>0.75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a37e5df7bfc14618</t>
        </is>
      </c>
      <c r="B356" s="24" t="inlineStr">
        <is>
          <t>2026-08-31T16:04:31.779137Z</t>
        </is>
      </c>
      <c r="C356" s="24" t="inlineStr">
        <is>
          <t>2026-08-31T17:00Z</t>
        </is>
      </c>
      <c r="D356" s="24" t="inlineStr">
        <is>
          <t>189-2026:182599</t>
        </is>
      </c>
      <c r="E356" s="24" t="inlineStr">
        <is>
          <t>TENNIS</t>
        </is>
      </c>
      <c r="F356" s="24" t="inlineStr">
        <is>
          <t>Maria Timofeeva</t>
        </is>
      </c>
      <c r="G356" s="24" t="inlineStr">
        <is>
          <t>Tamara Zidansek</t>
        </is>
      </c>
      <c r="H356" s="24" t="inlineStr">
        <is>
          <t>moneyline</t>
        </is>
      </c>
      <c r="I356" s="24" t="inlineStr">
        <is>
          <t>home</t>
        </is>
      </c>
      <c r="J356" s="25" t="n"/>
      <c r="K356" s="24" t="inlineStr">
        <is>
          <t>polymarket_us</t>
        </is>
      </c>
      <c r="L356" s="26" t="n">
        <v>186</v>
      </c>
      <c r="M356" s="27" t="n">
        <v>2.86</v>
      </c>
      <c r="N356" s="28" t="n">
        <v>0.34965</v>
      </c>
      <c r="O356" s="28" t="n">
        <v>0.5261</v>
      </c>
      <c r="P356" s="28" t="n">
        <v>0.05</v>
      </c>
      <c r="Q356" s="28" t="n">
        <v>0.17645</v>
      </c>
      <c r="R356" s="26" t="n">
        <v>100</v>
      </c>
      <c r="S356" s="29" t="n">
        <v>1.75</v>
      </c>
      <c r="T356" s="24" t="inlineStr">
        <is>
          <t>tennis-surface-elo-v1</t>
        </is>
      </c>
      <c r="U356" s="24" t="inlineStr">
        <is>
          <t>settled</t>
        </is>
      </c>
      <c r="V356" s="24" t="inlineStr">
        <is>
          <t>loss</t>
        </is>
      </c>
      <c r="W356" s="26" t="n">
        <v>1</v>
      </c>
      <c r="X356" s="26" t="n">
        <v>0</v>
      </c>
      <c r="Y356" s="25" t="n"/>
      <c r="Z356" s="26" t="n">
        <v>186</v>
      </c>
      <c r="AA356" s="28" t="n">
        <v>0.35</v>
      </c>
      <c r="AB356" s="28" t="n">
        <v>0.00035</v>
      </c>
      <c r="AC356" s="30" t="n">
        <v>-1.75</v>
      </c>
      <c r="AD356" s="24" t="inlineStr">
        <is>
          <t>2026-09-01T04:32:35.054938Z</t>
        </is>
      </c>
      <c r="AE356" s="31" t="inlineStr">
        <is>
          <t>Surface-blended Elo on Hard: Maria Timofeeva p=0.474 vs Tamara Zidansek. Executable ask 0.3500 (aec-wta-tamzid-martim-2026-08-30).</t>
        </is>
      </c>
      <c r="AF356" s="31" t="inlineStr">
        <is>
          <t>Surface-blended Elo model; singles only, WTA+ATP market coverage, not yet locked-holdout qualified -- promoted by explicit operator directive, not genuine walk-forward validation.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Maria Timofeeva</t>
        </is>
      </c>
      <c r="AQ356" s="24" t="inlineStr">
        <is>
          <t>Maria Timofeeva</t>
        </is>
      </c>
      <c r="AR356" s="24" t="inlineStr">
        <is>
          <t>Maria Timofeeva</t>
        </is>
      </c>
      <c r="AS356" s="24" t="inlineStr">
        <is>
          <t>Tamara Zidansek</t>
        </is>
      </c>
      <c r="AT356" s="24" t="inlineStr">
        <is>
          <t>Tamara Zidansek</t>
        </is>
      </c>
      <c r="AU356" s="24" t="inlineStr">
        <is>
          <t>Tamara Zidansek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a67bb04c83bafa75b17d3013fcd4c13f2ff17c27af73dd591a6770e000183022</t>
        </is>
      </c>
      <c r="BB356" s="24" t="inlineStr">
        <is>
          <t>surface_blended_elo</t>
        </is>
      </c>
      <c r="BC356" s="24" t="inlineStr">
        <is>
          <t>tennis-surface-elo-v1</t>
        </is>
      </c>
      <c r="BD356" s="24" t="inlineStr">
        <is>
          <t>a67bb04c83bafa75b17d3013fcd4c13f2ff17c27af73dd591a6770e000183022</t>
        </is>
      </c>
      <c r="BE356" s="24" t="inlineStr">
        <is>
          <t>tennis-surface-elo-v1</t>
        </is>
      </c>
      <c r="BF356" s="24" t="inlineStr">
        <is>
          <t>1</t>
        </is>
      </c>
      <c r="BG356" s="24" t="inlineStr">
        <is>
          <t>a67bb04c83bafa75b17d3013fcd4c13f2ff17c27af73dd591a6770e000183022</t>
        </is>
      </c>
      <c r="BH356" s="24" t="inlineStr">
        <is>
          <t>2026-08-31T16:02:38.776982Z</t>
        </is>
      </c>
      <c r="BI356" s="24" t="inlineStr">
        <is>
          <t>["same_event","same_team_same_day","same_league_same_day"]</t>
        </is>
      </c>
      <c r="BJ356" s="25" t="n"/>
      <c r="BK356" s="26" t="n">
        <v>186</v>
      </c>
      <c r="BL356" s="27" t="n">
        <v>2.86</v>
      </c>
      <c r="BM356" s="28" t="n">
        <v>0.34965</v>
      </c>
      <c r="BN356" s="28" t="n"/>
      <c r="BO356" s="28" t="n"/>
      <c r="BP356" s="25" t="n"/>
      <c r="BQ356" s="27" t="n">
        <v>2.86</v>
      </c>
      <c r="BR356" s="28" t="n">
        <v>0.35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2026-09-01T04:32:35.054938Z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inlineStr">
        <is>
          <t>b652c55b48955ef636f8d6136a838259e4337ca1075d110cabac367f2da76e66</t>
        </is>
      </c>
      <c r="DE356" s="24" t="inlineStr">
        <is>
          <t>/Users/vincentc9002/model-prediction/data/odds/tennis/2026-08-31/polymarket_snapshots.jsonl</t>
        </is>
      </c>
      <c r="DF356" s="24" t="inlineStr">
        <is>
          <t>550530:2026-08-31T16:02:38.776982Z</t>
        </is>
      </c>
      <c r="DG356" s="24" t="n"/>
      <c r="DH356" s="24" t="n"/>
      <c r="DI356" s="24" t="n"/>
      <c r="DJ356" s="24" t="inlineStr">
        <is>
          <t>0.34965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2c167f1616704d27</t>
        </is>
      </c>
      <c r="B357" s="24" t="inlineStr">
        <is>
          <t>2026-08-31T16:04:31.779137Z</t>
        </is>
      </c>
      <c r="C357" s="24" t="inlineStr">
        <is>
          <t>2026-08-31T17:00Z</t>
        </is>
      </c>
      <c r="D357" s="24" t="inlineStr">
        <is>
          <t>189-2026:182638</t>
        </is>
      </c>
      <c r="E357" s="24" t="inlineStr">
        <is>
          <t>TENNIS</t>
        </is>
      </c>
      <c r="F357" s="24" t="inlineStr">
        <is>
          <t>Amanda Anisimova</t>
        </is>
      </c>
      <c r="G357" s="24" t="inlineStr">
        <is>
          <t>Ashlyn Krueger</t>
        </is>
      </c>
      <c r="H357" s="24" t="inlineStr">
        <is>
          <t>moneyline</t>
        </is>
      </c>
      <c r="I357" s="24" t="inlineStr">
        <is>
          <t>away</t>
        </is>
      </c>
      <c r="J357" s="25" t="n"/>
      <c r="K357" s="24" t="inlineStr">
        <is>
          <t>polymarket_us</t>
        </is>
      </c>
      <c r="L357" s="26" t="n">
        <v>-567</v>
      </c>
      <c r="M357" s="27" t="n">
        <v>1.176367</v>
      </c>
      <c r="N357" s="28" t="n">
        <v>0.850075</v>
      </c>
      <c r="O357" s="28" t="n">
        <v>0.7855</v>
      </c>
      <c r="P357" s="28" t="n">
        <v>0.05</v>
      </c>
      <c r="Q357" s="28" t="n">
        <v>-0.06457499999999999</v>
      </c>
      <c r="R357" s="26" t="n">
        <v>0</v>
      </c>
      <c r="S357" s="29" t="n">
        <v>1</v>
      </c>
      <c r="T357" s="24" t="inlineStr">
        <is>
          <t>tennis-surface-elo-v1</t>
        </is>
      </c>
      <c r="U357" s="24" t="inlineStr">
        <is>
          <t>settled</t>
        </is>
      </c>
      <c r="V357" s="24" t="inlineStr">
        <is>
          <t>win</t>
        </is>
      </c>
      <c r="W357" s="26" t="n">
        <v>1</v>
      </c>
      <c r="X357" s="26" t="n">
        <v>0</v>
      </c>
      <c r="Y357" s="25" t="n"/>
      <c r="Z357" s="26" t="n">
        <v>-567</v>
      </c>
      <c r="AA357" s="28" t="n">
        <v>0.85</v>
      </c>
      <c r="AB357" s="28" t="n">
        <v>-7.499999999999999e-05</v>
      </c>
      <c r="AC357" s="30" t="n">
        <v>0.1764</v>
      </c>
      <c r="AD357" s="24" t="inlineStr">
        <is>
          <t>2026-09-01T04:32:37.026489Z</t>
        </is>
      </c>
      <c r="AE357" s="31" t="inlineStr">
        <is>
          <t>Surface-blended Elo on Hard: Amanda Anisimova p=0.785 vs Ashlyn Krueger. Executable ask 0.8500 (aec-wta-ashkru-amaani-2026-08-30).</t>
        </is>
      </c>
      <c r="AF357" s="31" t="inlineStr">
        <is>
          <t>Surface-blended Elo model; singles only, WTA+ATP market coverage, not yet locked-holdout qualified -- promoted by explicit operator directive, not genuine walk-forward validation.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Amanda Anisimova</t>
        </is>
      </c>
      <c r="AQ357" s="24" t="inlineStr">
        <is>
          <t>Amanda Anisimova</t>
        </is>
      </c>
      <c r="AR357" s="24" t="inlineStr">
        <is>
          <t>Amanda Anisimova</t>
        </is>
      </c>
      <c r="AS357" s="24" t="inlineStr">
        <is>
          <t>Ashlyn Krueger</t>
        </is>
      </c>
      <c r="AT357" s="24" t="inlineStr">
        <is>
          <t>Ashlyn Krueger</t>
        </is>
      </c>
      <c r="AU357" s="24" t="inlineStr">
        <is>
          <t>Ashlyn Krueger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a67bb04c83bafa75b17d3013fcd4c13f2ff17c27af73dd591a6770e000183022</t>
        </is>
      </c>
      <c r="BB357" s="24" t="inlineStr">
        <is>
          <t>surface_blended_elo</t>
        </is>
      </c>
      <c r="BC357" s="24" t="inlineStr">
        <is>
          <t>tennis-surface-elo-v1</t>
        </is>
      </c>
      <c r="BD357" s="24" t="inlineStr">
        <is>
          <t>a67bb04c83bafa75b17d3013fcd4c13f2ff17c27af73dd591a6770e000183022</t>
        </is>
      </c>
      <c r="BE357" s="24" t="inlineStr">
        <is>
          <t>tennis-surface-elo-v1</t>
        </is>
      </c>
      <c r="BF357" s="24" t="inlineStr">
        <is>
          <t>1</t>
        </is>
      </c>
      <c r="BG357" s="24" t="inlineStr">
        <is>
          <t>a67bb04c83bafa75b17d3013fcd4c13f2ff17c27af73dd591a6770e000183022</t>
        </is>
      </c>
      <c r="BH357" s="24" t="inlineStr">
        <is>
          <t>2026-08-31T16:02:38.816824Z</t>
        </is>
      </c>
      <c r="BI357" s="24" t="inlineStr">
        <is>
          <t>["same_event","same_team_same_day","same_league_same_day"]</t>
        </is>
      </c>
      <c r="BJ357" s="25" t="n"/>
      <c r="BK357" s="26" t="n">
        <v>-567</v>
      </c>
      <c r="BL357" s="27" t="n">
        <v>1.176367</v>
      </c>
      <c r="BM357" s="28" t="n">
        <v>0.850075</v>
      </c>
      <c r="BN357" s="28" t="n"/>
      <c r="BO357" s="28" t="n"/>
      <c r="BP357" s="25" t="n"/>
      <c r="BQ357" s="27" t="n">
        <v>1.176367</v>
      </c>
      <c r="BR357" s="28" t="n">
        <v>0.85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0.176367</v>
      </c>
      <c r="BZ357" s="24" t="inlineStr">
        <is>
          <t>2026-09-01T04:32:37.026489Z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inlineStr">
        <is>
          <t>8c170830187ccc6a61b4ca77930d94e94fc334993068f69700d24f16c958e55b</t>
        </is>
      </c>
      <c r="DE357" s="24" t="inlineStr">
        <is>
          <t>/Users/vincentc9002/model-prediction/data/odds/tennis/2026-08-31/polymarket_snapshots.jsonl</t>
        </is>
      </c>
      <c r="DF357" s="24" t="inlineStr">
        <is>
          <t>547302:2026-08-31T16:02:38.816824Z</t>
        </is>
      </c>
      <c r="DG357" s="24" t="n"/>
      <c r="DH357" s="24" t="n"/>
      <c r="DI357" s="24" t="n"/>
      <c r="DJ357" s="24" t="inlineStr">
        <is>
          <t>0.850075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f787da3a7df74b35</t>
        </is>
      </c>
      <c r="B358" s="24" t="inlineStr">
        <is>
          <t>2026-08-31T16:04:31.779137Z</t>
        </is>
      </c>
      <c r="C358" s="24" t="inlineStr">
        <is>
          <t>2026-08-31T18:00Z</t>
        </is>
      </c>
      <c r="D358" s="24" t="inlineStr">
        <is>
          <t>189-2026:182595</t>
        </is>
      </c>
      <c r="E358" s="24" t="inlineStr">
        <is>
          <t>TENNIS</t>
        </is>
      </c>
      <c r="F358" s="24" t="inlineStr">
        <is>
          <t>Taylor Townsend</t>
        </is>
      </c>
      <c r="G358" s="24" t="inlineStr">
        <is>
          <t>Maja Chwalinska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-213</v>
      </c>
      <c r="M358" s="27" t="n">
        <v>1.469484</v>
      </c>
      <c r="N358" s="28" t="n">
        <v>0.680511</v>
      </c>
      <c r="O358" s="28" t="n">
        <v>0.5706</v>
      </c>
      <c r="P358" s="28" t="n">
        <v>0.05</v>
      </c>
      <c r="Q358" s="28" t="n">
        <v>-0.109911</v>
      </c>
      <c r="R358" s="26" t="n">
        <v>0</v>
      </c>
      <c r="S358" s="29" t="n">
        <v>1</v>
      </c>
      <c r="T358" s="24" t="inlineStr">
        <is>
          <t>tennis-surface-elo-v1</t>
        </is>
      </c>
      <c r="U358" s="24" t="inlineStr">
        <is>
          <t>settled</t>
        </is>
      </c>
      <c r="V358" s="24" t="inlineStr">
        <is>
          <t>win</t>
        </is>
      </c>
      <c r="W358" s="26" t="n">
        <v>1</v>
      </c>
      <c r="X358" s="26" t="n">
        <v>0</v>
      </c>
      <c r="Y358" s="25" t="n"/>
      <c r="Z358" s="26" t="n">
        <v>-213</v>
      </c>
      <c r="AA358" s="28" t="n">
        <v>0.68</v>
      </c>
      <c r="AB358" s="28" t="n">
        <v>-0.000511</v>
      </c>
      <c r="AC358" s="30" t="n">
        <v>0.4695</v>
      </c>
      <c r="AD358" s="24" t="inlineStr">
        <is>
          <t>2026-09-01T04:32:38.943604Z</t>
        </is>
      </c>
      <c r="AE358" s="31" t="inlineStr">
        <is>
          <t>Surface-blended Elo on Hard: Taylor Townsend p=0.571 vs Maja Chwalinska. Executable ask 0.6800 (aec-wta-majchw-taytow-2026-08-30).</t>
        </is>
      </c>
      <c r="AF358" s="31" t="inlineStr">
        <is>
          <t>Surface-blended Elo model; singles only, WTA+ATP market coverage, not yet locked-holdout qualified -- promoted by explicit operator directive, not genuine walk-forward validation.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Taylor Townsend</t>
        </is>
      </c>
      <c r="AQ358" s="24" t="inlineStr">
        <is>
          <t>Taylor Townsend</t>
        </is>
      </c>
      <c r="AR358" s="24" t="inlineStr">
        <is>
          <t>Taylor Townsend</t>
        </is>
      </c>
      <c r="AS358" s="24" t="inlineStr">
        <is>
          <t>Maja Chwalinska</t>
        </is>
      </c>
      <c r="AT358" s="24" t="inlineStr">
        <is>
          <t>Maja Chwalinska</t>
        </is>
      </c>
      <c r="AU358" s="24" t="inlineStr">
        <is>
          <t>Maja Chwalinska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a67bb04c83bafa75b17d3013fcd4c13f2ff17c27af73dd591a6770e000183022</t>
        </is>
      </c>
      <c r="BB358" s="24" t="inlineStr">
        <is>
          <t>surface_blended_elo</t>
        </is>
      </c>
      <c r="BC358" s="24" t="inlineStr">
        <is>
          <t>tennis-surface-elo-v1</t>
        </is>
      </c>
      <c r="BD358" s="24" t="inlineStr">
        <is>
          <t>a67bb04c83bafa75b17d3013fcd4c13f2ff17c27af73dd591a6770e000183022</t>
        </is>
      </c>
      <c r="BE358" s="24" t="inlineStr">
        <is>
          <t>tennis-surface-elo-v1</t>
        </is>
      </c>
      <c r="BF358" s="24" t="inlineStr">
        <is>
          <t>1</t>
        </is>
      </c>
      <c r="BG358" s="24" t="inlineStr">
        <is>
          <t>a67bb04c83bafa75b17d3013fcd4c13f2ff17c27af73dd591a6770e000183022</t>
        </is>
      </c>
      <c r="BH358" s="24" t="inlineStr">
        <is>
          <t>2026-08-31T16:02:38.913402Z</t>
        </is>
      </c>
      <c r="BI358" s="24" t="inlineStr">
        <is>
          <t>["same_event","same_team_same_day","same_league_same_day"]</t>
        </is>
      </c>
      <c r="BJ358" s="25" t="n"/>
      <c r="BK358" s="26" t="n">
        <v>-213</v>
      </c>
      <c r="BL358" s="27" t="n">
        <v>1.469484</v>
      </c>
      <c r="BM358" s="28" t="n">
        <v>0.680511</v>
      </c>
      <c r="BN358" s="28" t="n"/>
      <c r="BO358" s="28" t="n"/>
      <c r="BP358" s="25" t="n"/>
      <c r="BQ358" s="27" t="n">
        <v>1.469484</v>
      </c>
      <c r="BR358" s="28" t="n">
        <v>0.68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0.469484</v>
      </c>
      <c r="BZ358" s="24" t="inlineStr">
        <is>
          <t>2026-09-01T04:32:38.943604Z</t>
        </is>
      </c>
      <c r="CA358" s="31" t="inlineStr">
        <is>
          <t>fixed one-unit hypothetical scoring; no real exposure or execution</t>
        </is>
      </c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inlineStr">
        <is>
          <t>b21e0b01785660c2127c57f2206a8cadde8ed365718da78936c9941e76f50485</t>
        </is>
      </c>
      <c r="DE358" s="24" t="inlineStr">
        <is>
          <t>/Users/vincentc9002/model-prediction/data/odds/tennis/2026-08-31/polymarket_snapshots.jsonl</t>
        </is>
      </c>
      <c r="DF358" s="24" t="inlineStr">
        <is>
          <t>547251:2026-08-31T16:02:38.913402Z</t>
        </is>
      </c>
      <c r="DG358" s="24" t="n"/>
      <c r="DH358" s="24" t="n"/>
      <c r="DI358" s="24" t="n"/>
      <c r="DJ358" s="24" t="inlineStr">
        <is>
          <t>0.680511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59d6dd8ac4ce4fed</t>
        </is>
      </c>
      <c r="B359" s="24" t="inlineStr">
        <is>
          <t>2026-08-31T16:04:31.779137Z</t>
        </is>
      </c>
      <c r="C359" s="24" t="inlineStr">
        <is>
          <t>2026-08-31T18:00Z</t>
        </is>
      </c>
      <c r="D359" s="24" t="inlineStr">
        <is>
          <t>189-2026:182603</t>
        </is>
      </c>
      <c r="E359" s="24" t="inlineStr">
        <is>
          <t>TENNIS</t>
        </is>
      </c>
      <c r="F359" s="24" t="inlineStr">
        <is>
          <t>Clara Tauson</t>
        </is>
      </c>
      <c r="G359" s="24" t="inlineStr">
        <is>
          <t>Sloane Stephens</t>
        </is>
      </c>
      <c r="H359" s="24" t="inlineStr">
        <is>
          <t>moneyline</t>
        </is>
      </c>
      <c r="I359" s="24" t="inlineStr">
        <is>
          <t>away</t>
        </is>
      </c>
      <c r="J359" s="25" t="n"/>
      <c r="K359" s="24" t="inlineStr">
        <is>
          <t>polymarket_us</t>
        </is>
      </c>
      <c r="L359" s="26" t="n">
        <v>-233</v>
      </c>
      <c r="M359" s="27" t="n">
        <v>1.429185</v>
      </c>
      <c r="N359" s="28" t="n">
        <v>0.6997</v>
      </c>
      <c r="O359" s="28" t="n">
        <v>0.6976</v>
      </c>
      <c r="P359" s="28" t="n">
        <v>0.05</v>
      </c>
      <c r="Q359" s="28" t="n">
        <v>-0.0021</v>
      </c>
      <c r="R359" s="26" t="n">
        <v>19</v>
      </c>
      <c r="S359" s="29" t="n">
        <v>1</v>
      </c>
      <c r="T359" s="24" t="inlineStr">
        <is>
          <t>tennis-surface-elo-v1</t>
        </is>
      </c>
      <c r="U359" s="24" t="inlineStr">
        <is>
          <t>settled</t>
        </is>
      </c>
      <c r="V359" s="24" t="inlineStr">
        <is>
          <t>loss</t>
        </is>
      </c>
      <c r="W359" s="26" t="n">
        <v>0</v>
      </c>
      <c r="X359" s="26" t="n">
        <v>1</v>
      </c>
      <c r="Y359" s="25" t="n"/>
      <c r="Z359" s="26" t="n">
        <v>-233</v>
      </c>
      <c r="AA359" s="28" t="n">
        <v>0.7</v>
      </c>
      <c r="AB359" s="28" t="n">
        <v>0.0003</v>
      </c>
      <c r="AC359" s="30" t="n">
        <v>-1</v>
      </c>
      <c r="AD359" s="24" t="inlineStr">
        <is>
          <t>2026-09-01T04:32:40.909405Z</t>
        </is>
      </c>
      <c r="AE359" s="31" t="inlineStr">
        <is>
          <t>Surface-blended Elo on Hard: Clara Tauson p=0.698 vs Sloane Stephens. Executable ask 0.7000 (aec-wta-sloste-clatau-2026-08-30).</t>
        </is>
      </c>
      <c r="AF359" s="31" t="inlineStr">
        <is>
          <t>Surface-blended Elo model; singles only, WTA+ATP market coverage, not yet locked-holdout qualified -- promoted by explicit operator directive, not genuine walk-forward validation.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Clara Tauson</t>
        </is>
      </c>
      <c r="AQ359" s="24" t="inlineStr">
        <is>
          <t>Clara Tauson</t>
        </is>
      </c>
      <c r="AR359" s="24" t="inlineStr">
        <is>
          <t>Clara Tauson</t>
        </is>
      </c>
      <c r="AS359" s="24" t="inlineStr">
        <is>
          <t>Sloane Stephens</t>
        </is>
      </c>
      <c r="AT359" s="24" t="inlineStr">
        <is>
          <t>Sloane Stephens</t>
        </is>
      </c>
      <c r="AU359" s="24" t="inlineStr">
        <is>
          <t>Sloane Stephens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a67bb04c83bafa75b17d3013fcd4c13f2ff17c27af73dd591a6770e000183022</t>
        </is>
      </c>
      <c r="BB359" s="24" t="inlineStr">
        <is>
          <t>surface_blended_elo</t>
        </is>
      </c>
      <c r="BC359" s="24" t="inlineStr">
        <is>
          <t>tennis-surface-elo-v1</t>
        </is>
      </c>
      <c r="BD359" s="24" t="inlineStr">
        <is>
          <t>a67bb04c83bafa75b17d3013fcd4c13f2ff17c27af73dd591a6770e000183022</t>
        </is>
      </c>
      <c r="BE359" s="24" t="inlineStr">
        <is>
          <t>tennis-surface-elo-v1</t>
        </is>
      </c>
      <c r="BF359" s="24" t="inlineStr">
        <is>
          <t>1</t>
        </is>
      </c>
      <c r="BG359" s="24" t="inlineStr">
        <is>
          <t>a67bb04c83bafa75b17d3013fcd4c13f2ff17c27af73dd591a6770e000183022</t>
        </is>
      </c>
      <c r="BH359" s="24" t="inlineStr">
        <is>
          <t>2026-08-31T16:02:39.102424Z</t>
        </is>
      </c>
      <c r="BI359" s="24" t="inlineStr">
        <is>
          <t>["same_event","same_team_same_day","same_league_same_day"]</t>
        </is>
      </c>
      <c r="BJ359" s="25" t="n"/>
      <c r="BK359" s="26" t="n">
        <v>-233</v>
      </c>
      <c r="BL359" s="27" t="n">
        <v>1.429185</v>
      </c>
      <c r="BM359" s="28" t="n">
        <v>0.6997</v>
      </c>
      <c r="BN359" s="28" t="n"/>
      <c r="BO359" s="28" t="n"/>
      <c r="BP359" s="25" t="n"/>
      <c r="BQ359" s="27" t="n">
        <v>1.429185</v>
      </c>
      <c r="BR359" s="28" t="n">
        <v>0.7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2026-09-01T04:32:40.909405Z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False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inlineStr">
        <is>
          <t>deee1a050ccd1528f2bd12df9d8ae8b6d6f9f240c1c8df801b4023759961eaab</t>
        </is>
      </c>
      <c r="DE359" s="24" t="inlineStr">
        <is>
          <t>/Users/vincentc9002/model-prediction/data/odds/tennis/2026-08-31/polymarket_snapshots.jsonl</t>
        </is>
      </c>
      <c r="DF359" s="24" t="inlineStr">
        <is>
          <t>547257:2026-08-31T16:02:39.102424Z</t>
        </is>
      </c>
      <c r="DG359" s="24" t="n"/>
      <c r="DH359" s="24" t="n"/>
      <c r="DI359" s="24" t="n"/>
      <c r="DJ359" s="24" t="inlineStr">
        <is>
          <t>0.6997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cf1bedd558ab458d</t>
        </is>
      </c>
      <c r="B360" s="24" t="inlineStr">
        <is>
          <t>2026-08-31T16:04:31.779137Z</t>
        </is>
      </c>
      <c r="C360" s="24" t="inlineStr">
        <is>
          <t>2026-08-31T18:00Z</t>
        </is>
      </c>
      <c r="D360" s="24" t="inlineStr">
        <is>
          <t>189-2026:182608</t>
        </is>
      </c>
      <c r="E360" s="24" t="inlineStr">
        <is>
          <t>TENNIS</t>
        </is>
      </c>
      <c r="F360" s="24" t="inlineStr">
        <is>
          <t>Simona Waltert</t>
        </is>
      </c>
      <c r="G360" s="24" t="inlineStr">
        <is>
          <t>Nadia Podoroska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polymarket_us</t>
        </is>
      </c>
      <c r="L360" s="26" t="n">
        <v>-186</v>
      </c>
      <c r="M360" s="27" t="n">
        <v>1.537634</v>
      </c>
      <c r="N360" s="28" t="n">
        <v>0.65035</v>
      </c>
      <c r="O360" s="28" t="n">
        <v>0.6373</v>
      </c>
      <c r="P360" s="28" t="n">
        <v>0.05</v>
      </c>
      <c r="Q360" s="28" t="n">
        <v>-0.01305</v>
      </c>
      <c r="R360" s="26" t="n">
        <v>13</v>
      </c>
      <c r="S360" s="29" t="n">
        <v>1</v>
      </c>
      <c r="T360" s="24" t="inlineStr">
        <is>
          <t>tennis-surface-elo-v1</t>
        </is>
      </c>
      <c r="U360" s="24" t="inlineStr">
        <is>
          <t>settled</t>
        </is>
      </c>
      <c r="V360" s="24" t="inlineStr">
        <is>
          <t>loss</t>
        </is>
      </c>
      <c r="W360" s="26" t="n">
        <v>0</v>
      </c>
      <c r="X360" s="26" t="n">
        <v>1</v>
      </c>
      <c r="Y360" s="25" t="n"/>
      <c r="Z360" s="26" t="n">
        <v>-186</v>
      </c>
      <c r="AA360" s="28" t="n">
        <v>0.65</v>
      </c>
      <c r="AB360" s="28" t="n">
        <v>-0.00035</v>
      </c>
      <c r="AC360" s="30" t="n">
        <v>-1</v>
      </c>
      <c r="AD360" s="24" t="inlineStr">
        <is>
          <t>2026-09-01T04:32:42.851318Z</t>
        </is>
      </c>
      <c r="AE360" s="31" t="inlineStr">
        <is>
          <t>Surface-blended Elo on Hard: Simona Waltert p=0.637 vs Nadia Podoroska. Executable ask 0.6500 (aec-wta-nadpod-simwal-2026-08-30).</t>
        </is>
      </c>
      <c r="AF360" s="31" t="inlineStr">
        <is>
          <t>Surface-blended Elo model; singles only, WTA+ATP market coverage, not yet locked-holdout qualified -- promoted by explicit operator directive, not genuine walk-forward validation.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Simona Waltert</t>
        </is>
      </c>
      <c r="AQ360" s="24" t="inlineStr">
        <is>
          <t>Simona Waltert</t>
        </is>
      </c>
      <c r="AR360" s="24" t="inlineStr">
        <is>
          <t>Simona Waltert</t>
        </is>
      </c>
      <c r="AS360" s="24" t="inlineStr">
        <is>
          <t>Nadia Podoroska</t>
        </is>
      </c>
      <c r="AT360" s="24" t="inlineStr">
        <is>
          <t>Nadia Podoroska</t>
        </is>
      </c>
      <c r="AU360" s="24" t="inlineStr">
        <is>
          <t>Nadia Podoroska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a67bb04c83bafa75b17d3013fcd4c13f2ff17c27af73dd591a6770e000183022</t>
        </is>
      </c>
      <c r="BB360" s="24" t="inlineStr">
        <is>
          <t>surface_blended_elo</t>
        </is>
      </c>
      <c r="BC360" s="24" t="inlineStr">
        <is>
          <t>tennis-surface-elo-v1</t>
        </is>
      </c>
      <c r="BD360" s="24" t="inlineStr">
        <is>
          <t>a67bb04c83bafa75b17d3013fcd4c13f2ff17c27af73dd591a6770e000183022</t>
        </is>
      </c>
      <c r="BE360" s="24" t="inlineStr">
        <is>
          <t>tennis-surface-elo-v1</t>
        </is>
      </c>
      <c r="BF360" s="24" t="inlineStr">
        <is>
          <t>1</t>
        </is>
      </c>
      <c r="BG360" s="24" t="inlineStr">
        <is>
          <t>a67bb04c83bafa75b17d3013fcd4c13f2ff17c27af73dd591a6770e000183022</t>
        </is>
      </c>
      <c r="BH360" s="24" t="inlineStr">
        <is>
          <t>2026-08-31T16:02:38.736283Z</t>
        </is>
      </c>
      <c r="BI360" s="24" t="inlineStr">
        <is>
          <t>["same_event","same_team_same_day","same_league_same_day"]</t>
        </is>
      </c>
      <c r="BJ360" s="25" t="n"/>
      <c r="BK360" s="26" t="n">
        <v>-186</v>
      </c>
      <c r="BL360" s="27" t="n">
        <v>1.537634</v>
      </c>
      <c r="BM360" s="28" t="n">
        <v>0.65035</v>
      </c>
      <c r="BN360" s="28" t="n"/>
      <c r="BO360" s="28" t="n"/>
      <c r="BP360" s="25" t="n"/>
      <c r="BQ360" s="27" t="n">
        <v>1.537634</v>
      </c>
      <c r="BR360" s="28" t="n">
        <v>0.65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-1</v>
      </c>
      <c r="BZ360" s="24" t="inlineStr">
        <is>
          <t>2026-09-01T04:32:42.851318Z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inlineStr">
        <is>
          <t>2e67ba9df9274eeb3a022dcd0d48ada7e5fc42d0b48a4090a21f919eadf5e49c</t>
        </is>
      </c>
      <c r="DE360" s="24" t="inlineStr">
        <is>
          <t>/Users/vincentc9002/model-prediction/data/odds/tennis/2026-08-31/polymarket_snapshots.jsonl</t>
        </is>
      </c>
      <c r="DF360" s="24" t="inlineStr">
        <is>
          <t>547317:2026-08-31T16:02:38.736283Z</t>
        </is>
      </c>
      <c r="DG360" s="24" t="n"/>
      <c r="DH360" s="24" t="n"/>
      <c r="DI360" s="24" t="n"/>
      <c r="DJ360" s="24" t="inlineStr">
        <is>
          <t>0.65035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e50bd8a561fc48fc</t>
        </is>
      </c>
      <c r="B361" s="24" t="inlineStr">
        <is>
          <t>2026-08-31T16:04:31.779137Z</t>
        </is>
      </c>
      <c r="C361" s="24" t="inlineStr">
        <is>
          <t>2026-08-31T18:00Z</t>
        </is>
      </c>
      <c r="D361" s="24" t="inlineStr">
        <is>
          <t>189-2026:182622</t>
        </is>
      </c>
      <c r="E361" s="24" t="inlineStr">
        <is>
          <t>TENNIS</t>
        </is>
      </c>
      <c r="F361" s="24" t="inlineStr">
        <is>
          <t>Antonia Ruzic</t>
        </is>
      </c>
      <c r="G361" s="24" t="inlineStr">
        <is>
          <t>Ann Li</t>
        </is>
      </c>
      <c r="H361" s="24" t="inlineStr">
        <is>
          <t>moneyline</t>
        </is>
      </c>
      <c r="I361" s="24" t="inlineStr">
        <is>
          <t>home</t>
        </is>
      </c>
      <c r="J361" s="25" t="n"/>
      <c r="K361" s="24" t="inlineStr">
        <is>
          <t>polymarket_us</t>
        </is>
      </c>
      <c r="L361" s="26" t="n">
        <v>-317</v>
      </c>
      <c r="M361" s="27" t="n">
        <v>1.315457</v>
      </c>
      <c r="N361" s="28" t="n">
        <v>0.760192</v>
      </c>
      <c r="O361" s="28" t="n">
        <v>0.6522</v>
      </c>
      <c r="P361" s="28" t="n">
        <v>0.05</v>
      </c>
      <c r="Q361" s="28" t="n">
        <v>-0.107992</v>
      </c>
      <c r="R361" s="26" t="n">
        <v>0</v>
      </c>
      <c r="S361" s="29" t="n">
        <v>1</v>
      </c>
      <c r="T361" s="24" t="inlineStr">
        <is>
          <t>tennis-surface-elo-v1</t>
        </is>
      </c>
      <c r="U361" s="24" t="inlineStr">
        <is>
          <t>settled</t>
        </is>
      </c>
      <c r="V361" s="24" t="inlineStr">
        <is>
          <t>win</t>
        </is>
      </c>
      <c r="W361" s="26" t="n">
        <v>0</v>
      </c>
      <c r="X361" s="26" t="n">
        <v>1</v>
      </c>
      <c r="Y361" s="25" t="n"/>
      <c r="Z361" s="26" t="n">
        <v>-317</v>
      </c>
      <c r="AA361" s="28" t="n">
        <v>0.76</v>
      </c>
      <c r="AB361" s="28" t="n">
        <v>-0.000192</v>
      </c>
      <c r="AC361" s="30" t="n">
        <v>0.3155</v>
      </c>
      <c r="AD361" s="24" t="inlineStr">
        <is>
          <t>2026-09-01T04:32:44.825687Z</t>
        </is>
      </c>
      <c r="AE361" s="31" t="inlineStr">
        <is>
          <t>Surface-blended Elo on Hard: Antonia Ruzic p=0.348 vs Ann Li. Executable ask 0.7600 (aec-wta-annli-antruz-2026-08-30).</t>
        </is>
      </c>
      <c r="AF361" s="31" t="inlineStr">
        <is>
          <t>Surface-blended Elo model; singles only, WTA+ATP market coverage, not yet locked-holdout qualified -- promoted by explicit operator directive, not genuine walk-forward validation.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Antonia Ruzic</t>
        </is>
      </c>
      <c r="AQ361" s="24" t="inlineStr">
        <is>
          <t>Antonia Ruzic</t>
        </is>
      </c>
      <c r="AR361" s="24" t="inlineStr">
        <is>
          <t>Antonia Ruzic</t>
        </is>
      </c>
      <c r="AS361" s="24" t="inlineStr">
        <is>
          <t>Ann Li</t>
        </is>
      </c>
      <c r="AT361" s="24" t="inlineStr">
        <is>
          <t>Ann Li</t>
        </is>
      </c>
      <c r="AU361" s="24" t="inlineStr">
        <is>
          <t>Ann Li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a67bb04c83bafa75b17d3013fcd4c13f2ff17c27af73dd591a6770e000183022</t>
        </is>
      </c>
      <c r="BB361" s="24" t="inlineStr">
        <is>
          <t>surface_blended_elo</t>
        </is>
      </c>
      <c r="BC361" s="24" t="inlineStr">
        <is>
          <t>tennis-surface-elo-v1</t>
        </is>
      </c>
      <c r="BD361" s="24" t="inlineStr">
        <is>
          <t>a67bb04c83bafa75b17d3013fcd4c13f2ff17c27af73dd591a6770e000183022</t>
        </is>
      </c>
      <c r="BE361" s="24" t="inlineStr">
        <is>
          <t>tennis-surface-elo-v1</t>
        </is>
      </c>
      <c r="BF361" s="24" t="inlineStr">
        <is>
          <t>1</t>
        </is>
      </c>
      <c r="BG361" s="24" t="inlineStr">
        <is>
          <t>a67bb04c83bafa75b17d3013fcd4c13f2ff17c27af73dd591a6770e000183022</t>
        </is>
      </c>
      <c r="BH361" s="24" t="inlineStr">
        <is>
          <t>2026-08-31T16:02:39.144640Z</t>
        </is>
      </c>
      <c r="BI361" s="24" t="inlineStr">
        <is>
          <t>["same_event","same_team_same_day","same_league_same_day"]</t>
        </is>
      </c>
      <c r="BJ361" s="25" t="n"/>
      <c r="BK361" s="26" t="n">
        <v>-317</v>
      </c>
      <c r="BL361" s="27" t="n">
        <v>1.315457</v>
      </c>
      <c r="BM361" s="28" t="n">
        <v>0.760192</v>
      </c>
      <c r="BN361" s="28" t="n"/>
      <c r="BO361" s="28" t="n"/>
      <c r="BP361" s="25" t="n"/>
      <c r="BQ361" s="27" t="n">
        <v>1.315457</v>
      </c>
      <c r="BR361" s="28" t="n">
        <v>0.76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0.315457</v>
      </c>
      <c r="BZ361" s="24" t="inlineStr">
        <is>
          <t>2026-09-01T04:32:44.825687Z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inlineStr">
        <is>
          <t>7e632883923ea7d9afa03f6f286217c80a3e9ae36f6cf7b6e32258c6bdf7488d</t>
        </is>
      </c>
      <c r="DE361" s="24" t="inlineStr">
        <is>
          <t>/Users/vincentc9002/model-prediction/data/odds/tennis/2026-08-31/polymarket_snapshots.jsonl</t>
        </is>
      </c>
      <c r="DF361" s="24" t="inlineStr">
        <is>
          <t>547263:2026-08-31T16:02:39.144640Z</t>
        </is>
      </c>
      <c r="DG361" s="24" t="n"/>
      <c r="DH361" s="24" t="n"/>
      <c r="DI361" s="24" t="n"/>
      <c r="DJ361" s="24" t="inlineStr">
        <is>
          <t>0.760192</t>
        </is>
      </c>
      <c r="DK361" s="24" t="n"/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89eeba5883d34e16</t>
        </is>
      </c>
      <c r="B362" s="24" t="inlineStr">
        <is>
          <t>2026-08-31T16:04:31.779137Z</t>
        </is>
      </c>
      <c r="C362" s="24" t="inlineStr">
        <is>
          <t>2026-08-31T18:30Z</t>
        </is>
      </c>
      <c r="D362" s="24" t="inlineStr">
        <is>
          <t>189-2026:182604</t>
        </is>
      </c>
      <c r="E362" s="24" t="inlineStr">
        <is>
          <t>TENNIS</t>
        </is>
      </c>
      <c r="F362" s="24" t="inlineStr">
        <is>
          <t>Diana Shnaider</t>
        </is>
      </c>
      <c r="G362" s="24" t="inlineStr">
        <is>
          <t>Daria Snigur</t>
        </is>
      </c>
      <c r="H362" s="24" t="inlineStr">
        <is>
          <t>moneyline</t>
        </is>
      </c>
      <c r="I362" s="24" t="inlineStr">
        <is>
          <t>away</t>
        </is>
      </c>
      <c r="J362" s="25" t="n"/>
      <c r="K362" s="24" t="inlineStr">
        <is>
          <t>polymarket_us</t>
        </is>
      </c>
      <c r="L362" s="26" t="n">
        <v>-213</v>
      </c>
      <c r="M362" s="27" t="n">
        <v>1.469484</v>
      </c>
      <c r="N362" s="28" t="n">
        <v>0.680511</v>
      </c>
      <c r="O362" s="28" t="n">
        <v>0.5343</v>
      </c>
      <c r="P362" s="28" t="n">
        <v>0.05</v>
      </c>
      <c r="Q362" s="28" t="n">
        <v>-0.146211</v>
      </c>
      <c r="R362" s="26" t="n">
        <v>0</v>
      </c>
      <c r="S362" s="29" t="n">
        <v>1</v>
      </c>
      <c r="T362" s="24" t="inlineStr">
        <is>
          <t>tennis-surface-elo-v1</t>
        </is>
      </c>
      <c r="U362" s="24" t="inlineStr">
        <is>
          <t>settled</t>
        </is>
      </c>
      <c r="V362" s="24" t="inlineStr">
        <is>
          <t>win</t>
        </is>
      </c>
      <c r="W362" s="26" t="n">
        <v>1</v>
      </c>
      <c r="X362" s="26" t="n">
        <v>0</v>
      </c>
      <c r="Y362" s="25" t="n"/>
      <c r="Z362" s="26" t="n">
        <v>-213</v>
      </c>
      <c r="AA362" s="28" t="n">
        <v>0.68</v>
      </c>
      <c r="AB362" s="28" t="n">
        <v>-0.000511</v>
      </c>
      <c r="AC362" s="30" t="n">
        <v>0.4695</v>
      </c>
      <c r="AD362" s="24" t="inlineStr">
        <is>
          <t>2026-09-01T04:32:46.742341Z</t>
        </is>
      </c>
      <c r="AE362" s="31" t="inlineStr">
        <is>
          <t>Surface-blended Elo on Hard: Diana Shnaider p=0.534 vs Daria Snigur. Executable ask 0.6800 (aec-wta-darsni-diashn-2026-08-30).</t>
        </is>
      </c>
      <c r="AF362" s="31" t="inlineStr">
        <is>
          <t>Surface-blended Elo model; singles only, WTA+ATP market coverage, not yet locked-holdout qualified -- promoted by explicit operator directive, not genuine walk-forward validation.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Diana Shnaider</t>
        </is>
      </c>
      <c r="AQ362" s="24" t="inlineStr">
        <is>
          <t>Diana Shnaider</t>
        </is>
      </c>
      <c r="AR362" s="24" t="inlineStr">
        <is>
          <t>Diana Shnaider</t>
        </is>
      </c>
      <c r="AS362" s="24" t="inlineStr">
        <is>
          <t>Daria Snigur</t>
        </is>
      </c>
      <c r="AT362" s="24" t="inlineStr">
        <is>
          <t>Daria Snigur</t>
        </is>
      </c>
      <c r="AU362" s="24" t="inlineStr">
        <is>
          <t>Daria Snigur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a67bb04c83bafa75b17d3013fcd4c13f2ff17c27af73dd591a6770e000183022</t>
        </is>
      </c>
      <c r="BB362" s="24" t="inlineStr">
        <is>
          <t>surface_blended_elo</t>
        </is>
      </c>
      <c r="BC362" s="24" t="inlineStr">
        <is>
          <t>tennis-surface-elo-v1</t>
        </is>
      </c>
      <c r="BD362" s="24" t="inlineStr">
        <is>
          <t>a67bb04c83bafa75b17d3013fcd4c13f2ff17c27af73dd591a6770e000183022</t>
        </is>
      </c>
      <c r="BE362" s="24" t="inlineStr">
        <is>
          <t>tennis-surface-elo-v1</t>
        </is>
      </c>
      <c r="BF362" s="24" t="inlineStr">
        <is>
          <t>1</t>
        </is>
      </c>
      <c r="BG362" s="24" t="inlineStr">
        <is>
          <t>a67bb04c83bafa75b17d3013fcd4c13f2ff17c27af73dd591a6770e000183022</t>
        </is>
      </c>
      <c r="BH362" s="24" t="inlineStr">
        <is>
          <t>2026-08-31T16:02:38.898608Z</t>
        </is>
      </c>
      <c r="BI362" s="24" t="inlineStr">
        <is>
          <t>["same_event","same_team_same_day","same_league_same_day"]</t>
        </is>
      </c>
      <c r="BJ362" s="25" t="n"/>
      <c r="BK362" s="26" t="n">
        <v>-213</v>
      </c>
      <c r="BL362" s="27" t="n">
        <v>1.469484</v>
      </c>
      <c r="BM362" s="28" t="n">
        <v>0.680511</v>
      </c>
      <c r="BN362" s="28" t="n"/>
      <c r="BO362" s="28" t="n"/>
      <c r="BP362" s="25" t="n"/>
      <c r="BQ362" s="27" t="n">
        <v>1.469484</v>
      </c>
      <c r="BR362" s="28" t="n">
        <v>0.68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0.469484</v>
      </c>
      <c r="BZ362" s="24" t="inlineStr">
        <is>
          <t>2026-09-01T04:32:46.742341Z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False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inlineStr">
        <is>
          <t>cfe7efbc7a68b6e5ad82cb1b8e2438117908090b9a8264b6e44a579e6e65945d</t>
        </is>
      </c>
      <c r="DE362" s="24" t="inlineStr">
        <is>
          <t>/Users/vincentc9002/model-prediction/data/odds/tennis/2026-08-31/polymarket_snapshots.jsonl</t>
        </is>
      </c>
      <c r="DF362" s="24" t="inlineStr">
        <is>
          <t>547255:2026-08-31T16:02:38.898608Z</t>
        </is>
      </c>
      <c r="DG362" s="24" t="n"/>
      <c r="DH362" s="24" t="n"/>
      <c r="DI362" s="24" t="n"/>
      <c r="DJ362" s="24" t="inlineStr">
        <is>
          <t>0.680511</t>
        </is>
      </c>
      <c r="DK362" s="24" t="n"/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21d041ddb3d942fa</t>
        </is>
      </c>
      <c r="B363" s="24" t="inlineStr">
        <is>
          <t>2026-08-31T16:04:31.779137Z</t>
        </is>
      </c>
      <c r="C363" s="24" t="inlineStr">
        <is>
          <t>2026-08-31T18:30Z</t>
        </is>
      </c>
      <c r="D363" s="24" t="inlineStr">
        <is>
          <t>189-2026:182617</t>
        </is>
      </c>
      <c r="E363" s="24" t="inlineStr">
        <is>
          <t>TENNIS</t>
        </is>
      </c>
      <c r="F363" s="24" t="inlineStr">
        <is>
          <t>Linda Noskova</t>
        </is>
      </c>
      <c r="G363" s="24" t="inlineStr">
        <is>
          <t>Katie Volynets</t>
        </is>
      </c>
      <c r="H363" s="24" t="inlineStr">
        <is>
          <t>moneyline</t>
        </is>
      </c>
      <c r="I363" s="24" t="inlineStr">
        <is>
          <t>away</t>
        </is>
      </c>
      <c r="J363" s="25" t="n"/>
      <c r="K363" s="24" t="inlineStr">
        <is>
          <t>polymarket_us</t>
        </is>
      </c>
      <c r="L363" s="26" t="n">
        <v>-270</v>
      </c>
      <c r="M363" s="27" t="n">
        <v>1.37037</v>
      </c>
      <c r="N363" s="28" t="n">
        <v>0.72973</v>
      </c>
      <c r="O363" s="28" t="n">
        <v>0.6223</v>
      </c>
      <c r="P363" s="28" t="n">
        <v>0.05</v>
      </c>
      <c r="Q363" s="28" t="n">
        <v>-0.10743</v>
      </c>
      <c r="R363" s="26" t="n">
        <v>0</v>
      </c>
      <c r="S363" s="29" t="n">
        <v>1</v>
      </c>
      <c r="T363" s="24" t="inlineStr">
        <is>
          <t>tennis-surface-elo-v1</t>
        </is>
      </c>
      <c r="U363" s="24" t="inlineStr">
        <is>
          <t>settled</t>
        </is>
      </c>
      <c r="V363" s="24" t="inlineStr">
        <is>
          <t>win</t>
        </is>
      </c>
      <c r="W363" s="26" t="n">
        <v>1</v>
      </c>
      <c r="X363" s="26" t="n">
        <v>0</v>
      </c>
      <c r="Y363" s="25" t="n"/>
      <c r="Z363" s="26" t="n">
        <v>-270</v>
      </c>
      <c r="AA363" s="28" t="n">
        <v>0.73</v>
      </c>
      <c r="AB363" s="28" t="n">
        <v>0.00027</v>
      </c>
      <c r="AC363" s="30" t="n">
        <v>0.3704</v>
      </c>
      <c r="AD363" s="24" t="inlineStr">
        <is>
          <t>2026-09-01T04:32:48.707428Z</t>
        </is>
      </c>
      <c r="AE363" s="31" t="inlineStr">
        <is>
          <t>Surface-blended Elo on Hard: Linda Noskova p=0.622 vs Katie Volynets. Executable ask 0.7300 (aec-wta-katvol-linnos-2026-08-30).</t>
        </is>
      </c>
      <c r="AF363" s="31" t="inlineStr">
        <is>
          <t>Surface-blended Elo model; singles only, WTA+ATP market coverage, not yet locked-holdout qualified -- promoted by explicit operator directive, not genuine walk-forward validation.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Linda Noskova</t>
        </is>
      </c>
      <c r="AQ363" s="24" t="inlineStr">
        <is>
          <t>Linda Noskova</t>
        </is>
      </c>
      <c r="AR363" s="24" t="inlineStr">
        <is>
          <t>Linda Noskova</t>
        </is>
      </c>
      <c r="AS363" s="24" t="inlineStr">
        <is>
          <t>Katie Volynets</t>
        </is>
      </c>
      <c r="AT363" s="24" t="inlineStr">
        <is>
          <t>Katie Volynets</t>
        </is>
      </c>
      <c r="AU363" s="24" t="inlineStr">
        <is>
          <t>Katie Volynets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a67bb04c83bafa75b17d3013fcd4c13f2ff17c27af73dd591a6770e000183022</t>
        </is>
      </c>
      <c r="BB363" s="24" t="inlineStr">
        <is>
          <t>surface_blended_elo</t>
        </is>
      </c>
      <c r="BC363" s="24" t="inlineStr">
        <is>
          <t>tennis-surface-elo-v1</t>
        </is>
      </c>
      <c r="BD363" s="24" t="inlineStr">
        <is>
          <t>a67bb04c83bafa75b17d3013fcd4c13f2ff17c27af73dd591a6770e000183022</t>
        </is>
      </c>
      <c r="BE363" s="24" t="inlineStr">
        <is>
          <t>tennis-surface-elo-v1</t>
        </is>
      </c>
      <c r="BF363" s="24" t="inlineStr">
        <is>
          <t>1</t>
        </is>
      </c>
      <c r="BG363" s="24" t="inlineStr">
        <is>
          <t>a67bb04c83bafa75b17d3013fcd4c13f2ff17c27af73dd591a6770e000183022</t>
        </is>
      </c>
      <c r="BH363" s="24" t="inlineStr">
        <is>
          <t>2026-08-31T16:02:39.152692Z</t>
        </is>
      </c>
      <c r="BI363" s="24" t="inlineStr">
        <is>
          <t>["same_event","same_team_same_day","same_league_same_day"]</t>
        </is>
      </c>
      <c r="BJ363" s="25" t="n"/>
      <c r="BK363" s="26" t="n">
        <v>-270</v>
      </c>
      <c r="BL363" s="27" t="n">
        <v>1.37037</v>
      </c>
      <c r="BM363" s="28" t="n">
        <v>0.72973</v>
      </c>
      <c r="BN363" s="28" t="n"/>
      <c r="BO363" s="28" t="n"/>
      <c r="BP363" s="25" t="n"/>
      <c r="BQ363" s="27" t="n">
        <v>1.37037</v>
      </c>
      <c r="BR363" s="28" t="n">
        <v>0.73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0.37037</v>
      </c>
      <c r="BZ363" s="24" t="inlineStr">
        <is>
          <t>2026-09-01T04:32:48.707428Z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inlineStr">
        <is>
          <t>806a7e2cfaa28aa077ab02600112b3a61e5f3d653772cfecda07beb2d29f90c8</t>
        </is>
      </c>
      <c r="DE363" s="24" t="inlineStr">
        <is>
          <t>/Users/vincentc9002/model-prediction/data/odds/tennis/2026-08-31/polymarket_snapshots.jsonl</t>
        </is>
      </c>
      <c r="DF363" s="24" t="inlineStr">
        <is>
          <t>547266:2026-08-31T16:02:39.152692Z</t>
        </is>
      </c>
      <c r="DG363" s="24" t="n"/>
      <c r="DH363" s="24" t="n"/>
      <c r="DI363" s="24" t="n"/>
      <c r="DJ363" s="24" t="inlineStr">
        <is>
          <t>0.72973</t>
        </is>
      </c>
      <c r="DK363" s="24" t="n"/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fabf05f25bed4309</t>
        </is>
      </c>
      <c r="B364" s="24" t="inlineStr">
        <is>
          <t>2026-08-31T16:04:31.779137Z</t>
        </is>
      </c>
      <c r="C364" s="24" t="inlineStr">
        <is>
          <t>2026-08-31T18:30Z</t>
        </is>
      </c>
      <c r="D364" s="24" t="inlineStr">
        <is>
          <t>189-2026:182643</t>
        </is>
      </c>
      <c r="E364" s="24" t="inlineStr">
        <is>
          <t>TENNIS</t>
        </is>
      </c>
      <c r="F364" s="24" t="inlineStr">
        <is>
          <t>Catherine McNally</t>
        </is>
      </c>
      <c r="G364" s="24" t="inlineStr">
        <is>
          <t>Anouk Koevermans</t>
        </is>
      </c>
      <c r="H364" s="24" t="inlineStr">
        <is>
          <t>moneyline</t>
        </is>
      </c>
      <c r="I364" s="24" t="inlineStr">
        <is>
          <t>away</t>
        </is>
      </c>
      <c r="J364" s="25" t="n"/>
      <c r="K364" s="24" t="inlineStr">
        <is>
          <t>polymarket_us</t>
        </is>
      </c>
      <c r="L364" s="26" t="n">
        <v>-456</v>
      </c>
      <c r="M364" s="27" t="n">
        <v>1.219298</v>
      </c>
      <c r="N364" s="28" t="n">
        <v>0.820144</v>
      </c>
      <c r="O364" s="28" t="n">
        <v>0.6851</v>
      </c>
      <c r="P364" s="28" t="n">
        <v>0.05</v>
      </c>
      <c r="Q364" s="28" t="n">
        <v>-0.135044</v>
      </c>
      <c r="R364" s="26" t="n">
        <v>0</v>
      </c>
      <c r="S364" s="29" t="n">
        <v>1</v>
      </c>
      <c r="T364" s="24" t="inlineStr">
        <is>
          <t>tennis-surface-elo-v1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0</v>
      </c>
      <c r="Y364" s="25" t="n"/>
      <c r="Z364" s="26" t="n"/>
      <c r="AA364" s="28" t="n"/>
      <c r="AB364" s="28" t="n"/>
      <c r="AC364" s="30" t="n">
        <v>0.2193</v>
      </c>
      <c r="AD364" s="24" t="inlineStr">
        <is>
          <t>2026-09-01T04:32:50.630368Z</t>
        </is>
      </c>
      <c r="AE364" s="31" t="inlineStr">
        <is>
          <t>Surface-blended Elo on Hard: Catherine McNally p=0.685 vs Anouk Koevermans. Executable ask 0.8200 (aec-wta-anokoe-catmcn-2026-08-30).</t>
        </is>
      </c>
      <c r="AF364" s="31" t="inlineStr">
        <is>
          <t>Surface-blended Elo model; singles only, WTA+ATP market coverage, not yet locked-holdout qualified -- promoted by explicit operator directive, not genuine walk-forward validation.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PAPER_CALL_LOW_EDGE</t>
        </is>
      </c>
      <c r="AP364" s="24" t="inlineStr">
        <is>
          <t>Catherine McNally</t>
        </is>
      </c>
      <c r="AQ364" s="24" t="inlineStr">
        <is>
          <t>Catherine McNally</t>
        </is>
      </c>
      <c r="AR364" s="24" t="inlineStr">
        <is>
          <t>Catherine McNally</t>
        </is>
      </c>
      <c r="AS364" s="24" t="inlineStr">
        <is>
          <t>Anouk Koevermans</t>
        </is>
      </c>
      <c r="AT364" s="24" t="inlineStr">
        <is>
          <t>Anouk Koevermans</t>
        </is>
      </c>
      <c r="AU364" s="24" t="inlineStr">
        <is>
          <t>Anouk Koevermans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a67bb04c83bafa75b17d3013fcd4c13f2ff17c27af73dd591a6770e000183022</t>
        </is>
      </c>
      <c r="BB364" s="24" t="inlineStr">
        <is>
          <t>surface_blended_elo</t>
        </is>
      </c>
      <c r="BC364" s="24" t="inlineStr">
        <is>
          <t>tennis-surface-elo-v1</t>
        </is>
      </c>
      <c r="BD364" s="24" t="inlineStr">
        <is>
          <t>a67bb04c83bafa75b17d3013fcd4c13f2ff17c27af73dd591a6770e000183022</t>
        </is>
      </c>
      <c r="BE364" s="24" t="inlineStr">
        <is>
          <t>tennis-surface-elo-v1</t>
        </is>
      </c>
      <c r="BF364" s="24" t="inlineStr">
        <is>
          <t>1</t>
        </is>
      </c>
      <c r="BG364" s="24" t="inlineStr">
        <is>
          <t>a67bb04c83bafa75b17d3013fcd4c13f2ff17c27af73dd591a6770e000183022</t>
        </is>
      </c>
      <c r="BH364" s="24" t="inlineStr">
        <is>
          <t>2026-08-31T16:02:38.960534Z</t>
        </is>
      </c>
      <c r="BI364" s="24" t="inlineStr">
        <is>
          <t>["same_event","same_team_same_day","same_league_same_day"]</t>
        </is>
      </c>
      <c r="BJ364" s="25" t="n"/>
      <c r="BK364" s="26" t="n">
        <v>-456</v>
      </c>
      <c r="BL364" s="27" t="n">
        <v>1.219298</v>
      </c>
      <c r="BM364" s="28" t="n">
        <v>0.820144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>
        <v>1</v>
      </c>
      <c r="BY364" s="27" t="n">
        <v>0.219298</v>
      </c>
      <c r="BZ364" s="24" t="inlineStr">
        <is>
          <t>2026-09-01T04:32:50.630368Z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False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inlineStr">
        <is>
          <t>96bb2c38b09863e3260b9660e65d0f8ace21533d3f728bf15031fabbd2af6c68</t>
        </is>
      </c>
      <c r="DE364" s="24" t="inlineStr">
        <is>
          <t>/Users/vincentc9002/model-prediction/data/odds/tennis/2026-08-31/polymarket_snapshots.jsonl</t>
        </is>
      </c>
      <c r="DF364" s="24" t="inlineStr">
        <is>
          <t>550515:2026-08-31T16:02:38.960534Z</t>
        </is>
      </c>
      <c r="DG364" s="24" t="n"/>
      <c r="DH364" s="24" t="n"/>
      <c r="DI364" s="24" t="n"/>
      <c r="DJ364" s="24" t="inlineStr">
        <is>
          <t>0.820144</t>
        </is>
      </c>
      <c r="DK364" s="24" t="n"/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c6fe027733404460</t>
        </is>
      </c>
      <c r="B365" s="24" t="inlineStr">
        <is>
          <t>2026-08-31T16:04:31.779137Z</t>
        </is>
      </c>
      <c r="C365" s="24" t="inlineStr">
        <is>
          <t>2026-08-31T19:00Z</t>
        </is>
      </c>
      <c r="D365" s="24" t="inlineStr">
        <is>
          <t>189-2026:182625</t>
        </is>
      </c>
      <c r="E365" s="24" t="inlineStr">
        <is>
          <t>TENNIS</t>
        </is>
      </c>
      <c r="F365" s="24" t="inlineStr">
        <is>
          <t>Sorana Cirstea</t>
        </is>
      </c>
      <c r="G365" s="24" t="inlineStr">
        <is>
          <t>Julia Grabher</t>
        </is>
      </c>
      <c r="H365" s="24" t="inlineStr">
        <is>
          <t>moneyline</t>
        </is>
      </c>
      <c r="I365" s="24" t="inlineStr">
        <is>
          <t>away</t>
        </is>
      </c>
      <c r="J365" s="25" t="n"/>
      <c r="K365" s="24" t="inlineStr">
        <is>
          <t>polymarket_us</t>
        </is>
      </c>
      <c r="L365" s="26" t="n">
        <v>-900</v>
      </c>
      <c r="M365" s="27" t="n">
        <v>1.111111</v>
      </c>
      <c r="N365" s="28" t="n">
        <v>0.9</v>
      </c>
      <c r="O365" s="28" t="n">
        <v>0.7723</v>
      </c>
      <c r="P365" s="28" t="n">
        <v>0.05</v>
      </c>
      <c r="Q365" s="28" t="n">
        <v>-0.1277</v>
      </c>
      <c r="R365" s="26" t="n">
        <v>0</v>
      </c>
      <c r="S365" s="29" t="n">
        <v>1</v>
      </c>
      <c r="T365" s="24" t="inlineStr">
        <is>
          <t>tennis-surface-elo-v1</t>
        </is>
      </c>
      <c r="U365" s="24" t="inlineStr">
        <is>
          <t>settled</t>
        </is>
      </c>
      <c r="V365" s="24" t="inlineStr">
        <is>
          <t>win</t>
        </is>
      </c>
      <c r="W365" s="26" t="n">
        <v>1</v>
      </c>
      <c r="X365" s="26" t="n">
        <v>0</v>
      </c>
      <c r="Y365" s="25" t="n"/>
      <c r="Z365" s="26" t="n">
        <v>-900</v>
      </c>
      <c r="AA365" s="28" t="n">
        <v>0.9</v>
      </c>
      <c r="AB365" s="28" t="n">
        <v>0</v>
      </c>
      <c r="AC365" s="30" t="n">
        <v>0.1111</v>
      </c>
      <c r="AD365" s="24" t="inlineStr">
        <is>
          <t>2026-09-01T04:32:52.594934Z</t>
        </is>
      </c>
      <c r="AE365" s="31" t="inlineStr">
        <is>
          <t>Surface-blended Elo on Hard: Sorana Cirstea p=0.772 vs Julia Grabher. Executable ask 0.9000 (aec-wta-julgra-sorcir-2026-08-30).</t>
        </is>
      </c>
      <c r="AF365" s="31" t="inlineStr">
        <is>
          <t>Surface-blended Elo model; singles only, WTA+ATP market coverage, not yet locked-holdout qualified -- promoted by explicit operator directive, not genuine walk-forward validation.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Sorana Cirstea</t>
        </is>
      </c>
      <c r="AQ365" s="24" t="inlineStr">
        <is>
          <t>Sorana Cirstea</t>
        </is>
      </c>
      <c r="AR365" s="24" t="inlineStr">
        <is>
          <t>Sorana Cirstea</t>
        </is>
      </c>
      <c r="AS365" s="24" t="inlineStr">
        <is>
          <t>Julia Grabher</t>
        </is>
      </c>
      <c r="AT365" s="24" t="inlineStr">
        <is>
          <t>Julia Grabher</t>
        </is>
      </c>
      <c r="AU365" s="24" t="inlineStr">
        <is>
          <t>Julia Grabher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a67bb04c83bafa75b17d3013fcd4c13f2ff17c27af73dd591a6770e000183022</t>
        </is>
      </c>
      <c r="BB365" s="24" t="inlineStr">
        <is>
          <t>surface_blended_elo</t>
        </is>
      </c>
      <c r="BC365" s="24" t="inlineStr">
        <is>
          <t>tennis-surface-elo-v1</t>
        </is>
      </c>
      <c r="BD365" s="24" t="inlineStr">
        <is>
          <t>a67bb04c83bafa75b17d3013fcd4c13f2ff17c27af73dd591a6770e000183022</t>
        </is>
      </c>
      <c r="BE365" s="24" t="inlineStr">
        <is>
          <t>tennis-surface-elo-v1</t>
        </is>
      </c>
      <c r="BF365" s="24" t="inlineStr">
        <is>
          <t>1</t>
        </is>
      </c>
      <c r="BG365" s="24" t="inlineStr">
        <is>
          <t>a67bb04c83bafa75b17d3013fcd4c13f2ff17c27af73dd591a6770e000183022</t>
        </is>
      </c>
      <c r="BH365" s="24" t="inlineStr">
        <is>
          <t>2026-08-31T16:02:39.029549Z</t>
        </is>
      </c>
      <c r="BI365" s="24" t="inlineStr">
        <is>
          <t>["same_event","same_team_same_day","same_league_same_day"]</t>
        </is>
      </c>
      <c r="BJ365" s="25" t="n"/>
      <c r="BK365" s="26" t="n">
        <v>-900</v>
      </c>
      <c r="BL365" s="27" t="n">
        <v>1.111111</v>
      </c>
      <c r="BM365" s="28" t="n">
        <v>0.9</v>
      </c>
      <c r="BN365" s="28" t="n"/>
      <c r="BO365" s="28" t="n"/>
      <c r="BP365" s="25" t="n"/>
      <c r="BQ365" s="27" t="n">
        <v>1.111111</v>
      </c>
      <c r="BR365" s="28" t="n">
        <v>0.9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0.111111</v>
      </c>
      <c r="BZ365" s="24" t="inlineStr">
        <is>
          <t>2026-09-01T04:32:52.594934Z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inlineStr">
        <is>
          <t>d9dd5acf06ef4fe9841750fa46714ea84eada6d4553b2ab82f5e40722dc7fc79</t>
        </is>
      </c>
      <c r="DE365" s="24" t="inlineStr">
        <is>
          <t>/Users/vincentc9002/model-prediction/data/odds/tennis/2026-08-31/polymarket_snapshots.jsonl</t>
        </is>
      </c>
      <c r="DF365" s="24" t="inlineStr">
        <is>
          <t>547443:2026-08-31T16:02:39.029549Z</t>
        </is>
      </c>
      <c r="DG365" s="24" t="n"/>
      <c r="DH365" s="24" t="n"/>
      <c r="DI365" s="24" t="n"/>
      <c r="DJ365" s="24" t="inlineStr">
        <is>
          <t>0.9</t>
        </is>
      </c>
      <c r="DK365" s="24" t="n"/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816e58389cba4c61</t>
        </is>
      </c>
      <c r="B366" s="24" t="inlineStr">
        <is>
          <t>2026-08-31T16:04:31.779137Z</t>
        </is>
      </c>
      <c r="C366" s="24" t="inlineStr">
        <is>
          <t>2026-08-31T19:00Z</t>
        </is>
      </c>
      <c r="D366" s="24" t="inlineStr">
        <is>
          <t>189-2026:182635</t>
        </is>
      </c>
      <c r="E366" s="24" t="inlineStr">
        <is>
          <t>TENNIS</t>
        </is>
      </c>
      <c r="F366" s="24" t="inlineStr">
        <is>
          <t>Diane Parry</t>
        </is>
      </c>
      <c r="G366" s="24" t="inlineStr">
        <is>
          <t>Viktorija Golubic</t>
        </is>
      </c>
      <c r="H366" s="24" t="inlineStr">
        <is>
          <t>moneyline</t>
        </is>
      </c>
      <c r="I366" s="24" t="inlineStr">
        <is>
          <t>away</t>
        </is>
      </c>
      <c r="J366" s="25" t="n"/>
      <c r="K366" s="24" t="inlineStr">
        <is>
          <t>polymarket_us</t>
        </is>
      </c>
      <c r="L366" s="26" t="n">
        <v>-108</v>
      </c>
      <c r="M366" s="27" t="n">
        <v>1.925926</v>
      </c>
      <c r="N366" s="28" t="n">
        <v>0.519231</v>
      </c>
      <c r="O366" s="28" t="n">
        <v>0.5579</v>
      </c>
      <c r="P366" s="28" t="n">
        <v>0.05</v>
      </c>
      <c r="Q366" s="28" t="n">
        <v>0.038669</v>
      </c>
      <c r="R366" s="26" t="n">
        <v>39</v>
      </c>
      <c r="S366" s="29" t="n">
        <v>1</v>
      </c>
      <c r="T366" s="24" t="inlineStr">
        <is>
          <t>tennis-surface-elo-v1</t>
        </is>
      </c>
      <c r="U366" s="24" t="inlineStr">
        <is>
          <t>settled</t>
        </is>
      </c>
      <c r="V366" s="24" t="inlineStr">
        <is>
          <t>win</t>
        </is>
      </c>
      <c r="W366" s="26" t="n">
        <v>1</v>
      </c>
      <c r="X366" s="26" t="n">
        <v>0</v>
      </c>
      <c r="Y366" s="25" t="n"/>
      <c r="Z366" s="26" t="n">
        <v>-108</v>
      </c>
      <c r="AA366" s="28" t="n">
        <v>0.52</v>
      </c>
      <c r="AB366" s="28" t="n">
        <v>0.000769</v>
      </c>
      <c r="AC366" s="30" t="n">
        <v>0.9258999999999999</v>
      </c>
      <c r="AD366" s="24" t="inlineStr">
        <is>
          <t>2026-09-01T04:32:54.508904Z</t>
        </is>
      </c>
      <c r="AE366" s="31" t="inlineStr">
        <is>
          <t>Surface-blended Elo on Hard: Diane Parry p=0.558 vs Viktorija Golubic. Executable ask 0.5200 (aec-wta-vikgol-diapar-2026-08-30).</t>
        </is>
      </c>
      <c r="AF366" s="31" t="inlineStr">
        <is>
          <t>Surface-blended Elo model; singles only, WTA+ATP market coverage, not yet locked-holdout qualified -- promoted by explicit operator directive, not genuine walk-forward validation.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PAPER_CALL_LOW_EDGE</t>
        </is>
      </c>
      <c r="AP366" s="24" t="inlineStr">
        <is>
          <t>Diane Parry</t>
        </is>
      </c>
      <c r="AQ366" s="24" t="inlineStr">
        <is>
          <t>Diane Parry</t>
        </is>
      </c>
      <c r="AR366" s="24" t="inlineStr">
        <is>
          <t>Diane Parry</t>
        </is>
      </c>
      <c r="AS366" s="24" t="inlineStr">
        <is>
          <t>Viktorija Golubic</t>
        </is>
      </c>
      <c r="AT366" s="24" t="inlineStr">
        <is>
          <t>Viktorija Golubic</t>
        </is>
      </c>
      <c r="AU366" s="24" t="inlineStr">
        <is>
          <t>Viktorija Golubic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a67bb04c83bafa75b17d3013fcd4c13f2ff17c27af73dd591a6770e000183022</t>
        </is>
      </c>
      <c r="BB366" s="24" t="inlineStr">
        <is>
          <t>surface_blended_elo</t>
        </is>
      </c>
      <c r="BC366" s="24" t="inlineStr">
        <is>
          <t>tennis-surface-elo-v1</t>
        </is>
      </c>
      <c r="BD366" s="24" t="inlineStr">
        <is>
          <t>a67bb04c83bafa75b17d3013fcd4c13f2ff17c27af73dd591a6770e000183022</t>
        </is>
      </c>
      <c r="BE366" s="24" t="inlineStr">
        <is>
          <t>tennis-surface-elo-v1</t>
        </is>
      </c>
      <c r="BF366" s="24" t="inlineStr">
        <is>
          <t>1</t>
        </is>
      </c>
      <c r="BG366" s="24" t="inlineStr">
        <is>
          <t>a67bb04c83bafa75b17d3013fcd4c13f2ff17c27af73dd591a6770e000183022</t>
        </is>
      </c>
      <c r="BH366" s="24" t="inlineStr">
        <is>
          <t>2026-08-31T16:02:38.998827Z</t>
        </is>
      </c>
      <c r="BI366" s="24" t="inlineStr">
        <is>
          <t>["same_event","same_team_same_day","same_league_same_day"]</t>
        </is>
      </c>
      <c r="BJ366" s="25" t="n"/>
      <c r="BK366" s="26" t="n">
        <v>-108</v>
      </c>
      <c r="BL366" s="27" t="n">
        <v>1.925926</v>
      </c>
      <c r="BM366" s="28" t="n">
        <v>0.519231</v>
      </c>
      <c r="BN366" s="28" t="n"/>
      <c r="BO366" s="28" t="n"/>
      <c r="BP366" s="25" t="n"/>
      <c r="BQ366" s="27" t="n">
        <v>1.925926</v>
      </c>
      <c r="BR366" s="28" t="n">
        <v>0.52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0.925925</v>
      </c>
      <c r="BZ366" s="24" t="inlineStr">
        <is>
          <t>2026-09-01T04:32:54.508904Z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inlineStr">
        <is>
          <t>bdd7da27281c199b8cb088c8f087129f5ffb033e1dde64b84cbbcbc318c3e321</t>
        </is>
      </c>
      <c r="DE366" s="24" t="inlineStr">
        <is>
          <t>/Users/vincentc9002/model-prediction/data/odds/tennis/2026-08-31/polymarket_snapshots.jsonl</t>
        </is>
      </c>
      <c r="DF366" s="24" t="inlineStr">
        <is>
          <t>547277:2026-08-31T16:02:38.998827Z</t>
        </is>
      </c>
      <c r="DG366" s="24" t="n"/>
      <c r="DH366" s="24" t="n"/>
      <c r="DI366" s="24" t="n"/>
      <c r="DJ366" s="24" t="inlineStr">
        <is>
          <t>0.519231</t>
        </is>
      </c>
      <c r="DK366" s="24" t="n"/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a5ba7bd6311f411a</t>
        </is>
      </c>
      <c r="B367" s="24" t="inlineStr">
        <is>
          <t>2026-08-31T16:04:31.779137Z</t>
        </is>
      </c>
      <c r="C367" s="24" t="inlineStr">
        <is>
          <t>2026-08-31T21:00Z</t>
        </is>
      </c>
      <c r="D367" s="24" t="inlineStr">
        <is>
          <t>189-2026:182630</t>
        </is>
      </c>
      <c r="E367" s="24" t="inlineStr">
        <is>
          <t>TENNIS</t>
        </is>
      </c>
      <c r="F367" s="24" t="inlineStr">
        <is>
          <t>Liudmila Samsonova</t>
        </is>
      </c>
      <c r="G367" s="24" t="inlineStr">
        <is>
          <t>Maya Joint</t>
        </is>
      </c>
      <c r="H367" s="24" t="inlineStr">
        <is>
          <t>moneyline</t>
        </is>
      </c>
      <c r="I367" s="24" t="inlineStr">
        <is>
          <t>away</t>
        </is>
      </c>
      <c r="J367" s="25" t="n"/>
      <c r="K367" s="24" t="inlineStr">
        <is>
          <t>polymarket_us</t>
        </is>
      </c>
      <c r="L367" s="26" t="n">
        <v>-257</v>
      </c>
      <c r="M367" s="27" t="n">
        <v>1.389105</v>
      </c>
      <c r="N367" s="28" t="n">
        <v>0.719888</v>
      </c>
      <c r="O367" s="28" t="n">
        <v>0.5339</v>
      </c>
      <c r="P367" s="28" t="n">
        <v>0.05</v>
      </c>
      <c r="Q367" s="28" t="n">
        <v>-0.185988</v>
      </c>
      <c r="R367" s="26" t="n">
        <v>0</v>
      </c>
      <c r="S367" s="29" t="n">
        <v>1</v>
      </c>
      <c r="T367" s="24" t="inlineStr">
        <is>
          <t>tennis-surface-elo-v1</t>
        </is>
      </c>
      <c r="U367" s="24" t="inlineStr">
        <is>
          <t>settled</t>
        </is>
      </c>
      <c r="V367" s="24" t="inlineStr">
        <is>
          <t>loss</t>
        </is>
      </c>
      <c r="W367" s="26" t="n">
        <v>0</v>
      </c>
      <c r="X367" s="26" t="n">
        <v>1</v>
      </c>
      <c r="Y367" s="25" t="n"/>
      <c r="Z367" s="26" t="n">
        <v>-257</v>
      </c>
      <c r="AA367" s="28" t="n">
        <v>0.72</v>
      </c>
      <c r="AB367" s="28" t="n">
        <v>0.000112</v>
      </c>
      <c r="AC367" s="30" t="n">
        <v>-1</v>
      </c>
      <c r="AD367" s="24" t="inlineStr">
        <is>
          <t>2026-09-01T04:32:56.480053Z</t>
        </is>
      </c>
      <c r="AE367" s="31" t="inlineStr">
        <is>
          <t>Surface-blended Elo on Hard: Liudmila Samsonova p=0.534 vs Maya Joint. Executable ask 0.7200 (aec-wta-mayjoi-liusam-2026-08-30).</t>
        </is>
      </c>
      <c r="AF367" s="31" t="inlineStr">
        <is>
          <t>Surface-blended Elo model; singles only, WTA+ATP market coverage, not yet locked-holdout qualified -- promoted by explicit operator directive, not genuine walk-forward validation.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PAPER_CALL_LOW_EDGE</t>
        </is>
      </c>
      <c r="AP367" s="24" t="inlineStr">
        <is>
          <t>Liudmila Samsonova</t>
        </is>
      </c>
      <c r="AQ367" s="24" t="inlineStr">
        <is>
          <t>Liudmila Samsonova</t>
        </is>
      </c>
      <c r="AR367" s="24" t="inlineStr">
        <is>
          <t>Liudmila Samsonova</t>
        </is>
      </c>
      <c r="AS367" s="24" t="inlineStr">
        <is>
          <t>Maya Joint</t>
        </is>
      </c>
      <c r="AT367" s="24" t="inlineStr">
        <is>
          <t>Maya Joint</t>
        </is>
      </c>
      <c r="AU367" s="24" t="inlineStr">
        <is>
          <t>Maya Joint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a67bb04c83bafa75b17d3013fcd4c13f2ff17c27af73dd591a6770e000183022</t>
        </is>
      </c>
      <c r="BB367" s="24" t="inlineStr">
        <is>
          <t>surface_blended_elo</t>
        </is>
      </c>
      <c r="BC367" s="24" t="inlineStr">
        <is>
          <t>tennis-surface-elo-v1</t>
        </is>
      </c>
      <c r="BD367" s="24" t="inlineStr">
        <is>
          <t>a67bb04c83bafa75b17d3013fcd4c13f2ff17c27af73dd591a6770e000183022</t>
        </is>
      </c>
      <c r="BE367" s="24" t="inlineStr">
        <is>
          <t>tennis-surface-elo-v1</t>
        </is>
      </c>
      <c r="BF367" s="24" t="inlineStr">
        <is>
          <t>1</t>
        </is>
      </c>
      <c r="BG367" s="24" t="inlineStr">
        <is>
          <t>a67bb04c83bafa75b17d3013fcd4c13f2ff17c27af73dd591a6770e000183022</t>
        </is>
      </c>
      <c r="BH367" s="24" t="inlineStr">
        <is>
          <t>2026-08-31T16:02:39.263247Z</t>
        </is>
      </c>
      <c r="BI367" s="24" t="inlineStr">
        <is>
          <t>["same_event","same_team_same_day","same_league_same_day"]</t>
        </is>
      </c>
      <c r="BJ367" s="25" t="n"/>
      <c r="BK367" s="26" t="n">
        <v>-257</v>
      </c>
      <c r="BL367" s="27" t="n">
        <v>1.389105</v>
      </c>
      <c r="BM367" s="28" t="n">
        <v>0.719888</v>
      </c>
      <c r="BN367" s="28" t="n"/>
      <c r="BO367" s="28" t="n"/>
      <c r="BP367" s="25" t="n"/>
      <c r="BQ367" s="27" t="n">
        <v>1.389105</v>
      </c>
      <c r="BR367" s="28" t="n">
        <v>0.72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-1</v>
      </c>
      <c r="BZ367" s="24" t="inlineStr">
        <is>
          <t>2026-09-01T04:32:56.480053Z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False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inlineStr">
        <is>
          <t>b2ac17bff36cba8adb66a599c8a0ae765c9959d4222876a0812de80068393533</t>
        </is>
      </c>
      <c r="DE367" s="24" t="inlineStr">
        <is>
          <t>/Users/vincentc9002/model-prediction/data/odds/tennis/2026-08-31/polymarket_snapshots.jsonl</t>
        </is>
      </c>
      <c r="DF367" s="24" t="inlineStr">
        <is>
          <t>547282:2026-08-31T16:02:39.263247Z</t>
        </is>
      </c>
      <c r="DG367" s="24" t="n"/>
      <c r="DH367" s="24" t="n"/>
      <c r="DI367" s="24" t="n"/>
      <c r="DJ367" s="24" t="inlineStr">
        <is>
          <t>0.719888</t>
        </is>
      </c>
      <c r="DK367" s="24" t="n"/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5f46a5ca882d48a8</t>
        </is>
      </c>
      <c r="B368" s="24" t="inlineStr">
        <is>
          <t>2026-08-31T16:04:31.779137Z</t>
        </is>
      </c>
      <c r="C368" s="24" t="inlineStr">
        <is>
          <t>2026-08-31T22:30Z</t>
        </is>
      </c>
      <c r="D368" s="24" t="inlineStr">
        <is>
          <t>189-2026:182613</t>
        </is>
      </c>
      <c r="E368" s="24" t="inlineStr">
        <is>
          <t>TENNIS</t>
        </is>
      </c>
      <c r="F368" s="24" t="inlineStr">
        <is>
          <t>Katerina Siniakova</t>
        </is>
      </c>
      <c r="G368" s="24" t="inlineStr">
        <is>
          <t>Elisabetta Cocciaretto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polymarket_us</t>
        </is>
      </c>
      <c r="L368" s="26" t="n">
        <v>-163</v>
      </c>
      <c r="M368" s="27" t="n">
        <v>1.613497</v>
      </c>
      <c r="N368" s="28" t="n">
        <v>0.619772</v>
      </c>
      <c r="O368" s="28" t="n">
        <v>0.5054</v>
      </c>
      <c r="P368" s="28" t="n">
        <v>0.05</v>
      </c>
      <c r="Q368" s="28" t="n">
        <v>-0.114372</v>
      </c>
      <c r="R368" s="26" t="n">
        <v>0</v>
      </c>
      <c r="S368" s="29" t="n">
        <v>1</v>
      </c>
      <c r="T368" s="24" t="inlineStr">
        <is>
          <t>tennis-surface-elo-v1</t>
        </is>
      </c>
      <c r="U368" s="24" t="inlineStr">
        <is>
          <t>settled</t>
        </is>
      </c>
      <c r="V368" s="24" t="inlineStr">
        <is>
          <t>win</t>
        </is>
      </c>
      <c r="W368" s="26" t="n">
        <v>1</v>
      </c>
      <c r="X368" s="26" t="n">
        <v>0</v>
      </c>
      <c r="Y368" s="25" t="n"/>
      <c r="Z368" s="26" t="n">
        <v>-163</v>
      </c>
      <c r="AA368" s="28" t="n">
        <v>0.62</v>
      </c>
      <c r="AB368" s="28" t="n">
        <v>0.000228</v>
      </c>
      <c r="AC368" s="30" t="n">
        <v>0.6135</v>
      </c>
      <c r="AD368" s="24" t="inlineStr">
        <is>
          <t>2026-09-01T04:32:58.397803Z</t>
        </is>
      </c>
      <c r="AE368" s="31" t="inlineStr">
        <is>
          <t>Surface-blended Elo on Hard: Katerina Siniakova p=0.505 vs Elisabetta Cocciaretto. Executable ask 0.6200 (aec-wta-elicoc-katsin-2026-08-30).</t>
        </is>
      </c>
      <c r="AF368" s="31" t="inlineStr">
        <is>
          <t>Surface-blended Elo model; singles only, WTA+ATP market coverage, not yet locked-holdout qualified -- promoted by explicit operator directive, not genuine walk-forward validation.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Katerina Siniakova</t>
        </is>
      </c>
      <c r="AQ368" s="24" t="inlineStr">
        <is>
          <t>Katerina Siniakova</t>
        </is>
      </c>
      <c r="AR368" s="24" t="inlineStr">
        <is>
          <t>Katerina Siniakova</t>
        </is>
      </c>
      <c r="AS368" s="24" t="inlineStr">
        <is>
          <t>Elisabetta Cocciaretto</t>
        </is>
      </c>
      <c r="AT368" s="24" t="inlineStr">
        <is>
          <t>Elisabetta Cocciaretto</t>
        </is>
      </c>
      <c r="AU368" s="24" t="inlineStr">
        <is>
          <t>Elisabetta Cocciaretto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a67bb04c83bafa75b17d3013fcd4c13f2ff17c27af73dd591a6770e000183022</t>
        </is>
      </c>
      <c r="BB368" s="24" t="inlineStr">
        <is>
          <t>surface_blended_elo</t>
        </is>
      </c>
      <c r="BC368" s="24" t="inlineStr">
        <is>
          <t>tennis-surface-elo-v1</t>
        </is>
      </c>
      <c r="BD368" s="24" t="inlineStr">
        <is>
          <t>a67bb04c83bafa75b17d3013fcd4c13f2ff17c27af73dd591a6770e000183022</t>
        </is>
      </c>
      <c r="BE368" s="24" t="inlineStr">
        <is>
          <t>tennis-surface-elo-v1</t>
        </is>
      </c>
      <c r="BF368" s="24" t="inlineStr">
        <is>
          <t>1</t>
        </is>
      </c>
      <c r="BG368" s="24" t="inlineStr">
        <is>
          <t>a67bb04c83bafa75b17d3013fcd4c13f2ff17c27af73dd591a6770e000183022</t>
        </is>
      </c>
      <c r="BH368" s="24" t="inlineStr">
        <is>
          <t>2026-08-31T16:02:39.206310Z</t>
        </is>
      </c>
      <c r="BI368" s="24" t="inlineStr">
        <is>
          <t>["same_event","same_team_same_day","same_league_same_day"]</t>
        </is>
      </c>
      <c r="BJ368" s="25" t="n"/>
      <c r="BK368" s="26" t="n">
        <v>-163</v>
      </c>
      <c r="BL368" s="27" t="n">
        <v>1.613497</v>
      </c>
      <c r="BM368" s="28" t="n">
        <v>0.619772</v>
      </c>
      <c r="BN368" s="28" t="n"/>
      <c r="BO368" s="28" t="n"/>
      <c r="BP368" s="25" t="n"/>
      <c r="BQ368" s="27" t="n">
        <v>1.613497</v>
      </c>
      <c r="BR368" s="28" t="n">
        <v>0.62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0.613497</v>
      </c>
      <c r="BZ368" s="24" t="inlineStr">
        <is>
          <t>2026-09-01T04:32:58.397803Z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inlineStr">
        <is>
          <t>f823b78e123182f9763222f0bb8e3775c000826c2e130b54a7871bcd19dbafca</t>
        </is>
      </c>
      <c r="DE368" s="24" t="inlineStr">
        <is>
          <t>/Users/vincentc9002/model-prediction/data/odds/tennis/2026-08-31/polymarket_snapshots.jsonl</t>
        </is>
      </c>
      <c r="DF368" s="24" t="inlineStr">
        <is>
          <t>547330:2026-08-31T16:02:39.206310Z</t>
        </is>
      </c>
      <c r="DG368" s="24" t="n"/>
      <c r="DH368" s="24" t="n"/>
      <c r="DI368" s="24" t="n"/>
      <c r="DJ368" s="24" t="inlineStr">
        <is>
          <t>0.619772</t>
        </is>
      </c>
      <c r="DK368" s="24" t="n"/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7bf902b6fa2d4eb9</t>
        </is>
      </c>
      <c r="B369" s="24" t="inlineStr">
        <is>
          <t>2026-08-31T16:04:31.779137Z</t>
        </is>
      </c>
      <c r="C369" s="24" t="inlineStr">
        <is>
          <t>2026-08-31T23:00Z</t>
        </is>
      </c>
      <c r="D369" s="24" t="inlineStr">
        <is>
          <t>189-2026:182607</t>
        </is>
      </c>
      <c r="E369" s="24" t="inlineStr">
        <is>
          <t>TENNIS</t>
        </is>
      </c>
      <c r="F369" s="24" t="inlineStr">
        <is>
          <t>Wang Xiyu</t>
        </is>
      </c>
      <c r="G369" s="24" t="inlineStr">
        <is>
          <t>Iga Swiatek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polymarket_us</t>
        </is>
      </c>
      <c r="L369" s="26" t="n">
        <v>-1329</v>
      </c>
      <c r="M369" s="27" t="n">
        <v>1.075245</v>
      </c>
      <c r="N369" s="28" t="n">
        <v>0.930021</v>
      </c>
      <c r="O369" s="28" t="n">
        <v>0.8242</v>
      </c>
      <c r="P369" s="28" t="n">
        <v>0.05</v>
      </c>
      <c r="Q369" s="28" t="n">
        <v>-0.105821</v>
      </c>
      <c r="R369" s="26" t="n">
        <v>0</v>
      </c>
      <c r="S369" s="29" t="n">
        <v>1</v>
      </c>
      <c r="T369" s="24" t="inlineStr">
        <is>
          <t>tennis-surface-elo-v1</t>
        </is>
      </c>
      <c r="U369" s="24" t="inlineStr">
        <is>
          <t>settled</t>
        </is>
      </c>
      <c r="V369" s="24" t="inlineStr">
        <is>
          <t>win</t>
        </is>
      </c>
      <c r="W369" s="26" t="n">
        <v>0</v>
      </c>
      <c r="X369" s="26" t="n">
        <v>1</v>
      </c>
      <c r="Y369" s="25" t="n"/>
      <c r="Z369" s="26" t="n">
        <v>-1329</v>
      </c>
      <c r="AA369" s="28" t="n">
        <v>0.93</v>
      </c>
      <c r="AB369" s="28" t="n">
        <v>-2.1e-05</v>
      </c>
      <c r="AC369" s="30" t="n">
        <v>0.0752</v>
      </c>
      <c r="AD369" s="24" t="inlineStr">
        <is>
          <t>2026-09-01T04:33:00.369555Z</t>
        </is>
      </c>
      <c r="AE369" s="31" t="inlineStr">
        <is>
          <t>Surface-blended Elo on Hard: Wang Xiyu p=0.176 vs Iga Swiatek. Executable ask 0.9300 (aec-wta-igaswi-xiywan-2026-08-30).</t>
        </is>
      </c>
      <c r="AF369" s="31" t="inlineStr">
        <is>
          <t>Surface-blended Elo model; singles only, WTA+ATP market coverage, not yet locked-holdout qualified -- promoted by explicit operator directive, not genuine walk-forward validation.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PAPER_CALL_LOW_EDGE</t>
        </is>
      </c>
      <c r="AP369" s="24" t="inlineStr">
        <is>
          <t>Wang Xiyu</t>
        </is>
      </c>
      <c r="AQ369" s="24" t="inlineStr">
        <is>
          <t>Wang Xiyu</t>
        </is>
      </c>
      <c r="AR369" s="24" t="inlineStr">
        <is>
          <t>Wang Xiyu</t>
        </is>
      </c>
      <c r="AS369" s="24" t="inlineStr">
        <is>
          <t>Iga Swiatek</t>
        </is>
      </c>
      <c r="AT369" s="24" t="inlineStr">
        <is>
          <t>Iga Swiatek</t>
        </is>
      </c>
      <c r="AU369" s="24" t="inlineStr">
        <is>
          <t>Iga Swiatek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a67bb04c83bafa75b17d3013fcd4c13f2ff17c27af73dd591a6770e000183022</t>
        </is>
      </c>
      <c r="BB369" s="24" t="inlineStr">
        <is>
          <t>surface_blended_elo</t>
        </is>
      </c>
      <c r="BC369" s="24" t="inlineStr">
        <is>
          <t>tennis-surface-elo-v1</t>
        </is>
      </c>
      <c r="BD369" s="24" t="inlineStr">
        <is>
          <t>a67bb04c83bafa75b17d3013fcd4c13f2ff17c27af73dd591a6770e000183022</t>
        </is>
      </c>
      <c r="BE369" s="24" t="inlineStr">
        <is>
          <t>tennis-surface-elo-v1</t>
        </is>
      </c>
      <c r="BF369" s="24" t="inlineStr">
        <is>
          <t>1</t>
        </is>
      </c>
      <c r="BG369" s="24" t="inlineStr">
        <is>
          <t>a67bb04c83bafa75b17d3013fcd4c13f2ff17c27af73dd591a6770e000183022</t>
        </is>
      </c>
      <c r="BH369" s="24" t="inlineStr">
        <is>
          <t>2026-08-31T16:02:39.262029Z</t>
        </is>
      </c>
      <c r="BI369" s="24" t="inlineStr">
        <is>
          <t>["same_event","same_team_same_day","same_league_same_day"]</t>
        </is>
      </c>
      <c r="BJ369" s="25" t="n"/>
      <c r="BK369" s="26" t="n">
        <v>-1329</v>
      </c>
      <c r="BL369" s="27" t="n">
        <v>1.075245</v>
      </c>
      <c r="BM369" s="28" t="n">
        <v>0.930021</v>
      </c>
      <c r="BN369" s="28" t="n"/>
      <c r="BO369" s="28" t="n"/>
      <c r="BP369" s="25" t="n"/>
      <c r="BQ369" s="27" t="n">
        <v>1.075245</v>
      </c>
      <c r="BR369" s="28" t="n">
        <v>0.93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0.07524500000000001</v>
      </c>
      <c r="BZ369" s="24" t="inlineStr">
        <is>
          <t>2026-09-01T04:33:00.369555Z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inlineStr">
        <is>
          <t>6d4e43d4827b066f02bb32c8cfbda85331ff56fe440ac2a83574bb009e22025f</t>
        </is>
      </c>
      <c r="DE369" s="24" t="inlineStr">
        <is>
          <t>/Users/vincentc9002/model-prediction/data/odds/tennis/2026-08-31/polymarket_snapshots.jsonl</t>
        </is>
      </c>
      <c r="DF369" s="24" t="inlineStr">
        <is>
          <t>547315:2026-08-31T16:02:39.262029Z</t>
        </is>
      </c>
      <c r="DG369" s="24" t="n"/>
      <c r="DH369" s="24" t="n"/>
      <c r="DI369" s="24" t="n"/>
      <c r="DJ369" s="24" t="inlineStr">
        <is>
          <t>0.930021</t>
        </is>
      </c>
      <c r="DK369" s="24" t="n"/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70481fcb4ccd4475</t>
        </is>
      </c>
      <c r="B370" s="24" t="inlineStr">
        <is>
          <t>2026-08-31T16:04:31.779137Z</t>
        </is>
      </c>
      <c r="C370" s="24" t="inlineStr">
        <is>
          <t>2026-09-01T01:00Z</t>
        </is>
      </c>
      <c r="D370" s="24" t="inlineStr">
        <is>
          <t>189-2026:182612</t>
        </is>
      </c>
      <c r="E370" s="24" t="inlineStr">
        <is>
          <t>TENNIS</t>
        </is>
      </c>
      <c r="F370" s="24" t="inlineStr">
        <is>
          <t>Anastasia Zakharova</t>
        </is>
      </c>
      <c r="G370" s="24" t="inlineStr">
        <is>
          <t>Naomi Osaka</t>
        </is>
      </c>
      <c r="H370" s="24" t="inlineStr">
        <is>
          <t>moneyline</t>
        </is>
      </c>
      <c r="I370" s="24" t="inlineStr">
        <is>
          <t>home</t>
        </is>
      </c>
      <c r="J370" s="25" t="n"/>
      <c r="K370" s="24" t="inlineStr">
        <is>
          <t>polymarket_us</t>
        </is>
      </c>
      <c r="L370" s="26" t="n">
        <v>-809</v>
      </c>
      <c r="M370" s="27" t="n">
        <v>1.123609</v>
      </c>
      <c r="N370" s="28" t="n">
        <v>0.889989</v>
      </c>
      <c r="O370" s="28" t="n">
        <v>0.7675999999999999</v>
      </c>
      <c r="P370" s="28" t="n">
        <v>0.05</v>
      </c>
      <c r="Q370" s="28" t="n">
        <v>-0.122389</v>
      </c>
      <c r="R370" s="26" t="n">
        <v>0</v>
      </c>
      <c r="S370" s="29" t="n">
        <v>1</v>
      </c>
      <c r="T370" s="24" t="inlineStr">
        <is>
          <t>tennis-surface-elo-v1</t>
        </is>
      </c>
      <c r="U370" s="24" t="inlineStr">
        <is>
          <t>settled</t>
        </is>
      </c>
      <c r="V370" s="24" t="inlineStr">
        <is>
          <t>win</t>
        </is>
      </c>
      <c r="W370" s="26" t="n">
        <v>0</v>
      </c>
      <c r="X370" s="26" t="n">
        <v>1</v>
      </c>
      <c r="Y370" s="25" t="n"/>
      <c r="Z370" s="26" t="n">
        <v>-809</v>
      </c>
      <c r="AA370" s="28" t="n">
        <v>0.89</v>
      </c>
      <c r="AB370" s="28" t="n">
        <v>1.1e-05</v>
      </c>
      <c r="AC370" s="30" t="n">
        <v>0.1236</v>
      </c>
      <c r="AD370" s="24" t="inlineStr">
        <is>
          <t>2026-09-01T04:33:02.296774Z</t>
        </is>
      </c>
      <c r="AE370" s="31" t="inlineStr">
        <is>
          <t>Surface-blended Elo on Hard: Anastasia Zakharova p=0.232 vs Naomi Osaka. Executable ask 0.8900 (aec-wta-naoosa-anazak-2026-08-30).</t>
        </is>
      </c>
      <c r="AF370" s="31" t="inlineStr">
        <is>
          <t>Surface-blended Elo model; singles only, WTA+ATP market coverage, not yet locked-holdout qualified -- promoted by explicit operator directive, not genuine walk-forward validation.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Anastasia Zakharova</t>
        </is>
      </c>
      <c r="AQ370" s="24" t="inlineStr">
        <is>
          <t>Anastasia Zakharova</t>
        </is>
      </c>
      <c r="AR370" s="24" t="inlineStr">
        <is>
          <t>Anastasia Zakharova</t>
        </is>
      </c>
      <c r="AS370" s="24" t="inlineStr">
        <is>
          <t>Naomi Osaka</t>
        </is>
      </c>
      <c r="AT370" s="24" t="inlineStr">
        <is>
          <t>Naomi Osaka</t>
        </is>
      </c>
      <c r="AU370" s="24" t="inlineStr">
        <is>
          <t>Naomi Osaka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a67bb04c83bafa75b17d3013fcd4c13f2ff17c27af73dd591a6770e000183022</t>
        </is>
      </c>
      <c r="BB370" s="24" t="inlineStr">
        <is>
          <t>surface_blended_elo</t>
        </is>
      </c>
      <c r="BC370" s="24" t="inlineStr">
        <is>
          <t>tennis-surface-elo-v1</t>
        </is>
      </c>
      <c r="BD370" s="24" t="inlineStr">
        <is>
          <t>a67bb04c83bafa75b17d3013fcd4c13f2ff17c27af73dd591a6770e000183022</t>
        </is>
      </c>
      <c r="BE370" s="24" t="inlineStr">
        <is>
          <t>tennis-surface-elo-v1</t>
        </is>
      </c>
      <c r="BF370" s="24" t="inlineStr">
        <is>
          <t>1</t>
        </is>
      </c>
      <c r="BG370" s="24" t="inlineStr">
        <is>
          <t>a67bb04c83bafa75b17d3013fcd4c13f2ff17c27af73dd591a6770e000183022</t>
        </is>
      </c>
      <c r="BH370" s="24" t="inlineStr">
        <is>
          <t>2026-08-31T16:02:39.303729Z</t>
        </is>
      </c>
      <c r="BI370" s="24" t="inlineStr">
        <is>
          <t>["same_event","same_team_same_day","same_league_same_day"]</t>
        </is>
      </c>
      <c r="BJ370" s="25" t="n"/>
      <c r="BK370" s="26" t="n">
        <v>-809</v>
      </c>
      <c r="BL370" s="27" t="n">
        <v>1.123609</v>
      </c>
      <c r="BM370" s="28" t="n">
        <v>0.889989</v>
      </c>
      <c r="BN370" s="28" t="n"/>
      <c r="BO370" s="28" t="n"/>
      <c r="BP370" s="25" t="n"/>
      <c r="BQ370" s="27" t="n">
        <v>1.123609</v>
      </c>
      <c r="BR370" s="28" t="n">
        <v>0.89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0.123609</v>
      </c>
      <c r="BZ370" s="24" t="inlineStr">
        <is>
          <t>2026-09-01T04:33:02.296774Z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inlineStr">
        <is>
          <t>fc065dff51b89c1f6a925e4b89638bdc503c96b246e78555109eb717a25cac8c</t>
        </is>
      </c>
      <c r="DE370" s="24" t="inlineStr">
        <is>
          <t>/Users/vincentc9002/model-prediction/data/odds/tennis/2026-08-31/polymarket_snapshots.jsonl</t>
        </is>
      </c>
      <c r="DF370" s="24" t="inlineStr">
        <is>
          <t>547326:2026-08-31T16:02:39.303729Z</t>
        </is>
      </c>
      <c r="DG370" s="24" t="n"/>
      <c r="DH370" s="24" t="n"/>
      <c r="DI370" s="24" t="n"/>
      <c r="DJ370" s="24" t="inlineStr">
        <is>
          <t>0.889989</t>
        </is>
      </c>
      <c r="DK370" s="24" t="n"/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205463da4565444c</t>
        </is>
      </c>
      <c r="B371" s="24" t="inlineStr">
        <is>
          <t>2026-08-31T16:04:31.779137Z</t>
        </is>
      </c>
      <c r="C371" s="24" t="inlineStr">
        <is>
          <t>2026-08-31T17:00Z</t>
        </is>
      </c>
      <c r="D371" s="24" t="inlineStr">
        <is>
          <t>189-2026:182669</t>
        </is>
      </c>
      <c r="E371" s="24" t="inlineStr">
        <is>
          <t>TENNIS</t>
        </is>
      </c>
      <c r="F371" s="24" t="inlineStr">
        <is>
          <t>James Duckworth</t>
        </is>
      </c>
      <c r="G371" s="24" t="inlineStr">
        <is>
          <t>Matteo Arnaldi</t>
        </is>
      </c>
      <c r="H371" s="24" t="inlineStr">
        <is>
          <t>moneyline</t>
        </is>
      </c>
      <c r="I371" s="24" t="inlineStr">
        <is>
          <t>away</t>
        </is>
      </c>
      <c r="J371" s="25" t="n"/>
      <c r="K371" s="24" t="inlineStr">
        <is>
          <t>polymarket_us</t>
        </is>
      </c>
      <c r="L371" s="26" t="n">
        <v>156</v>
      </c>
      <c r="M371" s="27" t="n">
        <v>2.56</v>
      </c>
      <c r="N371" s="28" t="n">
        <v>0.390625</v>
      </c>
      <c r="O371" s="28" t="n">
        <v>0.5743</v>
      </c>
      <c r="P371" s="28" t="n">
        <v>0.05</v>
      </c>
      <c r="Q371" s="28" t="n">
        <v>0.183675</v>
      </c>
      <c r="R371" s="26" t="n">
        <v>100</v>
      </c>
      <c r="S371" s="29" t="n">
        <v>2</v>
      </c>
      <c r="T371" s="24" t="inlineStr">
        <is>
          <t>tennis-surface-elo-v1</t>
        </is>
      </c>
      <c r="U371" s="24" t="inlineStr">
        <is>
          <t>settled</t>
        </is>
      </c>
      <c r="V371" s="24" t="inlineStr">
        <is>
          <t>win</t>
        </is>
      </c>
      <c r="W371" s="26" t="n">
        <v>1</v>
      </c>
      <c r="X371" s="26" t="n">
        <v>0</v>
      </c>
      <c r="Y371" s="25" t="n"/>
      <c r="Z371" s="26" t="n">
        <v>156</v>
      </c>
      <c r="AA371" s="28" t="n">
        <v>0.39</v>
      </c>
      <c r="AB371" s="28" t="n">
        <v>-0.000625</v>
      </c>
      <c r="AC371" s="30" t="n">
        <v>3.12</v>
      </c>
      <c r="AD371" s="24" t="inlineStr">
        <is>
          <t>2026-09-01T04:33:04.275584Z</t>
        </is>
      </c>
      <c r="AE371" s="31" t="inlineStr">
        <is>
          <t>Surface-blended Elo on Hard: James Duckworth p=0.574 vs Matteo Arnaldi. Executable ask 0.3900 (aec-atp-matarn-jamduc-2026-08-30).</t>
        </is>
      </c>
      <c r="AF371" s="31" t="inlineStr">
        <is>
          <t>Surface-blended Elo model; singles only, WTA+ATP market coverage, not yet locked-holdout qualified -- promoted by explicit operator directive, not genuine walk-forward validation.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4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James Duckworth</t>
        </is>
      </c>
      <c r="AQ371" s="24" t="inlineStr">
        <is>
          <t>James Duckworth</t>
        </is>
      </c>
      <c r="AR371" s="24" t="inlineStr">
        <is>
          <t>James Duckworth</t>
        </is>
      </c>
      <c r="AS371" s="24" t="inlineStr">
        <is>
          <t>Matteo Arnaldi</t>
        </is>
      </c>
      <c r="AT371" s="24" t="inlineStr">
        <is>
          <t>Matteo Arnaldi</t>
        </is>
      </c>
      <c r="AU371" s="24" t="inlineStr">
        <is>
          <t>Matteo Arnaldi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a67bb04c83bafa75b17d3013fcd4c13f2ff17c27af73dd591a6770e000183022</t>
        </is>
      </c>
      <c r="BB371" s="24" t="inlineStr">
        <is>
          <t>surface_blended_elo</t>
        </is>
      </c>
      <c r="BC371" s="24" t="inlineStr">
        <is>
          <t>tennis-surface-elo-v1</t>
        </is>
      </c>
      <c r="BD371" s="24" t="inlineStr">
        <is>
          <t>a67bb04c83bafa75b17d3013fcd4c13f2ff17c27af73dd591a6770e000183022</t>
        </is>
      </c>
      <c r="BE371" s="24" t="inlineStr">
        <is>
          <t>tennis-surface-elo-v1</t>
        </is>
      </c>
      <c r="BF371" s="24" t="inlineStr">
        <is>
          <t>1</t>
        </is>
      </c>
      <c r="BG371" s="24" t="inlineStr">
        <is>
          <t>a67bb04c83bafa75b17d3013fcd4c13f2ff17c27af73dd591a6770e000183022</t>
        </is>
      </c>
      <c r="BH371" s="24" t="inlineStr">
        <is>
          <t>2026-08-31T16:02:39.867133Z</t>
        </is>
      </c>
      <c r="BI371" s="24" t="inlineStr">
        <is>
          <t>["same_event","same_team_same_day","same_league_same_day"]</t>
        </is>
      </c>
      <c r="BJ371" s="25" t="n"/>
      <c r="BK371" s="26" t="n">
        <v>156</v>
      </c>
      <c r="BL371" s="27" t="n">
        <v>2.56</v>
      </c>
      <c r="BM371" s="28" t="n">
        <v>0.390625</v>
      </c>
      <c r="BN371" s="28" t="n"/>
      <c r="BO371" s="28" t="n"/>
      <c r="BP371" s="25" t="n"/>
      <c r="BQ371" s="27" t="n">
        <v>2.56</v>
      </c>
      <c r="BR371" s="28" t="n">
        <v>0.39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inlineStr">
        <is>
          <t>c43b34c3520f54791ae83caaab9d69cfb333cb96cbf67c00229498a2910ef186</t>
        </is>
      </c>
      <c r="DE371" s="24" t="inlineStr">
        <is>
          <t>/Users/vincentc9002/model-prediction/data/odds/tennis/2026-08-31/polymarket_snapshots.jsonl</t>
        </is>
      </c>
      <c r="DF371" s="24" t="inlineStr">
        <is>
          <t>547365:2026-08-31T16:02:39.867133Z</t>
        </is>
      </c>
      <c r="DG371" s="24" t="n"/>
      <c r="DH371" s="24" t="n"/>
      <c r="DI371" s="24" t="n"/>
      <c r="DJ371" s="24" t="inlineStr">
        <is>
          <t>0.390625</t>
        </is>
      </c>
      <c r="DK371" s="24" t="n"/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6f945669586645e7</t>
        </is>
      </c>
      <c r="B372" s="24" t="inlineStr">
        <is>
          <t>2026-08-31T16:04:31.779137Z</t>
        </is>
      </c>
      <c r="C372" s="24" t="inlineStr">
        <is>
          <t>2026-08-31T17:00Z</t>
        </is>
      </c>
      <c r="D372" s="24" t="inlineStr">
        <is>
          <t>189-2026:182705</t>
        </is>
      </c>
      <c r="E372" s="24" t="inlineStr">
        <is>
          <t>TENNIS</t>
        </is>
      </c>
      <c r="F372" s="24" t="inlineStr">
        <is>
          <t>Carlos Alcaraz</t>
        </is>
      </c>
      <c r="G372" s="24" t="inlineStr">
        <is>
          <t>Roman Safiullin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polymarket_us</t>
        </is>
      </c>
      <c r="L372" s="26" t="n">
        <v>-456</v>
      </c>
      <c r="M372" s="27" t="n">
        <v>1.219298</v>
      </c>
      <c r="N372" s="28" t="n">
        <v>0.820144</v>
      </c>
      <c r="O372" s="28" t="n">
        <v>0.9435</v>
      </c>
      <c r="P372" s="28" t="n">
        <v>0.05</v>
      </c>
      <c r="Q372" s="28" t="n">
        <v>0.123356</v>
      </c>
      <c r="R372" s="26" t="n">
        <v>82</v>
      </c>
      <c r="S372" s="29" t="n">
        <v>1.5</v>
      </c>
      <c r="T372" s="24" t="inlineStr">
        <is>
          <t>tennis-surface-elo-v1</t>
        </is>
      </c>
      <c r="U372" s="24" t="inlineStr">
        <is>
          <t>settled</t>
        </is>
      </c>
      <c r="V372" s="24" t="inlineStr">
        <is>
          <t>win</t>
        </is>
      </c>
      <c r="W372" s="26" t="n">
        <v>1</v>
      </c>
      <c r="X372" s="26" t="n">
        <v>0</v>
      </c>
      <c r="Y372" s="25" t="n"/>
      <c r="Z372" s="26" t="n">
        <v>-456</v>
      </c>
      <c r="AA372" s="28" t="n">
        <v>0.82</v>
      </c>
      <c r="AB372" s="28" t="n">
        <v>-0.000144</v>
      </c>
      <c r="AC372" s="30" t="n">
        <v>0.3289</v>
      </c>
      <c r="AD372" s="24" t="inlineStr">
        <is>
          <t>2026-09-01T04:33:06.170528Z</t>
        </is>
      </c>
      <c r="AE372" s="31" t="inlineStr">
        <is>
          <t>Surface-blended Elo on Hard: Carlos Alcaraz p=0.943 vs Roman Safiullin. Executable ask 0.8200 (aec-atp-romsaf-caralc-2026-08-30).</t>
        </is>
      </c>
      <c r="AF372" s="31" t="inlineStr">
        <is>
          <t>Surface-blended Elo model; singles only, WTA+ATP market coverage, not yet locked-holdout qualified -- promoted by explicit operator directive, not genuine walk-forward validation.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Carlos Alcaraz</t>
        </is>
      </c>
      <c r="AQ372" s="24" t="inlineStr">
        <is>
          <t>Carlos Alcaraz</t>
        </is>
      </c>
      <c r="AR372" s="24" t="inlineStr">
        <is>
          <t>Carlos Alcaraz</t>
        </is>
      </c>
      <c r="AS372" s="24" t="inlineStr">
        <is>
          <t>Roman Safiullin</t>
        </is>
      </c>
      <c r="AT372" s="24" t="inlineStr">
        <is>
          <t>Roman Safiullin</t>
        </is>
      </c>
      <c r="AU372" s="24" t="inlineStr">
        <is>
          <t>Roman Safiullin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a67bb04c83bafa75b17d3013fcd4c13f2ff17c27af73dd591a6770e000183022</t>
        </is>
      </c>
      <c r="BB372" s="24" t="inlineStr">
        <is>
          <t>surface_blended_elo</t>
        </is>
      </c>
      <c r="BC372" s="24" t="inlineStr">
        <is>
          <t>tennis-surface-elo-v1</t>
        </is>
      </c>
      <c r="BD372" s="24" t="inlineStr">
        <is>
          <t>a67bb04c83bafa75b17d3013fcd4c13f2ff17c27af73dd591a6770e000183022</t>
        </is>
      </c>
      <c r="BE372" s="24" t="inlineStr">
        <is>
          <t>tennis-surface-elo-v1</t>
        </is>
      </c>
      <c r="BF372" s="24" t="inlineStr">
        <is>
          <t>1</t>
        </is>
      </c>
      <c r="BG372" s="24" t="inlineStr">
        <is>
          <t>a67bb04c83bafa75b17d3013fcd4c13f2ff17c27af73dd591a6770e000183022</t>
        </is>
      </c>
      <c r="BH372" s="24" t="inlineStr">
        <is>
          <t>2026-08-31T16:02:39.803446Z</t>
        </is>
      </c>
      <c r="BI372" s="24" t="inlineStr">
        <is>
          <t>["same_event","same_team_same_day","same_league_same_day"]</t>
        </is>
      </c>
      <c r="BJ372" s="25" t="n"/>
      <c r="BK372" s="26" t="n">
        <v>-456</v>
      </c>
      <c r="BL372" s="27" t="n">
        <v>1.219298</v>
      </c>
      <c r="BM372" s="28" t="n">
        <v>0.820144</v>
      </c>
      <c r="BN372" s="28" t="n"/>
      <c r="BO372" s="28" t="n"/>
      <c r="BP372" s="25" t="n"/>
      <c r="BQ372" s="27" t="n">
        <v>1.219298</v>
      </c>
      <c r="BR372" s="28" t="n">
        <v>0.82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inlineStr">
        <is>
          <t>47d8e232fb3fa101d195961e34e60074d70c6b5601567aee28bb1b0499c62969</t>
        </is>
      </c>
      <c r="DE372" s="24" t="inlineStr">
        <is>
          <t>/Users/vincentc9002/model-prediction/data/odds/tennis/2026-08-31/polymarket_snapshots.jsonl</t>
        </is>
      </c>
      <c r="DF372" s="24" t="inlineStr">
        <is>
          <t>547368:2026-08-31T16:02:39.803446Z</t>
        </is>
      </c>
      <c r="DG372" s="24" t="n"/>
      <c r="DH372" s="24" t="n"/>
      <c r="DI372" s="24" t="n"/>
      <c r="DJ372" s="24" t="inlineStr">
        <is>
          <t>0.820144</t>
        </is>
      </c>
      <c r="DK372" s="24" t="n"/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dbcbe1b3f06e4242</t>
        </is>
      </c>
      <c r="B373" s="24" t="inlineStr">
        <is>
          <t>2026-08-31T16:04:31.779137Z</t>
        </is>
      </c>
      <c r="C373" s="24" t="inlineStr">
        <is>
          <t>2026-08-31T18:00Z</t>
        </is>
      </c>
      <c r="D373" s="24" t="inlineStr">
        <is>
          <t>189-2026:182664</t>
        </is>
      </c>
      <c r="E373" s="24" t="inlineStr">
        <is>
          <t>TENNIS</t>
        </is>
      </c>
      <c r="F373" s="24" t="inlineStr">
        <is>
          <t>Harry Wendelken</t>
        </is>
      </c>
      <c r="G373" s="24" t="inlineStr">
        <is>
          <t>Luciano Darderi</t>
        </is>
      </c>
      <c r="H373" s="24" t="inlineStr">
        <is>
          <t>moneyline</t>
        </is>
      </c>
      <c r="I373" s="24" t="inlineStr">
        <is>
          <t>home</t>
        </is>
      </c>
      <c r="J373" s="25" t="n"/>
      <c r="K373" s="24" t="inlineStr">
        <is>
          <t>polymarket_us</t>
        </is>
      </c>
      <c r="L373" s="26" t="n">
        <v>-285</v>
      </c>
      <c r="M373" s="27" t="n">
        <v>1.350877</v>
      </c>
      <c r="N373" s="28" t="n">
        <v>0.74026</v>
      </c>
      <c r="O373" s="28" t="n">
        <v>0.6451</v>
      </c>
      <c r="P373" s="28" t="n">
        <v>0.05</v>
      </c>
      <c r="Q373" s="28" t="n">
        <v>-0.09515999999999999</v>
      </c>
      <c r="R373" s="26" t="n">
        <v>0</v>
      </c>
      <c r="S373" s="29" t="n">
        <v>1</v>
      </c>
      <c r="T373" s="24" t="inlineStr">
        <is>
          <t>tennis-surface-elo-v1</t>
        </is>
      </c>
      <c r="U373" s="24" t="inlineStr">
        <is>
          <t>settled</t>
        </is>
      </c>
      <c r="V373" s="24" t="inlineStr">
        <is>
          <t>win</t>
        </is>
      </c>
      <c r="W373" s="26" t="n">
        <v>0</v>
      </c>
      <c r="X373" s="26" t="n">
        <v>1</v>
      </c>
      <c r="Y373" s="25" t="n"/>
      <c r="Z373" s="26" t="n">
        <v>-285</v>
      </c>
      <c r="AA373" s="28" t="n">
        <v>0.74</v>
      </c>
      <c r="AB373" s="28" t="n">
        <v>-0.00026</v>
      </c>
      <c r="AC373" s="30" t="n">
        <v>0.3509</v>
      </c>
      <c r="AD373" s="24" t="inlineStr">
        <is>
          <t>2026-09-01T04:33:08.152725Z</t>
        </is>
      </c>
      <c r="AE373" s="31" t="inlineStr">
        <is>
          <t>Surface-blended Elo on Hard: Harry Wendelken p=0.355 vs Luciano Darderi. Executable ask 0.7400 (aec-atp-lucdar-harwen-2026-08-30).</t>
        </is>
      </c>
      <c r="AF373" s="31" t="inlineStr">
        <is>
          <t>Surface-blended Elo model; singles only, WTA+ATP market coverage, not yet locked-holdout qualified -- promoted by explicit operator directive, not genuine walk-forward validation.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Harry Wendelken</t>
        </is>
      </c>
      <c r="AQ373" s="24" t="inlineStr">
        <is>
          <t>Harry Wendelken</t>
        </is>
      </c>
      <c r="AR373" s="24" t="inlineStr">
        <is>
          <t>Harry Wendelken</t>
        </is>
      </c>
      <c r="AS373" s="24" t="inlineStr">
        <is>
          <t>Luciano Darderi</t>
        </is>
      </c>
      <c r="AT373" s="24" t="inlineStr">
        <is>
          <t>Luciano Darderi</t>
        </is>
      </c>
      <c r="AU373" s="24" t="inlineStr">
        <is>
          <t>Luciano Darderi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a67bb04c83bafa75b17d3013fcd4c13f2ff17c27af73dd591a6770e000183022</t>
        </is>
      </c>
      <c r="BB373" s="24" t="inlineStr">
        <is>
          <t>surface_blended_elo</t>
        </is>
      </c>
      <c r="BC373" s="24" t="inlineStr">
        <is>
          <t>tennis-surface-elo-v1</t>
        </is>
      </c>
      <c r="BD373" s="24" t="inlineStr">
        <is>
          <t>a67bb04c83bafa75b17d3013fcd4c13f2ff17c27af73dd591a6770e000183022</t>
        </is>
      </c>
      <c r="BE373" s="24" t="inlineStr">
        <is>
          <t>tennis-surface-elo-v1</t>
        </is>
      </c>
      <c r="BF373" s="24" t="inlineStr">
        <is>
          <t>1</t>
        </is>
      </c>
      <c r="BG373" s="24" t="inlineStr">
        <is>
          <t>a67bb04c83bafa75b17d3013fcd4c13f2ff17c27af73dd591a6770e000183022</t>
        </is>
      </c>
      <c r="BH373" s="24" t="inlineStr">
        <is>
          <t>2026-08-31T16:02:39.906248Z</t>
        </is>
      </c>
      <c r="BI373" s="24" t="inlineStr">
        <is>
          <t>["same_event","same_team_same_day","same_league_same_day"]</t>
        </is>
      </c>
      <c r="BJ373" s="25" t="n"/>
      <c r="BK373" s="26" t="n">
        <v>-285</v>
      </c>
      <c r="BL373" s="27" t="n">
        <v>1.350877</v>
      </c>
      <c r="BM373" s="28" t="n">
        <v>0.74026</v>
      </c>
      <c r="BN373" s="28" t="n"/>
      <c r="BO373" s="28" t="n"/>
      <c r="BP373" s="25" t="n"/>
      <c r="BQ373" s="27" t="n">
        <v>1.350877</v>
      </c>
      <c r="BR373" s="28" t="n">
        <v>0.74</v>
      </c>
      <c r="BS373" s="28" t="n"/>
      <c r="BT373" s="28" t="n"/>
      <c r="BU373" s="25" t="n"/>
      <c r="BV373" s="29" t="n"/>
      <c r="BW373" s="24" t="n"/>
      <c r="BX373" s="30" t="n">
        <v>1</v>
      </c>
      <c r="BY373" s="27" t="n">
        <v>0.350877</v>
      </c>
      <c r="BZ373" s="24" t="inlineStr">
        <is>
          <t>2026-09-01T04:33:08.152725Z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False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inlineStr">
        <is>
          <t>a5da9488cc94a3251ff2d4d2dce72e5bc9d07c8f8ccaab480b259b1fd3183091</t>
        </is>
      </c>
      <c r="DE373" s="24" t="inlineStr">
        <is>
          <t>/Users/vincentc9002/model-prediction/data/odds/tennis/2026-08-31/polymarket_snapshots.jsonl</t>
        </is>
      </c>
      <c r="DF373" s="24" t="inlineStr">
        <is>
          <t>550495:2026-08-31T16:02:39.906248Z</t>
        </is>
      </c>
      <c r="DG373" s="24" t="n"/>
      <c r="DH373" s="24" t="n"/>
      <c r="DI373" s="24" t="n"/>
      <c r="DJ373" s="24" t="inlineStr">
        <is>
          <t>0.74026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7faa4ca132f2422d</t>
        </is>
      </c>
      <c r="B374" s="24" t="inlineStr">
        <is>
          <t>2026-08-31T16:04:31.779137Z</t>
        </is>
      </c>
      <c r="C374" s="24" t="inlineStr">
        <is>
          <t>2026-08-31T18:00Z</t>
        </is>
      </c>
      <c r="D374" s="24" t="inlineStr">
        <is>
          <t>189-2026:182704</t>
        </is>
      </c>
      <c r="E374" s="24" t="inlineStr">
        <is>
          <t>TENNIS</t>
        </is>
      </c>
      <c r="F374" s="24" t="inlineStr">
        <is>
          <t>Valentin Royer</t>
        </is>
      </c>
      <c r="G374" s="24" t="inlineStr">
        <is>
          <t>Dalibor Svrcina</t>
        </is>
      </c>
      <c r="H374" s="24" t="inlineStr">
        <is>
          <t>moneyline</t>
        </is>
      </c>
      <c r="I374" s="24" t="inlineStr">
        <is>
          <t>home</t>
        </is>
      </c>
      <c r="J374" s="25" t="n"/>
      <c r="K374" s="24" t="inlineStr">
        <is>
          <t>polymarket_us</t>
        </is>
      </c>
      <c r="L374" s="26" t="n">
        <v>104</v>
      </c>
      <c r="M374" s="27" t="n">
        <v>2.04</v>
      </c>
      <c r="N374" s="28" t="n">
        <v>0.490196</v>
      </c>
      <c r="O374" s="28" t="n">
        <v>0.5763</v>
      </c>
      <c r="P374" s="28" t="n">
        <v>0.05</v>
      </c>
      <c r="Q374" s="28" t="n">
        <v>0.086104</v>
      </c>
      <c r="R374" s="26" t="n">
        <v>63</v>
      </c>
      <c r="S374" s="29" t="n">
        <v>1.25</v>
      </c>
      <c r="T374" s="24" t="inlineStr">
        <is>
          <t>tennis-surface-elo-v1</t>
        </is>
      </c>
      <c r="U374" s="24" t="inlineStr">
        <is>
          <t>settled</t>
        </is>
      </c>
      <c r="V374" s="24" t="inlineStr">
        <is>
          <t>win</t>
        </is>
      </c>
      <c r="W374" s="26" t="n">
        <v>0</v>
      </c>
      <c r="X374" s="26" t="n">
        <v>1</v>
      </c>
      <c r="Y374" s="25" t="n"/>
      <c r="Z374" s="26" t="n">
        <v>104</v>
      </c>
      <c r="AA374" s="28" t="n">
        <v>0.49</v>
      </c>
      <c r="AB374" s="28" t="n">
        <v>-0.000196</v>
      </c>
      <c r="AC374" s="30" t="n">
        <v>1.3</v>
      </c>
      <c r="AD374" s="24" t="inlineStr">
        <is>
          <t>2026-09-01T04:33:10.053800Z</t>
        </is>
      </c>
      <c r="AE374" s="31" t="inlineStr">
        <is>
          <t>Surface-blended Elo on Hard: Valentin Royer p=0.424 vs Dalibor Svrcina. Executable ask 0.4900 (aec-atp-dalsvr-valroy-2026-08-30).</t>
        </is>
      </c>
      <c r="AF374" s="31" t="inlineStr">
        <is>
          <t>Surface-blended Elo model; singles only, WTA+ATP market coverage, not yet locked-holdout qualified -- promoted by explicit operator directive, not genuine walk-forward validation.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Valentin Royer</t>
        </is>
      </c>
      <c r="AQ374" s="24" t="inlineStr">
        <is>
          <t>Valentin Royer</t>
        </is>
      </c>
      <c r="AR374" s="24" t="inlineStr">
        <is>
          <t>Valentin Royer</t>
        </is>
      </c>
      <c r="AS374" s="24" t="inlineStr">
        <is>
          <t>Dalibor Svrcina</t>
        </is>
      </c>
      <c r="AT374" s="24" t="inlineStr">
        <is>
          <t>Dalibor Svrcina</t>
        </is>
      </c>
      <c r="AU374" s="24" t="inlineStr">
        <is>
          <t>Dalibor Svrcina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a67bb04c83bafa75b17d3013fcd4c13f2ff17c27af73dd591a6770e000183022</t>
        </is>
      </c>
      <c r="BB374" s="24" t="inlineStr">
        <is>
          <t>surface_blended_elo</t>
        </is>
      </c>
      <c r="BC374" s="24" t="inlineStr">
        <is>
          <t>tennis-surface-elo-v1</t>
        </is>
      </c>
      <c r="BD374" s="24" t="inlineStr">
        <is>
          <t>a67bb04c83bafa75b17d3013fcd4c13f2ff17c27af73dd591a6770e000183022</t>
        </is>
      </c>
      <c r="BE374" s="24" t="inlineStr">
        <is>
          <t>tennis-surface-elo-v1</t>
        </is>
      </c>
      <c r="BF374" s="24" t="inlineStr">
        <is>
          <t>1</t>
        </is>
      </c>
      <c r="BG374" s="24" t="inlineStr">
        <is>
          <t>a67bb04c83bafa75b17d3013fcd4c13f2ff17c27af73dd591a6770e000183022</t>
        </is>
      </c>
      <c r="BH374" s="24" t="inlineStr">
        <is>
          <t>2026-08-31T16:02:39.899647Z</t>
        </is>
      </c>
      <c r="BI374" s="24" t="inlineStr">
        <is>
          <t>["same_event","same_team_same_day","same_league_same_day"]</t>
        </is>
      </c>
      <c r="BJ374" s="25" t="n"/>
      <c r="BK374" s="26" t="n">
        <v>104</v>
      </c>
      <c r="BL374" s="27" t="n">
        <v>2.04</v>
      </c>
      <c r="BM374" s="28" t="n">
        <v>0.490196</v>
      </c>
      <c r="BN374" s="28" t="n"/>
      <c r="BO374" s="28" t="n"/>
      <c r="BP374" s="25" t="n"/>
      <c r="BQ374" s="27" t="n">
        <v>2.04</v>
      </c>
      <c r="BR374" s="28" t="n">
        <v>0.49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inlineStr">
        <is>
          <t>7922df1e92ced7cf20dc0fabc201497cba3afd3baf8b20485186a1ad14e8e94e</t>
        </is>
      </c>
      <c r="DE374" s="24" t="inlineStr">
        <is>
          <t>/Users/vincentc9002/model-prediction/data/odds/tennis/2026-08-31/polymarket_snapshots.jsonl</t>
        </is>
      </c>
      <c r="DF374" s="24" t="inlineStr">
        <is>
          <t>550496:2026-08-31T16:02:39.899647Z</t>
        </is>
      </c>
      <c r="DG374" s="24" t="n"/>
      <c r="DH374" s="24" t="n"/>
      <c r="DI374" s="24" t="n"/>
      <c r="DJ374" s="24" t="inlineStr">
        <is>
          <t>0.490196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28250f146c2446e3</t>
        </is>
      </c>
      <c r="B375" s="24" t="inlineStr">
        <is>
          <t>2026-08-31T16:04:31.779137Z</t>
        </is>
      </c>
      <c r="C375" s="24" t="inlineStr">
        <is>
          <t>2026-08-31T18:15Z</t>
        </is>
      </c>
      <c r="D375" s="24" t="inlineStr">
        <is>
          <t>189-2026:182679</t>
        </is>
      </c>
      <c r="E375" s="24" t="inlineStr">
        <is>
          <t>TENNIS</t>
        </is>
      </c>
      <c r="F375" s="24" t="inlineStr">
        <is>
          <t>Hubert Hurkacz</t>
        </is>
      </c>
      <c r="G375" s="24" t="inlineStr">
        <is>
          <t>Damir Dzumhur</t>
        </is>
      </c>
      <c r="H375" s="24" t="inlineStr">
        <is>
          <t>moneyline</t>
        </is>
      </c>
      <c r="I375" s="24" t="inlineStr">
        <is>
          <t>away</t>
        </is>
      </c>
      <c r="J375" s="25" t="n"/>
      <c r="K375" s="24" t="inlineStr">
        <is>
          <t>polymarket_us</t>
        </is>
      </c>
      <c r="L375" s="26" t="n">
        <v>-1011</v>
      </c>
      <c r="M375" s="27" t="n">
        <v>1.098912</v>
      </c>
      <c r="N375" s="28" t="n">
        <v>0.909991</v>
      </c>
      <c r="O375" s="28" t="n">
        <v>0.6264</v>
      </c>
      <c r="P375" s="28" t="n">
        <v>0.05</v>
      </c>
      <c r="Q375" s="28" t="n">
        <v>-0.283591</v>
      </c>
      <c r="R375" s="26" t="n">
        <v>0</v>
      </c>
      <c r="S375" s="29" t="n">
        <v>1</v>
      </c>
      <c r="T375" s="24" t="inlineStr">
        <is>
          <t>tennis-surface-elo-v1</t>
        </is>
      </c>
      <c r="U375" s="24" t="inlineStr">
        <is>
          <t>settled</t>
        </is>
      </c>
      <c r="V375" s="24" t="inlineStr">
        <is>
          <t>win</t>
        </is>
      </c>
      <c r="W375" s="26" t="n">
        <v>1</v>
      </c>
      <c r="X375" s="26" t="n">
        <v>0</v>
      </c>
      <c r="Y375" s="25" t="n"/>
      <c r="Z375" s="26" t="n">
        <v>-1011</v>
      </c>
      <c r="AA375" s="28" t="n">
        <v>0.91</v>
      </c>
      <c r="AB375" s="28" t="n">
        <v>9e-06</v>
      </c>
      <c r="AC375" s="30" t="n">
        <v>0.0989</v>
      </c>
      <c r="AD375" s="24" t="inlineStr">
        <is>
          <t>2026-09-01T04:33:12.134903Z</t>
        </is>
      </c>
      <c r="AE375" s="31" t="inlineStr">
        <is>
          <t>Surface-blended Elo on Hard: Hubert Hurkacz p=0.626 vs Damir Dzumhur. Executable ask 0.9100 (aec-atp-damdzu-hubhur-2026-08-30).</t>
        </is>
      </c>
      <c r="AF375" s="31" t="inlineStr">
        <is>
          <t>Surface-blended Elo model; singles only, WTA+ATP market coverage, not yet locked-holdout qualified -- promoted by explicit operator directive, not genuine walk-forward validation.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Hubert Hurkacz</t>
        </is>
      </c>
      <c r="AQ375" s="24" t="inlineStr">
        <is>
          <t>Hubert Hurkacz</t>
        </is>
      </c>
      <c r="AR375" s="24" t="inlineStr">
        <is>
          <t>Hubert Hurkacz</t>
        </is>
      </c>
      <c r="AS375" s="24" t="inlineStr">
        <is>
          <t>Damir Dzumhur</t>
        </is>
      </c>
      <c r="AT375" s="24" t="inlineStr">
        <is>
          <t>Damir Dzumhur</t>
        </is>
      </c>
      <c r="AU375" s="24" t="inlineStr">
        <is>
          <t>Damir Dzumhur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a67bb04c83bafa75b17d3013fcd4c13f2ff17c27af73dd591a6770e000183022</t>
        </is>
      </c>
      <c r="BB375" s="24" t="inlineStr">
        <is>
          <t>surface_blended_elo</t>
        </is>
      </c>
      <c r="BC375" s="24" t="inlineStr">
        <is>
          <t>tennis-surface-elo-v1</t>
        </is>
      </c>
      <c r="BD375" s="24" t="inlineStr">
        <is>
          <t>a67bb04c83bafa75b17d3013fcd4c13f2ff17c27af73dd591a6770e000183022</t>
        </is>
      </c>
      <c r="BE375" s="24" t="inlineStr">
        <is>
          <t>tennis-surface-elo-v1</t>
        </is>
      </c>
      <c r="BF375" s="24" t="inlineStr">
        <is>
          <t>1</t>
        </is>
      </c>
      <c r="BG375" s="24" t="inlineStr">
        <is>
          <t>a67bb04c83bafa75b17d3013fcd4c13f2ff17c27af73dd591a6770e000183022</t>
        </is>
      </c>
      <c r="BH375" s="24" t="inlineStr">
        <is>
          <t>2026-08-31T16:02:39.723233Z</t>
        </is>
      </c>
      <c r="BI375" s="24" t="inlineStr">
        <is>
          <t>["same_event","same_team_same_day","same_league_same_day"]</t>
        </is>
      </c>
      <c r="BJ375" s="25" t="n"/>
      <c r="BK375" s="26" t="n">
        <v>-1011</v>
      </c>
      <c r="BL375" s="27" t="n">
        <v>1.098912</v>
      </c>
      <c r="BM375" s="28" t="n">
        <v>0.909991</v>
      </c>
      <c r="BN375" s="28" t="n"/>
      <c r="BO375" s="28" t="n"/>
      <c r="BP375" s="25" t="n"/>
      <c r="BQ375" s="27" t="n">
        <v>1.098912</v>
      </c>
      <c r="BR375" s="28" t="n">
        <v>0.91</v>
      </c>
      <c r="BS375" s="28" t="n"/>
      <c r="BT375" s="28" t="n"/>
      <c r="BU375" s="25" t="n"/>
      <c r="BV375" s="29" t="n"/>
      <c r="BW375" s="24" t="n"/>
      <c r="BX375" s="30" t="n">
        <v>1</v>
      </c>
      <c r="BY375" s="27" t="n">
        <v>0.098912</v>
      </c>
      <c r="BZ375" s="24" t="inlineStr">
        <is>
          <t>2026-09-01T04:33:12.134903Z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inlineStr">
        <is>
          <t>9a293ef1594b60df75b3d6087f215a753bda197b2b0200bd9c8b551e8f6e637c</t>
        </is>
      </c>
      <c r="DE375" s="24" t="inlineStr">
        <is>
          <t>/Users/vincentc9002/model-prediction/data/odds/tennis/2026-08-31/polymarket_snapshots.jsonl</t>
        </is>
      </c>
      <c r="DF375" s="24" t="inlineStr">
        <is>
          <t>547323:2026-08-31T16:02:39.723233Z</t>
        </is>
      </c>
      <c r="DG375" s="24" t="n"/>
      <c r="DH375" s="24" t="n"/>
      <c r="DI375" s="24" t="n"/>
      <c r="DJ375" s="24" t="inlineStr">
        <is>
          <t>0.909991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fccb0d7a3aae449c</t>
        </is>
      </c>
      <c r="B376" s="24" t="inlineStr">
        <is>
          <t>2026-08-31T16:04:31.779137Z</t>
        </is>
      </c>
      <c r="C376" s="24" t="inlineStr">
        <is>
          <t>2026-08-31T18:30Z</t>
        </is>
      </c>
      <c r="D376" s="24" t="inlineStr">
        <is>
          <t>189-2026:182718</t>
        </is>
      </c>
      <c r="E376" s="24" t="inlineStr">
        <is>
          <t>TENNIS</t>
        </is>
      </c>
      <c r="F376" s="24" t="inlineStr">
        <is>
          <t>Giovanni Mpetshi Perricard</t>
        </is>
      </c>
      <c r="G376" s="24" t="inlineStr">
        <is>
          <t>Jurij Rodionov</t>
        </is>
      </c>
      <c r="H376" s="24" t="inlineStr">
        <is>
          <t>moneyline</t>
        </is>
      </c>
      <c r="I376" s="24" t="inlineStr">
        <is>
          <t>home</t>
        </is>
      </c>
      <c r="J376" s="25" t="n"/>
      <c r="K376" s="24" t="inlineStr">
        <is>
          <t>polymarket_us</t>
        </is>
      </c>
      <c r="L376" s="26" t="n">
        <v>-113</v>
      </c>
      <c r="M376" s="27" t="n">
        <v>1.884956</v>
      </c>
      <c r="N376" s="28" t="n">
        <v>0.530516</v>
      </c>
      <c r="O376" s="28" t="n">
        <v>0.5453</v>
      </c>
      <c r="P376" s="28" t="n">
        <v>0.05</v>
      </c>
      <c r="Q376" s="28" t="n">
        <v>0.014784</v>
      </c>
      <c r="R376" s="26" t="n">
        <v>27</v>
      </c>
      <c r="S376" s="29" t="n">
        <v>1</v>
      </c>
      <c r="T376" s="24" t="inlineStr">
        <is>
          <t>tennis-surface-elo-v1</t>
        </is>
      </c>
      <c r="U376" s="24" t="inlineStr">
        <is>
          <t>settled</t>
        </is>
      </c>
      <c r="V376" s="24" t="inlineStr">
        <is>
          <t>win</t>
        </is>
      </c>
      <c r="W376" s="26" t="n">
        <v>0</v>
      </c>
      <c r="X376" s="26" t="n">
        <v>1</v>
      </c>
      <c r="Y376" s="25" t="n"/>
      <c r="Z376" s="26" t="n">
        <v>-113</v>
      </c>
      <c r="AA376" s="28" t="n">
        <v>0.53</v>
      </c>
      <c r="AB376" s="28" t="n">
        <v>-0.000516</v>
      </c>
      <c r="AC376" s="30" t="n">
        <v>0.885</v>
      </c>
      <c r="AD376" s="24" t="inlineStr">
        <is>
          <t>2026-09-01T04:33:14.053904Z</t>
        </is>
      </c>
      <c r="AE376" s="31" t="inlineStr">
        <is>
          <t>Surface-blended Elo on Hard: Giovanni Mpetshi Perricard p=0.455 vs Jurij Rodionov. Executable ask 0.5300 (aec-atp-jurrod-gioper-2026-08-30).</t>
        </is>
      </c>
      <c r="AF376" s="31" t="inlineStr">
        <is>
          <t>Surface-blended Elo model; singles only, WTA+ATP market coverage, not yet locked-holdout qualified -- promoted by explicit operator directive, not genuine walk-forward validation.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Giovanni Mpetshi Perricard</t>
        </is>
      </c>
      <c r="AQ376" s="24" t="inlineStr">
        <is>
          <t>Giovanni Mpetshi Perricard</t>
        </is>
      </c>
      <c r="AR376" s="24" t="inlineStr">
        <is>
          <t>Giovanni Mpetshi Perricard</t>
        </is>
      </c>
      <c r="AS376" s="24" t="inlineStr">
        <is>
          <t>Jurij Rodionov</t>
        </is>
      </c>
      <c r="AT376" s="24" t="inlineStr">
        <is>
          <t>Jurij Rodionov</t>
        </is>
      </c>
      <c r="AU376" s="24" t="inlineStr">
        <is>
          <t>Jurij Rodionov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a67bb04c83bafa75b17d3013fcd4c13f2ff17c27af73dd591a6770e000183022</t>
        </is>
      </c>
      <c r="BB376" s="24" t="inlineStr">
        <is>
          <t>surface_blended_elo</t>
        </is>
      </c>
      <c r="BC376" s="24" t="inlineStr">
        <is>
          <t>tennis-surface-elo-v1</t>
        </is>
      </c>
      <c r="BD376" s="24" t="inlineStr">
        <is>
          <t>a67bb04c83bafa75b17d3013fcd4c13f2ff17c27af73dd591a6770e000183022</t>
        </is>
      </c>
      <c r="BE376" s="24" t="inlineStr">
        <is>
          <t>tennis-surface-elo-v1</t>
        </is>
      </c>
      <c r="BF376" s="24" t="inlineStr">
        <is>
          <t>1</t>
        </is>
      </c>
      <c r="BG376" s="24" t="inlineStr">
        <is>
          <t>a67bb04c83bafa75b17d3013fcd4c13f2ff17c27af73dd591a6770e000183022</t>
        </is>
      </c>
      <c r="BH376" s="24" t="inlineStr">
        <is>
          <t>2026-08-31T16:02:39.577239Z</t>
        </is>
      </c>
      <c r="BI376" s="24" t="inlineStr">
        <is>
          <t>["same_event","same_team_same_day","same_league_same_day"]</t>
        </is>
      </c>
      <c r="BJ376" s="25" t="n"/>
      <c r="BK376" s="26" t="n">
        <v>-113</v>
      </c>
      <c r="BL376" s="27" t="n">
        <v>1.884956</v>
      </c>
      <c r="BM376" s="28" t="n">
        <v>0.530516</v>
      </c>
      <c r="BN376" s="28" t="n"/>
      <c r="BO376" s="28" t="n"/>
      <c r="BP376" s="25" t="n"/>
      <c r="BQ376" s="27" t="n">
        <v>1.884956</v>
      </c>
      <c r="BR376" s="28" t="n">
        <v>0.53</v>
      </c>
      <c r="BS376" s="28" t="n"/>
      <c r="BT376" s="28" t="n"/>
      <c r="BU376" s="25" t="n"/>
      <c r="BV376" s="29" t="n"/>
      <c r="BW376" s="24" t="n"/>
      <c r="BX376" s="30" t="n">
        <v>1</v>
      </c>
      <c r="BY376" s="27" t="n">
        <v>0.884957</v>
      </c>
      <c r="BZ376" s="24" t="inlineStr">
        <is>
          <t>2026-09-01T04:33:14.053904Z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inlineStr">
        <is>
          <t>d89bf94ff2cd6d389c446f85c8a2510b4fb27b04e50779e0aae1d22324b19ee4</t>
        </is>
      </c>
      <c r="DE376" s="24" t="inlineStr">
        <is>
          <t>/Users/vincentc9002/model-prediction/data/odds/tennis/2026-08-31/polymarket_snapshots.jsonl</t>
        </is>
      </c>
      <c r="DF376" s="24" t="inlineStr">
        <is>
          <t>550633:2026-08-31T16:02:39.577239Z</t>
        </is>
      </c>
      <c r="DG376" s="24" t="n"/>
      <c r="DH376" s="24" t="n"/>
      <c r="DI376" s="24" t="n"/>
      <c r="DJ376" s="24" t="inlineStr">
        <is>
          <t>0.530516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73d36e632e3c4034</t>
        </is>
      </c>
      <c r="B377" s="24" t="inlineStr">
        <is>
          <t>2026-08-31T16:04:31.779137Z</t>
        </is>
      </c>
      <c r="C377" s="24" t="inlineStr">
        <is>
          <t>2026-08-31T18:30Z</t>
        </is>
      </c>
      <c r="D377" s="24" t="inlineStr">
        <is>
          <t>189-2026:182767</t>
        </is>
      </c>
      <c r="E377" s="24" t="inlineStr">
        <is>
          <t>TENNIS</t>
        </is>
      </c>
      <c r="F377" s="24" t="inlineStr">
        <is>
          <t>Sebastian Baez</t>
        </is>
      </c>
      <c r="G377" s="24" t="inlineStr">
        <is>
          <t>Brandon Nakashima</t>
        </is>
      </c>
      <c r="H377" s="24" t="inlineStr">
        <is>
          <t>moneyline</t>
        </is>
      </c>
      <c r="I377" s="24" t="inlineStr">
        <is>
          <t>home</t>
        </is>
      </c>
      <c r="J377" s="25" t="n"/>
      <c r="K377" s="24" t="inlineStr">
        <is>
          <t>polymarket_us</t>
        </is>
      </c>
      <c r="L377" s="26" t="n">
        <v>-669</v>
      </c>
      <c r="M377" s="27" t="n">
        <v>1.149477</v>
      </c>
      <c r="N377" s="28" t="n">
        <v>0.869961</v>
      </c>
      <c r="O377" s="28" t="n">
        <v>0.7323</v>
      </c>
      <c r="P377" s="28" t="n">
        <v>0.05</v>
      </c>
      <c r="Q377" s="28" t="n">
        <v>-0.137661</v>
      </c>
      <c r="R377" s="26" t="n">
        <v>0</v>
      </c>
      <c r="S377" s="29" t="n">
        <v>1</v>
      </c>
      <c r="T377" s="24" t="inlineStr">
        <is>
          <t>tennis-surface-elo-v1</t>
        </is>
      </c>
      <c r="U377" s="24" t="inlineStr">
        <is>
          <t>settled</t>
        </is>
      </c>
      <c r="V377" s="24" t="inlineStr">
        <is>
          <t>win</t>
        </is>
      </c>
      <c r="W377" s="26" t="n">
        <v>0</v>
      </c>
      <c r="X377" s="26" t="n">
        <v>1</v>
      </c>
      <c r="Y377" s="25" t="n"/>
      <c r="Z377" s="26" t="n">
        <v>-669</v>
      </c>
      <c r="AA377" s="28" t="n">
        <v>0.87</v>
      </c>
      <c r="AB377" s="28" t="n">
        <v>3.9e-05</v>
      </c>
      <c r="AC377" s="30" t="n">
        <v>0.1495</v>
      </c>
      <c r="AD377" s="24" t="inlineStr">
        <is>
          <t>2026-09-01T04:33:16.028889Z</t>
        </is>
      </c>
      <c r="AE377" s="31" t="inlineStr">
        <is>
          <t>Surface-blended Elo on Hard: Sebastian Baez p=0.268 vs Brandon Nakashima. Executable ask 0.8700 (aec-atp-branak-sebbae-2026-08-30).</t>
        </is>
      </c>
      <c r="AF377" s="31" t="inlineStr">
        <is>
          <t>Surface-blended Elo model; singles only, WTA+ATP market coverage, not yet locked-holdout qualified -- promoted by explicit operator directive, not genuine walk-forward validation.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Sebastian Baez</t>
        </is>
      </c>
      <c r="AQ377" s="24" t="inlineStr">
        <is>
          <t>Sebastian Baez</t>
        </is>
      </c>
      <c r="AR377" s="24" t="inlineStr">
        <is>
          <t>Sebastian Baez</t>
        </is>
      </c>
      <c r="AS377" s="24" t="inlineStr">
        <is>
          <t>Brandon Nakashima</t>
        </is>
      </c>
      <c r="AT377" s="24" t="inlineStr">
        <is>
          <t>Brandon Nakashima</t>
        </is>
      </c>
      <c r="AU377" s="24" t="inlineStr">
        <is>
          <t>Brandon Nakashima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a67bb04c83bafa75b17d3013fcd4c13f2ff17c27af73dd591a6770e000183022</t>
        </is>
      </c>
      <c r="BB377" s="24" t="inlineStr">
        <is>
          <t>surface_blended_elo</t>
        </is>
      </c>
      <c r="BC377" s="24" t="inlineStr">
        <is>
          <t>tennis-surface-elo-v1</t>
        </is>
      </c>
      <c r="BD377" s="24" t="inlineStr">
        <is>
          <t>a67bb04c83bafa75b17d3013fcd4c13f2ff17c27af73dd591a6770e000183022</t>
        </is>
      </c>
      <c r="BE377" s="24" t="inlineStr">
        <is>
          <t>tennis-surface-elo-v1</t>
        </is>
      </c>
      <c r="BF377" s="24" t="inlineStr">
        <is>
          <t>1</t>
        </is>
      </c>
      <c r="BG377" s="24" t="inlineStr">
        <is>
          <t>a67bb04c83bafa75b17d3013fcd4c13f2ff17c27af73dd591a6770e000183022</t>
        </is>
      </c>
      <c r="BH377" s="24" t="inlineStr">
        <is>
          <t>2026-08-31T16:02:39.603849Z</t>
        </is>
      </c>
      <c r="BI377" s="24" t="inlineStr">
        <is>
          <t>["same_event","same_team_same_day","same_league_same_day"]</t>
        </is>
      </c>
      <c r="BJ377" s="25" t="n"/>
      <c r="BK377" s="26" t="n">
        <v>-669</v>
      </c>
      <c r="BL377" s="27" t="n">
        <v>1.149477</v>
      </c>
      <c r="BM377" s="28" t="n">
        <v>0.869961</v>
      </c>
      <c r="BN377" s="28" t="n"/>
      <c r="BO377" s="28" t="n"/>
      <c r="BP377" s="25" t="n"/>
      <c r="BQ377" s="27" t="n">
        <v>1.149477</v>
      </c>
      <c r="BR377" s="28" t="n">
        <v>0.87</v>
      </c>
      <c r="BS377" s="28" t="n"/>
      <c r="BT377" s="28" t="n"/>
      <c r="BU377" s="25" t="n"/>
      <c r="BV377" s="29" t="n"/>
      <c r="BW377" s="24" t="n"/>
      <c r="BX377" s="30" t="n">
        <v>1</v>
      </c>
      <c r="BY377" s="27" t="n">
        <v>0.149477</v>
      </c>
      <c r="BZ377" s="24" t="inlineStr">
        <is>
          <t>2026-09-01T04:33:16.028889Z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inlineStr">
        <is>
          <t>c0b6fc98526d762a5f6b7a3ca237752a91a0454675de6f251cd6d309e4deaaec</t>
        </is>
      </c>
      <c r="DE377" s="24" t="inlineStr">
        <is>
          <t>/Users/vincentc9002/model-prediction/data/odds/tennis/2026-08-31/polymarket_snapshots.jsonl</t>
        </is>
      </c>
      <c r="DF377" s="24" t="inlineStr">
        <is>
          <t>547307:2026-08-31T16:02:39.603849Z</t>
        </is>
      </c>
      <c r="DG377" s="24" t="n"/>
      <c r="DH377" s="24" t="n"/>
      <c r="DI377" s="24" t="n"/>
      <c r="DJ377" s="24" t="inlineStr">
        <is>
          <t>0.869961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5bf5b50853dc4aeb</t>
        </is>
      </c>
      <c r="B378" s="24" t="inlineStr">
        <is>
          <t>2026-08-31T16:04:31.779137Z</t>
        </is>
      </c>
      <c r="C378" s="24" t="inlineStr">
        <is>
          <t>2026-08-31T19:30Z</t>
        </is>
      </c>
      <c r="D378" s="24" t="inlineStr">
        <is>
          <t>189-2026:182668</t>
        </is>
      </c>
      <c r="E378" s="24" t="inlineStr">
        <is>
          <t>TENNIS</t>
        </is>
      </c>
      <c r="F378" s="24" t="inlineStr">
        <is>
          <t>Alexei Popyrin</t>
        </is>
      </c>
      <c r="G378" s="24" t="inlineStr">
        <is>
          <t>Grigor Dimitrov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polymarket_us</t>
        </is>
      </c>
      <c r="L378" s="26" t="n">
        <v>-194</v>
      </c>
      <c r="M378" s="27" t="n">
        <v>1.515464</v>
      </c>
      <c r="N378" s="28" t="n">
        <v>0.659864</v>
      </c>
      <c r="O378" s="28" t="n">
        <v>0.6088</v>
      </c>
      <c r="P378" s="28" t="n">
        <v>0.05</v>
      </c>
      <c r="Q378" s="28" t="n">
        <v>-0.051064</v>
      </c>
      <c r="R378" s="26" t="n">
        <v>0</v>
      </c>
      <c r="S378" s="29" t="n">
        <v>1</v>
      </c>
      <c r="T378" s="24" t="inlineStr">
        <is>
          <t>tennis-surface-elo-v1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</v>
      </c>
      <c r="X378" s="26" t="n">
        <v>0</v>
      </c>
      <c r="Y378" s="25" t="n"/>
      <c r="Z378" s="26" t="n">
        <v>-194</v>
      </c>
      <c r="AA378" s="28" t="n">
        <v>0.66</v>
      </c>
      <c r="AB378" s="28" t="n">
        <v>0.000136</v>
      </c>
      <c r="AC378" s="30" t="n">
        <v>-1</v>
      </c>
      <c r="AD378" s="24" t="inlineStr">
        <is>
          <t>2026-09-01T04:33:17.928021Z</t>
        </is>
      </c>
      <c r="AE378" s="31" t="inlineStr">
        <is>
          <t>Surface-blended Elo on Hard: Alexei Popyrin p=0.391 vs Grigor Dimitrov. Executable ask 0.6600 (aec-atp-gridim-alepop-2026-08-30).</t>
        </is>
      </c>
      <c r="AF378" s="31" t="inlineStr">
        <is>
          <t>Surface-blended Elo model; singles only, WTA+ATP market coverage, not yet locked-holdout qualified -- promoted by explicit operator directive, not genuine walk-forward validation.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PAPER_CALL_LOW_EDGE</t>
        </is>
      </c>
      <c r="AP378" s="24" t="inlineStr">
        <is>
          <t>Alexei Popyrin</t>
        </is>
      </c>
      <c r="AQ378" s="24" t="inlineStr">
        <is>
          <t>Alexei Popyrin</t>
        </is>
      </c>
      <c r="AR378" s="24" t="inlineStr">
        <is>
          <t>Alexei Popyrin</t>
        </is>
      </c>
      <c r="AS378" s="24" t="inlineStr">
        <is>
          <t>Grigor Dimitrov</t>
        </is>
      </c>
      <c r="AT378" s="24" t="inlineStr">
        <is>
          <t>Grigor Dimitrov</t>
        </is>
      </c>
      <c r="AU378" s="24" t="inlineStr">
        <is>
          <t>Grigor Dimitrov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a67bb04c83bafa75b17d3013fcd4c13f2ff17c27af73dd591a6770e000183022</t>
        </is>
      </c>
      <c r="BB378" s="24" t="inlineStr">
        <is>
          <t>surface_blended_elo</t>
        </is>
      </c>
      <c r="BC378" s="24" t="inlineStr">
        <is>
          <t>tennis-surface-elo-v1</t>
        </is>
      </c>
      <c r="BD378" s="24" t="inlineStr">
        <is>
          <t>a67bb04c83bafa75b17d3013fcd4c13f2ff17c27af73dd591a6770e000183022</t>
        </is>
      </c>
      <c r="BE378" s="24" t="inlineStr">
        <is>
          <t>tennis-surface-elo-v1</t>
        </is>
      </c>
      <c r="BF378" s="24" t="inlineStr">
        <is>
          <t>1</t>
        </is>
      </c>
      <c r="BG378" s="24" t="inlineStr">
        <is>
          <t>a67bb04c83bafa75b17d3013fcd4c13f2ff17c27af73dd591a6770e000183022</t>
        </is>
      </c>
      <c r="BH378" s="24" t="inlineStr">
        <is>
          <t>2026-08-31T16:02:40.821304Z</t>
        </is>
      </c>
      <c r="BI378" s="24" t="inlineStr">
        <is>
          <t>["same_event","same_team_same_day","same_league_same_day"]</t>
        </is>
      </c>
      <c r="BJ378" s="25" t="n"/>
      <c r="BK378" s="26" t="n">
        <v>-194</v>
      </c>
      <c r="BL378" s="27" t="n">
        <v>1.515464</v>
      </c>
      <c r="BM378" s="28" t="n">
        <v>0.659864</v>
      </c>
      <c r="BN378" s="28" t="n"/>
      <c r="BO378" s="28" t="n"/>
      <c r="BP378" s="25" t="n"/>
      <c r="BQ378" s="27" t="n">
        <v>1.515464</v>
      </c>
      <c r="BR378" s="28" t="n">
        <v>0.66</v>
      </c>
      <c r="BS378" s="28" t="n"/>
      <c r="BT378" s="28" t="n"/>
      <c r="BU378" s="25" t="n"/>
      <c r="BV378" s="29" t="n"/>
      <c r="BW378" s="24" t="n"/>
      <c r="BX378" s="30" t="n">
        <v>1</v>
      </c>
      <c r="BY378" s="27" t="n">
        <v>-1</v>
      </c>
      <c r="BZ378" s="24" t="inlineStr">
        <is>
          <t>2026-09-01T04:33:17.928021Z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inlineStr">
        <is>
          <t>887f987abd3be5eb72fb8cdab0a8ead4b2612045a32aabbf0cef1af321431ad0</t>
        </is>
      </c>
      <c r="DE378" s="24" t="inlineStr">
        <is>
          <t>/Users/vincentc9002/model-prediction/data/odds/tennis/2026-08-31/polymarket_snapshots.jsonl</t>
        </is>
      </c>
      <c r="DF378" s="24" t="inlineStr">
        <is>
          <t>550494:2026-08-31T16:02:40.821304Z</t>
        </is>
      </c>
      <c r="DG378" s="24" t="n"/>
      <c r="DH378" s="24" t="n"/>
      <c r="DI378" s="24" t="n"/>
      <c r="DJ378" s="24" t="inlineStr">
        <is>
          <t>0.659864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950419231a214d78</t>
        </is>
      </c>
      <c r="B379" s="24" t="inlineStr">
        <is>
          <t>2026-08-31T16:04:31.779137Z</t>
        </is>
      </c>
      <c r="C379" s="24" t="inlineStr">
        <is>
          <t>2026-08-31T19:30Z</t>
        </is>
      </c>
      <c r="D379" s="24" t="inlineStr">
        <is>
          <t>189-2026:182674</t>
        </is>
      </c>
      <c r="E379" s="24" t="inlineStr">
        <is>
          <t>TENNIS</t>
        </is>
      </c>
      <c r="F379" s="24" t="inlineStr">
        <is>
          <t>Stan Wawrinka</t>
        </is>
      </c>
      <c r="G379" s="24" t="inlineStr">
        <is>
          <t>Matteo Berrettini</t>
        </is>
      </c>
      <c r="H379" s="24" t="inlineStr">
        <is>
          <t>moneyline</t>
        </is>
      </c>
      <c r="I379" s="24" t="inlineStr">
        <is>
          <t>home</t>
        </is>
      </c>
      <c r="J379" s="25" t="n"/>
      <c r="K379" s="24" t="inlineStr">
        <is>
          <t>polymarket_us</t>
        </is>
      </c>
      <c r="L379" s="26" t="n">
        <v>-376</v>
      </c>
      <c r="M379" s="27" t="n">
        <v>1.265957</v>
      </c>
      <c r="N379" s="28" t="n">
        <v>0.789916</v>
      </c>
      <c r="O379" s="28" t="n">
        <v>0.6465</v>
      </c>
      <c r="P379" s="28" t="n">
        <v>0.05</v>
      </c>
      <c r="Q379" s="28" t="n">
        <v>-0.143416</v>
      </c>
      <c r="R379" s="26" t="n">
        <v>0</v>
      </c>
      <c r="S379" s="29" t="n">
        <v>1</v>
      </c>
      <c r="T379" s="24" t="inlineStr">
        <is>
          <t>tennis-surface-elo-v1</t>
        </is>
      </c>
      <c r="U379" s="24" t="inlineStr">
        <is>
          <t>settled</t>
        </is>
      </c>
      <c r="V379" s="24" t="inlineStr">
        <is>
          <t>win</t>
        </is>
      </c>
      <c r="W379" s="26" t="n">
        <v>0</v>
      </c>
      <c r="X379" s="26" t="n">
        <v>1</v>
      </c>
      <c r="Y379" s="25" t="n"/>
      <c r="Z379" s="26" t="n">
        <v>-376</v>
      </c>
      <c r="AA379" s="28" t="n">
        <v>0.79</v>
      </c>
      <c r="AB379" s="28" t="n">
        <v>8.4e-05</v>
      </c>
      <c r="AC379" s="30" t="n">
        <v>0.266</v>
      </c>
      <c r="AD379" s="24" t="inlineStr">
        <is>
          <t>2026-09-01T04:33:19.914434Z</t>
        </is>
      </c>
      <c r="AE379" s="31" t="inlineStr">
        <is>
          <t>Surface-blended Elo on Hard: Stan Wawrinka p=0.354 vs Matteo Berrettini. Executable ask 0.7900 (aec-atp-matber-stawaw-2026-08-30).</t>
        </is>
      </c>
      <c r="AF379" s="31" t="inlineStr">
        <is>
          <t>Surface-blended Elo model; singles only, WTA+ATP market coverage, not yet locked-holdout qualified -- promoted by explicit operator directive, not genuine walk-forward validation.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Stan Wawrinka</t>
        </is>
      </c>
      <c r="AQ379" s="24" t="inlineStr">
        <is>
          <t>Stan Wawrinka</t>
        </is>
      </c>
      <c r="AR379" s="24" t="inlineStr">
        <is>
          <t>Stan Wawrinka</t>
        </is>
      </c>
      <c r="AS379" s="24" t="inlineStr">
        <is>
          <t>Matteo Berrettini</t>
        </is>
      </c>
      <c r="AT379" s="24" t="inlineStr">
        <is>
          <t>Matteo Berrettini</t>
        </is>
      </c>
      <c r="AU379" s="24" t="inlineStr">
        <is>
          <t>Matteo Berrettini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a67bb04c83bafa75b17d3013fcd4c13f2ff17c27af73dd591a6770e000183022</t>
        </is>
      </c>
      <c r="BB379" s="24" t="inlineStr">
        <is>
          <t>surface_blended_elo</t>
        </is>
      </c>
      <c r="BC379" s="24" t="inlineStr">
        <is>
          <t>tennis-surface-elo-v1</t>
        </is>
      </c>
      <c r="BD379" s="24" t="inlineStr">
        <is>
          <t>a67bb04c83bafa75b17d3013fcd4c13f2ff17c27af73dd591a6770e000183022</t>
        </is>
      </c>
      <c r="BE379" s="24" t="inlineStr">
        <is>
          <t>tennis-surface-elo-v1</t>
        </is>
      </c>
      <c r="BF379" s="24" t="inlineStr">
        <is>
          <t>1</t>
        </is>
      </c>
      <c r="BG379" s="24" t="inlineStr">
        <is>
          <t>a67bb04c83bafa75b17d3013fcd4c13f2ff17c27af73dd591a6770e000183022</t>
        </is>
      </c>
      <c r="BH379" s="24" t="inlineStr">
        <is>
          <t>2026-08-31T16:02:39.972579Z</t>
        </is>
      </c>
      <c r="BI379" s="24" t="inlineStr">
        <is>
          <t>["same_event","same_team_same_day","same_league_same_day"]</t>
        </is>
      </c>
      <c r="BJ379" s="25" t="n"/>
      <c r="BK379" s="26" t="n">
        <v>-376</v>
      </c>
      <c r="BL379" s="27" t="n">
        <v>1.265957</v>
      </c>
      <c r="BM379" s="28" t="n">
        <v>0.789916</v>
      </c>
      <c r="BN379" s="28" t="n"/>
      <c r="BO379" s="28" t="n"/>
      <c r="BP379" s="25" t="n"/>
      <c r="BQ379" s="27" t="n">
        <v>1.265957</v>
      </c>
      <c r="BR379" s="28" t="n">
        <v>0.79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0.265957</v>
      </c>
      <c r="BZ379" s="24" t="inlineStr">
        <is>
          <t>2026-09-01T04:33:19.914434Z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inlineStr">
        <is>
          <t>420af10d5d8fdeb6eb6312cd204c042aac8d510a6d3ffa4e2ea6040344ccff71</t>
        </is>
      </c>
      <c r="DE379" s="24" t="inlineStr">
        <is>
          <t>/Users/vincentc9002/model-prediction/data/odds/tennis/2026-08-31/polymarket_snapshots.jsonl</t>
        </is>
      </c>
      <c r="DF379" s="24" t="inlineStr">
        <is>
          <t>547316:2026-08-31T16:02:39.972579Z</t>
        </is>
      </c>
      <c r="DG379" s="24" t="n"/>
      <c r="DH379" s="24" t="n"/>
      <c r="DI379" s="24" t="n"/>
      <c r="DJ379" s="24" t="inlineStr">
        <is>
          <t>0.789916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27bdba55c0384aa7</t>
        </is>
      </c>
      <c r="B380" s="24" t="inlineStr">
        <is>
          <t>2026-08-31T16:04:31.779137Z</t>
        </is>
      </c>
      <c r="C380" s="24" t="inlineStr">
        <is>
          <t>2026-08-31T19:30Z</t>
        </is>
      </c>
      <c r="D380" s="24" t="inlineStr">
        <is>
          <t>189-2026:182754</t>
        </is>
      </c>
      <c r="E380" s="24" t="inlineStr">
        <is>
          <t>TENNIS</t>
        </is>
      </c>
      <c r="F380" s="24" t="inlineStr">
        <is>
          <t>Marco Trungelliti</t>
        </is>
      </c>
      <c r="G380" s="24" t="inlineStr">
        <is>
          <t>Shang Juncheng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-194</v>
      </c>
      <c r="M380" s="27" t="n">
        <v>1.515464</v>
      </c>
      <c r="N380" s="28" t="n">
        <v>0.659864</v>
      </c>
      <c r="O380" s="28" t="n">
        <v>0.5033</v>
      </c>
      <c r="P380" s="28" t="n">
        <v>0.05</v>
      </c>
      <c r="Q380" s="28" t="n">
        <v>-0.156564</v>
      </c>
      <c r="R380" s="26" t="n">
        <v>0</v>
      </c>
      <c r="S380" s="29" t="n">
        <v>1</v>
      </c>
      <c r="T380" s="24" t="inlineStr">
        <is>
          <t>tennis-surface-elo-v1</t>
        </is>
      </c>
      <c r="U380" s="24" t="inlineStr">
        <is>
          <t>settled</t>
        </is>
      </c>
      <c r="V380" s="24" t="inlineStr">
        <is>
          <t>loss</t>
        </is>
      </c>
      <c r="W380" s="26" t="n">
        <v>1</v>
      </c>
      <c r="X380" s="26" t="n">
        <v>0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2026-09-01T04:33:21.814202Z</t>
        </is>
      </c>
      <c r="AE380" s="31" t="inlineStr">
        <is>
          <t>Surface-blended Elo on Hard: Marco Trungelliti p=0.497 vs Shang Juncheng. Executable ask 0.6600 (aec-atp-junsha-martru-2026-08-30).</t>
        </is>
      </c>
      <c r="AF380" s="31" t="inlineStr">
        <is>
          <t>Surface-blended Elo model; singles only, WTA+ATP market coverage, not yet locked-holdout qualified -- promoted by explicit operator directive, not genuine walk-forward validation.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Marco Trungelliti</t>
        </is>
      </c>
      <c r="AQ380" s="24" t="inlineStr">
        <is>
          <t>Marco Trungelliti</t>
        </is>
      </c>
      <c r="AR380" s="24" t="inlineStr">
        <is>
          <t>Marco Trungelliti</t>
        </is>
      </c>
      <c r="AS380" s="24" t="inlineStr">
        <is>
          <t>Shang Juncheng</t>
        </is>
      </c>
      <c r="AT380" s="24" t="inlineStr">
        <is>
          <t>Shang Juncheng</t>
        </is>
      </c>
      <c r="AU380" s="24" t="inlineStr">
        <is>
          <t>Shang Juncheng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a67bb04c83bafa75b17d3013fcd4c13f2ff17c27af73dd591a6770e000183022</t>
        </is>
      </c>
      <c r="BB380" s="24" t="inlineStr">
        <is>
          <t>surface_blended_elo</t>
        </is>
      </c>
      <c r="BC380" s="24" t="inlineStr">
        <is>
          <t>tennis-surface-elo-v1</t>
        </is>
      </c>
      <c r="BD380" s="24" t="inlineStr">
        <is>
          <t>a67bb04c83bafa75b17d3013fcd4c13f2ff17c27af73dd591a6770e000183022</t>
        </is>
      </c>
      <c r="BE380" s="24" t="inlineStr">
        <is>
          <t>tennis-surface-elo-v1</t>
        </is>
      </c>
      <c r="BF380" s="24" t="inlineStr">
        <is>
          <t>1</t>
        </is>
      </c>
      <c r="BG380" s="24" t="inlineStr">
        <is>
          <t>a67bb04c83bafa75b17d3013fcd4c13f2ff17c27af73dd591a6770e000183022</t>
        </is>
      </c>
      <c r="BH380" s="24" t="inlineStr">
        <is>
          <t>2026-08-31T16:02:40.071668Z</t>
        </is>
      </c>
      <c r="BI380" s="24" t="inlineStr">
        <is>
          <t>["same_event","same_team_same_day","same_league_same_day"]</t>
        </is>
      </c>
      <c r="BJ380" s="25" t="n"/>
      <c r="BK380" s="26" t="n">
        <v>-194</v>
      </c>
      <c r="BL380" s="27" t="n">
        <v>1.515464</v>
      </c>
      <c r="BM380" s="28" t="n">
        <v>0.659864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2026-09-01T04:33:21.814202Z</t>
        </is>
      </c>
      <c r="CA380" s="31" t="inlineStr">
        <is>
          <t>fixed one-unit hypothetical scoring; no real exposure or execution</t>
        </is>
      </c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False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inlineStr">
        <is>
          <t>aa91bb7185d629728e51b7d4508a09d844d603ae275dfeba871b3ad728a84b5a</t>
        </is>
      </c>
      <c r="DE380" s="24" t="inlineStr">
        <is>
          <t>/Users/vincentc9002/model-prediction/data/odds/tennis/2026-08-31/polymarket_snapshots.jsonl</t>
        </is>
      </c>
      <c r="DF380" s="24" t="inlineStr">
        <is>
          <t>547291:2026-08-31T16:02:40.071668Z</t>
        </is>
      </c>
      <c r="DG380" s="24" t="n"/>
      <c r="DH380" s="24" t="n"/>
      <c r="DI380" s="24" t="n"/>
      <c r="DJ380" s="24" t="inlineStr">
        <is>
          <t>0.659864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6928e8c520bd450d</t>
        </is>
      </c>
      <c r="B381" s="24" t="inlineStr">
        <is>
          <t>2026-08-31T16:04:31.779137Z</t>
        </is>
      </c>
      <c r="C381" s="24" t="inlineStr">
        <is>
          <t>2026-08-31T20:00Z</t>
        </is>
      </c>
      <c r="D381" s="24" t="inlineStr">
        <is>
          <t>189-2026:182739</t>
        </is>
      </c>
      <c r="E381" s="24" t="inlineStr">
        <is>
          <t>TENNIS</t>
        </is>
      </c>
      <c r="F381" s="24" t="inlineStr">
        <is>
          <t>Karen Khachanov</t>
        </is>
      </c>
      <c r="G381" s="24" t="inlineStr">
        <is>
          <t>Roman Andres Burruchaga</t>
        </is>
      </c>
      <c r="H381" s="24" t="inlineStr">
        <is>
          <t>moneyline</t>
        </is>
      </c>
      <c r="I381" s="24" t="inlineStr">
        <is>
          <t>away</t>
        </is>
      </c>
      <c r="J381" s="25" t="n"/>
      <c r="K381" s="24" t="inlineStr">
        <is>
          <t>polymarket_us</t>
        </is>
      </c>
      <c r="L381" s="26" t="n">
        <v>-355</v>
      </c>
      <c r="M381" s="27" t="n">
        <v>1.28169</v>
      </c>
      <c r="N381" s="28" t="n">
        <v>0.78022</v>
      </c>
      <c r="O381" s="28" t="n">
        <v>0.5844</v>
      </c>
      <c r="P381" s="28" t="n">
        <v>0.05</v>
      </c>
      <c r="Q381" s="28" t="n">
        <v>-0.19582</v>
      </c>
      <c r="R381" s="26" t="n">
        <v>0</v>
      </c>
      <c r="S381" s="29" t="n">
        <v>1</v>
      </c>
      <c r="T381" s="24" t="inlineStr">
        <is>
          <t>tennis-surface-elo-v1</t>
        </is>
      </c>
      <c r="U381" s="24" t="inlineStr">
        <is>
          <t>settled</t>
        </is>
      </c>
      <c r="V381" s="24" t="inlineStr">
        <is>
          <t>win</t>
        </is>
      </c>
      <c r="W381" s="26" t="n">
        <v>1</v>
      </c>
      <c r="X381" s="26" t="n">
        <v>0</v>
      </c>
      <c r="Y381" s="25" t="n"/>
      <c r="Z381" s="26" t="n">
        <v>-355</v>
      </c>
      <c r="AA381" s="28" t="n">
        <v>0.78</v>
      </c>
      <c r="AB381" s="28" t="n">
        <v>-0.00022</v>
      </c>
      <c r="AC381" s="30" t="n">
        <v>0.2817</v>
      </c>
      <c r="AD381" s="24" t="inlineStr">
        <is>
          <t>2026-09-01T04:33:23.739026Z</t>
        </is>
      </c>
      <c r="AE381" s="31" t="inlineStr">
        <is>
          <t>Surface-blended Elo on Hard: Karen Khachanov p=0.584 vs Roman Andres Burruchaga. Executable ask 0.7800 (aec-atp-rombur-karkha-2026-08-30).</t>
        </is>
      </c>
      <c r="AF381" s="31" t="inlineStr">
        <is>
          <t>Surface-blended Elo model; singles only, WTA+ATP market coverage, not yet locked-holdout qualified -- promoted by explicit operator directive, not genuine walk-forward validation.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Karen Khachanov</t>
        </is>
      </c>
      <c r="AQ381" s="24" t="inlineStr">
        <is>
          <t>Karen Khachanov</t>
        </is>
      </c>
      <c r="AR381" s="24" t="inlineStr">
        <is>
          <t>Karen Khachanov</t>
        </is>
      </c>
      <c r="AS381" s="24" t="inlineStr">
        <is>
          <t>Roman Andres Burruchaga</t>
        </is>
      </c>
      <c r="AT381" s="24" t="inlineStr">
        <is>
          <t>Roman Andres Burruchaga</t>
        </is>
      </c>
      <c r="AU381" s="24" t="inlineStr">
        <is>
          <t>Roman Andres Burruchaga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a67bb04c83bafa75b17d3013fcd4c13f2ff17c27af73dd591a6770e000183022</t>
        </is>
      </c>
      <c r="BB381" s="24" t="inlineStr">
        <is>
          <t>surface_blended_elo</t>
        </is>
      </c>
      <c r="BC381" s="24" t="inlineStr">
        <is>
          <t>tennis-surface-elo-v1</t>
        </is>
      </c>
      <c r="BD381" s="24" t="inlineStr">
        <is>
          <t>a67bb04c83bafa75b17d3013fcd4c13f2ff17c27af73dd591a6770e000183022</t>
        </is>
      </c>
      <c r="BE381" s="24" t="inlineStr">
        <is>
          <t>tennis-surface-elo-v1</t>
        </is>
      </c>
      <c r="BF381" s="24" t="inlineStr">
        <is>
          <t>1</t>
        </is>
      </c>
      <c r="BG381" s="24" t="inlineStr">
        <is>
          <t>a67bb04c83bafa75b17d3013fcd4c13f2ff17c27af73dd591a6770e000183022</t>
        </is>
      </c>
      <c r="BH381" s="24" t="inlineStr">
        <is>
          <t>2026-08-31T16:02:40.386351Z</t>
        </is>
      </c>
      <c r="BI381" s="24" t="inlineStr">
        <is>
          <t>["same_event","same_team_same_day","same_league_same_day"]</t>
        </is>
      </c>
      <c r="BJ381" s="25" t="n"/>
      <c r="BK381" s="26" t="n">
        <v>-355</v>
      </c>
      <c r="BL381" s="27" t="n">
        <v>1.28169</v>
      </c>
      <c r="BM381" s="28" t="n">
        <v>0.78022</v>
      </c>
      <c r="BN381" s="28" t="n"/>
      <c r="BO381" s="28" t="n"/>
      <c r="BP381" s="25" t="n"/>
      <c r="BQ381" s="27" t="n">
        <v>1.28169</v>
      </c>
      <c r="BR381" s="28" t="n">
        <v>0.78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0.28169</v>
      </c>
      <c r="BZ381" s="24" t="inlineStr">
        <is>
          <t>2026-09-01T04:33:23.739026Z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inlineStr">
        <is>
          <t>bc5fe0d51cb70c539ffcb0e5a479f0f54365ced042f47d95e7d62d0025e51678</t>
        </is>
      </c>
      <c r="DE381" s="24" t="inlineStr">
        <is>
          <t>/Users/vincentc9002/model-prediction/data/odds/tennis/2026-08-31/polymarket_snapshots.jsonl</t>
        </is>
      </c>
      <c r="DF381" s="24" t="inlineStr">
        <is>
          <t>547276:2026-08-31T16:02:40.386351Z</t>
        </is>
      </c>
      <c r="DG381" s="24" t="n"/>
      <c r="DH381" s="24" t="n"/>
      <c r="DI381" s="24" t="n"/>
      <c r="DJ381" s="24" t="inlineStr">
        <is>
          <t>0.78022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1f4a1c80ba5e4c49</t>
        </is>
      </c>
      <c r="B382" s="24" t="inlineStr">
        <is>
          <t>2026-08-31T16:04:31.779137Z</t>
        </is>
      </c>
      <c r="C382" s="24" t="inlineStr">
        <is>
          <t>2026-08-31T20:00Z</t>
        </is>
      </c>
      <c r="D382" s="24" t="inlineStr">
        <is>
          <t>189-2026:182753</t>
        </is>
      </c>
      <c r="E382" s="24" t="inlineStr">
        <is>
          <t>TENNIS</t>
        </is>
      </c>
      <c r="F382" s="24" t="inlineStr">
        <is>
          <t>Shintaro Mochizuki</t>
        </is>
      </c>
      <c r="G382" s="24" t="inlineStr">
        <is>
          <t>Jakub Mensik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-809</v>
      </c>
      <c r="M382" s="27" t="n">
        <v>1.123609</v>
      </c>
      <c r="N382" s="28" t="n">
        <v>0.889989</v>
      </c>
      <c r="O382" s="28" t="n">
        <v>0.7916</v>
      </c>
      <c r="P382" s="28" t="n">
        <v>0.05</v>
      </c>
      <c r="Q382" s="28" t="n">
        <v>-0.098389</v>
      </c>
      <c r="R382" s="26" t="n">
        <v>0</v>
      </c>
      <c r="S382" s="29" t="n">
        <v>1</v>
      </c>
      <c r="T382" s="24" t="inlineStr">
        <is>
          <t>tennis-surface-elo-v1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1</v>
      </c>
      <c r="Y382" s="25" t="n"/>
      <c r="Z382" s="26" t="n">
        <v>-809</v>
      </c>
      <c r="AA382" s="28" t="n">
        <v>0.89</v>
      </c>
      <c r="AB382" s="28" t="n">
        <v>1.1e-05</v>
      </c>
      <c r="AC382" s="30" t="n">
        <v>0.1236</v>
      </c>
      <c r="AD382" s="24" t="inlineStr">
        <is>
          <t>2026-09-01T04:33:25.718529Z</t>
        </is>
      </c>
      <c r="AE382" s="31" t="inlineStr">
        <is>
          <t>Surface-blended Elo on Hard: Shintaro Mochizuki p=0.208 vs Jakub Mensik. Executable ask 0.8900 (aec-atp-jakmen-shimoc-2026-08-30).</t>
        </is>
      </c>
      <c r="AF382" s="31" t="inlineStr">
        <is>
          <t>Surface-blended Elo model; singles only, WTA+ATP market coverage, not yet locked-holdout qualified -- promoted by explicit operator directive, not genuine walk-forward validation.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PAPER_CALL_LOW_EDGE</t>
        </is>
      </c>
      <c r="AP382" s="24" t="inlineStr">
        <is>
          <t>Shintaro Mochizuki</t>
        </is>
      </c>
      <c r="AQ382" s="24" t="inlineStr">
        <is>
          <t>Shintaro Mochizuki</t>
        </is>
      </c>
      <c r="AR382" s="24" t="inlineStr">
        <is>
          <t>Shintaro Mochizuki</t>
        </is>
      </c>
      <c r="AS382" s="24" t="inlineStr">
        <is>
          <t>Jakub Mensik</t>
        </is>
      </c>
      <c r="AT382" s="24" t="inlineStr">
        <is>
          <t>Jakub Mensik</t>
        </is>
      </c>
      <c r="AU382" s="24" t="inlineStr">
        <is>
          <t>Jakub Mensik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a67bb04c83bafa75b17d3013fcd4c13f2ff17c27af73dd591a6770e000183022</t>
        </is>
      </c>
      <c r="BB382" s="24" t="inlineStr">
        <is>
          <t>surface_blended_elo</t>
        </is>
      </c>
      <c r="BC382" s="24" t="inlineStr">
        <is>
          <t>tennis-surface-elo-v1</t>
        </is>
      </c>
      <c r="BD382" s="24" t="inlineStr">
        <is>
          <t>a67bb04c83bafa75b17d3013fcd4c13f2ff17c27af73dd591a6770e000183022</t>
        </is>
      </c>
      <c r="BE382" s="24" t="inlineStr">
        <is>
          <t>tennis-surface-elo-v1</t>
        </is>
      </c>
      <c r="BF382" s="24" t="inlineStr">
        <is>
          <t>1</t>
        </is>
      </c>
      <c r="BG382" s="24" t="inlineStr">
        <is>
          <t>a67bb04c83bafa75b17d3013fcd4c13f2ff17c27af73dd591a6770e000183022</t>
        </is>
      </c>
      <c r="BH382" s="24" t="inlineStr">
        <is>
          <t>2026-08-31T16:02:40.311736Z</t>
        </is>
      </c>
      <c r="BI382" s="24" t="inlineStr">
        <is>
          <t>["same_event","same_team_same_day","same_league_same_day"]</t>
        </is>
      </c>
      <c r="BJ382" s="25" t="n"/>
      <c r="BK382" s="26" t="n">
        <v>-809</v>
      </c>
      <c r="BL382" s="27" t="n">
        <v>1.123609</v>
      </c>
      <c r="BM382" s="28" t="n">
        <v>0.889989</v>
      </c>
      <c r="BN382" s="28" t="n"/>
      <c r="BO382" s="28" t="n"/>
      <c r="BP382" s="25" t="n"/>
      <c r="BQ382" s="27" t="n">
        <v>1.123609</v>
      </c>
      <c r="BR382" s="28" t="n">
        <v>0.89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0.123609</v>
      </c>
      <c r="BZ382" s="24" t="inlineStr">
        <is>
          <t>2026-09-01T04:33:25.718529Z</t>
        </is>
      </c>
      <c r="CA382" s="31" t="inlineStr">
        <is>
          <t>fixed one-unit hypothetical scoring; no real exposure or execution</t>
        </is>
      </c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inlineStr">
        <is>
          <t>6e0a44f28a1bc7c13afffd58c7dd4145abc70828e6ef982338c1f5d4bbd409bb</t>
        </is>
      </c>
      <c r="DE382" s="24" t="inlineStr">
        <is>
          <t>/Users/vincentc9002/model-prediction/data/odds/tennis/2026-08-31/polymarket_snapshots.jsonl</t>
        </is>
      </c>
      <c r="DF382" s="24" t="inlineStr">
        <is>
          <t>550502:2026-08-31T16:02:40.311736Z</t>
        </is>
      </c>
      <c r="DG382" s="24" t="n"/>
      <c r="DH382" s="24" t="n"/>
      <c r="DI382" s="24" t="n"/>
      <c r="DJ382" s="24" t="inlineStr">
        <is>
          <t>0.889989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83cb1e947ed34a1a</t>
        </is>
      </c>
      <c r="B383" s="24" t="inlineStr">
        <is>
          <t>2026-08-31T16:04:31.779137Z</t>
        </is>
      </c>
      <c r="C383" s="24" t="inlineStr">
        <is>
          <t>2026-08-31T20:30Z</t>
        </is>
      </c>
      <c r="D383" s="24" t="inlineStr">
        <is>
          <t>189-2026:182662</t>
        </is>
      </c>
      <c r="E383" s="24" t="inlineStr">
        <is>
          <t>TENNIS</t>
        </is>
      </c>
      <c r="F383" s="24" t="inlineStr">
        <is>
          <t>Alejandro Tabilo</t>
        </is>
      </c>
      <c r="G383" s="24" t="inlineStr">
        <is>
          <t>Yannick Hanfmann</t>
        </is>
      </c>
      <c r="H383" s="24" t="inlineStr">
        <is>
          <t>moneyline</t>
        </is>
      </c>
      <c r="I383" s="24" t="inlineStr">
        <is>
          <t>home</t>
        </is>
      </c>
      <c r="J383" s="25" t="n"/>
      <c r="K383" s="24" t="inlineStr">
        <is>
          <t>polymarket_us</t>
        </is>
      </c>
      <c r="L383" s="26" t="n">
        <v>117</v>
      </c>
      <c r="M383" s="27" t="n">
        <v>2.17</v>
      </c>
      <c r="N383" s="28" t="n">
        <v>0.460829</v>
      </c>
      <c r="O383" s="28" t="n">
        <v>0.5565</v>
      </c>
      <c r="P383" s="28" t="n">
        <v>0.05</v>
      </c>
      <c r="Q383" s="28" t="n">
        <v>0.09567100000000001</v>
      </c>
      <c r="R383" s="26" t="n">
        <v>68</v>
      </c>
      <c r="S383" s="29" t="n">
        <v>1.25</v>
      </c>
      <c r="T383" s="24" t="inlineStr">
        <is>
          <t>tennis-surface-elo-v1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</v>
      </c>
      <c r="X383" s="26" t="n">
        <v>0</v>
      </c>
      <c r="Y383" s="25" t="n"/>
      <c r="Z383" s="26" t="n">
        <v>117</v>
      </c>
      <c r="AA383" s="28" t="n">
        <v>0.46</v>
      </c>
      <c r="AB383" s="28" t="n">
        <v>-0.000829</v>
      </c>
      <c r="AC383" s="30" t="n">
        <v>-1.25</v>
      </c>
      <c r="AD383" s="24" t="inlineStr">
        <is>
          <t>2026-09-01T04:33:27.617703Z</t>
        </is>
      </c>
      <c r="AE383" s="31" t="inlineStr">
        <is>
          <t>Surface-blended Elo on Hard: Alejandro Tabilo p=0.443 vs Yannick Hanfmann. Executable ask 0.4600 (aec-atp-yanhan-aletab-2026-08-30).</t>
        </is>
      </c>
      <c r="AF383" s="31" t="inlineStr">
        <is>
          <t>Surface-blended Elo model; singles only, WTA+ATP market coverage, not yet locked-holdout qualified -- promoted by explicit operator directive, not genuine walk-forward validation.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Alejandro Tabilo</t>
        </is>
      </c>
      <c r="AQ383" s="24" t="inlineStr">
        <is>
          <t>Alejandro Tabilo</t>
        </is>
      </c>
      <c r="AR383" s="24" t="inlineStr">
        <is>
          <t>Alejandro Tabilo</t>
        </is>
      </c>
      <c r="AS383" s="24" t="inlineStr">
        <is>
          <t>Yannick Hanfmann</t>
        </is>
      </c>
      <c r="AT383" s="24" t="inlineStr">
        <is>
          <t>Yannick Hanfmann</t>
        </is>
      </c>
      <c r="AU383" s="24" t="inlineStr">
        <is>
          <t>Yannick Hanfmann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a67bb04c83bafa75b17d3013fcd4c13f2ff17c27af73dd591a6770e000183022</t>
        </is>
      </c>
      <c r="BB383" s="24" t="inlineStr">
        <is>
          <t>surface_blended_elo</t>
        </is>
      </c>
      <c r="BC383" s="24" t="inlineStr">
        <is>
          <t>tennis-surface-elo-v1</t>
        </is>
      </c>
      <c r="BD383" s="24" t="inlineStr">
        <is>
          <t>a67bb04c83bafa75b17d3013fcd4c13f2ff17c27af73dd591a6770e000183022</t>
        </is>
      </c>
      <c r="BE383" s="24" t="inlineStr">
        <is>
          <t>tennis-surface-elo-v1</t>
        </is>
      </c>
      <c r="BF383" s="24" t="inlineStr">
        <is>
          <t>1</t>
        </is>
      </c>
      <c r="BG383" s="24" t="inlineStr">
        <is>
          <t>a67bb04c83bafa75b17d3013fcd4c13f2ff17c27af73dd591a6770e000183022</t>
        </is>
      </c>
      <c r="BH383" s="24" t="inlineStr">
        <is>
          <t>2026-08-31T16:02:40.264463Z</t>
        </is>
      </c>
      <c r="BI383" s="24" t="inlineStr">
        <is>
          <t>["same_event","same_team_same_day","same_league_same_day"]</t>
        </is>
      </c>
      <c r="BJ383" s="25" t="n"/>
      <c r="BK383" s="26" t="n">
        <v>117</v>
      </c>
      <c r="BL383" s="27" t="n">
        <v>2.17</v>
      </c>
      <c r="BM383" s="28" t="n">
        <v>0.460829</v>
      </c>
      <c r="BN383" s="28" t="n"/>
      <c r="BO383" s="28" t="n"/>
      <c r="BP383" s="25" t="n"/>
      <c r="BQ383" s="27" t="n">
        <v>2.17</v>
      </c>
      <c r="BR383" s="28" t="n">
        <v>0.46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inlineStr">
        <is>
          <t>5d84b464275eb69dee6a95bf2f96d09e0ca6ca70b378d0b0314eb6b81483d96b</t>
        </is>
      </c>
      <c r="DE383" s="24" t="inlineStr">
        <is>
          <t>/Users/vincentc9002/model-prediction/data/odds/tennis/2026-08-31/polymarket_snapshots.jsonl</t>
        </is>
      </c>
      <c r="DF383" s="24" t="inlineStr">
        <is>
          <t>547258:2026-08-31T16:02:40.264463Z</t>
        </is>
      </c>
      <c r="DG383" s="24" t="n"/>
      <c r="DH383" s="24" t="n"/>
      <c r="DI383" s="24" t="n"/>
      <c r="DJ383" s="24" t="inlineStr">
        <is>
          <t>0.460829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dc5125d247c246b3</t>
        </is>
      </c>
      <c r="B384" s="24" t="inlineStr">
        <is>
          <t>2026-08-31T16:04:31.779137Z</t>
        </is>
      </c>
      <c r="C384" s="24" t="inlineStr">
        <is>
          <t>2026-08-31T20:30Z</t>
        </is>
      </c>
      <c r="D384" s="24" t="inlineStr">
        <is>
          <t>189-2026:182734</t>
        </is>
      </c>
      <c r="E384" s="24" t="inlineStr">
        <is>
          <t>TENNIS</t>
        </is>
      </c>
      <c r="F384" s="24" t="inlineStr">
        <is>
          <t>Learner Tien</t>
        </is>
      </c>
      <c r="G384" s="24" t="inlineStr">
        <is>
          <t>Nuno Borges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polymarket_us</t>
        </is>
      </c>
      <c r="L384" s="26" t="n">
        <v>-194</v>
      </c>
      <c r="M384" s="27" t="n">
        <v>1.515464</v>
      </c>
      <c r="N384" s="28" t="n">
        <v>0.659864</v>
      </c>
      <c r="O384" s="28" t="n">
        <v>0.6428</v>
      </c>
      <c r="P384" s="28" t="n">
        <v>0.05</v>
      </c>
      <c r="Q384" s="28" t="n">
        <v>-0.017064</v>
      </c>
      <c r="R384" s="26" t="n">
        <v>11</v>
      </c>
      <c r="S384" s="29" t="n">
        <v>1</v>
      </c>
      <c r="T384" s="24" t="inlineStr">
        <is>
          <t>tennis-surface-elo-v1</t>
        </is>
      </c>
      <c r="U384" s="24" t="inlineStr">
        <is>
          <t>settled</t>
        </is>
      </c>
      <c r="V384" s="24" t="inlineStr">
        <is>
          <t>win</t>
        </is>
      </c>
      <c r="W384" s="26" t="n">
        <v>1</v>
      </c>
      <c r="X384" s="26" t="n">
        <v>0</v>
      </c>
      <c r="Y384" s="25" t="n"/>
      <c r="Z384" s="26" t="n">
        <v>-194</v>
      </c>
      <c r="AA384" s="28" t="n">
        <v>0.66</v>
      </c>
      <c r="AB384" s="28" t="n">
        <v>0.000136</v>
      </c>
      <c r="AC384" s="30" t="n">
        <v>0.5155</v>
      </c>
      <c r="AD384" s="24" t="inlineStr">
        <is>
          <t>2026-09-01T04:33:29.591717Z</t>
        </is>
      </c>
      <c r="AE384" s="31" t="inlineStr">
        <is>
          <t>Surface-blended Elo on Hard: Learner Tien p=0.643 vs Nuno Borges. Executable ask 0.6600 (aec-atp-nunbor-leatie-2026-08-30).</t>
        </is>
      </c>
      <c r="AF384" s="31" t="inlineStr">
        <is>
          <t>Surface-blended Elo model; singles only, WTA+ATP market coverage, not yet locked-holdout qualified -- promoted by explicit operator directive, not genuine walk-forward validation.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Learner Tien</t>
        </is>
      </c>
      <c r="AQ384" s="24" t="inlineStr">
        <is>
          <t>Learner Tien</t>
        </is>
      </c>
      <c r="AR384" s="24" t="inlineStr">
        <is>
          <t>Learner Tien</t>
        </is>
      </c>
      <c r="AS384" s="24" t="inlineStr">
        <is>
          <t>Nuno Borges</t>
        </is>
      </c>
      <c r="AT384" s="24" t="inlineStr">
        <is>
          <t>Nuno Borges</t>
        </is>
      </c>
      <c r="AU384" s="24" t="inlineStr">
        <is>
          <t>Nuno Borges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a67bb04c83bafa75b17d3013fcd4c13f2ff17c27af73dd591a6770e000183022</t>
        </is>
      </c>
      <c r="BB384" s="24" t="inlineStr">
        <is>
          <t>surface_blended_elo</t>
        </is>
      </c>
      <c r="BC384" s="24" t="inlineStr">
        <is>
          <t>tennis-surface-elo-v1</t>
        </is>
      </c>
      <c r="BD384" s="24" t="inlineStr">
        <is>
          <t>a67bb04c83bafa75b17d3013fcd4c13f2ff17c27af73dd591a6770e000183022</t>
        </is>
      </c>
      <c r="BE384" s="24" t="inlineStr">
        <is>
          <t>tennis-surface-elo-v1</t>
        </is>
      </c>
      <c r="BF384" s="24" t="inlineStr">
        <is>
          <t>1</t>
        </is>
      </c>
      <c r="BG384" s="24" t="inlineStr">
        <is>
          <t>a67bb04c83bafa75b17d3013fcd4c13f2ff17c27af73dd591a6770e000183022</t>
        </is>
      </c>
      <c r="BH384" s="24" t="inlineStr">
        <is>
          <t>2026-08-31T16:02:40.615578Z</t>
        </is>
      </c>
      <c r="BI384" s="24" t="inlineStr">
        <is>
          <t>["same_event","same_team_same_day","same_league_same_day"]</t>
        </is>
      </c>
      <c r="BJ384" s="25" t="n"/>
      <c r="BK384" s="26" t="n">
        <v>-194</v>
      </c>
      <c r="BL384" s="27" t="n">
        <v>1.515464</v>
      </c>
      <c r="BM384" s="28" t="n">
        <v>0.659864</v>
      </c>
      <c r="BN384" s="28" t="n"/>
      <c r="BO384" s="28" t="n"/>
      <c r="BP384" s="25" t="n"/>
      <c r="BQ384" s="27" t="n">
        <v>1.515464</v>
      </c>
      <c r="BR384" s="28" t="n">
        <v>0.66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0.515464</v>
      </c>
      <c r="BZ384" s="24" t="inlineStr">
        <is>
          <t>2026-09-01T04:33:29.591717Z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inlineStr">
        <is>
          <t>3e8300c3e796540b7e67da4e4700b0359728611dc708c58b159df94cefe6d0d3</t>
        </is>
      </c>
      <c r="DE384" s="24" t="inlineStr">
        <is>
          <t>/Users/vincentc9002/model-prediction/data/odds/tennis/2026-08-31/polymarket_snapshots.jsonl</t>
        </is>
      </c>
      <c r="DF384" s="24" t="inlineStr">
        <is>
          <t>547283:2026-08-31T16:02:40.615578Z</t>
        </is>
      </c>
      <c r="DG384" s="24" t="n"/>
      <c r="DH384" s="24" t="n"/>
      <c r="DI384" s="24" t="n"/>
      <c r="DJ384" s="24" t="inlineStr">
        <is>
          <t>0.659864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ec373986bbf44986</t>
        </is>
      </c>
      <c r="B385" s="24" t="inlineStr">
        <is>
          <t>2026-08-31T16:04:31.779137Z</t>
        </is>
      </c>
      <c r="C385" s="24" t="inlineStr">
        <is>
          <t>2026-08-31T21:00Z</t>
        </is>
      </c>
      <c r="D385" s="24" t="inlineStr">
        <is>
          <t>189-2026:182701</t>
        </is>
      </c>
      <c r="E385" s="24" t="inlineStr">
        <is>
          <t>TENNIS</t>
        </is>
      </c>
      <c r="F385" s="24" t="inlineStr">
        <is>
          <t>Rinky Hijikata</t>
        </is>
      </c>
      <c r="G385" s="24" t="inlineStr">
        <is>
          <t>Felix Auger-Aliassime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-900</v>
      </c>
      <c r="M385" s="27" t="n">
        <v>1.111111</v>
      </c>
      <c r="N385" s="28" t="n">
        <v>0.9</v>
      </c>
      <c r="O385" s="28" t="n">
        <v>0.7014</v>
      </c>
      <c r="P385" s="28" t="n">
        <v>0.05</v>
      </c>
      <c r="Q385" s="28" t="n">
        <v>-0.1986</v>
      </c>
      <c r="R385" s="26" t="n">
        <v>0</v>
      </c>
      <c r="S385" s="29" t="n">
        <v>1</v>
      </c>
      <c r="T385" s="24" t="inlineStr">
        <is>
          <t>tennis-surface-elo-v1</t>
        </is>
      </c>
      <c r="U385" s="24" t="inlineStr">
        <is>
          <t>settled</t>
        </is>
      </c>
      <c r="V385" s="24" t="inlineStr">
        <is>
          <t>win</t>
        </is>
      </c>
      <c r="W385" s="26" t="n">
        <v>0</v>
      </c>
      <c r="X385" s="26" t="n">
        <v>1</v>
      </c>
      <c r="Y385" s="25" t="n"/>
      <c r="Z385" s="26" t="n">
        <v>-900</v>
      </c>
      <c r="AA385" s="28" t="n">
        <v>0.9</v>
      </c>
      <c r="AB385" s="28" t="n">
        <v>0</v>
      </c>
      <c r="AC385" s="30" t="n">
        <v>0.1111</v>
      </c>
      <c r="AD385" s="24" t="inlineStr">
        <is>
          <t>2026-09-01T04:33:31.501502Z</t>
        </is>
      </c>
      <c r="AE385" s="31" t="inlineStr">
        <is>
          <t>Surface-blended Elo on Hard: Rinky Hijikata p=0.299 vs Felix Auger-Aliassime. Executable ask 0.9000 (aec-atp-felaug-rinhij-2026-08-30).</t>
        </is>
      </c>
      <c r="AF385" s="31" t="inlineStr">
        <is>
          <t>Surface-blended Elo model; singles only, WTA+ATP market coverage, not yet locked-holdout qualified -- promoted by explicit operator directive, not genuine walk-forward validation.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Rinky Hijikata</t>
        </is>
      </c>
      <c r="AQ385" s="24" t="inlineStr">
        <is>
          <t>Rinky Hijikata</t>
        </is>
      </c>
      <c r="AR385" s="24" t="inlineStr">
        <is>
          <t>Rinky Hijikata</t>
        </is>
      </c>
      <c r="AS385" s="24" t="inlineStr">
        <is>
          <t>Felix Auger-Aliassime</t>
        </is>
      </c>
      <c r="AT385" s="24" t="inlineStr">
        <is>
          <t>Felix Auger-Aliassime</t>
        </is>
      </c>
      <c r="AU385" s="24" t="inlineStr">
        <is>
          <t>Felix Auger-Aliassime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a67bb04c83bafa75b17d3013fcd4c13f2ff17c27af73dd591a6770e000183022</t>
        </is>
      </c>
      <c r="BB385" s="24" t="inlineStr">
        <is>
          <t>surface_blended_elo</t>
        </is>
      </c>
      <c r="BC385" s="24" t="inlineStr">
        <is>
          <t>tennis-surface-elo-v1</t>
        </is>
      </c>
      <c r="BD385" s="24" t="inlineStr">
        <is>
          <t>a67bb04c83bafa75b17d3013fcd4c13f2ff17c27af73dd591a6770e000183022</t>
        </is>
      </c>
      <c r="BE385" s="24" t="inlineStr">
        <is>
          <t>tennis-surface-elo-v1</t>
        </is>
      </c>
      <c r="BF385" s="24" t="inlineStr">
        <is>
          <t>1</t>
        </is>
      </c>
      <c r="BG385" s="24" t="inlineStr">
        <is>
          <t>a67bb04c83bafa75b17d3013fcd4c13f2ff17c27af73dd591a6770e000183022</t>
        </is>
      </c>
      <c r="BH385" s="24" t="inlineStr">
        <is>
          <t>2026-08-31T16:02:40.682236Z</t>
        </is>
      </c>
      <c r="BI385" s="24" t="inlineStr">
        <is>
          <t>["same_event","same_team_same_day","same_league_same_day"]</t>
        </is>
      </c>
      <c r="BJ385" s="25" t="n"/>
      <c r="BK385" s="26" t="n">
        <v>-900</v>
      </c>
      <c r="BL385" s="27" t="n">
        <v>1.111111</v>
      </c>
      <c r="BM385" s="28" t="n">
        <v>0.9</v>
      </c>
      <c r="BN385" s="28" t="n"/>
      <c r="BO385" s="28" t="n"/>
      <c r="BP385" s="25" t="n"/>
      <c r="BQ385" s="27" t="n">
        <v>1.111111</v>
      </c>
      <c r="BR385" s="28" t="n">
        <v>0.9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0.111111</v>
      </c>
      <c r="BZ385" s="24" t="inlineStr">
        <is>
          <t>2026-09-01T04:33:31.501502Z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inlineStr">
        <is>
          <t>36535dbf0c29dec9712f3276b1d1ca502948a13c5e25dc6c688b9d99307ca360</t>
        </is>
      </c>
      <c r="DE385" s="24" t="inlineStr">
        <is>
          <t>/Users/vincentc9002/model-prediction/data/odds/tennis/2026-08-31/polymarket_snapshots.jsonl</t>
        </is>
      </c>
      <c r="DF385" s="24" t="inlineStr">
        <is>
          <t>547274:2026-08-31T16:02:40.682236Z</t>
        </is>
      </c>
      <c r="DG385" s="24" t="n"/>
      <c r="DH385" s="24" t="n"/>
      <c r="DI385" s="24" t="n"/>
      <c r="DJ385" s="24" t="inlineStr">
        <is>
          <t>0.9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6a7950309a8d44c8</t>
        </is>
      </c>
      <c r="B386" s="24" t="inlineStr">
        <is>
          <t>2026-08-31T16:04:31.779137Z</t>
        </is>
      </c>
      <c r="C386" s="24" t="inlineStr">
        <is>
          <t>2026-08-31T21:30Z</t>
        </is>
      </c>
      <c r="D386" s="24" t="inlineStr">
        <is>
          <t>189-2026:182666</t>
        </is>
      </c>
      <c r="E386" s="24" t="inlineStr">
        <is>
          <t>TENNIS</t>
        </is>
      </c>
      <c r="F386" s="24" t="inlineStr">
        <is>
          <t>Facundo Diaz Acosta</t>
        </is>
      </c>
      <c r="G386" s="24" t="inlineStr">
        <is>
          <t>Quentin Halys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-270</v>
      </c>
      <c r="M386" s="27" t="n">
        <v>1.37037</v>
      </c>
      <c r="N386" s="28" t="n">
        <v>0.72973</v>
      </c>
      <c r="O386" s="28" t="n">
        <v>0.7688</v>
      </c>
      <c r="P386" s="28" t="n">
        <v>0.05</v>
      </c>
      <c r="Q386" s="28" t="n">
        <v>0.03907</v>
      </c>
      <c r="R386" s="26" t="n">
        <v>40</v>
      </c>
      <c r="S386" s="29" t="n">
        <v>1</v>
      </c>
      <c r="T386" s="24" t="inlineStr">
        <is>
          <t>tennis-surface-elo-v1</t>
        </is>
      </c>
      <c r="U386" s="24" t="inlineStr">
        <is>
          <t>settled</t>
        </is>
      </c>
      <c r="V386" s="24" t="inlineStr">
        <is>
          <t>win</t>
        </is>
      </c>
      <c r="W386" s="26" t="n">
        <v>0</v>
      </c>
      <c r="X386" s="26" t="n">
        <v>1</v>
      </c>
      <c r="Y386" s="25" t="n"/>
      <c r="Z386" s="26" t="n">
        <v>-270</v>
      </c>
      <c r="AA386" s="28" t="n">
        <v>0.73</v>
      </c>
      <c r="AB386" s="28" t="n">
        <v>0.00027</v>
      </c>
      <c r="AC386" s="30" t="n">
        <v>0.3704</v>
      </c>
      <c r="AD386" s="24" t="inlineStr">
        <is>
          <t>2026-09-01T04:33:33.478858Z</t>
        </is>
      </c>
      <c r="AE386" s="31" t="inlineStr">
        <is>
          <t>Surface-blended Elo on Hard: Facundo Diaz Acosta p=0.231 vs Quentin Halys. Executable ask 0.7300 (aec-atp-quehal-facaco-2026-08-30).</t>
        </is>
      </c>
      <c r="AF386" s="31" t="inlineStr">
        <is>
          <t>Surface-blended Elo model; singles only, WTA+ATP market coverage, not yet locked-holdout qualified -- promoted by explicit operator directive, not genuine walk-forward validation.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Facundo Diaz Acosta</t>
        </is>
      </c>
      <c r="AQ386" s="24" t="inlineStr">
        <is>
          <t>Facundo Diaz Acosta</t>
        </is>
      </c>
      <c r="AR386" s="24" t="inlineStr">
        <is>
          <t>Facundo Diaz Acosta</t>
        </is>
      </c>
      <c r="AS386" s="24" t="inlineStr">
        <is>
          <t>Quentin Halys</t>
        </is>
      </c>
      <c r="AT386" s="24" t="inlineStr">
        <is>
          <t>Quentin Halys</t>
        </is>
      </c>
      <c r="AU386" s="24" t="inlineStr">
        <is>
          <t>Quentin Halys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a67bb04c83bafa75b17d3013fcd4c13f2ff17c27af73dd591a6770e000183022</t>
        </is>
      </c>
      <c r="BB386" s="24" t="inlineStr">
        <is>
          <t>surface_blended_elo</t>
        </is>
      </c>
      <c r="BC386" s="24" t="inlineStr">
        <is>
          <t>tennis-surface-elo-v1</t>
        </is>
      </c>
      <c r="BD386" s="24" t="inlineStr">
        <is>
          <t>a67bb04c83bafa75b17d3013fcd4c13f2ff17c27af73dd591a6770e000183022</t>
        </is>
      </c>
      <c r="BE386" s="24" t="inlineStr">
        <is>
          <t>tennis-surface-elo-v1</t>
        </is>
      </c>
      <c r="BF386" s="24" t="inlineStr">
        <is>
          <t>1</t>
        </is>
      </c>
      <c r="BG386" s="24" t="inlineStr">
        <is>
          <t>a67bb04c83bafa75b17d3013fcd4c13f2ff17c27af73dd591a6770e000183022</t>
        </is>
      </c>
      <c r="BH386" s="24" t="inlineStr">
        <is>
          <t>2026-08-31T16:02:40.423425Z</t>
        </is>
      </c>
      <c r="BI386" s="24" t="inlineStr">
        <is>
          <t>["same_event","same_team_same_day","same_league_same_day"]</t>
        </is>
      </c>
      <c r="BJ386" s="25" t="n"/>
      <c r="BK386" s="26" t="n">
        <v>-270</v>
      </c>
      <c r="BL386" s="27" t="n">
        <v>1.37037</v>
      </c>
      <c r="BM386" s="28" t="n">
        <v>0.72973</v>
      </c>
      <c r="BN386" s="28" t="n"/>
      <c r="BO386" s="28" t="n"/>
      <c r="BP386" s="25" t="n"/>
      <c r="BQ386" s="27" t="n">
        <v>1.37037</v>
      </c>
      <c r="BR386" s="28" t="n">
        <v>0.73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0.37037</v>
      </c>
      <c r="BZ386" s="24" t="inlineStr">
        <is>
          <t>2026-09-01T04:33:33.478858Z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inlineStr">
        <is>
          <t>3a75e6e655106617d6cb6b13e2811c19e8b17be2b8a60f76c497d3c07f84f574</t>
        </is>
      </c>
      <c r="DE386" s="24" t="inlineStr">
        <is>
          <t>/Users/vincentc9002/model-prediction/data/odds/tennis/2026-08-31/polymarket_snapshots.jsonl</t>
        </is>
      </c>
      <c r="DF386" s="24" t="inlineStr">
        <is>
          <t>547256:2026-08-31T16:02:40.423425Z</t>
        </is>
      </c>
      <c r="DG386" s="24" t="n"/>
      <c r="DH386" s="24" t="n"/>
      <c r="DI386" s="24" t="n"/>
      <c r="DJ386" s="24" t="inlineStr">
        <is>
          <t>0.72973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1d5769ee92b74851</t>
        </is>
      </c>
      <c r="B387" s="24" t="inlineStr">
        <is>
          <t>2026-08-31T16:04:31.779137Z</t>
        </is>
      </c>
      <c r="C387" s="24" t="inlineStr">
        <is>
          <t>2026-08-31T23:00Z</t>
        </is>
      </c>
      <c r="D387" s="24" t="inlineStr">
        <is>
          <t>189-2026:182676</t>
        </is>
      </c>
      <c r="E387" s="24" t="inlineStr">
        <is>
          <t>TENNIS</t>
        </is>
      </c>
      <c r="F387" s="24" t="inlineStr">
        <is>
          <t>Tallon Griekspoor</t>
        </is>
      </c>
      <c r="G387" s="24" t="inlineStr">
        <is>
          <t>Ben Shelton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-733</v>
      </c>
      <c r="M387" s="27" t="n">
        <v>1.136426</v>
      </c>
      <c r="N387" s="28" t="n">
        <v>0.879952</v>
      </c>
      <c r="O387" s="28" t="n">
        <v>0.7809</v>
      </c>
      <c r="P387" s="28" t="n">
        <v>0.05</v>
      </c>
      <c r="Q387" s="28" t="n">
        <v>-0.099052</v>
      </c>
      <c r="R387" s="26" t="n">
        <v>0</v>
      </c>
      <c r="S387" s="29" t="n">
        <v>1</v>
      </c>
      <c r="T387" s="24" t="inlineStr">
        <is>
          <t>tennis-surface-elo-v1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1</v>
      </c>
      <c r="Y387" s="25" t="n"/>
      <c r="Z387" s="26" t="n">
        <v>-733</v>
      </c>
      <c r="AA387" s="28" t="n">
        <v>0.88</v>
      </c>
      <c r="AB387" s="28" t="n">
        <v>4.8e-05</v>
      </c>
      <c r="AC387" s="30" t="n">
        <v>0.1364</v>
      </c>
      <c r="AD387" s="24" t="inlineStr">
        <is>
          <t>2026-09-01T04:33:35.381315Z</t>
        </is>
      </c>
      <c r="AE387" s="31" t="inlineStr">
        <is>
          <t>Surface-blended Elo on Hard: Tallon Griekspoor p=0.219 vs Ben Shelton. Executable ask 0.8800 (aec-atp-benshe-talgri-2026-08-30).</t>
        </is>
      </c>
      <c r="AF387" s="31" t="inlineStr">
        <is>
          <t>Surface-blended Elo model; singles only, WTA+ATP market coverage, not yet locked-holdout qualified -- promoted by explicit operator directive, not genuine walk-forward validation.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Tallon Griekspoor</t>
        </is>
      </c>
      <c r="AQ387" s="24" t="inlineStr">
        <is>
          <t>Tallon Griekspoor</t>
        </is>
      </c>
      <c r="AR387" s="24" t="inlineStr">
        <is>
          <t>Tallon Griekspoor</t>
        </is>
      </c>
      <c r="AS387" s="24" t="inlineStr">
        <is>
          <t>Ben Shelton</t>
        </is>
      </c>
      <c r="AT387" s="24" t="inlineStr">
        <is>
          <t>Ben Shelton</t>
        </is>
      </c>
      <c r="AU387" s="24" t="inlineStr">
        <is>
          <t>Ben Shelton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a67bb04c83bafa75b17d3013fcd4c13f2ff17c27af73dd591a6770e000183022</t>
        </is>
      </c>
      <c r="BB387" s="24" t="inlineStr">
        <is>
          <t>surface_blended_elo</t>
        </is>
      </c>
      <c r="BC387" s="24" t="inlineStr">
        <is>
          <t>tennis-surface-elo-v1</t>
        </is>
      </c>
      <c r="BD387" s="24" t="inlineStr">
        <is>
          <t>a67bb04c83bafa75b17d3013fcd4c13f2ff17c27af73dd591a6770e000183022</t>
        </is>
      </c>
      <c r="BE387" s="24" t="inlineStr">
        <is>
          <t>tennis-surface-elo-v1</t>
        </is>
      </c>
      <c r="BF387" s="24" t="inlineStr">
        <is>
          <t>1</t>
        </is>
      </c>
      <c r="BG387" s="24" t="inlineStr">
        <is>
          <t>a67bb04c83bafa75b17d3013fcd4c13f2ff17c27af73dd591a6770e000183022</t>
        </is>
      </c>
      <c r="BH387" s="24" t="inlineStr">
        <is>
          <t>2026-08-31T16:02:40.927528Z</t>
        </is>
      </c>
      <c r="BI387" s="24" t="inlineStr">
        <is>
          <t>["same_event","same_team_same_day","same_league_same_day"]</t>
        </is>
      </c>
      <c r="BJ387" s="25" t="n"/>
      <c r="BK387" s="26" t="n">
        <v>-733</v>
      </c>
      <c r="BL387" s="27" t="n">
        <v>1.136426</v>
      </c>
      <c r="BM387" s="28" t="n">
        <v>0.879952</v>
      </c>
      <c r="BN387" s="28" t="n"/>
      <c r="BO387" s="28" t="n"/>
      <c r="BP387" s="25" t="n"/>
      <c r="BQ387" s="27" t="n">
        <v>1.136426</v>
      </c>
      <c r="BR387" s="28" t="n">
        <v>0.88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0.136426</v>
      </c>
      <c r="BZ387" s="24" t="inlineStr">
        <is>
          <t>2026-09-01T04:33:35.381315Z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inlineStr">
        <is>
          <t>0e3eac160318fb4883f23acc5003f02044ebf4ef05357f1968f41cae1862d37b</t>
        </is>
      </c>
      <c r="DE387" s="24" t="inlineStr">
        <is>
          <t>/Users/vincentc9002/model-prediction/data/odds/tennis/2026-08-31/polymarket_snapshots.jsonl</t>
        </is>
      </c>
      <c r="DF387" s="24" t="inlineStr">
        <is>
          <t>547320:2026-08-31T16:02:40.927528Z</t>
        </is>
      </c>
      <c r="DG387" s="24" t="n"/>
      <c r="DH387" s="24" t="n"/>
      <c r="DI387" s="24" t="n"/>
      <c r="DJ387" s="24" t="inlineStr">
        <is>
          <t>0.879952</t>
        </is>
      </c>
      <c r="DK387" s="24" t="n"/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e3ca061119584ee7</t>
        </is>
      </c>
      <c r="B388" s="24" t="inlineStr">
        <is>
          <t>2026-08-31T16:04:31.779137Z</t>
        </is>
      </c>
      <c r="C388" s="24" t="inlineStr">
        <is>
          <t>2026-09-01T00:30Z</t>
        </is>
      </c>
      <c r="D388" s="24" t="inlineStr">
        <is>
          <t>189-2026:182762</t>
        </is>
      </c>
      <c r="E388" s="24" t="inlineStr">
        <is>
          <t>TENNIS</t>
        </is>
      </c>
      <c r="F388" s="24" t="inlineStr">
        <is>
          <t>Frances Tiafoe</t>
        </is>
      </c>
      <c r="G388" s="24" t="inlineStr">
        <is>
          <t>Martin Damm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-355</v>
      </c>
      <c r="M388" s="27" t="n">
        <v>1.28169</v>
      </c>
      <c r="N388" s="28" t="n">
        <v>0.78022</v>
      </c>
      <c r="O388" s="28" t="n">
        <v>0.7532</v>
      </c>
      <c r="P388" s="28" t="n">
        <v>0.05</v>
      </c>
      <c r="Q388" s="28" t="n">
        <v>-0.02702</v>
      </c>
      <c r="R388" s="26" t="n">
        <v>6</v>
      </c>
      <c r="S388" s="29" t="n">
        <v>1</v>
      </c>
      <c r="T388" s="24" t="inlineStr">
        <is>
          <t>tennis-surface-elo-v1</t>
        </is>
      </c>
      <c r="U388" s="24" t="inlineStr">
        <is>
          <t>settled</t>
        </is>
      </c>
      <c r="V388" s="24" t="inlineStr">
        <is>
          <t>win</t>
        </is>
      </c>
      <c r="W388" s="26" t="n">
        <v>1</v>
      </c>
      <c r="X388" s="26" t="n">
        <v>0</v>
      </c>
      <c r="Y388" s="25" t="n"/>
      <c r="Z388" s="26" t="n">
        <v>-355</v>
      </c>
      <c r="AA388" s="28" t="n">
        <v>0.78</v>
      </c>
      <c r="AB388" s="28" t="n">
        <v>-0.00022</v>
      </c>
      <c r="AC388" s="30" t="n">
        <v>0.2817</v>
      </c>
      <c r="AD388" s="24" t="inlineStr">
        <is>
          <t>2026-09-01T13:46:16.957882Z</t>
        </is>
      </c>
      <c r="AE388" s="31" t="inlineStr">
        <is>
          <t>Surface-blended Elo on Hard: Frances Tiafoe p=0.753 vs Martin Damm. Executable ask 0.7800 (aec-atp-mardam-fratia-2026-08-30).</t>
        </is>
      </c>
      <c r="AF388" s="31" t="inlineStr">
        <is>
          <t>Surface-blended Elo model; singles only, WTA+ATP market coverage, not yet locked-holdout qualified -- promoted by explicit operator directive, not genuine walk-forward validation.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PAPER_CALL_LOW_EDGE</t>
        </is>
      </c>
      <c r="AP388" s="24" t="inlineStr">
        <is>
          <t>Frances Tiafoe</t>
        </is>
      </c>
      <c r="AQ388" s="24" t="inlineStr">
        <is>
          <t>Frances Tiafoe</t>
        </is>
      </c>
      <c r="AR388" s="24" t="inlineStr">
        <is>
          <t>Frances Tiafoe</t>
        </is>
      </c>
      <c r="AS388" s="24" t="inlineStr">
        <is>
          <t>Martin Damm</t>
        </is>
      </c>
      <c r="AT388" s="24" t="inlineStr">
        <is>
          <t>Martin Damm</t>
        </is>
      </c>
      <c r="AU388" s="24" t="inlineStr">
        <is>
          <t>Martin Damm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a67bb04c83bafa75b17d3013fcd4c13f2ff17c27af73dd591a6770e000183022</t>
        </is>
      </c>
      <c r="BB388" s="24" t="inlineStr">
        <is>
          <t>surface_blended_elo</t>
        </is>
      </c>
      <c r="BC388" s="24" t="inlineStr">
        <is>
          <t>tennis-surface-elo-v1</t>
        </is>
      </c>
      <c r="BD388" s="24" t="inlineStr">
        <is>
          <t>a67bb04c83bafa75b17d3013fcd4c13f2ff17c27af73dd591a6770e000183022</t>
        </is>
      </c>
      <c r="BE388" s="24" t="inlineStr">
        <is>
          <t>tennis-surface-elo-v1</t>
        </is>
      </c>
      <c r="BF388" s="24" t="inlineStr">
        <is>
          <t>1</t>
        </is>
      </c>
      <c r="BG388" s="24" t="inlineStr">
        <is>
          <t>a67bb04c83bafa75b17d3013fcd4c13f2ff17c27af73dd591a6770e000183022</t>
        </is>
      </c>
      <c r="BH388" s="24" t="inlineStr">
        <is>
          <t>2026-08-31T16:02:40.954684Z</t>
        </is>
      </c>
      <c r="BI388" s="24" t="inlineStr">
        <is>
          <t>["same_event","same_team_same_day","same_league_same_day"]</t>
        </is>
      </c>
      <c r="BJ388" s="25" t="n"/>
      <c r="BK388" s="26" t="n">
        <v>-355</v>
      </c>
      <c r="BL388" s="27" t="n">
        <v>1.28169</v>
      </c>
      <c r="BM388" s="28" t="n">
        <v>0.78022</v>
      </c>
      <c r="BN388" s="28" t="n"/>
      <c r="BO388" s="28" t="n"/>
      <c r="BP388" s="25" t="n"/>
      <c r="BQ388" s="27" t="n">
        <v>1.28169</v>
      </c>
      <c r="BR388" s="28" t="n">
        <v>0.78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0.28169</v>
      </c>
      <c r="BZ388" s="24" t="inlineStr">
        <is>
          <t>2026-09-01T13:46:16.957882Z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False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inlineStr">
        <is>
          <t>e9bda5fb12ac46db51898c4de536c138061c2d4a41791ed2adbd00afef27e8ec</t>
        </is>
      </c>
      <c r="DE388" s="24" t="inlineStr">
        <is>
          <t>/Users/vincentc9002/model-prediction/data/odds/tennis/2026-08-31/polymarket_snapshots.jsonl</t>
        </is>
      </c>
      <c r="DF388" s="24" t="inlineStr">
        <is>
          <t>547305:2026-08-31T16:02:40.954684Z</t>
        </is>
      </c>
      <c r="DG388" s="24" t="n"/>
      <c r="DH388" s="24" t="n"/>
      <c r="DI388" s="24" t="n"/>
      <c r="DJ388" s="24" t="inlineStr">
        <is>
          <t>0.78022</t>
        </is>
      </c>
      <c r="DK388" s="24" t="n"/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191f701136a44451</t>
        </is>
      </c>
      <c r="B389" s="24" t="inlineStr">
        <is>
          <t>2026-09-01T13:48:53.657030Z</t>
        </is>
      </c>
      <c r="C389" s="24" t="inlineStr">
        <is>
          <t>2026-09-01T15:00Z</t>
        </is>
      </c>
      <c r="D389" s="24" t="inlineStr">
        <is>
          <t>189-2026:182597</t>
        </is>
      </c>
      <c r="E389" s="24" t="inlineStr">
        <is>
          <t>TENNIS</t>
        </is>
      </c>
      <c r="F389" s="24" t="inlineStr">
        <is>
          <t>Robin Montgomery</t>
        </is>
      </c>
      <c r="G389" s="24" t="inlineStr">
        <is>
          <t>Maria Sakkari</t>
        </is>
      </c>
      <c r="H389" s="24" t="inlineStr">
        <is>
          <t>moneyline</t>
        </is>
      </c>
      <c r="I389" s="24" t="inlineStr">
        <is>
          <t>away</t>
        </is>
      </c>
      <c r="J389" s="25" t="n"/>
      <c r="K389" s="24" t="inlineStr">
        <is>
          <t>polymarket_us</t>
        </is>
      </c>
      <c r="L389" s="26" t="n">
        <v>144</v>
      </c>
      <c r="M389" s="27" t="n">
        <v>2.44</v>
      </c>
      <c r="N389" s="28" t="n">
        <v>0.409836</v>
      </c>
      <c r="O389" s="28" t="n">
        <v>0.5409</v>
      </c>
      <c r="P389" s="28" t="n">
        <v>0.05</v>
      </c>
      <c r="Q389" s="28" t="n">
        <v>0.131064</v>
      </c>
      <c r="R389" s="26" t="n">
        <v>86</v>
      </c>
      <c r="S389" s="29" t="n">
        <v>1.5</v>
      </c>
      <c r="T389" s="24" t="inlineStr">
        <is>
          <t>tennis-surface-elo-v1</t>
        </is>
      </c>
      <c r="U389" s="24" t="inlineStr">
        <is>
          <t>settled</t>
        </is>
      </c>
      <c r="V389" s="24" t="inlineStr">
        <is>
          <t>loss</t>
        </is>
      </c>
      <c r="W389" s="26" t="n">
        <v>0</v>
      </c>
      <c r="X389" s="26" t="n">
        <v>1</v>
      </c>
      <c r="Y389" s="25" t="n"/>
      <c r="Z389" s="26" t="n">
        <v>144</v>
      </c>
      <c r="AA389" s="28" t="n">
        <v>0.41</v>
      </c>
      <c r="AB389" s="28" t="n">
        <v>0.000164</v>
      </c>
      <c r="AC389" s="30" t="n">
        <v>-1.5</v>
      </c>
      <c r="AD389" s="24" t="inlineStr">
        <is>
          <t>2026-09-02T04:30:14.354356Z</t>
        </is>
      </c>
      <c r="AE389" s="31" t="inlineStr">
        <is>
          <t>Surface-blended Elo on Hard: Robin Montgomery p=0.541 vs Maria Sakkari. Executable ask 0.4100 (aec-wta-marsak-robmon-2026-08-30).</t>
        </is>
      </c>
      <c r="AF389" s="31" t="inlineStr">
        <is>
          <t>Surface-blended Elo model; singles only, WTA+ATP market coverage, not yet locked-holdout qualified -- promoted by explicit operator directive, not genuine walk-forward validation.</t>
        </is>
      </c>
      <c r="AG389" s="24" t="inlineStr">
        <is>
          <t>review_required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4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Robin Montgomery</t>
        </is>
      </c>
      <c r="AQ389" s="24" t="inlineStr">
        <is>
          <t>Robin Montgomery</t>
        </is>
      </c>
      <c r="AR389" s="24" t="inlineStr">
        <is>
          <t>Robin Montgomery</t>
        </is>
      </c>
      <c r="AS389" s="24" t="inlineStr">
        <is>
          <t>Maria Sakkari</t>
        </is>
      </c>
      <c r="AT389" s="24" t="inlineStr">
        <is>
          <t>Maria Sakkari</t>
        </is>
      </c>
      <c r="AU389" s="24" t="inlineStr">
        <is>
          <t>Maria Sakkari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0ce66f49b381187fe6255a40ca2fdbfc155d5e36125ccf6d30fe81a72962eafa</t>
        </is>
      </c>
      <c r="BB389" s="24" t="inlineStr">
        <is>
          <t>surface_blended_elo</t>
        </is>
      </c>
      <c r="BC389" s="24" t="inlineStr">
        <is>
          <t>tennis-surface-elo-v1</t>
        </is>
      </c>
      <c r="BD389" s="24" t="inlineStr">
        <is>
          <t>0ce66f49b381187fe6255a40ca2fdbfc155d5e36125ccf6d30fe81a72962eafa</t>
        </is>
      </c>
      <c r="BE389" s="24" t="inlineStr">
        <is>
          <t>tennis-surface-elo-v1</t>
        </is>
      </c>
      <c r="BF389" s="24" t="inlineStr">
        <is>
          <t>1</t>
        </is>
      </c>
      <c r="BG389" s="24" t="inlineStr">
        <is>
          <t>0ce66f49b381187fe6255a40ca2fdbfc155d5e36125ccf6d30fe81a72962eafa</t>
        </is>
      </c>
      <c r="BH389" s="24" t="inlineStr">
        <is>
          <t>2026-09-01T13:48:07.812897Z</t>
        </is>
      </c>
      <c r="BI389" s="24" t="inlineStr">
        <is>
          <t>["same_event","same_team_same_day","same_league_same_day"]</t>
        </is>
      </c>
      <c r="BJ389" s="25" t="n"/>
      <c r="BK389" s="26" t="n">
        <v>144</v>
      </c>
      <c r="BL389" s="27" t="n">
        <v>2.44</v>
      </c>
      <c r="BM389" s="28" t="n">
        <v>0.409836</v>
      </c>
      <c r="BN389" s="28" t="n"/>
      <c r="BO389" s="28" t="n"/>
      <c r="BP389" s="25" t="n"/>
      <c r="BQ389" s="27" t="n">
        <v>2.44</v>
      </c>
      <c r="BR389" s="28" t="n">
        <v>0.41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inlineStr">
        <is>
          <t>0240e9281530d2c0b5027227fa1676b49f779f777f8881eb5bfe9ec64c5856ca</t>
        </is>
      </c>
      <c r="DE389" s="24" t="inlineStr">
        <is>
          <t>/Users/vincentc9002/model-prediction/data/odds/tennis/2026-09-01/polymarket_snapshots.jsonl</t>
        </is>
      </c>
      <c r="DF389" s="24" t="inlineStr">
        <is>
          <t>550531:2026-09-01T13:48:07.812897Z</t>
        </is>
      </c>
      <c r="DG389" s="24" t="n"/>
      <c r="DH389" s="24" t="n"/>
      <c r="DI389" s="24" t="n"/>
      <c r="DJ389" s="24" t="inlineStr">
        <is>
          <t>0.409836</t>
        </is>
      </c>
      <c r="DK389" s="24" t="n"/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6f121c500a4e4918</t>
        </is>
      </c>
      <c r="B390" s="24" t="inlineStr">
        <is>
          <t>2026-09-01T13:48:53.657030Z</t>
        </is>
      </c>
      <c r="C390" s="24" t="inlineStr">
        <is>
          <t>2026-09-01T15:00Z</t>
        </is>
      </c>
      <c r="D390" s="24" t="inlineStr">
        <is>
          <t>189-2026:182598</t>
        </is>
      </c>
      <c r="E390" s="24" t="inlineStr">
        <is>
          <t>TENNIS</t>
        </is>
      </c>
      <c r="F390" s="24" t="inlineStr">
        <is>
          <t>Ella Seidel</t>
        </is>
      </c>
      <c r="G390" s="24" t="inlineStr">
        <is>
          <t>Yuliia Starodubtseva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polymarket_us</t>
        </is>
      </c>
      <c r="L390" s="26" t="n">
        <v>-257</v>
      </c>
      <c r="M390" s="27" t="n">
        <v>1.389105</v>
      </c>
      <c r="N390" s="28" t="n">
        <v>0.719888</v>
      </c>
      <c r="O390" s="28" t="n">
        <v>0.7115</v>
      </c>
      <c r="P390" s="28" t="n">
        <v>0.05</v>
      </c>
      <c r="Q390" s="28" t="n">
        <v>-0.008388</v>
      </c>
      <c r="R390" s="26" t="n">
        <v>16</v>
      </c>
      <c r="S390" s="29" t="n">
        <v>1</v>
      </c>
      <c r="T390" s="24" t="inlineStr">
        <is>
          <t>tennis-surface-elo-v1</t>
        </is>
      </c>
      <c r="U390" s="24" t="inlineStr">
        <is>
          <t>settled</t>
        </is>
      </c>
      <c r="V390" s="24" t="inlineStr">
        <is>
          <t>win</t>
        </is>
      </c>
      <c r="W390" s="26" t="n">
        <v>0</v>
      </c>
      <c r="X390" s="26" t="n">
        <v>1</v>
      </c>
      <c r="Y390" s="25" t="n"/>
      <c r="Z390" s="26" t="n"/>
      <c r="AA390" s="28" t="n"/>
      <c r="AB390" s="28" t="n"/>
      <c r="AC390" s="30" t="n">
        <v>0.3891</v>
      </c>
      <c r="AD390" s="24" t="inlineStr">
        <is>
          <t>2026-09-02T04:30:16.347649Z</t>
        </is>
      </c>
      <c r="AE390" s="31" t="inlineStr">
        <is>
          <t>Surface-blended Elo on Hard: Ella Seidel p=0.289 vs Yuliia Starodubtseva. Executable ask 0.7200 (aec-wta-yulsta-ellsei-2026-08-30).</t>
        </is>
      </c>
      <c r="AF390" s="31" t="inlineStr">
        <is>
          <t>Surface-blended Elo model; singles only, WTA+ATP market coverage, not yet locked-holdout qualified -- promoted by explicit operator directive, not genuine walk-forward validation.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Ella Seidel</t>
        </is>
      </c>
      <c r="AQ390" s="24" t="inlineStr">
        <is>
          <t>Ella Seidel</t>
        </is>
      </c>
      <c r="AR390" s="24" t="inlineStr">
        <is>
          <t>Ella Seidel</t>
        </is>
      </c>
      <c r="AS390" s="24" t="inlineStr">
        <is>
          <t>Yuliia Starodubtseva</t>
        </is>
      </c>
      <c r="AT390" s="24" t="inlineStr">
        <is>
          <t>Yuliia Starodubtseva</t>
        </is>
      </c>
      <c r="AU390" s="24" t="inlineStr">
        <is>
          <t>Yuliia Starodubtseva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0ce66f49b381187fe6255a40ca2fdbfc155d5e36125ccf6d30fe81a72962eafa</t>
        </is>
      </c>
      <c r="BB390" s="24" t="inlineStr">
        <is>
          <t>surface_blended_elo</t>
        </is>
      </c>
      <c r="BC390" s="24" t="inlineStr">
        <is>
          <t>tennis-surface-elo-v1</t>
        </is>
      </c>
      <c r="BD390" s="24" t="inlineStr">
        <is>
          <t>0ce66f49b381187fe6255a40ca2fdbfc155d5e36125ccf6d30fe81a72962eafa</t>
        </is>
      </c>
      <c r="BE390" s="24" t="inlineStr">
        <is>
          <t>tennis-surface-elo-v1</t>
        </is>
      </c>
      <c r="BF390" s="24" t="inlineStr">
        <is>
          <t>1</t>
        </is>
      </c>
      <c r="BG390" s="24" t="inlineStr">
        <is>
          <t>0ce66f49b381187fe6255a40ca2fdbfc155d5e36125ccf6d30fe81a72962eafa</t>
        </is>
      </c>
      <c r="BH390" s="24" t="inlineStr">
        <is>
          <t>2026-09-01T13:48:07.697792Z</t>
        </is>
      </c>
      <c r="BI390" s="24" t="inlineStr">
        <is>
          <t>["same_event","same_team_same_day","same_league_same_day"]</t>
        </is>
      </c>
      <c r="BJ390" s="25" t="n"/>
      <c r="BK390" s="26" t="n">
        <v>-257</v>
      </c>
      <c r="BL390" s="27" t="n">
        <v>1.389105</v>
      </c>
      <c r="BM390" s="28" t="n">
        <v>0.719888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0.389105</v>
      </c>
      <c r="BZ390" s="24" t="inlineStr">
        <is>
          <t>2026-09-02T04:30:16.347649Z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inlineStr">
        <is>
          <t>524dcba8044e38f48e3dafe0fcad56c7c3c4d3ed5f4c931de9b4c6a1c692c066</t>
        </is>
      </c>
      <c r="DE390" s="24" t="inlineStr">
        <is>
          <t>/Users/vincentc9002/model-prediction/data/odds/tennis/2026-09-01/polymarket_snapshots.jsonl</t>
        </is>
      </c>
      <c r="DF390" s="24" t="inlineStr">
        <is>
          <t>547340:2026-09-01T13:48:07.697792Z</t>
        </is>
      </c>
      <c r="DG390" s="24" t="n"/>
      <c r="DH390" s="24" t="n"/>
      <c r="DI390" s="24" t="n"/>
      <c r="DJ390" s="24" t="inlineStr">
        <is>
          <t>0.719888</t>
        </is>
      </c>
      <c r="DK390" s="24" t="n"/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8b0f09da1f1a441a</t>
        </is>
      </c>
      <c r="B391" s="24" t="inlineStr">
        <is>
          <t>2026-09-01T13:48:53.657030Z</t>
        </is>
      </c>
      <c r="C391" s="24" t="inlineStr">
        <is>
          <t>2026-09-01T15:00Z</t>
        </is>
      </c>
      <c r="D391" s="24" t="inlineStr">
        <is>
          <t>189-2026:182602</t>
        </is>
      </c>
      <c r="E391" s="24" t="inlineStr">
        <is>
          <t>TENNIS</t>
        </is>
      </c>
      <c r="F391" s="24" t="inlineStr">
        <is>
          <t>Elena Rybakina</t>
        </is>
      </c>
      <c r="G391" s="24" t="inlineStr">
        <is>
          <t>Thea Frodin</t>
        </is>
      </c>
      <c r="H391" s="24" t="inlineStr">
        <is>
          <t>moneyline</t>
        </is>
      </c>
      <c r="I391" s="24" t="inlineStr">
        <is>
          <t>away</t>
        </is>
      </c>
      <c r="J391" s="25" t="n"/>
      <c r="K391" s="24" t="inlineStr">
        <is>
          <t>polymarket_us</t>
        </is>
      </c>
      <c r="L391" s="26" t="n">
        <v>-1567</v>
      </c>
      <c r="M391" s="27" t="n">
        <v>1.063816</v>
      </c>
      <c r="N391" s="28" t="n">
        <v>0.940012</v>
      </c>
      <c r="O391" s="28" t="n">
        <v>0.9532</v>
      </c>
      <c r="P391" s="28" t="n">
        <v>0.05</v>
      </c>
      <c r="Q391" s="28" t="n">
        <v>0.013188</v>
      </c>
      <c r="R391" s="26" t="n">
        <v>27</v>
      </c>
      <c r="S391" s="29" t="n">
        <v>1</v>
      </c>
      <c r="T391" s="24" t="inlineStr">
        <is>
          <t>tennis-surface-elo-v1</t>
        </is>
      </c>
      <c r="U391" s="24" t="inlineStr">
        <is>
          <t>settled</t>
        </is>
      </c>
      <c r="V391" s="24" t="inlineStr">
        <is>
          <t>win</t>
        </is>
      </c>
      <c r="W391" s="26" t="n">
        <v>1</v>
      </c>
      <c r="X391" s="26" t="n">
        <v>0</v>
      </c>
      <c r="Y391" s="25" t="n"/>
      <c r="Z391" s="26" t="n">
        <v>-1567</v>
      </c>
      <c r="AA391" s="28" t="n">
        <v>0.9399999999999999</v>
      </c>
      <c r="AB391" s="28" t="n">
        <v>-1.2e-05</v>
      </c>
      <c r="AC391" s="30" t="n">
        <v>0.0638</v>
      </c>
      <c r="AD391" s="24" t="inlineStr">
        <is>
          <t>2026-09-02T04:30:18.623398Z</t>
        </is>
      </c>
      <c r="AE391" s="31" t="inlineStr">
        <is>
          <t>Surface-blended Elo on Hard: Elena Rybakina p=0.953 vs Thea Frodin. Executable ask 0.9400 (aec-wta-thefro-eleryb-2026-08-30).</t>
        </is>
      </c>
      <c r="AF391" s="31" t="inlineStr">
        <is>
          <t>Surface-blended Elo model; singles only, WTA+ATP market coverage, not yet locked-holdout qualified -- promoted by explicit operator directive, not genuine walk-forward validation.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Elena Rybakina</t>
        </is>
      </c>
      <c r="AQ391" s="24" t="inlineStr">
        <is>
          <t>Elena Rybakina</t>
        </is>
      </c>
      <c r="AR391" s="24" t="inlineStr">
        <is>
          <t>Elena Rybakina</t>
        </is>
      </c>
      <c r="AS391" s="24" t="inlineStr">
        <is>
          <t>Thea Frodin</t>
        </is>
      </c>
      <c r="AT391" s="24" t="inlineStr">
        <is>
          <t>Thea Frodin</t>
        </is>
      </c>
      <c r="AU391" s="24" t="inlineStr">
        <is>
          <t>Thea Frodin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0ce66f49b381187fe6255a40ca2fdbfc155d5e36125ccf6d30fe81a72962eafa</t>
        </is>
      </c>
      <c r="BB391" s="24" t="inlineStr">
        <is>
          <t>surface_blended_elo</t>
        </is>
      </c>
      <c r="BC391" s="24" t="inlineStr">
        <is>
          <t>tennis-surface-elo-v1</t>
        </is>
      </c>
      <c r="BD391" s="24" t="inlineStr">
        <is>
          <t>0ce66f49b381187fe6255a40ca2fdbfc155d5e36125ccf6d30fe81a72962eafa</t>
        </is>
      </c>
      <c r="BE391" s="24" t="inlineStr">
        <is>
          <t>tennis-surface-elo-v1</t>
        </is>
      </c>
      <c r="BF391" s="24" t="inlineStr">
        <is>
          <t>1</t>
        </is>
      </c>
      <c r="BG391" s="24" t="inlineStr">
        <is>
          <t>0ce66f49b381187fe6255a40ca2fdbfc155d5e36125ccf6d30fe81a72962eafa</t>
        </is>
      </c>
      <c r="BH391" s="24" t="inlineStr">
        <is>
          <t>2026-09-01T13:48:07.782116Z</t>
        </is>
      </c>
      <c r="BI391" s="24" t="inlineStr">
        <is>
          <t>["same_event","same_team_same_day","same_league_same_day"]</t>
        </is>
      </c>
      <c r="BJ391" s="25" t="n"/>
      <c r="BK391" s="26" t="n">
        <v>-1567</v>
      </c>
      <c r="BL391" s="27" t="n">
        <v>1.063816</v>
      </c>
      <c r="BM391" s="28" t="n">
        <v>0.940012</v>
      </c>
      <c r="BN391" s="28" t="n"/>
      <c r="BO391" s="28" t="n"/>
      <c r="BP391" s="25" t="n"/>
      <c r="BQ391" s="27" t="n">
        <v>1.063816</v>
      </c>
      <c r="BR391" s="28" t="n">
        <v>0.9399999999999999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0.063816</v>
      </c>
      <c r="BZ391" s="24" t="inlineStr">
        <is>
          <t>2026-09-02T04:30:18.623398Z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inlineStr">
        <is>
          <t>52987044e63b0db275f127f05e373c2dd1ded0280746834d1b52f69bb3bd5e7e</t>
        </is>
      </c>
      <c r="DE391" s="24" t="inlineStr">
        <is>
          <t>/Users/vincentc9002/model-prediction/data/odds/tennis/2026-09-01/polymarket_snapshots.jsonl</t>
        </is>
      </c>
      <c r="DF391" s="24" t="inlineStr">
        <is>
          <t>547356:2026-09-01T13:48:07.782116Z</t>
        </is>
      </c>
      <c r="DG391" s="24" t="n"/>
      <c r="DH391" s="24" t="n"/>
      <c r="DI391" s="24" t="n"/>
      <c r="DJ391" s="24" t="inlineStr">
        <is>
          <t>0.940012</t>
        </is>
      </c>
      <c r="DK391" s="24" t="n"/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82e781d6ee074f3a</t>
        </is>
      </c>
      <c r="B392" s="24" t="inlineStr">
        <is>
          <t>2026-09-01T13:48:53.657030Z</t>
        </is>
      </c>
      <c r="C392" s="24" t="inlineStr">
        <is>
          <t>2026-09-01T15:00Z</t>
        </is>
      </c>
      <c r="D392" s="24" t="inlineStr">
        <is>
          <t>189-2026:182615</t>
        </is>
      </c>
      <c r="E392" s="24" t="inlineStr">
        <is>
          <t>TENNIS</t>
        </is>
      </c>
      <c r="F392" s="24" t="inlineStr">
        <is>
          <t>Belinda Bencic</t>
        </is>
      </c>
      <c r="G392" s="24" t="inlineStr">
        <is>
          <t>Yulia Putintseva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-426</v>
      </c>
      <c r="M392" s="27" t="n">
        <v>1.234742</v>
      </c>
      <c r="N392" s="28" t="n">
        <v>0.809886</v>
      </c>
      <c r="O392" s="28" t="n">
        <v>0.7292999999999999</v>
      </c>
      <c r="P392" s="28" t="n">
        <v>0.05</v>
      </c>
      <c r="Q392" s="28" t="n">
        <v>-0.080586</v>
      </c>
      <c r="R392" s="26" t="n">
        <v>0</v>
      </c>
      <c r="S392" s="29" t="n">
        <v>1</v>
      </c>
      <c r="T392" s="24" t="inlineStr">
        <is>
          <t>tennis-surface-elo-v1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1</v>
      </c>
      <c r="Y392" s="25" t="n"/>
      <c r="Z392" s="26" t="n">
        <v>-426</v>
      </c>
      <c r="AA392" s="28" t="n">
        <v>0.8100000000000001</v>
      </c>
      <c r="AB392" s="28" t="n">
        <v>0.000114</v>
      </c>
      <c r="AC392" s="30" t="n">
        <v>-1</v>
      </c>
      <c r="AD392" s="24" t="inlineStr">
        <is>
          <t>2026-09-02T04:30:20.714342Z</t>
        </is>
      </c>
      <c r="AE392" s="31" t="inlineStr">
        <is>
          <t>Surface-blended Elo on Hard: Belinda Bencic p=0.729 vs Yulia Putintseva. Executable ask 0.8100 (aec-wta-yulput-belben-2026-08-30).</t>
        </is>
      </c>
      <c r="AF392" s="31" t="inlineStr">
        <is>
          <t>Surface-blended Elo model; singles only, WTA+ATP market coverage, not yet locked-holdout qualified -- promoted by explicit operator directive, not genuine walk-forward validation.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Belinda Bencic</t>
        </is>
      </c>
      <c r="AQ392" s="24" t="inlineStr">
        <is>
          <t>Belinda Bencic</t>
        </is>
      </c>
      <c r="AR392" s="24" t="inlineStr">
        <is>
          <t>Belinda Bencic</t>
        </is>
      </c>
      <c r="AS392" s="24" t="inlineStr">
        <is>
          <t>Yulia Putintseva</t>
        </is>
      </c>
      <c r="AT392" s="24" t="inlineStr">
        <is>
          <t>Yulia Putintseva</t>
        </is>
      </c>
      <c r="AU392" s="24" t="inlineStr">
        <is>
          <t>Yulia Putintseva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0ce66f49b381187fe6255a40ca2fdbfc155d5e36125ccf6d30fe81a72962eafa</t>
        </is>
      </c>
      <c r="BB392" s="24" t="inlineStr">
        <is>
          <t>surface_blended_elo</t>
        </is>
      </c>
      <c r="BC392" s="24" t="inlineStr">
        <is>
          <t>tennis-surface-elo-v1</t>
        </is>
      </c>
      <c r="BD392" s="24" t="inlineStr">
        <is>
          <t>0ce66f49b381187fe6255a40ca2fdbfc155d5e36125ccf6d30fe81a72962eafa</t>
        </is>
      </c>
      <c r="BE392" s="24" t="inlineStr">
        <is>
          <t>tennis-surface-elo-v1</t>
        </is>
      </c>
      <c r="BF392" s="24" t="inlineStr">
        <is>
          <t>1</t>
        </is>
      </c>
      <c r="BG392" s="24" t="inlineStr">
        <is>
          <t>0ce66f49b381187fe6255a40ca2fdbfc155d5e36125ccf6d30fe81a72962eafa</t>
        </is>
      </c>
      <c r="BH392" s="24" t="inlineStr">
        <is>
          <t>2026-09-01T13:48:07.811997Z</t>
        </is>
      </c>
      <c r="BI392" s="24" t="inlineStr">
        <is>
          <t>["same_event","same_team_same_day","same_league_same_day"]</t>
        </is>
      </c>
      <c r="BJ392" s="25" t="n"/>
      <c r="BK392" s="26" t="n">
        <v>-426</v>
      </c>
      <c r="BL392" s="27" t="n">
        <v>1.234742</v>
      </c>
      <c r="BM392" s="28" t="n">
        <v>0.809886</v>
      </c>
      <c r="BN392" s="28" t="n"/>
      <c r="BO392" s="28" t="n"/>
      <c r="BP392" s="25" t="n"/>
      <c r="BQ392" s="27" t="n">
        <v>1.234742</v>
      </c>
      <c r="BR392" s="28" t="n">
        <v>0.8100000000000001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-1</v>
      </c>
      <c r="BZ392" s="24" t="inlineStr">
        <is>
          <t>2026-09-02T04:30:20.714342Z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inlineStr">
        <is>
          <t>6f639dd977269d49687f3ccabc4b77d9473eba47ef7403f470ad07a8ec43dc36</t>
        </is>
      </c>
      <c r="DE392" s="24" t="inlineStr">
        <is>
          <t>/Users/vincentc9002/model-prediction/data/odds/tennis/2026-09-01/polymarket_snapshots.jsonl</t>
        </is>
      </c>
      <c r="DF392" s="24" t="inlineStr">
        <is>
          <t>547324:2026-09-01T13:48:07.811997Z</t>
        </is>
      </c>
      <c r="DG392" s="24" t="n"/>
      <c r="DH392" s="24" t="n"/>
      <c r="DI392" s="24" t="n"/>
      <c r="DJ392" s="24" t="inlineStr">
        <is>
          <t>0.809886</t>
        </is>
      </c>
      <c r="DK392" s="24" t="n"/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6045e5d7617a4eb1</t>
        </is>
      </c>
      <c r="B393" s="24" t="inlineStr">
        <is>
          <t>2026-09-01T13:48:53.657030Z</t>
        </is>
      </c>
      <c r="C393" s="24" t="inlineStr">
        <is>
          <t>2026-09-01T15:00Z</t>
        </is>
      </c>
      <c r="D393" s="24" t="inlineStr">
        <is>
          <t>189-2026:182627</t>
        </is>
      </c>
      <c r="E393" s="24" t="inlineStr">
        <is>
          <t>TENNIS</t>
        </is>
      </c>
      <c r="F393" s="24" t="inlineStr">
        <is>
          <t>Eva Lys</t>
        </is>
      </c>
      <c r="G393" s="24" t="inlineStr">
        <is>
          <t>Gabriela Knutson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-156</v>
      </c>
      <c r="M393" s="27" t="n">
        <v>1.641026</v>
      </c>
      <c r="N393" s="28" t="n">
        <v>0.609375</v>
      </c>
      <c r="O393" s="28" t="n">
        <v>0.5338000000000001</v>
      </c>
      <c r="P393" s="28" t="n">
        <v>0.05</v>
      </c>
      <c r="Q393" s="28" t="n">
        <v>-0.075575</v>
      </c>
      <c r="R393" s="26" t="n">
        <v>0</v>
      </c>
      <c r="S393" s="29" t="n">
        <v>1</v>
      </c>
      <c r="T393" s="24" t="inlineStr">
        <is>
          <t>tennis-surface-elo-v1</t>
        </is>
      </c>
      <c r="U393" s="24" t="inlineStr">
        <is>
          <t>settled</t>
        </is>
      </c>
      <c r="V393" s="24" t="inlineStr">
        <is>
          <t>win</t>
        </is>
      </c>
      <c r="W393" s="26" t="n">
        <v>1</v>
      </c>
      <c r="X393" s="26" t="n">
        <v>0</v>
      </c>
      <c r="Y393" s="25" t="n"/>
      <c r="Z393" s="26" t="n">
        <v>-156</v>
      </c>
      <c r="AA393" s="28" t="n">
        <v>0.61</v>
      </c>
      <c r="AB393" s="28" t="n">
        <v>0.000625</v>
      </c>
      <c r="AC393" s="30" t="n">
        <v>0.641</v>
      </c>
      <c r="AD393" s="24" t="inlineStr">
        <is>
          <t>2026-09-02T04:30:22.660179Z</t>
        </is>
      </c>
      <c r="AE393" s="31" t="inlineStr">
        <is>
          <t>Surface-blended Elo on Hard: Eva Lys p=0.534 vs Gabriela Knutson. Executable ask 0.6100 (aec-wta-gabknu-evalys-2026-08-30).</t>
        </is>
      </c>
      <c r="AF393" s="31" t="inlineStr">
        <is>
          <t>Surface-blended Elo model; singles only, WTA+ATP market coverage, not yet locked-holdout qualified -- promoted by explicit operator directive, not genuine walk-forward validation.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PAPER_CALL_LOW_EDGE</t>
        </is>
      </c>
      <c r="AP393" s="24" t="inlineStr">
        <is>
          <t>Eva Lys</t>
        </is>
      </c>
      <c r="AQ393" s="24" t="inlineStr">
        <is>
          <t>Eva Lys</t>
        </is>
      </c>
      <c r="AR393" s="24" t="inlineStr">
        <is>
          <t>Eva Lys</t>
        </is>
      </c>
      <c r="AS393" s="24" t="inlineStr">
        <is>
          <t>Gabriela Knutson</t>
        </is>
      </c>
      <c r="AT393" s="24" t="inlineStr">
        <is>
          <t>Gabriela Knutson</t>
        </is>
      </c>
      <c r="AU393" s="24" t="inlineStr">
        <is>
          <t>Gabriela Knutson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0ce66f49b381187fe6255a40ca2fdbfc155d5e36125ccf6d30fe81a72962eafa</t>
        </is>
      </c>
      <c r="BB393" s="24" t="inlineStr">
        <is>
          <t>surface_blended_elo</t>
        </is>
      </c>
      <c r="BC393" s="24" t="inlineStr">
        <is>
          <t>tennis-surface-elo-v1</t>
        </is>
      </c>
      <c r="BD393" s="24" t="inlineStr">
        <is>
          <t>0ce66f49b381187fe6255a40ca2fdbfc155d5e36125ccf6d30fe81a72962eafa</t>
        </is>
      </c>
      <c r="BE393" s="24" t="inlineStr">
        <is>
          <t>tennis-surface-elo-v1</t>
        </is>
      </c>
      <c r="BF393" s="24" t="inlineStr">
        <is>
          <t>1</t>
        </is>
      </c>
      <c r="BG393" s="24" t="inlineStr">
        <is>
          <t>0ce66f49b381187fe6255a40ca2fdbfc155d5e36125ccf6d30fe81a72962eafa</t>
        </is>
      </c>
      <c r="BH393" s="24" t="inlineStr">
        <is>
          <t>2026-09-01T13:48:07.743606Z</t>
        </is>
      </c>
      <c r="BI393" s="24" t="inlineStr">
        <is>
          <t>["same_event","same_team_same_day","same_league_same_day"]</t>
        </is>
      </c>
      <c r="BJ393" s="25" t="n"/>
      <c r="BK393" s="26" t="n">
        <v>-156</v>
      </c>
      <c r="BL393" s="27" t="n">
        <v>1.641026</v>
      </c>
      <c r="BM393" s="28" t="n">
        <v>0.609375</v>
      </c>
      <c r="BN393" s="28" t="n"/>
      <c r="BO393" s="28" t="n"/>
      <c r="BP393" s="25" t="n"/>
      <c r="BQ393" s="27" t="n">
        <v>1.641026</v>
      </c>
      <c r="BR393" s="28" t="n">
        <v>0.61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0.641026</v>
      </c>
      <c r="BZ393" s="24" t="inlineStr">
        <is>
          <t>2026-09-02T04:30:22.660179Z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False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inlineStr">
        <is>
          <t>7500a023eb79ba2a6acaaa2477e5f74cc11840c15699bfdaae46ae65c1781b74</t>
        </is>
      </c>
      <c r="DE393" s="24" t="inlineStr">
        <is>
          <t>/Users/vincentc9002/model-prediction/data/odds/tennis/2026-09-01/polymarket_snapshots.jsonl</t>
        </is>
      </c>
      <c r="DF393" s="24" t="inlineStr">
        <is>
          <t>550516:2026-09-01T13:48:07.743606Z</t>
        </is>
      </c>
      <c r="DG393" s="24" t="n"/>
      <c r="DH393" s="24" t="n"/>
      <c r="DI393" s="24" t="n"/>
      <c r="DJ393" s="24" t="inlineStr">
        <is>
          <t>0.609375</t>
        </is>
      </c>
      <c r="DK393" s="24" t="n"/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bda98011a0a14213</t>
        </is>
      </c>
      <c r="B394" s="24" t="inlineStr">
        <is>
          <t>2026-09-01T13:48:53.657030Z</t>
        </is>
      </c>
      <c r="C394" s="24" t="inlineStr">
        <is>
          <t>2026-09-01T15:30Z</t>
        </is>
      </c>
      <c r="D394" s="24" t="inlineStr">
        <is>
          <t>189-2026:182611</t>
        </is>
      </c>
      <c r="E394" s="24" t="inlineStr">
        <is>
          <t>TENNIS</t>
        </is>
      </c>
      <c r="F394" s="24" t="inlineStr">
        <is>
          <t>Alina Korneeva</t>
        </is>
      </c>
      <c r="G394" s="24" t="inlineStr">
        <is>
          <t>Madison Keys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-257</v>
      </c>
      <c r="M394" s="27" t="n">
        <v>1.389105</v>
      </c>
      <c r="N394" s="28" t="n">
        <v>0.719888</v>
      </c>
      <c r="O394" s="28" t="n">
        <v>0.7060999999999999</v>
      </c>
      <c r="P394" s="28" t="n">
        <v>0.05</v>
      </c>
      <c r="Q394" s="28" t="n">
        <v>-0.013788</v>
      </c>
      <c r="R394" s="26" t="n">
        <v>13</v>
      </c>
      <c r="S394" s="29" t="n">
        <v>1</v>
      </c>
      <c r="T394" s="24" t="inlineStr">
        <is>
          <t>tennis-surface-elo-v1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1</v>
      </c>
      <c r="Y394" s="25" t="n"/>
      <c r="Z394" s="26" t="n">
        <v>-257</v>
      </c>
      <c r="AA394" s="28" t="n">
        <v>0.72</v>
      </c>
      <c r="AB394" s="28" t="n">
        <v>0.000112</v>
      </c>
      <c r="AC394" s="30" t="n">
        <v>0.3891</v>
      </c>
      <c r="AD394" s="24" t="inlineStr">
        <is>
          <t>2026-09-02T04:30:24.633956Z</t>
        </is>
      </c>
      <c r="AE394" s="31" t="inlineStr">
        <is>
          <t>Surface-blended Elo on Hard: Alina Korneeva p=0.294 vs Madison Keys. Executable ask 0.7200 (aec-wta-madkey-alikor-2026-08-30).</t>
        </is>
      </c>
      <c r="AF394" s="31" t="inlineStr">
        <is>
          <t>Surface-blended Elo model; singles only, WTA+ATP market coverage, not yet locked-holdout qualified -- promoted by explicit operator directive, not genuine walk-forward validation.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Alina Korneeva</t>
        </is>
      </c>
      <c r="AQ394" s="24" t="inlineStr">
        <is>
          <t>Alina Korneeva</t>
        </is>
      </c>
      <c r="AR394" s="24" t="inlineStr">
        <is>
          <t>Alina Korneeva</t>
        </is>
      </c>
      <c r="AS394" s="24" t="inlineStr">
        <is>
          <t>Madison Keys</t>
        </is>
      </c>
      <c r="AT394" s="24" t="inlineStr">
        <is>
          <t>Madison Keys</t>
        </is>
      </c>
      <c r="AU394" s="24" t="inlineStr">
        <is>
          <t>Madison Keys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0ce66f49b381187fe6255a40ca2fdbfc155d5e36125ccf6d30fe81a72962eafa</t>
        </is>
      </c>
      <c r="BB394" s="24" t="inlineStr">
        <is>
          <t>surface_blended_elo</t>
        </is>
      </c>
      <c r="BC394" s="24" t="inlineStr">
        <is>
          <t>tennis-surface-elo-v1</t>
        </is>
      </c>
      <c r="BD394" s="24" t="inlineStr">
        <is>
          <t>0ce66f49b381187fe6255a40ca2fdbfc155d5e36125ccf6d30fe81a72962eafa</t>
        </is>
      </c>
      <c r="BE394" s="24" t="inlineStr">
        <is>
          <t>tennis-surface-elo-v1</t>
        </is>
      </c>
      <c r="BF394" s="24" t="inlineStr">
        <is>
          <t>1</t>
        </is>
      </c>
      <c r="BG394" s="24" t="inlineStr">
        <is>
          <t>0ce66f49b381187fe6255a40ca2fdbfc155d5e36125ccf6d30fe81a72962eafa</t>
        </is>
      </c>
      <c r="BH394" s="24" t="inlineStr">
        <is>
          <t>2026-09-01T13:48:07.827309Z</t>
        </is>
      </c>
      <c r="BI394" s="24" t="inlineStr">
        <is>
          <t>["same_event","same_team_same_day","same_league_same_day"]</t>
        </is>
      </c>
      <c r="BJ394" s="25" t="n"/>
      <c r="BK394" s="26" t="n">
        <v>-257</v>
      </c>
      <c r="BL394" s="27" t="n">
        <v>1.389105</v>
      </c>
      <c r="BM394" s="28" t="n">
        <v>0.719888</v>
      </c>
      <c r="BN394" s="28" t="n"/>
      <c r="BO394" s="28" t="n"/>
      <c r="BP394" s="25" t="n"/>
      <c r="BQ394" s="27" t="n">
        <v>1.389105</v>
      </c>
      <c r="BR394" s="28" t="n">
        <v>0.72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0.389105</v>
      </c>
      <c r="BZ394" s="24" t="inlineStr">
        <is>
          <t>2026-09-02T04:30:24.633956Z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False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inlineStr">
        <is>
          <t>26a7636e5b698970d5090f193108f051572a6b3017230f5000dbbf4c93674047</t>
        </is>
      </c>
      <c r="DE394" s="24" t="inlineStr">
        <is>
          <t>/Users/vincentc9002/model-prediction/data/odds/tennis/2026-09-01/polymarket_snapshots.jsonl</t>
        </is>
      </c>
      <c r="DF394" s="24" t="inlineStr">
        <is>
          <t>547322:2026-09-01T13:48:07.827309Z</t>
        </is>
      </c>
      <c r="DG394" s="24" t="n"/>
      <c r="DH394" s="24" t="n"/>
      <c r="DI394" s="24" t="n"/>
      <c r="DJ394" s="24" t="inlineStr">
        <is>
          <t>0.719888</t>
        </is>
      </c>
      <c r="DK394" s="24" t="n"/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9db21eb1d6824a14</t>
        </is>
      </c>
      <c r="B395" s="24" t="inlineStr">
        <is>
          <t>2026-09-01T13:48:53.657030Z</t>
        </is>
      </c>
      <c r="C395" s="24" t="inlineStr">
        <is>
          <t>2026-09-01T15:00Z</t>
        </is>
      </c>
      <c r="D395" s="24" t="inlineStr">
        <is>
          <t>189-2026:182683</t>
        </is>
      </c>
      <c r="E395" s="24" t="inlineStr">
        <is>
          <t>TENNIS</t>
        </is>
      </c>
      <c r="F395" s="24" t="inlineStr">
        <is>
          <t>Zsombor Piros</t>
        </is>
      </c>
      <c r="G395" s="24" t="inlineStr">
        <is>
          <t>Mattia Bellucci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polymarket_us</t>
        </is>
      </c>
      <c r="L395" s="26" t="n">
        <v>-203</v>
      </c>
      <c r="M395" s="27" t="n">
        <v>1.492611</v>
      </c>
      <c r="N395" s="28" t="n">
        <v>0.669967</v>
      </c>
      <c r="O395" s="28" t="n">
        <v>0.5658</v>
      </c>
      <c r="P395" s="28" t="n">
        <v>0.05</v>
      </c>
      <c r="Q395" s="28" t="n">
        <v>-0.104167</v>
      </c>
      <c r="R395" s="26" t="n">
        <v>0</v>
      </c>
      <c r="S395" s="29" t="n">
        <v>1</v>
      </c>
      <c r="T395" s="24" t="inlineStr">
        <is>
          <t>tennis-surface-elo-v1</t>
        </is>
      </c>
      <c r="U395" s="24" t="inlineStr">
        <is>
          <t>settled</t>
        </is>
      </c>
      <c r="V395" s="24" t="inlineStr">
        <is>
          <t>win</t>
        </is>
      </c>
      <c r="W395" s="26" t="n">
        <v>0</v>
      </c>
      <c r="X395" s="26" t="n">
        <v>1</v>
      </c>
      <c r="Y395" s="25" t="n"/>
      <c r="Z395" s="26" t="n">
        <v>-203</v>
      </c>
      <c r="AA395" s="28" t="n">
        <v>0.67</v>
      </c>
      <c r="AB395" s="28" t="n">
        <v>3.3e-05</v>
      </c>
      <c r="AC395" s="30" t="n">
        <v>0.4926</v>
      </c>
      <c r="AD395" s="24" t="inlineStr">
        <is>
          <t>2026-09-02T04:30:26.785193Z</t>
        </is>
      </c>
      <c r="AE395" s="31" t="inlineStr">
        <is>
          <t>Surface-blended Elo on Hard: Zsombor Piros p=0.434 vs Mattia Bellucci. Executable ask 0.6700 (aec-atp-matbel-zsopir-2026-08-30).</t>
        </is>
      </c>
      <c r="AF395" s="31" t="inlineStr">
        <is>
          <t>Surface-blended Elo model; singles only, WTA+ATP market coverage, not yet locked-holdout qualified -- promoted by explicit operator directive, not genuine walk-forward validation.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Zsombor Piros</t>
        </is>
      </c>
      <c r="AQ395" s="24" t="inlineStr">
        <is>
          <t>Zsombor Piros</t>
        </is>
      </c>
      <c r="AR395" s="24" t="inlineStr">
        <is>
          <t>Zsombor Piros</t>
        </is>
      </c>
      <c r="AS395" s="24" t="inlineStr">
        <is>
          <t>Mattia Bellucci</t>
        </is>
      </c>
      <c r="AT395" s="24" t="inlineStr">
        <is>
          <t>Mattia Bellucci</t>
        </is>
      </c>
      <c r="AU395" s="24" t="inlineStr">
        <is>
          <t>Mattia Bellucci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0ce66f49b381187fe6255a40ca2fdbfc155d5e36125ccf6d30fe81a72962eafa</t>
        </is>
      </c>
      <c r="BB395" s="24" t="inlineStr">
        <is>
          <t>surface_blended_elo</t>
        </is>
      </c>
      <c r="BC395" s="24" t="inlineStr">
        <is>
          <t>tennis-surface-elo-v1</t>
        </is>
      </c>
      <c r="BD395" s="24" t="inlineStr">
        <is>
          <t>0ce66f49b381187fe6255a40ca2fdbfc155d5e36125ccf6d30fe81a72962eafa</t>
        </is>
      </c>
      <c r="BE395" s="24" t="inlineStr">
        <is>
          <t>tennis-surface-elo-v1</t>
        </is>
      </c>
      <c r="BF395" s="24" t="inlineStr">
        <is>
          <t>1</t>
        </is>
      </c>
      <c r="BG395" s="24" t="inlineStr">
        <is>
          <t>0ce66f49b381187fe6255a40ca2fdbfc155d5e36125ccf6d30fe81a72962eafa</t>
        </is>
      </c>
      <c r="BH395" s="24" t="inlineStr">
        <is>
          <t>2026-09-01T13:48:08.294143Z</t>
        </is>
      </c>
      <c r="BI395" s="24" t="inlineStr">
        <is>
          <t>["same_event","same_team_same_day","same_league_same_day"]</t>
        </is>
      </c>
      <c r="BJ395" s="25" t="n"/>
      <c r="BK395" s="26" t="n">
        <v>-203</v>
      </c>
      <c r="BL395" s="27" t="n">
        <v>1.492611</v>
      </c>
      <c r="BM395" s="28" t="n">
        <v>0.669967</v>
      </c>
      <c r="BN395" s="28" t="n"/>
      <c r="BO395" s="28" t="n"/>
      <c r="BP395" s="25" t="n"/>
      <c r="BQ395" s="27" t="n">
        <v>1.492611</v>
      </c>
      <c r="BR395" s="28" t="n">
        <v>0.67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0.492611</v>
      </c>
      <c r="BZ395" s="24" t="inlineStr">
        <is>
          <t>2026-09-02T04:30:26.785193Z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inlineStr">
        <is>
          <t>91d11ee45eba3ca1590c349db9ef53cbcbeafedb824a99e9c2c46c990f21dbfd</t>
        </is>
      </c>
      <c r="DE395" s="24" t="inlineStr">
        <is>
          <t>/Users/vincentc9002/model-prediction/data/odds/tennis/2026-09-01/polymarket_snapshots.jsonl</t>
        </is>
      </c>
      <c r="DF395" s="24" t="inlineStr">
        <is>
          <t>550505:2026-09-01T13:48:08.294143Z</t>
        </is>
      </c>
      <c r="DG395" s="24" t="n"/>
      <c r="DH395" s="24" t="n"/>
      <c r="DI395" s="24" t="n"/>
      <c r="DJ395" s="24" t="inlineStr">
        <is>
          <t>0.669967</t>
        </is>
      </c>
      <c r="DK395" s="24" t="n"/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26bc0211e2c74ee3</t>
        </is>
      </c>
      <c r="B396" s="24" t="inlineStr">
        <is>
          <t>2026-09-01T13:48:53.657030Z</t>
        </is>
      </c>
      <c r="C396" s="24" t="inlineStr">
        <is>
          <t>2026-09-01T15:00Z</t>
        </is>
      </c>
      <c r="D396" s="24" t="inlineStr">
        <is>
          <t>189-2026:182706</t>
        </is>
      </c>
      <c r="E396" s="24" t="inlineStr">
        <is>
          <t>TENNIS</t>
        </is>
      </c>
      <c r="F396" s="24" t="inlineStr">
        <is>
          <t>Corentin Moutet</t>
        </is>
      </c>
      <c r="G396" s="24" t="inlineStr">
        <is>
          <t>Dane Sweeny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-270</v>
      </c>
      <c r="M396" s="27" t="n">
        <v>1.37037</v>
      </c>
      <c r="N396" s="28" t="n">
        <v>0.72973</v>
      </c>
      <c r="O396" s="28" t="n">
        <v>0.5878</v>
      </c>
      <c r="P396" s="28" t="n">
        <v>0.05</v>
      </c>
      <c r="Q396" s="28" t="n">
        <v>-0.14193</v>
      </c>
      <c r="R396" s="26" t="n">
        <v>0</v>
      </c>
      <c r="S396" s="29" t="n">
        <v>1</v>
      </c>
      <c r="T396" s="24" t="inlineStr">
        <is>
          <t>tennis-surface-elo-v1</t>
        </is>
      </c>
      <c r="U396" s="24" t="inlineStr">
        <is>
          <t>settled</t>
        </is>
      </c>
      <c r="V396" s="24" t="inlineStr">
        <is>
          <t>loss</t>
        </is>
      </c>
      <c r="W396" s="26" t="n">
        <v>0</v>
      </c>
      <c r="X396" s="26" t="n">
        <v>1</v>
      </c>
      <c r="Y396" s="25" t="n"/>
      <c r="Z396" s="26" t="n">
        <v>-270</v>
      </c>
      <c r="AA396" s="28" t="n">
        <v>0.73</v>
      </c>
      <c r="AB396" s="28" t="n">
        <v>0.00027</v>
      </c>
      <c r="AC396" s="30" t="n">
        <v>-1</v>
      </c>
      <c r="AD396" s="24" t="inlineStr">
        <is>
          <t>2026-09-02T04:30:28.733931Z</t>
        </is>
      </c>
      <c r="AE396" s="31" t="inlineStr">
        <is>
          <t>Surface-blended Elo on Hard: Corentin Moutet p=0.588 vs Dane Sweeny. Executable ask 0.7300 (aec-atp-danswe-cormou-2026-08-30).</t>
        </is>
      </c>
      <c r="AF396" s="31" t="inlineStr">
        <is>
          <t>Surface-blended Elo model; singles only, WTA+ATP market coverage, not yet locked-holdout qualified -- promoted by explicit operator directive, not genuine walk-forward validation.</t>
        </is>
      </c>
      <c r="AG396" s="24" t="inlineStr">
        <is>
          <t>review_required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PAPER_CALL_LOW_EDGE</t>
        </is>
      </c>
      <c r="AP396" s="24" t="inlineStr">
        <is>
          <t>Corentin Moutet</t>
        </is>
      </c>
      <c r="AQ396" s="24" t="inlineStr">
        <is>
          <t>Corentin Moutet</t>
        </is>
      </c>
      <c r="AR396" s="24" t="inlineStr">
        <is>
          <t>Corentin Moutet</t>
        </is>
      </c>
      <c r="AS396" s="24" t="inlineStr">
        <is>
          <t>Dane Sweeny</t>
        </is>
      </c>
      <c r="AT396" s="24" t="inlineStr">
        <is>
          <t>Dane Sweeny</t>
        </is>
      </c>
      <c r="AU396" s="24" t="inlineStr">
        <is>
          <t>Dane Sweeny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0ce66f49b381187fe6255a40ca2fdbfc155d5e36125ccf6d30fe81a72962eafa</t>
        </is>
      </c>
      <c r="BB396" s="24" t="inlineStr">
        <is>
          <t>surface_blended_elo</t>
        </is>
      </c>
      <c r="BC396" s="24" t="inlineStr">
        <is>
          <t>tennis-surface-elo-v1</t>
        </is>
      </c>
      <c r="BD396" s="24" t="inlineStr">
        <is>
          <t>0ce66f49b381187fe6255a40ca2fdbfc155d5e36125ccf6d30fe81a72962eafa</t>
        </is>
      </c>
      <c r="BE396" s="24" t="inlineStr">
        <is>
          <t>tennis-surface-elo-v1</t>
        </is>
      </c>
      <c r="BF396" s="24" t="inlineStr">
        <is>
          <t>1</t>
        </is>
      </c>
      <c r="BG396" s="24" t="inlineStr">
        <is>
          <t>0ce66f49b381187fe6255a40ca2fdbfc155d5e36125ccf6d30fe81a72962eafa</t>
        </is>
      </c>
      <c r="BH396" s="24" t="inlineStr">
        <is>
          <t>2026-09-01T13:48:08.283655Z</t>
        </is>
      </c>
      <c r="BI396" s="24" t="inlineStr">
        <is>
          <t>["same_event","same_team_same_day","same_league_same_day"]</t>
        </is>
      </c>
      <c r="BJ396" s="25" t="n"/>
      <c r="BK396" s="26" t="n">
        <v>-270</v>
      </c>
      <c r="BL396" s="27" t="n">
        <v>1.37037</v>
      </c>
      <c r="BM396" s="28" t="n">
        <v>0.72973</v>
      </c>
      <c r="BN396" s="28" t="n"/>
      <c r="BO396" s="28" t="n"/>
      <c r="BP396" s="25" t="n"/>
      <c r="BQ396" s="27" t="n">
        <v>1.37037</v>
      </c>
      <c r="BR396" s="28" t="n">
        <v>0.73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-1</v>
      </c>
      <c r="BZ396" s="24" t="inlineStr">
        <is>
          <t>2026-09-02T04:30:28.733931Z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False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inlineStr">
        <is>
          <t>1d765aa4c9980a1c81a9ecb6dcd21978a8c25c1b0747b666ba098f17d2a56214</t>
        </is>
      </c>
      <c r="DE396" s="24" t="inlineStr">
        <is>
          <t>/Users/vincentc9002/model-prediction/data/odds/tennis/2026-09-01/polymarket_snapshots.jsonl</t>
        </is>
      </c>
      <c r="DF396" s="24" t="inlineStr">
        <is>
          <t>547260:2026-09-01T13:48:08.283655Z</t>
        </is>
      </c>
      <c r="DG396" s="24" t="n"/>
      <c r="DH396" s="24" t="n"/>
      <c r="DI396" s="24" t="n"/>
      <c r="DJ396" s="24" t="inlineStr">
        <is>
          <t>0.72973</t>
        </is>
      </c>
      <c r="DK396" s="24" t="n"/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d9590221db864f7f</t>
        </is>
      </c>
      <c r="B397" s="24" t="inlineStr">
        <is>
          <t>2026-09-01T13:48:53.657030Z</t>
        </is>
      </c>
      <c r="C397" s="24" t="inlineStr">
        <is>
          <t>2026-09-01T15:00Z</t>
        </is>
      </c>
      <c r="D397" s="24" t="inlineStr">
        <is>
          <t>189-2026:182715</t>
        </is>
      </c>
      <c r="E397" s="24" t="inlineStr">
        <is>
          <t>TENNIS</t>
        </is>
      </c>
      <c r="F397" s="24" t="inlineStr">
        <is>
          <t>Tristan Schoolkate</t>
        </is>
      </c>
      <c r="G397" s="24" t="inlineStr">
        <is>
          <t>Nishesh Basavareddy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-300</v>
      </c>
      <c r="M397" s="27" t="n">
        <v>1.333333</v>
      </c>
      <c r="N397" s="28" t="n">
        <v>0.75</v>
      </c>
      <c r="O397" s="28" t="n">
        <v>0.631</v>
      </c>
      <c r="P397" s="28" t="n">
        <v>0.05</v>
      </c>
      <c r="Q397" s="28" t="n">
        <v>-0.119</v>
      </c>
      <c r="R397" s="26" t="n">
        <v>0</v>
      </c>
      <c r="S397" s="29" t="n">
        <v>1</v>
      </c>
      <c r="T397" s="24" t="inlineStr">
        <is>
          <t>tennis-surface-elo-v1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</v>
      </c>
      <c r="X397" s="26" t="n">
        <v>0</v>
      </c>
      <c r="Y397" s="25" t="n"/>
      <c r="Z397" s="26" t="n">
        <v>-300</v>
      </c>
      <c r="AA397" s="28" t="n">
        <v>0.75</v>
      </c>
      <c r="AB397" s="28" t="n">
        <v>0</v>
      </c>
      <c r="AC397" s="30" t="n">
        <v>-1</v>
      </c>
      <c r="AD397" s="24" t="inlineStr">
        <is>
          <t>2026-09-02T04:30:30.749839Z</t>
        </is>
      </c>
      <c r="AE397" s="31" t="inlineStr">
        <is>
          <t>Surface-blended Elo on Hard: Tristan Schoolkate p=0.369 vs Nishesh Basavareddy. Executable ask 0.7500 (aec-atp-nisbas-trisch-2026-08-30).</t>
        </is>
      </c>
      <c r="AF397" s="31" t="inlineStr">
        <is>
          <t>Surface-blended Elo model; singles only, WTA+ATP market coverage, not yet locked-holdout qualified -- promoted by explicit operator directive, not genuine walk-forward validation.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PAPER_CALL_LOW_EDGE</t>
        </is>
      </c>
      <c r="AP397" s="24" t="inlineStr">
        <is>
          <t>Tristan Schoolkate</t>
        </is>
      </c>
      <c r="AQ397" s="24" t="inlineStr">
        <is>
          <t>Tristan Schoolkate</t>
        </is>
      </c>
      <c r="AR397" s="24" t="inlineStr">
        <is>
          <t>Tristan Schoolkate</t>
        </is>
      </c>
      <c r="AS397" s="24" t="inlineStr">
        <is>
          <t>Nishesh Basavareddy</t>
        </is>
      </c>
      <c r="AT397" s="24" t="inlineStr">
        <is>
          <t>Nishesh Basavareddy</t>
        </is>
      </c>
      <c r="AU397" s="24" t="inlineStr">
        <is>
          <t>Nishesh Basavareddy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0ce66f49b381187fe6255a40ca2fdbfc155d5e36125ccf6d30fe81a72962eafa</t>
        </is>
      </c>
      <c r="BB397" s="24" t="inlineStr">
        <is>
          <t>surface_blended_elo</t>
        </is>
      </c>
      <c r="BC397" s="24" t="inlineStr">
        <is>
          <t>tennis-surface-elo-v1</t>
        </is>
      </c>
      <c r="BD397" s="24" t="inlineStr">
        <is>
          <t>0ce66f49b381187fe6255a40ca2fdbfc155d5e36125ccf6d30fe81a72962eafa</t>
        </is>
      </c>
      <c r="BE397" s="24" t="inlineStr">
        <is>
          <t>tennis-surface-elo-v1</t>
        </is>
      </c>
      <c r="BF397" s="24" t="inlineStr">
        <is>
          <t>1</t>
        </is>
      </c>
      <c r="BG397" s="24" t="inlineStr">
        <is>
          <t>0ce66f49b381187fe6255a40ca2fdbfc155d5e36125ccf6d30fe81a72962eafa</t>
        </is>
      </c>
      <c r="BH397" s="24" t="inlineStr">
        <is>
          <t>2026-09-01T04:41:03.075448Z</t>
        </is>
      </c>
      <c r="BI397" s="24" t="inlineStr">
        <is>
          <t>["same_event","same_team_same_day","same_league_same_day"]</t>
        </is>
      </c>
      <c r="BJ397" s="25" t="n"/>
      <c r="BK397" s="26" t="n">
        <v>-300</v>
      </c>
      <c r="BL397" s="27" t="n">
        <v>1.333333</v>
      </c>
      <c r="BM397" s="28" t="n">
        <v>0.75</v>
      </c>
      <c r="BN397" s="28" t="n"/>
      <c r="BO397" s="28" t="n"/>
      <c r="BP397" s="25" t="n"/>
      <c r="BQ397" s="27" t="n">
        <v>1.333333</v>
      </c>
      <c r="BR397" s="28" t="n">
        <v>0.75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-1</v>
      </c>
      <c r="BZ397" s="24" t="inlineStr">
        <is>
          <t>2026-09-02T04:30:30.749839Z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False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inlineStr">
        <is>
          <t>3b2e2aca39151513edfec83368030700216cfb72d9ff8c3b1c32b3798da16dce</t>
        </is>
      </c>
      <c r="DE397" s="24" t="inlineStr">
        <is>
          <t>/Users/vincentc9002/model-prediction/data/odds/tennis/2026-09-01/polymarket_snapshots.jsonl</t>
        </is>
      </c>
      <c r="DF397" s="24" t="inlineStr">
        <is>
          <t>550509:2026-09-01T04:41:03.075448Z</t>
        </is>
      </c>
      <c r="DG397" s="24" t="n"/>
      <c r="DH397" s="24" t="n"/>
      <c r="DI397" s="24" t="n"/>
      <c r="DJ397" s="24" t="inlineStr">
        <is>
          <t>0.75</t>
        </is>
      </c>
      <c r="DK397" s="24" t="n"/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9dd09eb790ee485e</t>
        </is>
      </c>
      <c r="B398" s="24" t="inlineStr">
        <is>
          <t>2026-09-01T13:48:53.657030Z</t>
        </is>
      </c>
      <c r="C398" s="24" t="inlineStr">
        <is>
          <t>2026-09-01T15:00Z</t>
        </is>
      </c>
      <c r="D398" s="24" t="inlineStr">
        <is>
          <t>189-2026:182721</t>
        </is>
      </c>
      <c r="E398" s="24" t="inlineStr">
        <is>
          <t>TENNIS</t>
        </is>
      </c>
      <c r="F398" s="24" t="inlineStr">
        <is>
          <t>Flavio Cobolli</t>
        </is>
      </c>
      <c r="G398" s="24" t="inlineStr">
        <is>
          <t>Francisco Comesana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polymarket_us</t>
        </is>
      </c>
      <c r="L398" s="26" t="n">
        <v>-426</v>
      </c>
      <c r="M398" s="27" t="n">
        <v>1.234742</v>
      </c>
      <c r="N398" s="28" t="n">
        <v>0.809886</v>
      </c>
      <c r="O398" s="28" t="n">
        <v>0.7751</v>
      </c>
      <c r="P398" s="28" t="n">
        <v>0.05</v>
      </c>
      <c r="Q398" s="28" t="n">
        <v>-0.034786</v>
      </c>
      <c r="R398" s="26" t="n">
        <v>3</v>
      </c>
      <c r="S398" s="29" t="n">
        <v>1</v>
      </c>
      <c r="T398" s="24" t="inlineStr">
        <is>
          <t>tennis-surface-elo-v1</t>
        </is>
      </c>
      <c r="U398" s="24" t="inlineStr">
        <is>
          <t>settled</t>
        </is>
      </c>
      <c r="V398" s="24" t="inlineStr">
        <is>
          <t>win</t>
        </is>
      </c>
      <c r="W398" s="26" t="n">
        <v>1</v>
      </c>
      <c r="X398" s="26" t="n">
        <v>0</v>
      </c>
      <c r="Y398" s="25" t="n"/>
      <c r="Z398" s="26" t="n">
        <v>-426</v>
      </c>
      <c r="AA398" s="28" t="n">
        <v>0.8100000000000001</v>
      </c>
      <c r="AB398" s="28" t="n">
        <v>0.000114</v>
      </c>
      <c r="AC398" s="30" t="n">
        <v>0.2347</v>
      </c>
      <c r="AD398" s="24" t="inlineStr">
        <is>
          <t>2026-09-02T04:30:32.706414Z</t>
        </is>
      </c>
      <c r="AE398" s="31" t="inlineStr">
        <is>
          <t>Surface-blended Elo on Hard: Flavio Cobolli p=0.775 vs Francisco Comesana. Executable ask 0.8100 (aec-atp-fracom-flacob-2026-08-30).</t>
        </is>
      </c>
      <c r="AF398" s="31" t="inlineStr">
        <is>
          <t>Surface-blended Elo model; singles only, WTA+ATP market coverage, not yet locked-holdout qualified -- promoted by explicit operator directive, not genuine walk-forward validation.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Flavio Cobolli</t>
        </is>
      </c>
      <c r="AQ398" s="24" t="inlineStr">
        <is>
          <t>Flavio Cobolli</t>
        </is>
      </c>
      <c r="AR398" s="24" t="inlineStr">
        <is>
          <t>Flavio Cobolli</t>
        </is>
      </c>
      <c r="AS398" s="24" t="inlineStr">
        <is>
          <t>Francisco Comesana</t>
        </is>
      </c>
      <c r="AT398" s="24" t="inlineStr">
        <is>
          <t>Francisco Comesana</t>
        </is>
      </c>
      <c r="AU398" s="24" t="inlineStr">
        <is>
          <t>Francisco Comesana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0ce66f49b381187fe6255a40ca2fdbfc155d5e36125ccf6d30fe81a72962eafa</t>
        </is>
      </c>
      <c r="BB398" s="24" t="inlineStr">
        <is>
          <t>surface_blended_elo</t>
        </is>
      </c>
      <c r="BC398" s="24" t="inlineStr">
        <is>
          <t>tennis-surface-elo-v1</t>
        </is>
      </c>
      <c r="BD398" s="24" t="inlineStr">
        <is>
          <t>0ce66f49b381187fe6255a40ca2fdbfc155d5e36125ccf6d30fe81a72962eafa</t>
        </is>
      </c>
      <c r="BE398" s="24" t="inlineStr">
        <is>
          <t>tennis-surface-elo-v1</t>
        </is>
      </c>
      <c r="BF398" s="24" t="inlineStr">
        <is>
          <t>1</t>
        </is>
      </c>
      <c r="BG398" s="24" t="inlineStr">
        <is>
          <t>0ce66f49b381187fe6255a40ca2fdbfc155d5e36125ccf6d30fe81a72962eafa</t>
        </is>
      </c>
      <c r="BH398" s="24" t="inlineStr">
        <is>
          <t>2026-09-01T13:48:08.354124Z</t>
        </is>
      </c>
      <c r="BI398" s="24" t="inlineStr">
        <is>
          <t>["same_event","same_team_same_day","same_league_same_day"]</t>
        </is>
      </c>
      <c r="BJ398" s="25" t="n"/>
      <c r="BK398" s="26" t="n">
        <v>-426</v>
      </c>
      <c r="BL398" s="27" t="n">
        <v>1.234742</v>
      </c>
      <c r="BM398" s="28" t="n">
        <v>0.809886</v>
      </c>
      <c r="BN398" s="28" t="n"/>
      <c r="BO398" s="28" t="n"/>
      <c r="BP398" s="25" t="n"/>
      <c r="BQ398" s="27" t="n">
        <v>1.234742</v>
      </c>
      <c r="BR398" s="28" t="n">
        <v>0.8100000000000001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0.234742</v>
      </c>
      <c r="BZ398" s="24" t="inlineStr">
        <is>
          <t>2026-09-02T04:30:32.706414Z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inlineStr">
        <is>
          <t>2d22d588d4de55dc72f50ea2498a51d923cfdbe174aeb79a26038f1fffc59465</t>
        </is>
      </c>
      <c r="DE398" s="24" t="inlineStr">
        <is>
          <t>/Users/vincentc9002/model-prediction/data/odds/tennis/2026-09-01/polymarket_snapshots.jsonl</t>
        </is>
      </c>
      <c r="DF398" s="24" t="inlineStr">
        <is>
          <t>547293:2026-09-01T13:48:08.354124Z</t>
        </is>
      </c>
      <c r="DG398" s="24" t="n"/>
      <c r="DH398" s="24" t="n"/>
      <c r="DI398" s="24" t="n"/>
      <c r="DJ398" s="24" t="inlineStr">
        <is>
          <t>0.809886</t>
        </is>
      </c>
      <c r="DK398" s="24" t="n"/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6f2a1c182ada4290</t>
        </is>
      </c>
      <c r="B399" s="24" t="inlineStr">
        <is>
          <t>2026-09-01T13:48:53.657030Z</t>
        </is>
      </c>
      <c r="C399" s="24" t="inlineStr">
        <is>
          <t>2026-09-01T15:00Z</t>
        </is>
      </c>
      <c r="D399" s="24" t="inlineStr">
        <is>
          <t>189-2026:182736</t>
        </is>
      </c>
      <c r="E399" s="24" t="inlineStr">
        <is>
          <t>TENNIS</t>
        </is>
      </c>
      <c r="F399" s="24" t="inlineStr">
        <is>
          <t>Francisco Cerundolo</t>
        </is>
      </c>
      <c r="G399" s="24" t="inlineStr">
        <is>
          <t>Filip Misolic</t>
        </is>
      </c>
      <c r="H399" s="24" t="inlineStr">
        <is>
          <t>moneyline</t>
        </is>
      </c>
      <c r="I399" s="24" t="inlineStr">
        <is>
          <t>away</t>
        </is>
      </c>
      <c r="J399" s="25" t="n"/>
      <c r="K399" s="24" t="inlineStr">
        <is>
          <t>polymarket_us</t>
        </is>
      </c>
      <c r="L399" s="26" t="n">
        <v>-1329</v>
      </c>
      <c r="M399" s="27" t="n">
        <v>1.075245</v>
      </c>
      <c r="N399" s="28" t="n">
        <v>0.930021</v>
      </c>
      <c r="O399" s="28" t="n">
        <v>0.7983</v>
      </c>
      <c r="P399" s="28" t="n">
        <v>0.05</v>
      </c>
      <c r="Q399" s="28" t="n">
        <v>-0.131721</v>
      </c>
      <c r="R399" s="26" t="n">
        <v>0</v>
      </c>
      <c r="S399" s="29" t="n">
        <v>1</v>
      </c>
      <c r="T399" s="24" t="inlineStr">
        <is>
          <t>tennis-surface-elo-v1</t>
        </is>
      </c>
      <c r="U399" s="24" t="inlineStr">
        <is>
          <t>settled</t>
        </is>
      </c>
      <c r="V399" s="24" t="inlineStr">
        <is>
          <t>win</t>
        </is>
      </c>
      <c r="W399" s="26" t="n">
        <v>1</v>
      </c>
      <c r="X399" s="26" t="n">
        <v>0</v>
      </c>
      <c r="Y399" s="25" t="n"/>
      <c r="Z399" s="26" t="n">
        <v>-1329</v>
      </c>
      <c r="AA399" s="28" t="n">
        <v>0.93</v>
      </c>
      <c r="AB399" s="28" t="n">
        <v>-2.1e-05</v>
      </c>
      <c r="AC399" s="30" t="n">
        <v>0.0752</v>
      </c>
      <c r="AD399" s="24" t="inlineStr">
        <is>
          <t>2026-09-02T04:30:34.687820Z</t>
        </is>
      </c>
      <c r="AE399" s="31" t="inlineStr">
        <is>
          <t>Surface-blended Elo on Hard: Francisco Cerundolo p=0.798 vs Filip Misolic. Executable ask 0.9300 (aec-atp-filmis-fracer-2026-08-30).</t>
        </is>
      </c>
      <c r="AF399" s="31" t="inlineStr">
        <is>
          <t>Surface-blended Elo model; singles only, WTA+ATP market coverage, not yet locked-holdout qualified -- promoted by explicit operator directive, not genuine walk-forward validation.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PAPER_CALL_LOW_EDGE</t>
        </is>
      </c>
      <c r="AP399" s="24" t="inlineStr">
        <is>
          <t>Francisco Cerundolo</t>
        </is>
      </c>
      <c r="AQ399" s="24" t="inlineStr">
        <is>
          <t>Francisco Cerundolo</t>
        </is>
      </c>
      <c r="AR399" s="24" t="inlineStr">
        <is>
          <t>Francisco Cerundolo</t>
        </is>
      </c>
      <c r="AS399" s="24" t="inlineStr">
        <is>
          <t>Filip Misolic</t>
        </is>
      </c>
      <c r="AT399" s="24" t="inlineStr">
        <is>
          <t>Filip Misolic</t>
        </is>
      </c>
      <c r="AU399" s="24" t="inlineStr">
        <is>
          <t>Filip Misolic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0ce66f49b381187fe6255a40ca2fdbfc155d5e36125ccf6d30fe81a72962eafa</t>
        </is>
      </c>
      <c r="BB399" s="24" t="inlineStr">
        <is>
          <t>surface_blended_elo</t>
        </is>
      </c>
      <c r="BC399" s="24" t="inlineStr">
        <is>
          <t>tennis-surface-elo-v1</t>
        </is>
      </c>
      <c r="BD399" s="24" t="inlineStr">
        <is>
          <t>0ce66f49b381187fe6255a40ca2fdbfc155d5e36125ccf6d30fe81a72962eafa</t>
        </is>
      </c>
      <c r="BE399" s="24" t="inlineStr">
        <is>
          <t>tennis-surface-elo-v1</t>
        </is>
      </c>
      <c r="BF399" s="24" t="inlineStr">
        <is>
          <t>1</t>
        </is>
      </c>
      <c r="BG399" s="24" t="inlineStr">
        <is>
          <t>0ce66f49b381187fe6255a40ca2fdbfc155d5e36125ccf6d30fe81a72962eafa</t>
        </is>
      </c>
      <c r="BH399" s="24" t="inlineStr">
        <is>
          <t>2026-09-01T13:48:08.333539Z</t>
        </is>
      </c>
      <c r="BI399" s="24" t="inlineStr">
        <is>
          <t>["same_event","same_team_same_day","same_league_same_day"]</t>
        </is>
      </c>
      <c r="BJ399" s="25" t="n"/>
      <c r="BK399" s="26" t="n">
        <v>-1329</v>
      </c>
      <c r="BL399" s="27" t="n">
        <v>1.075245</v>
      </c>
      <c r="BM399" s="28" t="n">
        <v>0.930021</v>
      </c>
      <c r="BN399" s="28" t="n"/>
      <c r="BO399" s="28" t="n"/>
      <c r="BP399" s="25" t="n"/>
      <c r="BQ399" s="27" t="n">
        <v>1.075245</v>
      </c>
      <c r="BR399" s="28" t="n">
        <v>0.93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0.07524500000000001</v>
      </c>
      <c r="BZ399" s="24" t="inlineStr">
        <is>
          <t>2026-09-02T04:30:34.687820Z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inlineStr">
        <is>
          <t>ce2054fe7e4847f9bc807304bc3eff4b5e7b505a926bcbbe961906d7f1e272d1</t>
        </is>
      </c>
      <c r="DE399" s="24" t="inlineStr">
        <is>
          <t>/Users/vincentc9002/model-prediction/data/odds/tennis/2026-09-01/polymarket_snapshots.jsonl</t>
        </is>
      </c>
      <c r="DF399" s="24" t="inlineStr">
        <is>
          <t>547289:2026-09-01T13:48:08.333539Z</t>
        </is>
      </c>
      <c r="DG399" s="24" t="n"/>
      <c r="DH399" s="24" t="n"/>
      <c r="DI399" s="24" t="n"/>
      <c r="DJ399" s="24" t="inlineStr">
        <is>
          <t>0.930021</t>
        </is>
      </c>
      <c r="DK399" s="24" t="n"/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78048736a410423b</t>
        </is>
      </c>
      <c r="B400" s="24" t="inlineStr">
        <is>
          <t>2026-09-01T16:06:19.518222Z</t>
        </is>
      </c>
      <c r="C400" s="24" t="inlineStr">
        <is>
          <t>2026-09-01T17:00Z</t>
        </is>
      </c>
      <c r="D400" s="24" t="inlineStr">
        <is>
          <t>189-2026:182628</t>
        </is>
      </c>
      <c r="E400" s="24" t="inlineStr">
        <is>
          <t>TENNIS</t>
        </is>
      </c>
      <c r="F400" s="24" t="inlineStr">
        <is>
          <t>Janice Tjen</t>
        </is>
      </c>
      <c r="G400" s="24" t="inlineStr">
        <is>
          <t>Mirra Andreeva</t>
        </is>
      </c>
      <c r="H400" s="24" t="inlineStr">
        <is>
          <t>moneyline</t>
        </is>
      </c>
      <c r="I400" s="24" t="inlineStr">
        <is>
          <t>home</t>
        </is>
      </c>
      <c r="J400" s="25" t="n"/>
      <c r="K400" s="24" t="inlineStr">
        <is>
          <t>polymarket_us</t>
        </is>
      </c>
      <c r="L400" s="26" t="n">
        <v>-669</v>
      </c>
      <c r="M400" s="27" t="n">
        <v>1.149477</v>
      </c>
      <c r="N400" s="28" t="n">
        <v>0.869961</v>
      </c>
      <c r="O400" s="28" t="n">
        <v>0.8038999999999999</v>
      </c>
      <c r="P400" s="28" t="n">
        <v>0.05</v>
      </c>
      <c r="Q400" s="28" t="n">
        <v>-0.06606099999999999</v>
      </c>
      <c r="R400" s="26" t="n">
        <v>0</v>
      </c>
      <c r="S400" s="29" t="n">
        <v>1</v>
      </c>
      <c r="T400" s="24" t="inlineStr">
        <is>
          <t>tennis-surface-elo-v1</t>
        </is>
      </c>
      <c r="U400" s="24" t="inlineStr">
        <is>
          <t>settled</t>
        </is>
      </c>
      <c r="V400" s="24" t="inlineStr">
        <is>
          <t>win</t>
        </is>
      </c>
      <c r="W400" s="26" t="n">
        <v>0</v>
      </c>
      <c r="X400" s="26" t="n">
        <v>1</v>
      </c>
      <c r="Y400" s="25" t="n"/>
      <c r="Z400" s="26" t="n">
        <v>-669</v>
      </c>
      <c r="AA400" s="28" t="n">
        <v>0.87</v>
      </c>
      <c r="AB400" s="28" t="n">
        <v>3.9e-05</v>
      </c>
      <c r="AC400" s="30" t="n">
        <v>0.1495</v>
      </c>
      <c r="AD400" s="24" t="inlineStr">
        <is>
          <t>2026-09-02T04:31:57.842469Z</t>
        </is>
      </c>
      <c r="AE400" s="31" t="inlineStr">
        <is>
          <t>Surface-blended Elo on Hard: Janice Tjen p=0.196 vs Mirra Andreeva. Executable ask 0.8700 (aec-wta-mirand-jantje-2026-08-30).</t>
        </is>
      </c>
      <c r="AF400" s="31" t="inlineStr">
        <is>
          <t>Surface-blended Elo model; singles only, WTA+ATP market coverage, not yet locked-holdout qualified -- promoted by explicit operator directive, not genuine walk-forward validation.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PAPER_CALL_LOW_EDGE</t>
        </is>
      </c>
      <c r="AP400" s="24" t="inlineStr">
        <is>
          <t>Janice Tjen</t>
        </is>
      </c>
      <c r="AQ400" s="24" t="inlineStr">
        <is>
          <t>Janice Tjen</t>
        </is>
      </c>
      <c r="AR400" s="24" t="inlineStr">
        <is>
          <t>Janice Tjen</t>
        </is>
      </c>
      <c r="AS400" s="24" t="inlineStr">
        <is>
          <t>Mirra Andreeva</t>
        </is>
      </c>
      <c r="AT400" s="24" t="inlineStr">
        <is>
          <t>Mirra Andreeva</t>
        </is>
      </c>
      <c r="AU400" s="24" t="inlineStr">
        <is>
          <t>Mirra Andreeva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0ce66f49b381187fe6255a40ca2fdbfc155d5e36125ccf6d30fe81a72962eafa</t>
        </is>
      </c>
      <c r="BB400" s="24" t="inlineStr">
        <is>
          <t>surface_blended_elo</t>
        </is>
      </c>
      <c r="BC400" s="24" t="inlineStr">
        <is>
          <t>tennis-surface-elo-v1</t>
        </is>
      </c>
      <c r="BD400" s="24" t="inlineStr">
        <is>
          <t>0ce66f49b381187fe6255a40ca2fdbfc155d5e36125ccf6d30fe81a72962eafa</t>
        </is>
      </c>
      <c r="BE400" s="24" t="inlineStr">
        <is>
          <t>tennis-surface-elo-v1</t>
        </is>
      </c>
      <c r="BF400" s="24" t="inlineStr">
        <is>
          <t>1</t>
        </is>
      </c>
      <c r="BG400" s="24" t="inlineStr">
        <is>
          <t>0ce66f49b381187fe6255a40ca2fdbfc155d5e36125ccf6d30fe81a72962eafa</t>
        </is>
      </c>
      <c r="BH400" s="24" t="inlineStr">
        <is>
          <t>2026-09-01T16:03:58.892949Z</t>
        </is>
      </c>
      <c r="BI400" s="24" t="inlineStr">
        <is>
          <t>["same_event","same_team_same_day","same_league_same_day"]</t>
        </is>
      </c>
      <c r="BJ400" s="25" t="n"/>
      <c r="BK400" s="26" t="n">
        <v>-669</v>
      </c>
      <c r="BL400" s="27" t="n">
        <v>1.149477</v>
      </c>
      <c r="BM400" s="28" t="n">
        <v>0.869961</v>
      </c>
      <c r="BN400" s="28" t="n"/>
      <c r="BO400" s="28" t="n"/>
      <c r="BP400" s="25" t="n"/>
      <c r="BQ400" s="27" t="n">
        <v>1.149477</v>
      </c>
      <c r="BR400" s="28" t="n">
        <v>0.87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0.149477</v>
      </c>
      <c r="BZ400" s="24" t="inlineStr">
        <is>
          <t>2026-09-02T04:31:57.842469Z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inlineStr">
        <is>
          <t>3c66facba051b8531f8361ab8e574e08b41eebed7b4987bba5a7732ee4d0ac18</t>
        </is>
      </c>
      <c r="DE400" s="24" t="inlineStr">
        <is>
          <t>/Users/vincentc9002/model-prediction/data/odds/tennis/2026-09-01/polymarket_snapshots.jsonl</t>
        </is>
      </c>
      <c r="DF400" s="24" t="inlineStr">
        <is>
          <t>547294:2026-09-01T16:03:58.892949Z</t>
        </is>
      </c>
      <c r="DG400" s="24" t="n"/>
      <c r="DH400" s="24" t="n"/>
      <c r="DI400" s="24" t="n"/>
      <c r="DJ400" s="24" t="inlineStr">
        <is>
          <t>0.869961</t>
        </is>
      </c>
      <c r="DK400" s="24" t="n"/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59b245a33e464ead</t>
        </is>
      </c>
      <c r="B401" s="24" t="inlineStr">
        <is>
          <t>2026-09-01T16:06:19.518222Z</t>
        </is>
      </c>
      <c r="C401" s="24" t="inlineStr">
        <is>
          <t>2026-09-01T18:00Z</t>
        </is>
      </c>
      <c r="D401" s="24" t="inlineStr">
        <is>
          <t>189-2026:182609</t>
        </is>
      </c>
      <c r="E401" s="24" t="inlineStr">
        <is>
          <t>TENNIS</t>
        </is>
      </c>
      <c r="F401" s="24" t="inlineStr">
        <is>
          <t>Anna Bondar</t>
        </is>
      </c>
      <c r="G401" s="24" t="inlineStr">
        <is>
          <t>Lucie Havlickova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0.6194</v>
      </c>
      <c r="P401" s="28" t="n">
        <v>0.05</v>
      </c>
      <c r="Q401" s="28" t="n">
        <v>-0.000372</v>
      </c>
      <c r="R401" s="26" t="n">
        <v>20</v>
      </c>
      <c r="S401" s="29" t="n">
        <v>1</v>
      </c>
      <c r="T401" s="24" t="inlineStr">
        <is>
          <t>tennis-surface-elo-v1</t>
        </is>
      </c>
      <c r="U401" s="24" t="inlineStr">
        <is>
          <t>settled</t>
        </is>
      </c>
      <c r="V401" s="24" t="inlineStr">
        <is>
          <t>win</t>
        </is>
      </c>
      <c r="W401" s="26" t="n">
        <v>1</v>
      </c>
      <c r="X401" s="26" t="n">
        <v>0</v>
      </c>
      <c r="Y401" s="25" t="n"/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2026-09-02T04:32:00.021407Z</t>
        </is>
      </c>
      <c r="AE401" s="31" t="inlineStr">
        <is>
          <t>Surface-blended Elo on Hard: Anna Bondar p=0.619 vs Lucie Havlickova. Executable ask 0.6200 (aec-wta-luchav-annbon-2026-08-30).</t>
        </is>
      </c>
      <c r="AF401" s="31" t="inlineStr">
        <is>
          <t>Surface-blended Elo model; singles only, WTA+ATP market coverage, not yet locked-holdout qualified -- promoted by explicit operator directive, not genuine walk-forward validation.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Anna Bondar</t>
        </is>
      </c>
      <c r="AQ401" s="24" t="inlineStr">
        <is>
          <t>Anna Bondar</t>
        </is>
      </c>
      <c r="AR401" s="24" t="inlineStr">
        <is>
          <t>Anna Bondar</t>
        </is>
      </c>
      <c r="AS401" s="24" t="inlineStr">
        <is>
          <t>Lucie Havlickova</t>
        </is>
      </c>
      <c r="AT401" s="24" t="inlineStr">
        <is>
          <t>Lucie Havlickova</t>
        </is>
      </c>
      <c r="AU401" s="24" t="inlineStr">
        <is>
          <t>Lucie Havlickova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0ce66f49b381187fe6255a40ca2fdbfc155d5e36125ccf6d30fe81a72962eafa</t>
        </is>
      </c>
      <c r="BB401" s="24" t="inlineStr">
        <is>
          <t>surface_blended_elo</t>
        </is>
      </c>
      <c r="BC401" s="24" t="inlineStr">
        <is>
          <t>tennis-surface-elo-v1</t>
        </is>
      </c>
      <c r="BD401" s="24" t="inlineStr">
        <is>
          <t>0ce66f49b381187fe6255a40ca2fdbfc155d5e36125ccf6d30fe81a72962eafa</t>
        </is>
      </c>
      <c r="BE401" s="24" t="inlineStr">
        <is>
          <t>tennis-surface-elo-v1</t>
        </is>
      </c>
      <c r="BF401" s="24" t="inlineStr">
        <is>
          <t>1</t>
        </is>
      </c>
      <c r="BG401" s="24" t="inlineStr">
        <is>
          <t>0ce66f49b381187fe6255a40ca2fdbfc155d5e36125ccf6d30fe81a72962eafa</t>
        </is>
      </c>
      <c r="BH401" s="24" t="inlineStr">
        <is>
          <t>2026-09-01T16:03:58.842764Z</t>
        </is>
      </c>
      <c r="BI401" s="24" t="inlineStr">
        <is>
          <t>["same_event","same_team_same_day","same_league_same_day"]</t>
        </is>
      </c>
      <c r="BJ401" s="25" t="n"/>
      <c r="BK401" s="26" t="n">
        <v>-163</v>
      </c>
      <c r="BL401" s="27" t="n">
        <v>1.613497</v>
      </c>
      <c r="BM401" s="28" t="n">
        <v>0.619772</v>
      </c>
      <c r="BN401" s="28" t="n"/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2026-09-02T04:32:00.021407Z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inlineStr">
        <is>
          <t>3fc6f190d216a6c927927ada9dd265cc99921dfb843b0038b59ee58b49ce5072</t>
        </is>
      </c>
      <c r="DE401" s="24" t="inlineStr">
        <is>
          <t>/Users/vincentc9002/model-prediction/data/odds/tennis/2026-09-01/polymarket_snapshots.jsonl</t>
        </is>
      </c>
      <c r="DF401" s="24" t="inlineStr">
        <is>
          <t>550528:2026-09-01T16:03:58.842764Z</t>
        </is>
      </c>
      <c r="DG401" s="24" t="n"/>
      <c r="DH401" s="24" t="n"/>
      <c r="DI401" s="24" t="n"/>
      <c r="DJ401" s="24" t="inlineStr">
        <is>
          <t>0.619772</t>
        </is>
      </c>
      <c r="DK401" s="24" t="n"/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31eade01504a4416</t>
        </is>
      </c>
      <c r="B402" s="24" t="inlineStr">
        <is>
          <t>2026-09-01T16:06:19.518222Z</t>
        </is>
      </c>
      <c r="C402" s="24" t="inlineStr">
        <is>
          <t>2026-09-01T18:00Z</t>
        </is>
      </c>
      <c r="D402" s="24" t="inlineStr">
        <is>
          <t>189-2026:182644</t>
        </is>
      </c>
      <c r="E402" s="24" t="inlineStr">
        <is>
          <t>TENNIS</t>
        </is>
      </c>
      <c r="F402" s="24" t="inlineStr">
        <is>
          <t>Paula Badosa</t>
        </is>
      </c>
      <c r="G402" s="24" t="inlineStr">
        <is>
          <t>Daria Kasatkina</t>
        </is>
      </c>
      <c r="H402" s="24" t="inlineStr">
        <is>
          <t>moneyline</t>
        </is>
      </c>
      <c r="I402" s="24" t="inlineStr">
        <is>
          <t>away</t>
        </is>
      </c>
      <c r="J402" s="25" t="n"/>
      <c r="K402" s="24" t="inlineStr">
        <is>
          <t>polymarket_us</t>
        </is>
      </c>
      <c r="L402" s="26" t="n">
        <v>-117</v>
      </c>
      <c r="M402" s="27" t="n">
        <v>1.854701</v>
      </c>
      <c r="N402" s="28" t="n">
        <v>0.539171</v>
      </c>
      <c r="O402" s="28" t="n">
        <v>0.5968</v>
      </c>
      <c r="P402" s="28" t="n">
        <v>0.05</v>
      </c>
      <c r="Q402" s="28" t="n">
        <v>0.057629</v>
      </c>
      <c r="R402" s="26" t="n">
        <v>49</v>
      </c>
      <c r="S402" s="29" t="n">
        <v>1</v>
      </c>
      <c r="T402" s="24" t="inlineStr">
        <is>
          <t>tennis-surface-elo-v1</t>
        </is>
      </c>
      <c r="U402" s="24" t="inlineStr">
        <is>
          <t>settled</t>
        </is>
      </c>
      <c r="V402" s="24" t="inlineStr">
        <is>
          <t>win</t>
        </is>
      </c>
      <c r="W402" s="26" t="n">
        <v>1</v>
      </c>
      <c r="X402" s="26" t="n">
        <v>0</v>
      </c>
      <c r="Y402" s="25" t="n"/>
      <c r="Z402" s="26" t="n">
        <v>-117</v>
      </c>
      <c r="AA402" s="28" t="n">
        <v>0.54</v>
      </c>
      <c r="AB402" s="28" t="n">
        <v>0.000829</v>
      </c>
      <c r="AC402" s="30" t="n">
        <v>0.8547</v>
      </c>
      <c r="AD402" s="24" t="inlineStr">
        <is>
          <t>2026-09-03T04:30:08.301314Z</t>
        </is>
      </c>
      <c r="AE402" s="31" t="inlineStr">
        <is>
          <t>Surface-blended Elo on Hard: Paula Badosa p=0.597 vs Daria Kasatkina. Executable ask 0.5400 (aec-wta-darkas-paubad-2026-08-30).</t>
        </is>
      </c>
      <c r="AF402" s="31" t="inlineStr">
        <is>
          <t>Surface-blended Elo model; singles only, WTA+ATP market coverage, not yet locked-holdout qualified -- promoted by explicit operator directive, not genuine walk-forward validation.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Paula Badosa</t>
        </is>
      </c>
      <c r="AQ402" s="24" t="inlineStr">
        <is>
          <t>Paula Badosa</t>
        </is>
      </c>
      <c r="AR402" s="24" t="inlineStr">
        <is>
          <t>Paula Badosa</t>
        </is>
      </c>
      <c r="AS402" s="24" t="inlineStr">
        <is>
          <t>Daria Kasatkina</t>
        </is>
      </c>
      <c r="AT402" s="24" t="inlineStr">
        <is>
          <t>Daria Kasatkina</t>
        </is>
      </c>
      <c r="AU402" s="24" t="inlineStr">
        <is>
          <t>Daria Kasatkina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0ce66f49b381187fe6255a40ca2fdbfc155d5e36125ccf6d30fe81a72962eafa</t>
        </is>
      </c>
      <c r="BB402" s="24" t="inlineStr">
        <is>
          <t>surface_blended_elo</t>
        </is>
      </c>
      <c r="BC402" s="24" t="inlineStr">
        <is>
          <t>tennis-surface-elo-v1</t>
        </is>
      </c>
      <c r="BD402" s="24" t="inlineStr">
        <is>
          <t>0ce66f49b381187fe6255a40ca2fdbfc155d5e36125ccf6d30fe81a72962eafa</t>
        </is>
      </c>
      <c r="BE402" s="24" t="inlineStr">
        <is>
          <t>tennis-surface-elo-v1</t>
        </is>
      </c>
      <c r="BF402" s="24" t="inlineStr">
        <is>
          <t>1</t>
        </is>
      </c>
      <c r="BG402" s="24" t="inlineStr">
        <is>
          <t>0ce66f49b381187fe6255a40ca2fdbfc155d5e36125ccf6d30fe81a72962eafa</t>
        </is>
      </c>
      <c r="BH402" s="24" t="inlineStr">
        <is>
          <t>2026-09-01T16:03:58.801190Z</t>
        </is>
      </c>
      <c r="BI402" s="24" t="inlineStr">
        <is>
          <t>["same_event","same_team_same_day","same_league_same_day"]</t>
        </is>
      </c>
      <c r="BJ402" s="25" t="n"/>
      <c r="BK402" s="26" t="n">
        <v>-117</v>
      </c>
      <c r="BL402" s="27" t="n">
        <v>1.854701</v>
      </c>
      <c r="BM402" s="28" t="n">
        <v>0.539171</v>
      </c>
      <c r="BN402" s="28" t="n"/>
      <c r="BO402" s="28" t="n"/>
      <c r="BP402" s="25" t="n"/>
      <c r="BQ402" s="27" t="n">
        <v>1.854701</v>
      </c>
      <c r="BR402" s="28" t="n">
        <v>0.54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inlineStr">
        <is>
          <t>08d6b40da5aacbaec48bc7473ca8e9d370956cde0e8f6005f4d2daeab1d02115</t>
        </is>
      </c>
      <c r="DE402" s="24" t="inlineStr">
        <is>
          <t>/Users/vincentc9002/model-prediction/data/odds/tennis/2026-09-01/polymarket_snapshots.jsonl</t>
        </is>
      </c>
      <c r="DF402" s="24" t="inlineStr">
        <is>
          <t>547309:2026-09-01T16:03:58.801190Z</t>
        </is>
      </c>
      <c r="DG402" s="24" t="n"/>
      <c r="DH402" s="24" t="n"/>
      <c r="DI402" s="24" t="n"/>
      <c r="DJ402" s="24" t="inlineStr">
        <is>
          <t>0.539171</t>
        </is>
      </c>
      <c r="DK402" s="24" t="n"/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ba453d9316604b9e</t>
        </is>
      </c>
      <c r="B403" s="24" t="inlineStr">
        <is>
          <t>2026-09-01T16:06:19.518222Z</t>
        </is>
      </c>
      <c r="C403" s="24" t="inlineStr">
        <is>
          <t>2026-09-01T18:30Z</t>
        </is>
      </c>
      <c r="D403" s="24" t="inlineStr">
        <is>
          <t>189-2026:182601</t>
        </is>
      </c>
      <c r="E403" s="24" t="inlineStr">
        <is>
          <t>TENNIS</t>
        </is>
      </c>
      <c r="F403" s="24" t="inlineStr">
        <is>
          <t>Jessica Bouzas Maneiro</t>
        </is>
      </c>
      <c r="G403" s="24" t="inlineStr">
        <is>
          <t>Darja Vidmanova</t>
        </is>
      </c>
      <c r="H403" s="24" t="inlineStr">
        <is>
          <t>moneyline</t>
        </is>
      </c>
      <c r="I403" s="24" t="inlineStr">
        <is>
          <t>home</t>
        </is>
      </c>
      <c r="J403" s="25" t="n"/>
      <c r="K403" s="24" t="inlineStr">
        <is>
          <t>polymarket_us</t>
        </is>
      </c>
      <c r="L403" s="26" t="n">
        <v>-104</v>
      </c>
      <c r="M403" s="27" t="n">
        <v>1.961538</v>
      </c>
      <c r="N403" s="28" t="n">
        <v>0.509804</v>
      </c>
      <c r="O403" s="28" t="n">
        <v>0.6207</v>
      </c>
      <c r="P403" s="28" t="n">
        <v>0.05</v>
      </c>
      <c r="Q403" s="28" t="n">
        <v>0.110896</v>
      </c>
      <c r="R403" s="26" t="n">
        <v>75</v>
      </c>
      <c r="S403" s="29" t="n">
        <v>1.5</v>
      </c>
      <c r="T403" s="24" t="inlineStr">
        <is>
          <t>tennis-surface-elo-v1</t>
        </is>
      </c>
      <c r="U403" s="24" t="inlineStr">
        <is>
          <t>settled</t>
        </is>
      </c>
      <c r="V403" s="24" t="inlineStr">
        <is>
          <t>loss</t>
        </is>
      </c>
      <c r="W403" s="26" t="n">
        <v>1</v>
      </c>
      <c r="X403" s="26" t="n">
        <v>0</v>
      </c>
      <c r="Y403" s="25" t="n"/>
      <c r="Z403" s="26" t="n">
        <v>-104</v>
      </c>
      <c r="AA403" s="28" t="n">
        <v>0.51</v>
      </c>
      <c r="AB403" s="28" t="n">
        <v>0.000196</v>
      </c>
      <c r="AC403" s="30" t="n">
        <v>-1.5</v>
      </c>
      <c r="AD403" s="24" t="inlineStr">
        <is>
          <t>2026-09-02T04:32:03.093483Z</t>
        </is>
      </c>
      <c r="AE403" s="31" t="inlineStr">
        <is>
          <t>Surface-blended Elo on Hard: Jessica Bouzas Maneiro p=0.379 vs Darja Vidmanova. Executable ask 0.5100 (aec-wta-darvid-jesman-2026-08-30).</t>
        </is>
      </c>
      <c r="AF403" s="31" t="inlineStr">
        <is>
          <t>Surface-blended Elo model; singles only, WTA+ATP market coverage, not yet locked-holdout qualified -- promoted by explicit operator directive, not genuine walk-forward validation.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4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Jessica Bouzas Maneiro</t>
        </is>
      </c>
      <c r="AQ403" s="24" t="inlineStr">
        <is>
          <t>Jessica Bouzas Maneiro</t>
        </is>
      </c>
      <c r="AR403" s="24" t="inlineStr">
        <is>
          <t>Jessica Bouzas Maneiro</t>
        </is>
      </c>
      <c r="AS403" s="24" t="inlineStr">
        <is>
          <t>Darja Vidmanova</t>
        </is>
      </c>
      <c r="AT403" s="24" t="inlineStr">
        <is>
          <t>Darja Vidmanova</t>
        </is>
      </c>
      <c r="AU403" s="24" t="inlineStr">
        <is>
          <t>Darja Vidmanova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0ce66f49b381187fe6255a40ca2fdbfc155d5e36125ccf6d30fe81a72962eafa</t>
        </is>
      </c>
      <c r="BB403" s="24" t="inlineStr">
        <is>
          <t>surface_blended_elo</t>
        </is>
      </c>
      <c r="BC403" s="24" t="inlineStr">
        <is>
          <t>tennis-surface-elo-v1</t>
        </is>
      </c>
      <c r="BD403" s="24" t="inlineStr">
        <is>
          <t>0ce66f49b381187fe6255a40ca2fdbfc155d5e36125ccf6d30fe81a72962eafa</t>
        </is>
      </c>
      <c r="BE403" s="24" t="inlineStr">
        <is>
          <t>tennis-surface-elo-v1</t>
        </is>
      </c>
      <c r="BF403" s="24" t="inlineStr">
        <is>
          <t>1</t>
        </is>
      </c>
      <c r="BG403" s="24" t="inlineStr">
        <is>
          <t>0ce66f49b381187fe6255a40ca2fdbfc155d5e36125ccf6d30fe81a72962eafa</t>
        </is>
      </c>
      <c r="BH403" s="24" t="inlineStr">
        <is>
          <t>2026-09-01T16:03:58.934280Z</t>
        </is>
      </c>
      <c r="BI403" s="24" t="inlineStr">
        <is>
          <t>["same_event","same_team_same_day","same_league_same_day"]</t>
        </is>
      </c>
      <c r="BJ403" s="25" t="n"/>
      <c r="BK403" s="26" t="n">
        <v>-104</v>
      </c>
      <c r="BL403" s="27" t="n">
        <v>1.961538</v>
      </c>
      <c r="BM403" s="28" t="n">
        <v>0.509804</v>
      </c>
      <c r="BN403" s="28" t="n"/>
      <c r="BO403" s="28" t="n"/>
      <c r="BP403" s="25" t="n"/>
      <c r="BQ403" s="27" t="n">
        <v>1.961538</v>
      </c>
      <c r="BR403" s="28" t="n">
        <v>0.51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inlineStr">
        <is>
          <t>d742d2f521c4cf2018384bf008bce3490d06992b278babe5b34f1144601bc2b9</t>
        </is>
      </c>
      <c r="DE403" s="24" t="inlineStr">
        <is>
          <t>/Users/vincentc9002/model-prediction/data/odds/tennis/2026-09-01/polymarket_snapshots.jsonl</t>
        </is>
      </c>
      <c r="DF403" s="24" t="inlineStr">
        <is>
          <t>547348:2026-09-01T16:03:58.934280Z</t>
        </is>
      </c>
      <c r="DG403" s="24" t="n"/>
      <c r="DH403" s="24" t="n"/>
      <c r="DI403" s="24" t="n"/>
      <c r="DJ403" s="24" t="inlineStr">
        <is>
          <t>0.509804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92ec206ef3204d06</t>
        </is>
      </c>
      <c r="B404" s="24" t="inlineStr">
        <is>
          <t>2026-09-01T16:06:19.518222Z</t>
        </is>
      </c>
      <c r="C404" s="24" t="inlineStr">
        <is>
          <t>2026-09-01T18:30Z</t>
        </is>
      </c>
      <c r="D404" s="24" t="inlineStr">
        <is>
          <t>189-2026:182648</t>
        </is>
      </c>
      <c r="E404" s="24" t="inlineStr">
        <is>
          <t>TENNIS</t>
        </is>
      </c>
      <c r="F404" s="24" t="inlineStr">
        <is>
          <t>Jelena Ostapenko</t>
        </is>
      </c>
      <c r="G404" s="24" t="inlineStr">
        <is>
          <t>Tatjana Maria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polymarket_us</t>
        </is>
      </c>
      <c r="L404" s="26" t="n">
        <v>133</v>
      </c>
      <c r="M404" s="27" t="n">
        <v>2.33</v>
      </c>
      <c r="N404" s="28" t="n">
        <v>0.429185</v>
      </c>
      <c r="O404" s="28" t="n">
        <v>0.5004999999999999</v>
      </c>
      <c r="P404" s="28" t="n">
        <v>0.05</v>
      </c>
      <c r="Q404" s="28" t="n">
        <v>0.071315</v>
      </c>
      <c r="R404" s="26" t="n">
        <v>56</v>
      </c>
      <c r="S404" s="29" t="n">
        <v>1.25</v>
      </c>
      <c r="T404" s="24" t="inlineStr">
        <is>
          <t>tennis-surface-elo-v1</t>
        </is>
      </c>
      <c r="U404" s="24" t="inlineStr">
        <is>
          <t>settled</t>
        </is>
      </c>
      <c r="V404" s="24" t="inlineStr">
        <is>
          <t>win</t>
        </is>
      </c>
      <c r="W404" s="26" t="n">
        <v>0</v>
      </c>
      <c r="X404" s="26" t="n">
        <v>1</v>
      </c>
      <c r="Y404" s="25" t="n"/>
      <c r="Z404" s="26" t="n">
        <v>133</v>
      </c>
      <c r="AA404" s="28" t="n">
        <v>0.43</v>
      </c>
      <c r="AB404" s="28" t="n">
        <v>0.000815</v>
      </c>
      <c r="AC404" s="30" t="n">
        <v>1.6625</v>
      </c>
      <c r="AD404" s="24" t="inlineStr">
        <is>
          <t>2026-09-03T04:30:09.317928Z</t>
        </is>
      </c>
      <c r="AE404" s="31" t="inlineStr">
        <is>
          <t>Surface-blended Elo on Hard: Jelena Ostapenko p=0.500 vs Tatjana Maria. Executable ask 0.4300 (aec-wta-tatmar-jelost-2026-08-30).</t>
        </is>
      </c>
      <c r="AF404" s="31" t="inlineStr">
        <is>
          <t>Surface-blended Elo model; singles only, WTA+ATP market coverage, not yet locked-holdout qualified -- promoted by explicit operator directive, not genuine walk-forward validation.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Jelena Ostapenko</t>
        </is>
      </c>
      <c r="AQ404" s="24" t="inlineStr">
        <is>
          <t>Jelena Ostapenko</t>
        </is>
      </c>
      <c r="AR404" s="24" t="inlineStr">
        <is>
          <t>Jelena Ostapenko</t>
        </is>
      </c>
      <c r="AS404" s="24" t="inlineStr">
        <is>
          <t>Tatjana Maria</t>
        </is>
      </c>
      <c r="AT404" s="24" t="inlineStr">
        <is>
          <t>Tatjana Maria</t>
        </is>
      </c>
      <c r="AU404" s="24" t="inlineStr">
        <is>
          <t>Tatjana Maria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0ce66f49b381187fe6255a40ca2fdbfc155d5e36125ccf6d30fe81a72962eafa</t>
        </is>
      </c>
      <c r="BB404" s="24" t="inlineStr">
        <is>
          <t>surface_blended_elo</t>
        </is>
      </c>
      <c r="BC404" s="24" t="inlineStr">
        <is>
          <t>tennis-surface-elo-v1</t>
        </is>
      </c>
      <c r="BD404" s="24" t="inlineStr">
        <is>
          <t>0ce66f49b381187fe6255a40ca2fdbfc155d5e36125ccf6d30fe81a72962eafa</t>
        </is>
      </c>
      <c r="BE404" s="24" t="inlineStr">
        <is>
          <t>tennis-surface-elo-v1</t>
        </is>
      </c>
      <c r="BF404" s="24" t="inlineStr">
        <is>
          <t>1</t>
        </is>
      </c>
      <c r="BG404" s="24" t="inlineStr">
        <is>
          <t>0ce66f49b381187fe6255a40ca2fdbfc155d5e36125ccf6d30fe81a72962eafa</t>
        </is>
      </c>
      <c r="BH404" s="24" t="inlineStr">
        <is>
          <t>2026-09-01T16:03:58.913974Z</t>
        </is>
      </c>
      <c r="BI404" s="24" t="inlineStr">
        <is>
          <t>["same_event","same_team_same_day","same_league_same_day"]</t>
        </is>
      </c>
      <c r="BJ404" s="25" t="n"/>
      <c r="BK404" s="26" t="n">
        <v>133</v>
      </c>
      <c r="BL404" s="27" t="n">
        <v>2.33</v>
      </c>
      <c r="BM404" s="28" t="n">
        <v>0.429185</v>
      </c>
      <c r="BN404" s="28" t="n"/>
      <c r="BO404" s="28" t="n"/>
      <c r="BP404" s="25" t="n"/>
      <c r="BQ404" s="27" t="n">
        <v>2.33</v>
      </c>
      <c r="BR404" s="28" t="n">
        <v>0.43</v>
      </c>
      <c r="BS404" s="28" t="n"/>
      <c r="BT404" s="28" t="n"/>
      <c r="BU404" s="25" t="n"/>
      <c r="BV404" s="29" t="n"/>
      <c r="BW404" s="24" t="n"/>
      <c r="BX404" s="30" t="n">
        <v>1</v>
      </c>
      <c r="BY404" s="27" t="n">
        <v>1.329998</v>
      </c>
      <c r="BZ404" s="24" t="inlineStr">
        <is>
          <t>2026-09-03T04:30:09.317928Z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inlineStr">
        <is>
          <t>8d208eef87fb0cf3f8240fb8f693c047fbb0868374fc82906a64164590ccecb8</t>
        </is>
      </c>
      <c r="DE404" s="24" t="inlineStr">
        <is>
          <t>/Users/vincentc9002/model-prediction/data/odds/tennis/2026-09-01/polymarket_snapshots.jsonl</t>
        </is>
      </c>
      <c r="DF404" s="24" t="inlineStr">
        <is>
          <t>547445:2026-09-01T16:03:58.913974Z</t>
        </is>
      </c>
      <c r="DG404" s="24" t="n"/>
      <c r="DH404" s="24" t="n"/>
      <c r="DI404" s="24" t="n"/>
      <c r="DJ404" s="24" t="inlineStr">
        <is>
          <t>0.429185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24455d69bd8f4877</t>
        </is>
      </c>
      <c r="B405" s="24" t="inlineStr">
        <is>
          <t>2026-09-01T16:06:19.518222Z</t>
        </is>
      </c>
      <c r="C405" s="24" t="inlineStr">
        <is>
          <t>2026-09-01T18:30Z</t>
        </is>
      </c>
      <c r="D405" s="24" t="inlineStr">
        <is>
          <t>189-2026:182650</t>
        </is>
      </c>
      <c r="E405" s="24" t="inlineStr">
        <is>
          <t>TENNIS</t>
        </is>
      </c>
      <c r="F405" s="24" t="inlineStr">
        <is>
          <t>Darja Semenistaja</t>
        </is>
      </c>
      <c r="G405" s="24" t="inlineStr">
        <is>
          <t>Anastasia Potapova</t>
        </is>
      </c>
      <c r="H405" s="24" t="inlineStr">
        <is>
          <t>moneyline</t>
        </is>
      </c>
      <c r="I405" s="24" t="inlineStr">
        <is>
          <t>home</t>
        </is>
      </c>
      <c r="J405" s="25" t="n"/>
      <c r="K405" s="24" t="inlineStr">
        <is>
          <t>polymarket_us</t>
        </is>
      </c>
      <c r="L405" s="26" t="n">
        <v>-400</v>
      </c>
      <c r="M405" s="27" t="n">
        <v>1.25</v>
      </c>
      <c r="N405" s="28" t="n">
        <v>0.8</v>
      </c>
      <c r="O405" s="28" t="n">
        <v>0.6309</v>
      </c>
      <c r="P405" s="28" t="n">
        <v>0.05</v>
      </c>
      <c r="Q405" s="28" t="n">
        <v>-0.1691</v>
      </c>
      <c r="R405" s="26" t="n">
        <v>0</v>
      </c>
      <c r="S405" s="29" t="n">
        <v>1</v>
      </c>
      <c r="T405" s="24" t="inlineStr">
        <is>
          <t>tennis-surface-elo-v1</t>
        </is>
      </c>
      <c r="U405" s="24" t="inlineStr">
        <is>
          <t>settled</t>
        </is>
      </c>
      <c r="V405" s="24" t="inlineStr">
        <is>
          <t>win</t>
        </is>
      </c>
      <c r="W405" s="26" t="n">
        <v>0</v>
      </c>
      <c r="X405" s="26" t="n">
        <v>1</v>
      </c>
      <c r="Y405" s="25" t="n"/>
      <c r="Z405" s="26" t="n">
        <v>-400</v>
      </c>
      <c r="AA405" s="28" t="n">
        <v>0.8</v>
      </c>
      <c r="AB405" s="28" t="n">
        <v>0</v>
      </c>
      <c r="AC405" s="30" t="n">
        <v>0.25</v>
      </c>
      <c r="AD405" s="24" t="inlineStr">
        <is>
          <t>2026-09-02T04:32:05.142628Z</t>
        </is>
      </c>
      <c r="AE405" s="31" t="inlineStr">
        <is>
          <t>Surface-blended Elo on Hard: Darja Semenistaja p=0.369 vs Anastasia Potapova. Executable ask 0.8000 (aec-wta-anapot-darsem-2026-09-01).</t>
        </is>
      </c>
      <c r="AF405" s="31" t="inlineStr">
        <is>
          <t>Surface-blended Elo model; singles only, WTA+ATP market coverage, not yet locked-holdout qualified -- promoted by explicit operator directive, not genuine walk-forward validation.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Darja Semenistaja</t>
        </is>
      </c>
      <c r="AQ405" s="24" t="inlineStr">
        <is>
          <t>Darja Semenistaja</t>
        </is>
      </c>
      <c r="AR405" s="24" t="inlineStr">
        <is>
          <t>Darja Semenistaja</t>
        </is>
      </c>
      <c r="AS405" s="24" t="inlineStr">
        <is>
          <t>Anastasia Potapova</t>
        </is>
      </c>
      <c r="AT405" s="24" t="inlineStr">
        <is>
          <t>Anastasia Potapova</t>
        </is>
      </c>
      <c r="AU405" s="24" t="inlineStr">
        <is>
          <t>Anastasia Potapova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0ce66f49b381187fe6255a40ca2fdbfc155d5e36125ccf6d30fe81a72962eafa</t>
        </is>
      </c>
      <c r="BB405" s="24" t="inlineStr">
        <is>
          <t>surface_blended_elo</t>
        </is>
      </c>
      <c r="BC405" s="24" t="inlineStr">
        <is>
          <t>tennis-surface-elo-v1</t>
        </is>
      </c>
      <c r="BD405" s="24" t="inlineStr">
        <is>
          <t>0ce66f49b381187fe6255a40ca2fdbfc155d5e36125ccf6d30fe81a72962eafa</t>
        </is>
      </c>
      <c r="BE405" s="24" t="inlineStr">
        <is>
          <t>tennis-surface-elo-v1</t>
        </is>
      </c>
      <c r="BF405" s="24" t="inlineStr">
        <is>
          <t>1</t>
        </is>
      </c>
      <c r="BG405" s="24" t="inlineStr">
        <is>
          <t>0ce66f49b381187fe6255a40ca2fdbfc155d5e36125ccf6d30fe81a72962eafa</t>
        </is>
      </c>
      <c r="BH405" s="24" t="inlineStr">
        <is>
          <t>2026-09-01T16:03:58.891632Z</t>
        </is>
      </c>
      <c r="BI405" s="24" t="inlineStr">
        <is>
          <t>["same_event","same_team_same_day","same_league_same_day"]</t>
        </is>
      </c>
      <c r="BJ405" s="25" t="n"/>
      <c r="BK405" s="26" t="n">
        <v>-400</v>
      </c>
      <c r="BL405" s="27" t="n">
        <v>1.25</v>
      </c>
      <c r="BM405" s="28" t="n">
        <v>0.8</v>
      </c>
      <c r="BN405" s="28" t="n"/>
      <c r="BO405" s="28" t="n"/>
      <c r="BP405" s="25" t="n"/>
      <c r="BQ405" s="27" t="n">
        <v>1.25</v>
      </c>
      <c r="BR405" s="28" t="n">
        <v>0.8</v>
      </c>
      <c r="BS405" s="28" t="n"/>
      <c r="BT405" s="28" t="n"/>
      <c r="BU405" s="25" t="n"/>
      <c r="BV405" s="29" t="n"/>
      <c r="BW405" s="24" t="n"/>
      <c r="BX405" s="30" t="n">
        <v>1</v>
      </c>
      <c r="BY405" s="27" t="n">
        <v>0.25</v>
      </c>
      <c r="BZ405" s="24" t="inlineStr">
        <is>
          <t>2026-09-02T04:32:05.142628Z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inlineStr">
        <is>
          <t>bb4bb9e60bfbdb50ac01cb806b40b8be24a87c3bf1751e2b73ad57ff79e87e9c</t>
        </is>
      </c>
      <c r="DE405" s="24" t="inlineStr">
        <is>
          <t>/Users/vincentc9002/model-prediction/data/odds/tennis/2026-09-01/polymarket_snapshots.jsonl</t>
        </is>
      </c>
      <c r="DF405" s="24" t="inlineStr">
        <is>
          <t>602030:2026-09-01T16:03:58.891632Z</t>
        </is>
      </c>
      <c r="DG405" s="24" t="n"/>
      <c r="DH405" s="24" t="n"/>
      <c r="DI405" s="24" t="n"/>
      <c r="DJ405" s="24" t="inlineStr">
        <is>
          <t>0.8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50baebbc09ca4cab</t>
        </is>
      </c>
      <c r="B406" s="24" t="inlineStr">
        <is>
          <t>2026-09-01T16:06:19.518222Z</t>
        </is>
      </c>
      <c r="C406" s="24" t="inlineStr">
        <is>
          <t>2026-09-01T20:00Z</t>
        </is>
      </c>
      <c r="D406" s="24" t="inlineStr">
        <is>
          <t>189-2026:182600</t>
        </is>
      </c>
      <c r="E406" s="24" t="inlineStr">
        <is>
          <t>TENNIS</t>
        </is>
      </c>
      <c r="F406" s="24" t="inlineStr">
        <is>
          <t>Elise Mertens</t>
        </is>
      </c>
      <c r="G406" s="24" t="inlineStr">
        <is>
          <t>Kaitlin Quevedo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polymarket_us</t>
        </is>
      </c>
      <c r="L406" s="26" t="n">
        <v>-488</v>
      </c>
      <c r="M406" s="27" t="n">
        <v>1.204918</v>
      </c>
      <c r="N406" s="28" t="n">
        <v>0.829932</v>
      </c>
      <c r="O406" s="28" t="n">
        <v>0.7068</v>
      </c>
      <c r="P406" s="28" t="n">
        <v>0.05</v>
      </c>
      <c r="Q406" s="28" t="n">
        <v>-0.123132</v>
      </c>
      <c r="R406" s="26" t="n">
        <v>0</v>
      </c>
      <c r="S406" s="29" t="n">
        <v>1</v>
      </c>
      <c r="T406" s="24" t="inlineStr">
        <is>
          <t>tennis-surface-elo-v1</t>
        </is>
      </c>
      <c r="U406" s="24" t="inlineStr">
        <is>
          <t>settled</t>
        </is>
      </c>
      <c r="V406" s="24" t="inlineStr">
        <is>
          <t>win</t>
        </is>
      </c>
      <c r="W406" s="26" t="n">
        <v>1</v>
      </c>
      <c r="X406" s="26" t="n">
        <v>0</v>
      </c>
      <c r="Y406" s="25" t="n"/>
      <c r="Z406" s="26" t="n">
        <v>-488</v>
      </c>
      <c r="AA406" s="28" t="n">
        <v>0.83</v>
      </c>
      <c r="AB406" s="28" t="n">
        <v>6.8e-05</v>
      </c>
      <c r="AC406" s="30" t="n">
        <v>0.2049</v>
      </c>
      <c r="AD406" s="24" t="inlineStr">
        <is>
          <t>2026-09-02T04:32:07.141495Z</t>
        </is>
      </c>
      <c r="AE406" s="31" t="inlineStr">
        <is>
          <t>Surface-blended Elo on Hard: Elise Mertens p=0.707 vs Kaitlin Quevedo. Executable ask 0.8300 (aec-wta-kaique-elimer-2026-08-30).</t>
        </is>
      </c>
      <c r="AF406" s="31" t="inlineStr">
        <is>
          <t>Surface-blended Elo model; singles only, WTA+ATP market coverage, not yet locked-holdout qualified -- promoted by explicit operator directive, not genuine walk-forward validation.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PAPER_CALL_LOW_EDGE</t>
        </is>
      </c>
      <c r="AP406" s="24" t="inlineStr">
        <is>
          <t>Elise Mertens</t>
        </is>
      </c>
      <c r="AQ406" s="24" t="inlineStr">
        <is>
          <t>Elise Mertens</t>
        </is>
      </c>
      <c r="AR406" s="24" t="inlineStr">
        <is>
          <t>Elise Mertens</t>
        </is>
      </c>
      <c r="AS406" s="24" t="inlineStr">
        <is>
          <t>Kaitlin Quevedo</t>
        </is>
      </c>
      <c r="AT406" s="24" t="inlineStr">
        <is>
          <t>Kaitlin Quevedo</t>
        </is>
      </c>
      <c r="AU406" s="24" t="inlineStr">
        <is>
          <t>Kaitlin Quevedo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0ce66f49b381187fe6255a40ca2fdbfc155d5e36125ccf6d30fe81a72962eafa</t>
        </is>
      </c>
      <c r="BB406" s="24" t="inlineStr">
        <is>
          <t>surface_blended_elo</t>
        </is>
      </c>
      <c r="BC406" s="24" t="inlineStr">
        <is>
          <t>tennis-surface-elo-v1</t>
        </is>
      </c>
      <c r="BD406" s="24" t="inlineStr">
        <is>
          <t>0ce66f49b381187fe6255a40ca2fdbfc155d5e36125ccf6d30fe81a72962eafa</t>
        </is>
      </c>
      <c r="BE406" s="24" t="inlineStr">
        <is>
          <t>tennis-surface-elo-v1</t>
        </is>
      </c>
      <c r="BF406" s="24" t="inlineStr">
        <is>
          <t>1</t>
        </is>
      </c>
      <c r="BG406" s="24" t="inlineStr">
        <is>
          <t>0ce66f49b381187fe6255a40ca2fdbfc155d5e36125ccf6d30fe81a72962eafa</t>
        </is>
      </c>
      <c r="BH406" s="24" t="inlineStr">
        <is>
          <t>2026-09-01T16:03:58.965174Z</t>
        </is>
      </c>
      <c r="BI406" s="24" t="inlineStr">
        <is>
          <t>["same_event","same_team_same_day","same_league_same_day"]</t>
        </is>
      </c>
      <c r="BJ406" s="25" t="n"/>
      <c r="BK406" s="26" t="n">
        <v>-488</v>
      </c>
      <c r="BL406" s="27" t="n">
        <v>1.204918</v>
      </c>
      <c r="BM406" s="28" t="n">
        <v>0.829932</v>
      </c>
      <c r="BN406" s="28" t="n"/>
      <c r="BO406" s="28" t="n"/>
      <c r="BP406" s="25" t="n"/>
      <c r="BQ406" s="27" t="n">
        <v>1.204918</v>
      </c>
      <c r="BR406" s="28" t="n">
        <v>0.83</v>
      </c>
      <c r="BS406" s="28" t="n"/>
      <c r="BT406" s="28" t="n"/>
      <c r="BU406" s="25" t="n"/>
      <c r="BV406" s="29" t="n"/>
      <c r="BW406" s="24" t="n"/>
      <c r="BX406" s="30" t="n">
        <v>1</v>
      </c>
      <c r="BY406" s="27" t="n">
        <v>0.204918</v>
      </c>
      <c r="BZ406" s="24" t="inlineStr">
        <is>
          <t>2026-09-02T04:32:07.141495Z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inlineStr">
        <is>
          <t>be70d50247ffa57c6680bcdc463568683fc0571b3ec8cdfbb535a7bb0675c27e</t>
        </is>
      </c>
      <c r="DE406" s="24" t="inlineStr">
        <is>
          <t>/Users/vincentc9002/model-prediction/data/odds/tennis/2026-09-01/polymarket_snapshots.jsonl</t>
        </is>
      </c>
      <c r="DF406" s="24" t="inlineStr">
        <is>
          <t>547333:2026-09-01T16:03:58.965174Z</t>
        </is>
      </c>
      <c r="DG406" s="24" t="n"/>
      <c r="DH406" s="24" t="n"/>
      <c r="DI406" s="24" t="n"/>
      <c r="DJ406" s="24" t="inlineStr">
        <is>
          <t>0.829932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c68292416f8349f3</t>
        </is>
      </c>
      <c r="B407" s="24" t="inlineStr">
        <is>
          <t>2026-09-01T16:06:19.518222Z</t>
        </is>
      </c>
      <c r="C407" s="24" t="inlineStr">
        <is>
          <t>2026-09-01T20:00Z</t>
        </is>
      </c>
      <c r="D407" s="24" t="inlineStr">
        <is>
          <t>189-2026:182636</t>
        </is>
      </c>
      <c r="E407" s="24" t="inlineStr">
        <is>
          <t>TENNIS</t>
        </is>
      </c>
      <c r="F407" s="24" t="inlineStr">
        <is>
          <t>Magdalena Frech</t>
        </is>
      </c>
      <c r="G407" s="24" t="inlineStr">
        <is>
          <t>Iva Jovic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polymarket_us</t>
        </is>
      </c>
      <c r="L407" s="26" t="n">
        <v>-300</v>
      </c>
      <c r="M407" s="27" t="n">
        <v>1.333333</v>
      </c>
      <c r="N407" s="28" t="n">
        <v>0.75</v>
      </c>
      <c r="O407" s="28" t="n">
        <v>0.6909</v>
      </c>
      <c r="P407" s="28" t="n">
        <v>0.05</v>
      </c>
      <c r="Q407" s="28" t="n">
        <v>-0.0591</v>
      </c>
      <c r="R407" s="26" t="n">
        <v>0</v>
      </c>
      <c r="S407" s="29" t="n">
        <v>1</v>
      </c>
      <c r="T407" s="24" t="inlineStr">
        <is>
          <t>tennis-surface-elo-v1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1</v>
      </c>
      <c r="Y407" s="25" t="n"/>
      <c r="Z407" s="26" t="n">
        <v>-300</v>
      </c>
      <c r="AA407" s="28" t="n">
        <v>0.75</v>
      </c>
      <c r="AB407" s="28" t="n">
        <v>0</v>
      </c>
      <c r="AC407" s="30" t="n">
        <v>0.3333</v>
      </c>
      <c r="AD407" s="24" t="inlineStr">
        <is>
          <t>2026-09-03T04:30:10.313171Z</t>
        </is>
      </c>
      <c r="AE407" s="31" t="inlineStr">
        <is>
          <t>Surface-blended Elo on Hard: Magdalena Frech p=0.309 vs Iva Jovic. Executable ask 0.7500 (aec-wta-ivajov-magfre-2026-08-30).</t>
        </is>
      </c>
      <c r="AF407" s="31" t="inlineStr">
        <is>
          <t>Surface-blended Elo model; singles only, WTA+ATP market coverage, not yet locked-holdout qualified -- promoted by explicit operator directive, not genuine walk-forward validation.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Magdalena Frech</t>
        </is>
      </c>
      <c r="AQ407" s="24" t="inlineStr">
        <is>
          <t>Magdalena Frech</t>
        </is>
      </c>
      <c r="AR407" s="24" t="inlineStr">
        <is>
          <t>Magdalena Frech</t>
        </is>
      </c>
      <c r="AS407" s="24" t="inlineStr">
        <is>
          <t>Iva Jovic</t>
        </is>
      </c>
      <c r="AT407" s="24" t="inlineStr">
        <is>
          <t>Iva Jovic</t>
        </is>
      </c>
      <c r="AU407" s="24" t="inlineStr">
        <is>
          <t>Iva Jovic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0ce66f49b381187fe6255a40ca2fdbfc155d5e36125ccf6d30fe81a72962eafa</t>
        </is>
      </c>
      <c r="BB407" s="24" t="inlineStr">
        <is>
          <t>surface_blended_elo</t>
        </is>
      </c>
      <c r="BC407" s="24" t="inlineStr">
        <is>
          <t>tennis-surface-elo-v1</t>
        </is>
      </c>
      <c r="BD407" s="24" t="inlineStr">
        <is>
          <t>0ce66f49b381187fe6255a40ca2fdbfc155d5e36125ccf6d30fe81a72962eafa</t>
        </is>
      </c>
      <c r="BE407" s="24" t="inlineStr">
        <is>
          <t>tennis-surface-elo-v1</t>
        </is>
      </c>
      <c r="BF407" s="24" t="inlineStr">
        <is>
          <t>1</t>
        </is>
      </c>
      <c r="BG407" s="24" t="inlineStr">
        <is>
          <t>0ce66f49b381187fe6255a40ca2fdbfc155d5e36125ccf6d30fe81a72962eafa</t>
        </is>
      </c>
      <c r="BH407" s="24" t="inlineStr">
        <is>
          <t>2026-09-01T16:03:58.996244Z</t>
        </is>
      </c>
      <c r="BI407" s="24" t="inlineStr">
        <is>
          <t>["same_event","same_team_same_day","same_league_same_day"]</t>
        </is>
      </c>
      <c r="BJ407" s="25" t="n"/>
      <c r="BK407" s="26" t="n">
        <v>-300</v>
      </c>
      <c r="BL407" s="27" t="n">
        <v>1.333333</v>
      </c>
      <c r="BM407" s="28" t="n">
        <v>0.75</v>
      </c>
      <c r="BN407" s="28" t="n"/>
      <c r="BO407" s="28" t="n"/>
      <c r="BP407" s="25" t="n"/>
      <c r="BQ407" s="27" t="n">
        <v>1.333333</v>
      </c>
      <c r="BR407" s="28" t="n">
        <v>0.75</v>
      </c>
      <c r="BS407" s="28" t="n"/>
      <c r="BT407" s="28" t="n"/>
      <c r="BU407" s="25" t="n"/>
      <c r="BV407" s="29" t="n"/>
      <c r="BW407" s="24" t="n"/>
      <c r="BX407" s="30" t="n">
        <v>1</v>
      </c>
      <c r="BY407" s="27" t="n">
        <v>0.333333</v>
      </c>
      <c r="BZ407" s="24" t="inlineStr">
        <is>
          <t>2026-09-03T04:30:10.313171Z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inlineStr">
        <is>
          <t>502362ad244f3f3ba1a1d45e4fe6a4032c2c4119a4889c745978d0629d0cdad8</t>
        </is>
      </c>
      <c r="DE407" s="24" t="inlineStr">
        <is>
          <t>/Users/vincentc9002/model-prediction/data/odds/tennis/2026-09-01/polymarket_snapshots.jsonl</t>
        </is>
      </c>
      <c r="DF407" s="24" t="inlineStr">
        <is>
          <t>547304:2026-09-01T16:03:58.996244Z</t>
        </is>
      </c>
      <c r="DG407" s="24" t="n"/>
      <c r="DH407" s="24" t="n"/>
      <c r="DI407" s="24" t="n"/>
      <c r="DJ407" s="24" t="inlineStr">
        <is>
          <t>0.75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48eb75cd57064fbf</t>
        </is>
      </c>
      <c r="B408" s="24" t="inlineStr">
        <is>
          <t>2026-09-01T16:06:19.518222Z</t>
        </is>
      </c>
      <c r="C408" s="24" t="inlineStr">
        <is>
          <t>2026-09-01T20:00Z</t>
        </is>
      </c>
      <c r="D408" s="24" t="inlineStr">
        <is>
          <t>189-2026:182649</t>
        </is>
      </c>
      <c r="E408" s="24" t="inlineStr">
        <is>
          <t>TENNIS</t>
        </is>
      </c>
      <c r="F408" s="24" t="inlineStr">
        <is>
          <t>Leolia Jeanjean</t>
        </is>
      </c>
      <c r="G408" s="24" t="inlineStr">
        <is>
          <t>Arantxa Rus</t>
        </is>
      </c>
      <c r="H408" s="24" t="inlineStr">
        <is>
          <t>moneyline</t>
        </is>
      </c>
      <c r="I408" s="24" t="inlineStr">
        <is>
          <t>away</t>
        </is>
      </c>
      <c r="J408" s="25" t="n"/>
      <c r="K408" s="24" t="inlineStr">
        <is>
          <t>polymarket_us</t>
        </is>
      </c>
      <c r="L408" s="26" t="n">
        <v>-178</v>
      </c>
      <c r="M408" s="27" t="n">
        <v>1.561798</v>
      </c>
      <c r="N408" s="28" t="n">
        <v>0.640288</v>
      </c>
      <c r="O408" s="28" t="n">
        <v>0.5352</v>
      </c>
      <c r="P408" s="28" t="n">
        <v>0.05</v>
      </c>
      <c r="Q408" s="28" t="n">
        <v>-0.105088</v>
      </c>
      <c r="R408" s="26" t="n">
        <v>0</v>
      </c>
      <c r="S408" s="29" t="n">
        <v>1</v>
      </c>
      <c r="T408" s="24" t="inlineStr">
        <is>
          <t>tennis-surface-elo-v1</t>
        </is>
      </c>
      <c r="U408" s="24" t="inlineStr">
        <is>
          <t>settled</t>
        </is>
      </c>
      <c r="V408" s="24" t="inlineStr">
        <is>
          <t>win</t>
        </is>
      </c>
      <c r="W408" s="26" t="n">
        <v>1</v>
      </c>
      <c r="X408" s="26" t="n">
        <v>0</v>
      </c>
      <c r="Y408" s="25" t="n"/>
      <c r="Z408" s="26" t="n">
        <v>-178</v>
      </c>
      <c r="AA408" s="28" t="n">
        <v>0.64</v>
      </c>
      <c r="AB408" s="28" t="n">
        <v>-0.000288</v>
      </c>
      <c r="AC408" s="30" t="n">
        <v>0.5618</v>
      </c>
      <c r="AD408" s="24" t="inlineStr">
        <is>
          <t>2026-09-02T04:32:09.691992Z</t>
        </is>
      </c>
      <c r="AE408" s="31" t="inlineStr">
        <is>
          <t>Surface-blended Elo on Hard: Leolia Jeanjean p=0.535 vs Arantxa Rus. Executable ask 0.6400 (aec-wta-ararus-leojea-2026-08-30).</t>
        </is>
      </c>
      <c r="AF408" s="31" t="inlineStr">
        <is>
          <t>Surface-blended Elo model; singles only, WTA+ATP market coverage, not yet locked-holdout qualified -- promoted by explicit operator directive, not genuine walk-forward validation.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Leolia Jeanjean</t>
        </is>
      </c>
      <c r="AQ408" s="24" t="inlineStr">
        <is>
          <t>Leolia Jeanjean</t>
        </is>
      </c>
      <c r="AR408" s="24" t="inlineStr">
        <is>
          <t>Leolia Jeanjean</t>
        </is>
      </c>
      <c r="AS408" s="24" t="inlineStr">
        <is>
          <t>Arantxa Rus</t>
        </is>
      </c>
      <c r="AT408" s="24" t="inlineStr">
        <is>
          <t>Arantxa Rus</t>
        </is>
      </c>
      <c r="AU408" s="24" t="inlineStr">
        <is>
          <t>Arantxa Rus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0ce66f49b381187fe6255a40ca2fdbfc155d5e36125ccf6d30fe81a72962eafa</t>
        </is>
      </c>
      <c r="BB408" s="24" t="inlineStr">
        <is>
          <t>surface_blended_elo</t>
        </is>
      </c>
      <c r="BC408" s="24" t="inlineStr">
        <is>
          <t>tennis-surface-elo-v1</t>
        </is>
      </c>
      <c r="BD408" s="24" t="inlineStr">
        <is>
          <t>0ce66f49b381187fe6255a40ca2fdbfc155d5e36125ccf6d30fe81a72962eafa</t>
        </is>
      </c>
      <c r="BE408" s="24" t="inlineStr">
        <is>
          <t>tennis-surface-elo-v1</t>
        </is>
      </c>
      <c r="BF408" s="24" t="inlineStr">
        <is>
          <t>1</t>
        </is>
      </c>
      <c r="BG408" s="24" t="inlineStr">
        <is>
          <t>0ce66f49b381187fe6255a40ca2fdbfc155d5e36125ccf6d30fe81a72962eafa</t>
        </is>
      </c>
      <c r="BH408" s="24" t="inlineStr">
        <is>
          <t>2026-09-01T16:03:59.008660Z</t>
        </is>
      </c>
      <c r="BI408" s="24" t="inlineStr">
        <is>
          <t>["same_event","same_team_same_day","same_league_same_day"]</t>
        </is>
      </c>
      <c r="BJ408" s="25" t="n"/>
      <c r="BK408" s="26" t="n">
        <v>-178</v>
      </c>
      <c r="BL408" s="27" t="n">
        <v>1.561798</v>
      </c>
      <c r="BM408" s="28" t="n">
        <v>0.640288</v>
      </c>
      <c r="BN408" s="28" t="n"/>
      <c r="BO408" s="28" t="n"/>
      <c r="BP408" s="25" t="n"/>
      <c r="BQ408" s="27" t="n">
        <v>1.561798</v>
      </c>
      <c r="BR408" s="28" t="n">
        <v>0.64</v>
      </c>
      <c r="BS408" s="28" t="n"/>
      <c r="BT408" s="28" t="n"/>
      <c r="BU408" s="25" t="n"/>
      <c r="BV408" s="29" t="n"/>
      <c r="BW408" s="24" t="n"/>
      <c r="BX408" s="30" t="n">
        <v>1</v>
      </c>
      <c r="BY408" s="27" t="n">
        <v>0.561797</v>
      </c>
      <c r="BZ408" s="24" t="inlineStr">
        <is>
          <t>2026-09-02T04:32:09.691992Z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inlineStr">
        <is>
          <t>68291aac0ef9cf5ad9c353b6efb7de1aa4b40cad26923052a4a202ab88a69156</t>
        </is>
      </c>
      <c r="DE408" s="24" t="inlineStr">
        <is>
          <t>/Users/vincentc9002/model-prediction/data/odds/tennis/2026-09-01/polymarket_snapshots.jsonl</t>
        </is>
      </c>
      <c r="DF408" s="24" t="inlineStr">
        <is>
          <t>550518:2026-09-01T16:03:59.008660Z</t>
        </is>
      </c>
      <c r="DG408" s="24" t="n"/>
      <c r="DH408" s="24" t="n"/>
      <c r="DI408" s="24" t="n"/>
      <c r="DJ408" s="24" t="inlineStr">
        <is>
          <t>0.640288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ec064bab3b0e491b</t>
        </is>
      </c>
      <c r="B409" s="24" t="inlineStr">
        <is>
          <t>2026-09-01T16:06:19.518222Z</t>
        </is>
      </c>
      <c r="C409" s="24" t="inlineStr">
        <is>
          <t>2026-09-01T20:30Z</t>
        </is>
      </c>
      <c r="D409" s="24" t="inlineStr">
        <is>
          <t>189-2026:182631</t>
        </is>
      </c>
      <c r="E409" s="24" t="inlineStr">
        <is>
          <t>TENNIS</t>
        </is>
      </c>
      <c r="F409" s="24" t="inlineStr">
        <is>
          <t>Mayar Sherif</t>
        </is>
      </c>
      <c r="G409" s="24" t="inlineStr">
        <is>
          <t>Nikola Bartunkova</t>
        </is>
      </c>
      <c r="H409" s="24" t="inlineStr">
        <is>
          <t>moneyline</t>
        </is>
      </c>
      <c r="I409" s="24" t="inlineStr">
        <is>
          <t>away</t>
        </is>
      </c>
      <c r="J409" s="25" t="n"/>
      <c r="K409" s="24" t="inlineStr">
        <is>
          <t>polymarket_us</t>
        </is>
      </c>
      <c r="L409" s="26" t="n">
        <v>456</v>
      </c>
      <c r="M409" s="27" t="n">
        <v>5.56</v>
      </c>
      <c r="N409" s="28" t="n">
        <v>0.179856</v>
      </c>
      <c r="O409" s="28" t="n">
        <v>0.5056</v>
      </c>
      <c r="P409" s="28" t="n">
        <v>0.05</v>
      </c>
      <c r="Q409" s="28" t="n">
        <v>0.325744</v>
      </c>
      <c r="R409" s="26" t="n">
        <v>100</v>
      </c>
      <c r="S409" s="29" t="n">
        <v>2</v>
      </c>
      <c r="T409" s="24" t="inlineStr">
        <is>
          <t>tennis-surface-elo-v1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1</v>
      </c>
      <c r="Y409" s="25" t="n"/>
      <c r="Z409" s="26" t="n">
        <v>456</v>
      </c>
      <c r="AA409" s="28" t="n">
        <v>0.18</v>
      </c>
      <c r="AB409" s="28" t="n">
        <v>0.000144</v>
      </c>
      <c r="AC409" s="30" t="n">
        <v>-2</v>
      </c>
      <c r="AD409" s="24" t="inlineStr">
        <is>
          <t>2026-09-03T04:30:11.277394Z</t>
        </is>
      </c>
      <c r="AE409" s="31" t="inlineStr">
        <is>
          <t>Surface-blended Elo on Hard: Mayar Sherif p=0.506 vs Nikola Bartunkova. Executable ask 0.1800 (aec-wta-nikbar-mayshe-2026-08-30).</t>
        </is>
      </c>
      <c r="AF409" s="31" t="inlineStr">
        <is>
          <t>Surface-blended Elo model; singles only, WTA+ATP market coverage, not yet locked-holdout qualified -- promoted by explicit operator directive, not genuine walk-forward validation.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Mayar Sherif</t>
        </is>
      </c>
      <c r="AQ409" s="24" t="inlineStr">
        <is>
          <t>Mayar Sherif</t>
        </is>
      </c>
      <c r="AR409" s="24" t="inlineStr">
        <is>
          <t>Mayar Sherif</t>
        </is>
      </c>
      <c r="AS409" s="24" t="inlineStr">
        <is>
          <t>Nikola Bartunkova</t>
        </is>
      </c>
      <c r="AT409" s="24" t="inlineStr">
        <is>
          <t>Nikola Bartunkova</t>
        </is>
      </c>
      <c r="AU409" s="24" t="inlineStr">
        <is>
          <t>Nikola Bartunkova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0ce66f49b381187fe6255a40ca2fdbfc155d5e36125ccf6d30fe81a72962eafa</t>
        </is>
      </c>
      <c r="BB409" s="24" t="inlineStr">
        <is>
          <t>surface_blended_elo</t>
        </is>
      </c>
      <c r="BC409" s="24" t="inlineStr">
        <is>
          <t>tennis-surface-elo-v1</t>
        </is>
      </c>
      <c r="BD409" s="24" t="inlineStr">
        <is>
          <t>0ce66f49b381187fe6255a40ca2fdbfc155d5e36125ccf6d30fe81a72962eafa</t>
        </is>
      </c>
      <c r="BE409" s="24" t="inlineStr">
        <is>
          <t>tennis-surface-elo-v1</t>
        </is>
      </c>
      <c r="BF409" s="24" t="inlineStr">
        <is>
          <t>1</t>
        </is>
      </c>
      <c r="BG409" s="24" t="inlineStr">
        <is>
          <t>0ce66f49b381187fe6255a40ca2fdbfc155d5e36125ccf6d30fe81a72962eafa</t>
        </is>
      </c>
      <c r="BH409" s="24" t="inlineStr">
        <is>
          <t>2026-09-01T16:03:59.030815Z</t>
        </is>
      </c>
      <c r="BI409" s="24" t="inlineStr">
        <is>
          <t>["same_event","same_team_same_day","same_league_same_day"]</t>
        </is>
      </c>
      <c r="BJ409" s="25" t="n"/>
      <c r="BK409" s="26" t="n">
        <v>456</v>
      </c>
      <c r="BL409" s="27" t="n">
        <v>5.56</v>
      </c>
      <c r="BM409" s="28" t="n">
        <v>0.179856</v>
      </c>
      <c r="BN409" s="28" t="n"/>
      <c r="BO409" s="28" t="n"/>
      <c r="BP409" s="25" t="n"/>
      <c r="BQ409" s="27" t="n">
        <v>5.56</v>
      </c>
      <c r="BR409" s="28" t="n">
        <v>0.18</v>
      </c>
      <c r="BS409" s="28" t="n"/>
      <c r="BT409" s="28" t="n"/>
      <c r="BU409" s="25" t="n"/>
      <c r="BV409" s="29" t="n"/>
      <c r="BW409" s="24" t="n"/>
      <c r="BX409" s="30" t="n">
        <v>1</v>
      </c>
      <c r="BY409" s="27" t="n">
        <v>-1</v>
      </c>
      <c r="BZ409" s="24" t="inlineStr">
        <is>
          <t>2026-09-03T04:30:11.277394Z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inlineStr">
        <is>
          <t>a899aba95448cbe5b0282ab0372bff589d1125f2ecbb7db131fee168b9dcf635</t>
        </is>
      </c>
      <c r="DE409" s="24" t="inlineStr">
        <is>
          <t>/Users/vincentc9002/model-prediction/data/odds/tennis/2026-09-01/polymarket_snapshots.jsonl</t>
        </is>
      </c>
      <c r="DF409" s="24" t="inlineStr">
        <is>
          <t>547296:2026-09-01T16:03:59.030815Z</t>
        </is>
      </c>
      <c r="DG409" s="24" t="n"/>
      <c r="DH409" s="24" t="n"/>
      <c r="DI409" s="24" t="n"/>
      <c r="DJ409" s="24" t="inlineStr">
        <is>
          <t>0.179856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4bc93deb5c924a12</t>
        </is>
      </c>
      <c r="B410" s="24" t="inlineStr">
        <is>
          <t>2026-09-01T16:06:19.518222Z</t>
        </is>
      </c>
      <c r="C410" s="24" t="inlineStr">
        <is>
          <t>2026-09-01T21:30Z</t>
        </is>
      </c>
      <c r="D410" s="24" t="inlineStr">
        <is>
          <t>189-2026:182641</t>
        </is>
      </c>
      <c r="E410" s="24" t="inlineStr">
        <is>
          <t>TENNIS</t>
        </is>
      </c>
      <c r="F410" s="24" t="inlineStr">
        <is>
          <t>Francesca Jones</t>
        </is>
      </c>
      <c r="G410" s="24" t="inlineStr">
        <is>
          <t>Magda Linette</t>
        </is>
      </c>
      <c r="H410" s="24" t="inlineStr">
        <is>
          <t>moneyline</t>
        </is>
      </c>
      <c r="I410" s="24" t="inlineStr">
        <is>
          <t>away</t>
        </is>
      </c>
      <c r="J410" s="25" t="n"/>
      <c r="K410" s="24" t="inlineStr">
        <is>
          <t>polymarket_us</t>
        </is>
      </c>
      <c r="L410" s="26" t="n">
        <v>100</v>
      </c>
      <c r="M410" s="27" t="n">
        <v>2</v>
      </c>
      <c r="N410" s="28" t="n">
        <v>0.5</v>
      </c>
      <c r="O410" s="28" t="n">
        <v>0.5545</v>
      </c>
      <c r="P410" s="28" t="n">
        <v>0.05</v>
      </c>
      <c r="Q410" s="28" t="n">
        <v>0.0545</v>
      </c>
      <c r="R410" s="26" t="n">
        <v>47</v>
      </c>
      <c r="S410" s="29" t="n">
        <v>1</v>
      </c>
      <c r="T410" s="24" t="inlineStr">
        <is>
          <t>tennis-surface-elo-v1</t>
        </is>
      </c>
      <c r="U410" s="24" t="inlineStr">
        <is>
          <t>settled</t>
        </is>
      </c>
      <c r="V410" s="24" t="inlineStr">
        <is>
          <t>win</t>
        </is>
      </c>
      <c r="W410" s="26" t="n">
        <v>1</v>
      </c>
      <c r="X410" s="26" t="n">
        <v>0</v>
      </c>
      <c r="Y410" s="25" t="n"/>
      <c r="Z410" s="26" t="n">
        <v>100</v>
      </c>
      <c r="AA410" s="28" t="n">
        <v>0.5</v>
      </c>
      <c r="AB410" s="28" t="n">
        <v>0</v>
      </c>
      <c r="AC410" s="30" t="n">
        <v>1</v>
      </c>
      <c r="AD410" s="24" t="inlineStr">
        <is>
          <t>2026-09-03T04:30:12.252798Z</t>
        </is>
      </c>
      <c r="AE410" s="31" t="inlineStr">
        <is>
          <t>Surface-blended Elo on Hard: Francesca Jones p=0.555 vs Magda Linette. Executable ask 0.5000 (aec-wta-maglin-frajon-2026-08-30).</t>
        </is>
      </c>
      <c r="AF410" s="31" t="inlineStr">
        <is>
          <t>Surface-blended Elo model; singles only, WTA+ATP market coverage, not yet locked-holdout qualified -- promoted by explicit operator directive, not genuine walk-forward validation.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Francesca Jones</t>
        </is>
      </c>
      <c r="AQ410" s="24" t="inlineStr">
        <is>
          <t>Francesca Jones</t>
        </is>
      </c>
      <c r="AR410" s="24" t="inlineStr">
        <is>
          <t>Francesca Jones</t>
        </is>
      </c>
      <c r="AS410" s="24" t="inlineStr">
        <is>
          <t>Magda Linette</t>
        </is>
      </c>
      <c r="AT410" s="24" t="inlineStr">
        <is>
          <t>Magda Linette</t>
        </is>
      </c>
      <c r="AU410" s="24" t="inlineStr">
        <is>
          <t>Magda Linette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0ce66f49b381187fe6255a40ca2fdbfc155d5e36125ccf6d30fe81a72962eafa</t>
        </is>
      </c>
      <c r="BB410" s="24" t="inlineStr">
        <is>
          <t>surface_blended_elo</t>
        </is>
      </c>
      <c r="BC410" s="24" t="inlineStr">
        <is>
          <t>tennis-surface-elo-v1</t>
        </is>
      </c>
      <c r="BD410" s="24" t="inlineStr">
        <is>
          <t>0ce66f49b381187fe6255a40ca2fdbfc155d5e36125ccf6d30fe81a72962eafa</t>
        </is>
      </c>
      <c r="BE410" s="24" t="inlineStr">
        <is>
          <t>tennis-surface-elo-v1</t>
        </is>
      </c>
      <c r="BF410" s="24" t="inlineStr">
        <is>
          <t>1</t>
        </is>
      </c>
      <c r="BG410" s="24" t="inlineStr">
        <is>
          <t>0ce66f49b381187fe6255a40ca2fdbfc155d5e36125ccf6d30fe81a72962eafa</t>
        </is>
      </c>
      <c r="BH410" s="24" t="inlineStr">
        <is>
          <t>2026-09-01T16:03:59.058010Z</t>
        </is>
      </c>
      <c r="BI410" s="24" t="inlineStr">
        <is>
          <t>["same_event","same_team_same_day","same_league_same_day"]</t>
        </is>
      </c>
      <c r="BJ410" s="25" t="n"/>
      <c r="BK410" s="26" t="n">
        <v>100</v>
      </c>
      <c r="BL410" s="27" t="n">
        <v>2</v>
      </c>
      <c r="BM410" s="28" t="n">
        <v>0.5</v>
      </c>
      <c r="BN410" s="28" t="n"/>
      <c r="BO410" s="28" t="n"/>
      <c r="BP410" s="25" t="n"/>
      <c r="BQ410" s="27" t="n">
        <v>2</v>
      </c>
      <c r="BR410" s="28" t="n">
        <v>0.5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inlineStr">
        <is>
          <t>8f6d704c41b748029c7cc381f23b13629cce3676789c93f2dc5201d8aa859b19</t>
        </is>
      </c>
      <c r="DE410" s="24" t="inlineStr">
        <is>
          <t>/Users/vincentc9002/model-prediction/data/odds/tennis/2026-09-01/polymarket_snapshots.jsonl</t>
        </is>
      </c>
      <c r="DF410" s="24" t="inlineStr">
        <is>
          <t>550520:2026-09-01T16:03:59.058010Z</t>
        </is>
      </c>
      <c r="DG410" s="24" t="n"/>
      <c r="DH410" s="24" t="n"/>
      <c r="DI410" s="24" t="n"/>
      <c r="DJ410" s="24" t="inlineStr">
        <is>
          <t>0.5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114e03b1f821437e</t>
        </is>
      </c>
      <c r="B411" s="24" t="inlineStr">
        <is>
          <t>2026-09-01T16:06:19.518222Z</t>
        </is>
      </c>
      <c r="C411" s="24" t="inlineStr">
        <is>
          <t>2026-09-01T22:00Z</t>
        </is>
      </c>
      <c r="D411" s="24" t="inlineStr">
        <is>
          <t>189-2026:182642</t>
        </is>
      </c>
      <c r="E411" s="24" t="inlineStr">
        <is>
          <t>TENNIS</t>
        </is>
      </c>
      <c r="F411" s="24" t="inlineStr">
        <is>
          <t>Reese Brantmeier</t>
        </is>
      </c>
      <c r="G411" s="24" t="inlineStr">
        <is>
          <t>Oleksandra Oliynykova</t>
        </is>
      </c>
      <c r="H411" s="24" t="inlineStr">
        <is>
          <t>moneyline</t>
        </is>
      </c>
      <c r="I411" s="24" t="inlineStr">
        <is>
          <t>home</t>
        </is>
      </c>
      <c r="J411" s="25" t="n"/>
      <c r="K411" s="24" t="inlineStr">
        <is>
          <t>polymarket_us</t>
        </is>
      </c>
      <c r="L411" s="26" t="n">
        <v>-104</v>
      </c>
      <c r="M411" s="27" t="n">
        <v>1.961538</v>
      </c>
      <c r="N411" s="28" t="n">
        <v>0.509804</v>
      </c>
      <c r="O411" s="28" t="n">
        <v>0.7445000000000001</v>
      </c>
      <c r="P411" s="28" t="n">
        <v>0.05</v>
      </c>
      <c r="Q411" s="28" t="n">
        <v>0.234696</v>
      </c>
      <c r="R411" s="26" t="n">
        <v>100</v>
      </c>
      <c r="S411" s="29" t="n">
        <v>2</v>
      </c>
      <c r="T411" s="24" t="inlineStr">
        <is>
          <t>tennis-surface-elo-v1</t>
        </is>
      </c>
      <c r="U411" s="24" t="inlineStr">
        <is>
          <t>settled</t>
        </is>
      </c>
      <c r="V411" s="24" t="inlineStr">
        <is>
          <t>win</t>
        </is>
      </c>
      <c r="W411" s="26" t="n">
        <v>0</v>
      </c>
      <c r="X411" s="26" t="n">
        <v>1</v>
      </c>
      <c r="Y411" s="25" t="n"/>
      <c r="Z411" s="26" t="n">
        <v>-104</v>
      </c>
      <c r="AA411" s="28" t="n">
        <v>0.51</v>
      </c>
      <c r="AB411" s="28" t="n">
        <v>0.000196</v>
      </c>
      <c r="AC411" s="30" t="n">
        <v>1.9231</v>
      </c>
      <c r="AD411" s="24" t="inlineStr">
        <is>
          <t>2026-09-02T04:32:11.738995Z</t>
        </is>
      </c>
      <c r="AE411" s="31" t="inlineStr">
        <is>
          <t>Surface-blended Elo on Hard: Reese Brantmeier p=0.256 vs Oleksandra Oliynykova. Executable ask 0.5100 (aec-wta-oleoli-reebra-2026-08-30).</t>
        </is>
      </c>
      <c r="AF411" s="31" t="inlineStr">
        <is>
          <t>Surface-blended Elo model; singles only, WTA+ATP market coverage, not yet locked-holdout qualified -- promoted by explicit operator directive, not genuine walk-forward validation.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PAPER_CALL_MODEL_UNVALIDATED</t>
        </is>
      </c>
      <c r="AP411" s="24" t="inlineStr">
        <is>
          <t>Reese Brantmeier</t>
        </is>
      </c>
      <c r="AQ411" s="24" t="inlineStr">
        <is>
          <t>Reese Brantmeier</t>
        </is>
      </c>
      <c r="AR411" s="24" t="inlineStr">
        <is>
          <t>Reese Brantmeier</t>
        </is>
      </c>
      <c r="AS411" s="24" t="inlineStr">
        <is>
          <t>Oleksandra Oliynykova</t>
        </is>
      </c>
      <c r="AT411" s="24" t="inlineStr">
        <is>
          <t>Oleksandra Oliynykova</t>
        </is>
      </c>
      <c r="AU411" s="24" t="inlineStr">
        <is>
          <t>Oleksandra Oliynykova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0ce66f49b381187fe6255a40ca2fdbfc155d5e36125ccf6d30fe81a72962eafa</t>
        </is>
      </c>
      <c r="BB411" s="24" t="inlineStr">
        <is>
          <t>surface_blended_elo</t>
        </is>
      </c>
      <c r="BC411" s="24" t="inlineStr">
        <is>
          <t>tennis-surface-elo-v1</t>
        </is>
      </c>
      <c r="BD411" s="24" t="inlineStr">
        <is>
          <t>0ce66f49b381187fe6255a40ca2fdbfc155d5e36125ccf6d30fe81a72962eafa</t>
        </is>
      </c>
      <c r="BE411" s="24" t="inlineStr">
        <is>
          <t>tennis-surface-elo-v1</t>
        </is>
      </c>
      <c r="BF411" s="24" t="inlineStr">
        <is>
          <t>1</t>
        </is>
      </c>
      <c r="BG411" s="24" t="inlineStr">
        <is>
          <t>0ce66f49b381187fe6255a40ca2fdbfc155d5e36125ccf6d30fe81a72962eafa</t>
        </is>
      </c>
      <c r="BH411" s="24" t="inlineStr">
        <is>
          <t>2026-09-01T16:03:59.096554Z</t>
        </is>
      </c>
      <c r="BI411" s="24" t="inlineStr">
        <is>
          <t>["same_event","same_team_same_day","same_league_same_day"]</t>
        </is>
      </c>
      <c r="BJ411" s="25" t="n"/>
      <c r="BK411" s="26" t="n">
        <v>-104</v>
      </c>
      <c r="BL411" s="27" t="n">
        <v>1.961538</v>
      </c>
      <c r="BM411" s="28" t="n">
        <v>0.509804</v>
      </c>
      <c r="BN411" s="28" t="n"/>
      <c r="BO411" s="28" t="n"/>
      <c r="BP411" s="25" t="n"/>
      <c r="BQ411" s="27" t="n">
        <v>1.961538</v>
      </c>
      <c r="BR411" s="28" t="n">
        <v>0.51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0.961538</v>
      </c>
      <c r="BZ411" s="24" t="inlineStr">
        <is>
          <t>2026-09-02T04:32:11.738995Z</t>
        </is>
      </c>
      <c r="CA411" s="31" t="inlineStr">
        <is>
          <t>fixed one-unit hypothetical scoring; no real exposure or execution</t>
        </is>
      </c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inlineStr">
        <is>
          <t>1d2423fe2a797351729479d229ecb09b233ec4bfb78c9d5c2b5e0625c24f11c3</t>
        </is>
      </c>
      <c r="DE411" s="24" t="inlineStr">
        <is>
          <t>/Users/vincentc9002/model-prediction/data/odds/tennis/2026-09-01/polymarket_snapshots.jsonl</t>
        </is>
      </c>
      <c r="DF411" s="24" t="inlineStr">
        <is>
          <t>547306:2026-09-01T16:03:59.096554Z</t>
        </is>
      </c>
      <c r="DG411" s="24" t="n"/>
      <c r="DH411" s="24" t="n"/>
      <c r="DI411" s="24" t="n"/>
      <c r="DJ411" s="24" t="inlineStr">
        <is>
          <t>0.509804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96074919230d4fa8</t>
        </is>
      </c>
      <c r="B412" s="24" t="inlineStr">
        <is>
          <t>2026-09-01T16:06:19.518222Z</t>
        </is>
      </c>
      <c r="C412" s="24" t="inlineStr">
        <is>
          <t>2026-09-01T23:00Z</t>
        </is>
      </c>
      <c r="D412" s="24" t="inlineStr">
        <is>
          <t>189-2026:182645</t>
        </is>
      </c>
      <c r="E412" s="24" t="inlineStr">
        <is>
          <t>TENNIS</t>
        </is>
      </c>
      <c r="F412" s="24" t="inlineStr">
        <is>
          <t>Coco Gauff</t>
        </is>
      </c>
      <c r="G412" s="24" t="inlineStr">
        <is>
          <t>Zeynep Sonmez</t>
        </is>
      </c>
      <c r="H412" s="24" t="inlineStr">
        <is>
          <t>moneyline</t>
        </is>
      </c>
      <c r="I412" s="24" t="inlineStr">
        <is>
          <t>away</t>
        </is>
      </c>
      <c r="J412" s="25" t="n"/>
      <c r="K412" s="24" t="inlineStr">
        <is>
          <t>polymarket_us</t>
        </is>
      </c>
      <c r="L412" s="26" t="n">
        <v>-1900</v>
      </c>
      <c r="M412" s="27" t="n">
        <v>1.052632</v>
      </c>
      <c r="N412" s="28" t="n">
        <v>0.95</v>
      </c>
      <c r="O412" s="28" t="n">
        <v>0.8307</v>
      </c>
      <c r="P412" s="28" t="n">
        <v>0.05</v>
      </c>
      <c r="Q412" s="28" t="n">
        <v>-0.1193</v>
      </c>
      <c r="R412" s="26" t="n">
        <v>0</v>
      </c>
      <c r="S412" s="29" t="n">
        <v>1</v>
      </c>
      <c r="T412" s="24" t="inlineStr">
        <is>
          <t>tennis-surface-elo-v1</t>
        </is>
      </c>
      <c r="U412" s="24" t="inlineStr">
        <is>
          <t>settled</t>
        </is>
      </c>
      <c r="V412" s="24" t="inlineStr">
        <is>
          <t>win</t>
        </is>
      </c>
      <c r="W412" s="26" t="n">
        <v>1</v>
      </c>
      <c r="X412" s="26" t="n">
        <v>0</v>
      </c>
      <c r="Y412" s="25" t="n"/>
      <c r="Z412" s="26" t="n">
        <v>-1900</v>
      </c>
      <c r="AA412" s="28" t="n">
        <v>0.95</v>
      </c>
      <c r="AB412" s="28" t="n">
        <v>0</v>
      </c>
      <c r="AC412" s="30" t="n">
        <v>0.0526</v>
      </c>
      <c r="AD412" s="24" t="inlineStr">
        <is>
          <t>2026-09-02T04:32:13.967991Z</t>
        </is>
      </c>
      <c r="AE412" s="31" t="inlineStr">
        <is>
          <t>Surface-blended Elo on Hard: Coco Gauff p=0.831 vs Zeynep Sonmez. Executable ask 0.9500 (aec-wta-zeyson-cocgau-2026-08-30).</t>
        </is>
      </c>
      <c r="AF412" s="31" t="inlineStr">
        <is>
          <t>Surface-blended Elo model; singles only, WTA+ATP market coverage, not yet locked-holdout qualified -- promoted by explicit operator directive, not genuine walk-forward validation.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PAPER_CALL_LOW_EDGE</t>
        </is>
      </c>
      <c r="AP412" s="24" t="inlineStr">
        <is>
          <t>Coco Gauff</t>
        </is>
      </c>
      <c r="AQ412" s="24" t="inlineStr">
        <is>
          <t>Coco Gauff</t>
        </is>
      </c>
      <c r="AR412" s="24" t="inlineStr">
        <is>
          <t>Coco Gauff</t>
        </is>
      </c>
      <c r="AS412" s="24" t="inlineStr">
        <is>
          <t>Zeynep Sonmez</t>
        </is>
      </c>
      <c r="AT412" s="24" t="inlineStr">
        <is>
          <t>Zeynep Sonmez</t>
        </is>
      </c>
      <c r="AU412" s="24" t="inlineStr">
        <is>
          <t>Zeynep Sonmez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0ce66f49b381187fe6255a40ca2fdbfc155d5e36125ccf6d30fe81a72962eafa</t>
        </is>
      </c>
      <c r="BB412" s="24" t="inlineStr">
        <is>
          <t>surface_blended_elo</t>
        </is>
      </c>
      <c r="BC412" s="24" t="inlineStr">
        <is>
          <t>tennis-surface-elo-v1</t>
        </is>
      </c>
      <c r="BD412" s="24" t="inlineStr">
        <is>
          <t>0ce66f49b381187fe6255a40ca2fdbfc155d5e36125ccf6d30fe81a72962eafa</t>
        </is>
      </c>
      <c r="BE412" s="24" t="inlineStr">
        <is>
          <t>tennis-surface-elo-v1</t>
        </is>
      </c>
      <c r="BF412" s="24" t="inlineStr">
        <is>
          <t>1</t>
        </is>
      </c>
      <c r="BG412" s="24" t="inlineStr">
        <is>
          <t>0ce66f49b381187fe6255a40ca2fdbfc155d5e36125ccf6d30fe81a72962eafa</t>
        </is>
      </c>
      <c r="BH412" s="24" t="inlineStr">
        <is>
          <t>2026-09-01T16:03:59.130246Z</t>
        </is>
      </c>
      <c r="BI412" s="24" t="inlineStr">
        <is>
          <t>["same_event","same_team_same_day","same_league_same_day"]</t>
        </is>
      </c>
      <c r="BJ412" s="25" t="n"/>
      <c r="BK412" s="26" t="n">
        <v>-1900</v>
      </c>
      <c r="BL412" s="27" t="n">
        <v>1.052632</v>
      </c>
      <c r="BM412" s="28" t="n">
        <v>0.95</v>
      </c>
      <c r="BN412" s="28" t="n"/>
      <c r="BO412" s="28" t="n"/>
      <c r="BP412" s="25" t="n"/>
      <c r="BQ412" s="27" t="n">
        <v>1.052632</v>
      </c>
      <c r="BR412" s="28" t="n">
        <v>0.95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0.052632</v>
      </c>
      <c r="BZ412" s="24" t="inlineStr">
        <is>
          <t>2026-09-02T04:32:13.967991Z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False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inlineStr">
        <is>
          <t>c7c162898be1b9f22eb337587057b8b15423877cf1d41144e96abb273ff00155</t>
        </is>
      </c>
      <c r="DE412" s="24" t="inlineStr">
        <is>
          <t>/Users/vincentc9002/model-prediction/data/odds/tennis/2026-09-01/polymarket_snapshots.jsonl</t>
        </is>
      </c>
      <c r="DF412" s="24" t="inlineStr">
        <is>
          <t>547311:2026-09-01T16:03:59.130246Z</t>
        </is>
      </c>
      <c r="DG412" s="24" t="n"/>
      <c r="DH412" s="24" t="n"/>
      <c r="DI412" s="24" t="n"/>
      <c r="DJ412" s="24" t="inlineStr">
        <is>
          <t>0.95</t>
        </is>
      </c>
      <c r="DK412" s="24" t="n"/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c8c57d7694fe424a</t>
        </is>
      </c>
      <c r="B413" s="24" t="inlineStr">
        <is>
          <t>2026-09-01T16:06:19.518222Z</t>
        </is>
      </c>
      <c r="C413" s="24" t="inlineStr">
        <is>
          <t>2026-09-02T01:00Z</t>
        </is>
      </c>
      <c r="D413" s="24" t="inlineStr">
        <is>
          <t>189-2026:182639</t>
        </is>
      </c>
      <c r="E413" s="24" t="inlineStr">
        <is>
          <t>TENNIS</t>
        </is>
      </c>
      <c r="F413" s="24" t="inlineStr">
        <is>
          <t>Alexandra Eala</t>
        </is>
      </c>
      <c r="G413" s="24" t="inlineStr">
        <is>
          <t>Mary Stoiana</t>
        </is>
      </c>
      <c r="H413" s="24" t="inlineStr">
        <is>
          <t>moneyline</t>
        </is>
      </c>
      <c r="I413" s="24" t="inlineStr">
        <is>
          <t>away</t>
        </is>
      </c>
      <c r="J413" s="25" t="n"/>
      <c r="K413" s="24" t="inlineStr">
        <is>
          <t>polymarket_us</t>
        </is>
      </c>
      <c r="L413" s="26" t="n">
        <v>-400</v>
      </c>
      <c r="M413" s="27" t="n">
        <v>1.25</v>
      </c>
      <c r="N413" s="28" t="n">
        <v>0.8</v>
      </c>
      <c r="O413" s="28" t="n">
        <v>0.6203</v>
      </c>
      <c r="P413" s="28" t="n">
        <v>0.05</v>
      </c>
      <c r="Q413" s="28" t="n">
        <v>-0.1797</v>
      </c>
      <c r="R413" s="26" t="n">
        <v>0</v>
      </c>
      <c r="S413" s="29" t="n">
        <v>1</v>
      </c>
      <c r="T413" s="24" t="inlineStr">
        <is>
          <t>tennis-surface-elo-v1</t>
        </is>
      </c>
      <c r="U413" s="24" t="inlineStr">
        <is>
          <t>settled</t>
        </is>
      </c>
      <c r="V413" s="24" t="inlineStr">
        <is>
          <t>win</t>
        </is>
      </c>
      <c r="W413" s="26" t="n">
        <v>1</v>
      </c>
      <c r="X413" s="26" t="n">
        <v>0</v>
      </c>
      <c r="Y413" s="25" t="n"/>
      <c r="Z413" s="26" t="n">
        <v>-400</v>
      </c>
      <c r="AA413" s="28" t="n">
        <v>0.8</v>
      </c>
      <c r="AB413" s="28" t="n">
        <v>0</v>
      </c>
      <c r="AC413" s="30" t="n">
        <v>0.25</v>
      </c>
      <c r="AD413" s="24" t="inlineStr">
        <is>
          <t>2026-09-02T04:32:16.749634Z</t>
        </is>
      </c>
      <c r="AE413" s="31" t="inlineStr">
        <is>
          <t>Surface-blended Elo on Hard: Alexandra Eala p=0.620 vs Mary Stoiana. Executable ask 0.8000 (aec-wta-marsto-aleeal-2026-08-30).</t>
        </is>
      </c>
      <c r="AF413" s="31" t="inlineStr">
        <is>
          <t>Surface-blended Elo model; singles only, WTA+ATP market coverage, not yet locked-holdout qualified -- promoted by explicit operator directive, not genuine walk-forward validation.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Alexandra Eala</t>
        </is>
      </c>
      <c r="AQ413" s="24" t="inlineStr">
        <is>
          <t>Alexandra Eala</t>
        </is>
      </c>
      <c r="AR413" s="24" t="inlineStr">
        <is>
          <t>Alexandra Eala</t>
        </is>
      </c>
      <c r="AS413" s="24" t="inlineStr">
        <is>
          <t>Mary Stoiana</t>
        </is>
      </c>
      <c r="AT413" s="24" t="inlineStr">
        <is>
          <t>Mary Stoiana</t>
        </is>
      </c>
      <c r="AU413" s="24" t="inlineStr">
        <is>
          <t>Mary Stoiana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0ce66f49b381187fe6255a40ca2fdbfc155d5e36125ccf6d30fe81a72962eafa</t>
        </is>
      </c>
      <c r="BB413" s="24" t="inlineStr">
        <is>
          <t>surface_blended_elo</t>
        </is>
      </c>
      <c r="BC413" s="24" t="inlineStr">
        <is>
          <t>tennis-surface-elo-v1</t>
        </is>
      </c>
      <c r="BD413" s="24" t="inlineStr">
        <is>
          <t>0ce66f49b381187fe6255a40ca2fdbfc155d5e36125ccf6d30fe81a72962eafa</t>
        </is>
      </c>
      <c r="BE413" s="24" t="inlineStr">
        <is>
          <t>tennis-surface-elo-v1</t>
        </is>
      </c>
      <c r="BF413" s="24" t="inlineStr">
        <is>
          <t>1</t>
        </is>
      </c>
      <c r="BG413" s="24" t="inlineStr">
        <is>
          <t>0ce66f49b381187fe6255a40ca2fdbfc155d5e36125ccf6d30fe81a72962eafa</t>
        </is>
      </c>
      <c r="BH413" s="24" t="inlineStr">
        <is>
          <t>2026-09-01T13:48:08.239184Z</t>
        </is>
      </c>
      <c r="BI413" s="24" t="inlineStr">
        <is>
          <t>["same_event","same_team_same_day","same_league_same_day"]</t>
        </is>
      </c>
      <c r="BJ413" s="25" t="n"/>
      <c r="BK413" s="26" t="n">
        <v>-400</v>
      </c>
      <c r="BL413" s="27" t="n">
        <v>1.25</v>
      </c>
      <c r="BM413" s="28" t="n">
        <v>0.8</v>
      </c>
      <c r="BN413" s="28" t="n"/>
      <c r="BO413" s="28" t="n"/>
      <c r="BP413" s="25" t="n"/>
      <c r="BQ413" s="27" t="n">
        <v>1.25</v>
      </c>
      <c r="BR413" s="28" t="n">
        <v>0.8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0.25</v>
      </c>
      <c r="BZ413" s="24" t="inlineStr">
        <is>
          <t>2026-09-02T04:32:16.749634Z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inlineStr">
        <is>
          <t>13957e7f79f4c1d55e3371bde62fb01ca69b476556e7210a7860ebc9ed944207</t>
        </is>
      </c>
      <c r="DE413" s="24" t="inlineStr">
        <is>
          <t>/Users/vincentc9002/model-prediction/data/odds/tennis/2026-09-01/polymarket_snapshots.jsonl</t>
        </is>
      </c>
      <c r="DF413" s="24" t="inlineStr">
        <is>
          <t>550522:2026-09-01T13:48:08.239184Z</t>
        </is>
      </c>
      <c r="DG413" s="24" t="n"/>
      <c r="DH413" s="24" t="n"/>
      <c r="DI413" s="24" t="n"/>
      <c r="DJ413" s="24" t="inlineStr">
        <is>
          <t>0.8</t>
        </is>
      </c>
      <c r="DK413" s="24" t="n"/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f0b6cd680146431d</t>
        </is>
      </c>
      <c r="B414" s="24" t="inlineStr">
        <is>
          <t>2026-09-01T16:06:19.518222Z</t>
        </is>
      </c>
      <c r="C414" s="24" t="inlineStr">
        <is>
          <t>2026-09-01T17:00Z</t>
        </is>
      </c>
      <c r="D414" s="24" t="inlineStr">
        <is>
          <t>189-2026:182732</t>
        </is>
      </c>
      <c r="E414" s="24" t="inlineStr">
        <is>
          <t>TENNIS</t>
        </is>
      </c>
      <c r="F414" s="24" t="inlineStr">
        <is>
          <t>Darwin Blanch</t>
        </is>
      </c>
      <c r="G414" s="24" t="inlineStr">
        <is>
          <t>Taylor Fritz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polymarket_us</t>
        </is>
      </c>
      <c r="L414" s="26" t="n">
        <v>-3233</v>
      </c>
      <c r="M414" s="27" t="n">
        <v>1.030931</v>
      </c>
      <c r="N414" s="28" t="n">
        <v>0.969997</v>
      </c>
      <c r="O414" s="28" t="n">
        <v>0.851</v>
      </c>
      <c r="P414" s="28" t="n">
        <v>0.05</v>
      </c>
      <c r="Q414" s="28" t="n">
        <v>-0.118997</v>
      </c>
      <c r="R414" s="26" t="n">
        <v>0</v>
      </c>
      <c r="S414" s="29" t="n">
        <v>1</v>
      </c>
      <c r="T414" s="24" t="inlineStr">
        <is>
          <t>tennis-surface-elo-v1</t>
        </is>
      </c>
      <c r="U414" s="24" t="inlineStr">
        <is>
          <t>settled</t>
        </is>
      </c>
      <c r="V414" s="24" t="inlineStr">
        <is>
          <t>win</t>
        </is>
      </c>
      <c r="W414" s="26" t="n">
        <v>0</v>
      </c>
      <c r="X414" s="26" t="n">
        <v>1</v>
      </c>
      <c r="Y414" s="25" t="n"/>
      <c r="Z414" s="26" t="n">
        <v>-3233</v>
      </c>
      <c r="AA414" s="28" t="n">
        <v>0.97</v>
      </c>
      <c r="AB414" s="28" t="n">
        <v>3e-06</v>
      </c>
      <c r="AC414" s="30" t="n">
        <v>0.0309</v>
      </c>
      <c r="AD414" s="24" t="inlineStr">
        <is>
          <t>2026-09-02T04:32:19.014967Z</t>
        </is>
      </c>
      <c r="AE414" s="31" t="inlineStr">
        <is>
          <t>Surface-blended Elo on Hard: Darwin Blanch p=0.149 vs Taylor Fritz. Executable ask 0.9700 (aec-atp-tayfri-darbla-2026-08-30).</t>
        </is>
      </c>
      <c r="AF414" s="31" t="inlineStr">
        <is>
          <t>Surface-blended Elo model; singles only, WTA+ATP market coverage, not yet locked-holdout qualified -- promoted by explicit operator directive, not genuine walk-forward validation.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Darwin Blanch</t>
        </is>
      </c>
      <c r="AQ414" s="24" t="inlineStr">
        <is>
          <t>Darwin Blanch</t>
        </is>
      </c>
      <c r="AR414" s="24" t="inlineStr">
        <is>
          <t>Darwin Blanch</t>
        </is>
      </c>
      <c r="AS414" s="24" t="inlineStr">
        <is>
          <t>Taylor Fritz</t>
        </is>
      </c>
      <c r="AT414" s="24" t="inlineStr">
        <is>
          <t>Taylor Fritz</t>
        </is>
      </c>
      <c r="AU414" s="24" t="inlineStr">
        <is>
          <t>Taylor Fritz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0ce66f49b381187fe6255a40ca2fdbfc155d5e36125ccf6d30fe81a72962eafa</t>
        </is>
      </c>
      <c r="BB414" s="24" t="inlineStr">
        <is>
          <t>surface_blended_elo</t>
        </is>
      </c>
      <c r="BC414" s="24" t="inlineStr">
        <is>
          <t>tennis-surface-elo-v1</t>
        </is>
      </c>
      <c r="BD414" s="24" t="inlineStr">
        <is>
          <t>0ce66f49b381187fe6255a40ca2fdbfc155d5e36125ccf6d30fe81a72962eafa</t>
        </is>
      </c>
      <c r="BE414" s="24" t="inlineStr">
        <is>
          <t>tennis-surface-elo-v1</t>
        </is>
      </c>
      <c r="BF414" s="24" t="inlineStr">
        <is>
          <t>1</t>
        </is>
      </c>
      <c r="BG414" s="24" t="inlineStr">
        <is>
          <t>0ce66f49b381187fe6255a40ca2fdbfc155d5e36125ccf6d30fe81a72962eafa</t>
        </is>
      </c>
      <c r="BH414" s="24" t="inlineStr">
        <is>
          <t>2026-09-01T16:03:59.614815Z</t>
        </is>
      </c>
      <c r="BI414" s="24" t="inlineStr">
        <is>
          <t>["same_event","same_team_same_day","same_league_same_day"]</t>
        </is>
      </c>
      <c r="BJ414" s="25" t="n"/>
      <c r="BK414" s="26" t="n">
        <v>-3233</v>
      </c>
      <c r="BL414" s="27" t="n">
        <v>1.030931</v>
      </c>
      <c r="BM414" s="28" t="n">
        <v>0.969997</v>
      </c>
      <c r="BN414" s="28" t="n"/>
      <c r="BO414" s="28" t="n"/>
      <c r="BP414" s="25" t="n"/>
      <c r="BQ414" s="27" t="n">
        <v>1.030931</v>
      </c>
      <c r="BR414" s="28" t="n">
        <v>0.97</v>
      </c>
      <c r="BS414" s="28" t="n"/>
      <c r="BT414" s="28" t="n"/>
      <c r="BU414" s="25" t="n"/>
      <c r="BV414" s="29" t="n"/>
      <c r="BW414" s="24" t="n"/>
      <c r="BX414" s="30" t="n">
        <v>1</v>
      </c>
      <c r="BY414" s="27" t="n">
        <v>0.030931</v>
      </c>
      <c r="BZ414" s="24" t="inlineStr">
        <is>
          <t>2026-09-02T04:32:19.014967Z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inlineStr">
        <is>
          <t>856b0fb6e896e49af3421169f9900679d97d4e95a5f3c386032de99253d3ead0</t>
        </is>
      </c>
      <c r="DE414" s="24" t="inlineStr">
        <is>
          <t>/Users/vincentc9002/model-prediction/data/odds/tennis/2026-09-01/polymarket_snapshots.jsonl</t>
        </is>
      </c>
      <c r="DF414" s="24" t="inlineStr">
        <is>
          <t>547285:2026-09-01T16:03:59.614815Z</t>
        </is>
      </c>
      <c r="DG414" s="24" t="n"/>
      <c r="DH414" s="24" t="n"/>
      <c r="DI414" s="24" t="n"/>
      <c r="DJ414" s="24" t="inlineStr">
        <is>
          <t>0.969997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ea30aec9d609472c</t>
        </is>
      </c>
      <c r="B415" s="24" t="inlineStr">
        <is>
          <t>2026-09-01T16:06:19.518222Z</t>
        </is>
      </c>
      <c r="C415" s="24" t="inlineStr">
        <is>
          <t>2026-09-01T18:00Z</t>
        </is>
      </c>
      <c r="D415" s="24" t="inlineStr">
        <is>
          <t>189-2026:182685</t>
        </is>
      </c>
      <c r="E415" s="24" t="inlineStr">
        <is>
          <t>TENNIS</t>
        </is>
      </c>
      <c r="F415" s="24" t="inlineStr">
        <is>
          <t>Carlos Taberner</t>
        </is>
      </c>
      <c r="G415" s="24" t="inlineStr">
        <is>
          <t>Zizou Bergs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-1567</v>
      </c>
      <c r="M415" s="27" t="n">
        <v>1.063816</v>
      </c>
      <c r="N415" s="28" t="n">
        <v>0.940012</v>
      </c>
      <c r="O415" s="28" t="n">
        <v>0.6327</v>
      </c>
      <c r="P415" s="28" t="n">
        <v>0.05</v>
      </c>
      <c r="Q415" s="28" t="n">
        <v>-0.307312</v>
      </c>
      <c r="R415" s="26" t="n">
        <v>0</v>
      </c>
      <c r="S415" s="29" t="n">
        <v>1</v>
      </c>
      <c r="T415" s="24" t="inlineStr">
        <is>
          <t>tennis-surface-elo-v1</t>
        </is>
      </c>
      <c r="U415" s="24" t="inlineStr">
        <is>
          <t>settled</t>
        </is>
      </c>
      <c r="V415" s="24" t="inlineStr">
        <is>
          <t>win</t>
        </is>
      </c>
      <c r="W415" s="26" t="n">
        <v>0</v>
      </c>
      <c r="X415" s="26" t="n">
        <v>1</v>
      </c>
      <c r="Y415" s="25" t="n"/>
      <c r="Z415" s="26" t="n">
        <v>-1567</v>
      </c>
      <c r="AA415" s="28" t="n">
        <v>0.9399999999999999</v>
      </c>
      <c r="AB415" s="28" t="n">
        <v>-1.2e-05</v>
      </c>
      <c r="AC415" s="30" t="n">
        <v>0.0638</v>
      </c>
      <c r="AD415" s="24" t="inlineStr">
        <is>
          <t>2026-09-03T04:30:13.221150Z</t>
        </is>
      </c>
      <c r="AE415" s="31" t="inlineStr">
        <is>
          <t>Surface-blended Elo on Hard: Carlos Taberner p=0.367 vs Zizou Bergs. Executable ask 0.9400 (aec-atp-zizber-cartab-2026-08-30).</t>
        </is>
      </c>
      <c r="AF415" s="31" t="inlineStr">
        <is>
          <t>Surface-blended Elo model; singles only, WTA+ATP market coverage, not yet locked-holdout qualified -- promoted by explicit operator directive, not genuine walk-forward validation.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Carlos Taberner</t>
        </is>
      </c>
      <c r="AQ415" s="24" t="inlineStr">
        <is>
          <t>Carlos Taberner</t>
        </is>
      </c>
      <c r="AR415" s="24" t="inlineStr">
        <is>
          <t>Carlos Taberner</t>
        </is>
      </c>
      <c r="AS415" s="24" t="inlineStr">
        <is>
          <t>Zizou Bergs</t>
        </is>
      </c>
      <c r="AT415" s="24" t="inlineStr">
        <is>
          <t>Zizou Bergs</t>
        </is>
      </c>
      <c r="AU415" s="24" t="inlineStr">
        <is>
          <t>Zizou Bergs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0ce66f49b381187fe6255a40ca2fdbfc155d5e36125ccf6d30fe81a72962eafa</t>
        </is>
      </c>
      <c r="BB415" s="24" t="inlineStr">
        <is>
          <t>surface_blended_elo</t>
        </is>
      </c>
      <c r="BC415" s="24" t="inlineStr">
        <is>
          <t>tennis-surface-elo-v1</t>
        </is>
      </c>
      <c r="BD415" s="24" t="inlineStr">
        <is>
          <t>0ce66f49b381187fe6255a40ca2fdbfc155d5e36125ccf6d30fe81a72962eafa</t>
        </is>
      </c>
      <c r="BE415" s="24" t="inlineStr">
        <is>
          <t>tennis-surface-elo-v1</t>
        </is>
      </c>
      <c r="BF415" s="24" t="inlineStr">
        <is>
          <t>1</t>
        </is>
      </c>
      <c r="BG415" s="24" t="inlineStr">
        <is>
          <t>0ce66f49b381187fe6255a40ca2fdbfc155d5e36125ccf6d30fe81a72962eafa</t>
        </is>
      </c>
      <c r="BH415" s="24" t="inlineStr">
        <is>
          <t>2026-09-01T16:03:59.527887Z</t>
        </is>
      </c>
      <c r="BI415" s="24" t="inlineStr">
        <is>
          <t>["same_event","same_team_same_day","same_league_same_day"]</t>
        </is>
      </c>
      <c r="BJ415" s="25" t="n"/>
      <c r="BK415" s="26" t="n">
        <v>-1567</v>
      </c>
      <c r="BL415" s="27" t="n">
        <v>1.063816</v>
      </c>
      <c r="BM415" s="28" t="n">
        <v>0.940012</v>
      </c>
      <c r="BN415" s="28" t="n"/>
      <c r="BO415" s="28" t="n"/>
      <c r="BP415" s="25" t="n"/>
      <c r="BQ415" s="27" t="n">
        <v>1.063816</v>
      </c>
      <c r="BR415" s="28" t="n">
        <v>0.9399999999999999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0.063816</v>
      </c>
      <c r="BZ415" s="24" t="inlineStr">
        <is>
          <t>2026-09-03T04:30:13.221150Z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inlineStr">
        <is>
          <t>d66059e5887e4b13a254bbd77ecea1a57368b3b5028685113cb50666f600af48</t>
        </is>
      </c>
      <c r="DE415" s="24" t="inlineStr">
        <is>
          <t>/Users/vincentc9002/model-prediction/data/odds/tennis/2026-09-01/polymarket_snapshots.jsonl</t>
        </is>
      </c>
      <c r="DF415" s="24" t="inlineStr">
        <is>
          <t>547271:2026-09-01T16:03:59.527887Z</t>
        </is>
      </c>
      <c r="DG415" s="24" t="n"/>
      <c r="DH415" s="24" t="n"/>
      <c r="DI415" s="24" t="n"/>
      <c r="DJ415" s="24" t="inlineStr">
        <is>
          <t>0.940012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a0623560e6e548ec</t>
        </is>
      </c>
      <c r="B416" s="24" t="inlineStr">
        <is>
          <t>2026-09-01T16:06:19.518222Z</t>
        </is>
      </c>
      <c r="C416" s="24" t="inlineStr">
        <is>
          <t>2026-09-01T18:00Z</t>
        </is>
      </c>
      <c r="D416" s="24" t="inlineStr">
        <is>
          <t>189-2026:182694</t>
        </is>
      </c>
      <c r="E416" s="24" t="inlineStr">
        <is>
          <t>TENNIS</t>
        </is>
      </c>
      <c r="F416" s="24" t="inlineStr">
        <is>
          <t>Jan-Lennard Struff</t>
        </is>
      </c>
      <c r="G416" s="24" t="inlineStr">
        <is>
          <t>Camilo Ugo Carabelli</t>
        </is>
      </c>
      <c r="H416" s="24" t="inlineStr">
        <is>
          <t>moneyline</t>
        </is>
      </c>
      <c r="I416" s="24" t="inlineStr">
        <is>
          <t>away</t>
        </is>
      </c>
      <c r="J416" s="25" t="n"/>
      <c r="K416" s="24" t="inlineStr">
        <is>
          <t>polymarket_us</t>
        </is>
      </c>
      <c r="L416" s="26" t="n">
        <v>-194</v>
      </c>
      <c r="M416" s="27" t="n">
        <v>1.515464</v>
      </c>
      <c r="N416" s="28" t="n">
        <v>0.659864</v>
      </c>
      <c r="O416" s="28" t="n">
        <v>0.5732</v>
      </c>
      <c r="P416" s="28" t="n">
        <v>0.05</v>
      </c>
      <c r="Q416" s="28" t="n">
        <v>-0.086664</v>
      </c>
      <c r="R416" s="26" t="n">
        <v>0</v>
      </c>
      <c r="S416" s="29" t="n">
        <v>1</v>
      </c>
      <c r="T416" s="24" t="inlineStr">
        <is>
          <t>tennis-surface-elo-v1</t>
        </is>
      </c>
      <c r="U416" s="24" t="inlineStr">
        <is>
          <t>settled</t>
        </is>
      </c>
      <c r="V416" s="24" t="inlineStr">
        <is>
          <t>win</t>
        </is>
      </c>
      <c r="W416" s="26" t="n">
        <v>1</v>
      </c>
      <c r="X416" s="26" t="n">
        <v>0</v>
      </c>
      <c r="Y416" s="25" t="n"/>
      <c r="Z416" s="26" t="n">
        <v>-194</v>
      </c>
      <c r="AA416" s="28" t="n">
        <v>0.66</v>
      </c>
      <c r="AB416" s="28" t="n">
        <v>0.000136</v>
      </c>
      <c r="AC416" s="30" t="n">
        <v>0.5155</v>
      </c>
      <c r="AD416" s="24" t="inlineStr">
        <is>
          <t>2026-09-02T04:32:21.080433Z</t>
        </is>
      </c>
      <c r="AE416" s="31" t="inlineStr">
        <is>
          <t>Surface-blended Elo on Hard: Jan-Lennard Struff p=0.573 vs Camilo Ugo Carabelli. Executable ask 0.6600 (aec-atp-camcar-janstr-2026-08-30).</t>
        </is>
      </c>
      <c r="AF416" s="31" t="inlineStr">
        <is>
          <t>Surface-blended Elo model; singles only, WTA+ATP market coverage, not yet locked-holdout qualified -- promoted by explicit operator directive, not genuine walk-forward validation.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Jan-Lennard Struff</t>
        </is>
      </c>
      <c r="AQ416" s="24" t="inlineStr">
        <is>
          <t>Jan-Lennard Struff</t>
        </is>
      </c>
      <c r="AR416" s="24" t="inlineStr">
        <is>
          <t>Jan-Lennard Struff</t>
        </is>
      </c>
      <c r="AS416" s="24" t="inlineStr">
        <is>
          <t>Camilo Ugo Carabelli</t>
        </is>
      </c>
      <c r="AT416" s="24" t="inlineStr">
        <is>
          <t>Camilo Ugo Carabelli</t>
        </is>
      </c>
      <c r="AU416" s="24" t="inlineStr">
        <is>
          <t>Camilo Ugo Carabelli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0ce66f49b381187fe6255a40ca2fdbfc155d5e36125ccf6d30fe81a72962eafa</t>
        </is>
      </c>
      <c r="BB416" s="24" t="inlineStr">
        <is>
          <t>surface_blended_elo</t>
        </is>
      </c>
      <c r="BC416" s="24" t="inlineStr">
        <is>
          <t>tennis-surface-elo-v1</t>
        </is>
      </c>
      <c r="BD416" s="24" t="inlineStr">
        <is>
          <t>0ce66f49b381187fe6255a40ca2fdbfc155d5e36125ccf6d30fe81a72962eafa</t>
        </is>
      </c>
      <c r="BE416" s="24" t="inlineStr">
        <is>
          <t>tennis-surface-elo-v1</t>
        </is>
      </c>
      <c r="BF416" s="24" t="inlineStr">
        <is>
          <t>1</t>
        </is>
      </c>
      <c r="BG416" s="24" t="inlineStr">
        <is>
          <t>0ce66f49b381187fe6255a40ca2fdbfc155d5e36125ccf6d30fe81a72962eafa</t>
        </is>
      </c>
      <c r="BH416" s="24" t="inlineStr">
        <is>
          <t>2026-09-01T16:03:59.450993Z</t>
        </is>
      </c>
      <c r="BI416" s="24" t="inlineStr">
        <is>
          <t>["same_event","same_team_same_day","same_league_same_day"]</t>
        </is>
      </c>
      <c r="BJ416" s="25" t="n"/>
      <c r="BK416" s="26" t="n">
        <v>-194</v>
      </c>
      <c r="BL416" s="27" t="n">
        <v>1.515464</v>
      </c>
      <c r="BM416" s="28" t="n">
        <v>0.659864</v>
      </c>
      <c r="BN416" s="28" t="n"/>
      <c r="BO416" s="28" t="n"/>
      <c r="BP416" s="25" t="n"/>
      <c r="BQ416" s="27" t="n">
        <v>1.515464</v>
      </c>
      <c r="BR416" s="28" t="n">
        <v>0.66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0.515464</v>
      </c>
      <c r="BZ416" s="24" t="inlineStr">
        <is>
          <t>2026-09-02T04:32:21.080433Z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inlineStr">
        <is>
          <t>c89e2bb1d164f56fe33095e33c5cbf4caad78a32873351491a2946b8fc0f3449</t>
        </is>
      </c>
      <c r="DE416" s="24" t="inlineStr">
        <is>
          <t>/Users/vincentc9002/model-prediction/data/odds/tennis/2026-09-01/polymarket_snapshots.jsonl</t>
        </is>
      </c>
      <c r="DF416" s="24" t="inlineStr">
        <is>
          <t>547287:2026-09-01T16:03:59.450993Z</t>
        </is>
      </c>
      <c r="DG416" s="24" t="n"/>
      <c r="DH416" s="24" t="n"/>
      <c r="DI416" s="24" t="n"/>
      <c r="DJ416" s="24" t="inlineStr">
        <is>
          <t>0.659864</t>
        </is>
      </c>
      <c r="DK416" s="24" t="n"/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9417772fde95487e</t>
        </is>
      </c>
      <c r="B417" s="24" t="inlineStr">
        <is>
          <t>2026-09-01T16:06:19.518222Z</t>
        </is>
      </c>
      <c r="C417" s="24" t="inlineStr">
        <is>
          <t>2026-09-01T18:00Z</t>
        </is>
      </c>
      <c r="D417" s="24" t="inlineStr">
        <is>
          <t>189-2026:182702</t>
        </is>
      </c>
      <c r="E417" s="24" t="inlineStr">
        <is>
          <t>TENNIS</t>
        </is>
      </c>
      <c r="F417" s="24" t="inlineStr">
        <is>
          <t>Lorenzo Musetti</t>
        </is>
      </c>
      <c r="G417" s="24" t="inlineStr">
        <is>
          <t>Arthur Fery</t>
        </is>
      </c>
      <c r="H417" s="24" t="inlineStr">
        <is>
          <t>moneyline</t>
        </is>
      </c>
      <c r="I417" s="24" t="inlineStr">
        <is>
          <t>away</t>
        </is>
      </c>
      <c r="J417" s="25" t="n"/>
      <c r="K417" s="24" t="inlineStr">
        <is>
          <t>polymarket_us</t>
        </is>
      </c>
      <c r="L417" s="26" t="n">
        <v>-317</v>
      </c>
      <c r="M417" s="27" t="n">
        <v>1.315457</v>
      </c>
      <c r="N417" s="28" t="n">
        <v>0.760192</v>
      </c>
      <c r="O417" s="28" t="n">
        <v>0.6203</v>
      </c>
      <c r="P417" s="28" t="n">
        <v>0.05</v>
      </c>
      <c r="Q417" s="28" t="n">
        <v>-0.139892</v>
      </c>
      <c r="R417" s="26" t="n">
        <v>0</v>
      </c>
      <c r="S417" s="29" t="n">
        <v>1</v>
      </c>
      <c r="T417" s="24" t="inlineStr">
        <is>
          <t>tennis-surface-elo-v1</t>
        </is>
      </c>
      <c r="U417" s="24" t="inlineStr">
        <is>
          <t>settled</t>
        </is>
      </c>
      <c r="V417" s="24" t="inlineStr">
        <is>
          <t>win</t>
        </is>
      </c>
      <c r="W417" s="26" t="n">
        <v>1</v>
      </c>
      <c r="X417" s="26" t="n">
        <v>0</v>
      </c>
      <c r="Y417" s="25" t="n"/>
      <c r="Z417" s="26" t="n">
        <v>-317</v>
      </c>
      <c r="AA417" s="28" t="n">
        <v>0.76</v>
      </c>
      <c r="AB417" s="28" t="n">
        <v>-0.000192</v>
      </c>
      <c r="AC417" s="30" t="n">
        <v>0.3155</v>
      </c>
      <c r="AD417" s="24" t="inlineStr">
        <is>
          <t>2026-09-02T04:32:23.265369Z</t>
        </is>
      </c>
      <c r="AE417" s="31" t="inlineStr">
        <is>
          <t>Surface-blended Elo on Hard: Lorenzo Musetti p=0.620 vs Arthur Fery. Executable ask 0.7600 (aec-atp-artfer-lormus-2026-08-30).</t>
        </is>
      </c>
      <c r="AF417" s="31" t="inlineStr">
        <is>
          <t>Surface-blended Elo model; singles only, WTA+ATP market coverage, not yet locked-holdout qualified -- promoted by explicit operator directive, not genuine walk-forward validation.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PAPER_CALL_LOW_EDGE</t>
        </is>
      </c>
      <c r="AP417" s="24" t="inlineStr">
        <is>
          <t>Lorenzo Musetti</t>
        </is>
      </c>
      <c r="AQ417" s="24" t="inlineStr">
        <is>
          <t>Lorenzo Musetti</t>
        </is>
      </c>
      <c r="AR417" s="24" t="inlineStr">
        <is>
          <t>Lorenzo Musetti</t>
        </is>
      </c>
      <c r="AS417" s="24" t="inlineStr">
        <is>
          <t>Arthur Fery</t>
        </is>
      </c>
      <c r="AT417" s="24" t="inlineStr">
        <is>
          <t>Arthur Fery</t>
        </is>
      </c>
      <c r="AU417" s="24" t="inlineStr">
        <is>
          <t>Arthur Fery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0ce66f49b381187fe6255a40ca2fdbfc155d5e36125ccf6d30fe81a72962eafa</t>
        </is>
      </c>
      <c r="BB417" s="24" t="inlineStr">
        <is>
          <t>surface_blended_elo</t>
        </is>
      </c>
      <c r="BC417" s="24" t="inlineStr">
        <is>
          <t>tennis-surface-elo-v1</t>
        </is>
      </c>
      <c r="BD417" s="24" t="inlineStr">
        <is>
          <t>0ce66f49b381187fe6255a40ca2fdbfc155d5e36125ccf6d30fe81a72962eafa</t>
        </is>
      </c>
      <c r="BE417" s="24" t="inlineStr">
        <is>
          <t>tennis-surface-elo-v1</t>
        </is>
      </c>
      <c r="BF417" s="24" t="inlineStr">
        <is>
          <t>1</t>
        </is>
      </c>
      <c r="BG417" s="24" t="inlineStr">
        <is>
          <t>0ce66f49b381187fe6255a40ca2fdbfc155d5e36125ccf6d30fe81a72962eafa</t>
        </is>
      </c>
      <c r="BH417" s="24" t="inlineStr">
        <is>
          <t>2026-09-01T16:03:59.478736Z</t>
        </is>
      </c>
      <c r="BI417" s="24" t="inlineStr">
        <is>
          <t>["same_event","same_team_same_day","same_league_same_day"]</t>
        </is>
      </c>
      <c r="BJ417" s="25" t="n"/>
      <c r="BK417" s="26" t="n">
        <v>-317</v>
      </c>
      <c r="BL417" s="27" t="n">
        <v>1.315457</v>
      </c>
      <c r="BM417" s="28" t="n">
        <v>0.760192</v>
      </c>
      <c r="BN417" s="28" t="n"/>
      <c r="BO417" s="28" t="n"/>
      <c r="BP417" s="25" t="n"/>
      <c r="BQ417" s="27" t="n">
        <v>1.315457</v>
      </c>
      <c r="BR417" s="28" t="n">
        <v>0.76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0.315457</v>
      </c>
      <c r="BZ417" s="24" t="inlineStr">
        <is>
          <t>2026-09-02T04:32:23.265369Z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inlineStr">
        <is>
          <t>416b717a65d7ee18ccab25c2c34a9575aeb78e828c99b1b75a1bad88191164cc</t>
        </is>
      </c>
      <c r="DE417" s="24" t="inlineStr">
        <is>
          <t>/Users/vincentc9002/model-prediction/data/odds/tennis/2026-09-01/polymarket_snapshots.jsonl</t>
        </is>
      </c>
      <c r="DF417" s="24" t="inlineStr">
        <is>
          <t>547262:2026-09-01T16:03:59.478736Z</t>
        </is>
      </c>
      <c r="DG417" s="24" t="n"/>
      <c r="DH417" s="24" t="n"/>
      <c r="DI417" s="24" t="n"/>
      <c r="DJ417" s="24" t="inlineStr">
        <is>
          <t>0.760192</t>
        </is>
      </c>
      <c r="DK417" s="24" t="n"/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718acbd348a6439f</t>
        </is>
      </c>
      <c r="B418" s="24" t="inlineStr">
        <is>
          <t>2026-09-01T16:06:19.518222Z</t>
        </is>
      </c>
      <c r="C418" s="24" t="inlineStr">
        <is>
          <t>2026-09-01T18:30Z</t>
        </is>
      </c>
      <c r="D418" s="24" t="inlineStr">
        <is>
          <t>189-2026:182681</t>
        </is>
      </c>
      <c r="E418" s="24" t="inlineStr">
        <is>
          <t>TENNIS</t>
        </is>
      </c>
      <c r="F418" s="24" t="inlineStr">
        <is>
          <t>Francesco Passaro</t>
        </is>
      </c>
      <c r="G418" s="24" t="inlineStr">
        <is>
          <t>Jesper de Jong</t>
        </is>
      </c>
      <c r="H418" s="24" t="inlineStr">
        <is>
          <t>moneyline</t>
        </is>
      </c>
      <c r="I418" s="24" t="inlineStr">
        <is>
          <t>away</t>
        </is>
      </c>
      <c r="J418" s="25" t="n"/>
      <c r="K418" s="24" t="inlineStr">
        <is>
          <t>polymarket_us</t>
        </is>
      </c>
      <c r="L418" s="26" t="n">
        <v>127</v>
      </c>
      <c r="M418" s="27" t="n">
        <v>2.27</v>
      </c>
      <c r="N418" s="28" t="n">
        <v>0.440529</v>
      </c>
      <c r="O418" s="28" t="n">
        <v>0.6415999999999999</v>
      </c>
      <c r="P418" s="28" t="n">
        <v>0.05</v>
      </c>
      <c r="Q418" s="28" t="n">
        <v>0.201071</v>
      </c>
      <c r="R418" s="26" t="n">
        <v>100</v>
      </c>
      <c r="S418" s="29" t="n">
        <v>2</v>
      </c>
      <c r="T418" s="24" t="inlineStr">
        <is>
          <t>tennis-surface-elo-v1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1</v>
      </c>
      <c r="Y418" s="25" t="n"/>
      <c r="Z418" s="26" t="n">
        <v>127</v>
      </c>
      <c r="AA418" s="28" t="n">
        <v>0.44</v>
      </c>
      <c r="AB418" s="28" t="n">
        <v>-0.000529</v>
      </c>
      <c r="AC418" s="30" t="n">
        <v>-2</v>
      </c>
      <c r="AD418" s="24" t="inlineStr">
        <is>
          <t>2026-09-03T04:30:14.193517Z</t>
        </is>
      </c>
      <c r="AE418" s="31" t="inlineStr">
        <is>
          <t>Surface-blended Elo on Hard: Francesco Passaro p=0.642 vs Jesper de Jong. Executable ask 0.4400 (aec-atp-jesjon-frapas-2026-08-30).</t>
        </is>
      </c>
      <c r="AF418" s="31" t="inlineStr">
        <is>
          <t>Surface-blended Elo model; singles only, WTA+ATP market coverage, not yet locked-holdout qualified -- promoted by explicit operator directive, not genuine walk-forward validation.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Francesco Passaro</t>
        </is>
      </c>
      <c r="AQ418" s="24" t="inlineStr">
        <is>
          <t>Francesco Passaro</t>
        </is>
      </c>
      <c r="AR418" s="24" t="inlineStr">
        <is>
          <t>Francesco Passaro</t>
        </is>
      </c>
      <c r="AS418" s="24" t="inlineStr">
        <is>
          <t>Jesper de Jong</t>
        </is>
      </c>
      <c r="AT418" s="24" t="inlineStr">
        <is>
          <t>Jesper de Jong</t>
        </is>
      </c>
      <c r="AU418" s="24" t="inlineStr">
        <is>
          <t>Jesper de Jong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0ce66f49b381187fe6255a40ca2fdbfc155d5e36125ccf6d30fe81a72962eafa</t>
        </is>
      </c>
      <c r="BB418" s="24" t="inlineStr">
        <is>
          <t>surface_blended_elo</t>
        </is>
      </c>
      <c r="BC418" s="24" t="inlineStr">
        <is>
          <t>tennis-surface-elo-v1</t>
        </is>
      </c>
      <c r="BD418" s="24" t="inlineStr">
        <is>
          <t>0ce66f49b381187fe6255a40ca2fdbfc155d5e36125ccf6d30fe81a72962eafa</t>
        </is>
      </c>
      <c r="BE418" s="24" t="inlineStr">
        <is>
          <t>tennis-surface-elo-v1</t>
        </is>
      </c>
      <c r="BF418" s="24" t="inlineStr">
        <is>
          <t>1</t>
        </is>
      </c>
      <c r="BG418" s="24" t="inlineStr">
        <is>
          <t>0ce66f49b381187fe6255a40ca2fdbfc155d5e36125ccf6d30fe81a72962eafa</t>
        </is>
      </c>
      <c r="BH418" s="24" t="inlineStr">
        <is>
          <t>2026-09-01T16:03:59.597822Z</t>
        </is>
      </c>
      <c r="BI418" s="24" t="inlineStr">
        <is>
          <t>["same_event","same_team_same_day","same_league_same_day"]</t>
        </is>
      </c>
      <c r="BJ418" s="25" t="n"/>
      <c r="BK418" s="26" t="n">
        <v>127</v>
      </c>
      <c r="BL418" s="27" t="n">
        <v>2.27</v>
      </c>
      <c r="BM418" s="28" t="n">
        <v>0.440529</v>
      </c>
      <c r="BN418" s="28" t="n"/>
      <c r="BO418" s="28" t="n"/>
      <c r="BP418" s="25" t="n"/>
      <c r="BQ418" s="27" t="n">
        <v>2.27</v>
      </c>
      <c r="BR418" s="28" t="n">
        <v>0.44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inlineStr">
        <is>
          <t>8da7e543f3b8445e26bf676d2a4ba96ed68132844d80d88713e329821061f699</t>
        </is>
      </c>
      <c r="DE418" s="24" t="inlineStr">
        <is>
          <t>/Users/vincentc9002/model-prediction/data/odds/tennis/2026-09-01/polymarket_snapshots.jsonl</t>
        </is>
      </c>
      <c r="DF418" s="24" t="inlineStr">
        <is>
          <t>550497:2026-09-01T16:03:59.597822Z</t>
        </is>
      </c>
      <c r="DG418" s="24" t="n"/>
      <c r="DH418" s="24" t="n"/>
      <c r="DI418" s="24" t="n"/>
      <c r="DJ418" s="24" t="inlineStr">
        <is>
          <t>0.440529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10d05371b1684ec4</t>
        </is>
      </c>
      <c r="B419" s="24" t="inlineStr">
        <is>
          <t>2026-09-01T16:06:19.518222Z</t>
        </is>
      </c>
      <c r="C419" s="24" t="inlineStr">
        <is>
          <t>2026-09-01T19:30Z</t>
        </is>
      </c>
      <c r="D419" s="24" t="inlineStr">
        <is>
          <t>189-2026:182710</t>
        </is>
      </c>
      <c r="E419" s="24" t="inlineStr">
        <is>
          <t>TENNIS</t>
        </is>
      </c>
      <c r="F419" s="24" t="inlineStr">
        <is>
          <t>Arthur Gea</t>
        </is>
      </c>
      <c r="G419" s="24" t="inlineStr">
        <is>
          <t>Juan Manuel Cerundolo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polymarket_us</t>
        </is>
      </c>
      <c r="L419" s="26" t="n">
        <v>127</v>
      </c>
      <c r="M419" s="27" t="n">
        <v>2.27</v>
      </c>
      <c r="N419" s="28" t="n">
        <v>0.440529</v>
      </c>
      <c r="O419" s="28" t="n">
        <v>0.5063</v>
      </c>
      <c r="P419" s="28" t="n">
        <v>0.05</v>
      </c>
      <c r="Q419" s="28" t="n">
        <v>0.065771</v>
      </c>
      <c r="R419" s="26" t="n">
        <v>53</v>
      </c>
      <c r="S419" s="29" t="n">
        <v>1</v>
      </c>
      <c r="T419" s="24" t="inlineStr">
        <is>
          <t>tennis-surface-elo-v1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0</v>
      </c>
      <c r="Y419" s="25" t="n"/>
      <c r="Z419" s="26" t="n">
        <v>127</v>
      </c>
      <c r="AA419" s="28" t="n">
        <v>0.44</v>
      </c>
      <c r="AB419" s="28" t="n">
        <v>-0.000529</v>
      </c>
      <c r="AC419" s="30" t="n">
        <v>-1</v>
      </c>
      <c r="AD419" s="24" t="inlineStr">
        <is>
          <t>2026-09-02T04:32:25.180789Z</t>
        </is>
      </c>
      <c r="AE419" s="31" t="inlineStr">
        <is>
          <t>Surface-blended Elo on Hard: Arthur Gea p=0.494 vs Juan Manuel Cerundolo. Executable ask 0.4400 (aec-atp-juacer-artgea-2026-09-01).</t>
        </is>
      </c>
      <c r="AF419" s="31" t="inlineStr">
        <is>
          <t>Surface-blended Elo model; singles only, WTA+ATP market coverage, not yet locked-holdout qualified -- promoted by explicit operator directive, not genuine walk-forward validation.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Arthur Gea</t>
        </is>
      </c>
      <c r="AQ419" s="24" t="inlineStr">
        <is>
          <t>Arthur Gea</t>
        </is>
      </c>
      <c r="AR419" s="24" t="inlineStr">
        <is>
          <t>Arthur Gea</t>
        </is>
      </c>
      <c r="AS419" s="24" t="inlineStr">
        <is>
          <t>Juan Manuel Cerundolo</t>
        </is>
      </c>
      <c r="AT419" s="24" t="inlineStr">
        <is>
          <t>Juan Manuel Cerundolo</t>
        </is>
      </c>
      <c r="AU419" s="24" t="inlineStr">
        <is>
          <t>Juan Manuel Cerundolo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0ce66f49b381187fe6255a40ca2fdbfc155d5e36125ccf6d30fe81a72962eafa</t>
        </is>
      </c>
      <c r="BB419" s="24" t="inlineStr">
        <is>
          <t>surface_blended_elo</t>
        </is>
      </c>
      <c r="BC419" s="24" t="inlineStr">
        <is>
          <t>tennis-surface-elo-v1</t>
        </is>
      </c>
      <c r="BD419" s="24" t="inlineStr">
        <is>
          <t>0ce66f49b381187fe6255a40ca2fdbfc155d5e36125ccf6d30fe81a72962eafa</t>
        </is>
      </c>
      <c r="BE419" s="24" t="inlineStr">
        <is>
          <t>tennis-surface-elo-v1</t>
        </is>
      </c>
      <c r="BF419" s="24" t="inlineStr">
        <is>
          <t>1</t>
        </is>
      </c>
      <c r="BG419" s="24" t="inlineStr">
        <is>
          <t>0ce66f49b381187fe6255a40ca2fdbfc155d5e36125ccf6d30fe81a72962eafa</t>
        </is>
      </c>
      <c r="BH419" s="24" t="inlineStr">
        <is>
          <t>2026-09-01T16:03:59.797316Z</t>
        </is>
      </c>
      <c r="BI419" s="24" t="inlineStr">
        <is>
          <t>["same_event","same_team_same_day","same_league_same_day"]</t>
        </is>
      </c>
      <c r="BJ419" s="25" t="n"/>
      <c r="BK419" s="26" t="n">
        <v>127</v>
      </c>
      <c r="BL419" s="27" t="n">
        <v>2.27</v>
      </c>
      <c r="BM419" s="28" t="n">
        <v>0.440529</v>
      </c>
      <c r="BN419" s="28" t="n"/>
      <c r="BO419" s="28" t="n"/>
      <c r="BP419" s="25" t="n"/>
      <c r="BQ419" s="27" t="n">
        <v>2.27</v>
      </c>
      <c r="BR419" s="28" t="n">
        <v>0.44</v>
      </c>
      <c r="BS419" s="28" t="n"/>
      <c r="BT419" s="28" t="n"/>
      <c r="BU419" s="25" t="n"/>
      <c r="BV419" s="29" t="n"/>
      <c r="BW419" s="24" t="n"/>
      <c r="BX419" s="30" t="n">
        <v>1</v>
      </c>
      <c r="BY419" s="27" t="n">
        <v>-1</v>
      </c>
      <c r="BZ419" s="24" t="inlineStr">
        <is>
          <t>2026-09-02T04:32:25.180789Z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inlineStr">
        <is>
          <t>6efee82af70721b3b866e80ffcb1bbdeecddc362a12923065cab243535c299b0</t>
        </is>
      </c>
      <c r="DE419" s="24" t="inlineStr">
        <is>
          <t>/Users/vincentc9002/model-prediction/data/odds/tennis/2026-09-01/polymarket_snapshots.jsonl</t>
        </is>
      </c>
      <c r="DF419" s="24" t="inlineStr">
        <is>
          <t>582283:2026-09-01T16:03:59.797316Z</t>
        </is>
      </c>
      <c r="DG419" s="24" t="n"/>
      <c r="DH419" s="24" t="n"/>
      <c r="DI419" s="24" t="n"/>
      <c r="DJ419" s="24" t="inlineStr">
        <is>
          <t>0.440529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b0d554639c044a8a</t>
        </is>
      </c>
      <c r="B420" s="24" t="inlineStr">
        <is>
          <t>2026-09-01T16:06:19.518222Z</t>
        </is>
      </c>
      <c r="C420" s="24" t="inlineStr">
        <is>
          <t>2026-09-01T20:00Z</t>
        </is>
      </c>
      <c r="D420" s="24" t="inlineStr">
        <is>
          <t>189-2026:182708</t>
        </is>
      </c>
      <c r="E420" s="24" t="inlineStr">
        <is>
          <t>TENNIS</t>
        </is>
      </c>
      <c r="F420" s="24" t="inlineStr">
        <is>
          <t>Michael Zheng</t>
        </is>
      </c>
      <c r="G420" s="24" t="inlineStr">
        <is>
          <t>Fabian Marozsan</t>
        </is>
      </c>
      <c r="H420" s="24" t="inlineStr">
        <is>
          <t>moneyline</t>
        </is>
      </c>
      <c r="I420" s="24" t="inlineStr">
        <is>
          <t>away</t>
        </is>
      </c>
      <c r="J420" s="25" t="n"/>
      <c r="K420" s="24" t="inlineStr">
        <is>
          <t>polymarket_us</t>
        </is>
      </c>
      <c r="L420" s="26" t="n">
        <v>-144</v>
      </c>
      <c r="M420" s="27" t="n">
        <v>1.694444</v>
      </c>
      <c r="N420" s="28" t="n">
        <v>0.590164</v>
      </c>
      <c r="O420" s="28" t="n">
        <v>0.5449000000000001</v>
      </c>
      <c r="P420" s="28" t="n">
        <v>0.05</v>
      </c>
      <c r="Q420" s="28" t="n">
        <v>-0.045264</v>
      </c>
      <c r="R420" s="26" t="n">
        <v>0</v>
      </c>
      <c r="S420" s="29" t="n">
        <v>1</v>
      </c>
      <c r="T420" s="24" t="inlineStr">
        <is>
          <t>tennis-surface-elo-v1</t>
        </is>
      </c>
      <c r="U420" s="24" t="inlineStr">
        <is>
          <t>settled</t>
        </is>
      </c>
      <c r="V420" s="24" t="inlineStr">
        <is>
          <t>win</t>
        </is>
      </c>
      <c r="W420" s="26" t="n">
        <v>1</v>
      </c>
      <c r="X420" s="26" t="n">
        <v>0</v>
      </c>
      <c r="Y420" s="25" t="n"/>
      <c r="Z420" s="26" t="n">
        <v>-144</v>
      </c>
      <c r="AA420" s="28" t="n">
        <v>0.59</v>
      </c>
      <c r="AB420" s="28" t="n">
        <v>-0.000164</v>
      </c>
      <c r="AC420" s="30" t="n">
        <v>0.6944</v>
      </c>
      <c r="AD420" s="24" t="inlineStr">
        <is>
          <t>2026-09-03T04:30:15.159707Z</t>
        </is>
      </c>
      <c r="AE420" s="31" t="inlineStr">
        <is>
          <t>Surface-blended Elo on Hard: Michael Zheng p=0.545 vs Fabian Marozsan. Executable ask 0.5900 (aec-atp-fabmar-miczhe-2026-08-30).</t>
        </is>
      </c>
      <c r="AF420" s="31" t="inlineStr">
        <is>
          <t>Surface-blended Elo model; singles only, WTA+ATP market coverage, not yet locked-holdout qualified -- promoted by explicit operator directive, not genuine walk-forward validation.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PAPER_CALL_LOW_EDGE</t>
        </is>
      </c>
      <c r="AP420" s="24" t="inlineStr">
        <is>
          <t>Michael Zheng</t>
        </is>
      </c>
      <c r="AQ420" s="24" t="inlineStr">
        <is>
          <t>Michael Zheng</t>
        </is>
      </c>
      <c r="AR420" s="24" t="inlineStr">
        <is>
          <t>Michael Zheng</t>
        </is>
      </c>
      <c r="AS420" s="24" t="inlineStr">
        <is>
          <t>Fabian Marozsan</t>
        </is>
      </c>
      <c r="AT420" s="24" t="inlineStr">
        <is>
          <t>Fabian Marozsan</t>
        </is>
      </c>
      <c r="AU420" s="24" t="inlineStr">
        <is>
          <t>Fabian Marozsan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0ce66f49b381187fe6255a40ca2fdbfc155d5e36125ccf6d30fe81a72962eafa</t>
        </is>
      </c>
      <c r="BB420" s="24" t="inlineStr">
        <is>
          <t>surface_blended_elo</t>
        </is>
      </c>
      <c r="BC420" s="24" t="inlineStr">
        <is>
          <t>tennis-surface-elo-v1</t>
        </is>
      </c>
      <c r="BD420" s="24" t="inlineStr">
        <is>
          <t>0ce66f49b381187fe6255a40ca2fdbfc155d5e36125ccf6d30fe81a72962eafa</t>
        </is>
      </c>
      <c r="BE420" s="24" t="inlineStr">
        <is>
          <t>tennis-surface-elo-v1</t>
        </is>
      </c>
      <c r="BF420" s="24" t="inlineStr">
        <is>
          <t>1</t>
        </is>
      </c>
      <c r="BG420" s="24" t="inlineStr">
        <is>
          <t>0ce66f49b381187fe6255a40ca2fdbfc155d5e36125ccf6d30fe81a72962eafa</t>
        </is>
      </c>
      <c r="BH420" s="24" t="inlineStr">
        <is>
          <t>2026-09-01T16:03:59.857119Z</t>
        </is>
      </c>
      <c r="BI420" s="24" t="inlineStr">
        <is>
          <t>["same_event","same_team_same_day","same_league_same_day"]</t>
        </is>
      </c>
      <c r="BJ420" s="25" t="n"/>
      <c r="BK420" s="26" t="n">
        <v>-144</v>
      </c>
      <c r="BL420" s="27" t="n">
        <v>1.694444</v>
      </c>
      <c r="BM420" s="28" t="n">
        <v>0.590164</v>
      </c>
      <c r="BN420" s="28" t="n"/>
      <c r="BO420" s="28" t="n"/>
      <c r="BP420" s="25" t="n"/>
      <c r="BQ420" s="27" t="n">
        <v>1.694444</v>
      </c>
      <c r="BR420" s="28" t="n">
        <v>0.59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0.694444</v>
      </c>
      <c r="BZ420" s="24" t="inlineStr">
        <is>
          <t>2026-09-03T04:30:15.159707Z</t>
        </is>
      </c>
      <c r="CA420" s="31" t="inlineStr">
        <is>
          <t>fixed one-unit hypothetical scoring; no real exposure or execution</t>
        </is>
      </c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inlineStr">
        <is>
          <t>752798fd94e55f28b0082aa0d132299dde1d67886ddbd7a13a7706d30f6e3c21</t>
        </is>
      </c>
      <c r="DE420" s="24" t="inlineStr">
        <is>
          <t>/Users/vincentc9002/model-prediction/data/odds/tennis/2026-09-01/polymarket_snapshots.jsonl</t>
        </is>
      </c>
      <c r="DF420" s="24" t="inlineStr">
        <is>
          <t>547438:2026-09-01T16:03:59.857119Z</t>
        </is>
      </c>
      <c r="DG420" s="24" t="n"/>
      <c r="DH420" s="24" t="n"/>
      <c r="DI420" s="24" t="n"/>
      <c r="DJ420" s="24" t="inlineStr">
        <is>
          <t>0.590164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f41829f427664f48</t>
        </is>
      </c>
      <c r="B421" s="24" t="inlineStr">
        <is>
          <t>2026-09-01T16:06:19.518222Z</t>
        </is>
      </c>
      <c r="C421" s="24" t="inlineStr">
        <is>
          <t>2026-09-01T20:00Z</t>
        </is>
      </c>
      <c r="D421" s="24" t="inlineStr">
        <is>
          <t>189-2026:182712</t>
        </is>
      </c>
      <c r="E421" s="24" t="inlineStr">
        <is>
          <t>TENNIS</t>
        </is>
      </c>
      <c r="F421" s="24" t="inlineStr">
        <is>
          <t>Daniel Altmaier</t>
        </is>
      </c>
      <c r="G421" s="24" t="inlineStr">
        <is>
          <t>Zachary Svajda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-156</v>
      </c>
      <c r="M421" s="27" t="n">
        <v>1.641026</v>
      </c>
      <c r="N421" s="28" t="n">
        <v>0.609375</v>
      </c>
      <c r="O421" s="28" t="n">
        <v>0.5538999999999999</v>
      </c>
      <c r="P421" s="28" t="n">
        <v>0.05</v>
      </c>
      <c r="Q421" s="28" t="n">
        <v>-0.055475</v>
      </c>
      <c r="R421" s="26" t="n">
        <v>0</v>
      </c>
      <c r="S421" s="29" t="n">
        <v>1</v>
      </c>
      <c r="T421" s="24" t="inlineStr">
        <is>
          <t>tennis-surface-elo-v1</t>
        </is>
      </c>
      <c r="U421" s="24" t="inlineStr">
        <is>
          <t>settled</t>
        </is>
      </c>
      <c r="V421" s="24" t="inlineStr">
        <is>
          <t>win</t>
        </is>
      </c>
      <c r="W421" s="26" t="n">
        <v>0</v>
      </c>
      <c r="X421" s="26" t="n">
        <v>1</v>
      </c>
      <c r="Y421" s="25" t="n"/>
      <c r="Z421" s="26" t="n">
        <v>-156</v>
      </c>
      <c r="AA421" s="28" t="n">
        <v>0.61</v>
      </c>
      <c r="AB421" s="28" t="n">
        <v>0.000625</v>
      </c>
      <c r="AC421" s="30" t="n">
        <v>0.641</v>
      </c>
      <c r="AD421" s="24" t="inlineStr">
        <is>
          <t>2026-09-03T04:30:16.136295Z</t>
        </is>
      </c>
      <c r="AE421" s="31" t="inlineStr">
        <is>
          <t>Surface-blended Elo on Hard: Daniel Altmaier p=0.446 vs Zachary Svajda. Executable ask 0.6100 (aec-atp-zacsva-danalt-2026-08-30).</t>
        </is>
      </c>
      <c r="AF421" s="31" t="inlineStr">
        <is>
          <t>Surface-blended Elo model; singles only, WTA+ATP market coverage, not yet locked-holdout qualified -- promoted by explicit operator directive, not genuine walk-forward validation.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PAPER_CALL_LOW_EDGE</t>
        </is>
      </c>
      <c r="AP421" s="24" t="inlineStr">
        <is>
          <t>Daniel Altmaier</t>
        </is>
      </c>
      <c r="AQ421" s="24" t="inlineStr">
        <is>
          <t>Daniel Altmaier</t>
        </is>
      </c>
      <c r="AR421" s="24" t="inlineStr">
        <is>
          <t>Daniel Altmaier</t>
        </is>
      </c>
      <c r="AS421" s="24" t="inlineStr">
        <is>
          <t>Zachary Svajda</t>
        </is>
      </c>
      <c r="AT421" s="24" t="inlineStr">
        <is>
          <t>Zachary Svajda</t>
        </is>
      </c>
      <c r="AU421" s="24" t="inlineStr">
        <is>
          <t>Zachary Svajda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0ce66f49b381187fe6255a40ca2fdbfc155d5e36125ccf6d30fe81a72962eafa</t>
        </is>
      </c>
      <c r="BB421" s="24" t="inlineStr">
        <is>
          <t>surface_blended_elo</t>
        </is>
      </c>
      <c r="BC421" s="24" t="inlineStr">
        <is>
          <t>tennis-surface-elo-v1</t>
        </is>
      </c>
      <c r="BD421" s="24" t="inlineStr">
        <is>
          <t>0ce66f49b381187fe6255a40ca2fdbfc155d5e36125ccf6d30fe81a72962eafa</t>
        </is>
      </c>
      <c r="BE421" s="24" t="inlineStr">
        <is>
          <t>tennis-surface-elo-v1</t>
        </is>
      </c>
      <c r="BF421" s="24" t="inlineStr">
        <is>
          <t>1</t>
        </is>
      </c>
      <c r="BG421" s="24" t="inlineStr">
        <is>
          <t>0ce66f49b381187fe6255a40ca2fdbfc155d5e36125ccf6d30fe81a72962eafa</t>
        </is>
      </c>
      <c r="BH421" s="24" t="inlineStr">
        <is>
          <t>2026-09-01T16:03:59.962886Z</t>
        </is>
      </c>
      <c r="BI421" s="24" t="inlineStr">
        <is>
          <t>["same_event","same_team_same_day","same_league_same_day"]</t>
        </is>
      </c>
      <c r="BJ421" s="25" t="n"/>
      <c r="BK421" s="26" t="n">
        <v>-156</v>
      </c>
      <c r="BL421" s="27" t="n">
        <v>1.641026</v>
      </c>
      <c r="BM421" s="28" t="n">
        <v>0.609375</v>
      </c>
      <c r="BN421" s="28" t="n"/>
      <c r="BO421" s="28" t="n"/>
      <c r="BP421" s="25" t="n"/>
      <c r="BQ421" s="27" t="n">
        <v>1.641026</v>
      </c>
      <c r="BR421" s="28" t="n">
        <v>0.61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0.641026</v>
      </c>
      <c r="BZ421" s="24" t="inlineStr">
        <is>
          <t>2026-09-03T04:30:16.136295Z</t>
        </is>
      </c>
      <c r="CA421" s="31" t="inlineStr">
        <is>
          <t>fixed one-unit hypothetical scoring; no real exposure or execution</t>
        </is>
      </c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False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inlineStr">
        <is>
          <t>619e98c15647788adc3d2f68cf9119a33afbffee16d86ffd18e16a2d614870a0</t>
        </is>
      </c>
      <c r="DE421" s="24" t="inlineStr">
        <is>
          <t>/Users/vincentc9002/model-prediction/data/odds/tennis/2026-09-01/polymarket_snapshots.jsonl</t>
        </is>
      </c>
      <c r="DF421" s="24" t="inlineStr">
        <is>
          <t>547267:2026-09-01T16:03:59.962886Z</t>
        </is>
      </c>
      <c r="DG421" s="24" t="n"/>
      <c r="DH421" s="24" t="n"/>
      <c r="DI421" s="24" t="n"/>
      <c r="DJ421" s="24" t="inlineStr">
        <is>
          <t>0.609375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b863e7fa55674ee9</t>
        </is>
      </c>
      <c r="B422" s="24" t="inlineStr">
        <is>
          <t>2026-09-01T16:06:19.518222Z</t>
        </is>
      </c>
      <c r="C422" s="24" t="inlineStr">
        <is>
          <t>2026-09-01T20:00Z</t>
        </is>
      </c>
      <c r="D422" s="24" t="inlineStr">
        <is>
          <t>189-2026:182751</t>
        </is>
      </c>
      <c r="E422" s="24" t="inlineStr">
        <is>
          <t>TENNIS</t>
        </is>
      </c>
      <c r="F422" s="24" t="inlineStr">
        <is>
          <t>Benjamin Bonzi</t>
        </is>
      </c>
      <c r="G422" s="24" t="inlineStr">
        <is>
          <t>Alex Molcan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polymarket_us</t>
        </is>
      </c>
      <c r="L422" s="26" t="n">
        <v>178</v>
      </c>
      <c r="M422" s="27" t="n">
        <v>2.78</v>
      </c>
      <c r="N422" s="28" t="n">
        <v>0.359712</v>
      </c>
      <c r="O422" s="28" t="n">
        <v>0.5096000000000001</v>
      </c>
      <c r="P422" s="28" t="n">
        <v>0.05</v>
      </c>
      <c r="Q422" s="28" t="n">
        <v>0.149888</v>
      </c>
      <c r="R422" s="26" t="n">
        <v>95</v>
      </c>
      <c r="S422" s="29" t="n">
        <v>1.75</v>
      </c>
      <c r="T422" s="24" t="inlineStr">
        <is>
          <t>tennis-surface-elo-v1</t>
        </is>
      </c>
      <c r="U422" s="24" t="inlineStr">
        <is>
          <t>settled</t>
        </is>
      </c>
      <c r="V422" s="24" t="inlineStr">
        <is>
          <t>loss</t>
        </is>
      </c>
      <c r="W422" s="26" t="n">
        <v>1</v>
      </c>
      <c r="X422" s="26" t="n">
        <v>0</v>
      </c>
      <c r="Y422" s="25" t="n"/>
      <c r="Z422" s="26" t="n">
        <v>178</v>
      </c>
      <c r="AA422" s="28" t="n">
        <v>0.36</v>
      </c>
      <c r="AB422" s="28" t="n">
        <v>0.000288</v>
      </c>
      <c r="AC422" s="30" t="n">
        <v>-1.75</v>
      </c>
      <c r="AD422" s="24" t="inlineStr">
        <is>
          <t>2026-09-03T04:30:17.110137Z</t>
        </is>
      </c>
      <c r="AE422" s="31" t="inlineStr">
        <is>
          <t>Surface-blended Elo on Hard: Benjamin Bonzi p=0.490 vs Alex Molcan. Executable ask 0.3600 (aec-atp-alemol-benbon-2026-08-30).</t>
        </is>
      </c>
      <c r="AF422" s="31" t="inlineStr">
        <is>
          <t>Surface-blended Elo model; singles only, WTA+ATP market coverage, not yet locked-holdout qualified -- promoted by explicit operator directive, not genuine walk-forward validation.</t>
        </is>
      </c>
      <c r="AG422" s="24" t="inlineStr">
        <is>
          <t>review_required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Benjamin Bonzi</t>
        </is>
      </c>
      <c r="AQ422" s="24" t="inlineStr">
        <is>
          <t>Benjamin Bonzi</t>
        </is>
      </c>
      <c r="AR422" s="24" t="inlineStr">
        <is>
          <t>Benjamin Bonzi</t>
        </is>
      </c>
      <c r="AS422" s="24" t="inlineStr">
        <is>
          <t>Alex Molcan</t>
        </is>
      </c>
      <c r="AT422" s="24" t="inlineStr">
        <is>
          <t>Alex Molcan</t>
        </is>
      </c>
      <c r="AU422" s="24" t="inlineStr">
        <is>
          <t>Alex Molcan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0ce66f49b381187fe6255a40ca2fdbfc155d5e36125ccf6d30fe81a72962eafa</t>
        </is>
      </c>
      <c r="BB422" s="24" t="inlineStr">
        <is>
          <t>surface_blended_elo</t>
        </is>
      </c>
      <c r="BC422" s="24" t="inlineStr">
        <is>
          <t>tennis-surface-elo-v1</t>
        </is>
      </c>
      <c r="BD422" s="24" t="inlineStr">
        <is>
          <t>0ce66f49b381187fe6255a40ca2fdbfc155d5e36125ccf6d30fe81a72962eafa</t>
        </is>
      </c>
      <c r="BE422" s="24" t="inlineStr">
        <is>
          <t>tennis-surface-elo-v1</t>
        </is>
      </c>
      <c r="BF422" s="24" t="inlineStr">
        <is>
          <t>1</t>
        </is>
      </c>
      <c r="BG422" s="24" t="inlineStr">
        <is>
          <t>0ce66f49b381187fe6255a40ca2fdbfc155d5e36125ccf6d30fe81a72962eafa</t>
        </is>
      </c>
      <c r="BH422" s="24" t="inlineStr">
        <is>
          <t>2026-09-01T16:03:59.836325Z</t>
        </is>
      </c>
      <c r="BI422" s="24" t="inlineStr">
        <is>
          <t>["same_event","same_team_same_day","same_league_same_day"]</t>
        </is>
      </c>
      <c r="BJ422" s="25" t="n"/>
      <c r="BK422" s="26" t="n">
        <v>178</v>
      </c>
      <c r="BL422" s="27" t="n">
        <v>2.78</v>
      </c>
      <c r="BM422" s="28" t="n">
        <v>0.359712</v>
      </c>
      <c r="BN422" s="28" t="n"/>
      <c r="BO422" s="28" t="n"/>
      <c r="BP422" s="25" t="n"/>
      <c r="BQ422" s="27" t="n">
        <v>2.78</v>
      </c>
      <c r="BR422" s="28" t="n">
        <v>0.36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-1</v>
      </c>
      <c r="BZ422" s="24" t="inlineStr">
        <is>
          <t>2026-09-03T04:30:17.110137Z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inlineStr">
        <is>
          <t>e69bdcc69b7fe0f6f2822ee9be1e34dc1ff6198646115125598d4b1ac79168f1</t>
        </is>
      </c>
      <c r="DE422" s="24" t="inlineStr">
        <is>
          <t>/Users/vincentc9002/model-prediction/data/odds/tennis/2026-09-01/polymarket_snapshots.jsonl</t>
        </is>
      </c>
      <c r="DF422" s="24" t="inlineStr">
        <is>
          <t>547278:2026-09-01T16:03:59.836325Z</t>
        </is>
      </c>
      <c r="DG422" s="24" t="n"/>
      <c r="DH422" s="24" t="n"/>
      <c r="DI422" s="24" t="n"/>
      <c r="DJ422" s="24" t="inlineStr">
        <is>
          <t>0.359712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b10177900d1b43a4</t>
        </is>
      </c>
      <c r="B423" s="24" t="inlineStr">
        <is>
          <t>2026-09-01T16:06:19.518222Z</t>
        </is>
      </c>
      <c r="C423" s="24" t="inlineStr">
        <is>
          <t>2026-09-01T20:30Z</t>
        </is>
      </c>
      <c r="D423" s="24" t="inlineStr">
        <is>
          <t>189-2026:182750</t>
        </is>
      </c>
      <c r="E423" s="24" t="inlineStr">
        <is>
          <t>TENNIS</t>
        </is>
      </c>
      <c r="F423" s="24" t="inlineStr">
        <is>
          <t>Ignacio Buse</t>
        </is>
      </c>
      <c r="G423" s="24" t="inlineStr">
        <is>
          <t>Marcos Giron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-156</v>
      </c>
      <c r="M423" s="27" t="n">
        <v>1.641026</v>
      </c>
      <c r="N423" s="28" t="n">
        <v>0.609375</v>
      </c>
      <c r="O423" s="28" t="n">
        <v>0.6306</v>
      </c>
      <c r="P423" s="28" t="n">
        <v>0.05</v>
      </c>
      <c r="Q423" s="28" t="n">
        <v>0.021225</v>
      </c>
      <c r="R423" s="26" t="n">
        <v>31</v>
      </c>
      <c r="S423" s="29" t="n">
        <v>1</v>
      </c>
      <c r="T423" s="24" t="inlineStr">
        <is>
          <t>tennis-surface-elo-v1</t>
        </is>
      </c>
      <c r="U423" s="24" t="inlineStr">
        <is>
          <t>settled</t>
        </is>
      </c>
      <c r="V423" s="24" t="inlineStr">
        <is>
          <t>win</t>
        </is>
      </c>
      <c r="W423" s="26" t="n">
        <v>1</v>
      </c>
      <c r="X423" s="26" t="n">
        <v>0</v>
      </c>
      <c r="Y423" s="25" t="n"/>
      <c r="Z423" s="26" t="n">
        <v>-156</v>
      </c>
      <c r="AA423" s="28" t="n">
        <v>0.61</v>
      </c>
      <c r="AB423" s="28" t="n">
        <v>0.000625</v>
      </c>
      <c r="AC423" s="30" t="n">
        <v>0.641</v>
      </c>
      <c r="AD423" s="24" t="inlineStr">
        <is>
          <t>2026-09-03T04:30:18.084219Z</t>
        </is>
      </c>
      <c r="AE423" s="31" t="inlineStr">
        <is>
          <t>Surface-blended Elo on Hard: Ignacio Buse p=0.631 vs Marcos Giron. Executable ask 0.6100 (aec-atp-margir-ignbus-2026-08-30).</t>
        </is>
      </c>
      <c r="AF423" s="31" t="inlineStr">
        <is>
          <t>Surface-blended Elo model; singles only, WTA+ATP market coverage, not yet locked-holdout qualified -- promoted by explicit operator directive, not genuine walk-forward validation.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PAPER_CALL_LOW_EDGE</t>
        </is>
      </c>
      <c r="AP423" s="24" t="inlineStr">
        <is>
          <t>Ignacio Buse</t>
        </is>
      </c>
      <c r="AQ423" s="24" t="inlineStr">
        <is>
          <t>Ignacio Buse</t>
        </is>
      </c>
      <c r="AR423" s="24" t="inlineStr">
        <is>
          <t>Ignacio Buse</t>
        </is>
      </c>
      <c r="AS423" s="24" t="inlineStr">
        <is>
          <t>Marcos Giron</t>
        </is>
      </c>
      <c r="AT423" s="24" t="inlineStr">
        <is>
          <t>Marcos Giron</t>
        </is>
      </c>
      <c r="AU423" s="24" t="inlineStr">
        <is>
          <t>Marcos Giron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0ce66f49b381187fe6255a40ca2fdbfc155d5e36125ccf6d30fe81a72962eafa</t>
        </is>
      </c>
      <c r="BB423" s="24" t="inlineStr">
        <is>
          <t>surface_blended_elo</t>
        </is>
      </c>
      <c r="BC423" s="24" t="inlineStr">
        <is>
          <t>tennis-surface-elo-v1</t>
        </is>
      </c>
      <c r="BD423" s="24" t="inlineStr">
        <is>
          <t>0ce66f49b381187fe6255a40ca2fdbfc155d5e36125ccf6d30fe81a72962eafa</t>
        </is>
      </c>
      <c r="BE423" s="24" t="inlineStr">
        <is>
          <t>tennis-surface-elo-v1</t>
        </is>
      </c>
      <c r="BF423" s="24" t="inlineStr">
        <is>
          <t>1</t>
        </is>
      </c>
      <c r="BG423" s="24" t="inlineStr">
        <is>
          <t>0ce66f49b381187fe6255a40ca2fdbfc155d5e36125ccf6d30fe81a72962eafa</t>
        </is>
      </c>
      <c r="BH423" s="24" t="inlineStr">
        <is>
          <t>2026-09-01T16:04:00.189796Z</t>
        </is>
      </c>
      <c r="BI423" s="24" t="inlineStr">
        <is>
          <t>["same_event","same_team_same_day","same_league_same_day"]</t>
        </is>
      </c>
      <c r="BJ423" s="25" t="n"/>
      <c r="BK423" s="26" t="n">
        <v>-156</v>
      </c>
      <c r="BL423" s="27" t="n">
        <v>1.641026</v>
      </c>
      <c r="BM423" s="28" t="n">
        <v>0.609375</v>
      </c>
      <c r="BN423" s="28" t="n"/>
      <c r="BO423" s="28" t="n"/>
      <c r="BP423" s="25" t="n"/>
      <c r="BQ423" s="27" t="n">
        <v>1.641026</v>
      </c>
      <c r="BR423" s="28" t="n">
        <v>0.61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0.641026</v>
      </c>
      <c r="BZ423" s="24" t="inlineStr">
        <is>
          <t>2026-09-03T04:30:18.084219Z</t>
        </is>
      </c>
      <c r="CA423" s="31" t="inlineStr">
        <is>
          <t>fixed one-unit hypothetical scoring; no real exposure or execution</t>
        </is>
      </c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inlineStr">
        <is>
          <t>f7902dfc1a8545b2cd5fb35fcdbefeac48013a379e088ffcaf318e01649f472b</t>
        </is>
      </c>
      <c r="DE423" s="24" t="inlineStr">
        <is>
          <t>/Users/vincentc9002/model-prediction/data/odds/tennis/2026-09-01/polymarket_snapshots.jsonl</t>
        </is>
      </c>
      <c r="DF423" s="24" t="inlineStr">
        <is>
          <t>547279:2026-09-01T16:04:00.189796Z</t>
        </is>
      </c>
      <c r="DG423" s="24" t="n"/>
      <c r="DH423" s="24" t="n"/>
      <c r="DI423" s="24" t="n"/>
      <c r="DJ423" s="24" t="inlineStr">
        <is>
          <t>0.609375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08600afae8614a33</t>
        </is>
      </c>
      <c r="B424" s="24" t="inlineStr">
        <is>
          <t>2026-09-01T16:06:19.518222Z</t>
        </is>
      </c>
      <c r="C424" s="24" t="inlineStr">
        <is>
          <t>2026-09-01T21:00Z</t>
        </is>
      </c>
      <c r="D424" s="24" t="inlineStr">
        <is>
          <t>189-2026:182696</t>
        </is>
      </c>
      <c r="E424" s="24" t="inlineStr">
        <is>
          <t>TENNIS</t>
        </is>
      </c>
      <c r="F424" s="24" t="inlineStr">
        <is>
          <t>Alex de Minaur</t>
        </is>
      </c>
      <c r="G424" s="24" t="inlineStr">
        <is>
          <t>Andrea Guerrieri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-1900</v>
      </c>
      <c r="M424" s="27" t="n">
        <v>1.052632</v>
      </c>
      <c r="N424" s="28" t="n">
        <v>0.95</v>
      </c>
      <c r="O424" s="28" t="n">
        <v>0.7811</v>
      </c>
      <c r="P424" s="28" t="n">
        <v>0.05</v>
      </c>
      <c r="Q424" s="28" t="n">
        <v>-0.1689</v>
      </c>
      <c r="R424" s="26" t="n">
        <v>0</v>
      </c>
      <c r="S424" s="29" t="n">
        <v>1</v>
      </c>
      <c r="T424" s="24" t="inlineStr">
        <is>
          <t>tennis-surface-elo-v1</t>
        </is>
      </c>
      <c r="U424" s="24" t="inlineStr">
        <is>
          <t>settled</t>
        </is>
      </c>
      <c r="V424" s="24" t="inlineStr">
        <is>
          <t>win</t>
        </is>
      </c>
      <c r="W424" s="26" t="n">
        <v>1</v>
      </c>
      <c r="X424" s="26" t="n">
        <v>0</v>
      </c>
      <c r="Y424" s="25" t="n"/>
      <c r="Z424" s="26" t="n">
        <v>-1900</v>
      </c>
      <c r="AA424" s="28" t="n">
        <v>0.95</v>
      </c>
      <c r="AB424" s="28" t="n">
        <v>0</v>
      </c>
      <c r="AC424" s="30" t="n">
        <v>0.0526</v>
      </c>
      <c r="AD424" s="24" t="inlineStr">
        <is>
          <t>2026-09-03T04:30:19.061558Z</t>
        </is>
      </c>
      <c r="AE424" s="31" t="inlineStr">
        <is>
          <t>Surface-blended Elo on Hard: Alex de Minaur p=0.781 vs Andrea Guerrieri. Executable ask 0.9500 (aec-atp-andgue-alemin-2026-08-30).</t>
        </is>
      </c>
      <c r="AF424" s="31" t="inlineStr">
        <is>
          <t>Surface-blended Elo model; singles only, WTA+ATP market coverage, not yet locked-holdout qualified -- promoted by explicit operator directive, not genuine walk-forward validation.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PAPER_CALL_MODEL_UNVALIDATED</t>
        </is>
      </c>
      <c r="AP424" s="24" t="inlineStr">
        <is>
          <t>Alex de Minaur</t>
        </is>
      </c>
      <c r="AQ424" s="24" t="inlineStr">
        <is>
          <t>Alex de Minaur</t>
        </is>
      </c>
      <c r="AR424" s="24" t="inlineStr">
        <is>
          <t>Alex de Minaur</t>
        </is>
      </c>
      <c r="AS424" s="24" t="inlineStr">
        <is>
          <t>Andrea Guerrieri</t>
        </is>
      </c>
      <c r="AT424" s="24" t="inlineStr">
        <is>
          <t>Andrea Guerrieri</t>
        </is>
      </c>
      <c r="AU424" s="24" t="inlineStr">
        <is>
          <t>Andrea Guerrieri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0ce66f49b381187fe6255a40ca2fdbfc155d5e36125ccf6d30fe81a72962eafa</t>
        </is>
      </c>
      <c r="BB424" s="24" t="inlineStr">
        <is>
          <t>surface_blended_elo</t>
        </is>
      </c>
      <c r="BC424" s="24" t="inlineStr">
        <is>
          <t>tennis-surface-elo-v1</t>
        </is>
      </c>
      <c r="BD424" s="24" t="inlineStr">
        <is>
          <t>0ce66f49b381187fe6255a40ca2fdbfc155d5e36125ccf6d30fe81a72962eafa</t>
        </is>
      </c>
      <c r="BE424" s="24" t="inlineStr">
        <is>
          <t>tennis-surface-elo-v1</t>
        </is>
      </c>
      <c r="BF424" s="24" t="inlineStr">
        <is>
          <t>1</t>
        </is>
      </c>
      <c r="BG424" s="24" t="inlineStr">
        <is>
          <t>0ce66f49b381187fe6255a40ca2fdbfc155d5e36125ccf6d30fe81a72962eafa</t>
        </is>
      </c>
      <c r="BH424" s="24" t="inlineStr">
        <is>
          <t>2026-09-01T16:04:00.270537Z</t>
        </is>
      </c>
      <c r="BI424" s="24" t="inlineStr">
        <is>
          <t>["same_event","same_team_same_day","same_league_same_day"]</t>
        </is>
      </c>
      <c r="BJ424" s="25" t="n"/>
      <c r="BK424" s="26" t="n">
        <v>-1900</v>
      </c>
      <c r="BL424" s="27" t="n">
        <v>1.052632</v>
      </c>
      <c r="BM424" s="28" t="n">
        <v>0.95</v>
      </c>
      <c r="BN424" s="28" t="n"/>
      <c r="BO424" s="28" t="n"/>
      <c r="BP424" s="25" t="n"/>
      <c r="BQ424" s="27" t="n">
        <v>1.052632</v>
      </c>
      <c r="BR424" s="28" t="n">
        <v>0.95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0.052632</v>
      </c>
      <c r="BZ424" s="24" t="inlineStr">
        <is>
          <t>2026-09-03T04:30:19.061558Z</t>
        </is>
      </c>
      <c r="CA424" s="31" t="inlineStr">
        <is>
          <t>fixed one-unit hypothetical scoring; no real exposure or execution</t>
        </is>
      </c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False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inlineStr">
        <is>
          <t>5c416044a30997cc3dec14d0508ba982b58f08e332691ec882762d1709db05a2</t>
        </is>
      </c>
      <c r="DE424" s="24" t="inlineStr">
        <is>
          <t>/Users/vincentc9002/model-prediction/data/odds/tennis/2026-09-01/polymarket_snapshots.jsonl</t>
        </is>
      </c>
      <c r="DF424" s="24" t="inlineStr">
        <is>
          <t>550498:2026-09-01T16:04:00.270537Z</t>
        </is>
      </c>
      <c r="DG424" s="24" t="n"/>
      <c r="DH424" s="24" t="n"/>
      <c r="DI424" s="24" t="n"/>
      <c r="DJ424" s="24" t="inlineStr">
        <is>
          <t>0.95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d6aac668ec284b49</t>
        </is>
      </c>
      <c r="B425" s="24" t="inlineStr">
        <is>
          <t>2026-09-01T16:06:19.518222Z</t>
        </is>
      </c>
      <c r="C425" s="24" t="inlineStr">
        <is>
          <t>2026-09-01T21:30Z</t>
        </is>
      </c>
      <c r="D425" s="24" t="inlineStr">
        <is>
          <t>189-2026:182697</t>
        </is>
      </c>
      <c r="E425" s="24" t="inlineStr">
        <is>
          <t>TENNIS</t>
        </is>
      </c>
      <c r="F425" s="24" t="inlineStr">
        <is>
          <t>Botic Van De Zandschulp</t>
        </is>
      </c>
      <c r="G425" s="24" t="inlineStr">
        <is>
          <t>Jan Choinski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polymarket_us</t>
        </is>
      </c>
      <c r="L425" s="26" t="n">
        <v>-335</v>
      </c>
      <c r="M425" s="27" t="n">
        <v>1.298507</v>
      </c>
      <c r="N425" s="28" t="n">
        <v>0.770115</v>
      </c>
      <c r="O425" s="28" t="n">
        <v>0.7441</v>
      </c>
      <c r="P425" s="28" t="n">
        <v>0.05</v>
      </c>
      <c r="Q425" s="28" t="n">
        <v>-0.026015</v>
      </c>
      <c r="R425" s="26" t="n">
        <v>7</v>
      </c>
      <c r="S425" s="29" t="n">
        <v>1</v>
      </c>
      <c r="T425" s="24" t="inlineStr">
        <is>
          <t>tennis-surface-elo-v1</t>
        </is>
      </c>
      <c r="U425" s="24" t="inlineStr">
        <is>
          <t>settled</t>
        </is>
      </c>
      <c r="V425" s="24" t="inlineStr">
        <is>
          <t>win</t>
        </is>
      </c>
      <c r="W425" s="26" t="n">
        <v>1</v>
      </c>
      <c r="X425" s="26" t="n">
        <v>0</v>
      </c>
      <c r="Y425" s="25" t="n"/>
      <c r="Z425" s="26" t="n">
        <v>-335</v>
      </c>
      <c r="AA425" s="28" t="n">
        <v>0.77</v>
      </c>
      <c r="AB425" s="28" t="n">
        <v>-0.000115</v>
      </c>
      <c r="AC425" s="30" t="n">
        <v>0.2985</v>
      </c>
      <c r="AD425" s="24" t="inlineStr">
        <is>
          <t>2026-09-03T04:30:20.055662Z</t>
        </is>
      </c>
      <c r="AE425" s="31" t="inlineStr">
        <is>
          <t>Surface-blended Elo on Hard: Botic Van De Zandschulp p=0.744 vs Jan Choinski. Executable ask 0.7700 (aec-atp-jancho-botzan-2026-08-30).</t>
        </is>
      </c>
      <c r="AF425" s="31" t="inlineStr">
        <is>
          <t>Surface-blended Elo model; singles only, WTA+ATP market coverage, not yet locked-holdout qualified -- promoted by explicit operator directive, not genuine walk-forward validation.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Botic Van De Zandschulp</t>
        </is>
      </c>
      <c r="AQ425" s="24" t="inlineStr">
        <is>
          <t>Botic Van De Zandschulp</t>
        </is>
      </c>
      <c r="AR425" s="24" t="inlineStr">
        <is>
          <t>Botic Van De Zandschulp</t>
        </is>
      </c>
      <c r="AS425" s="24" t="inlineStr">
        <is>
          <t>Jan Choinski</t>
        </is>
      </c>
      <c r="AT425" s="24" t="inlineStr">
        <is>
          <t>Jan Choinski</t>
        </is>
      </c>
      <c r="AU425" s="24" t="inlineStr">
        <is>
          <t>Jan Choinski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0ce66f49b381187fe6255a40ca2fdbfc155d5e36125ccf6d30fe81a72962eafa</t>
        </is>
      </c>
      <c r="BB425" s="24" t="inlineStr">
        <is>
          <t>surface_blended_elo</t>
        </is>
      </c>
      <c r="BC425" s="24" t="inlineStr">
        <is>
          <t>tennis-surface-elo-v1</t>
        </is>
      </c>
      <c r="BD425" s="24" t="inlineStr">
        <is>
          <t>0ce66f49b381187fe6255a40ca2fdbfc155d5e36125ccf6d30fe81a72962eafa</t>
        </is>
      </c>
      <c r="BE425" s="24" t="inlineStr">
        <is>
          <t>tennis-surface-elo-v1</t>
        </is>
      </c>
      <c r="BF425" s="24" t="inlineStr">
        <is>
          <t>1</t>
        </is>
      </c>
      <c r="BG425" s="24" t="inlineStr">
        <is>
          <t>0ce66f49b381187fe6255a40ca2fdbfc155d5e36125ccf6d30fe81a72962eafa</t>
        </is>
      </c>
      <c r="BH425" s="24" t="inlineStr">
        <is>
          <t>2026-09-01T16:04:00.067333Z</t>
        </is>
      </c>
      <c r="BI425" s="24" t="inlineStr">
        <is>
          <t>["same_event","same_team_same_day","same_league_same_day"]</t>
        </is>
      </c>
      <c r="BJ425" s="25" t="n"/>
      <c r="BK425" s="26" t="n">
        <v>-335</v>
      </c>
      <c r="BL425" s="27" t="n">
        <v>1.298507</v>
      </c>
      <c r="BM425" s="28" t="n">
        <v>0.770115</v>
      </c>
      <c r="BN425" s="28" t="n"/>
      <c r="BO425" s="28" t="n"/>
      <c r="BP425" s="25" t="n"/>
      <c r="BQ425" s="27" t="n">
        <v>1.298507</v>
      </c>
      <c r="BR425" s="28" t="n">
        <v>0.77</v>
      </c>
      <c r="BS425" s="28" t="n"/>
      <c r="BT425" s="28" t="n"/>
      <c r="BU425" s="25" t="n"/>
      <c r="BV425" s="29" t="n"/>
      <c r="BW425" s="24" t="n"/>
      <c r="BX425" s="30" t="n">
        <v>1</v>
      </c>
      <c r="BY425" s="27" t="n">
        <v>0.298507</v>
      </c>
      <c r="BZ425" s="24" t="inlineStr">
        <is>
          <t>2026-09-03T04:30:20.055662Z</t>
        </is>
      </c>
      <c r="CA425" s="31" t="inlineStr">
        <is>
          <t>fixed one-unit hypothetical scoring; no real exposure or execution</t>
        </is>
      </c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inlineStr">
        <is>
          <t>7354ad830753b75cf70eae600dc346d55c4a023dd6c70f184dd985e68043c572</t>
        </is>
      </c>
      <c r="DE425" s="24" t="inlineStr">
        <is>
          <t>/Users/vincentc9002/model-prediction/data/odds/tennis/2026-09-01/polymarket_snapshots.jsonl</t>
        </is>
      </c>
      <c r="DF425" s="24" t="inlineStr">
        <is>
          <t>547272:2026-09-01T16:04:00.067333Z</t>
        </is>
      </c>
      <c r="DG425" s="24" t="n"/>
      <c r="DH425" s="24" t="n"/>
      <c r="DI425" s="24" t="n"/>
      <c r="DJ425" s="24" t="inlineStr">
        <is>
          <t>0.770115</t>
        </is>
      </c>
      <c r="DK425" s="24" t="n"/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6d9cf2488c7042e1</t>
        </is>
      </c>
      <c r="B426" s="24" t="inlineStr">
        <is>
          <t>2026-09-01T16:06:19.518222Z</t>
        </is>
      </c>
      <c r="C426" s="24" t="inlineStr">
        <is>
          <t>2026-09-01T23:00Z</t>
        </is>
      </c>
      <c r="D426" s="24" t="inlineStr">
        <is>
          <t>189-2026:182729</t>
        </is>
      </c>
      <c r="E426" s="24" t="inlineStr">
        <is>
          <t>TENNIS</t>
        </is>
      </c>
      <c r="F426" s="24" t="inlineStr">
        <is>
          <t>Gael Monfils</t>
        </is>
      </c>
      <c r="G426" s="24" t="inlineStr">
        <is>
          <t>Adolfo Daniel Vallejo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-127</v>
      </c>
      <c r="M426" s="27" t="n">
        <v>1.787402</v>
      </c>
      <c r="N426" s="28" t="n">
        <v>0.5594710000000001</v>
      </c>
      <c r="O426" s="28" t="n">
        <v>0.545</v>
      </c>
      <c r="P426" s="28" t="n">
        <v>0.05</v>
      </c>
      <c r="Q426" s="28" t="n">
        <v>-0.014471</v>
      </c>
      <c r="R426" s="26" t="n">
        <v>13</v>
      </c>
      <c r="S426" s="29" t="n">
        <v>1</v>
      </c>
      <c r="T426" s="24" t="inlineStr">
        <is>
          <t>tennis-surface-elo-v1</t>
        </is>
      </c>
      <c r="U426" s="24" t="inlineStr">
        <is>
          <t>settled</t>
        </is>
      </c>
      <c r="V426" s="24" t="inlineStr">
        <is>
          <t>loss</t>
        </is>
      </c>
      <c r="W426" s="26" t="n">
        <v>1</v>
      </c>
      <c r="X426" s="26" t="n">
        <v>0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2026-09-02T04:32:27.134698Z</t>
        </is>
      </c>
      <c r="AE426" s="31" t="inlineStr">
        <is>
          <t>Surface-blended Elo on Hard: Gael Monfils p=0.455 vs Adolfo Daniel Vallejo. Executable ask 0.5600 (aec-atp-adoval-gaemon-2026-08-30).</t>
        </is>
      </c>
      <c r="AF426" s="31" t="inlineStr">
        <is>
          <t>Surface-blended Elo model; singles only, WTA+ATP market coverage, not yet locked-holdout qualified -- promoted by explicit operator directive, not genuine walk-forward validation.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paper_call</t>
        </is>
      </c>
      <c r="AL426" s="26" t="n">
        <v>4</v>
      </c>
      <c r="AM426" s="24" t="inlineStr">
        <is>
          <t>RESEARCH_OBSERVATION</t>
        </is>
      </c>
      <c r="AN426" s="24" t="inlineStr">
        <is>
          <t>CALL</t>
        </is>
      </c>
      <c r="AO426" s="24" t="inlineStr">
        <is>
          <t>PAPER_CALL_LOW_EDGE</t>
        </is>
      </c>
      <c r="AP426" s="24" t="inlineStr">
        <is>
          <t>Gael Monfils</t>
        </is>
      </c>
      <c r="AQ426" s="24" t="inlineStr">
        <is>
          <t>Gael Monfils</t>
        </is>
      </c>
      <c r="AR426" s="24" t="inlineStr">
        <is>
          <t>Gael Monfils</t>
        </is>
      </c>
      <c r="AS426" s="24" t="inlineStr">
        <is>
          <t>Adolfo Daniel Vallejo</t>
        </is>
      </c>
      <c r="AT426" s="24" t="inlineStr">
        <is>
          <t>Adolfo Daniel Vallejo</t>
        </is>
      </c>
      <c r="AU426" s="24" t="inlineStr">
        <is>
          <t>Adolfo Daniel Vallejo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0ce66f49b381187fe6255a40ca2fdbfc155d5e36125ccf6d30fe81a72962eafa</t>
        </is>
      </c>
      <c r="BB426" s="24" t="inlineStr">
        <is>
          <t>surface_blended_elo</t>
        </is>
      </c>
      <c r="BC426" s="24" t="inlineStr">
        <is>
          <t>tennis-surface-elo-v1</t>
        </is>
      </c>
      <c r="BD426" s="24" t="inlineStr">
        <is>
          <t>0ce66f49b381187fe6255a40ca2fdbfc155d5e36125ccf6d30fe81a72962eafa</t>
        </is>
      </c>
      <c r="BE426" s="24" t="inlineStr">
        <is>
          <t>tennis-surface-elo-v1</t>
        </is>
      </c>
      <c r="BF426" s="24" t="inlineStr">
        <is>
          <t>1</t>
        </is>
      </c>
      <c r="BG426" s="24" t="inlineStr">
        <is>
          <t>0ce66f49b381187fe6255a40ca2fdbfc155d5e36125ccf6d30fe81a72962eafa</t>
        </is>
      </c>
      <c r="BH426" s="24" t="inlineStr">
        <is>
          <t>2026-09-01T16:04:00.253997Z</t>
        </is>
      </c>
      <c r="BI426" s="24" t="inlineStr">
        <is>
          <t>["same_event","same_team_same_day","same_league_same_day"]</t>
        </is>
      </c>
      <c r="BJ426" s="25" t="n"/>
      <c r="BK426" s="26" t="n">
        <v>-127</v>
      </c>
      <c r="BL426" s="27" t="n">
        <v>1.787402</v>
      </c>
      <c r="BM426" s="28" t="n">
        <v>0.5594710000000001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>
        <v>1</v>
      </c>
      <c r="BY426" s="27" t="n">
        <v>-1</v>
      </c>
      <c r="BZ426" s="24" t="inlineStr">
        <is>
          <t>2026-09-02T04:32:27.134698Z</t>
        </is>
      </c>
      <c r="CA426" s="31" t="inlineStr">
        <is>
          <t>fixed one-unit hypothetical scoring; no real exposure or execution</t>
        </is>
      </c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inlineStr">
        <is>
          <t>8790fc6e8551f4266313f380c2a356ed9d39525873e9b82cb7e3dccd813495cb</t>
        </is>
      </c>
      <c r="DE426" s="24" t="inlineStr">
        <is>
          <t>/Users/vincentc9002/model-prediction/data/odds/tennis/2026-09-01/polymarket_snapshots.jsonl</t>
        </is>
      </c>
      <c r="DF426" s="24" t="inlineStr">
        <is>
          <t>547281:2026-09-01T16:04:00.253997Z</t>
        </is>
      </c>
      <c r="DG426" s="24" t="n"/>
      <c r="DH426" s="24" t="n"/>
      <c r="DI426" s="24" t="n"/>
      <c r="DJ426" s="24" t="inlineStr">
        <is>
          <t>0.559471</t>
        </is>
      </c>
      <c r="DK426" s="24" t="n"/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e4e749d546ce4b2f</t>
        </is>
      </c>
      <c r="B427" s="24" t="inlineStr">
        <is>
          <t>2026-09-01T16:06:19.518222Z</t>
        </is>
      </c>
      <c r="C427" s="24" t="inlineStr">
        <is>
          <t>2026-09-02T00:30Z</t>
        </is>
      </c>
      <c r="D427" s="24" t="inlineStr">
        <is>
          <t>189-2026:182660</t>
        </is>
      </c>
      <c r="E427" s="24" t="inlineStr">
        <is>
          <t>TENNIS</t>
        </is>
      </c>
      <c r="F427" s="24" t="inlineStr">
        <is>
          <t>Lorenzo Sonego</t>
        </is>
      </c>
      <c r="G427" s="24" t="inlineStr">
        <is>
          <t>Alexander Zverev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polymarket_us</t>
        </is>
      </c>
      <c r="L427" s="26" t="n">
        <v>-1567</v>
      </c>
      <c r="M427" s="27" t="n">
        <v>1.063816</v>
      </c>
      <c r="N427" s="28" t="n">
        <v>0.940012</v>
      </c>
      <c r="O427" s="28" t="n">
        <v>0.8409</v>
      </c>
      <c r="P427" s="28" t="n">
        <v>0.05</v>
      </c>
      <c r="Q427" s="28" t="n">
        <v>-0.09911200000000001</v>
      </c>
      <c r="R427" s="26" t="n">
        <v>0</v>
      </c>
      <c r="S427" s="29" t="n">
        <v>1</v>
      </c>
      <c r="T427" s="24" t="inlineStr">
        <is>
          <t>tennis-surface-elo-v1</t>
        </is>
      </c>
      <c r="U427" s="24" t="inlineStr">
        <is>
          <t>settled</t>
        </is>
      </c>
      <c r="V427" s="24" t="inlineStr">
        <is>
          <t>win</t>
        </is>
      </c>
      <c r="W427" s="26" t="n">
        <v>0</v>
      </c>
      <c r="X427" s="26" t="n">
        <v>1</v>
      </c>
      <c r="Y427" s="25" t="n"/>
      <c r="Z427" s="26" t="n">
        <v>-1567</v>
      </c>
      <c r="AA427" s="28" t="n">
        <v>0.9399999999999999</v>
      </c>
      <c r="AB427" s="28" t="n">
        <v>-1.2e-05</v>
      </c>
      <c r="AC427" s="30" t="n">
        <v>0.0638</v>
      </c>
      <c r="AD427" s="24" t="inlineStr">
        <is>
          <t>2026-09-02T16:03:17.377648Z</t>
        </is>
      </c>
      <c r="AE427" s="31" t="inlineStr">
        <is>
          <t>Surface-blended Elo on Hard: Lorenzo Sonego p=0.159 vs Alexander Zverev. Executable ask 0.9400 (aec-atp-alezve-lorson-2026-08-30).</t>
        </is>
      </c>
      <c r="AF427" s="31" t="inlineStr">
        <is>
          <t>Surface-blended Elo model; singles only, WTA+ATP market coverage, not yet locked-holdout qualified -- promoted by explicit operator directive, not genuine walk-forward validation.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Lorenzo Sonego</t>
        </is>
      </c>
      <c r="AQ427" s="24" t="inlineStr">
        <is>
          <t>Lorenzo Sonego</t>
        </is>
      </c>
      <c r="AR427" s="24" t="inlineStr">
        <is>
          <t>Lorenzo Sonego</t>
        </is>
      </c>
      <c r="AS427" s="24" t="inlineStr">
        <is>
          <t>Alexander Zverev</t>
        </is>
      </c>
      <c r="AT427" s="24" t="inlineStr">
        <is>
          <t>Alexander Zverev</t>
        </is>
      </c>
      <c r="AU427" s="24" t="inlineStr">
        <is>
          <t>Alexander Zverev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0ce66f49b381187fe6255a40ca2fdbfc155d5e36125ccf6d30fe81a72962eafa</t>
        </is>
      </c>
      <c r="BB427" s="24" t="inlineStr">
        <is>
          <t>surface_blended_elo</t>
        </is>
      </c>
      <c r="BC427" s="24" t="inlineStr">
        <is>
          <t>tennis-surface-elo-v1</t>
        </is>
      </c>
      <c r="BD427" s="24" t="inlineStr">
        <is>
          <t>0ce66f49b381187fe6255a40ca2fdbfc155d5e36125ccf6d30fe81a72962eafa</t>
        </is>
      </c>
      <c r="BE427" s="24" t="inlineStr">
        <is>
          <t>tennis-surface-elo-v1</t>
        </is>
      </c>
      <c r="BF427" s="24" t="inlineStr">
        <is>
          <t>1</t>
        </is>
      </c>
      <c r="BG427" s="24" t="inlineStr">
        <is>
          <t>0ce66f49b381187fe6255a40ca2fdbfc155d5e36125ccf6d30fe81a72962eafa</t>
        </is>
      </c>
      <c r="BH427" s="24" t="inlineStr">
        <is>
          <t>2026-09-01T16:04:00.345079Z</t>
        </is>
      </c>
      <c r="BI427" s="24" t="inlineStr">
        <is>
          <t>["same_event","same_team_same_day","same_league_same_day"]</t>
        </is>
      </c>
      <c r="BJ427" s="25" t="n"/>
      <c r="BK427" s="26" t="n">
        <v>-1567</v>
      </c>
      <c r="BL427" s="27" t="n">
        <v>1.063816</v>
      </c>
      <c r="BM427" s="28" t="n">
        <v>0.940012</v>
      </c>
      <c r="BN427" s="28" t="n"/>
      <c r="BO427" s="28" t="n"/>
      <c r="BP427" s="25" t="n"/>
      <c r="BQ427" s="27" t="n">
        <v>1.063816</v>
      </c>
      <c r="BR427" s="28" t="n">
        <v>0.9399999999999999</v>
      </c>
      <c r="BS427" s="28" t="n"/>
      <c r="BT427" s="28" t="n"/>
      <c r="BU427" s="25" t="n"/>
      <c r="BV427" s="29" t="n"/>
      <c r="BW427" s="24" t="n"/>
      <c r="BX427" s="30" t="n">
        <v>1</v>
      </c>
      <c r="BY427" s="27" t="n">
        <v>0.063816</v>
      </c>
      <c r="BZ427" s="24" t="inlineStr">
        <is>
          <t>2026-09-02T16:03:17.377648Z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inlineStr">
        <is>
          <t>70beeb8a073bd85abdd3993b2c32035c71a3ea304ccd10918914f26e26c3ae18</t>
        </is>
      </c>
      <c r="DE427" s="24" t="inlineStr">
        <is>
          <t>/Users/vincentc9002/model-prediction/data/odds/tennis/2026-09-01/polymarket_snapshots.jsonl</t>
        </is>
      </c>
      <c r="DF427" s="24" t="inlineStr">
        <is>
          <t>547254:2026-09-01T16:04:00.345079Z</t>
        </is>
      </c>
      <c r="DG427" s="24" t="n"/>
      <c r="DH427" s="24" t="n"/>
      <c r="DI427" s="24" t="n"/>
      <c r="DJ427" s="24" t="inlineStr">
        <is>
          <t>0.940012</t>
        </is>
      </c>
      <c r="DK427" s="24" t="n"/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8cd32c36444943b4</t>
        </is>
      </c>
      <c r="B428" s="24" t="inlineStr">
        <is>
          <t>2026-09-02T04:38:14.292410Z</t>
        </is>
      </c>
      <c r="C428" s="24" t="inlineStr">
        <is>
          <t>2026-09-02T15:00Z</t>
        </is>
      </c>
      <c r="D428" s="24" t="inlineStr">
        <is>
          <t>189-2026:182544</t>
        </is>
      </c>
      <c r="E428" s="24" t="inlineStr">
        <is>
          <t>TENNIS</t>
        </is>
      </c>
      <c r="F428" s="24" t="inlineStr">
        <is>
          <t>Sorana Cirstea</t>
        </is>
      </c>
      <c r="G428" s="24" t="inlineStr">
        <is>
          <t>Diane Parry</t>
        </is>
      </c>
      <c r="H428" s="24" t="inlineStr">
        <is>
          <t>moneyline</t>
        </is>
      </c>
      <c r="I428" s="24" t="inlineStr">
        <is>
          <t>away</t>
        </is>
      </c>
      <c r="J428" s="25" t="n"/>
      <c r="K428" s="24" t="inlineStr">
        <is>
          <t>polymarket_us</t>
        </is>
      </c>
      <c r="L428" s="26" t="n">
        <v>-257</v>
      </c>
      <c r="M428" s="27" t="n">
        <v>1.389105</v>
      </c>
      <c r="N428" s="28" t="n">
        <v>0.719888</v>
      </c>
      <c r="O428" s="28" t="n">
        <v>0.6293</v>
      </c>
      <c r="P428" s="28" t="n">
        <v>0.05</v>
      </c>
      <c r="Q428" s="28" t="n">
        <v>-0.090588</v>
      </c>
      <c r="R428" s="26" t="n">
        <v>0</v>
      </c>
      <c r="S428" s="29" t="n">
        <v>1</v>
      </c>
      <c r="T428" s="24" t="inlineStr">
        <is>
          <t>tennis-surface-elo-v1</t>
        </is>
      </c>
      <c r="U428" s="24" t="inlineStr">
        <is>
          <t>settled</t>
        </is>
      </c>
      <c r="V428" s="24" t="inlineStr">
        <is>
          <t>win</t>
        </is>
      </c>
      <c r="W428" s="26" t="n">
        <v>1</v>
      </c>
      <c r="X428" s="26" t="n">
        <v>0</v>
      </c>
      <c r="Y428" s="25" t="n"/>
      <c r="Z428" s="26" t="n">
        <v>-257</v>
      </c>
      <c r="AA428" s="28" t="n">
        <v>0.72</v>
      </c>
      <c r="AB428" s="28" t="n">
        <v>0.000112</v>
      </c>
      <c r="AC428" s="30" t="n">
        <v>0.3891</v>
      </c>
      <c r="AD428" s="24" t="inlineStr">
        <is>
          <t>2026-09-03T04:30:21.370817Z</t>
        </is>
      </c>
      <c r="AE428" s="31" t="inlineStr">
        <is>
          <t>Surface-blended Elo on Hard: Sorana Cirstea p=0.629 vs Diane Parry. Executable ask 0.7200 (aec-wta-diapar-sorcir-2026-09-01).</t>
        </is>
      </c>
      <c r="AF428" s="31" t="inlineStr">
        <is>
          <t>Surface-blended Elo model; singles only, WTA+ATP market coverage, not yet locked-holdout qualified -- promoted by explicit operator directive, not genuine walk-forward validation.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Sorana Cirstea</t>
        </is>
      </c>
      <c r="AQ428" s="24" t="inlineStr">
        <is>
          <t>Sorana Cirstea</t>
        </is>
      </c>
      <c r="AR428" s="24" t="inlineStr">
        <is>
          <t>Sorana Cirstea</t>
        </is>
      </c>
      <c r="AS428" s="24" t="inlineStr">
        <is>
          <t>Diane Parry</t>
        </is>
      </c>
      <c r="AT428" s="24" t="inlineStr">
        <is>
          <t>Diane Parry</t>
        </is>
      </c>
      <c r="AU428" s="24" t="inlineStr">
        <is>
          <t>Diane Parry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0ce66f49b381187fe6255a40ca2fdbfc155d5e36125ccf6d30fe81a72962eafa</t>
        </is>
      </c>
      <c r="BB428" s="24" t="inlineStr">
        <is>
          <t>surface_blended_elo</t>
        </is>
      </c>
      <c r="BC428" s="24" t="inlineStr">
        <is>
          <t>tennis-surface-elo-v1</t>
        </is>
      </c>
      <c r="BD428" s="24" t="inlineStr">
        <is>
          <t>0ce66f49b381187fe6255a40ca2fdbfc155d5e36125ccf6d30fe81a72962eafa</t>
        </is>
      </c>
      <c r="BE428" s="24" t="inlineStr">
        <is>
          <t>tennis-surface-elo-v1</t>
        </is>
      </c>
      <c r="BF428" s="24" t="inlineStr">
        <is>
          <t>1</t>
        </is>
      </c>
      <c r="BG428" s="24" t="inlineStr">
        <is>
          <t>0ce66f49b381187fe6255a40ca2fdbfc155d5e36125ccf6d30fe81a72962eafa</t>
        </is>
      </c>
      <c r="BH428" s="24" t="inlineStr">
        <is>
          <t>2026-09-02T04:37:02.601738Z</t>
        </is>
      </c>
      <c r="BI428" s="24" t="inlineStr">
        <is>
          <t>["same_event","same_team_same_day","same_league_same_day"]</t>
        </is>
      </c>
      <c r="BJ428" s="25" t="n"/>
      <c r="BK428" s="26" t="n">
        <v>-257</v>
      </c>
      <c r="BL428" s="27" t="n">
        <v>1.389105</v>
      </c>
      <c r="BM428" s="28" t="n">
        <v>0.719888</v>
      </c>
      <c r="BN428" s="28" t="n"/>
      <c r="BO428" s="28" t="n"/>
      <c r="BP428" s="25" t="n"/>
      <c r="BQ428" s="27" t="n">
        <v>1.389105</v>
      </c>
      <c r="BR428" s="28" t="n">
        <v>0.72</v>
      </c>
      <c r="BS428" s="28" t="n"/>
      <c r="BT428" s="28" t="n"/>
      <c r="BU428" s="25" t="n"/>
      <c r="BV428" s="29" t="n"/>
      <c r="BW428" s="24" t="n"/>
      <c r="BX428" s="30" t="n">
        <v>1</v>
      </c>
      <c r="BY428" s="27" t="n">
        <v>0.389105</v>
      </c>
      <c r="BZ428" s="24" t="inlineStr">
        <is>
          <t>2026-09-03T04:30:21.370817Z</t>
        </is>
      </c>
      <c r="CA428" s="31" t="inlineStr">
        <is>
          <t>fixed one-unit hypothetical scoring; no real exposure or execution</t>
        </is>
      </c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inlineStr">
        <is>
          <t>2be16aa7969866c2d1c1605f227cbf129136465535047d7925578a5494cebf38</t>
        </is>
      </c>
      <c r="DE428" s="24" t="inlineStr">
        <is>
          <t>/Users/vincentc9002/model-prediction/data/odds/tennis/2026-09-02/polymarket_snapshots.jsonl</t>
        </is>
      </c>
      <c r="DF428" s="24" t="inlineStr">
        <is>
          <t>600215:2026-09-02T04:37:02.601738Z</t>
        </is>
      </c>
      <c r="DG428" s="24" t="n"/>
      <c r="DH428" s="24" t="n"/>
      <c r="DI428" s="24" t="n"/>
      <c r="DJ428" s="24" t="inlineStr">
        <is>
          <t>0.719888</t>
        </is>
      </c>
      <c r="DK428" s="24" t="n"/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5a7f9b02d6dc4572</t>
        </is>
      </c>
      <c r="B429" s="24" t="inlineStr">
        <is>
          <t>2026-09-02T04:38:14.292410Z</t>
        </is>
      </c>
      <c r="C429" s="24" t="inlineStr">
        <is>
          <t>2026-09-02T15:00Z</t>
        </is>
      </c>
      <c r="D429" s="24" t="inlineStr">
        <is>
          <t>189-2026:182558</t>
        </is>
      </c>
      <c r="E429" s="24" t="inlineStr">
        <is>
          <t>TENNIS</t>
        </is>
      </c>
      <c r="F429" s="24" t="inlineStr">
        <is>
          <t>Leylah Fernandez</t>
        </is>
      </c>
      <c r="G429" s="24" t="inlineStr">
        <is>
          <t>Mananchaya Sawangkaew</t>
        </is>
      </c>
      <c r="H429" s="24" t="inlineStr">
        <is>
          <t>moneyline</t>
        </is>
      </c>
      <c r="I429" s="24" t="inlineStr">
        <is>
          <t>away</t>
        </is>
      </c>
      <c r="J429" s="25" t="n"/>
      <c r="K429" s="24" t="inlineStr">
        <is>
          <t>polymarket_us</t>
        </is>
      </c>
      <c r="L429" s="26" t="n">
        <v>-257</v>
      </c>
      <c r="M429" s="27" t="n">
        <v>1.389105</v>
      </c>
      <c r="N429" s="28" t="n">
        <v>0.719888</v>
      </c>
      <c r="O429" s="28" t="n">
        <v>0.5359</v>
      </c>
      <c r="P429" s="28" t="n">
        <v>0.05</v>
      </c>
      <c r="Q429" s="28" t="n">
        <v>-0.183988</v>
      </c>
      <c r="R429" s="26" t="n">
        <v>0</v>
      </c>
      <c r="S429" s="29" t="n">
        <v>1</v>
      </c>
      <c r="T429" s="24" t="inlineStr">
        <is>
          <t>tennis-surface-elo-v1</t>
        </is>
      </c>
      <c r="U429" s="24" t="inlineStr">
        <is>
          <t>settled</t>
        </is>
      </c>
      <c r="V429" s="24" t="inlineStr">
        <is>
          <t>win</t>
        </is>
      </c>
      <c r="W429" s="26" t="n">
        <v>1</v>
      </c>
      <c r="X429" s="26" t="n">
        <v>0</v>
      </c>
      <c r="Y429" s="25" t="n"/>
      <c r="Z429" s="26" t="n">
        <v>-257</v>
      </c>
      <c r="AA429" s="28" t="n">
        <v>0.72</v>
      </c>
      <c r="AB429" s="28" t="n">
        <v>0.000112</v>
      </c>
      <c r="AC429" s="30" t="n">
        <v>0.3891</v>
      </c>
      <c r="AD429" s="24" t="inlineStr">
        <is>
          <t>2026-09-03T04:30:22.369361Z</t>
        </is>
      </c>
      <c r="AE429" s="31" t="inlineStr">
        <is>
          <t>Surface-blended Elo on Hard: Leylah Fernandez p=0.536 vs Mananchaya Sawangkaew. Executable ask 0.7200 (aec-wta-mansaw-leyfer-2026-09-01).</t>
        </is>
      </c>
      <c r="AF429" s="31" t="inlineStr">
        <is>
          <t>Surface-blended Elo model; singles only, WTA+ATP market coverage, not yet locked-holdout qualified -- promoted by explicit operator directive, not genuine walk-forward validation.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Leylah Fernandez</t>
        </is>
      </c>
      <c r="AQ429" s="24" t="inlineStr">
        <is>
          <t>Leylah Fernandez</t>
        </is>
      </c>
      <c r="AR429" s="24" t="inlineStr">
        <is>
          <t>Leylah Fernandez</t>
        </is>
      </c>
      <c r="AS429" s="24" t="inlineStr">
        <is>
          <t>Mananchaya Sawangkaew</t>
        </is>
      </c>
      <c r="AT429" s="24" t="inlineStr">
        <is>
          <t>Mananchaya Sawangkaew</t>
        </is>
      </c>
      <c r="AU429" s="24" t="inlineStr">
        <is>
          <t>Mananchaya Sawangkaew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0ce66f49b381187fe6255a40ca2fdbfc155d5e36125ccf6d30fe81a72962eafa</t>
        </is>
      </c>
      <c r="BB429" s="24" t="inlineStr">
        <is>
          <t>surface_blended_elo</t>
        </is>
      </c>
      <c r="BC429" s="24" t="inlineStr">
        <is>
          <t>tennis-surface-elo-v1</t>
        </is>
      </c>
      <c r="BD429" s="24" t="inlineStr">
        <is>
          <t>0ce66f49b381187fe6255a40ca2fdbfc155d5e36125ccf6d30fe81a72962eafa</t>
        </is>
      </c>
      <c r="BE429" s="24" t="inlineStr">
        <is>
          <t>tennis-surface-elo-v1</t>
        </is>
      </c>
      <c r="BF429" s="24" t="inlineStr">
        <is>
          <t>1</t>
        </is>
      </c>
      <c r="BG429" s="24" t="inlineStr">
        <is>
          <t>0ce66f49b381187fe6255a40ca2fdbfc155d5e36125ccf6d30fe81a72962eafa</t>
        </is>
      </c>
      <c r="BH429" s="24" t="inlineStr">
        <is>
          <t>2026-09-02T04:37:03.093693Z</t>
        </is>
      </c>
      <c r="BI429" s="24" t="inlineStr">
        <is>
          <t>["same_event","same_team_same_day","same_league_same_day"]</t>
        </is>
      </c>
      <c r="BJ429" s="25" t="n"/>
      <c r="BK429" s="26" t="n">
        <v>-257</v>
      </c>
      <c r="BL429" s="27" t="n">
        <v>1.389105</v>
      </c>
      <c r="BM429" s="28" t="n">
        <v>0.719888</v>
      </c>
      <c r="BN429" s="28" t="n"/>
      <c r="BO429" s="28" t="n"/>
      <c r="BP429" s="25" t="n"/>
      <c r="BQ429" s="27" t="n">
        <v>1.389105</v>
      </c>
      <c r="BR429" s="28" t="n">
        <v>0.72</v>
      </c>
      <c r="BS429" s="28" t="n"/>
      <c r="BT429" s="28" t="n"/>
      <c r="BU429" s="25" t="n"/>
      <c r="BV429" s="29" t="n"/>
      <c r="BW429" s="24" t="n"/>
      <c r="BX429" s="30" t="n">
        <v>1</v>
      </c>
      <c r="BY429" s="27" t="n">
        <v>0.389105</v>
      </c>
      <c r="BZ429" s="24" t="inlineStr">
        <is>
          <t>2026-09-03T04:30:22.369361Z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False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inlineStr">
        <is>
          <t>13b7513e4221cea6571d38f65fc8b2ce982d3756d13c8796b104ad320840222a</t>
        </is>
      </c>
      <c r="DE429" s="24" t="inlineStr">
        <is>
          <t>/Users/vincentc9002/model-prediction/data/odds/tennis/2026-09-02/polymarket_snapshots.jsonl</t>
        </is>
      </c>
      <c r="DF429" s="24" t="inlineStr">
        <is>
          <t>597137:2026-09-02T04:37:03.093693Z</t>
        </is>
      </c>
      <c r="DG429" s="24" t="n"/>
      <c r="DH429" s="24" t="n"/>
      <c r="DI429" s="24" t="n"/>
      <c r="DJ429" s="24" t="inlineStr">
        <is>
          <t>0.719888</t>
        </is>
      </c>
      <c r="DK429" s="24" t="n"/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262a9a05fa534f46</t>
        </is>
      </c>
      <c r="B430" s="24" t="inlineStr">
        <is>
          <t>2026-09-02T04:38:14.292410Z</t>
        </is>
      </c>
      <c r="C430" s="24" t="inlineStr">
        <is>
          <t>2026-09-02T15:00Z</t>
        </is>
      </c>
      <c r="D430" s="24" t="inlineStr">
        <is>
          <t>189-2026:182561</t>
        </is>
      </c>
      <c r="E430" s="24" t="inlineStr">
        <is>
          <t>TENNIS</t>
        </is>
      </c>
      <c r="F430" s="24" t="inlineStr">
        <is>
          <t>Lucrezia Stefanini</t>
        </is>
      </c>
      <c r="G430" s="24" t="inlineStr">
        <is>
          <t>Jasmine Paolini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-223</v>
      </c>
      <c r="M430" s="27" t="n">
        <v>1.44843</v>
      </c>
      <c r="N430" s="28" t="n">
        <v>0.690402</v>
      </c>
      <c r="O430" s="28" t="n">
        <v>0.6506</v>
      </c>
      <c r="P430" s="28" t="n">
        <v>0.05</v>
      </c>
      <c r="Q430" s="28" t="n">
        <v>-0.039802</v>
      </c>
      <c r="R430" s="26" t="n">
        <v>0</v>
      </c>
      <c r="S430" s="29" t="n">
        <v>1</v>
      </c>
      <c r="T430" s="24" t="inlineStr">
        <is>
          <t>tennis-surface-elo-v1</t>
        </is>
      </c>
      <c r="U430" s="24" t="inlineStr">
        <is>
          <t>settled</t>
        </is>
      </c>
      <c r="V430" s="24" t="inlineStr">
        <is>
          <t>win</t>
        </is>
      </c>
      <c r="W430" s="26" t="n">
        <v>0</v>
      </c>
      <c r="X430" s="26" t="n">
        <v>1</v>
      </c>
      <c r="Y430" s="25" t="n"/>
      <c r="Z430" s="26" t="n">
        <v>-223</v>
      </c>
      <c r="AA430" s="28" t="n">
        <v>0.6899999999999999</v>
      </c>
      <c r="AB430" s="28" t="n">
        <v>-0.000402</v>
      </c>
      <c r="AC430" s="30" t="n">
        <v>0.4484</v>
      </c>
      <c r="AD430" s="24" t="inlineStr">
        <is>
          <t>2026-09-03T04:30:23.360153Z</t>
        </is>
      </c>
      <c r="AE430" s="31" t="inlineStr">
        <is>
          <t>Surface-blended Elo on Hard: Lucrezia Stefanini p=0.349 vs Jasmine Paolini. Executable ask 0.6900 (aec-wta-jaspao-lucste-2026-09-02).</t>
        </is>
      </c>
      <c r="AF430" s="31" t="inlineStr">
        <is>
          <t>Surface-blended Elo model; singles only, WTA+ATP market coverage, not yet locked-holdout qualified -- promoted by explicit operator directive, not genuine walk-forward validation.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Lucrezia Stefanini</t>
        </is>
      </c>
      <c r="AQ430" s="24" t="inlineStr">
        <is>
          <t>Lucrezia Stefanini</t>
        </is>
      </c>
      <c r="AR430" s="24" t="inlineStr">
        <is>
          <t>Lucrezia Stefanini</t>
        </is>
      </c>
      <c r="AS430" s="24" t="inlineStr">
        <is>
          <t>Jasmine Paolini</t>
        </is>
      </c>
      <c r="AT430" s="24" t="inlineStr">
        <is>
          <t>Jasmine Paolini</t>
        </is>
      </c>
      <c r="AU430" s="24" t="inlineStr">
        <is>
          <t>Jasmine Paolini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0ce66f49b381187fe6255a40ca2fdbfc155d5e36125ccf6d30fe81a72962eafa</t>
        </is>
      </c>
      <c r="BB430" s="24" t="inlineStr">
        <is>
          <t>surface_blended_elo</t>
        </is>
      </c>
      <c r="BC430" s="24" t="inlineStr">
        <is>
          <t>tennis-surface-elo-v1</t>
        </is>
      </c>
      <c r="BD430" s="24" t="inlineStr">
        <is>
          <t>0ce66f49b381187fe6255a40ca2fdbfc155d5e36125ccf6d30fe81a72962eafa</t>
        </is>
      </c>
      <c r="BE430" s="24" t="inlineStr">
        <is>
          <t>tennis-surface-elo-v1</t>
        </is>
      </c>
      <c r="BF430" s="24" t="inlineStr">
        <is>
          <t>1</t>
        </is>
      </c>
      <c r="BG430" s="24" t="inlineStr">
        <is>
          <t>0ce66f49b381187fe6255a40ca2fdbfc155d5e36125ccf6d30fe81a72962eafa</t>
        </is>
      </c>
      <c r="BH430" s="24" t="inlineStr">
        <is>
          <t>2026-09-02T04:37:02.942261Z</t>
        </is>
      </c>
      <c r="BI430" s="24" t="inlineStr">
        <is>
          <t>["same_event","same_team_same_day","same_league_same_day"]</t>
        </is>
      </c>
      <c r="BJ430" s="25" t="n"/>
      <c r="BK430" s="26" t="n">
        <v>-223</v>
      </c>
      <c r="BL430" s="27" t="n">
        <v>1.44843</v>
      </c>
      <c r="BM430" s="28" t="n">
        <v>0.690402</v>
      </c>
      <c r="BN430" s="28" t="n"/>
      <c r="BO430" s="28" t="n"/>
      <c r="BP430" s="25" t="n"/>
      <c r="BQ430" s="27" t="n">
        <v>1.44843</v>
      </c>
      <c r="BR430" s="28" t="n">
        <v>0.6899999999999999</v>
      </c>
      <c r="BS430" s="28" t="n"/>
      <c r="BT430" s="28" t="n"/>
      <c r="BU430" s="25" t="n"/>
      <c r="BV430" s="29" t="n"/>
      <c r="BW430" s="24" t="n"/>
      <c r="BX430" s="30" t="n">
        <v>1</v>
      </c>
      <c r="BY430" s="27" t="n">
        <v>0.448431</v>
      </c>
      <c r="BZ430" s="24" t="inlineStr">
        <is>
          <t>2026-09-03T04:30:23.360153Z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inlineStr">
        <is>
          <t>2b3f8d3a1c350426746eedee1771960fcd3baff5373db7876318cab36f2a0c37</t>
        </is>
      </c>
      <c r="DE430" s="24" t="inlineStr">
        <is>
          <t>/Users/vincentc9002/model-prediction/data/odds/tennis/2026-09-02/polymarket_snapshots.jsonl</t>
        </is>
      </c>
      <c r="DF430" s="24" t="inlineStr">
        <is>
          <t>596768:2026-09-02T04:37:02.942261Z</t>
        </is>
      </c>
      <c r="DG430" s="24" t="n"/>
      <c r="DH430" s="24" t="n"/>
      <c r="DI430" s="24" t="n"/>
      <c r="DJ430" s="24" t="inlineStr">
        <is>
          <t>0.690402</t>
        </is>
      </c>
      <c r="DK430" s="24" t="n"/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f7e946231fcd4d61</t>
        </is>
      </c>
      <c r="B431" s="24" t="inlineStr">
        <is>
          <t>2026-09-02T04:38:14.292410Z</t>
        </is>
      </c>
      <c r="C431" s="24" t="inlineStr">
        <is>
          <t>2026-09-02T15:00Z</t>
        </is>
      </c>
      <c r="D431" s="24" t="inlineStr">
        <is>
          <t>189-2026:182567</t>
        </is>
      </c>
      <c r="E431" s="24" t="inlineStr">
        <is>
          <t>TENNIS</t>
        </is>
      </c>
      <c r="F431" s="24" t="inlineStr">
        <is>
          <t>Taylah Preston</t>
        </is>
      </c>
      <c r="G431" s="24" t="inlineStr">
        <is>
          <t>Taylor Townsend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-376</v>
      </c>
      <c r="M431" s="27" t="n">
        <v>1.265957</v>
      </c>
      <c r="N431" s="28" t="n">
        <v>0.789916</v>
      </c>
      <c r="O431" s="28" t="n">
        <v>0.79</v>
      </c>
      <c r="P431" s="28" t="n">
        <v>0.05</v>
      </c>
      <c r="Q431" s="28" t="n">
        <v>8.4e-05</v>
      </c>
      <c r="R431" s="26" t="n">
        <v>20</v>
      </c>
      <c r="S431" s="29" t="n">
        <v>1</v>
      </c>
      <c r="T431" s="24" t="inlineStr">
        <is>
          <t>tennis-surface-elo-v1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/>
      <c r="Z431" s="26" t="n">
        <v>-376</v>
      </c>
      <c r="AA431" s="28" t="n">
        <v>0.79</v>
      </c>
      <c r="AB431" s="28" t="n">
        <v>8.4e-05</v>
      </c>
      <c r="AC431" s="30" t="n">
        <v>0.266</v>
      </c>
      <c r="AD431" s="24" t="inlineStr">
        <is>
          <t>2026-09-02T16:03:20.989657Z</t>
        </is>
      </c>
      <c r="AE431" s="31" t="inlineStr">
        <is>
          <t>Surface-blended Elo on Hard: Taylah Preston p=0.210 vs Taylor Townsend. Executable ask 0.7900 (aec-wta-taytow-taypre-2026-09-01).</t>
        </is>
      </c>
      <c r="AF431" s="31" t="inlineStr">
        <is>
          <t>Surface-blended Elo model; singles only, WTA+ATP market coverage, not yet locked-holdout qualified -- promoted by explicit operator directive, not genuine walk-forward validation.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Taylah Preston</t>
        </is>
      </c>
      <c r="AQ431" s="24" t="inlineStr">
        <is>
          <t>Taylah Preston</t>
        </is>
      </c>
      <c r="AR431" s="24" t="inlineStr">
        <is>
          <t>Taylah Preston</t>
        </is>
      </c>
      <c r="AS431" s="24" t="inlineStr">
        <is>
          <t>Taylor Townsend</t>
        </is>
      </c>
      <c r="AT431" s="24" t="inlineStr">
        <is>
          <t>Taylor Townsend</t>
        </is>
      </c>
      <c r="AU431" s="24" t="inlineStr">
        <is>
          <t>Taylor Townsend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0ce66f49b381187fe6255a40ca2fdbfc155d5e36125ccf6d30fe81a72962eafa</t>
        </is>
      </c>
      <c r="BB431" s="24" t="inlineStr">
        <is>
          <t>surface_blended_elo</t>
        </is>
      </c>
      <c r="BC431" s="24" t="inlineStr">
        <is>
          <t>tennis-surface-elo-v1</t>
        </is>
      </c>
      <c r="BD431" s="24" t="inlineStr">
        <is>
          <t>0ce66f49b381187fe6255a40ca2fdbfc155d5e36125ccf6d30fe81a72962eafa</t>
        </is>
      </c>
      <c r="BE431" s="24" t="inlineStr">
        <is>
          <t>tennis-surface-elo-v1</t>
        </is>
      </c>
      <c r="BF431" s="24" t="inlineStr">
        <is>
          <t>1</t>
        </is>
      </c>
      <c r="BG431" s="24" t="inlineStr">
        <is>
          <t>0ce66f49b381187fe6255a40ca2fdbfc155d5e36125ccf6d30fe81a72962eafa</t>
        </is>
      </c>
      <c r="BH431" s="24" t="inlineStr">
        <is>
          <t>2026-09-02T04:37:02.333917Z</t>
        </is>
      </c>
      <c r="BI431" s="24" t="inlineStr">
        <is>
          <t>["same_event","same_team_same_day","same_league_same_day"]</t>
        </is>
      </c>
      <c r="BJ431" s="25" t="n"/>
      <c r="BK431" s="26" t="n">
        <v>-376</v>
      </c>
      <c r="BL431" s="27" t="n">
        <v>1.265957</v>
      </c>
      <c r="BM431" s="28" t="n">
        <v>0.789916</v>
      </c>
      <c r="BN431" s="28" t="n"/>
      <c r="BO431" s="28" t="n"/>
      <c r="BP431" s="25" t="n"/>
      <c r="BQ431" s="27" t="n">
        <v>1.265957</v>
      </c>
      <c r="BR431" s="28" t="n">
        <v>0.79</v>
      </c>
      <c r="BS431" s="28" t="n"/>
      <c r="BT431" s="28" t="n"/>
      <c r="BU431" s="25" t="n"/>
      <c r="BV431" s="29" t="n"/>
      <c r="BW431" s="24" t="n"/>
      <c r="BX431" s="30" t="n">
        <v>1</v>
      </c>
      <c r="BY431" s="27" t="n">
        <v>0.265957</v>
      </c>
      <c r="BZ431" s="24" t="inlineStr">
        <is>
          <t>2026-09-02T16:03:20.989657Z</t>
        </is>
      </c>
      <c r="CA431" s="31" t="inlineStr">
        <is>
          <t>fixed one-unit hypothetical scoring; no real exposure or execution</t>
        </is>
      </c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inlineStr">
        <is>
          <t>e397100b27ec1beb046c72b2022014e1959bf1304073132a3989229335aad2a4</t>
        </is>
      </c>
      <c r="DE431" s="24" t="inlineStr">
        <is>
          <t>/Users/vincentc9002/model-prediction/data/odds/tennis/2026-09-02/polymarket_snapshots.jsonl</t>
        </is>
      </c>
      <c r="DF431" s="24" t="inlineStr">
        <is>
          <t>598429:2026-09-02T04:37:02.333917Z</t>
        </is>
      </c>
      <c r="DG431" s="24" t="n"/>
      <c r="DH431" s="24" t="n"/>
      <c r="DI431" s="24" t="n"/>
      <c r="DJ431" s="24" t="inlineStr">
        <is>
          <t>0.789916</t>
        </is>
      </c>
      <c r="DK431" s="24" t="n"/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96958317925a400a</t>
        </is>
      </c>
      <c r="B432" s="24" t="inlineStr">
        <is>
          <t>2026-09-02T04:38:14.292410Z</t>
        </is>
      </c>
      <c r="C432" s="24" t="inlineStr">
        <is>
          <t>2026-09-02T15:00Z</t>
        </is>
      </c>
      <c r="D432" s="24" t="inlineStr">
        <is>
          <t>189-2026:182575</t>
        </is>
      </c>
      <c r="E432" s="24" t="inlineStr">
        <is>
          <t>TENNIS</t>
        </is>
      </c>
      <c r="F432" s="24" t="inlineStr">
        <is>
          <t>Diana Shnaider</t>
        </is>
      </c>
      <c r="G432" s="24" t="inlineStr">
        <is>
          <t>Karolina Pliskova</t>
        </is>
      </c>
      <c r="H432" s="24" t="inlineStr">
        <is>
          <t>moneyline</t>
        </is>
      </c>
      <c r="I432" s="24" t="inlineStr">
        <is>
          <t>away</t>
        </is>
      </c>
      <c r="J432" s="25" t="n"/>
      <c r="K432" s="24" t="inlineStr">
        <is>
          <t>polymarket_us</t>
        </is>
      </c>
      <c r="L432" s="26" t="n">
        <v>-355</v>
      </c>
      <c r="M432" s="27" t="n">
        <v>1.28169</v>
      </c>
      <c r="N432" s="28" t="n">
        <v>0.78022</v>
      </c>
      <c r="O432" s="28" t="n">
        <v>0.6491</v>
      </c>
      <c r="P432" s="28" t="n">
        <v>0.05</v>
      </c>
      <c r="Q432" s="28" t="n">
        <v>-0.13112</v>
      </c>
      <c r="R432" s="26" t="n">
        <v>0</v>
      </c>
      <c r="S432" s="29" t="n">
        <v>1</v>
      </c>
      <c r="T432" s="24" t="inlineStr">
        <is>
          <t>tennis-surface-elo-v1</t>
        </is>
      </c>
      <c r="U432" s="24" t="inlineStr">
        <is>
          <t>settled</t>
        </is>
      </c>
      <c r="V432" s="24" t="inlineStr">
        <is>
          <t>win</t>
        </is>
      </c>
      <c r="W432" s="26" t="n">
        <v>1</v>
      </c>
      <c r="X432" s="26" t="n">
        <v>0</v>
      </c>
      <c r="Y432" s="25" t="n"/>
      <c r="Z432" s="26" t="n">
        <v>-355</v>
      </c>
      <c r="AA432" s="28" t="n">
        <v>0.78</v>
      </c>
      <c r="AB432" s="28" t="n">
        <v>-0.00022</v>
      </c>
      <c r="AC432" s="30" t="n">
        <v>0.2817</v>
      </c>
      <c r="AD432" s="24" t="inlineStr">
        <is>
          <t>2026-09-03T04:30:24.359749Z</t>
        </is>
      </c>
      <c r="AE432" s="31" t="inlineStr">
        <is>
          <t>Surface-blended Elo on Hard: Diana Shnaider p=0.649 vs Karolina Pliskova. Executable ask 0.7800 (aec-wta-karpli-diashn-2026-09-02).</t>
        </is>
      </c>
      <c r="AF432" s="31" t="inlineStr">
        <is>
          <t>Surface-blended Elo model; singles only, WTA+ATP market coverage, not yet locked-holdout qualified -- promoted by explicit operator directive, not genuine walk-forward validation.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Diana Shnaider</t>
        </is>
      </c>
      <c r="AQ432" s="24" t="inlineStr">
        <is>
          <t>Diana Shnaider</t>
        </is>
      </c>
      <c r="AR432" s="24" t="inlineStr">
        <is>
          <t>Diana Shnaider</t>
        </is>
      </c>
      <c r="AS432" s="24" t="inlineStr">
        <is>
          <t>Karolina Pliskova</t>
        </is>
      </c>
      <c r="AT432" s="24" t="inlineStr">
        <is>
          <t>Karolina Pliskova</t>
        </is>
      </c>
      <c r="AU432" s="24" t="inlineStr">
        <is>
          <t>Karolina Pliskova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0ce66f49b381187fe6255a40ca2fdbfc155d5e36125ccf6d30fe81a72962eafa</t>
        </is>
      </c>
      <c r="BB432" s="24" t="inlineStr">
        <is>
          <t>surface_blended_elo</t>
        </is>
      </c>
      <c r="BC432" s="24" t="inlineStr">
        <is>
          <t>tennis-surface-elo-v1</t>
        </is>
      </c>
      <c r="BD432" s="24" t="inlineStr">
        <is>
          <t>0ce66f49b381187fe6255a40ca2fdbfc155d5e36125ccf6d30fe81a72962eafa</t>
        </is>
      </c>
      <c r="BE432" s="24" t="inlineStr">
        <is>
          <t>tennis-surface-elo-v1</t>
        </is>
      </c>
      <c r="BF432" s="24" t="inlineStr">
        <is>
          <t>1</t>
        </is>
      </c>
      <c r="BG432" s="24" t="inlineStr">
        <is>
          <t>0ce66f49b381187fe6255a40ca2fdbfc155d5e36125ccf6d30fe81a72962eafa</t>
        </is>
      </c>
      <c r="BH432" s="24" t="inlineStr">
        <is>
          <t>2026-09-02T04:37:02.881520Z</t>
        </is>
      </c>
      <c r="BI432" s="24" t="inlineStr">
        <is>
          <t>["same_event","same_team_same_day","same_league_same_day"]</t>
        </is>
      </c>
      <c r="BJ432" s="25" t="n"/>
      <c r="BK432" s="26" t="n">
        <v>-355</v>
      </c>
      <c r="BL432" s="27" t="n">
        <v>1.28169</v>
      </c>
      <c r="BM432" s="28" t="n">
        <v>0.78022</v>
      </c>
      <c r="BN432" s="28" t="n"/>
      <c r="BO432" s="28" t="n"/>
      <c r="BP432" s="25" t="n"/>
      <c r="BQ432" s="27" t="n">
        <v>1.28169</v>
      </c>
      <c r="BR432" s="28" t="n">
        <v>0.78</v>
      </c>
      <c r="BS432" s="28" t="n"/>
      <c r="BT432" s="28" t="n"/>
      <c r="BU432" s="25" t="n"/>
      <c r="BV432" s="29" t="n"/>
      <c r="BW432" s="24" t="n"/>
      <c r="BX432" s="30" t="n">
        <v>1</v>
      </c>
      <c r="BY432" s="27" t="n">
        <v>0.28169</v>
      </c>
      <c r="BZ432" s="24" t="inlineStr">
        <is>
          <t>2026-09-03T04:30:24.359749Z</t>
        </is>
      </c>
      <c r="CA432" s="31" t="inlineStr">
        <is>
          <t>fixed one-unit hypothetical scoring; no real exposure or execution</t>
        </is>
      </c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False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inlineStr">
        <is>
          <t>fa9b3bd53082768865cc3b95f82691e1cef51e6322c3b28e0a2018e4cafc1276</t>
        </is>
      </c>
      <c r="DE432" s="24" t="inlineStr">
        <is>
          <t>/Users/vincentc9002/model-prediction/data/odds/tennis/2026-09-02/polymarket_snapshots.jsonl</t>
        </is>
      </c>
      <c r="DF432" s="24" t="inlineStr">
        <is>
          <t>599826:2026-09-02T04:37:02.881520Z</t>
        </is>
      </c>
      <c r="DG432" s="24" t="n"/>
      <c r="DH432" s="24" t="n"/>
      <c r="DI432" s="24" t="n"/>
      <c r="DJ432" s="24" t="inlineStr">
        <is>
          <t>0.78022</t>
        </is>
      </c>
      <c r="DK432" s="24" t="n"/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6cbb3642002547ee</t>
        </is>
      </c>
      <c r="B433" s="24" t="inlineStr">
        <is>
          <t>2026-09-02T04:38:14.292410Z</t>
        </is>
      </c>
      <c r="C433" s="24" t="inlineStr">
        <is>
          <t>2026-09-02T15:30Z</t>
        </is>
      </c>
      <c r="D433" s="24" t="inlineStr">
        <is>
          <t>189-2026:182550</t>
        </is>
      </c>
      <c r="E433" s="24" t="inlineStr">
        <is>
          <t>TENNIS</t>
        </is>
      </c>
      <c r="F433" s="24" t="inlineStr">
        <is>
          <t>Sofia Kenin</t>
        </is>
      </c>
      <c r="G433" s="24" t="inlineStr">
        <is>
          <t>Jessica Pegula</t>
        </is>
      </c>
      <c r="H433" s="24" t="inlineStr">
        <is>
          <t>moneyline</t>
        </is>
      </c>
      <c r="I433" s="24" t="inlineStr">
        <is>
          <t>home</t>
        </is>
      </c>
      <c r="J433" s="25" t="n"/>
      <c r="K433" s="24" t="inlineStr">
        <is>
          <t>polymarket_us</t>
        </is>
      </c>
      <c r="L433" s="26" t="n">
        <v>-1567</v>
      </c>
      <c r="M433" s="27" t="n">
        <v>1.063816</v>
      </c>
      <c r="N433" s="28" t="n">
        <v>0.940012</v>
      </c>
      <c r="O433" s="28" t="n">
        <v>0.9406</v>
      </c>
      <c r="P433" s="28" t="n">
        <v>0.05</v>
      </c>
      <c r="Q433" s="28" t="n">
        <v>0.000588</v>
      </c>
      <c r="R433" s="26" t="n">
        <v>20</v>
      </c>
      <c r="S433" s="29" t="n">
        <v>1</v>
      </c>
      <c r="T433" s="24" t="inlineStr">
        <is>
          <t>tennis-surface-elo-v1</t>
        </is>
      </c>
      <c r="U433" s="24" t="inlineStr">
        <is>
          <t>settled</t>
        </is>
      </c>
      <c r="V433" s="24" t="inlineStr">
        <is>
          <t>win</t>
        </is>
      </c>
      <c r="W433" s="26" t="n">
        <v>0</v>
      </c>
      <c r="X433" s="26" t="n">
        <v>1</v>
      </c>
      <c r="Y433" s="25" t="n"/>
      <c r="Z433" s="26" t="n">
        <v>-1567</v>
      </c>
      <c r="AA433" s="28" t="n">
        <v>0.9399999999999999</v>
      </c>
      <c r="AB433" s="28" t="n">
        <v>-1.2e-05</v>
      </c>
      <c r="AC433" s="30" t="n">
        <v>0.0638</v>
      </c>
      <c r="AD433" s="24" t="inlineStr">
        <is>
          <t>2026-09-03T04:30:25.358896Z</t>
        </is>
      </c>
      <c r="AE433" s="31" t="inlineStr">
        <is>
          <t>Surface-blended Elo on Hard: Sofia Kenin p=0.059 vs Jessica Pegula. Executable ask 0.9400 (aec-wta-jespeg-sofken-2026-09-02).</t>
        </is>
      </c>
      <c r="AF433" s="31" t="inlineStr">
        <is>
          <t>Surface-blended Elo model; singles only, WTA+ATP market coverage, not yet locked-holdout qualified -- promoted by explicit operator directive, not genuine walk-forward validation.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Sofia Kenin</t>
        </is>
      </c>
      <c r="AQ433" s="24" t="inlineStr">
        <is>
          <t>Sofia Kenin</t>
        </is>
      </c>
      <c r="AR433" s="24" t="inlineStr">
        <is>
          <t>Sofia Kenin</t>
        </is>
      </c>
      <c r="AS433" s="24" t="inlineStr">
        <is>
          <t>Jessica Pegula</t>
        </is>
      </c>
      <c r="AT433" s="24" t="inlineStr">
        <is>
          <t>Jessica Pegula</t>
        </is>
      </c>
      <c r="AU433" s="24" t="inlineStr">
        <is>
          <t>Jessica Pegula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0ce66f49b381187fe6255a40ca2fdbfc155d5e36125ccf6d30fe81a72962eafa</t>
        </is>
      </c>
      <c r="BB433" s="24" t="inlineStr">
        <is>
          <t>surface_blended_elo</t>
        </is>
      </c>
      <c r="BC433" s="24" t="inlineStr">
        <is>
          <t>tennis-surface-elo-v1</t>
        </is>
      </c>
      <c r="BD433" s="24" t="inlineStr">
        <is>
          <t>0ce66f49b381187fe6255a40ca2fdbfc155d5e36125ccf6d30fe81a72962eafa</t>
        </is>
      </c>
      <c r="BE433" s="24" t="inlineStr">
        <is>
          <t>tennis-surface-elo-v1</t>
        </is>
      </c>
      <c r="BF433" s="24" t="inlineStr">
        <is>
          <t>1</t>
        </is>
      </c>
      <c r="BG433" s="24" t="inlineStr">
        <is>
          <t>0ce66f49b381187fe6255a40ca2fdbfc155d5e36125ccf6d30fe81a72962eafa</t>
        </is>
      </c>
      <c r="BH433" s="24" t="inlineStr">
        <is>
          <t>2026-09-02T04:37:02.991650Z</t>
        </is>
      </c>
      <c r="BI433" s="24" t="inlineStr">
        <is>
          <t>["same_event","same_team_same_day","same_league_same_day"]</t>
        </is>
      </c>
      <c r="BJ433" s="25" t="n"/>
      <c r="BK433" s="26" t="n">
        <v>-1567</v>
      </c>
      <c r="BL433" s="27" t="n">
        <v>1.063816</v>
      </c>
      <c r="BM433" s="28" t="n">
        <v>0.940012</v>
      </c>
      <c r="BN433" s="28" t="n"/>
      <c r="BO433" s="28" t="n"/>
      <c r="BP433" s="25" t="n"/>
      <c r="BQ433" s="27" t="n">
        <v>1.063816</v>
      </c>
      <c r="BR433" s="28" t="n">
        <v>0.9399999999999999</v>
      </c>
      <c r="BS433" s="28" t="n"/>
      <c r="BT433" s="28" t="n"/>
      <c r="BU433" s="25" t="n"/>
      <c r="BV433" s="29" t="n"/>
      <c r="BW433" s="24" t="n"/>
      <c r="BX433" s="30" t="n">
        <v>1</v>
      </c>
      <c r="BY433" s="27" t="n">
        <v>0.063816</v>
      </c>
      <c r="BZ433" s="24" t="inlineStr">
        <is>
          <t>2026-09-03T04:30:25.358896Z</t>
        </is>
      </c>
      <c r="CA433" s="31" t="inlineStr">
        <is>
          <t>fixed one-unit hypothetical scoring; no real exposure or execution</t>
        </is>
      </c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inlineStr">
        <is>
          <t>c36244f3f3ce69d411ff735dab3e14acbdc498d7521ee118a16bb989bc6b1694</t>
        </is>
      </c>
      <c r="DE433" s="24" t="inlineStr">
        <is>
          <t>/Users/vincentc9002/model-prediction/data/odds/tennis/2026-09-02/polymarket_snapshots.jsonl</t>
        </is>
      </c>
      <c r="DF433" s="24" t="inlineStr">
        <is>
          <t>596769:2026-09-02T04:37:02.991650Z</t>
        </is>
      </c>
      <c r="DG433" s="24" t="n"/>
      <c r="DH433" s="24" t="n"/>
      <c r="DI433" s="24" t="n"/>
      <c r="DJ433" s="24" t="inlineStr">
        <is>
          <t>0.940012</t>
        </is>
      </c>
      <c r="DK433" s="24" t="n"/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9126372f8fcf411c</t>
        </is>
      </c>
      <c r="B434" s="24" t="inlineStr">
        <is>
          <t>2026-09-02T04:38:14.292410Z</t>
        </is>
      </c>
      <c r="C434" s="24" t="inlineStr">
        <is>
          <t>2026-09-02T15:00Z</t>
        </is>
      </c>
      <c r="D434" s="24" t="inlineStr">
        <is>
          <t>189-2026:182690</t>
        </is>
      </c>
      <c r="E434" s="24" t="inlineStr">
        <is>
          <t>TENNIS</t>
        </is>
      </c>
      <c r="F434" s="24" t="inlineStr">
        <is>
          <t>Arthur Rinderknech</t>
        </is>
      </c>
      <c r="G434" s="24" t="inlineStr">
        <is>
          <t>Jaume Munar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156</v>
      </c>
      <c r="M434" s="27" t="n">
        <v>2.56</v>
      </c>
      <c r="N434" s="28" t="n">
        <v>0.390625</v>
      </c>
      <c r="O434" s="28" t="n">
        <v>0.546</v>
      </c>
      <c r="P434" s="28" t="n">
        <v>0.05</v>
      </c>
      <c r="Q434" s="28" t="n">
        <v>0.155375</v>
      </c>
      <c r="R434" s="26" t="n">
        <v>98</v>
      </c>
      <c r="S434" s="29" t="n">
        <v>1.75</v>
      </c>
      <c r="T434" s="24" t="inlineStr">
        <is>
          <t>tennis-surface-elo-v1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0</v>
      </c>
      <c r="Y434" s="25" t="n"/>
      <c r="Z434" s="26" t="n">
        <v>156</v>
      </c>
      <c r="AA434" s="28" t="n">
        <v>0.39</v>
      </c>
      <c r="AB434" s="28" t="n">
        <v>-0.000625</v>
      </c>
      <c r="AC434" s="30" t="n">
        <v>-1.75</v>
      </c>
      <c r="AD434" s="24" t="inlineStr">
        <is>
          <t>2026-09-03T04:30:26.404659Z</t>
        </is>
      </c>
      <c r="AE434" s="31" t="inlineStr">
        <is>
          <t>Surface-blended Elo on Hard: Arthur Rinderknech p=0.454 vs Jaume Munar. Executable ask 0.3900 (aec-atp-jaumun-artrin-2026-08-31).</t>
        </is>
      </c>
      <c r="AF434" s="31" t="inlineStr">
        <is>
          <t>Surface-blended Elo model; singles only, WTA+ATP market coverage, not yet locked-holdout qualified -- promoted by explicit operator directive, not genuine walk-forward validation.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Arthur Rinderknech</t>
        </is>
      </c>
      <c r="AQ434" s="24" t="inlineStr">
        <is>
          <t>Arthur Rinderknech</t>
        </is>
      </c>
      <c r="AR434" s="24" t="inlineStr">
        <is>
          <t>Arthur Rinderknech</t>
        </is>
      </c>
      <c r="AS434" s="24" t="inlineStr">
        <is>
          <t>Jaume Munar</t>
        </is>
      </c>
      <c r="AT434" s="24" t="inlineStr">
        <is>
          <t>Jaume Munar</t>
        </is>
      </c>
      <c r="AU434" s="24" t="inlineStr">
        <is>
          <t>Jaume Munar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0ce66f49b381187fe6255a40ca2fdbfc155d5e36125ccf6d30fe81a72962eafa</t>
        </is>
      </c>
      <c r="BB434" s="24" t="inlineStr">
        <is>
          <t>surface_blended_elo</t>
        </is>
      </c>
      <c r="BC434" s="24" t="inlineStr">
        <is>
          <t>tennis-surface-elo-v1</t>
        </is>
      </c>
      <c r="BD434" s="24" t="inlineStr">
        <is>
          <t>0ce66f49b381187fe6255a40ca2fdbfc155d5e36125ccf6d30fe81a72962eafa</t>
        </is>
      </c>
      <c r="BE434" s="24" t="inlineStr">
        <is>
          <t>tennis-surface-elo-v1</t>
        </is>
      </c>
      <c r="BF434" s="24" t="inlineStr">
        <is>
          <t>1</t>
        </is>
      </c>
      <c r="BG434" s="24" t="inlineStr">
        <is>
          <t>0ce66f49b381187fe6255a40ca2fdbfc155d5e36125ccf6d30fe81a72962eafa</t>
        </is>
      </c>
      <c r="BH434" s="24" t="inlineStr">
        <is>
          <t>2026-09-02T04:37:03.418103Z</t>
        </is>
      </c>
      <c r="BI434" s="24" t="inlineStr">
        <is>
          <t>["same_event","same_team_same_day","same_league_same_day"]</t>
        </is>
      </c>
      <c r="BJ434" s="25" t="n"/>
      <c r="BK434" s="26" t="n">
        <v>156</v>
      </c>
      <c r="BL434" s="27" t="n">
        <v>2.56</v>
      </c>
      <c r="BM434" s="28" t="n">
        <v>0.390625</v>
      </c>
      <c r="BN434" s="28" t="n"/>
      <c r="BO434" s="28" t="n"/>
      <c r="BP434" s="25" t="n"/>
      <c r="BQ434" s="27" t="n">
        <v>2.56</v>
      </c>
      <c r="BR434" s="28" t="n">
        <v>0.39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inlineStr">
        <is>
          <t>0d4a29054496b1911cb5c38bab841ba2b8122151a52fafff3d09280146aec545</t>
        </is>
      </c>
      <c r="DE434" s="24" t="inlineStr">
        <is>
          <t>/Users/vincentc9002/model-prediction/data/odds/tennis/2026-09-02/polymarket_snapshots.jsonl</t>
        </is>
      </c>
      <c r="DF434" s="24" t="inlineStr">
        <is>
          <t>577283:2026-09-02T04:37:03.418103Z</t>
        </is>
      </c>
      <c r="DG434" s="24" t="n"/>
      <c r="DH434" s="24" t="n"/>
      <c r="DI434" s="24" t="n"/>
      <c r="DJ434" s="24" t="inlineStr">
        <is>
          <t>0.390625</t>
        </is>
      </c>
      <c r="DK434" s="24" t="n"/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2ff6f23da05f4961</t>
        </is>
      </c>
      <c r="B435" s="24" t="inlineStr">
        <is>
          <t>2026-09-02T04:38:14.292410Z</t>
        </is>
      </c>
      <c r="C435" s="24" t="inlineStr">
        <is>
          <t>2026-09-02T15:00Z</t>
        </is>
      </c>
      <c r="D435" s="24" t="inlineStr">
        <is>
          <t>189-2026:182746</t>
        </is>
      </c>
      <c r="E435" s="24" t="inlineStr">
        <is>
          <t>TENNIS</t>
        </is>
      </c>
      <c r="F435" s="24" t="inlineStr">
        <is>
          <t>Alex Michelsen</t>
        </is>
      </c>
      <c r="G435" s="24" t="inlineStr">
        <is>
          <t>Brandon Nakashima</t>
        </is>
      </c>
      <c r="H435" s="24" t="inlineStr">
        <is>
          <t>moneyline</t>
        </is>
      </c>
      <c r="I435" s="24" t="inlineStr">
        <is>
          <t>home</t>
        </is>
      </c>
      <c r="J435" s="25" t="n"/>
      <c r="K435" s="24" t="inlineStr">
        <is>
          <t>polymarket_us</t>
        </is>
      </c>
      <c r="L435" s="26" t="n">
        <v>-194</v>
      </c>
      <c r="M435" s="27" t="n">
        <v>1.515464</v>
      </c>
      <c r="N435" s="28" t="n">
        <v>0.659864</v>
      </c>
      <c r="O435" s="28" t="n">
        <v>0.6372</v>
      </c>
      <c r="P435" s="28" t="n">
        <v>0.05</v>
      </c>
      <c r="Q435" s="28" t="n">
        <v>-0.022664</v>
      </c>
      <c r="R435" s="26" t="n">
        <v>9</v>
      </c>
      <c r="S435" s="29" t="n">
        <v>1</v>
      </c>
      <c r="T435" s="24" t="inlineStr">
        <is>
          <t>tennis-surface-elo-v1</t>
        </is>
      </c>
      <c r="U435" s="24" t="inlineStr">
        <is>
          <t>settled</t>
        </is>
      </c>
      <c r="V435" s="24" t="inlineStr">
        <is>
          <t>loss</t>
        </is>
      </c>
      <c r="W435" s="26" t="n">
        <v>1</v>
      </c>
      <c r="X435" s="26" t="n">
        <v>0</v>
      </c>
      <c r="Y435" s="25" t="n"/>
      <c r="Z435" s="26" t="n">
        <v>-194</v>
      </c>
      <c r="AA435" s="28" t="n">
        <v>0.66</v>
      </c>
      <c r="AB435" s="28" t="n">
        <v>0.000136</v>
      </c>
      <c r="AC435" s="30" t="n">
        <v>-1</v>
      </c>
      <c r="AD435" s="24" t="inlineStr">
        <is>
          <t>2026-09-03T04:30:27.399963Z</t>
        </is>
      </c>
      <c r="AE435" s="31" t="inlineStr">
        <is>
          <t>Surface-blended Elo on Hard: Alex Michelsen p=0.363 vs Brandon Nakashima. Executable ask 0.6600 (aec-atp-branak-alemic-2026-09-02).</t>
        </is>
      </c>
      <c r="AF435" s="31" t="inlineStr">
        <is>
          <t>Surface-blended Elo model; singles only, WTA+ATP market coverage, not yet locked-holdout qualified -- promoted by explicit operator directive, not genuine walk-forward validation.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PAPER_CALL_LOW_EDGE</t>
        </is>
      </c>
      <c r="AP435" s="24" t="inlineStr">
        <is>
          <t>Alex Michelsen</t>
        </is>
      </c>
      <c r="AQ435" s="24" t="inlineStr">
        <is>
          <t>Alex Michelsen</t>
        </is>
      </c>
      <c r="AR435" s="24" t="inlineStr">
        <is>
          <t>Alex Michelsen</t>
        </is>
      </c>
      <c r="AS435" s="24" t="inlineStr">
        <is>
          <t>Brandon Nakashima</t>
        </is>
      </c>
      <c r="AT435" s="24" t="inlineStr">
        <is>
          <t>Brandon Nakashima</t>
        </is>
      </c>
      <c r="AU435" s="24" t="inlineStr">
        <is>
          <t>Brandon Nakashima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0ce66f49b381187fe6255a40ca2fdbfc155d5e36125ccf6d30fe81a72962eafa</t>
        </is>
      </c>
      <c r="BB435" s="24" t="inlineStr">
        <is>
          <t>surface_blended_elo</t>
        </is>
      </c>
      <c r="BC435" s="24" t="inlineStr">
        <is>
          <t>tennis-surface-elo-v1</t>
        </is>
      </c>
      <c r="BD435" s="24" t="inlineStr">
        <is>
          <t>0ce66f49b381187fe6255a40ca2fdbfc155d5e36125ccf6d30fe81a72962eafa</t>
        </is>
      </c>
      <c r="BE435" s="24" t="inlineStr">
        <is>
          <t>tennis-surface-elo-v1</t>
        </is>
      </c>
      <c r="BF435" s="24" t="inlineStr">
        <is>
          <t>1</t>
        </is>
      </c>
      <c r="BG435" s="24" t="inlineStr">
        <is>
          <t>0ce66f49b381187fe6255a40ca2fdbfc155d5e36125ccf6d30fe81a72962eafa</t>
        </is>
      </c>
      <c r="BH435" s="24" t="inlineStr">
        <is>
          <t>2026-09-02T04:37:03.416801Z</t>
        </is>
      </c>
      <c r="BI435" s="24" t="inlineStr">
        <is>
          <t>["same_event","same_team_same_day","same_league_same_day"]</t>
        </is>
      </c>
      <c r="BJ435" s="25" t="n"/>
      <c r="BK435" s="26" t="n">
        <v>-194</v>
      </c>
      <c r="BL435" s="27" t="n">
        <v>1.515464</v>
      </c>
      <c r="BM435" s="28" t="n">
        <v>0.659864</v>
      </c>
      <c r="BN435" s="28" t="n"/>
      <c r="BO435" s="28" t="n"/>
      <c r="BP435" s="25" t="n"/>
      <c r="BQ435" s="27" t="n">
        <v>1.515464</v>
      </c>
      <c r="BR435" s="28" t="n">
        <v>0.66</v>
      </c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2026-09-03T04:30:27.399963Z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inlineStr">
        <is>
          <t>a1c32365e8c59e53f4dd277ab5f8de00da27b0f823954ebd7152193555f10e62</t>
        </is>
      </c>
      <c r="DE435" s="24" t="inlineStr">
        <is>
          <t>/Users/vincentc9002/model-prediction/data/odds/tennis/2026-09-02/polymarket_snapshots.jsonl</t>
        </is>
      </c>
      <c r="DF435" s="24" t="inlineStr">
        <is>
          <t>600038:2026-09-02T04:37:03.416801Z</t>
        </is>
      </c>
      <c r="DG435" s="24" t="n"/>
      <c r="DH435" s="24" t="n"/>
      <c r="DI435" s="24" t="n"/>
      <c r="DJ435" s="24" t="inlineStr">
        <is>
          <t>0.659864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9f4f557f5c324bf6</t>
        </is>
      </c>
      <c r="B436" s="24" t="inlineStr">
        <is>
          <t>2026-09-02T04:38:14.292410Z</t>
        </is>
      </c>
      <c r="C436" s="24" t="inlineStr">
        <is>
          <t>2026-09-02T15:00Z</t>
        </is>
      </c>
      <c r="D436" s="24" t="inlineStr">
        <is>
          <t>189-2026:182748</t>
        </is>
      </c>
      <c r="E436" s="24" t="inlineStr">
        <is>
          <t>TENNIS</t>
        </is>
      </c>
      <c r="F436" s="24" t="inlineStr">
        <is>
          <t>Andrey Rublev</t>
        </is>
      </c>
      <c r="G436" s="24" t="inlineStr">
        <is>
          <t>Daniel Merida</t>
        </is>
      </c>
      <c r="H436" s="24" t="inlineStr">
        <is>
          <t>moneyline</t>
        </is>
      </c>
      <c r="I436" s="24" t="inlineStr">
        <is>
          <t>away</t>
        </is>
      </c>
      <c r="J436" s="25" t="n"/>
      <c r="K436" s="24" t="inlineStr">
        <is>
          <t>polymarket_us</t>
        </is>
      </c>
      <c r="L436" s="26" t="n">
        <v>-133</v>
      </c>
      <c r="M436" s="27" t="n">
        <v>1.75188</v>
      </c>
      <c r="N436" s="28" t="n">
        <v>0.570815</v>
      </c>
      <c r="O436" s="28" t="n">
        <v>0.5016</v>
      </c>
      <c r="P436" s="28" t="n">
        <v>0.05</v>
      </c>
      <c r="Q436" s="28" t="n">
        <v>-0.069215</v>
      </c>
      <c r="R436" s="26" t="n">
        <v>0</v>
      </c>
      <c r="S436" s="29" t="n">
        <v>1</v>
      </c>
      <c r="T436" s="24" t="inlineStr">
        <is>
          <t>tennis-surface-elo-v1</t>
        </is>
      </c>
      <c r="U436" s="24" t="inlineStr">
        <is>
          <t>settled</t>
        </is>
      </c>
      <c r="V436" s="24" t="inlineStr">
        <is>
          <t>loss</t>
        </is>
      </c>
      <c r="W436" s="26" t="n">
        <v>0</v>
      </c>
      <c r="X436" s="26" t="n">
        <v>1</v>
      </c>
      <c r="Y436" s="25" t="n"/>
      <c r="Z436" s="26" t="n">
        <v>-133</v>
      </c>
      <c r="AA436" s="28" t="n">
        <v>0.57</v>
      </c>
      <c r="AB436" s="28" t="n">
        <v>-0.000815</v>
      </c>
      <c r="AC436" s="30" t="n">
        <v>-1</v>
      </c>
      <c r="AD436" s="24" t="inlineStr">
        <is>
          <t>2026-09-03T04:30:28.400543Z</t>
        </is>
      </c>
      <c r="AE436" s="31" t="inlineStr">
        <is>
          <t>Surface-blended Elo on Hard: Andrey Rublev p=0.502 vs Daniel Merida. Executable ask 0.5700 (aec-atp-danagu-andrub-2026-09-01).</t>
        </is>
      </c>
      <c r="AF436" s="31" t="inlineStr">
        <is>
          <t>Surface-blended Elo model; singles only, WTA+ATP market coverage, not yet locked-holdout qualified -- promoted by explicit operator directive, not genuine walk-forward validation.</t>
        </is>
      </c>
      <c r="AG436" s="24" t="inlineStr">
        <is>
          <t>review_required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Andrey Rublev</t>
        </is>
      </c>
      <c r="AQ436" s="24" t="inlineStr">
        <is>
          <t>Andrey Rublev</t>
        </is>
      </c>
      <c r="AR436" s="24" t="inlineStr">
        <is>
          <t>Andrey Rublev</t>
        </is>
      </c>
      <c r="AS436" s="24" t="inlineStr">
        <is>
          <t>Daniel Merida</t>
        </is>
      </c>
      <c r="AT436" s="24" t="inlineStr">
        <is>
          <t>Daniel Merida</t>
        </is>
      </c>
      <c r="AU436" s="24" t="inlineStr">
        <is>
          <t>Daniel Merida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0ce66f49b381187fe6255a40ca2fdbfc155d5e36125ccf6d30fe81a72962eafa</t>
        </is>
      </c>
      <c r="BB436" s="24" t="inlineStr">
        <is>
          <t>surface_blended_elo</t>
        </is>
      </c>
      <c r="BC436" s="24" t="inlineStr">
        <is>
          <t>tennis-surface-elo-v1</t>
        </is>
      </c>
      <c r="BD436" s="24" t="inlineStr">
        <is>
          <t>0ce66f49b381187fe6255a40ca2fdbfc155d5e36125ccf6d30fe81a72962eafa</t>
        </is>
      </c>
      <c r="BE436" s="24" t="inlineStr">
        <is>
          <t>tennis-surface-elo-v1</t>
        </is>
      </c>
      <c r="BF436" s="24" t="inlineStr">
        <is>
          <t>1</t>
        </is>
      </c>
      <c r="BG436" s="24" t="inlineStr">
        <is>
          <t>0ce66f49b381187fe6255a40ca2fdbfc155d5e36125ccf6d30fe81a72962eafa</t>
        </is>
      </c>
      <c r="BH436" s="24" t="inlineStr">
        <is>
          <t>2026-09-02T04:37:03.296856Z</t>
        </is>
      </c>
      <c r="BI436" s="24" t="inlineStr">
        <is>
          <t>["same_event","same_team_same_day","same_league_same_day"]</t>
        </is>
      </c>
      <c r="BJ436" s="25" t="n"/>
      <c r="BK436" s="26" t="n">
        <v>-133</v>
      </c>
      <c r="BL436" s="27" t="n">
        <v>1.75188</v>
      </c>
      <c r="BM436" s="28" t="n">
        <v>0.570815</v>
      </c>
      <c r="BN436" s="28" t="n"/>
      <c r="BO436" s="28" t="n"/>
      <c r="BP436" s="25" t="n"/>
      <c r="BQ436" s="27" t="n">
        <v>1.75188</v>
      </c>
      <c r="BR436" s="28" t="n">
        <v>0.57</v>
      </c>
      <c r="BS436" s="28" t="n"/>
      <c r="BT436" s="28" t="n"/>
      <c r="BU436" s="25" t="n"/>
      <c r="BV436" s="29" t="n"/>
      <c r="BW436" s="24" t="n"/>
      <c r="BX436" s="30" t="n">
        <v>1</v>
      </c>
      <c r="BY436" s="27" t="n">
        <v>-1</v>
      </c>
      <c r="BZ436" s="24" t="inlineStr">
        <is>
          <t>2026-09-03T04:30:28.400543Z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inlineStr">
        <is>
          <t>7b4f5d118b834fd2c901f11c4ceb3e131086bad2ca1c1ba024731981a402e5b4</t>
        </is>
      </c>
      <c r="DE436" s="24" t="inlineStr">
        <is>
          <t>/Users/vincentc9002/model-prediction/data/odds/tennis/2026-09-02/polymarket_snapshots.jsonl</t>
        </is>
      </c>
      <c r="DF436" s="24" t="inlineStr">
        <is>
          <t>598158:2026-09-02T04:37:03.296856Z</t>
        </is>
      </c>
      <c r="DG436" s="24" t="n"/>
      <c r="DH436" s="24" t="n"/>
      <c r="DI436" s="24" t="n"/>
      <c r="DJ436" s="24" t="inlineStr">
        <is>
          <t>0.570815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1145b05b38f44920</t>
        </is>
      </c>
      <c r="B437" s="24" t="inlineStr">
        <is>
          <t>2026-09-02T04:38:14.292410Z</t>
        </is>
      </c>
      <c r="C437" s="24" t="inlineStr">
        <is>
          <t>2026-09-02T15:00Z</t>
        </is>
      </c>
      <c r="D437" s="24" t="inlineStr">
        <is>
          <t>189-2026:182771</t>
        </is>
      </c>
      <c r="E437" s="24" t="inlineStr">
        <is>
          <t>TENNIS</t>
        </is>
      </c>
      <c r="F437" s="24" t="inlineStr">
        <is>
          <t>Sebastian Gorzny</t>
        </is>
      </c>
      <c r="G437" s="24" t="inlineStr">
        <is>
          <t>Daniil Medvedev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-1900</v>
      </c>
      <c r="M437" s="27" t="n">
        <v>1.052632</v>
      </c>
      <c r="N437" s="28" t="n">
        <v>0.95</v>
      </c>
      <c r="O437" s="28" t="n">
        <v>0.82</v>
      </c>
      <c r="P437" s="28" t="n">
        <v>0.05</v>
      </c>
      <c r="Q437" s="28" t="n">
        <v>-0.13</v>
      </c>
      <c r="R437" s="26" t="n">
        <v>0</v>
      </c>
      <c r="S437" s="29" t="n">
        <v>1</v>
      </c>
      <c r="T437" s="24" t="inlineStr">
        <is>
          <t>tennis-surface-elo-v1</t>
        </is>
      </c>
      <c r="U437" s="24" t="inlineStr">
        <is>
          <t>settled</t>
        </is>
      </c>
      <c r="V437" s="24" t="inlineStr">
        <is>
          <t>win</t>
        </is>
      </c>
      <c r="W437" s="26" t="n">
        <v>0</v>
      </c>
      <c r="X437" s="26" t="n">
        <v>1</v>
      </c>
      <c r="Y437" s="25" t="n"/>
      <c r="Z437" s="26" t="n">
        <v>-1900</v>
      </c>
      <c r="AA437" s="28" t="n">
        <v>0.95</v>
      </c>
      <c r="AB437" s="28" t="n">
        <v>0</v>
      </c>
      <c r="AC437" s="30" t="n">
        <v>0.0526</v>
      </c>
      <c r="AD437" s="24" t="inlineStr">
        <is>
          <t>2026-09-03T04:30:29.395366Z</t>
        </is>
      </c>
      <c r="AE437" s="31" t="inlineStr">
        <is>
          <t>Surface-blended Elo on Hard: Sebastian Gorzny p=0.180 vs Daniil Medvedev. Executable ask 0.9500 (aec-atp-danmed-sebgor-2026-09-02).</t>
        </is>
      </c>
      <c r="AF437" s="31" t="inlineStr">
        <is>
          <t>Surface-blended Elo model; singles only, WTA+ATP market coverage, not yet locked-holdout qualified -- promoted by explicit operator directive, not genuine walk-forward validation.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Sebastian Gorzny</t>
        </is>
      </c>
      <c r="AQ437" s="24" t="inlineStr">
        <is>
          <t>Sebastian Gorzny</t>
        </is>
      </c>
      <c r="AR437" s="24" t="inlineStr">
        <is>
          <t>Sebastian Gorzny</t>
        </is>
      </c>
      <c r="AS437" s="24" t="inlineStr">
        <is>
          <t>Daniil Medvedev</t>
        </is>
      </c>
      <c r="AT437" s="24" t="inlineStr">
        <is>
          <t>Daniil Medvedev</t>
        </is>
      </c>
      <c r="AU437" s="24" t="inlineStr">
        <is>
          <t>Daniil Medvedev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0ce66f49b381187fe6255a40ca2fdbfc155d5e36125ccf6d30fe81a72962eafa</t>
        </is>
      </c>
      <c r="BB437" s="24" t="inlineStr">
        <is>
          <t>surface_blended_elo</t>
        </is>
      </c>
      <c r="BC437" s="24" t="inlineStr">
        <is>
          <t>tennis-surface-elo-v1</t>
        </is>
      </c>
      <c r="BD437" s="24" t="inlineStr">
        <is>
          <t>0ce66f49b381187fe6255a40ca2fdbfc155d5e36125ccf6d30fe81a72962eafa</t>
        </is>
      </c>
      <c r="BE437" s="24" t="inlineStr">
        <is>
          <t>tennis-surface-elo-v1</t>
        </is>
      </c>
      <c r="BF437" s="24" t="inlineStr">
        <is>
          <t>1</t>
        </is>
      </c>
      <c r="BG437" s="24" t="inlineStr">
        <is>
          <t>0ce66f49b381187fe6255a40ca2fdbfc155d5e36125ccf6d30fe81a72962eafa</t>
        </is>
      </c>
      <c r="BH437" s="24" t="inlineStr">
        <is>
          <t>2026-09-02T04:37:03.189106Z</t>
        </is>
      </c>
      <c r="BI437" s="24" t="inlineStr">
        <is>
          <t>["same_event","same_team_same_day","same_league_same_day"]</t>
        </is>
      </c>
      <c r="BJ437" s="25" t="n"/>
      <c r="BK437" s="26" t="n">
        <v>-1900</v>
      </c>
      <c r="BL437" s="27" t="n">
        <v>1.052632</v>
      </c>
      <c r="BM437" s="28" t="n">
        <v>0.95</v>
      </c>
      <c r="BN437" s="28" t="n"/>
      <c r="BO437" s="28" t="n"/>
      <c r="BP437" s="25" t="n"/>
      <c r="BQ437" s="27" t="n">
        <v>1.052632</v>
      </c>
      <c r="BR437" s="28" t="n">
        <v>0.95</v>
      </c>
      <c r="BS437" s="28" t="n"/>
      <c r="BT437" s="28" t="n"/>
      <c r="BU437" s="25" t="n"/>
      <c r="BV437" s="29" t="n"/>
      <c r="BW437" s="24" t="n"/>
      <c r="BX437" s="30" t="n">
        <v>1</v>
      </c>
      <c r="BY437" s="27" t="n">
        <v>0.052632</v>
      </c>
      <c r="BZ437" s="24" t="inlineStr">
        <is>
          <t>2026-09-03T04:30:29.395366Z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inlineStr">
        <is>
          <t>dd8e259d468888512b38d3215087669fef9916febe9d405d0e1fe93e537d01c1</t>
        </is>
      </c>
      <c r="DE437" s="24" t="inlineStr">
        <is>
          <t>/Users/vincentc9002/model-prediction/data/odds/tennis/2026-09-02/polymarket_snapshots.jsonl</t>
        </is>
      </c>
      <c r="DF437" s="24" t="inlineStr">
        <is>
          <t>598503:2026-09-02T04:37:03.189106Z</t>
        </is>
      </c>
      <c r="DG437" s="24" t="n"/>
      <c r="DH437" s="24" t="n"/>
      <c r="DI437" s="24" t="n"/>
      <c r="DJ437" s="24" t="inlineStr">
        <is>
          <t>0.95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954a8decdba74722</t>
        </is>
      </c>
      <c r="B438" s="24" t="inlineStr">
        <is>
          <t>2026-09-02T16:08:38.156783Z</t>
        </is>
      </c>
      <c r="C438" s="24" t="inlineStr">
        <is>
          <t>2026-09-02T17:00Z</t>
        </is>
      </c>
      <c r="D438" s="24" t="inlineStr">
        <is>
          <t>189-2026:182547</t>
        </is>
      </c>
      <c r="E438" s="24" t="inlineStr">
        <is>
          <t>TENNIS</t>
        </is>
      </c>
      <c r="F438" s="24" t="inlineStr">
        <is>
          <t>Catherine McNally</t>
        </is>
      </c>
      <c r="G438" s="24" t="inlineStr">
        <is>
          <t>Emma Navarro</t>
        </is>
      </c>
      <c r="H438" s="24" t="inlineStr">
        <is>
          <t>moneyline</t>
        </is>
      </c>
      <c r="I438" s="24" t="inlineStr">
        <is>
          <t>home</t>
        </is>
      </c>
      <c r="J438" s="25" t="n"/>
      <c r="K438" s="24" t="inlineStr">
        <is>
          <t>polymarket_us</t>
        </is>
      </c>
      <c r="L438" s="26" t="n">
        <v>-127</v>
      </c>
      <c r="M438" s="27" t="n">
        <v>1.787402</v>
      </c>
      <c r="N438" s="28" t="n">
        <v>0.5594710000000001</v>
      </c>
      <c r="O438" s="28" t="n">
        <v>0.5244</v>
      </c>
      <c r="P438" s="28" t="n">
        <v>0.05</v>
      </c>
      <c r="Q438" s="28" t="n">
        <v>-0.035071</v>
      </c>
      <c r="R438" s="26" t="n">
        <v>2</v>
      </c>
      <c r="S438" s="29" t="n">
        <v>1</v>
      </c>
      <c r="T438" s="24" t="inlineStr">
        <is>
          <t>tennis-surface-elo-v1</t>
        </is>
      </c>
      <c r="U438" s="24" t="inlineStr">
        <is>
          <t>settled</t>
        </is>
      </c>
      <c r="V438" s="24" t="inlineStr">
        <is>
          <t>win</t>
        </is>
      </c>
      <c r="W438" s="26" t="n">
        <v>0</v>
      </c>
      <c r="X438" s="26" t="n">
        <v>1</v>
      </c>
      <c r="Y438" s="25" t="n"/>
      <c r="Z438" s="26" t="n">
        <v>-127</v>
      </c>
      <c r="AA438" s="28" t="n">
        <v>0.5600000000000001</v>
      </c>
      <c r="AB438" s="28" t="n">
        <v>0.000529</v>
      </c>
      <c r="AC438" s="30" t="n">
        <v>0.7874</v>
      </c>
      <c r="AD438" s="24" t="inlineStr">
        <is>
          <t>2026-09-03T04:31:12.751387Z</t>
        </is>
      </c>
      <c r="AE438" s="31" t="inlineStr">
        <is>
          <t>Surface-blended Elo on Hard: Catherine McNally p=0.476 vs Emma Navarro. Executable ask 0.5600 (aec-wta-emmnav-catmcn-2026-09-02).</t>
        </is>
      </c>
      <c r="AF438" s="31" t="inlineStr">
        <is>
          <t>Surface-blended Elo model; singles only, WTA+ATP market coverage, not yet locked-holdout qualified -- promoted by explicit operator directive, not genuine walk-forward validation.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Catherine McNally</t>
        </is>
      </c>
      <c r="AQ438" s="24" t="inlineStr">
        <is>
          <t>Catherine McNally</t>
        </is>
      </c>
      <c r="AR438" s="24" t="inlineStr">
        <is>
          <t>Catherine McNally</t>
        </is>
      </c>
      <c r="AS438" s="24" t="inlineStr">
        <is>
          <t>Emma Navarro</t>
        </is>
      </c>
      <c r="AT438" s="24" t="inlineStr">
        <is>
          <t>Emma Navarro</t>
        </is>
      </c>
      <c r="AU438" s="24" t="inlineStr">
        <is>
          <t>Emma Navarro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0ce66f49b381187fe6255a40ca2fdbfc155d5e36125ccf6d30fe81a72962eafa</t>
        </is>
      </c>
      <c r="BB438" s="24" t="inlineStr">
        <is>
          <t>surface_blended_elo</t>
        </is>
      </c>
      <c r="BC438" s="24" t="inlineStr">
        <is>
          <t>tennis-surface-elo-v1</t>
        </is>
      </c>
      <c r="BD438" s="24" t="inlineStr">
        <is>
          <t>0ce66f49b381187fe6255a40ca2fdbfc155d5e36125ccf6d30fe81a72962eafa</t>
        </is>
      </c>
      <c r="BE438" s="24" t="inlineStr">
        <is>
          <t>tennis-surface-elo-v1</t>
        </is>
      </c>
      <c r="BF438" s="24" t="inlineStr">
        <is>
          <t>1</t>
        </is>
      </c>
      <c r="BG438" s="24" t="inlineStr">
        <is>
          <t>0ce66f49b381187fe6255a40ca2fdbfc155d5e36125ccf6d30fe81a72962eafa</t>
        </is>
      </c>
      <c r="BH438" s="24" t="inlineStr">
        <is>
          <t>2026-09-02T16:07:11.216732Z</t>
        </is>
      </c>
      <c r="BI438" s="24" t="inlineStr">
        <is>
          <t>["same_event","same_team_same_day","same_league_same_day"]</t>
        </is>
      </c>
      <c r="BJ438" s="25" t="n"/>
      <c r="BK438" s="26" t="n">
        <v>-127</v>
      </c>
      <c r="BL438" s="27" t="n">
        <v>1.787402</v>
      </c>
      <c r="BM438" s="28" t="n">
        <v>0.5594710000000001</v>
      </c>
      <c r="BN438" s="28" t="n"/>
      <c r="BO438" s="28" t="n"/>
      <c r="BP438" s="25" t="n"/>
      <c r="BQ438" s="27" t="n">
        <v>1.787402</v>
      </c>
      <c r="BR438" s="28" t="n">
        <v>0.5600000000000001</v>
      </c>
      <c r="BS438" s="28" t="n"/>
      <c r="BT438" s="28" t="n"/>
      <c r="BU438" s="25" t="n"/>
      <c r="BV438" s="29" t="n"/>
      <c r="BW438" s="24" t="n"/>
      <c r="BX438" s="30" t="n">
        <v>1</v>
      </c>
      <c r="BY438" s="27" t="n">
        <v>0.787403</v>
      </c>
      <c r="BZ438" s="24" t="inlineStr">
        <is>
          <t>2026-09-03T04:31:12.751387Z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inlineStr">
        <is>
          <t>a3bffd5193341ef545bc340edfb1f2a39a3b866dcb04f06b1e5139fad7861d78</t>
        </is>
      </c>
      <c r="DE438" s="24" t="inlineStr">
        <is>
          <t>/Users/vincentc9002/model-prediction/data/odds/tennis/2026-09-02/polymarket_snapshots.jsonl</t>
        </is>
      </c>
      <c r="DF438" s="24" t="inlineStr">
        <is>
          <t>599827:2026-09-02T16:07:11.216732Z</t>
        </is>
      </c>
      <c r="DG438" s="24" t="n"/>
      <c r="DH438" s="24" t="n"/>
      <c r="DI438" s="24" t="n"/>
      <c r="DJ438" s="24" t="inlineStr">
        <is>
          <t>0.559471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0a444ca1a66343d8</t>
        </is>
      </c>
      <c r="B439" s="24" t="inlineStr">
        <is>
          <t>2026-09-02T16:08:38.156783Z</t>
        </is>
      </c>
      <c r="C439" s="24" t="inlineStr">
        <is>
          <t>2026-09-02T17:00Z</t>
        </is>
      </c>
      <c r="D439" s="24" t="inlineStr">
        <is>
          <t>189-2026:182580</t>
        </is>
      </c>
      <c r="E439" s="24" t="inlineStr">
        <is>
          <t>TENNIS</t>
        </is>
      </c>
      <c r="F439" s="24" t="inlineStr">
        <is>
          <t>Sloane Stephens</t>
        </is>
      </c>
      <c r="G439" s="24" t="inlineStr">
        <is>
          <t>Marta Kostyuk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-669</v>
      </c>
      <c r="M439" s="27" t="n">
        <v>1.149477</v>
      </c>
      <c r="N439" s="28" t="n">
        <v>0.869961</v>
      </c>
      <c r="O439" s="28" t="n">
        <v>0.8598</v>
      </c>
      <c r="P439" s="28" t="n">
        <v>0.05</v>
      </c>
      <c r="Q439" s="28" t="n">
        <v>-0.010161</v>
      </c>
      <c r="R439" s="26" t="n">
        <v>15</v>
      </c>
      <c r="S439" s="29" t="n">
        <v>1</v>
      </c>
      <c r="T439" s="24" t="inlineStr">
        <is>
          <t>tennis-surface-elo-v1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>
        <v>-669</v>
      </c>
      <c r="AA439" s="28" t="n">
        <v>0.87</v>
      </c>
      <c r="AB439" s="28" t="n">
        <v>3.9e-05</v>
      </c>
      <c r="AC439" s="30" t="n">
        <v>0.1495</v>
      </c>
      <c r="AD439" s="24" t="inlineStr">
        <is>
          <t>2026-09-03T04:31:13.767610Z</t>
        </is>
      </c>
      <c r="AE439" s="31" t="inlineStr">
        <is>
          <t>Surface-blended Elo on Hard: Sloane Stephens p=0.140 vs Marta Kostyuk. Executable ask 0.8700 (aec-wta-markos-sloste-2026-09-02).</t>
        </is>
      </c>
      <c r="AF439" s="31" t="inlineStr">
        <is>
          <t>Surface-blended Elo model; singles only, WTA+ATP market coverage, not yet locked-holdout qualified -- promoted by explicit operator directive, not genuine walk-forward validation.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Sloane Stephens</t>
        </is>
      </c>
      <c r="AQ439" s="24" t="inlineStr">
        <is>
          <t>Sloane Stephens</t>
        </is>
      </c>
      <c r="AR439" s="24" t="inlineStr">
        <is>
          <t>Sloane Stephens</t>
        </is>
      </c>
      <c r="AS439" s="24" t="inlineStr">
        <is>
          <t>Marta Kostyuk</t>
        </is>
      </c>
      <c r="AT439" s="24" t="inlineStr">
        <is>
          <t>Marta Kostyuk</t>
        </is>
      </c>
      <c r="AU439" s="24" t="inlineStr">
        <is>
          <t>Marta Kostyuk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0ce66f49b381187fe6255a40ca2fdbfc155d5e36125ccf6d30fe81a72962eafa</t>
        </is>
      </c>
      <c r="BB439" s="24" t="inlineStr">
        <is>
          <t>surface_blended_elo</t>
        </is>
      </c>
      <c r="BC439" s="24" t="inlineStr">
        <is>
          <t>tennis-surface-elo-v1</t>
        </is>
      </c>
      <c r="BD439" s="24" t="inlineStr">
        <is>
          <t>0ce66f49b381187fe6255a40ca2fdbfc155d5e36125ccf6d30fe81a72962eafa</t>
        </is>
      </c>
      <c r="BE439" s="24" t="inlineStr">
        <is>
          <t>tennis-surface-elo-v1</t>
        </is>
      </c>
      <c r="BF439" s="24" t="inlineStr">
        <is>
          <t>1</t>
        </is>
      </c>
      <c r="BG439" s="24" t="inlineStr">
        <is>
          <t>0ce66f49b381187fe6255a40ca2fdbfc155d5e36125ccf6d30fe81a72962eafa</t>
        </is>
      </c>
      <c r="BH439" s="24" t="inlineStr">
        <is>
          <t>2026-09-02T16:07:11.332262Z</t>
        </is>
      </c>
      <c r="BI439" s="24" t="inlineStr">
        <is>
          <t>["same_event","same_team_same_day","same_league_same_day"]</t>
        </is>
      </c>
      <c r="BJ439" s="25" t="n"/>
      <c r="BK439" s="26" t="n">
        <v>-669</v>
      </c>
      <c r="BL439" s="27" t="n">
        <v>1.149477</v>
      </c>
      <c r="BM439" s="28" t="n">
        <v>0.869961</v>
      </c>
      <c r="BN439" s="28" t="n"/>
      <c r="BO439" s="28" t="n"/>
      <c r="BP439" s="25" t="n"/>
      <c r="BQ439" s="27" t="n">
        <v>1.149477</v>
      </c>
      <c r="BR439" s="28" t="n">
        <v>0.87</v>
      </c>
      <c r="BS439" s="28" t="n"/>
      <c r="BT439" s="28" t="n"/>
      <c r="BU439" s="25" t="n"/>
      <c r="BV439" s="29" t="n"/>
      <c r="BW439" s="24" t="n"/>
      <c r="BX439" s="30" t="n">
        <v>1</v>
      </c>
      <c r="BY439" s="27" t="n">
        <v>0.149477</v>
      </c>
      <c r="BZ439" s="24" t="inlineStr">
        <is>
          <t>2026-09-03T04:31:13.767610Z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inlineStr">
        <is>
          <t>39a0ea090c08c076146856d2c2dde18b80bf8e86e39978e90a75addad2f55bd0</t>
        </is>
      </c>
      <c r="DE439" s="24" t="inlineStr">
        <is>
          <t>/Users/vincentc9002/model-prediction/data/odds/tennis/2026-09-02/polymarket_snapshots.jsonl</t>
        </is>
      </c>
      <c r="DF439" s="24" t="inlineStr">
        <is>
          <t>600233:2026-09-02T16:07:11.332262Z</t>
        </is>
      </c>
      <c r="DG439" s="24" t="n"/>
      <c r="DH439" s="24" t="n"/>
      <c r="DI439" s="24" t="n"/>
      <c r="DJ439" s="24" t="inlineStr">
        <is>
          <t>0.869961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63549fad23f544a9</t>
        </is>
      </c>
      <c r="B440" s="24" t="inlineStr">
        <is>
          <t>2026-09-02T16:08:38.156783Z</t>
        </is>
      </c>
      <c r="C440" s="24" t="inlineStr">
        <is>
          <t>2026-09-02T18:30Z</t>
        </is>
      </c>
      <c r="D440" s="24" t="inlineStr">
        <is>
          <t>189-2026:182548</t>
        </is>
      </c>
      <c r="E440" s="24" t="inlineStr">
        <is>
          <t>TENNIS</t>
        </is>
      </c>
      <c r="F440" s="24" t="inlineStr">
        <is>
          <t>Anna Kalinskaya</t>
        </is>
      </c>
      <c r="G440" s="24" t="inlineStr">
        <is>
          <t>Wang Xinyu</t>
        </is>
      </c>
      <c r="H440" s="24" t="inlineStr">
        <is>
          <t>moneyline</t>
        </is>
      </c>
      <c r="I440" s="24" t="inlineStr">
        <is>
          <t>away</t>
        </is>
      </c>
      <c r="J440" s="25" t="n"/>
      <c r="K440" s="24" t="inlineStr">
        <is>
          <t>polymarket_us</t>
        </is>
      </c>
      <c r="L440" s="26" t="n">
        <v>-194</v>
      </c>
      <c r="M440" s="27" t="n">
        <v>1.515464</v>
      </c>
      <c r="N440" s="28" t="n">
        <v>0.659864</v>
      </c>
      <c r="O440" s="28" t="n">
        <v>0.5893</v>
      </c>
      <c r="P440" s="28" t="n">
        <v>0.05</v>
      </c>
      <c r="Q440" s="28" t="n">
        <v>-0.070564</v>
      </c>
      <c r="R440" s="26" t="n">
        <v>0</v>
      </c>
      <c r="S440" s="29" t="n">
        <v>1</v>
      </c>
      <c r="T440" s="24" t="inlineStr">
        <is>
          <t>tennis-surface-elo-v1</t>
        </is>
      </c>
      <c r="U440" s="24" t="inlineStr">
        <is>
          <t>settled</t>
        </is>
      </c>
      <c r="V440" s="24" t="inlineStr">
        <is>
          <t>win</t>
        </is>
      </c>
      <c r="W440" s="26" t="n">
        <v>1</v>
      </c>
      <c r="X440" s="26" t="n">
        <v>0</v>
      </c>
      <c r="Y440" s="25" t="n"/>
      <c r="Z440" s="26" t="n">
        <v>-194</v>
      </c>
      <c r="AA440" s="28" t="n">
        <v>0.66</v>
      </c>
      <c r="AB440" s="28" t="n">
        <v>0.000136</v>
      </c>
      <c r="AC440" s="30" t="n">
        <v>0.5155</v>
      </c>
      <c r="AD440" s="24" t="inlineStr">
        <is>
          <t>2026-09-03T04:31:14.786892Z</t>
        </is>
      </c>
      <c r="AE440" s="31" t="inlineStr">
        <is>
          <t>Surface-blended Elo on Hard: Anna Kalinskaya p=0.589 vs Wang Xinyu. Executable ask 0.6600 (aec-wta-xinwan-annkal-2026-09-01).</t>
        </is>
      </c>
      <c r="AF440" s="31" t="inlineStr">
        <is>
          <t>Surface-blended Elo model; singles only, WTA+ATP market coverage, not yet locked-holdout qualified -- promoted by explicit operator directive, not genuine walk-forward validation.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Anna Kalinskaya</t>
        </is>
      </c>
      <c r="AQ440" s="24" t="inlineStr">
        <is>
          <t>Anna Kalinskaya</t>
        </is>
      </c>
      <c r="AR440" s="24" t="inlineStr">
        <is>
          <t>Anna Kalinskaya</t>
        </is>
      </c>
      <c r="AS440" s="24" t="inlineStr">
        <is>
          <t>Wang Xinyu</t>
        </is>
      </c>
      <c r="AT440" s="24" t="inlineStr">
        <is>
          <t>Wang Xinyu</t>
        </is>
      </c>
      <c r="AU440" s="24" t="inlineStr">
        <is>
          <t>Wang Xinyu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0ce66f49b381187fe6255a40ca2fdbfc155d5e36125ccf6d30fe81a72962eafa</t>
        </is>
      </c>
      <c r="BB440" s="24" t="inlineStr">
        <is>
          <t>surface_blended_elo</t>
        </is>
      </c>
      <c r="BC440" s="24" t="inlineStr">
        <is>
          <t>tennis-surface-elo-v1</t>
        </is>
      </c>
      <c r="BD440" s="24" t="inlineStr">
        <is>
          <t>0ce66f49b381187fe6255a40ca2fdbfc155d5e36125ccf6d30fe81a72962eafa</t>
        </is>
      </c>
      <c r="BE440" s="24" t="inlineStr">
        <is>
          <t>tennis-surface-elo-v1</t>
        </is>
      </c>
      <c r="BF440" s="24" t="inlineStr">
        <is>
          <t>1</t>
        </is>
      </c>
      <c r="BG440" s="24" t="inlineStr">
        <is>
          <t>0ce66f49b381187fe6255a40ca2fdbfc155d5e36125ccf6d30fe81a72962eafa</t>
        </is>
      </c>
      <c r="BH440" s="24" t="inlineStr">
        <is>
          <t>2026-09-02T16:07:11.172583Z</t>
        </is>
      </c>
      <c r="BI440" s="24" t="inlineStr">
        <is>
          <t>["same_event","same_team_same_day","same_league_same_day"]</t>
        </is>
      </c>
      <c r="BJ440" s="25" t="n"/>
      <c r="BK440" s="26" t="n">
        <v>-194</v>
      </c>
      <c r="BL440" s="27" t="n">
        <v>1.515464</v>
      </c>
      <c r="BM440" s="28" t="n">
        <v>0.659864</v>
      </c>
      <c r="BN440" s="28" t="n"/>
      <c r="BO440" s="28" t="n"/>
      <c r="BP440" s="25" t="n"/>
      <c r="BQ440" s="27" t="n">
        <v>1.515464</v>
      </c>
      <c r="BR440" s="28" t="n">
        <v>0.66</v>
      </c>
      <c r="BS440" s="28" t="n"/>
      <c r="BT440" s="28" t="n"/>
      <c r="BU440" s="25" t="n"/>
      <c r="BV440" s="29" t="n"/>
      <c r="BW440" s="24" t="n"/>
      <c r="BX440" s="30" t="n">
        <v>1</v>
      </c>
      <c r="BY440" s="27" t="n">
        <v>0.515464</v>
      </c>
      <c r="BZ440" s="24" t="inlineStr">
        <is>
          <t>2026-09-03T04:31:14.786892Z</t>
        </is>
      </c>
      <c r="CA440" s="31" t="inlineStr">
        <is>
          <t>fixed one-unit hypothetical scoring; no real exposure or execution</t>
        </is>
      </c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inlineStr">
        <is>
          <t>fbfb5c46ccf21d6b8e675fac40e81d3f663e8a9c2a92fad02e42357ef7ea253b</t>
        </is>
      </c>
      <c r="DE440" s="24" t="inlineStr">
        <is>
          <t>/Users/vincentc9002/model-prediction/data/odds/tennis/2026-09-02/polymarket_snapshots.jsonl</t>
        </is>
      </c>
      <c r="DF440" s="24" t="inlineStr">
        <is>
          <t>597945:2026-09-02T16:07:11.172583Z</t>
        </is>
      </c>
      <c r="DG440" s="24" t="n"/>
      <c r="DH440" s="24" t="n"/>
      <c r="DI440" s="24" t="n"/>
      <c r="DJ440" s="24" t="inlineStr">
        <is>
          <t>0.659864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1bbef56d50754490</t>
        </is>
      </c>
      <c r="B441" s="24" t="inlineStr">
        <is>
          <t>2026-09-02T16:08:38.156783Z</t>
        </is>
      </c>
      <c r="C441" s="24" t="inlineStr">
        <is>
          <t>2026-09-02T19:00Z</t>
        </is>
      </c>
      <c r="D441" s="24" t="inlineStr">
        <is>
          <t>189-2026:182531</t>
        </is>
      </c>
      <c r="E441" s="24" t="inlineStr">
        <is>
          <t>TENNIS</t>
        </is>
      </c>
      <c r="F441" s="24" t="inlineStr">
        <is>
          <t>Karolina Muchova</t>
        </is>
      </c>
      <c r="G441" s="24" t="inlineStr">
        <is>
          <t>Katie Boulter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-614</v>
      </c>
      <c r="M441" s="27" t="n">
        <v>1.162866</v>
      </c>
      <c r="N441" s="28" t="n">
        <v>0.859944</v>
      </c>
      <c r="O441" s="28" t="n">
        <v>0.8316</v>
      </c>
      <c r="P441" s="28" t="n">
        <v>0.05</v>
      </c>
      <c r="Q441" s="28" t="n">
        <v>-0.028344</v>
      </c>
      <c r="R441" s="26" t="n">
        <v>6</v>
      </c>
      <c r="S441" s="29" t="n">
        <v>1</v>
      </c>
      <c r="T441" s="24" t="inlineStr">
        <is>
          <t>tennis-surface-elo-v1</t>
        </is>
      </c>
      <c r="U441" s="24" t="inlineStr">
        <is>
          <t>settled</t>
        </is>
      </c>
      <c r="V441" s="24" t="inlineStr">
        <is>
          <t>win</t>
        </is>
      </c>
      <c r="W441" s="26" t="n">
        <v>1</v>
      </c>
      <c r="X441" s="26" t="n">
        <v>0</v>
      </c>
      <c r="Y441" s="25" t="n"/>
      <c r="Z441" s="26" t="n">
        <v>-614</v>
      </c>
      <c r="AA441" s="28" t="n">
        <v>0.86</v>
      </c>
      <c r="AB441" s="28" t="n">
        <v>5.6e-05</v>
      </c>
      <c r="AC441" s="30" t="n">
        <v>0.1629</v>
      </c>
      <c r="AD441" s="24" t="inlineStr">
        <is>
          <t>2026-09-03T04:31:15.803006Z</t>
        </is>
      </c>
      <c r="AE441" s="31" t="inlineStr">
        <is>
          <t>Surface-blended Elo on Hard: Karolina Muchova p=0.832 vs Katie Boulter. Executable ask 0.8600 (aec-wta-katbou-karmuc-2026-09-01).</t>
        </is>
      </c>
      <c r="AF441" s="31" t="inlineStr">
        <is>
          <t>Surface-blended Elo model; singles only, WTA+ATP market coverage, not yet locked-holdout qualified -- promoted by explicit operator directive, not genuine walk-forward validation.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Karolina Muchova</t>
        </is>
      </c>
      <c r="AQ441" s="24" t="inlineStr">
        <is>
          <t>Karolina Muchova</t>
        </is>
      </c>
      <c r="AR441" s="24" t="inlineStr">
        <is>
          <t>Karolina Muchova</t>
        </is>
      </c>
      <c r="AS441" s="24" t="inlineStr">
        <is>
          <t>Katie Boulter</t>
        </is>
      </c>
      <c r="AT441" s="24" t="inlineStr">
        <is>
          <t>Katie Boulter</t>
        </is>
      </c>
      <c r="AU441" s="24" t="inlineStr">
        <is>
          <t>Katie Boulter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0ce66f49b381187fe6255a40ca2fdbfc155d5e36125ccf6d30fe81a72962eafa</t>
        </is>
      </c>
      <c r="BB441" s="24" t="inlineStr">
        <is>
          <t>surface_blended_elo</t>
        </is>
      </c>
      <c r="BC441" s="24" t="inlineStr">
        <is>
          <t>tennis-surface-elo-v1</t>
        </is>
      </c>
      <c r="BD441" s="24" t="inlineStr">
        <is>
          <t>0ce66f49b381187fe6255a40ca2fdbfc155d5e36125ccf6d30fe81a72962eafa</t>
        </is>
      </c>
      <c r="BE441" s="24" t="inlineStr">
        <is>
          <t>tennis-surface-elo-v1</t>
        </is>
      </c>
      <c r="BF441" s="24" t="inlineStr">
        <is>
          <t>1</t>
        </is>
      </c>
      <c r="BG441" s="24" t="inlineStr">
        <is>
          <t>0ce66f49b381187fe6255a40ca2fdbfc155d5e36125ccf6d30fe81a72962eafa</t>
        </is>
      </c>
      <c r="BH441" s="24" t="inlineStr">
        <is>
          <t>2026-09-02T16:07:11.666446Z</t>
        </is>
      </c>
      <c r="BI441" s="24" t="inlineStr">
        <is>
          <t>["same_event","same_team_same_day","same_league_same_day"]</t>
        </is>
      </c>
      <c r="BJ441" s="25" t="n"/>
      <c r="BK441" s="26" t="n">
        <v>-614</v>
      </c>
      <c r="BL441" s="27" t="n">
        <v>1.162866</v>
      </c>
      <c r="BM441" s="28" t="n">
        <v>0.859944</v>
      </c>
      <c r="BN441" s="28" t="n"/>
      <c r="BO441" s="28" t="n"/>
      <c r="BP441" s="25" t="n"/>
      <c r="BQ441" s="27" t="n">
        <v>1.162866</v>
      </c>
      <c r="BR441" s="28" t="n">
        <v>0.86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0.162866</v>
      </c>
      <c r="BZ441" s="24" t="inlineStr">
        <is>
          <t>2026-09-03T04:31:15.803006Z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inlineStr">
        <is>
          <t>8aab7f844e3889071ea33a52e651562a997a59bca34e3a41e92d281dc4ba76b5</t>
        </is>
      </c>
      <c r="DE441" s="24" t="inlineStr">
        <is>
          <t>/Users/vincentc9002/model-prediction/data/odds/tennis/2026-09-02/polymarket_snapshots.jsonl</t>
        </is>
      </c>
      <c r="DF441" s="24" t="inlineStr">
        <is>
          <t>597043:2026-09-02T16:07:11.666446Z</t>
        </is>
      </c>
      <c r="DG441" s="24" t="n"/>
      <c r="DH441" s="24" t="n"/>
      <c r="DI441" s="24" t="n"/>
      <c r="DJ441" s="24" t="inlineStr">
        <is>
          <t>0.859944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e5923795d59d4cab</t>
        </is>
      </c>
      <c r="B442" s="24" t="inlineStr">
        <is>
          <t>2026-09-02T16:08:38.156783Z</t>
        </is>
      </c>
      <c r="C442" s="24" t="inlineStr">
        <is>
          <t>2026-09-02T19:30Z</t>
        </is>
      </c>
      <c r="D442" s="24" t="inlineStr">
        <is>
          <t>189-2026:182569</t>
        </is>
      </c>
      <c r="E442" s="24" t="inlineStr">
        <is>
          <t>TENNIS</t>
        </is>
      </c>
      <c r="F442" s="24" t="inlineStr">
        <is>
          <t>Kamilla Rakhimova</t>
        </is>
      </c>
      <c r="G442" s="24" t="inlineStr">
        <is>
          <t>Oksana Selekhmeteva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-170</v>
      </c>
      <c r="M442" s="27" t="n">
        <v>1.588235</v>
      </c>
      <c r="N442" s="28" t="n">
        <v>0.62963</v>
      </c>
      <c r="O442" s="28" t="n">
        <v>0.5049</v>
      </c>
      <c r="P442" s="28" t="n">
        <v>0.05</v>
      </c>
      <c r="Q442" s="28" t="n">
        <v>-0.12473</v>
      </c>
      <c r="R442" s="26" t="n">
        <v>0</v>
      </c>
      <c r="S442" s="29" t="n">
        <v>1</v>
      </c>
      <c r="T442" s="24" t="inlineStr">
        <is>
          <t>tennis-surface-elo-v1</t>
        </is>
      </c>
      <c r="U442" s="24" t="inlineStr">
        <is>
          <t>settled</t>
        </is>
      </c>
      <c r="V442" s="24" t="inlineStr">
        <is>
          <t>win</t>
        </is>
      </c>
      <c r="W442" s="26" t="n">
        <v>1</v>
      </c>
      <c r="X442" s="26" t="n">
        <v>0</v>
      </c>
      <c r="Y442" s="25" t="n"/>
      <c r="Z442" s="26" t="n">
        <v>-170</v>
      </c>
      <c r="AA442" s="28" t="n">
        <v>0.63</v>
      </c>
      <c r="AB442" s="28" t="n">
        <v>0.00037</v>
      </c>
      <c r="AC442" s="30" t="n">
        <v>0.5881999999999999</v>
      </c>
      <c r="AD442" s="24" t="inlineStr">
        <is>
          <t>2026-09-03T04:31:16.834388Z</t>
        </is>
      </c>
      <c r="AE442" s="31" t="inlineStr">
        <is>
          <t>Surface-blended Elo on Hard: Kamilla Rakhimova p=0.505 vs Oksana Selekhmeteva. Executable ask 0.6300 (aec-wta-okssel-kamrak-2026-09-01).</t>
        </is>
      </c>
      <c r="AF442" s="31" t="inlineStr">
        <is>
          <t>Surface-blended Elo model; singles only, WTA+ATP market coverage, not yet locked-holdout qualified -- promoted by explicit operator directive, not genuine walk-forward validation.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Kamilla Rakhimova</t>
        </is>
      </c>
      <c r="AQ442" s="24" t="inlineStr">
        <is>
          <t>Kamilla Rakhimova</t>
        </is>
      </c>
      <c r="AR442" s="24" t="inlineStr">
        <is>
          <t>Kamilla Rakhimova</t>
        </is>
      </c>
      <c r="AS442" s="24" t="inlineStr">
        <is>
          <t>Oksana Selekhmeteva</t>
        </is>
      </c>
      <c r="AT442" s="24" t="inlineStr">
        <is>
          <t>Oksana Selekhmeteva</t>
        </is>
      </c>
      <c r="AU442" s="24" t="inlineStr">
        <is>
          <t>Oksana Selekhmeteva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0ce66f49b381187fe6255a40ca2fdbfc155d5e36125ccf6d30fe81a72962eafa</t>
        </is>
      </c>
      <c r="BB442" s="24" t="inlineStr">
        <is>
          <t>surface_blended_elo</t>
        </is>
      </c>
      <c r="BC442" s="24" t="inlineStr">
        <is>
          <t>tennis-surface-elo-v1</t>
        </is>
      </c>
      <c r="BD442" s="24" t="inlineStr">
        <is>
          <t>0ce66f49b381187fe6255a40ca2fdbfc155d5e36125ccf6d30fe81a72962eafa</t>
        </is>
      </c>
      <c r="BE442" s="24" t="inlineStr">
        <is>
          <t>tennis-surface-elo-v1</t>
        </is>
      </c>
      <c r="BF442" s="24" t="inlineStr">
        <is>
          <t>1</t>
        </is>
      </c>
      <c r="BG442" s="24" t="inlineStr">
        <is>
          <t>0ce66f49b381187fe6255a40ca2fdbfc155d5e36125ccf6d30fe81a72962eafa</t>
        </is>
      </c>
      <c r="BH442" s="24" t="inlineStr">
        <is>
          <t>2026-09-02T16:07:11.100845Z</t>
        </is>
      </c>
      <c r="BI442" s="24" t="inlineStr">
        <is>
          <t>["same_event","same_team_same_day","same_league_same_day"]</t>
        </is>
      </c>
      <c r="BJ442" s="25" t="n"/>
      <c r="BK442" s="26" t="n">
        <v>-170</v>
      </c>
      <c r="BL442" s="27" t="n">
        <v>1.588235</v>
      </c>
      <c r="BM442" s="28" t="n">
        <v>0.62963</v>
      </c>
      <c r="BN442" s="28" t="n"/>
      <c r="BO442" s="28" t="n"/>
      <c r="BP442" s="25" t="n"/>
      <c r="BQ442" s="27" t="n">
        <v>1.588235</v>
      </c>
      <c r="BR442" s="28" t="n">
        <v>0.63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0.588234</v>
      </c>
      <c r="BZ442" s="24" t="inlineStr">
        <is>
          <t>2026-09-03T04:31:16.834388Z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inlineStr">
        <is>
          <t>13366c81e1eb62bdac43d5ad15950d04e263af3691c288583503ded830edc466</t>
        </is>
      </c>
      <c r="DE442" s="24" t="inlineStr">
        <is>
          <t>/Users/vincentc9002/model-prediction/data/odds/tennis/2026-09-02/polymarket_snapshots.jsonl</t>
        </is>
      </c>
      <c r="DF442" s="24" t="inlineStr">
        <is>
          <t>597572:2026-09-02T16:07:11.100845Z</t>
        </is>
      </c>
      <c r="DG442" s="24" t="n"/>
      <c r="DH442" s="24" t="n"/>
      <c r="DI442" s="24" t="n"/>
      <c r="DJ442" s="24" t="inlineStr">
        <is>
          <t>0.62963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d8e2b4fc84094332</t>
        </is>
      </c>
      <c r="B443" s="24" t="inlineStr">
        <is>
          <t>2026-09-02T16:08:38.156783Z</t>
        </is>
      </c>
      <c r="C443" s="24" t="inlineStr">
        <is>
          <t>2026-09-02T19:30Z</t>
        </is>
      </c>
      <c r="D443" s="24" t="inlineStr">
        <is>
          <t>189-2026:182587</t>
        </is>
      </c>
      <c r="E443" s="24" t="inlineStr">
        <is>
          <t>TENNIS</t>
        </is>
      </c>
      <c r="F443" s="24" t="inlineStr">
        <is>
          <t>Ekaterina Alexandrova</t>
        </is>
      </c>
      <c r="G443" s="24" t="inlineStr">
        <is>
          <t>Kimberly Birrell</t>
        </is>
      </c>
      <c r="H443" s="24" t="inlineStr">
        <is>
          <t>moneyline</t>
        </is>
      </c>
      <c r="I443" s="24" t="inlineStr">
        <is>
          <t>away</t>
        </is>
      </c>
      <c r="J443" s="25" t="n"/>
      <c r="K443" s="24" t="inlineStr">
        <is>
          <t>polymarket_us</t>
        </is>
      </c>
      <c r="L443" s="26" t="n">
        <v>-376</v>
      </c>
      <c r="M443" s="27" t="n">
        <v>1.265957</v>
      </c>
      <c r="N443" s="28" t="n">
        <v>0.789916</v>
      </c>
      <c r="O443" s="28" t="n">
        <v>0.5931</v>
      </c>
      <c r="P443" s="28" t="n">
        <v>0.05</v>
      </c>
      <c r="Q443" s="28" t="n">
        <v>-0.196816</v>
      </c>
      <c r="R443" s="26" t="n">
        <v>0</v>
      </c>
      <c r="S443" s="29" t="n">
        <v>1</v>
      </c>
      <c r="T443" s="24" t="inlineStr">
        <is>
          <t>tennis-surface-elo-v1</t>
        </is>
      </c>
      <c r="U443" s="24" t="inlineStr">
        <is>
          <t>settled</t>
        </is>
      </c>
      <c r="V443" s="24" t="inlineStr">
        <is>
          <t>win</t>
        </is>
      </c>
      <c r="W443" s="26" t="n">
        <v>1</v>
      </c>
      <c r="X443" s="26" t="n">
        <v>0</v>
      </c>
      <c r="Y443" s="25" t="n"/>
      <c r="Z443" s="26" t="n">
        <v>-376</v>
      </c>
      <c r="AA443" s="28" t="n">
        <v>0.79</v>
      </c>
      <c r="AB443" s="28" t="n">
        <v>8.4e-05</v>
      </c>
      <c r="AC443" s="30" t="n">
        <v>0.266</v>
      </c>
      <c r="AD443" s="24" t="inlineStr">
        <is>
          <t>2026-09-03T04:31:17.859781Z</t>
        </is>
      </c>
      <c r="AE443" s="31" t="inlineStr">
        <is>
          <t>Surface-blended Elo on Hard: Ekaterina Alexandrova p=0.593 vs Kimberly Birrell. Executable ask 0.7900 (aec-wta-kimbir-ekaale-2026-09-01).</t>
        </is>
      </c>
      <c r="AF443" s="31" t="inlineStr">
        <is>
          <t>Surface-blended Elo model; singles only, WTA+ATP market coverage, not yet locked-holdout qualified -- promoted by explicit operator directive, not genuine walk-forward validation.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Ekaterina Alexandrova</t>
        </is>
      </c>
      <c r="AQ443" s="24" t="inlineStr">
        <is>
          <t>Ekaterina Alexandrova</t>
        </is>
      </c>
      <c r="AR443" s="24" t="inlineStr">
        <is>
          <t>Ekaterina Alexandrova</t>
        </is>
      </c>
      <c r="AS443" s="24" t="inlineStr">
        <is>
          <t>Kimberly Birrell</t>
        </is>
      </c>
      <c r="AT443" s="24" t="inlineStr">
        <is>
          <t>Kimberly Birrell</t>
        </is>
      </c>
      <c r="AU443" s="24" t="inlineStr">
        <is>
          <t>Kimberly Birrell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0ce66f49b381187fe6255a40ca2fdbfc155d5e36125ccf6d30fe81a72962eafa</t>
        </is>
      </c>
      <c r="BB443" s="24" t="inlineStr">
        <is>
          <t>surface_blended_elo</t>
        </is>
      </c>
      <c r="BC443" s="24" t="inlineStr">
        <is>
          <t>tennis-surface-elo-v1</t>
        </is>
      </c>
      <c r="BD443" s="24" t="inlineStr">
        <is>
          <t>0ce66f49b381187fe6255a40ca2fdbfc155d5e36125ccf6d30fe81a72962eafa</t>
        </is>
      </c>
      <c r="BE443" s="24" t="inlineStr">
        <is>
          <t>tennis-surface-elo-v1</t>
        </is>
      </c>
      <c r="BF443" s="24" t="inlineStr">
        <is>
          <t>1</t>
        </is>
      </c>
      <c r="BG443" s="24" t="inlineStr">
        <is>
          <t>0ce66f49b381187fe6255a40ca2fdbfc155d5e36125ccf6d30fe81a72962eafa</t>
        </is>
      </c>
      <c r="BH443" s="24" t="inlineStr">
        <is>
          <t>2026-09-02T16:07:11.137275Z</t>
        </is>
      </c>
      <c r="BI443" s="24" t="inlineStr">
        <is>
          <t>["same_event","same_team_same_day","same_league_same_day"]</t>
        </is>
      </c>
      <c r="BJ443" s="25" t="n"/>
      <c r="BK443" s="26" t="n">
        <v>-376</v>
      </c>
      <c r="BL443" s="27" t="n">
        <v>1.265957</v>
      </c>
      <c r="BM443" s="28" t="n">
        <v>0.789916</v>
      </c>
      <c r="BN443" s="28" t="n"/>
      <c r="BO443" s="28" t="n"/>
      <c r="BP443" s="25" t="n"/>
      <c r="BQ443" s="27" t="n">
        <v>1.265957</v>
      </c>
      <c r="BR443" s="28" t="n">
        <v>0.79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0.265957</v>
      </c>
      <c r="BZ443" s="24" t="inlineStr">
        <is>
          <t>2026-09-03T04:31:17.859781Z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inlineStr">
        <is>
          <t>4a1fd1746a17f50ef1735ca60dc48f1b6c7f550ebb1bccd2de54ae17ba4c73f7</t>
        </is>
      </c>
      <c r="DE443" s="24" t="inlineStr">
        <is>
          <t>/Users/vincentc9002/model-prediction/data/odds/tennis/2026-09-02/polymarket_snapshots.jsonl</t>
        </is>
      </c>
      <c r="DF443" s="24" t="inlineStr">
        <is>
          <t>597581:2026-09-02T16:07:11.137275Z</t>
        </is>
      </c>
      <c r="DG443" s="24" t="n"/>
      <c r="DH443" s="24" t="n"/>
      <c r="DI443" s="24" t="n"/>
      <c r="DJ443" s="24" t="inlineStr">
        <is>
          <t>0.789916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045c96c829bc4779</t>
        </is>
      </c>
      <c r="B444" s="24" t="inlineStr">
        <is>
          <t>2026-09-02T16:08:38.156783Z</t>
        </is>
      </c>
      <c r="C444" s="24" t="inlineStr">
        <is>
          <t>2026-09-02T20:30Z</t>
        </is>
      </c>
      <c r="D444" s="24" t="inlineStr">
        <is>
          <t>189-2026:182584</t>
        </is>
      </c>
      <c r="E444" s="24" t="inlineStr">
        <is>
          <t>TENNIS</t>
        </is>
      </c>
      <c r="F444" s="24" t="inlineStr">
        <is>
          <t>Donna Vekic</t>
        </is>
      </c>
      <c r="G444" s="24" t="inlineStr">
        <is>
          <t>Ann Li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-163</v>
      </c>
      <c r="M444" s="27" t="n">
        <v>1.613497</v>
      </c>
      <c r="N444" s="28" t="n">
        <v>0.619772</v>
      </c>
      <c r="O444" s="28" t="n">
        <v>0.5165999999999999</v>
      </c>
      <c r="P444" s="28" t="n">
        <v>0.05</v>
      </c>
      <c r="Q444" s="28" t="n">
        <v>-0.103172</v>
      </c>
      <c r="R444" s="26" t="n">
        <v>0</v>
      </c>
      <c r="S444" s="29" t="n">
        <v>1</v>
      </c>
      <c r="T444" s="24" t="inlineStr">
        <is>
          <t>tennis-surface-elo-v1</t>
        </is>
      </c>
      <c r="U444" s="24" t="inlineStr">
        <is>
          <t>settled</t>
        </is>
      </c>
      <c r="V444" s="24" t="inlineStr">
        <is>
          <t>win</t>
        </is>
      </c>
      <c r="W444" s="26" t="n">
        <v>0</v>
      </c>
      <c r="X444" s="26" t="n">
        <v>1</v>
      </c>
      <c r="Y444" s="25" t="n"/>
      <c r="Z444" s="26" t="n">
        <v>-163</v>
      </c>
      <c r="AA444" s="28" t="n">
        <v>0.62</v>
      </c>
      <c r="AB444" s="28" t="n">
        <v>0.000228</v>
      </c>
      <c r="AC444" s="30" t="n">
        <v>0.6135</v>
      </c>
      <c r="AD444" s="24" t="inlineStr">
        <is>
          <t>2026-09-03T04:31:18.886951Z</t>
        </is>
      </c>
      <c r="AE444" s="31" t="inlineStr">
        <is>
          <t>Surface-blended Elo on Hard: Donna Vekic p=0.483 vs Ann Li. Executable ask 0.6200 (aec-wta-annli-donvek-2026-09-02).</t>
        </is>
      </c>
      <c r="AF444" s="31" t="inlineStr">
        <is>
          <t>Surface-blended Elo model; singles only, WTA+ATP market coverage, not yet locked-holdout qualified -- promoted by explicit operator directive, not genuine walk-forward validation.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Donna Vekic</t>
        </is>
      </c>
      <c r="AQ444" s="24" t="inlineStr">
        <is>
          <t>Donna Vekic</t>
        </is>
      </c>
      <c r="AR444" s="24" t="inlineStr">
        <is>
          <t>Donna Vekic</t>
        </is>
      </c>
      <c r="AS444" s="24" t="inlineStr">
        <is>
          <t>Ann Li</t>
        </is>
      </c>
      <c r="AT444" s="24" t="inlineStr">
        <is>
          <t>Ann Li</t>
        </is>
      </c>
      <c r="AU444" s="24" t="inlineStr">
        <is>
          <t>Ann Li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0ce66f49b381187fe6255a40ca2fdbfc155d5e36125ccf6d30fe81a72962eafa</t>
        </is>
      </c>
      <c r="BB444" s="24" t="inlineStr">
        <is>
          <t>surface_blended_elo</t>
        </is>
      </c>
      <c r="BC444" s="24" t="inlineStr">
        <is>
          <t>tennis-surface-elo-v1</t>
        </is>
      </c>
      <c r="BD444" s="24" t="inlineStr">
        <is>
          <t>0ce66f49b381187fe6255a40ca2fdbfc155d5e36125ccf6d30fe81a72962eafa</t>
        </is>
      </c>
      <c r="BE444" s="24" t="inlineStr">
        <is>
          <t>tennis-surface-elo-v1</t>
        </is>
      </c>
      <c r="BF444" s="24" t="inlineStr">
        <is>
          <t>1</t>
        </is>
      </c>
      <c r="BG444" s="24" t="inlineStr">
        <is>
          <t>0ce66f49b381187fe6255a40ca2fdbfc155d5e36125ccf6d30fe81a72962eafa</t>
        </is>
      </c>
      <c r="BH444" s="24" t="inlineStr">
        <is>
          <t>2026-09-02T16:07:11.386619Z</t>
        </is>
      </c>
      <c r="BI444" s="24" t="inlineStr">
        <is>
          <t>["same_event","same_team_same_day","same_league_same_day"]</t>
        </is>
      </c>
      <c r="BJ444" s="25" t="n"/>
      <c r="BK444" s="26" t="n">
        <v>-163</v>
      </c>
      <c r="BL444" s="27" t="n">
        <v>1.613497</v>
      </c>
      <c r="BM444" s="28" t="n">
        <v>0.619772</v>
      </c>
      <c r="BN444" s="28" t="n"/>
      <c r="BO444" s="28" t="n"/>
      <c r="BP444" s="25" t="n"/>
      <c r="BQ444" s="27" t="n">
        <v>1.613497</v>
      </c>
      <c r="BR444" s="28" t="n">
        <v>0.62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0.613497</v>
      </c>
      <c r="BZ444" s="24" t="inlineStr">
        <is>
          <t>2026-09-03T04:31:18.886951Z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inlineStr">
        <is>
          <t>21a1835fe21ea2040039dfba60541d54f485ca3cf9a693a1935af0d453be79c6</t>
        </is>
      </c>
      <c r="DE444" s="24" t="inlineStr">
        <is>
          <t>/Users/vincentc9002/model-prediction/data/odds/tennis/2026-09-02/polymarket_snapshots.jsonl</t>
        </is>
      </c>
      <c r="DF444" s="24" t="inlineStr">
        <is>
          <t>600341:2026-09-02T16:07:11.386619Z</t>
        </is>
      </c>
      <c r="DG444" s="24" t="n"/>
      <c r="DH444" s="24" t="n"/>
      <c r="DI444" s="24" t="n"/>
      <c r="DJ444" s="24" t="inlineStr">
        <is>
          <t>0.619772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62f6fcfea2e94b39</t>
        </is>
      </c>
      <c r="B445" s="24" t="inlineStr">
        <is>
          <t>2026-09-02T16:08:38.156783Z</t>
        </is>
      </c>
      <c r="C445" s="24" t="inlineStr">
        <is>
          <t>2026-09-02T21:00Z</t>
        </is>
      </c>
      <c r="D445" s="24" t="inlineStr">
        <is>
          <t>189-2026:182546</t>
        </is>
      </c>
      <c r="E445" s="24" t="inlineStr">
        <is>
          <t>TENNIS</t>
        </is>
      </c>
      <c r="F445" s="24" t="inlineStr">
        <is>
          <t>Maya Joint</t>
        </is>
      </c>
      <c r="G445" s="24" t="inlineStr">
        <is>
          <t>Elina Svitolina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-733</v>
      </c>
      <c r="M445" s="27" t="n">
        <v>1.136426</v>
      </c>
      <c r="N445" s="28" t="n">
        <v>0.879952</v>
      </c>
      <c r="O445" s="28" t="n">
        <v>0.799</v>
      </c>
      <c r="P445" s="28" t="n">
        <v>0.05</v>
      </c>
      <c r="Q445" s="28" t="n">
        <v>-0.080952</v>
      </c>
      <c r="R445" s="26" t="n">
        <v>0</v>
      </c>
      <c r="S445" s="29" t="n">
        <v>1</v>
      </c>
      <c r="T445" s="24" t="inlineStr">
        <is>
          <t>tennis-surface-elo-v1</t>
        </is>
      </c>
      <c r="U445" s="24" t="inlineStr">
        <is>
          <t>settled</t>
        </is>
      </c>
      <c r="V445" s="24" t="inlineStr">
        <is>
          <t>win</t>
        </is>
      </c>
      <c r="W445" s="26" t="n">
        <v>0</v>
      </c>
      <c r="X445" s="26" t="n">
        <v>1</v>
      </c>
      <c r="Y445" s="25" t="n"/>
      <c r="Z445" s="26" t="n">
        <v>-733</v>
      </c>
      <c r="AA445" s="28" t="n">
        <v>0.88</v>
      </c>
      <c r="AB445" s="28" t="n">
        <v>4.8e-05</v>
      </c>
      <c r="AC445" s="30" t="n">
        <v>0.1364</v>
      </c>
      <c r="AD445" s="24" t="inlineStr">
        <is>
          <t>2026-09-03T04:31:19.912116Z</t>
        </is>
      </c>
      <c r="AE445" s="31" t="inlineStr">
        <is>
          <t>Surface-blended Elo on Hard: Maya Joint p=0.201 vs Elina Svitolina. Executable ask 0.8800 (aec-wta-elisvi-mayjoi-2026-09-02).</t>
        </is>
      </c>
      <c r="AF445" s="31" t="inlineStr">
        <is>
          <t>Surface-blended Elo model; singles only, WTA+ATP market coverage, not yet locked-holdout qualified -- promoted by explicit operator directive, not genuine walk-forward validation.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PAPER_CALL_LOW_EDGE</t>
        </is>
      </c>
      <c r="AP445" s="24" t="inlineStr">
        <is>
          <t>Maya Joint</t>
        </is>
      </c>
      <c r="AQ445" s="24" t="inlineStr">
        <is>
          <t>Maya Joint</t>
        </is>
      </c>
      <c r="AR445" s="24" t="inlineStr">
        <is>
          <t>Maya Joint</t>
        </is>
      </c>
      <c r="AS445" s="24" t="inlineStr">
        <is>
          <t>Elina Svitolina</t>
        </is>
      </c>
      <c r="AT445" s="24" t="inlineStr">
        <is>
          <t>Elina Svitolina</t>
        </is>
      </c>
      <c r="AU445" s="24" t="inlineStr">
        <is>
          <t>Elina Svitolina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0ce66f49b381187fe6255a40ca2fdbfc155d5e36125ccf6d30fe81a72962eafa</t>
        </is>
      </c>
      <c r="BB445" s="24" t="inlineStr">
        <is>
          <t>surface_blended_elo</t>
        </is>
      </c>
      <c r="BC445" s="24" t="inlineStr">
        <is>
          <t>tennis-surface-elo-v1</t>
        </is>
      </c>
      <c r="BD445" s="24" t="inlineStr">
        <is>
          <t>0ce66f49b381187fe6255a40ca2fdbfc155d5e36125ccf6d30fe81a72962eafa</t>
        </is>
      </c>
      <c r="BE445" s="24" t="inlineStr">
        <is>
          <t>tennis-surface-elo-v1</t>
        </is>
      </c>
      <c r="BF445" s="24" t="inlineStr">
        <is>
          <t>1</t>
        </is>
      </c>
      <c r="BG445" s="24" t="inlineStr">
        <is>
          <t>0ce66f49b381187fe6255a40ca2fdbfc155d5e36125ccf6d30fe81a72962eafa</t>
        </is>
      </c>
      <c r="BH445" s="24" t="inlineStr">
        <is>
          <t>2026-09-02T16:07:11.412821Z</t>
        </is>
      </c>
      <c r="BI445" s="24" t="inlineStr">
        <is>
          <t>["same_event","same_team_same_day","same_league_same_day"]</t>
        </is>
      </c>
      <c r="BJ445" s="25" t="n"/>
      <c r="BK445" s="26" t="n">
        <v>-733</v>
      </c>
      <c r="BL445" s="27" t="n">
        <v>1.136426</v>
      </c>
      <c r="BM445" s="28" t="n">
        <v>0.879952</v>
      </c>
      <c r="BN445" s="28" t="n"/>
      <c r="BO445" s="28" t="n"/>
      <c r="BP445" s="25" t="n"/>
      <c r="BQ445" s="27" t="n">
        <v>1.136426</v>
      </c>
      <c r="BR445" s="28" t="n">
        <v>0.88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0.136426</v>
      </c>
      <c r="BZ445" s="24" t="inlineStr">
        <is>
          <t>2026-09-03T04:31:19.912116Z</t>
        </is>
      </c>
      <c r="CA445" s="31" t="inlineStr">
        <is>
          <t>fixed one-unit hypothetical scoring; no real exposure or execution</t>
        </is>
      </c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inlineStr">
        <is>
          <t>142bf8cb9f456e58b0a42b5fe70c7255d10637af1b513d9f83b7528bcdc15748</t>
        </is>
      </c>
      <c r="DE445" s="24" t="inlineStr">
        <is>
          <t>/Users/vincentc9002/model-prediction/data/odds/tennis/2026-09-02/polymarket_snapshots.jsonl</t>
        </is>
      </c>
      <c r="DF445" s="24" t="inlineStr">
        <is>
          <t>600430:2026-09-02T16:07:11.412821Z</t>
        </is>
      </c>
      <c r="DG445" s="24" t="n"/>
      <c r="DH445" s="24" t="n"/>
      <c r="DI445" s="24" t="n"/>
      <c r="DJ445" s="24" t="inlineStr">
        <is>
          <t>0.879952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bab1b896a5284529</t>
        </is>
      </c>
      <c r="B446" s="24" t="inlineStr">
        <is>
          <t>2026-09-02T16:08:38.156783Z</t>
        </is>
      </c>
      <c r="C446" s="24" t="inlineStr">
        <is>
          <t>2026-09-02T23:00Z</t>
        </is>
      </c>
      <c r="D446" s="24" t="inlineStr">
        <is>
          <t>189-2026:182539</t>
        </is>
      </c>
      <c r="E446" s="24" t="inlineStr">
        <is>
          <t>TENNIS</t>
        </is>
      </c>
      <c r="F446" s="24" t="inlineStr">
        <is>
          <t>Polina Iatcenko</t>
        </is>
      </c>
      <c r="G446" s="24" t="inlineStr">
        <is>
          <t>Aryna Sabalenka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-2400</v>
      </c>
      <c r="M446" s="27" t="n">
        <v>1.041667</v>
      </c>
      <c r="N446" s="28" t="n">
        <v>0.96</v>
      </c>
      <c r="O446" s="28" t="n">
        <v>0.9344</v>
      </c>
      <c r="P446" s="28" t="n">
        <v>0.05</v>
      </c>
      <c r="Q446" s="28" t="n">
        <v>-0.0256</v>
      </c>
      <c r="R446" s="26" t="n">
        <v>7</v>
      </c>
      <c r="S446" s="29" t="n">
        <v>1</v>
      </c>
      <c r="T446" s="24" t="inlineStr">
        <is>
          <t>tennis-surface-elo-v1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-2400</v>
      </c>
      <c r="AA446" s="28" t="n">
        <v>0.96</v>
      </c>
      <c r="AB446" s="28" t="n">
        <v>0</v>
      </c>
      <c r="AC446" s="30" t="n">
        <v>0.0417</v>
      </c>
      <c r="AD446" s="24" t="inlineStr">
        <is>
          <t>2026-09-03T04:31:20.937302Z</t>
        </is>
      </c>
      <c r="AE446" s="31" t="inlineStr">
        <is>
          <t>Surface-blended Elo on Hard: Polina Iatcenko p=0.066 vs Aryna Sabalenka. Executable ask 0.9600 (aec-wta-arysab-poliat-2026-09-01).</t>
        </is>
      </c>
      <c r="AF446" s="31" t="inlineStr">
        <is>
          <t>Surface-blended Elo model; singles only, WTA+ATP market coverage, not yet locked-holdout qualified -- promoted by explicit operator directive, not genuine walk-forward validation.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Polina Iatcenko</t>
        </is>
      </c>
      <c r="AQ446" s="24" t="inlineStr">
        <is>
          <t>Polina Iatcenko</t>
        </is>
      </c>
      <c r="AR446" s="24" t="inlineStr">
        <is>
          <t>Polina Iatcenko</t>
        </is>
      </c>
      <c r="AS446" s="24" t="inlineStr">
        <is>
          <t>Aryna Sabalenka</t>
        </is>
      </c>
      <c r="AT446" s="24" t="inlineStr">
        <is>
          <t>Aryna Sabalenka</t>
        </is>
      </c>
      <c r="AU446" s="24" t="inlineStr">
        <is>
          <t>Aryna Sabalenka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0ce66f49b381187fe6255a40ca2fdbfc155d5e36125ccf6d30fe81a72962eafa</t>
        </is>
      </c>
      <c r="BB446" s="24" t="inlineStr">
        <is>
          <t>surface_blended_elo</t>
        </is>
      </c>
      <c r="BC446" s="24" t="inlineStr">
        <is>
          <t>tennis-surface-elo-v1</t>
        </is>
      </c>
      <c r="BD446" s="24" t="inlineStr">
        <is>
          <t>0ce66f49b381187fe6255a40ca2fdbfc155d5e36125ccf6d30fe81a72962eafa</t>
        </is>
      </c>
      <c r="BE446" s="24" t="inlineStr">
        <is>
          <t>tennis-surface-elo-v1</t>
        </is>
      </c>
      <c r="BF446" s="24" t="inlineStr">
        <is>
          <t>1</t>
        </is>
      </c>
      <c r="BG446" s="24" t="inlineStr">
        <is>
          <t>0ce66f49b381187fe6255a40ca2fdbfc155d5e36125ccf6d30fe81a72962eafa</t>
        </is>
      </c>
      <c r="BH446" s="24" t="inlineStr">
        <is>
          <t>2026-09-02T16:07:10.926098Z</t>
        </is>
      </c>
      <c r="BI446" s="24" t="inlineStr">
        <is>
          <t>["same_event","same_team_same_day","same_league_same_day"]</t>
        </is>
      </c>
      <c r="BJ446" s="25" t="n"/>
      <c r="BK446" s="26" t="n">
        <v>-2400</v>
      </c>
      <c r="BL446" s="27" t="n">
        <v>1.041667</v>
      </c>
      <c r="BM446" s="28" t="n">
        <v>0.96</v>
      </c>
      <c r="BN446" s="28" t="n"/>
      <c r="BO446" s="28" t="n"/>
      <c r="BP446" s="25" t="n"/>
      <c r="BQ446" s="27" t="n">
        <v>1.041667</v>
      </c>
      <c r="BR446" s="28" t="n">
        <v>0.96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0.041667</v>
      </c>
      <c r="BZ446" s="24" t="inlineStr">
        <is>
          <t>2026-09-03T04:31:20.937302Z</t>
        </is>
      </c>
      <c r="CA446" s="31" t="inlineStr">
        <is>
          <t>fixed one-unit hypothetical scoring; no real exposure or execution</t>
        </is>
      </c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inlineStr">
        <is>
          <t>edc348193ed53a3e90aef8236f681f3cb38f25822123c4fe335c3dc81617f073</t>
        </is>
      </c>
      <c r="DE446" s="24" t="inlineStr">
        <is>
          <t>/Users/vincentc9002/model-prediction/data/odds/tennis/2026-09-02/polymarket_snapshots.jsonl</t>
        </is>
      </c>
      <c r="DF446" s="24" t="inlineStr">
        <is>
          <t>597239:2026-09-02T16:07:10.926098Z</t>
        </is>
      </c>
      <c r="DG446" s="24" t="n"/>
      <c r="DH446" s="24" t="n"/>
      <c r="DI446" s="24" t="n"/>
      <c r="DJ446" s="24" t="inlineStr">
        <is>
          <t>0.96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911ffc8341bc4934</t>
        </is>
      </c>
      <c r="B447" s="24" t="inlineStr">
        <is>
          <t>2026-09-02T16:08:38.156783Z</t>
        </is>
      </c>
      <c r="C447" s="24" t="inlineStr">
        <is>
          <t>2026-09-03T01:00Z</t>
        </is>
      </c>
      <c r="D447" s="24" t="inlineStr">
        <is>
          <t>189-2026:182552</t>
        </is>
      </c>
      <c r="E447" s="24" t="inlineStr">
        <is>
          <t>TENNIS</t>
        </is>
      </c>
      <c r="F447" s="24" t="inlineStr">
        <is>
          <t>Linda Noskova</t>
        </is>
      </c>
      <c r="G447" s="24" t="inlineStr">
        <is>
          <t>Lanlana Tararudee</t>
        </is>
      </c>
      <c r="H447" s="24" t="inlineStr">
        <is>
          <t>moneyline</t>
        </is>
      </c>
      <c r="I447" s="24" t="inlineStr">
        <is>
          <t>away</t>
        </is>
      </c>
      <c r="J447" s="25" t="n"/>
      <c r="K447" s="24" t="inlineStr">
        <is>
          <t>polymarket_us</t>
        </is>
      </c>
      <c r="L447" s="26" t="n">
        <v>-426</v>
      </c>
      <c r="M447" s="27" t="n">
        <v>1.234742</v>
      </c>
      <c r="N447" s="28" t="n">
        <v>0.809886</v>
      </c>
      <c r="O447" s="28" t="n">
        <v>0.6339</v>
      </c>
      <c r="P447" s="28" t="n">
        <v>0.05</v>
      </c>
      <c r="Q447" s="28" t="n">
        <v>-0.175986</v>
      </c>
      <c r="R447" s="26" t="n">
        <v>0</v>
      </c>
      <c r="S447" s="29" t="n">
        <v>1</v>
      </c>
      <c r="T447" s="24" t="inlineStr">
        <is>
          <t>tennis-surface-elo-v1</t>
        </is>
      </c>
      <c r="U447" s="24" t="inlineStr">
        <is>
          <t>settled</t>
        </is>
      </c>
      <c r="V447" s="24" t="inlineStr">
        <is>
          <t>win</t>
        </is>
      </c>
      <c r="W447" s="26" t="n">
        <v>1</v>
      </c>
      <c r="X447" s="26" t="n">
        <v>0</v>
      </c>
      <c r="Y447" s="25" t="n"/>
      <c r="Z447" s="26" t="n">
        <v>-426</v>
      </c>
      <c r="AA447" s="28" t="n">
        <v>0.8100000000000001</v>
      </c>
      <c r="AB447" s="28" t="n">
        <v>0.000114</v>
      </c>
      <c r="AC447" s="30" t="n">
        <v>0.2347</v>
      </c>
      <c r="AD447" s="24" t="inlineStr">
        <is>
          <t>2026-09-03T04:31:21.963413Z</t>
        </is>
      </c>
      <c r="AE447" s="31" t="inlineStr">
        <is>
          <t>Surface-blended Elo on Hard: Linda Noskova p=0.634 vs Lanlana Tararudee. Executable ask 0.8100 (aec-wta-lantar-linnos-2026-09-02).</t>
        </is>
      </c>
      <c r="AF447" s="31" t="inlineStr">
        <is>
          <t>Surface-blended Elo model; singles only, WTA+ATP market coverage, not yet locked-holdout qualified -- promoted by explicit operator directive, not genuine walk-forward validation.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paper_call</t>
        </is>
      </c>
      <c r="AL447" s="26" t="n">
        <v>4</v>
      </c>
      <c r="AM447" s="24" t="inlineStr">
        <is>
          <t>RESEARCH_OBSERVATION</t>
        </is>
      </c>
      <c r="AN447" s="24" t="inlineStr">
        <is>
          <t>CALL</t>
        </is>
      </c>
      <c r="AO447" s="24" t="inlineStr">
        <is>
          <t>PAPER_CALL_LOW_EDGE</t>
        </is>
      </c>
      <c r="AP447" s="24" t="inlineStr">
        <is>
          <t>Linda Noskova</t>
        </is>
      </c>
      <c r="AQ447" s="24" t="inlineStr">
        <is>
          <t>Linda Noskova</t>
        </is>
      </c>
      <c r="AR447" s="24" t="inlineStr">
        <is>
          <t>Linda Noskova</t>
        </is>
      </c>
      <c r="AS447" s="24" t="inlineStr">
        <is>
          <t>Lanlana Tararudee</t>
        </is>
      </c>
      <c r="AT447" s="24" t="inlineStr">
        <is>
          <t>Lanlana Tararudee</t>
        </is>
      </c>
      <c r="AU447" s="24" t="inlineStr">
        <is>
          <t>Lanlana Tararudee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0ce66f49b381187fe6255a40ca2fdbfc155d5e36125ccf6d30fe81a72962eafa</t>
        </is>
      </c>
      <c r="BB447" s="24" t="inlineStr">
        <is>
          <t>surface_blended_elo</t>
        </is>
      </c>
      <c r="BC447" s="24" t="inlineStr">
        <is>
          <t>tennis-surface-elo-v1</t>
        </is>
      </c>
      <c r="BD447" s="24" t="inlineStr">
        <is>
          <t>0ce66f49b381187fe6255a40ca2fdbfc155d5e36125ccf6d30fe81a72962eafa</t>
        </is>
      </c>
      <c r="BE447" s="24" t="inlineStr">
        <is>
          <t>tennis-surface-elo-v1</t>
        </is>
      </c>
      <c r="BF447" s="24" t="inlineStr">
        <is>
          <t>1</t>
        </is>
      </c>
      <c r="BG447" s="24" t="inlineStr">
        <is>
          <t>0ce66f49b381187fe6255a40ca2fdbfc155d5e36125ccf6d30fe81a72962eafa</t>
        </is>
      </c>
      <c r="BH447" s="24" t="inlineStr">
        <is>
          <t>2026-09-02T16:07:11.290976Z</t>
        </is>
      </c>
      <c r="BI447" s="24" t="inlineStr">
        <is>
          <t>["same_event","same_team_same_day","same_league_same_day"]</t>
        </is>
      </c>
      <c r="BJ447" s="25" t="n"/>
      <c r="BK447" s="26" t="n">
        <v>-426</v>
      </c>
      <c r="BL447" s="27" t="n">
        <v>1.234742</v>
      </c>
      <c r="BM447" s="28" t="n">
        <v>0.809886</v>
      </c>
      <c r="BN447" s="28" t="n"/>
      <c r="BO447" s="28" t="n"/>
      <c r="BP447" s="25" t="n"/>
      <c r="BQ447" s="27" t="n">
        <v>1.234742</v>
      </c>
      <c r="BR447" s="28" t="n">
        <v>0.8100000000000001</v>
      </c>
      <c r="BS447" s="28" t="n"/>
      <c r="BT447" s="28" t="n"/>
      <c r="BU447" s="25" t="n"/>
      <c r="BV447" s="29" t="n"/>
      <c r="BW447" s="24" t="n"/>
      <c r="BX447" s="30" t="n">
        <v>1</v>
      </c>
      <c r="BY447" s="27" t="n">
        <v>0.234742</v>
      </c>
      <c r="BZ447" s="24" t="inlineStr">
        <is>
          <t>2026-09-03T04:31:21.963413Z</t>
        </is>
      </c>
      <c r="CA447" s="31" t="inlineStr">
        <is>
          <t>fixed one-unit hypothetical scoring; no real exposure or execution</t>
        </is>
      </c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False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inlineStr">
        <is>
          <t>d6d1d41bb14dcd0aa570a50bd6926fe2735cd21c13cd41af92785cfefc267d41</t>
        </is>
      </c>
      <c r="DE447" s="24" t="inlineStr">
        <is>
          <t>/Users/vincentc9002/model-prediction/data/odds/tennis/2026-09-02/polymarket_snapshots.jsonl</t>
        </is>
      </c>
      <c r="DF447" s="24" t="inlineStr">
        <is>
          <t>599868:2026-09-02T16:07:11.290976Z</t>
        </is>
      </c>
      <c r="DG447" s="24" t="n"/>
      <c r="DH447" s="24" t="n"/>
      <c r="DI447" s="24" t="n"/>
      <c r="DJ447" s="24" t="inlineStr">
        <is>
          <t>0.809886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a64f6ff0a65d4cc6</t>
        </is>
      </c>
      <c r="B448" s="24" t="inlineStr">
        <is>
          <t>2026-09-02T16:08:38.156783Z</t>
        </is>
      </c>
      <c r="C448" s="24" t="inlineStr">
        <is>
          <t>2026-09-03T04:00Z</t>
        </is>
      </c>
      <c r="D448" s="24" t="inlineStr">
        <is>
          <t>189-2026:182528</t>
        </is>
      </c>
      <c r="E448" s="24" t="inlineStr">
        <is>
          <t>TENNIS</t>
        </is>
      </c>
      <c r="F448" s="24" t="inlineStr">
        <is>
          <t>Nadia Podoroska</t>
        </is>
      </c>
      <c r="G448" s="24" t="inlineStr">
        <is>
          <t>Iga Swiatek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-4900</v>
      </c>
      <c r="M448" s="27" t="n">
        <v>1.020408</v>
      </c>
      <c r="N448" s="28" t="n">
        <v>0.98</v>
      </c>
      <c r="O448" s="28" t="n">
        <v>0.909</v>
      </c>
      <c r="P448" s="28" t="n">
        <v>0.05</v>
      </c>
      <c r="Q448" s="28" t="n">
        <v>-0.07099999999999999</v>
      </c>
      <c r="R448" s="26" t="n">
        <v>0</v>
      </c>
      <c r="S448" s="29" t="n">
        <v>1</v>
      </c>
      <c r="T448" s="24" t="inlineStr">
        <is>
          <t>tennis-surface-elo-v1</t>
        </is>
      </c>
      <c r="U448" s="24" t="inlineStr">
        <is>
          <t>settled</t>
        </is>
      </c>
      <c r="V448" s="24" t="inlineStr">
        <is>
          <t>win</t>
        </is>
      </c>
      <c r="W448" s="26" t="n">
        <v>0</v>
      </c>
      <c r="X448" s="26" t="n">
        <v>1</v>
      </c>
      <c r="Y448" s="25" t="n"/>
      <c r="Z448" s="26" t="n">
        <v>-4900</v>
      </c>
      <c r="AA448" s="28" t="n">
        <v>0.98</v>
      </c>
      <c r="AB448" s="28" t="n">
        <v>0</v>
      </c>
      <c r="AC448" s="30" t="n">
        <v>0.0204</v>
      </c>
      <c r="AD448" s="24" t="inlineStr">
        <is>
          <t>2026-09-04T04:30:13.453858Z</t>
        </is>
      </c>
      <c r="AE448" s="31" t="inlineStr">
        <is>
          <t>Surface-blended Elo on Hard: Nadia Podoroska p=0.091 vs Iga Swiatek. Executable ask 0.9800 (aec-wta-igaswi-nadpod-2026-09-02).</t>
        </is>
      </c>
      <c r="AF448" s="31" t="inlineStr">
        <is>
          <t>Surface-blended Elo model; singles only, WTA+ATP market coverage, not yet locked-holdout qualified -- promoted by explicit operator directive, not genuine walk-forward validation.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Nadia Podoroska</t>
        </is>
      </c>
      <c r="AQ448" s="24" t="inlineStr">
        <is>
          <t>Nadia Podoroska</t>
        </is>
      </c>
      <c r="AR448" s="24" t="inlineStr">
        <is>
          <t>Nadia Podoroska</t>
        </is>
      </c>
      <c r="AS448" s="24" t="inlineStr">
        <is>
          <t>Iga Swiatek</t>
        </is>
      </c>
      <c r="AT448" s="24" t="inlineStr">
        <is>
          <t>Iga Swiatek</t>
        </is>
      </c>
      <c r="AU448" s="24" t="inlineStr">
        <is>
          <t>Iga Swiatek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0ce66f49b381187fe6255a40ca2fdbfc155d5e36125ccf6d30fe81a72962eafa</t>
        </is>
      </c>
      <c r="BB448" s="24" t="inlineStr">
        <is>
          <t>surface_blended_elo</t>
        </is>
      </c>
      <c r="BC448" s="24" t="inlineStr">
        <is>
          <t>tennis-surface-elo-v1</t>
        </is>
      </c>
      <c r="BD448" s="24" t="inlineStr">
        <is>
          <t>0ce66f49b381187fe6255a40ca2fdbfc155d5e36125ccf6d30fe81a72962eafa</t>
        </is>
      </c>
      <c r="BE448" s="24" t="inlineStr">
        <is>
          <t>tennis-surface-elo-v1</t>
        </is>
      </c>
      <c r="BF448" s="24" t="inlineStr">
        <is>
          <t>1</t>
        </is>
      </c>
      <c r="BG448" s="24" t="inlineStr">
        <is>
          <t>0ce66f49b381187fe6255a40ca2fdbfc155d5e36125ccf6d30fe81a72962eafa</t>
        </is>
      </c>
      <c r="BH448" s="24" t="inlineStr">
        <is>
          <t>2026-09-02T16:07:11.445482Z</t>
        </is>
      </c>
      <c r="BI448" s="24" t="inlineStr">
        <is>
          <t>["same_event","same_team_same_day","same_league_same_day"]</t>
        </is>
      </c>
      <c r="BJ448" s="25" t="n"/>
      <c r="BK448" s="26" t="n">
        <v>-4900</v>
      </c>
      <c r="BL448" s="27" t="n">
        <v>1.020408</v>
      </c>
      <c r="BM448" s="28" t="n">
        <v>0.98</v>
      </c>
      <c r="BN448" s="28" t="n"/>
      <c r="BO448" s="28" t="n"/>
      <c r="BP448" s="25" t="n"/>
      <c r="BQ448" s="27" t="n">
        <v>1.020408</v>
      </c>
      <c r="BR448" s="28" t="n">
        <v>0.98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0.020408</v>
      </c>
      <c r="BZ448" s="24" t="inlineStr">
        <is>
          <t>2026-09-04T04:30:13.453858Z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inlineStr">
        <is>
          <t>ba75a759d3a5282dcbfa8ff40c2bd46b12ee5da2812233b0ef0af3dce3ab5fdc</t>
        </is>
      </c>
      <c r="DE448" s="24" t="inlineStr">
        <is>
          <t>/Users/vincentc9002/model-prediction/data/odds/tennis/2026-09-02/polymarket_snapshots.jsonl</t>
        </is>
      </c>
      <c r="DF448" s="24" t="inlineStr">
        <is>
          <t>601433:2026-09-02T16:07:11.445482Z</t>
        </is>
      </c>
      <c r="DG448" s="24" t="n"/>
      <c r="DH448" s="24" t="n"/>
      <c r="DI448" s="24" t="n"/>
      <c r="DJ448" s="24" t="inlineStr">
        <is>
          <t>0.98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6b02082a766e4d90</t>
        </is>
      </c>
      <c r="B449" s="24" t="inlineStr">
        <is>
          <t>2026-09-02T16:08:38.156783Z</t>
        </is>
      </c>
      <c r="C449" s="24" t="inlineStr">
        <is>
          <t>2026-09-03T04:00Z</t>
        </is>
      </c>
      <c r="D449" s="24" t="inlineStr">
        <is>
          <t>189-2026:182532</t>
        </is>
      </c>
      <c r="E449" s="24" t="inlineStr">
        <is>
          <t>TENNIS</t>
        </is>
      </c>
      <c r="F449" s="24" t="inlineStr">
        <is>
          <t>Marie Bouzkova</t>
        </is>
      </c>
      <c r="G449" s="24" t="inlineStr">
        <is>
          <t>Harriet Dart</t>
        </is>
      </c>
      <c r="H449" s="24" t="inlineStr">
        <is>
          <t>moneyline</t>
        </is>
      </c>
      <c r="I449" s="24" t="inlineStr">
        <is>
          <t>away</t>
        </is>
      </c>
      <c r="J449" s="25" t="n"/>
      <c r="K449" s="24" t="inlineStr">
        <is>
          <t>polymarket_us</t>
        </is>
      </c>
      <c r="L449" s="26" t="n">
        <v>-525</v>
      </c>
      <c r="M449" s="27" t="n">
        <v>1.190476</v>
      </c>
      <c r="N449" s="28" t="n">
        <v>0.84</v>
      </c>
      <c r="O449" s="28" t="n">
        <v>0.7157</v>
      </c>
      <c r="P449" s="28" t="n">
        <v>0.05</v>
      </c>
      <c r="Q449" s="28" t="n">
        <v>-0.1243</v>
      </c>
      <c r="R449" s="26" t="n">
        <v>0</v>
      </c>
      <c r="S449" s="29" t="n">
        <v>1</v>
      </c>
      <c r="T449" s="24" t="inlineStr">
        <is>
          <t>tennis-surface-elo-v1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0</v>
      </c>
      <c r="Y449" s="25" t="n"/>
      <c r="Z449" s="26" t="n">
        <v>-525</v>
      </c>
      <c r="AA449" s="28" t="n">
        <v>0.84</v>
      </c>
      <c r="AB449" s="28" t="n">
        <v>0</v>
      </c>
      <c r="AC449" s="30" t="n">
        <v>0.1905</v>
      </c>
      <c r="AD449" s="24" t="inlineStr">
        <is>
          <t>2026-09-04T04:30:15.569573Z</t>
        </is>
      </c>
      <c r="AE449" s="31" t="inlineStr">
        <is>
          <t>Surface-blended Elo on Hard: Marie Bouzkova p=0.716 vs Harriet Dart. Executable ask 0.8400 (aec-wta-hardar-marbou-2026-09-02).</t>
        </is>
      </c>
      <c r="AF449" s="31" t="inlineStr">
        <is>
          <t>Surface-blended Elo model; singles only, WTA+ATP market coverage, not yet locked-holdout qualified -- promoted by explicit operator directive, not genuine walk-forward validation.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PAPER_CALL_LOW_EDGE</t>
        </is>
      </c>
      <c r="AP449" s="24" t="inlineStr">
        <is>
          <t>Marie Bouzkova</t>
        </is>
      </c>
      <c r="AQ449" s="24" t="inlineStr">
        <is>
          <t>Marie Bouzkova</t>
        </is>
      </c>
      <c r="AR449" s="24" t="inlineStr">
        <is>
          <t>Marie Bouzkova</t>
        </is>
      </c>
      <c r="AS449" s="24" t="inlineStr">
        <is>
          <t>Harriet Dart</t>
        </is>
      </c>
      <c r="AT449" s="24" t="inlineStr">
        <is>
          <t>Harriet Dart</t>
        </is>
      </c>
      <c r="AU449" s="24" t="inlineStr">
        <is>
          <t>Harriet Dart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0ce66f49b381187fe6255a40ca2fdbfc155d5e36125ccf6d30fe81a72962eafa</t>
        </is>
      </c>
      <c r="BB449" s="24" t="inlineStr">
        <is>
          <t>surface_blended_elo</t>
        </is>
      </c>
      <c r="BC449" s="24" t="inlineStr">
        <is>
          <t>tennis-surface-elo-v1</t>
        </is>
      </c>
      <c r="BD449" s="24" t="inlineStr">
        <is>
          <t>0ce66f49b381187fe6255a40ca2fdbfc155d5e36125ccf6d30fe81a72962eafa</t>
        </is>
      </c>
      <c r="BE449" s="24" t="inlineStr">
        <is>
          <t>tennis-surface-elo-v1</t>
        </is>
      </c>
      <c r="BF449" s="24" t="inlineStr">
        <is>
          <t>1</t>
        </is>
      </c>
      <c r="BG449" s="24" t="inlineStr">
        <is>
          <t>0ce66f49b381187fe6255a40ca2fdbfc155d5e36125ccf6d30fe81a72962eafa</t>
        </is>
      </c>
      <c r="BH449" s="24" t="inlineStr">
        <is>
          <t>2026-09-02T16:07:11.015583Z</t>
        </is>
      </c>
      <c r="BI449" s="24" t="inlineStr">
        <is>
          <t>["same_event","same_team_same_day","same_league_same_day"]</t>
        </is>
      </c>
      <c r="BJ449" s="25" t="n"/>
      <c r="BK449" s="26" t="n">
        <v>-525</v>
      </c>
      <c r="BL449" s="27" t="n">
        <v>1.190476</v>
      </c>
      <c r="BM449" s="28" t="n">
        <v>0.84</v>
      </c>
      <c r="BN449" s="28" t="n"/>
      <c r="BO449" s="28" t="n"/>
      <c r="BP449" s="25" t="n"/>
      <c r="BQ449" s="27" t="n">
        <v>1.190476</v>
      </c>
      <c r="BR449" s="28" t="n">
        <v>0.84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0.190476</v>
      </c>
      <c r="BZ449" s="24" t="inlineStr">
        <is>
          <t>2026-09-04T04:30:15.569573Z</t>
        </is>
      </c>
      <c r="CA449" s="31" t="inlineStr">
        <is>
          <t>fixed one-unit hypothetical scoring; no real exposure or execution</t>
        </is>
      </c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inlineStr">
        <is>
          <t>e22f54d945d964f75f12f76c69e789830fba555bc680c1a2809b80066f080a88</t>
        </is>
      </c>
      <c r="DE449" s="24" t="inlineStr">
        <is>
          <t>/Users/vincentc9002/model-prediction/data/odds/tennis/2026-09-02/polymarket_snapshots.jsonl</t>
        </is>
      </c>
      <c r="DF449" s="24" t="inlineStr">
        <is>
          <t>597259:2026-09-02T16:07:11.015583Z</t>
        </is>
      </c>
      <c r="DG449" s="24" t="n"/>
      <c r="DH449" s="24" t="n"/>
      <c r="DI449" s="24" t="n"/>
      <c r="DJ449" s="24" t="inlineStr">
        <is>
          <t>0.84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f884b59413644adc</t>
        </is>
      </c>
      <c r="B450" s="24" t="inlineStr">
        <is>
          <t>2026-09-02T16:08:38.156783Z</t>
        </is>
      </c>
      <c r="C450" s="24" t="inlineStr">
        <is>
          <t>2026-09-03T04:00Z</t>
        </is>
      </c>
      <c r="D450" s="24" t="inlineStr">
        <is>
          <t>189-2026:182559</t>
        </is>
      </c>
      <c r="E450" s="24" t="inlineStr">
        <is>
          <t>TENNIS</t>
        </is>
      </c>
      <c r="F450" s="24" t="inlineStr">
        <is>
          <t>Himeno Sakatsume</t>
        </is>
      </c>
      <c r="G450" s="24" t="inlineStr">
        <is>
          <t>Cristina Bucsa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-203</v>
      </c>
      <c r="M450" s="27" t="n">
        <v>1.492611</v>
      </c>
      <c r="N450" s="28" t="n">
        <v>0.669967</v>
      </c>
      <c r="O450" s="28" t="n">
        <v>0.5683</v>
      </c>
      <c r="P450" s="28" t="n">
        <v>0.05</v>
      </c>
      <c r="Q450" s="28" t="n">
        <v>-0.101667</v>
      </c>
      <c r="R450" s="26" t="n">
        <v>0</v>
      </c>
      <c r="S450" s="29" t="n">
        <v>1</v>
      </c>
      <c r="T450" s="24" t="inlineStr">
        <is>
          <t>tennis-surface-elo-v1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1</v>
      </c>
      <c r="Y450" s="25" t="n"/>
      <c r="Z450" s="26" t="n">
        <v>-203</v>
      </c>
      <c r="AA450" s="28" t="n">
        <v>0.67</v>
      </c>
      <c r="AB450" s="28" t="n">
        <v>3.3e-05</v>
      </c>
      <c r="AC450" s="30" t="n">
        <v>0.4926</v>
      </c>
      <c r="AD450" s="24" t="inlineStr">
        <is>
          <t>2026-09-04T04:30:17.628002Z</t>
        </is>
      </c>
      <c r="AE450" s="31" t="inlineStr">
        <is>
          <t>Surface-blended Elo on Hard: Himeno Sakatsume p=0.432 vs Cristina Bucsa. Executable ask 0.6700 (aec-wta-cribuc-himsak-2026-09-01).</t>
        </is>
      </c>
      <c r="AF450" s="31" t="inlineStr">
        <is>
          <t>Surface-blended Elo model; singles only, WTA+ATP market coverage, not yet locked-holdout qualified -- promoted by explicit operator directive, not genuine walk-forward validation.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Himeno Sakatsume</t>
        </is>
      </c>
      <c r="AQ450" s="24" t="inlineStr">
        <is>
          <t>Himeno Sakatsume</t>
        </is>
      </c>
      <c r="AR450" s="24" t="inlineStr">
        <is>
          <t>Himeno Sakatsume</t>
        </is>
      </c>
      <c r="AS450" s="24" t="inlineStr">
        <is>
          <t>Cristina Bucsa</t>
        </is>
      </c>
      <c r="AT450" s="24" t="inlineStr">
        <is>
          <t>Cristina Bucsa</t>
        </is>
      </c>
      <c r="AU450" s="24" t="inlineStr">
        <is>
          <t>Cristina Bucsa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0ce66f49b381187fe6255a40ca2fdbfc155d5e36125ccf6d30fe81a72962eafa</t>
        </is>
      </c>
      <c r="BB450" s="24" t="inlineStr">
        <is>
          <t>surface_blended_elo</t>
        </is>
      </c>
      <c r="BC450" s="24" t="inlineStr">
        <is>
          <t>tennis-surface-elo-v1</t>
        </is>
      </c>
      <c r="BD450" s="24" t="inlineStr">
        <is>
          <t>0ce66f49b381187fe6255a40ca2fdbfc155d5e36125ccf6d30fe81a72962eafa</t>
        </is>
      </c>
      <c r="BE450" s="24" t="inlineStr">
        <is>
          <t>tennis-surface-elo-v1</t>
        </is>
      </c>
      <c r="BF450" s="24" t="inlineStr">
        <is>
          <t>1</t>
        </is>
      </c>
      <c r="BG450" s="24" t="inlineStr">
        <is>
          <t>0ce66f49b381187fe6255a40ca2fdbfc155d5e36125ccf6d30fe81a72962eafa</t>
        </is>
      </c>
      <c r="BH450" s="24" t="inlineStr">
        <is>
          <t>2026-09-02T16:07:10.935150Z</t>
        </is>
      </c>
      <c r="BI450" s="24" t="inlineStr">
        <is>
          <t>["same_event","same_team_same_day","same_league_same_day"]</t>
        </is>
      </c>
      <c r="BJ450" s="25" t="n"/>
      <c r="BK450" s="26" t="n">
        <v>-203</v>
      </c>
      <c r="BL450" s="27" t="n">
        <v>1.492611</v>
      </c>
      <c r="BM450" s="28" t="n">
        <v>0.669967</v>
      </c>
      <c r="BN450" s="28" t="n"/>
      <c r="BO450" s="28" t="n"/>
      <c r="BP450" s="25" t="n"/>
      <c r="BQ450" s="27" t="n">
        <v>1.492611</v>
      </c>
      <c r="BR450" s="28" t="n">
        <v>0.67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0.492611</v>
      </c>
      <c r="BZ450" s="24" t="inlineStr">
        <is>
          <t>2026-09-04T04:30:17.628002Z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inlineStr">
        <is>
          <t>dd9afc7f2cc14d2f2c2649a6a623b35852c0e17799ab2f6b128134fc07a85e31</t>
        </is>
      </c>
      <c r="DE450" s="24" t="inlineStr">
        <is>
          <t>/Users/vincentc9002/model-prediction/data/odds/tennis/2026-09-02/polymarket_snapshots.jsonl</t>
        </is>
      </c>
      <c r="DF450" s="24" t="inlineStr">
        <is>
          <t>597240:2026-09-02T16:07:10.935150Z</t>
        </is>
      </c>
      <c r="DG450" s="24" t="n"/>
      <c r="DH450" s="24" t="n"/>
      <c r="DI450" s="24" t="n"/>
      <c r="DJ450" s="24" t="inlineStr">
        <is>
          <t>0.669967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53d4dad4a8ab4ca7</t>
        </is>
      </c>
      <c r="B451" s="24" t="inlineStr">
        <is>
          <t>2026-09-02T16:08:38.156783Z</t>
        </is>
      </c>
      <c r="C451" s="24" t="inlineStr">
        <is>
          <t>2026-09-03T04:00Z</t>
        </is>
      </c>
      <c r="D451" s="24" t="inlineStr">
        <is>
          <t>189-2026:182568</t>
        </is>
      </c>
      <c r="E451" s="24" t="inlineStr">
        <is>
          <t>TENNIS</t>
        </is>
      </c>
      <c r="F451" s="24" t="inlineStr">
        <is>
          <t>Katerina Siniakova</t>
        </is>
      </c>
      <c r="G451" s="24" t="inlineStr">
        <is>
          <t>Naomi Osaka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-355</v>
      </c>
      <c r="M451" s="27" t="n">
        <v>1.28169</v>
      </c>
      <c r="N451" s="28" t="n">
        <v>0.78022</v>
      </c>
      <c r="O451" s="28" t="n">
        <v>0.7246</v>
      </c>
      <c r="P451" s="28" t="n">
        <v>0.05</v>
      </c>
      <c r="Q451" s="28" t="n">
        <v>-0.05562</v>
      </c>
      <c r="R451" s="26" t="n">
        <v>0</v>
      </c>
      <c r="S451" s="29" t="n">
        <v>1</v>
      </c>
      <c r="T451" s="24" t="inlineStr">
        <is>
          <t>tennis-surface-elo-v1</t>
        </is>
      </c>
      <c r="U451" s="24" t="inlineStr">
        <is>
          <t>settled</t>
        </is>
      </c>
      <c r="V451" s="24" t="inlineStr">
        <is>
          <t>win</t>
        </is>
      </c>
      <c r="W451" s="26" t="n">
        <v>0</v>
      </c>
      <c r="X451" s="26" t="n">
        <v>1</v>
      </c>
      <c r="Y451" s="25" t="n"/>
      <c r="Z451" s="26" t="n">
        <v>-355</v>
      </c>
      <c r="AA451" s="28" t="n">
        <v>0.78</v>
      </c>
      <c r="AB451" s="28" t="n">
        <v>-0.00022</v>
      </c>
      <c r="AC451" s="30" t="n">
        <v>0.2817</v>
      </c>
      <c r="AD451" s="24" t="inlineStr">
        <is>
          <t>2026-09-04T04:30:19.691472Z</t>
        </is>
      </c>
      <c r="AE451" s="31" t="inlineStr">
        <is>
          <t>Surface-blended Elo on Hard: Katerina Siniakova p=0.275 vs Naomi Osaka. Executable ask 0.7800 (aec-wta-naoosa-katsin-2026-09-02).</t>
        </is>
      </c>
      <c r="AF451" s="31" t="inlineStr">
        <is>
          <t>Surface-blended Elo model; singles only, WTA+ATP market coverage, not yet locked-holdout qualified -- promoted by explicit operator directive, not genuine walk-forward validation.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Katerina Siniakova</t>
        </is>
      </c>
      <c r="AQ451" s="24" t="inlineStr">
        <is>
          <t>Katerina Siniakova</t>
        </is>
      </c>
      <c r="AR451" s="24" t="inlineStr">
        <is>
          <t>Katerina Siniakova</t>
        </is>
      </c>
      <c r="AS451" s="24" t="inlineStr">
        <is>
          <t>Naomi Osaka</t>
        </is>
      </c>
      <c r="AT451" s="24" t="inlineStr">
        <is>
          <t>Naomi Osaka</t>
        </is>
      </c>
      <c r="AU451" s="24" t="inlineStr">
        <is>
          <t>Naomi Osaka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0ce66f49b381187fe6255a40ca2fdbfc155d5e36125ccf6d30fe81a72962eafa</t>
        </is>
      </c>
      <c r="BB451" s="24" t="inlineStr">
        <is>
          <t>surface_blended_elo</t>
        </is>
      </c>
      <c r="BC451" s="24" t="inlineStr">
        <is>
          <t>tennis-surface-elo-v1</t>
        </is>
      </c>
      <c r="BD451" s="24" t="inlineStr">
        <is>
          <t>0ce66f49b381187fe6255a40ca2fdbfc155d5e36125ccf6d30fe81a72962eafa</t>
        </is>
      </c>
      <c r="BE451" s="24" t="inlineStr">
        <is>
          <t>tennis-surface-elo-v1</t>
        </is>
      </c>
      <c r="BF451" s="24" t="inlineStr">
        <is>
          <t>1</t>
        </is>
      </c>
      <c r="BG451" s="24" t="inlineStr">
        <is>
          <t>0ce66f49b381187fe6255a40ca2fdbfc155d5e36125ccf6d30fe81a72962eafa</t>
        </is>
      </c>
      <c r="BH451" s="24" t="inlineStr">
        <is>
          <t>2026-09-02T16:07:11.491605Z</t>
        </is>
      </c>
      <c r="BI451" s="24" t="inlineStr">
        <is>
          <t>["same_event","same_team_same_day","same_league_same_day"]</t>
        </is>
      </c>
      <c r="BJ451" s="25" t="n"/>
      <c r="BK451" s="26" t="n">
        <v>-355</v>
      </c>
      <c r="BL451" s="27" t="n">
        <v>1.28169</v>
      </c>
      <c r="BM451" s="28" t="n">
        <v>0.78022</v>
      </c>
      <c r="BN451" s="28" t="n"/>
      <c r="BO451" s="28" t="n"/>
      <c r="BP451" s="25" t="n"/>
      <c r="BQ451" s="27" t="n">
        <v>1.28169</v>
      </c>
      <c r="BR451" s="28" t="n">
        <v>0.78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0.28169</v>
      </c>
      <c r="BZ451" s="24" t="inlineStr">
        <is>
          <t>2026-09-04T04:30:19.691472Z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inlineStr">
        <is>
          <t>cd0f9dae58cda2da566132d933d1bec973b62ff9748373a67b7815043df0c5b8</t>
        </is>
      </c>
      <c r="DE451" s="24" t="inlineStr">
        <is>
          <t>/Users/vincentc9002/model-prediction/data/odds/tennis/2026-09-02/polymarket_snapshots.jsonl</t>
        </is>
      </c>
      <c r="DF451" s="24" t="inlineStr">
        <is>
          <t>602715:2026-09-02T16:07:11.491605Z</t>
        </is>
      </c>
      <c r="DG451" s="24" t="n"/>
      <c r="DH451" s="24" t="n"/>
      <c r="DI451" s="24" t="n"/>
      <c r="DJ451" s="24" t="inlineStr">
        <is>
          <t>0.78022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9f69332345fe48cd</t>
        </is>
      </c>
      <c r="B452" s="24" t="inlineStr">
        <is>
          <t>2026-09-02T16:08:38.156783Z</t>
        </is>
      </c>
      <c r="C452" s="24" t="inlineStr">
        <is>
          <t>2026-09-03T04:00Z</t>
        </is>
      </c>
      <c r="D452" s="24" t="inlineStr">
        <is>
          <t>189-2026:182579</t>
        </is>
      </c>
      <c r="E452" s="24" t="inlineStr">
        <is>
          <t>TENNIS</t>
        </is>
      </c>
      <c r="F452" s="24" t="inlineStr">
        <is>
          <t>Amanda Anisimova</t>
        </is>
      </c>
      <c r="G452" s="24" t="inlineStr">
        <is>
          <t>Lilli Tagger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-456</v>
      </c>
      <c r="M452" s="27" t="n">
        <v>1.219298</v>
      </c>
      <c r="N452" s="28" t="n">
        <v>0.820144</v>
      </c>
      <c r="O452" s="28" t="n">
        <v>0.7416</v>
      </c>
      <c r="P452" s="28" t="n">
        <v>0.05</v>
      </c>
      <c r="Q452" s="28" t="n">
        <v>-0.078544</v>
      </c>
      <c r="R452" s="26" t="n">
        <v>0</v>
      </c>
      <c r="S452" s="29" t="n">
        <v>1</v>
      </c>
      <c r="T452" s="24" t="inlineStr">
        <is>
          <t>tennis-surface-elo-v1</t>
        </is>
      </c>
      <c r="U452" s="24" t="inlineStr">
        <is>
          <t>settled</t>
        </is>
      </c>
      <c r="V452" s="24" t="inlineStr">
        <is>
          <t>win</t>
        </is>
      </c>
      <c r="W452" s="26" t="n">
        <v>1</v>
      </c>
      <c r="X452" s="26" t="n">
        <v>0</v>
      </c>
      <c r="Y452" s="25" t="n"/>
      <c r="Z452" s="26" t="n">
        <v>-456</v>
      </c>
      <c r="AA452" s="28" t="n">
        <v>0.82</v>
      </c>
      <c r="AB452" s="28" t="n">
        <v>-0.000144</v>
      </c>
      <c r="AC452" s="30" t="n">
        <v>0.2193</v>
      </c>
      <c r="AD452" s="24" t="inlineStr">
        <is>
          <t>2026-09-04T04:30:21.730452Z</t>
        </is>
      </c>
      <c r="AE452" s="31" t="inlineStr">
        <is>
          <t>Surface-blended Elo on Hard: Amanda Anisimova p=0.742 vs Lilli Tagger. Executable ask 0.8200 (aec-wta-liltag-amaani-2026-09-02).</t>
        </is>
      </c>
      <c r="AF452" s="31" t="inlineStr">
        <is>
          <t>Surface-blended Elo model; singles only, WTA+ATP market coverage, not yet locked-holdout qualified -- promoted by explicit operator directive, not genuine walk-forward validation.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Amanda Anisimova</t>
        </is>
      </c>
      <c r="AQ452" s="24" t="inlineStr">
        <is>
          <t>Amanda Anisimova</t>
        </is>
      </c>
      <c r="AR452" s="24" t="inlineStr">
        <is>
          <t>Amanda Anisimova</t>
        </is>
      </c>
      <c r="AS452" s="24" t="inlineStr">
        <is>
          <t>Lilli Tagger</t>
        </is>
      </c>
      <c r="AT452" s="24" t="inlineStr">
        <is>
          <t>Lilli Tagger</t>
        </is>
      </c>
      <c r="AU452" s="24" t="inlineStr">
        <is>
          <t>Lilli Tagger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0ce66f49b381187fe6255a40ca2fdbfc155d5e36125ccf6d30fe81a72962eafa</t>
        </is>
      </c>
      <c r="BB452" s="24" t="inlineStr">
        <is>
          <t>surface_blended_elo</t>
        </is>
      </c>
      <c r="BC452" s="24" t="inlineStr">
        <is>
          <t>tennis-surface-elo-v1</t>
        </is>
      </c>
      <c r="BD452" s="24" t="inlineStr">
        <is>
          <t>0ce66f49b381187fe6255a40ca2fdbfc155d5e36125ccf6d30fe81a72962eafa</t>
        </is>
      </c>
      <c r="BE452" s="24" t="inlineStr">
        <is>
          <t>tennis-surface-elo-v1</t>
        </is>
      </c>
      <c r="BF452" s="24" t="inlineStr">
        <is>
          <t>1</t>
        </is>
      </c>
      <c r="BG452" s="24" t="inlineStr">
        <is>
          <t>0ce66f49b381187fe6255a40ca2fdbfc155d5e36125ccf6d30fe81a72962eafa</t>
        </is>
      </c>
      <c r="BH452" s="24" t="inlineStr">
        <is>
          <t>2026-09-02T16:07:11.188329Z</t>
        </is>
      </c>
      <c r="BI452" s="24" t="inlineStr">
        <is>
          <t>["same_event","same_team_same_day","same_league_same_day"]</t>
        </is>
      </c>
      <c r="BJ452" s="25" t="n"/>
      <c r="BK452" s="26" t="n">
        <v>-456</v>
      </c>
      <c r="BL452" s="27" t="n">
        <v>1.219298</v>
      </c>
      <c r="BM452" s="28" t="n">
        <v>0.820144</v>
      </c>
      <c r="BN452" s="28" t="n"/>
      <c r="BO452" s="28" t="n"/>
      <c r="BP452" s="25" t="n"/>
      <c r="BQ452" s="27" t="n">
        <v>1.219298</v>
      </c>
      <c r="BR452" s="28" t="n">
        <v>0.82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0.219298</v>
      </c>
      <c r="BZ452" s="24" t="inlineStr">
        <is>
          <t>2026-09-04T04:30:21.730452Z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inlineStr">
        <is>
          <t>1284285a0ae021685bcfde93b2b2a55a71a977bbe4245d40c5d96b649005c8d8</t>
        </is>
      </c>
      <c r="DE452" s="24" t="inlineStr">
        <is>
          <t>/Users/vincentc9002/model-prediction/data/odds/tennis/2026-09-02/polymarket_snapshots.jsonl</t>
        </is>
      </c>
      <c r="DF452" s="24" t="inlineStr">
        <is>
          <t>598515:2026-09-02T16:07:11.188329Z</t>
        </is>
      </c>
      <c r="DG452" s="24" t="n"/>
      <c r="DH452" s="24" t="n"/>
      <c r="DI452" s="24" t="n"/>
      <c r="DJ452" s="24" t="inlineStr">
        <is>
          <t>0.820144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e98a7193f7e14776</t>
        </is>
      </c>
      <c r="B453" s="24" t="inlineStr">
        <is>
          <t>2026-09-02T16:08:38.156783Z</t>
        </is>
      </c>
      <c r="C453" s="24" t="inlineStr">
        <is>
          <t>2026-09-02T16:30Z</t>
        </is>
      </c>
      <c r="D453" s="24" t="inlineStr">
        <is>
          <t>189-2026:182714</t>
        </is>
      </c>
      <c r="E453" s="24" t="inlineStr">
        <is>
          <t>TENNIS</t>
        </is>
      </c>
      <c r="F453" s="24" t="inlineStr">
        <is>
          <t>Jacob Fearnley</t>
        </is>
      </c>
      <c r="G453" s="24" t="inlineStr">
        <is>
          <t>Tomas Martin Etcheverry</t>
        </is>
      </c>
      <c r="H453" s="24" t="inlineStr">
        <is>
          <t>moneyline</t>
        </is>
      </c>
      <c r="I453" s="24" t="inlineStr">
        <is>
          <t>home</t>
        </is>
      </c>
      <c r="J453" s="25" t="n"/>
      <c r="K453" s="24" t="inlineStr">
        <is>
          <t>polymarket_us</t>
        </is>
      </c>
      <c r="L453" s="26" t="n">
        <v>-133</v>
      </c>
      <c r="M453" s="27" t="n">
        <v>1.75188</v>
      </c>
      <c r="N453" s="28" t="n">
        <v>0.570815</v>
      </c>
      <c r="O453" s="28" t="n">
        <v>0.627</v>
      </c>
      <c r="P453" s="28" t="n">
        <v>0.05</v>
      </c>
      <c r="Q453" s="28" t="n">
        <v>0.056185</v>
      </c>
      <c r="R453" s="26" t="n">
        <v>48</v>
      </c>
      <c r="S453" s="29" t="n">
        <v>1</v>
      </c>
      <c r="T453" s="24" t="inlineStr">
        <is>
          <t>tennis-surface-elo-v1</t>
        </is>
      </c>
      <c r="U453" s="24" t="inlineStr">
        <is>
          <t>settled</t>
        </is>
      </c>
      <c r="V453" s="24" t="inlineStr">
        <is>
          <t>win</t>
        </is>
      </c>
      <c r="W453" s="26" t="n">
        <v>0</v>
      </c>
      <c r="X453" s="26" t="n">
        <v>1</v>
      </c>
      <c r="Y453" s="25" t="n"/>
      <c r="Z453" s="26" t="n"/>
      <c r="AA453" s="28" t="n"/>
      <c r="AB453" s="28" t="n"/>
      <c r="AC453" s="30" t="n">
        <v>0.7519</v>
      </c>
      <c r="AD453" s="24" t="inlineStr">
        <is>
          <t>2026-09-03T04:31:23.189416Z</t>
        </is>
      </c>
      <c r="AE453" s="31" t="inlineStr">
        <is>
          <t>Surface-blended Elo on Hard: Jacob Fearnley p=0.373 vs Tomas Martin Etcheverry. Executable ask 0.5700 (aec-atp-tometc-jacfea-2026-09-02).</t>
        </is>
      </c>
      <c r="AF453" s="31" t="inlineStr">
        <is>
          <t>Surface-blended Elo model; singles only, WTA+ATP market coverage, not yet locked-holdout qualified -- promoted by explicit operator directive, not genuine walk-forward validation.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4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Jacob Fearnley</t>
        </is>
      </c>
      <c r="AQ453" s="24" t="inlineStr">
        <is>
          <t>Jacob Fearnley</t>
        </is>
      </c>
      <c r="AR453" s="24" t="inlineStr">
        <is>
          <t>Jacob Fearnley</t>
        </is>
      </c>
      <c r="AS453" s="24" t="inlineStr">
        <is>
          <t>Tomas Martin Etcheverry</t>
        </is>
      </c>
      <c r="AT453" s="24" t="inlineStr">
        <is>
          <t>Tomas Martin Etcheverry</t>
        </is>
      </c>
      <c r="AU453" s="24" t="inlineStr">
        <is>
          <t>Tomas Martin Etcheverry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0ce66f49b381187fe6255a40ca2fdbfc155d5e36125ccf6d30fe81a72962eafa</t>
        </is>
      </c>
      <c r="BB453" s="24" t="inlineStr">
        <is>
          <t>surface_blended_elo</t>
        </is>
      </c>
      <c r="BC453" s="24" t="inlineStr">
        <is>
          <t>tennis-surface-elo-v1</t>
        </is>
      </c>
      <c r="BD453" s="24" t="inlineStr">
        <is>
          <t>0ce66f49b381187fe6255a40ca2fdbfc155d5e36125ccf6d30fe81a72962eafa</t>
        </is>
      </c>
      <c r="BE453" s="24" t="inlineStr">
        <is>
          <t>tennis-surface-elo-v1</t>
        </is>
      </c>
      <c r="BF453" s="24" t="inlineStr">
        <is>
          <t>1</t>
        </is>
      </c>
      <c r="BG453" s="24" t="inlineStr">
        <is>
          <t>0ce66f49b381187fe6255a40ca2fdbfc155d5e36125ccf6d30fe81a72962eafa</t>
        </is>
      </c>
      <c r="BH453" s="24" t="inlineStr">
        <is>
          <t>2026-09-02T16:07:12.524534Z</t>
        </is>
      </c>
      <c r="BI453" s="24" t="inlineStr">
        <is>
          <t>["same_event","same_team_same_day","same_league_same_day"]</t>
        </is>
      </c>
      <c r="BJ453" s="25" t="n"/>
      <c r="BK453" s="26" t="n">
        <v>-133</v>
      </c>
      <c r="BL453" s="27" t="n">
        <v>1.75188</v>
      </c>
      <c r="BM453" s="28" t="n">
        <v>0.570815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inlineStr">
        <is>
          <t>e8f7d0904f8cc99a30a254f8a5d9ec5e35293ee087c21a5626c13d8b43a32277</t>
        </is>
      </c>
      <c r="DE453" s="24" t="inlineStr">
        <is>
          <t>/Users/vincentc9002/model-prediction/data/odds/tennis/2026-09-02/polymarket_snapshots.jsonl</t>
        </is>
      </c>
      <c r="DF453" s="24" t="inlineStr">
        <is>
          <t>600040:2026-09-02T16:07:12.524534Z</t>
        </is>
      </c>
      <c r="DG453" s="24" t="n"/>
      <c r="DH453" s="24" t="n"/>
      <c r="DI453" s="24" t="n"/>
      <c r="DJ453" s="24" t="inlineStr">
        <is>
          <t>0.570815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3dddb10b7fdf4ef6</t>
        </is>
      </c>
      <c r="B454" s="24" t="inlineStr">
        <is>
          <t>2026-09-02T16:08:38.156783Z</t>
        </is>
      </c>
      <c r="C454" s="24" t="inlineStr">
        <is>
          <t>2026-09-02T17:00Z</t>
        </is>
      </c>
      <c r="D454" s="24" t="inlineStr">
        <is>
          <t>189-2026:182730</t>
        </is>
      </c>
      <c r="E454" s="24" t="inlineStr">
        <is>
          <t>TENNIS</t>
        </is>
      </c>
      <c r="F454" s="24" t="inlineStr">
        <is>
          <t>Hubert Hurkacz</t>
        </is>
      </c>
      <c r="G454" s="24" t="inlineStr">
        <is>
          <t>Ben Shelton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polymarket_us</t>
        </is>
      </c>
      <c r="L454" s="26" t="n">
        <v>-233</v>
      </c>
      <c r="M454" s="27" t="n">
        <v>1.429185</v>
      </c>
      <c r="N454" s="28" t="n">
        <v>0.6997</v>
      </c>
      <c r="O454" s="28" t="n">
        <v>0.8131</v>
      </c>
      <c r="P454" s="28" t="n">
        <v>0.05</v>
      </c>
      <c r="Q454" s="28" t="n">
        <v>0.1134</v>
      </c>
      <c r="R454" s="26" t="n">
        <v>77</v>
      </c>
      <c r="S454" s="29" t="n">
        <v>1.5</v>
      </c>
      <c r="T454" s="24" t="inlineStr">
        <is>
          <t>tennis-surface-elo-v1</t>
        </is>
      </c>
      <c r="U454" s="24" t="inlineStr">
        <is>
          <t>settled</t>
        </is>
      </c>
      <c r="V454" s="24" t="inlineStr">
        <is>
          <t>win</t>
        </is>
      </c>
      <c r="W454" s="26" t="n">
        <v>0</v>
      </c>
      <c r="X454" s="26" t="n">
        <v>1</v>
      </c>
      <c r="Y454" s="25" t="n"/>
      <c r="Z454" s="26" t="n">
        <v>-233</v>
      </c>
      <c r="AA454" s="28" t="n">
        <v>0.7</v>
      </c>
      <c r="AB454" s="28" t="n">
        <v>0.0003</v>
      </c>
      <c r="AC454" s="30" t="n">
        <v>0.6438</v>
      </c>
      <c r="AD454" s="24" t="inlineStr">
        <is>
          <t>2026-09-03T04:31:24.218632Z</t>
        </is>
      </c>
      <c r="AE454" s="31" t="inlineStr">
        <is>
          <t>Surface-blended Elo on Hard: Hubert Hurkacz p=0.187 vs Ben Shelton. Executable ask 0.7000 (aec-atp-benshe-hubhur-2026-09-02).</t>
        </is>
      </c>
      <c r="AF454" s="31" t="inlineStr">
        <is>
          <t>Surface-blended Elo model; singles only, WTA+ATP market coverage, not yet locked-holdout qualified -- promoted by explicit operator directive, not genuine walk-forward validation.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Hubert Hurkacz</t>
        </is>
      </c>
      <c r="AQ454" s="24" t="inlineStr">
        <is>
          <t>Hubert Hurkacz</t>
        </is>
      </c>
      <c r="AR454" s="24" t="inlineStr">
        <is>
          <t>Hubert Hurkacz</t>
        </is>
      </c>
      <c r="AS454" s="24" t="inlineStr">
        <is>
          <t>Ben Shelton</t>
        </is>
      </c>
      <c r="AT454" s="24" t="inlineStr">
        <is>
          <t>Ben Shelton</t>
        </is>
      </c>
      <c r="AU454" s="24" t="inlineStr">
        <is>
          <t>Ben Shelton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0ce66f49b381187fe6255a40ca2fdbfc155d5e36125ccf6d30fe81a72962eafa</t>
        </is>
      </c>
      <c r="BB454" s="24" t="inlineStr">
        <is>
          <t>surface_blended_elo</t>
        </is>
      </c>
      <c r="BC454" s="24" t="inlineStr">
        <is>
          <t>tennis-surface-elo-v1</t>
        </is>
      </c>
      <c r="BD454" s="24" t="inlineStr">
        <is>
          <t>0ce66f49b381187fe6255a40ca2fdbfc155d5e36125ccf6d30fe81a72962eafa</t>
        </is>
      </c>
      <c r="BE454" s="24" t="inlineStr">
        <is>
          <t>tennis-surface-elo-v1</t>
        </is>
      </c>
      <c r="BF454" s="24" t="inlineStr">
        <is>
          <t>1</t>
        </is>
      </c>
      <c r="BG454" s="24" t="inlineStr">
        <is>
          <t>0ce66f49b381187fe6255a40ca2fdbfc155d5e36125ccf6d30fe81a72962eafa</t>
        </is>
      </c>
      <c r="BH454" s="24" t="inlineStr">
        <is>
          <t>2026-09-02T16:07:12.750932Z</t>
        </is>
      </c>
      <c r="BI454" s="24" t="inlineStr">
        <is>
          <t>["same_event","same_team_same_day","same_league_same_day"]</t>
        </is>
      </c>
      <c r="BJ454" s="25" t="n"/>
      <c r="BK454" s="26" t="n">
        <v>-233</v>
      </c>
      <c r="BL454" s="27" t="n">
        <v>1.429185</v>
      </c>
      <c r="BM454" s="28" t="n">
        <v>0.6997</v>
      </c>
      <c r="BN454" s="28" t="n"/>
      <c r="BO454" s="28" t="n"/>
      <c r="BP454" s="25" t="n"/>
      <c r="BQ454" s="27" t="n">
        <v>1.429185</v>
      </c>
      <c r="BR454" s="28" t="n">
        <v>0.7</v>
      </c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inlineStr">
        <is>
          <t>a9b0b9221f44b954d8e89b7bef3555e75a2c2a7efd44dfe1ca65e2ccc93c86a9</t>
        </is>
      </c>
      <c r="DE454" s="24" t="inlineStr">
        <is>
          <t>/Users/vincentc9002/model-prediction/data/odds/tennis/2026-09-02/polymarket_snapshots.jsonl</t>
        </is>
      </c>
      <c r="DF454" s="24" t="inlineStr">
        <is>
          <t>601945:2026-09-02T16:07:12.750932Z</t>
        </is>
      </c>
      <c r="DG454" s="24" t="n"/>
      <c r="DH454" s="24" t="n"/>
      <c r="DI454" s="24" t="n"/>
      <c r="DJ454" s="24" t="inlineStr">
        <is>
          <t>0.6997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835d30ab103346d9</t>
        </is>
      </c>
      <c r="B455" s="24" t="inlineStr">
        <is>
          <t>2026-09-02T16:08:38.156783Z</t>
        </is>
      </c>
      <c r="C455" s="24" t="inlineStr">
        <is>
          <t>2026-09-02T18:30Z</t>
        </is>
      </c>
      <c r="D455" s="24" t="inlineStr">
        <is>
          <t>189-2026:182759</t>
        </is>
      </c>
      <c r="E455" s="24" t="inlineStr">
        <is>
          <t>TENNIS</t>
        </is>
      </c>
      <c r="F455" s="24" t="inlineStr">
        <is>
          <t>Wu Yibing</t>
        </is>
      </c>
      <c r="G455" s="24" t="inlineStr">
        <is>
          <t>James Duckworth</t>
        </is>
      </c>
      <c r="H455" s="24" t="inlineStr">
        <is>
          <t>moneyline</t>
        </is>
      </c>
      <c r="I455" s="24" t="inlineStr">
        <is>
          <t>home</t>
        </is>
      </c>
      <c r="J455" s="25" t="n"/>
      <c r="K455" s="24" t="inlineStr">
        <is>
          <t>polymarket_us</t>
        </is>
      </c>
      <c r="L455" s="26" t="n">
        <v>138</v>
      </c>
      <c r="M455" s="27" t="n">
        <v>2.38</v>
      </c>
      <c r="N455" s="28" t="n">
        <v>0.420168</v>
      </c>
      <c r="O455" s="28" t="n">
        <v>0.5033</v>
      </c>
      <c r="P455" s="28" t="n">
        <v>0.05</v>
      </c>
      <c r="Q455" s="28" t="n">
        <v>0.083132</v>
      </c>
      <c r="R455" s="26" t="n">
        <v>62</v>
      </c>
      <c r="S455" s="29" t="n">
        <v>1.25</v>
      </c>
      <c r="T455" s="24" t="inlineStr">
        <is>
          <t>tennis-surface-elo-v1</t>
        </is>
      </c>
      <c r="U455" s="24" t="inlineStr">
        <is>
          <t>settled</t>
        </is>
      </c>
      <c r="V455" s="24" t="inlineStr">
        <is>
          <t>loss</t>
        </is>
      </c>
      <c r="W455" s="26" t="n">
        <v>1</v>
      </c>
      <c r="X455" s="26" t="n">
        <v>0</v>
      </c>
      <c r="Y455" s="25" t="n"/>
      <c r="Z455" s="26" t="n">
        <v>138</v>
      </c>
      <c r="AA455" s="28" t="n">
        <v>0.42</v>
      </c>
      <c r="AB455" s="28" t="n">
        <v>-0.000168</v>
      </c>
      <c r="AC455" s="30" t="n">
        <v>-1.25</v>
      </c>
      <c r="AD455" s="24" t="inlineStr">
        <is>
          <t>2026-09-03T04:31:25.238372Z</t>
        </is>
      </c>
      <c r="AE455" s="31" t="inlineStr">
        <is>
          <t>Surface-blended Elo on Hard: Wu Yibing p=0.497 vs James Duckworth. Executable ask 0.4200 (aec-atp-jamduc-yibwu-2026-09-02).</t>
        </is>
      </c>
      <c r="AF455" s="31" t="inlineStr">
        <is>
          <t>Surface-blended Elo model; singles only, WTA+ATP market coverage, not yet locked-holdout qualified -- promoted by explicit operator directive, not genuine walk-forward validation.</t>
        </is>
      </c>
      <c r="AG455" s="24" t="inlineStr">
        <is>
          <t>review_required</t>
        </is>
      </c>
      <c r="AH455" s="24" t="n"/>
      <c r="AI455" s="31" t="n"/>
      <c r="AJ455" s="31" t="n"/>
      <c r="AK455" s="24" t="inlineStr">
        <is>
          <t>paper_call</t>
        </is>
      </c>
      <c r="AL455" s="26" t="n">
        <v>4</v>
      </c>
      <c r="AM455" s="24" t="inlineStr">
        <is>
          <t>RESEARCH_OBSERVATION</t>
        </is>
      </c>
      <c r="AN455" s="24" t="inlineStr">
        <is>
          <t>CALL</t>
        </is>
      </c>
      <c r="AO455" s="24" t="inlineStr">
        <is>
          <t>PAPER_CALL_LOW_EDGE</t>
        </is>
      </c>
      <c r="AP455" s="24" t="inlineStr">
        <is>
          <t>Wu Yibing</t>
        </is>
      </c>
      <c r="AQ455" s="24" t="inlineStr">
        <is>
          <t>Wu Yibing</t>
        </is>
      </c>
      <c r="AR455" s="24" t="inlineStr">
        <is>
          <t>Wu Yibing</t>
        </is>
      </c>
      <c r="AS455" s="24" t="inlineStr">
        <is>
          <t>James Duckworth</t>
        </is>
      </c>
      <c r="AT455" s="24" t="inlineStr">
        <is>
          <t>James Duckworth</t>
        </is>
      </c>
      <c r="AU455" s="24" t="inlineStr">
        <is>
          <t>James Duckworth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0ce66f49b381187fe6255a40ca2fdbfc155d5e36125ccf6d30fe81a72962eafa</t>
        </is>
      </c>
      <c r="BB455" s="24" t="inlineStr">
        <is>
          <t>surface_blended_elo</t>
        </is>
      </c>
      <c r="BC455" s="24" t="inlineStr">
        <is>
          <t>tennis-surface-elo-v1</t>
        </is>
      </c>
      <c r="BD455" s="24" t="inlineStr">
        <is>
          <t>0ce66f49b381187fe6255a40ca2fdbfc155d5e36125ccf6d30fe81a72962eafa</t>
        </is>
      </c>
      <c r="BE455" s="24" t="inlineStr">
        <is>
          <t>tennis-surface-elo-v1</t>
        </is>
      </c>
      <c r="BF455" s="24" t="inlineStr">
        <is>
          <t>1</t>
        </is>
      </c>
      <c r="BG455" s="24" t="inlineStr">
        <is>
          <t>0ce66f49b381187fe6255a40ca2fdbfc155d5e36125ccf6d30fe81a72962eafa</t>
        </is>
      </c>
      <c r="BH455" s="24" t="inlineStr">
        <is>
          <t>2026-09-02T16:07:13.105943Z</t>
        </is>
      </c>
      <c r="BI455" s="24" t="inlineStr">
        <is>
          <t>["same_event","same_team_same_day","same_league_same_day"]</t>
        </is>
      </c>
      <c r="BJ455" s="25" t="n"/>
      <c r="BK455" s="26" t="n">
        <v>138</v>
      </c>
      <c r="BL455" s="27" t="n">
        <v>2.38</v>
      </c>
      <c r="BM455" s="28" t="n">
        <v>0.420168</v>
      </c>
      <c r="BN455" s="28" t="n"/>
      <c r="BO455" s="28" t="n"/>
      <c r="BP455" s="25" t="n"/>
      <c r="BQ455" s="27" t="n">
        <v>2.38</v>
      </c>
      <c r="BR455" s="28" t="n">
        <v>0.42</v>
      </c>
      <c r="BS455" s="28" t="n"/>
      <c r="BT455" s="28" t="n"/>
      <c r="BU455" s="25" t="n"/>
      <c r="BV455" s="29" t="n"/>
      <c r="BW455" s="24" t="n"/>
      <c r="BX455" s="30" t="n">
        <v>1</v>
      </c>
      <c r="BY455" s="27" t="n">
        <v>-1</v>
      </c>
      <c r="BZ455" s="24" t="inlineStr">
        <is>
          <t>2026-09-03T04:31:25.238372Z</t>
        </is>
      </c>
      <c r="CA455" s="31" t="inlineStr">
        <is>
          <t>fixed one-unit hypothetical scoring; no real exposure or execution</t>
        </is>
      </c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inlineStr">
        <is>
          <t>aec46a43acc921d5e4614c71c058ddb94ef04d28eb6db33abc245ab960859dc2</t>
        </is>
      </c>
      <c r="DE455" s="24" t="inlineStr">
        <is>
          <t>/Users/vincentc9002/model-prediction/data/odds/tennis/2026-09-02/polymarket_snapshots.jsonl</t>
        </is>
      </c>
      <c r="DF455" s="24" t="inlineStr">
        <is>
          <t>600037:2026-09-02T16:07:13.105943Z</t>
        </is>
      </c>
      <c r="DG455" s="24" t="n"/>
      <c r="DH455" s="24" t="n"/>
      <c r="DI455" s="24" t="n"/>
      <c r="DJ455" s="24" t="inlineStr">
        <is>
          <t>0.420168</t>
        </is>
      </c>
      <c r="DK455" s="24" t="n"/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670ff2119a944ad8</t>
        </is>
      </c>
      <c r="B456" s="24" t="inlineStr">
        <is>
          <t>2026-09-02T16:08:38.156783Z</t>
        </is>
      </c>
      <c r="C456" s="24" t="inlineStr">
        <is>
          <t>2026-09-02T18:30Z</t>
        </is>
      </c>
      <c r="D456" s="24" t="inlineStr">
        <is>
          <t>189-2026:182773</t>
        </is>
      </c>
      <c r="E456" s="24" t="inlineStr">
        <is>
          <t>TENNIS</t>
        </is>
      </c>
      <c r="F456" s="24" t="inlineStr">
        <is>
          <t>Luca Van Assche</t>
        </is>
      </c>
      <c r="G456" s="24" t="inlineStr">
        <is>
          <t>Denis Shapovalov</t>
        </is>
      </c>
      <c r="H456" s="24" t="inlineStr">
        <is>
          <t>moneyline</t>
        </is>
      </c>
      <c r="I456" s="24" t="inlineStr">
        <is>
          <t>home</t>
        </is>
      </c>
      <c r="J456" s="25" t="n"/>
      <c r="K456" s="24" t="inlineStr">
        <is>
          <t>polymarket_us</t>
        </is>
      </c>
      <c r="L456" s="26" t="n">
        <v>-144</v>
      </c>
      <c r="M456" s="27" t="n">
        <v>1.694444</v>
      </c>
      <c r="N456" s="28" t="n">
        <v>0.590164</v>
      </c>
      <c r="O456" s="28" t="n">
        <v>0.6155</v>
      </c>
      <c r="P456" s="28" t="n">
        <v>0.05</v>
      </c>
      <c r="Q456" s="28" t="n">
        <v>0.025336</v>
      </c>
      <c r="R456" s="26" t="n">
        <v>33</v>
      </c>
      <c r="S456" s="29" t="n">
        <v>1</v>
      </c>
      <c r="T456" s="24" t="inlineStr">
        <is>
          <t>tennis-surface-elo-v1</t>
        </is>
      </c>
      <c r="U456" s="24" t="inlineStr">
        <is>
          <t>settled</t>
        </is>
      </c>
      <c r="V456" s="24" t="inlineStr">
        <is>
          <t>win</t>
        </is>
      </c>
      <c r="W456" s="26" t="n">
        <v>0</v>
      </c>
      <c r="X456" s="26" t="n">
        <v>1</v>
      </c>
      <c r="Y456" s="25" t="n"/>
      <c r="Z456" s="26" t="n">
        <v>-144</v>
      </c>
      <c r="AA456" s="28" t="n">
        <v>0.59</v>
      </c>
      <c r="AB456" s="28" t="n">
        <v>-0.000164</v>
      </c>
      <c r="AC456" s="30" t="n">
        <v>0.6944</v>
      </c>
      <c r="AD456" s="24" t="inlineStr">
        <is>
          <t>2026-09-03T04:31:26.267056Z</t>
        </is>
      </c>
      <c r="AE456" s="31" t="inlineStr">
        <is>
          <t>Surface-blended Elo on Hard: Luca Van Assche p=0.384 vs Denis Shapovalov. Executable ask 0.5900 (aec-atp-densha-lucass-2026-08-31).</t>
        </is>
      </c>
      <c r="AF456" s="31" t="inlineStr">
        <is>
          <t>Surface-blended Elo model; singles only, WTA+ATP market coverage, not yet locked-holdout qualified -- promoted by explicit operator directive, not genuine walk-forward validation.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paper_call</t>
        </is>
      </c>
      <c r="AL456" s="26" t="n">
        <v>4</v>
      </c>
      <c r="AM456" s="24" t="inlineStr">
        <is>
          <t>RESEARCH_OBSERVATION</t>
        </is>
      </c>
      <c r="AN456" s="24" t="inlineStr">
        <is>
          <t>CALL</t>
        </is>
      </c>
      <c r="AO456" s="24" t="inlineStr">
        <is>
          <t>PAPER_CALL_LOW_EDGE</t>
        </is>
      </c>
      <c r="AP456" s="24" t="inlineStr">
        <is>
          <t>Luca Van Assche</t>
        </is>
      </c>
      <c r="AQ456" s="24" t="inlineStr">
        <is>
          <t>Luca Van Assche</t>
        </is>
      </c>
      <c r="AR456" s="24" t="inlineStr">
        <is>
          <t>Luca Van Assche</t>
        </is>
      </c>
      <c r="AS456" s="24" t="inlineStr">
        <is>
          <t>Denis Shapovalov</t>
        </is>
      </c>
      <c r="AT456" s="24" t="inlineStr">
        <is>
          <t>Denis Shapovalov</t>
        </is>
      </c>
      <c r="AU456" s="24" t="inlineStr">
        <is>
          <t>Denis Shapovalov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0ce66f49b381187fe6255a40ca2fdbfc155d5e36125ccf6d30fe81a72962eafa</t>
        </is>
      </c>
      <c r="BB456" s="24" t="inlineStr">
        <is>
          <t>surface_blended_elo</t>
        </is>
      </c>
      <c r="BC456" s="24" t="inlineStr">
        <is>
          <t>tennis-surface-elo-v1</t>
        </is>
      </c>
      <c r="BD456" s="24" t="inlineStr">
        <is>
          <t>0ce66f49b381187fe6255a40ca2fdbfc155d5e36125ccf6d30fe81a72962eafa</t>
        </is>
      </c>
      <c r="BE456" s="24" t="inlineStr">
        <is>
          <t>tennis-surface-elo-v1</t>
        </is>
      </c>
      <c r="BF456" s="24" t="inlineStr">
        <is>
          <t>1</t>
        </is>
      </c>
      <c r="BG456" s="24" t="inlineStr">
        <is>
          <t>0ce66f49b381187fe6255a40ca2fdbfc155d5e36125ccf6d30fe81a72962eafa</t>
        </is>
      </c>
      <c r="BH456" s="24" t="inlineStr">
        <is>
          <t>2026-09-02T16:07:12.974361Z</t>
        </is>
      </c>
      <c r="BI456" s="24" t="inlineStr">
        <is>
          <t>["same_event","same_team_same_day","same_league_same_day"]</t>
        </is>
      </c>
      <c r="BJ456" s="25" t="n"/>
      <c r="BK456" s="26" t="n">
        <v>-144</v>
      </c>
      <c r="BL456" s="27" t="n">
        <v>1.694444</v>
      </c>
      <c r="BM456" s="28" t="n">
        <v>0.590164</v>
      </c>
      <c r="BN456" s="28" t="n"/>
      <c r="BO456" s="28" t="n"/>
      <c r="BP456" s="25" t="n"/>
      <c r="BQ456" s="27" t="n">
        <v>1.694444</v>
      </c>
      <c r="BR456" s="28" t="n">
        <v>0.59</v>
      </c>
      <c r="BS456" s="28" t="n"/>
      <c r="BT456" s="28" t="n"/>
      <c r="BU456" s="25" t="n"/>
      <c r="BV456" s="29" t="n"/>
      <c r="BW456" s="24" t="n"/>
      <c r="BX456" s="30" t="n">
        <v>1</v>
      </c>
      <c r="BY456" s="27" t="n">
        <v>0.694444</v>
      </c>
      <c r="BZ456" s="24" t="inlineStr">
        <is>
          <t>2026-09-03T04:31:26.267056Z</t>
        </is>
      </c>
      <c r="CA456" s="31" t="inlineStr">
        <is>
          <t>fixed one-unit hypothetical scoring; no real exposure or execution</t>
        </is>
      </c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inlineStr">
        <is>
          <t>a767d9d18660822d25b05b8924b1be8f34d239a96cf83f8bfdb760c1f81811fb</t>
        </is>
      </c>
      <c r="DE456" s="24" t="inlineStr">
        <is>
          <t>/Users/vincentc9002/model-prediction/data/odds/tennis/2026-09-02/polymarket_snapshots.jsonl</t>
        </is>
      </c>
      <c r="DF456" s="24" t="inlineStr">
        <is>
          <t>577284:2026-09-02T16:07:12.974361Z</t>
        </is>
      </c>
      <c r="DG456" s="24" t="n"/>
      <c r="DH456" s="24" t="n"/>
      <c r="DI456" s="24" t="n"/>
      <c r="DJ456" s="24" t="inlineStr">
        <is>
          <t>0.590164</t>
        </is>
      </c>
      <c r="DK456" s="24" t="n"/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09364504d5b44b2c</t>
        </is>
      </c>
      <c r="B457" s="24" t="inlineStr">
        <is>
          <t>2026-09-02T16:08:38.156783Z</t>
        </is>
      </c>
      <c r="C457" s="24" t="inlineStr">
        <is>
          <t>2026-09-02T19:30Z</t>
        </is>
      </c>
      <c r="D457" s="24" t="inlineStr">
        <is>
          <t>189-2026:182761</t>
        </is>
      </c>
      <c r="E457" s="24" t="inlineStr">
        <is>
          <t>TENNIS</t>
        </is>
      </c>
      <c r="F457" s="24" t="inlineStr">
        <is>
          <t>Tommy Paul</t>
        </is>
      </c>
      <c r="G457" s="24" t="inlineStr">
        <is>
          <t>Dino Prizmic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polymarket_us</t>
        </is>
      </c>
      <c r="L457" s="26" t="n">
        <v>-456</v>
      </c>
      <c r="M457" s="27" t="n">
        <v>1.219298</v>
      </c>
      <c r="N457" s="28" t="n">
        <v>0.820144</v>
      </c>
      <c r="O457" s="28" t="n">
        <v>0.7652</v>
      </c>
      <c r="P457" s="28" t="n">
        <v>0.05</v>
      </c>
      <c r="Q457" s="28" t="n">
        <v>-0.054944</v>
      </c>
      <c r="R457" s="26" t="n">
        <v>0</v>
      </c>
      <c r="S457" s="29" t="n">
        <v>1</v>
      </c>
      <c r="T457" s="24" t="inlineStr">
        <is>
          <t>tennis-surface-elo-v1</t>
        </is>
      </c>
      <c r="U457" s="24" t="inlineStr">
        <is>
          <t>settled</t>
        </is>
      </c>
      <c r="V457" s="24" t="inlineStr">
        <is>
          <t>win</t>
        </is>
      </c>
      <c r="W457" s="26" t="n">
        <v>1</v>
      </c>
      <c r="X457" s="26" t="n">
        <v>0</v>
      </c>
      <c r="Y457" s="25" t="n"/>
      <c r="Z457" s="26" t="n">
        <v>-456</v>
      </c>
      <c r="AA457" s="28" t="n">
        <v>0.82</v>
      </c>
      <c r="AB457" s="28" t="n">
        <v>-0.000144</v>
      </c>
      <c r="AC457" s="30" t="n">
        <v>0.2193</v>
      </c>
      <c r="AD457" s="24" t="inlineStr">
        <is>
          <t>2026-09-03T04:31:27.294330Z</t>
        </is>
      </c>
      <c r="AE457" s="31" t="inlineStr">
        <is>
          <t>Surface-blended Elo on Hard: Tommy Paul p=0.765 vs Dino Prizmic. Executable ask 0.8200 (aec-atp-dinpri-tompau-2026-08-31).</t>
        </is>
      </c>
      <c r="AF457" s="31" t="inlineStr">
        <is>
          <t>Surface-blended Elo model; singles only, WTA+ATP market coverage, not yet locked-holdout qualified -- promoted by explicit operator directive, not genuine walk-forward validation.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paper_call</t>
        </is>
      </c>
      <c r="AL457" s="26" t="n">
        <v>4</v>
      </c>
      <c r="AM457" s="24" t="inlineStr">
        <is>
          <t>RESEARCH_OBSERVATION</t>
        </is>
      </c>
      <c r="AN457" s="24" t="inlineStr">
        <is>
          <t>CALL</t>
        </is>
      </c>
      <c r="AO457" s="24" t="inlineStr">
        <is>
          <t>PAPER_CALL_LOW_EDGE</t>
        </is>
      </c>
      <c r="AP457" s="24" t="inlineStr">
        <is>
          <t>Tommy Paul</t>
        </is>
      </c>
      <c r="AQ457" s="24" t="inlineStr">
        <is>
          <t>Tommy Paul</t>
        </is>
      </c>
      <c r="AR457" s="24" t="inlineStr">
        <is>
          <t>Tommy Paul</t>
        </is>
      </c>
      <c r="AS457" s="24" t="inlineStr">
        <is>
          <t>Dino Prizmic</t>
        </is>
      </c>
      <c r="AT457" s="24" t="inlineStr">
        <is>
          <t>Dino Prizmic</t>
        </is>
      </c>
      <c r="AU457" s="24" t="inlineStr">
        <is>
          <t>Dino Prizmic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0ce66f49b381187fe6255a40ca2fdbfc155d5e36125ccf6d30fe81a72962eafa</t>
        </is>
      </c>
      <c r="BB457" s="24" t="inlineStr">
        <is>
          <t>surface_blended_elo</t>
        </is>
      </c>
      <c r="BC457" s="24" t="inlineStr">
        <is>
          <t>tennis-surface-elo-v1</t>
        </is>
      </c>
      <c r="BD457" s="24" t="inlineStr">
        <is>
          <t>0ce66f49b381187fe6255a40ca2fdbfc155d5e36125ccf6d30fe81a72962eafa</t>
        </is>
      </c>
      <c r="BE457" s="24" t="inlineStr">
        <is>
          <t>tennis-surface-elo-v1</t>
        </is>
      </c>
      <c r="BF457" s="24" t="inlineStr">
        <is>
          <t>1</t>
        </is>
      </c>
      <c r="BG457" s="24" t="inlineStr">
        <is>
          <t>0ce66f49b381187fe6255a40ca2fdbfc155d5e36125ccf6d30fe81a72962eafa</t>
        </is>
      </c>
      <c r="BH457" s="24" t="inlineStr">
        <is>
          <t>2026-09-02T16:07:13.519519Z</t>
        </is>
      </c>
      <c r="BI457" s="24" t="inlineStr">
        <is>
          <t>["same_event","same_team_same_day","same_league_same_day"]</t>
        </is>
      </c>
      <c r="BJ457" s="25" t="n"/>
      <c r="BK457" s="26" t="n">
        <v>-456</v>
      </c>
      <c r="BL457" s="27" t="n">
        <v>1.219298</v>
      </c>
      <c r="BM457" s="28" t="n">
        <v>0.820144</v>
      </c>
      <c r="BN457" s="28" t="n"/>
      <c r="BO457" s="28" t="n"/>
      <c r="BP457" s="25" t="n"/>
      <c r="BQ457" s="27" t="n">
        <v>1.219298</v>
      </c>
      <c r="BR457" s="28" t="n">
        <v>0.82</v>
      </c>
      <c r="BS457" s="28" t="n"/>
      <c r="BT457" s="28" t="n"/>
      <c r="BU457" s="25" t="n"/>
      <c r="BV457" s="29" t="n"/>
      <c r="BW457" s="24" t="n"/>
      <c r="BX457" s="30" t="n">
        <v>1</v>
      </c>
      <c r="BY457" s="27" t="n">
        <v>0.219298</v>
      </c>
      <c r="BZ457" s="24" t="inlineStr">
        <is>
          <t>2026-09-03T04:31:27.294330Z</t>
        </is>
      </c>
      <c r="CA457" s="31" t="inlineStr">
        <is>
          <t>fixed one-unit hypothetical scoring; no real exposure or execution</t>
        </is>
      </c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False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inlineStr">
        <is>
          <t>e93f54822ecd4e6ecafcc17db1e14a791584f25ee631ca1079d5d0b988dd28a7</t>
        </is>
      </c>
      <c r="DE457" s="24" t="inlineStr">
        <is>
          <t>/Users/vincentc9002/model-prediction/data/odds/tennis/2026-09-02/polymarket_snapshots.jsonl</t>
        </is>
      </c>
      <c r="DF457" s="24" t="inlineStr">
        <is>
          <t>575736:2026-09-02T16:07:13.519519Z</t>
        </is>
      </c>
      <c r="DG457" s="24" t="n"/>
      <c r="DH457" s="24" t="n"/>
      <c r="DI457" s="24" t="n"/>
      <c r="DJ457" s="24" t="inlineStr">
        <is>
          <t>0.820144</t>
        </is>
      </c>
      <c r="DK457" s="24" t="n"/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ec8a81bbbbfd4ea0</t>
        </is>
      </c>
      <c r="B458" s="24" t="inlineStr">
        <is>
          <t>2026-09-02T16:08:38.156783Z</t>
        </is>
      </c>
      <c r="C458" s="24" t="inlineStr">
        <is>
          <t>2026-09-02T19:30Z</t>
        </is>
      </c>
      <c r="D458" s="24" t="inlineStr">
        <is>
          <t>189-2026:182776</t>
        </is>
      </c>
      <c r="E458" s="24" t="inlineStr">
        <is>
          <t>TENNIS</t>
        </is>
      </c>
      <c r="F458" s="24" t="inlineStr">
        <is>
          <t>Toby Samuel</t>
        </is>
      </c>
      <c r="G458" s="24" t="inlineStr">
        <is>
          <t>Jiri Lehecka</t>
        </is>
      </c>
      <c r="H458" s="24" t="inlineStr">
        <is>
          <t>moneyline</t>
        </is>
      </c>
      <c r="I458" s="24" t="inlineStr">
        <is>
          <t>home</t>
        </is>
      </c>
      <c r="J458" s="25" t="n"/>
      <c r="K458" s="24" t="inlineStr">
        <is>
          <t>polymarket_us</t>
        </is>
      </c>
      <c r="L458" s="26" t="n">
        <v>-270</v>
      </c>
      <c r="M458" s="27" t="n">
        <v>1.37037</v>
      </c>
      <c r="N458" s="28" t="n">
        <v>0.72973</v>
      </c>
      <c r="O458" s="28" t="n">
        <v>0.7131999999999999</v>
      </c>
      <c r="P458" s="28" t="n">
        <v>0.05</v>
      </c>
      <c r="Q458" s="28" t="n">
        <v>-0.01653</v>
      </c>
      <c r="R458" s="26" t="n">
        <v>12</v>
      </c>
      <c r="S458" s="29" t="n">
        <v>1</v>
      </c>
      <c r="T458" s="24" t="inlineStr">
        <is>
          <t>tennis-surface-elo-v1</t>
        </is>
      </c>
      <c r="U458" s="24" t="inlineStr">
        <is>
          <t>settled</t>
        </is>
      </c>
      <c r="V458" s="24" t="inlineStr">
        <is>
          <t>win</t>
        </is>
      </c>
      <c r="W458" s="26" t="n">
        <v>0</v>
      </c>
      <c r="X458" s="26" t="n">
        <v>1</v>
      </c>
      <c r="Y458" s="25" t="n"/>
      <c r="Z458" s="26" t="n">
        <v>-270</v>
      </c>
      <c r="AA458" s="28" t="n">
        <v>0.73</v>
      </c>
      <c r="AB458" s="28" t="n">
        <v>0.00027</v>
      </c>
      <c r="AC458" s="30" t="n">
        <v>0.3704</v>
      </c>
      <c r="AD458" s="24" t="inlineStr">
        <is>
          <t>2026-09-03T04:31:28.321282Z</t>
        </is>
      </c>
      <c r="AE458" s="31" t="inlineStr">
        <is>
          <t>Surface-blended Elo on Hard: Toby Samuel p=0.287 vs Jiri Lehecka. Executable ask 0.7300 (aec-atp-jirleh-tobsam-2026-09-02).</t>
        </is>
      </c>
      <c r="AF458" s="31" t="inlineStr">
        <is>
          <t>Surface-blended Elo model; singles only, WTA+ATP market coverage, not yet locked-holdout qualified -- promoted by explicit operator directive, not genuine walk-forward validation.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paper_call</t>
        </is>
      </c>
      <c r="AL458" s="26" t="n">
        <v>4</v>
      </c>
      <c r="AM458" s="24" t="inlineStr">
        <is>
          <t>RESEARCH_OBSERVATION</t>
        </is>
      </c>
      <c r="AN458" s="24" t="inlineStr">
        <is>
          <t>CALL</t>
        </is>
      </c>
      <c r="AO458" s="24" t="inlineStr">
        <is>
          <t>PAPER_CALL_LOW_EDGE</t>
        </is>
      </c>
      <c r="AP458" s="24" t="inlineStr">
        <is>
          <t>Toby Samuel</t>
        </is>
      </c>
      <c r="AQ458" s="24" t="inlineStr">
        <is>
          <t>Toby Samuel</t>
        </is>
      </c>
      <c r="AR458" s="24" t="inlineStr">
        <is>
          <t>Toby Samuel</t>
        </is>
      </c>
      <c r="AS458" s="24" t="inlineStr">
        <is>
          <t>Jiri Lehecka</t>
        </is>
      </c>
      <c r="AT458" s="24" t="inlineStr">
        <is>
          <t>Jiri Lehecka</t>
        </is>
      </c>
      <c r="AU458" s="24" t="inlineStr">
        <is>
          <t>Jiri Lehecka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0ce66f49b381187fe6255a40ca2fdbfc155d5e36125ccf6d30fe81a72962eafa</t>
        </is>
      </c>
      <c r="BB458" s="24" t="inlineStr">
        <is>
          <t>surface_blended_elo</t>
        </is>
      </c>
      <c r="BC458" s="24" t="inlineStr">
        <is>
          <t>tennis-surface-elo-v1</t>
        </is>
      </c>
      <c r="BD458" s="24" t="inlineStr">
        <is>
          <t>0ce66f49b381187fe6255a40ca2fdbfc155d5e36125ccf6d30fe81a72962eafa</t>
        </is>
      </c>
      <c r="BE458" s="24" t="inlineStr">
        <is>
          <t>tennis-surface-elo-v1</t>
        </is>
      </c>
      <c r="BF458" s="24" t="inlineStr">
        <is>
          <t>1</t>
        </is>
      </c>
      <c r="BG458" s="24" t="inlineStr">
        <is>
          <t>0ce66f49b381187fe6255a40ca2fdbfc155d5e36125ccf6d30fe81a72962eafa</t>
        </is>
      </c>
      <c r="BH458" s="24" t="inlineStr">
        <is>
          <t>2026-09-02T16:07:13.158851Z</t>
        </is>
      </c>
      <c r="BI458" s="24" t="inlineStr">
        <is>
          <t>["same_event","same_team_same_day","same_league_same_day"]</t>
        </is>
      </c>
      <c r="BJ458" s="25" t="n"/>
      <c r="BK458" s="26" t="n">
        <v>-270</v>
      </c>
      <c r="BL458" s="27" t="n">
        <v>1.37037</v>
      </c>
      <c r="BM458" s="28" t="n">
        <v>0.72973</v>
      </c>
      <c r="BN458" s="28" t="n"/>
      <c r="BO458" s="28" t="n"/>
      <c r="BP458" s="25" t="n"/>
      <c r="BQ458" s="27" t="n">
        <v>1.37037</v>
      </c>
      <c r="BR458" s="28" t="n">
        <v>0.73</v>
      </c>
      <c r="BS458" s="28" t="n"/>
      <c r="BT458" s="28" t="n"/>
      <c r="BU458" s="25" t="n"/>
      <c r="BV458" s="29" t="n"/>
      <c r="BW458" s="24" t="n"/>
      <c r="BX458" s="30" t="n">
        <v>1</v>
      </c>
      <c r="BY458" s="27" t="n">
        <v>0.37037</v>
      </c>
      <c r="BZ458" s="24" t="inlineStr">
        <is>
          <t>2026-09-03T04:31:28.321282Z</t>
        </is>
      </c>
      <c r="CA458" s="31" t="inlineStr">
        <is>
          <t>fixed one-unit hypothetical scoring; no real exposure or execution</t>
        </is>
      </c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False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inlineStr">
        <is>
          <t>cb87e323fbcd3a882e38d001bab28962d69513fc7ab79c2839f7453643f1bd60</t>
        </is>
      </c>
      <c r="DE458" s="24" t="inlineStr">
        <is>
          <t>/Users/vincentc9002/model-prediction/data/odds/tennis/2026-09-02/polymarket_snapshots.jsonl</t>
        </is>
      </c>
      <c r="DF458" s="24" t="inlineStr">
        <is>
          <t>596778:2026-09-02T16:07:13.158851Z</t>
        </is>
      </c>
      <c r="DG458" s="24" t="n"/>
      <c r="DH458" s="24" t="n"/>
      <c r="DI458" s="24" t="n"/>
      <c r="DJ458" s="24" t="inlineStr">
        <is>
          <t>0.72973</t>
        </is>
      </c>
      <c r="DK458" s="24" t="n"/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035ae80da5db4922</t>
        </is>
      </c>
      <c r="B459" s="24" t="inlineStr">
        <is>
          <t>2026-09-02T16:08:38.156783Z</t>
        </is>
      </c>
      <c r="C459" s="24" t="inlineStr">
        <is>
          <t>2026-09-02T20:00Z</t>
        </is>
      </c>
      <c r="D459" s="24" t="inlineStr">
        <is>
          <t>189-2026:182720</t>
        </is>
      </c>
      <c r="E459" s="24" t="inlineStr">
        <is>
          <t>TENNIS</t>
        </is>
      </c>
      <c r="F459" s="24" t="inlineStr">
        <is>
          <t>Mariano Navone</t>
        </is>
      </c>
      <c r="G459" s="24" t="inlineStr">
        <is>
          <t>Matteo Berrettini</t>
        </is>
      </c>
      <c r="H459" s="24" t="inlineStr">
        <is>
          <t>moneyline</t>
        </is>
      </c>
      <c r="I459" s="24" t="inlineStr">
        <is>
          <t>home</t>
        </is>
      </c>
      <c r="J459" s="25" t="n"/>
      <c r="K459" s="24" t="inlineStr">
        <is>
          <t>polymarket_us</t>
        </is>
      </c>
      <c r="L459" s="26" t="n">
        <v>-170</v>
      </c>
      <c r="M459" s="27" t="n">
        <v>1.588235</v>
      </c>
      <c r="N459" s="28" t="n">
        <v>0.62963</v>
      </c>
      <c r="O459" s="28" t="n">
        <v>0.537</v>
      </c>
      <c r="P459" s="28" t="n">
        <v>0.05</v>
      </c>
      <c r="Q459" s="28" t="n">
        <v>-0.09263</v>
      </c>
      <c r="R459" s="26" t="n">
        <v>0</v>
      </c>
      <c r="S459" s="29" t="n">
        <v>1</v>
      </c>
      <c r="T459" s="24" t="inlineStr">
        <is>
          <t>tennis-surface-elo-v1</t>
        </is>
      </c>
      <c r="U459" s="24" t="inlineStr">
        <is>
          <t>settled</t>
        </is>
      </c>
      <c r="V459" s="24" t="inlineStr">
        <is>
          <t>loss</t>
        </is>
      </c>
      <c r="W459" s="26" t="n">
        <v>1</v>
      </c>
      <c r="X459" s="26" t="n">
        <v>0</v>
      </c>
      <c r="Y459" s="25" t="n"/>
      <c r="Z459" s="26" t="n">
        <v>-170</v>
      </c>
      <c r="AA459" s="28" t="n">
        <v>0.63</v>
      </c>
      <c r="AB459" s="28" t="n">
        <v>0.00037</v>
      </c>
      <c r="AC459" s="30" t="n">
        <v>-1</v>
      </c>
      <c r="AD459" s="24" t="inlineStr">
        <is>
          <t>2026-09-03T04:31:29.349842Z</t>
        </is>
      </c>
      <c r="AE459" s="31" t="inlineStr">
        <is>
          <t>Surface-blended Elo on Hard: Mariano Navone p=0.463 vs Matteo Berrettini. Executable ask 0.6300 (aec-atp-matber-marnav-2026-09-01).</t>
        </is>
      </c>
      <c r="AF459" s="31" t="inlineStr">
        <is>
          <t>Surface-blended Elo model; singles only, WTA+ATP market coverage, not yet locked-holdout qualified -- promoted by explicit operator directive, not genuine walk-forward validation.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paper_call</t>
        </is>
      </c>
      <c r="AL459" s="26" t="n">
        <v>4</v>
      </c>
      <c r="AM459" s="24" t="inlineStr">
        <is>
          <t>RESEARCH_OBSERVATION</t>
        </is>
      </c>
      <c r="AN459" s="24" t="inlineStr">
        <is>
          <t>CALL</t>
        </is>
      </c>
      <c r="AO459" s="24" t="inlineStr">
        <is>
          <t>PAPER_CALL_LOW_EDGE</t>
        </is>
      </c>
      <c r="AP459" s="24" t="inlineStr">
        <is>
          <t>Mariano Navone</t>
        </is>
      </c>
      <c r="AQ459" s="24" t="inlineStr">
        <is>
          <t>Mariano Navone</t>
        </is>
      </c>
      <c r="AR459" s="24" t="inlineStr">
        <is>
          <t>Mariano Navone</t>
        </is>
      </c>
      <c r="AS459" s="24" t="inlineStr">
        <is>
          <t>Matteo Berrettini</t>
        </is>
      </c>
      <c r="AT459" s="24" t="inlineStr">
        <is>
          <t>Matteo Berrettini</t>
        </is>
      </c>
      <c r="AU459" s="24" t="inlineStr">
        <is>
          <t>Matteo Berrettini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0ce66f49b381187fe6255a40ca2fdbfc155d5e36125ccf6d30fe81a72962eafa</t>
        </is>
      </c>
      <c r="BB459" s="24" t="inlineStr">
        <is>
          <t>surface_blended_elo</t>
        </is>
      </c>
      <c r="BC459" s="24" t="inlineStr">
        <is>
          <t>tennis-surface-elo-v1</t>
        </is>
      </c>
      <c r="BD459" s="24" t="inlineStr">
        <is>
          <t>0ce66f49b381187fe6255a40ca2fdbfc155d5e36125ccf6d30fe81a72962eafa</t>
        </is>
      </c>
      <c r="BE459" s="24" t="inlineStr">
        <is>
          <t>tennis-surface-elo-v1</t>
        </is>
      </c>
      <c r="BF459" s="24" t="inlineStr">
        <is>
          <t>1</t>
        </is>
      </c>
      <c r="BG459" s="24" t="inlineStr">
        <is>
          <t>0ce66f49b381187fe6255a40ca2fdbfc155d5e36125ccf6d30fe81a72962eafa</t>
        </is>
      </c>
      <c r="BH459" s="24" t="inlineStr">
        <is>
          <t>2026-09-02T16:07:13.337560Z</t>
        </is>
      </c>
      <c r="BI459" s="24" t="inlineStr">
        <is>
          <t>["same_event","same_team_same_day","same_league_same_day"]</t>
        </is>
      </c>
      <c r="BJ459" s="25" t="n"/>
      <c r="BK459" s="26" t="n">
        <v>-170</v>
      </c>
      <c r="BL459" s="27" t="n">
        <v>1.588235</v>
      </c>
      <c r="BM459" s="28" t="n">
        <v>0.62963</v>
      </c>
      <c r="BN459" s="28" t="n"/>
      <c r="BO459" s="28" t="n"/>
      <c r="BP459" s="25" t="n"/>
      <c r="BQ459" s="27" t="n">
        <v>1.588235</v>
      </c>
      <c r="BR459" s="28" t="n">
        <v>0.63</v>
      </c>
      <c r="BS459" s="28" t="n"/>
      <c r="BT459" s="28" t="n"/>
      <c r="BU459" s="25" t="n"/>
      <c r="BV459" s="29" t="n"/>
      <c r="BW459" s="24" t="n"/>
      <c r="BX459" s="30" t="n">
        <v>1</v>
      </c>
      <c r="BY459" s="27" t="n">
        <v>-1</v>
      </c>
      <c r="BZ459" s="24" t="inlineStr">
        <is>
          <t>2026-09-03T04:31:29.349842Z</t>
        </is>
      </c>
      <c r="CA459" s="31" t="inlineStr">
        <is>
          <t>fixed one-unit hypothetical scoring; no real exposure or execution</t>
        </is>
      </c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False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inlineStr">
        <is>
          <t>0cc33da978c6909c0cf96b486889a2d5feaed7e0796ffa3af75863539aca1f27</t>
        </is>
      </c>
      <c r="DE459" s="24" t="inlineStr">
        <is>
          <t>/Users/vincentc9002/model-prediction/data/odds/tennis/2026-09-02/polymarket_snapshots.jsonl</t>
        </is>
      </c>
      <c r="DF459" s="24" t="inlineStr">
        <is>
          <t>600236:2026-09-02T16:07:13.337560Z</t>
        </is>
      </c>
      <c r="DG459" s="24" t="n"/>
      <c r="DH459" s="24" t="n"/>
      <c r="DI459" s="24" t="n"/>
      <c r="DJ459" s="24" t="inlineStr">
        <is>
          <t>0.62963</t>
        </is>
      </c>
      <c r="DK459" s="24" t="n"/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fbd41c4624354ccc</t>
        </is>
      </c>
      <c r="B460" s="24" t="inlineStr">
        <is>
          <t>2026-09-02T16:08:38.156783Z</t>
        </is>
      </c>
      <c r="C460" s="24" t="inlineStr">
        <is>
          <t>2026-09-02T20:00Z</t>
        </is>
      </c>
      <c r="D460" s="24" t="inlineStr">
        <is>
          <t>189-2026:182779</t>
        </is>
      </c>
      <c r="E460" s="24" t="inlineStr">
        <is>
          <t>TENNIS</t>
        </is>
      </c>
      <c r="F460" s="24" t="inlineStr">
        <is>
          <t>Adrian Mannarino</t>
        </is>
      </c>
      <c r="G460" s="24" t="inlineStr">
        <is>
          <t>Alexander Bublik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polymarket_us</t>
        </is>
      </c>
      <c r="L460" s="26" t="n">
        <v>-335</v>
      </c>
      <c r="M460" s="27" t="n">
        <v>1.298507</v>
      </c>
      <c r="N460" s="28" t="n">
        <v>0.770115</v>
      </c>
      <c r="O460" s="28" t="n">
        <v>0.7271</v>
      </c>
      <c r="P460" s="28" t="n">
        <v>0.05</v>
      </c>
      <c r="Q460" s="28" t="n">
        <v>-0.043015</v>
      </c>
      <c r="R460" s="26" t="n">
        <v>0</v>
      </c>
      <c r="S460" s="29" t="n">
        <v>1</v>
      </c>
      <c r="T460" s="24" t="inlineStr">
        <is>
          <t>tennis-surface-elo-v1</t>
        </is>
      </c>
      <c r="U460" s="24" t="inlineStr">
        <is>
          <t>settled</t>
        </is>
      </c>
      <c r="V460" s="24" t="inlineStr">
        <is>
          <t>win</t>
        </is>
      </c>
      <c r="W460" s="26" t="n">
        <v>0</v>
      </c>
      <c r="X460" s="26" t="n">
        <v>1</v>
      </c>
      <c r="Y460" s="25" t="n"/>
      <c r="Z460" s="26" t="n">
        <v>-335</v>
      </c>
      <c r="AA460" s="28" t="n">
        <v>0.77</v>
      </c>
      <c r="AB460" s="28" t="n">
        <v>-0.000115</v>
      </c>
      <c r="AC460" s="30" t="n">
        <v>0.2985</v>
      </c>
      <c r="AD460" s="24" t="inlineStr">
        <is>
          <t>2026-09-03T04:31:30.380557Z</t>
        </is>
      </c>
      <c r="AE460" s="31" t="inlineStr">
        <is>
          <t>Surface-blended Elo on Hard: Adrian Mannarino p=0.273 vs Alexander Bublik. Executable ask 0.7700 (aec-atp-alebub-adrman-2026-09-02).</t>
        </is>
      </c>
      <c r="AF460" s="31" t="inlineStr">
        <is>
          <t>Surface-blended Elo model; singles only, WTA+ATP market coverage, not yet locked-holdout qualified -- promoted by explicit operator directive, not genuine walk-forward validation.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Adrian Mannarino</t>
        </is>
      </c>
      <c r="AQ460" s="24" t="inlineStr">
        <is>
          <t>Adrian Mannarino</t>
        </is>
      </c>
      <c r="AR460" s="24" t="inlineStr">
        <is>
          <t>Adrian Mannarino</t>
        </is>
      </c>
      <c r="AS460" s="24" t="inlineStr">
        <is>
          <t>Alexander Bublik</t>
        </is>
      </c>
      <c r="AT460" s="24" t="inlineStr">
        <is>
          <t>Alexander Bublik</t>
        </is>
      </c>
      <c r="AU460" s="24" t="inlineStr">
        <is>
          <t>Alexander Bublik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0ce66f49b381187fe6255a40ca2fdbfc155d5e36125ccf6d30fe81a72962eafa</t>
        </is>
      </c>
      <c r="BB460" s="24" t="inlineStr">
        <is>
          <t>surface_blended_elo</t>
        </is>
      </c>
      <c r="BC460" s="24" t="inlineStr">
        <is>
          <t>tennis-surface-elo-v1</t>
        </is>
      </c>
      <c r="BD460" s="24" t="inlineStr">
        <is>
          <t>0ce66f49b381187fe6255a40ca2fdbfc155d5e36125ccf6d30fe81a72962eafa</t>
        </is>
      </c>
      <c r="BE460" s="24" t="inlineStr">
        <is>
          <t>tennis-surface-elo-v1</t>
        </is>
      </c>
      <c r="BF460" s="24" t="inlineStr">
        <is>
          <t>1</t>
        </is>
      </c>
      <c r="BG460" s="24" t="inlineStr">
        <is>
          <t>0ce66f49b381187fe6255a40ca2fdbfc155d5e36125ccf6d30fe81a72962eafa</t>
        </is>
      </c>
      <c r="BH460" s="24" t="inlineStr">
        <is>
          <t>2026-09-02T16:07:13.544963Z</t>
        </is>
      </c>
      <c r="BI460" s="24" t="inlineStr">
        <is>
          <t>["same_event","same_team_same_day","same_league_same_day"]</t>
        </is>
      </c>
      <c r="BJ460" s="25" t="n"/>
      <c r="BK460" s="26" t="n">
        <v>-335</v>
      </c>
      <c r="BL460" s="27" t="n">
        <v>1.298507</v>
      </c>
      <c r="BM460" s="28" t="n">
        <v>0.770115</v>
      </c>
      <c r="BN460" s="28" t="n"/>
      <c r="BO460" s="28" t="n"/>
      <c r="BP460" s="25" t="n"/>
      <c r="BQ460" s="27" t="n">
        <v>1.298507</v>
      </c>
      <c r="BR460" s="28" t="n">
        <v>0.77</v>
      </c>
      <c r="BS460" s="28" t="n"/>
      <c r="BT460" s="28" t="n"/>
      <c r="BU460" s="25" t="n"/>
      <c r="BV460" s="29" t="n"/>
      <c r="BW460" s="24" t="n"/>
      <c r="BX460" s="30" t="n">
        <v>1</v>
      </c>
      <c r="BY460" s="27" t="n">
        <v>0.298507</v>
      </c>
      <c r="BZ460" s="24" t="inlineStr">
        <is>
          <t>2026-09-03T04:31:30.380557Z</t>
        </is>
      </c>
      <c r="CA460" s="31" t="inlineStr">
        <is>
          <t>fixed one-unit hypothetical scoring; no real exposure or execution</t>
        </is>
      </c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inlineStr">
        <is>
          <t>c22de0e2834387d6aa2a735f580beec2287b74ad3e1dc7d1c61b536f0bac97f3</t>
        </is>
      </c>
      <c r="DE460" s="24" t="inlineStr">
        <is>
          <t>/Users/vincentc9002/model-prediction/data/odds/tennis/2026-09-02/polymarket_snapshots.jsonl</t>
        </is>
      </c>
      <c r="DF460" s="24" t="inlineStr">
        <is>
          <t>597245:2026-09-02T16:07:13.544963Z</t>
        </is>
      </c>
      <c r="DG460" s="24" t="n"/>
      <c r="DH460" s="24" t="n"/>
      <c r="DI460" s="24" t="n"/>
      <c r="DJ460" s="24" t="inlineStr">
        <is>
          <t>0.770115</t>
        </is>
      </c>
      <c r="DK460" s="24" t="n"/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4e42f754e4e74af3</t>
        </is>
      </c>
      <c r="B461" s="24" t="inlineStr">
        <is>
          <t>2026-09-02T16:08:38.156783Z</t>
        </is>
      </c>
      <c r="C461" s="24" t="inlineStr">
        <is>
          <t>2026-09-02T20:30Z</t>
        </is>
      </c>
      <c r="D461" s="24" t="inlineStr">
        <is>
          <t>189-2026:182775</t>
        </is>
      </c>
      <c r="E461" s="24" t="inlineStr">
        <is>
          <t>TENNIS</t>
        </is>
      </c>
      <c r="F461" s="24" t="inlineStr">
        <is>
          <t>Stefanos Tsitsipas</t>
        </is>
      </c>
      <c r="G461" s="24" t="inlineStr">
        <is>
          <t>Lloyd Harris</t>
        </is>
      </c>
      <c r="H461" s="24" t="inlineStr">
        <is>
          <t>moneyline</t>
        </is>
      </c>
      <c r="I461" s="24" t="inlineStr">
        <is>
          <t>away</t>
        </is>
      </c>
      <c r="J461" s="25" t="n"/>
      <c r="K461" s="24" t="inlineStr">
        <is>
          <t>polymarket_us</t>
        </is>
      </c>
      <c r="L461" s="26" t="n">
        <v>-223</v>
      </c>
      <c r="M461" s="27" t="n">
        <v>1.44843</v>
      </c>
      <c r="N461" s="28" t="n">
        <v>0.690402</v>
      </c>
      <c r="O461" s="28" t="n">
        <v>0.5682</v>
      </c>
      <c r="P461" s="28" t="n">
        <v>0.05</v>
      </c>
      <c r="Q461" s="28" t="n">
        <v>-0.122202</v>
      </c>
      <c r="R461" s="26" t="n">
        <v>0</v>
      </c>
      <c r="S461" s="29" t="n">
        <v>1</v>
      </c>
      <c r="T461" s="24" t="inlineStr">
        <is>
          <t>tennis-surface-elo-v1</t>
        </is>
      </c>
      <c r="U461" s="24" t="inlineStr">
        <is>
          <t>settled</t>
        </is>
      </c>
      <c r="V461" s="24" t="inlineStr">
        <is>
          <t>win</t>
        </is>
      </c>
      <c r="W461" s="26" t="n">
        <v>1</v>
      </c>
      <c r="X461" s="26" t="n">
        <v>0</v>
      </c>
      <c r="Y461" s="25" t="n"/>
      <c r="Z461" s="26" t="n">
        <v>-223</v>
      </c>
      <c r="AA461" s="28" t="n">
        <v>0.6899999999999999</v>
      </c>
      <c r="AB461" s="28" t="n">
        <v>-0.000402</v>
      </c>
      <c r="AC461" s="30" t="n">
        <v>0.4484</v>
      </c>
      <c r="AD461" s="24" t="inlineStr">
        <is>
          <t>2026-09-03T04:31:31.409919Z</t>
        </is>
      </c>
      <c r="AE461" s="31" t="inlineStr">
        <is>
          <t>Surface-blended Elo on Hard: Stefanos Tsitsipas p=0.568 vs Lloyd Harris. Executable ask 0.6900 (aec-atp-llohar-stetsi-2026-09-01).</t>
        </is>
      </c>
      <c r="AF461" s="31" t="inlineStr">
        <is>
          <t>Surface-blended Elo model; singles only, WTA+ATP market coverage, not yet locked-holdout qualified -- promoted by explicit operator directive, not genuine walk-forward validation.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Stefanos Tsitsipas</t>
        </is>
      </c>
      <c r="AQ461" s="24" t="inlineStr">
        <is>
          <t>Stefanos Tsitsipas</t>
        </is>
      </c>
      <c r="AR461" s="24" t="inlineStr">
        <is>
          <t>Stefanos Tsitsipas</t>
        </is>
      </c>
      <c r="AS461" s="24" t="inlineStr">
        <is>
          <t>Lloyd Harris</t>
        </is>
      </c>
      <c r="AT461" s="24" t="inlineStr">
        <is>
          <t>Lloyd Harris</t>
        </is>
      </c>
      <c r="AU461" s="24" t="inlineStr">
        <is>
          <t>Lloyd Harris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0ce66f49b381187fe6255a40ca2fdbfc155d5e36125ccf6d30fe81a72962eafa</t>
        </is>
      </c>
      <c r="BB461" s="24" t="inlineStr">
        <is>
          <t>surface_blended_elo</t>
        </is>
      </c>
      <c r="BC461" s="24" t="inlineStr">
        <is>
          <t>tennis-surface-elo-v1</t>
        </is>
      </c>
      <c r="BD461" s="24" t="inlineStr">
        <is>
          <t>0ce66f49b381187fe6255a40ca2fdbfc155d5e36125ccf6d30fe81a72962eafa</t>
        </is>
      </c>
      <c r="BE461" s="24" t="inlineStr">
        <is>
          <t>tennis-surface-elo-v1</t>
        </is>
      </c>
      <c r="BF461" s="24" t="inlineStr">
        <is>
          <t>1</t>
        </is>
      </c>
      <c r="BG461" s="24" t="inlineStr">
        <is>
          <t>0ce66f49b381187fe6255a40ca2fdbfc155d5e36125ccf6d30fe81a72962eafa</t>
        </is>
      </c>
      <c r="BH461" s="24" t="inlineStr">
        <is>
          <t>2026-09-02T16:07:13.668314Z</t>
        </is>
      </c>
      <c r="BI461" s="24" t="inlineStr">
        <is>
          <t>["same_event","same_team_same_day","same_league_same_day"]</t>
        </is>
      </c>
      <c r="BJ461" s="25" t="n"/>
      <c r="BK461" s="26" t="n">
        <v>-223</v>
      </c>
      <c r="BL461" s="27" t="n">
        <v>1.44843</v>
      </c>
      <c r="BM461" s="28" t="n">
        <v>0.690402</v>
      </c>
      <c r="BN461" s="28" t="n"/>
      <c r="BO461" s="28" t="n"/>
      <c r="BP461" s="25" t="n"/>
      <c r="BQ461" s="27" t="n">
        <v>1.44843</v>
      </c>
      <c r="BR461" s="28" t="n">
        <v>0.6899999999999999</v>
      </c>
      <c r="BS461" s="28" t="n"/>
      <c r="BT461" s="28" t="n"/>
      <c r="BU461" s="25" t="n"/>
      <c r="BV461" s="29" t="n"/>
      <c r="BW461" s="24" t="n"/>
      <c r="BX461" s="30" t="n">
        <v>1</v>
      </c>
      <c r="BY461" s="27" t="n">
        <v>0.448431</v>
      </c>
      <c r="BZ461" s="24" t="inlineStr">
        <is>
          <t>2026-09-03T04:31:31.409919Z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inlineStr">
        <is>
          <t>cc0659f05ca0d9b3834a53e1102148d89f9796a429baf9e8b4b2132d248fa77f</t>
        </is>
      </c>
      <c r="DE461" s="24" t="inlineStr">
        <is>
          <t>/Users/vincentc9002/model-prediction/data/odds/tennis/2026-09-02/polymarket_snapshots.jsonl</t>
        </is>
      </c>
      <c r="DF461" s="24" t="inlineStr">
        <is>
          <t>597623:2026-09-02T16:07:13.668314Z</t>
        </is>
      </c>
      <c r="DG461" s="24" t="n"/>
      <c r="DH461" s="24" t="n"/>
      <c r="DI461" s="24" t="n"/>
      <c r="DJ461" s="24" t="inlineStr">
        <is>
          <t>0.690402</t>
        </is>
      </c>
      <c r="DK461" s="24" t="n"/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d0b8dac939aa4c44</t>
        </is>
      </c>
      <c r="B462" s="24" t="inlineStr">
        <is>
          <t>2026-09-02T16:08:38.156783Z</t>
        </is>
      </c>
      <c r="C462" s="24" t="inlineStr">
        <is>
          <t>2026-09-02T22:00Z</t>
        </is>
      </c>
      <c r="D462" s="24" t="inlineStr">
        <is>
          <t>189-2026:182693</t>
        </is>
      </c>
      <c r="E462" s="24" t="inlineStr">
        <is>
          <t>TENNIS</t>
        </is>
      </c>
      <c r="F462" s="24" t="inlineStr">
        <is>
          <t>Kamil Majchrzak</t>
        </is>
      </c>
      <c r="G462" s="24" t="inlineStr">
        <is>
          <t>Valentin Vacherot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polymarket_us</t>
        </is>
      </c>
      <c r="L462" s="26" t="n">
        <v>-133</v>
      </c>
      <c r="M462" s="27" t="n">
        <v>1.75188</v>
      </c>
      <c r="N462" s="28" t="n">
        <v>0.570815</v>
      </c>
      <c r="O462" s="28" t="n">
        <v>0.5386</v>
      </c>
      <c r="P462" s="28" t="n">
        <v>0.05</v>
      </c>
      <c r="Q462" s="28" t="n">
        <v>-0.032215</v>
      </c>
      <c r="R462" s="26" t="n">
        <v>4</v>
      </c>
      <c r="S462" s="29" t="n">
        <v>1</v>
      </c>
      <c r="T462" s="24" t="inlineStr">
        <is>
          <t>tennis-surface-elo-v1</t>
        </is>
      </c>
      <c r="U462" s="24" t="inlineStr">
        <is>
          <t>settled</t>
        </is>
      </c>
      <c r="V462" s="24" t="inlineStr">
        <is>
          <t>win</t>
        </is>
      </c>
      <c r="W462" s="26" t="n">
        <v>0</v>
      </c>
      <c r="X462" s="26" t="n">
        <v>1</v>
      </c>
      <c r="Y462" s="25" t="n"/>
      <c r="Z462" s="26" t="n">
        <v>-133</v>
      </c>
      <c r="AA462" s="28" t="n">
        <v>0.57</v>
      </c>
      <c r="AB462" s="28" t="n">
        <v>-0.000815</v>
      </c>
      <c r="AC462" s="30" t="n">
        <v>0.7519</v>
      </c>
      <c r="AD462" s="24" t="inlineStr">
        <is>
          <t>2026-09-03T04:31:32.535108Z</t>
        </is>
      </c>
      <c r="AE462" s="31" t="inlineStr">
        <is>
          <t>Surface-blended Elo on Hard: Kamil Majchrzak p=0.461 vs Valentin Vacherot. Executable ask 0.5700 (aec-atp-valvac-kammaj-2026-09-02).</t>
        </is>
      </c>
      <c r="AF462" s="31" t="inlineStr">
        <is>
          <t>Surface-blended Elo model; singles only, WTA+ATP market coverage, not yet locked-holdout qualified -- promoted by explicit operator directive, not genuine walk-forward validation.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Kamil Majchrzak</t>
        </is>
      </c>
      <c r="AQ462" s="24" t="inlineStr">
        <is>
          <t>Kamil Majchrzak</t>
        </is>
      </c>
      <c r="AR462" s="24" t="inlineStr">
        <is>
          <t>Kamil Majchrzak</t>
        </is>
      </c>
      <c r="AS462" s="24" t="inlineStr">
        <is>
          <t>Valentin Vacherot</t>
        </is>
      </c>
      <c r="AT462" s="24" t="inlineStr">
        <is>
          <t>Valentin Vacherot</t>
        </is>
      </c>
      <c r="AU462" s="24" t="inlineStr">
        <is>
          <t>Valentin Vacherot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0ce66f49b381187fe6255a40ca2fdbfc155d5e36125ccf6d30fe81a72962eafa</t>
        </is>
      </c>
      <c r="BB462" s="24" t="inlineStr">
        <is>
          <t>surface_blended_elo</t>
        </is>
      </c>
      <c r="BC462" s="24" t="inlineStr">
        <is>
          <t>tennis-surface-elo-v1</t>
        </is>
      </c>
      <c r="BD462" s="24" t="inlineStr">
        <is>
          <t>0ce66f49b381187fe6255a40ca2fdbfc155d5e36125ccf6d30fe81a72962eafa</t>
        </is>
      </c>
      <c r="BE462" s="24" t="inlineStr">
        <is>
          <t>tennis-surface-elo-v1</t>
        </is>
      </c>
      <c r="BF462" s="24" t="inlineStr">
        <is>
          <t>1</t>
        </is>
      </c>
      <c r="BG462" s="24" t="inlineStr">
        <is>
          <t>0ce66f49b381187fe6255a40ca2fdbfc155d5e36125ccf6d30fe81a72962eafa</t>
        </is>
      </c>
      <c r="BH462" s="24" t="inlineStr">
        <is>
          <t>2026-09-02T16:07:13.748476Z</t>
        </is>
      </c>
      <c r="BI462" s="24" t="inlineStr">
        <is>
          <t>["same_event","same_team_same_day","same_league_same_day"]</t>
        </is>
      </c>
      <c r="BJ462" s="25" t="n"/>
      <c r="BK462" s="26" t="n">
        <v>-133</v>
      </c>
      <c r="BL462" s="27" t="n">
        <v>1.75188</v>
      </c>
      <c r="BM462" s="28" t="n">
        <v>0.570815</v>
      </c>
      <c r="BN462" s="28" t="n"/>
      <c r="BO462" s="28" t="n"/>
      <c r="BP462" s="25" t="n"/>
      <c r="BQ462" s="27" t="n">
        <v>1.75188</v>
      </c>
      <c r="BR462" s="28" t="n">
        <v>0.57</v>
      </c>
      <c r="BS462" s="28" t="n"/>
      <c r="BT462" s="28" t="n"/>
      <c r="BU462" s="25" t="n"/>
      <c r="BV462" s="29" t="n"/>
      <c r="BW462" s="24" t="n"/>
      <c r="BX462" s="30" t="n">
        <v>1</v>
      </c>
      <c r="BY462" s="27" t="n">
        <v>0.751881</v>
      </c>
      <c r="BZ462" s="24" t="inlineStr">
        <is>
          <t>2026-09-03T04:31:32.535108Z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inlineStr">
        <is>
          <t>c4970f5cc8fc1913135625e6ec54028e6cbbacb74fdd95327007be241010c261</t>
        </is>
      </c>
      <c r="DE462" s="24" t="inlineStr">
        <is>
          <t>/Users/vincentc9002/model-prediction/data/odds/tennis/2026-09-02/polymarket_snapshots.jsonl</t>
        </is>
      </c>
      <c r="DF462" s="24" t="inlineStr">
        <is>
          <t>597244:2026-09-02T16:07:13.748476Z</t>
        </is>
      </c>
      <c r="DG462" s="24" t="n"/>
      <c r="DH462" s="24" t="n"/>
      <c r="DI462" s="24" t="n"/>
      <c r="DJ462" s="24" t="inlineStr">
        <is>
          <t>0.570815</t>
        </is>
      </c>
      <c r="DK462" s="24" t="n"/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999a8dde696242e3</t>
        </is>
      </c>
      <c r="B463" s="24" t="inlineStr">
        <is>
          <t>2026-09-02T16:08:38.156783Z</t>
        </is>
      </c>
      <c r="C463" s="24" t="inlineStr">
        <is>
          <t>2026-09-02T23:00Z</t>
        </is>
      </c>
      <c r="D463" s="24" t="inlineStr">
        <is>
          <t>189-2026:182742</t>
        </is>
      </c>
      <c r="E463" s="24" t="inlineStr">
        <is>
          <t>TENNIS</t>
        </is>
      </c>
      <c r="F463" s="24" t="inlineStr">
        <is>
          <t>Frances Tiafoe</t>
        </is>
      </c>
      <c r="G463" s="24" t="inlineStr">
        <is>
          <t>Rei Sakamoto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polymarket_us</t>
        </is>
      </c>
      <c r="L463" s="26" t="n">
        <v>-355</v>
      </c>
      <c r="M463" s="27" t="n">
        <v>1.28169</v>
      </c>
      <c r="N463" s="28" t="n">
        <v>0.78022</v>
      </c>
      <c r="O463" s="28" t="n">
        <v>0.8053</v>
      </c>
      <c r="P463" s="28" t="n">
        <v>0.05</v>
      </c>
      <c r="Q463" s="28" t="n">
        <v>0.02508</v>
      </c>
      <c r="R463" s="26" t="n">
        <v>33</v>
      </c>
      <c r="S463" s="29" t="n">
        <v>1</v>
      </c>
      <c r="T463" s="24" t="inlineStr">
        <is>
          <t>tennis-surface-elo-v1</t>
        </is>
      </c>
      <c r="U463" s="24" t="inlineStr">
        <is>
          <t>settled</t>
        </is>
      </c>
      <c r="V463" s="24" t="inlineStr">
        <is>
          <t>win</t>
        </is>
      </c>
      <c r="W463" s="26" t="n">
        <v>1</v>
      </c>
      <c r="X463" s="26" t="n">
        <v>0</v>
      </c>
      <c r="Y463" s="25" t="n"/>
      <c r="Z463" s="26" t="n">
        <v>-355</v>
      </c>
      <c r="AA463" s="28" t="n">
        <v>0.78</v>
      </c>
      <c r="AB463" s="28" t="n">
        <v>-0.00022</v>
      </c>
      <c r="AC463" s="30" t="n">
        <v>0.2817</v>
      </c>
      <c r="AD463" s="24" t="inlineStr">
        <is>
          <t>2026-09-03T04:31:33.604738Z</t>
        </is>
      </c>
      <c r="AE463" s="31" t="inlineStr">
        <is>
          <t>Surface-blended Elo on Hard: Frances Tiafoe p=0.805 vs Rei Sakamoto. Executable ask 0.7800 (aec-atp-reisak-fratia-2026-09-02).</t>
        </is>
      </c>
      <c r="AF463" s="31" t="inlineStr">
        <is>
          <t>Surface-blended Elo model; singles only, WTA+ATP market coverage, not yet locked-holdout qualified -- promoted by explicit operator directive, not genuine walk-forward validation.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Frances Tiafoe</t>
        </is>
      </c>
      <c r="AQ463" s="24" t="inlineStr">
        <is>
          <t>Frances Tiafoe</t>
        </is>
      </c>
      <c r="AR463" s="24" t="inlineStr">
        <is>
          <t>Frances Tiafoe</t>
        </is>
      </c>
      <c r="AS463" s="24" t="inlineStr">
        <is>
          <t>Rei Sakamoto</t>
        </is>
      </c>
      <c r="AT463" s="24" t="inlineStr">
        <is>
          <t>Rei Sakamoto</t>
        </is>
      </c>
      <c r="AU463" s="24" t="inlineStr">
        <is>
          <t>Rei Sakamoto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0ce66f49b381187fe6255a40ca2fdbfc155d5e36125ccf6d30fe81a72962eafa</t>
        </is>
      </c>
      <c r="BB463" s="24" t="inlineStr">
        <is>
          <t>surface_blended_elo</t>
        </is>
      </c>
      <c r="BC463" s="24" t="inlineStr">
        <is>
          <t>tennis-surface-elo-v1</t>
        </is>
      </c>
      <c r="BD463" s="24" t="inlineStr">
        <is>
          <t>0ce66f49b381187fe6255a40ca2fdbfc155d5e36125ccf6d30fe81a72962eafa</t>
        </is>
      </c>
      <c r="BE463" s="24" t="inlineStr">
        <is>
          <t>tennis-surface-elo-v1</t>
        </is>
      </c>
      <c r="BF463" s="24" t="inlineStr">
        <is>
          <t>1</t>
        </is>
      </c>
      <c r="BG463" s="24" t="inlineStr">
        <is>
          <t>0ce66f49b381187fe6255a40ca2fdbfc155d5e36125ccf6d30fe81a72962eafa</t>
        </is>
      </c>
      <c r="BH463" s="24" t="inlineStr">
        <is>
          <t>2026-09-02T16:07:13.827753Z</t>
        </is>
      </c>
      <c r="BI463" s="24" t="inlineStr">
        <is>
          <t>["same_event","same_team_same_day","same_league_same_day"]</t>
        </is>
      </c>
      <c r="BJ463" s="25" t="n"/>
      <c r="BK463" s="26" t="n">
        <v>-355</v>
      </c>
      <c r="BL463" s="27" t="n">
        <v>1.28169</v>
      </c>
      <c r="BM463" s="28" t="n">
        <v>0.78022</v>
      </c>
      <c r="BN463" s="28" t="n"/>
      <c r="BO463" s="28" t="n"/>
      <c r="BP463" s="25" t="n"/>
      <c r="BQ463" s="27" t="n">
        <v>1.28169</v>
      </c>
      <c r="BR463" s="28" t="n">
        <v>0.78</v>
      </c>
      <c r="BS463" s="28" t="n"/>
      <c r="BT463" s="28" t="n"/>
      <c r="BU463" s="25" t="n"/>
      <c r="BV463" s="29" t="n"/>
      <c r="BW463" s="24" t="n"/>
      <c r="BX463" s="30" t="n">
        <v>1</v>
      </c>
      <c r="BY463" s="27" t="n">
        <v>0.28169</v>
      </c>
      <c r="BZ463" s="24" t="inlineStr">
        <is>
          <t>2026-09-03T04:31:33.604738Z</t>
        </is>
      </c>
      <c r="CA463" s="31" t="inlineStr">
        <is>
          <t>fixed one-unit hypothetical scoring; no real exposure or execution</t>
        </is>
      </c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inlineStr">
        <is>
          <t>af2c266b30e35bffb85cad5c326c34ad09ad3f8c1e011383eeb6f4a9b512f9af</t>
        </is>
      </c>
      <c r="DE463" s="24" t="inlineStr">
        <is>
          <t>/Users/vincentc9002/model-prediction/data/odds/tennis/2026-09-02/polymarket_snapshots.jsonl</t>
        </is>
      </c>
      <c r="DF463" s="24" t="inlineStr">
        <is>
          <t>603058:2026-09-02T16:07:13.827753Z</t>
        </is>
      </c>
      <c r="DG463" s="24" t="n"/>
      <c r="DH463" s="24" t="n"/>
      <c r="DI463" s="24" t="n"/>
      <c r="DJ463" s="24" t="inlineStr">
        <is>
          <t>0.78022</t>
        </is>
      </c>
      <c r="DK463" s="24" t="n"/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f1027baaa5e44fd1</t>
        </is>
      </c>
      <c r="B464" s="24" t="inlineStr">
        <is>
          <t>2026-09-02T16:08:38.156783Z</t>
        </is>
      </c>
      <c r="C464" s="24" t="inlineStr">
        <is>
          <t>2026-09-03T00:30Z</t>
        </is>
      </c>
      <c r="D464" s="24" t="inlineStr">
        <is>
          <t>189-2026:182764</t>
        </is>
      </c>
      <c r="E464" s="24" t="inlineStr">
        <is>
          <t>TENNIS</t>
        </is>
      </c>
      <c r="F464" s="24" t="inlineStr">
        <is>
          <t>Carlos Alcaraz</t>
        </is>
      </c>
      <c r="G464" s="24" t="inlineStr">
        <is>
          <t>Jaime Faria</t>
        </is>
      </c>
      <c r="H464" s="24" t="inlineStr">
        <is>
          <t>moneyline</t>
        </is>
      </c>
      <c r="I464" s="24" t="inlineStr">
        <is>
          <t>away</t>
        </is>
      </c>
      <c r="J464" s="25" t="n"/>
      <c r="K464" s="24" t="inlineStr">
        <is>
          <t>polymarket_us</t>
        </is>
      </c>
      <c r="L464" s="26" t="n">
        <v>-1150</v>
      </c>
      <c r="M464" s="27" t="n">
        <v>1.086957</v>
      </c>
      <c r="N464" s="28" t="n">
        <v>0.92</v>
      </c>
      <c r="O464" s="28" t="n">
        <v>0.8942</v>
      </c>
      <c r="P464" s="28" t="n">
        <v>0.05</v>
      </c>
      <c r="Q464" s="28" t="n">
        <v>-0.0258</v>
      </c>
      <c r="R464" s="26" t="n">
        <v>7</v>
      </c>
      <c r="S464" s="29" t="n">
        <v>1</v>
      </c>
      <c r="T464" s="24" t="inlineStr">
        <is>
          <t>tennis-surface-elo-v1</t>
        </is>
      </c>
      <c r="U464" s="24" t="inlineStr">
        <is>
          <t>settled</t>
        </is>
      </c>
      <c r="V464" s="24" t="inlineStr">
        <is>
          <t>win</t>
        </is>
      </c>
      <c r="W464" s="26" t="n">
        <v>1</v>
      </c>
      <c r="X464" s="26" t="n">
        <v>0</v>
      </c>
      <c r="Y464" s="25" t="n"/>
      <c r="Z464" s="26" t="n">
        <v>-1150</v>
      </c>
      <c r="AA464" s="28" t="n">
        <v>0.92</v>
      </c>
      <c r="AB464" s="28" t="n">
        <v>0</v>
      </c>
      <c r="AC464" s="30" t="n">
        <v>0.08699999999999999</v>
      </c>
      <c r="AD464" s="24" t="inlineStr">
        <is>
          <t>2026-09-03T04:31:34.904672Z</t>
        </is>
      </c>
      <c r="AE464" s="31" t="inlineStr">
        <is>
          <t>Surface-blended Elo on Hard: Carlos Alcaraz p=0.894 vs Jaime Faria. Executable ask 0.9200 (aec-atp-jaifar-caralc-2026-09-01).</t>
        </is>
      </c>
      <c r="AF464" s="31" t="inlineStr">
        <is>
          <t>Surface-blended Elo model; singles only, WTA+ATP market coverage, not yet locked-holdout qualified -- promoted by explicit operator directive, not genuine walk-forward validation.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paper_call</t>
        </is>
      </c>
      <c r="AL464" s="26" t="n">
        <v>4</v>
      </c>
      <c r="AM464" s="24" t="inlineStr">
        <is>
          <t>RESEARCH_OBSERVATION</t>
        </is>
      </c>
      <c r="AN464" s="24" t="inlineStr">
        <is>
          <t>CALL</t>
        </is>
      </c>
      <c r="AO464" s="24" t="inlineStr">
        <is>
          <t>PAPER_CALL_LOW_EDGE</t>
        </is>
      </c>
      <c r="AP464" s="24" t="inlineStr">
        <is>
          <t>Carlos Alcaraz</t>
        </is>
      </c>
      <c r="AQ464" s="24" t="inlineStr">
        <is>
          <t>Carlos Alcaraz</t>
        </is>
      </c>
      <c r="AR464" s="24" t="inlineStr">
        <is>
          <t>Carlos Alcaraz</t>
        </is>
      </c>
      <c r="AS464" s="24" t="inlineStr">
        <is>
          <t>Jaime Faria</t>
        </is>
      </c>
      <c r="AT464" s="24" t="inlineStr">
        <is>
          <t>Jaime Faria</t>
        </is>
      </c>
      <c r="AU464" s="24" t="inlineStr">
        <is>
          <t>Jaime Faria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0ce66f49b381187fe6255a40ca2fdbfc155d5e36125ccf6d30fe81a72962eafa</t>
        </is>
      </c>
      <c r="BB464" s="24" t="inlineStr">
        <is>
          <t>surface_blended_elo</t>
        </is>
      </c>
      <c r="BC464" s="24" t="inlineStr">
        <is>
          <t>tennis-surface-elo-v1</t>
        </is>
      </c>
      <c r="BD464" s="24" t="inlineStr">
        <is>
          <t>0ce66f49b381187fe6255a40ca2fdbfc155d5e36125ccf6d30fe81a72962eafa</t>
        </is>
      </c>
      <c r="BE464" s="24" t="inlineStr">
        <is>
          <t>tennis-surface-elo-v1</t>
        </is>
      </c>
      <c r="BF464" s="24" t="inlineStr">
        <is>
          <t>1</t>
        </is>
      </c>
      <c r="BG464" s="24" t="inlineStr">
        <is>
          <t>0ce66f49b381187fe6255a40ca2fdbfc155d5e36125ccf6d30fe81a72962eafa</t>
        </is>
      </c>
      <c r="BH464" s="24" t="inlineStr">
        <is>
          <t>2026-09-02T16:07:13.889512Z</t>
        </is>
      </c>
      <c r="BI464" s="24" t="inlineStr">
        <is>
          <t>["same_event","same_team_same_day","same_league_same_day"]</t>
        </is>
      </c>
      <c r="BJ464" s="25" t="n"/>
      <c r="BK464" s="26" t="n">
        <v>-1150</v>
      </c>
      <c r="BL464" s="27" t="n">
        <v>1.086957</v>
      </c>
      <c r="BM464" s="28" t="n">
        <v>0.92</v>
      </c>
      <c r="BN464" s="28" t="n"/>
      <c r="BO464" s="28" t="n"/>
      <c r="BP464" s="25" t="n"/>
      <c r="BQ464" s="27" t="n">
        <v>1.086957</v>
      </c>
      <c r="BR464" s="28" t="n">
        <v>0.92</v>
      </c>
      <c r="BS464" s="28" t="n"/>
      <c r="BT464" s="28" t="n"/>
      <c r="BU464" s="25" t="n"/>
      <c r="BV464" s="29" t="n"/>
      <c r="BW464" s="24" t="n"/>
      <c r="BX464" s="30" t="n">
        <v>1</v>
      </c>
      <c r="BY464" s="27" t="n">
        <v>0.08695700000000001</v>
      </c>
      <c r="BZ464" s="24" t="inlineStr">
        <is>
          <t>2026-09-03T04:31:34.904672Z</t>
        </is>
      </c>
      <c r="CA464" s="31" t="inlineStr">
        <is>
          <t>fixed one-unit hypothetical scoring; no real exposure or execution</t>
        </is>
      </c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False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inlineStr">
        <is>
          <t>631cc7640fa4963454868686b6fbafe234ce2ef23c52ec3363d7d58b1835446a</t>
        </is>
      </c>
      <c r="DE464" s="24" t="inlineStr">
        <is>
          <t>/Users/vincentc9002/model-prediction/data/odds/tennis/2026-09-02/polymarket_snapshots.jsonl</t>
        </is>
      </c>
      <c r="DF464" s="24" t="inlineStr">
        <is>
          <t>598856:2026-09-02T16:07:13.889512Z</t>
        </is>
      </c>
      <c r="DG464" s="24" t="n"/>
      <c r="DH464" s="24" t="n"/>
      <c r="DI464" s="24" t="n"/>
      <c r="DJ464" s="24" t="inlineStr">
        <is>
          <t>0.92</t>
        </is>
      </c>
      <c r="DK464" s="24" t="n"/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e84c125a33794543</t>
        </is>
      </c>
      <c r="B465" s="24" t="inlineStr">
        <is>
          <t>2026-09-03T04:35:26.297680Z</t>
        </is>
      </c>
      <c r="C465" s="24" t="inlineStr">
        <is>
          <t>2026-09-03T15:00Z</t>
        </is>
      </c>
      <c r="D465" s="24" t="inlineStr">
        <is>
          <t>189-2026:182534</t>
        </is>
      </c>
      <c r="E465" s="24" t="inlineStr">
        <is>
          <t>TENNIS</t>
        </is>
      </c>
      <c r="F465" s="24" t="inlineStr">
        <is>
          <t>Anna Bondar</t>
        </is>
      </c>
      <c r="G465" s="24" t="inlineStr">
        <is>
          <t>Madison Keys</t>
        </is>
      </c>
      <c r="H465" s="24" t="inlineStr">
        <is>
          <t>moneyline</t>
        </is>
      </c>
      <c r="I465" s="24" t="inlineStr">
        <is>
          <t>home</t>
        </is>
      </c>
      <c r="J465" s="25" t="n"/>
      <c r="K465" s="24" t="inlineStr">
        <is>
          <t>polymarket_us</t>
        </is>
      </c>
      <c r="L465" s="26" t="n">
        <v>-770</v>
      </c>
      <c r="M465" s="27" t="n">
        <v>1.12987</v>
      </c>
      <c r="N465" s="28" t="n">
        <v>0.885057</v>
      </c>
      <c r="O465" s="28" t="n">
        <v>0.7316</v>
      </c>
      <c r="P465" s="28" t="n">
        <v>0.05</v>
      </c>
      <c r="Q465" s="28" t="n">
        <v>-0.153457</v>
      </c>
      <c r="R465" s="26" t="n">
        <v>0</v>
      </c>
      <c r="S465" s="29" t="n">
        <v>1</v>
      </c>
      <c r="T465" s="24" t="inlineStr">
        <is>
          <t>tennis-surface-elo-v1</t>
        </is>
      </c>
      <c r="U465" s="24" t="inlineStr">
        <is>
          <t>settled</t>
        </is>
      </c>
      <c r="V465" s="24" t="inlineStr">
        <is>
          <t>win</t>
        </is>
      </c>
      <c r="W465" s="26" t="n">
        <v>0</v>
      </c>
      <c r="X465" s="26" t="n">
        <v>1</v>
      </c>
      <c r="Y465" s="25" t="n"/>
      <c r="Z465" s="26" t="n">
        <v>-770</v>
      </c>
      <c r="AA465" s="28" t="n">
        <v>0.885</v>
      </c>
      <c r="AB465" s="28" t="n">
        <v>-5.7e-05</v>
      </c>
      <c r="AC465" s="30" t="n">
        <v>0.1299</v>
      </c>
      <c r="AD465" s="24" t="inlineStr">
        <is>
          <t>2026-09-04T04:30:23.744460Z</t>
        </is>
      </c>
      <c r="AE465" s="31" t="inlineStr">
        <is>
          <t>Surface-blended Elo on Hard: Anna Bondar p=0.268 vs Madison Keys. Executable ask 0.8850 (aec-wta-madkey-annbon-2026-09-02).</t>
        </is>
      </c>
      <c r="AF465" s="31" t="inlineStr">
        <is>
          <t>Surface-blended Elo model; singles only, WTA+ATP market coverage, not yet locked-holdout qualified -- promoted by explicit operator directive, not genuine walk-forward validation.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Anna Bondar</t>
        </is>
      </c>
      <c r="AQ465" s="24" t="inlineStr">
        <is>
          <t>Anna Bondar</t>
        </is>
      </c>
      <c r="AR465" s="24" t="inlineStr">
        <is>
          <t>Anna Bondar</t>
        </is>
      </c>
      <c r="AS465" s="24" t="inlineStr">
        <is>
          <t>Madison Keys</t>
        </is>
      </c>
      <c r="AT465" s="24" t="inlineStr">
        <is>
          <t>Madison Keys</t>
        </is>
      </c>
      <c r="AU465" s="24" t="inlineStr">
        <is>
          <t>Madison Keys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0ce66f49b381187fe6255a40ca2fdbfc155d5e36125ccf6d30fe81a72962eafa</t>
        </is>
      </c>
      <c r="BB465" s="24" t="inlineStr">
        <is>
          <t>surface_blended_elo</t>
        </is>
      </c>
      <c r="BC465" s="24" t="inlineStr">
        <is>
          <t>tennis-surface-elo-v1</t>
        </is>
      </c>
      <c r="BD465" s="24" t="inlineStr">
        <is>
          <t>0ce66f49b381187fe6255a40ca2fdbfc155d5e36125ccf6d30fe81a72962eafa</t>
        </is>
      </c>
      <c r="BE465" s="24" t="inlineStr">
        <is>
          <t>tennis-surface-elo-v1</t>
        </is>
      </c>
      <c r="BF465" s="24" t="inlineStr">
        <is>
          <t>1</t>
        </is>
      </c>
      <c r="BG465" s="24" t="inlineStr">
        <is>
          <t>0ce66f49b381187fe6255a40ca2fdbfc155d5e36125ccf6d30fe81a72962eafa</t>
        </is>
      </c>
      <c r="BH465" s="24" t="inlineStr">
        <is>
          <t>2026-09-03T04:34:41.694396Z</t>
        </is>
      </c>
      <c r="BI465" s="24" t="inlineStr">
        <is>
          <t>["same_event","same_team_same_day","same_league_same_day"]</t>
        </is>
      </c>
      <c r="BJ465" s="25" t="n"/>
      <c r="BK465" s="26" t="n">
        <v>-770</v>
      </c>
      <c r="BL465" s="27" t="n">
        <v>1.12987</v>
      </c>
      <c r="BM465" s="28" t="n">
        <v>0.885057</v>
      </c>
      <c r="BN465" s="28" t="n"/>
      <c r="BO465" s="28" t="n"/>
      <c r="BP465" s="25" t="n"/>
      <c r="BQ465" s="27" t="n">
        <v>1.12987</v>
      </c>
      <c r="BR465" s="28" t="n">
        <v>0.885</v>
      </c>
      <c r="BS465" s="28" t="n"/>
      <c r="BT465" s="28" t="n"/>
      <c r="BU465" s="25" t="n"/>
      <c r="BV465" s="29" t="n"/>
      <c r="BW465" s="24" t="n"/>
      <c r="BX465" s="30" t="n">
        <v>1</v>
      </c>
      <c r="BY465" s="27" t="n">
        <v>0.129871</v>
      </c>
      <c r="BZ465" s="24" t="inlineStr">
        <is>
          <t>2026-09-04T04:30:23.744460Z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inlineStr">
        <is>
          <t>43007064512c06c9249bf77b98bce158c9dc8c5cf18e9907519dac91467fa631</t>
        </is>
      </c>
      <c r="DE465" s="24" t="inlineStr">
        <is>
          <t>/Users/vincentc9002/model-prediction/data/odds/tennis/2026-09-03/polymarket_snapshots.jsonl</t>
        </is>
      </c>
      <c r="DF465" s="24" t="inlineStr">
        <is>
          <t>609868:2026-09-03T04:34:41.694396Z</t>
        </is>
      </c>
      <c r="DG465" s="24" t="n"/>
      <c r="DH465" s="24" t="n"/>
      <c r="DI465" s="24" t="n"/>
      <c r="DJ465" s="24" t="inlineStr">
        <is>
          <t>0.885057</t>
        </is>
      </c>
      <c r="DK465" s="24" t="n"/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a098591571e34b6a</t>
        </is>
      </c>
      <c r="B466" s="24" t="inlineStr">
        <is>
          <t>2026-09-03T04:35:26.297680Z</t>
        </is>
      </c>
      <c r="C466" s="24" t="inlineStr">
        <is>
          <t>2026-09-03T15:00Z</t>
        </is>
      </c>
      <c r="D466" s="24" t="inlineStr">
        <is>
          <t>189-2026:182572</t>
        </is>
      </c>
      <c r="E466" s="24" t="inlineStr">
        <is>
          <t>TENNIS</t>
        </is>
      </c>
      <c r="F466" s="24" t="inlineStr">
        <is>
          <t>Leolia Jeanjean</t>
        </is>
      </c>
      <c r="G466" s="24" t="inlineStr">
        <is>
          <t>Anastasia Potapova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polymarket_us</t>
        </is>
      </c>
      <c r="L466" s="26" t="n">
        <v>-344</v>
      </c>
      <c r="M466" s="27" t="n">
        <v>1.290698</v>
      </c>
      <c r="N466" s="28" t="n">
        <v>0.774775</v>
      </c>
      <c r="O466" s="28" t="n">
        <v>0.6689000000000001</v>
      </c>
      <c r="P466" s="28" t="n">
        <v>0.05</v>
      </c>
      <c r="Q466" s="28" t="n">
        <v>-0.105875</v>
      </c>
      <c r="R466" s="26" t="n">
        <v>0</v>
      </c>
      <c r="S466" s="29" t="n">
        <v>1</v>
      </c>
      <c r="T466" s="24" t="inlineStr">
        <is>
          <t>tennis-surface-elo-v1</t>
        </is>
      </c>
      <c r="U466" s="24" t="inlineStr">
        <is>
          <t>settled</t>
        </is>
      </c>
      <c r="V466" s="24" t="inlineStr">
        <is>
          <t>win</t>
        </is>
      </c>
      <c r="W466" s="26" t="n">
        <v>0</v>
      </c>
      <c r="X466" s="26" t="n">
        <v>1</v>
      </c>
      <c r="Y466" s="25" t="n"/>
      <c r="Z466" s="26" t="n">
        <v>-344</v>
      </c>
      <c r="AA466" s="28" t="n">
        <v>0.775</v>
      </c>
      <c r="AB466" s="28" t="n">
        <v>0.000225</v>
      </c>
      <c r="AC466" s="30" t="n">
        <v>0.2907</v>
      </c>
      <c r="AD466" s="24" t="inlineStr">
        <is>
          <t>2026-09-04T04:30:25.801051Z</t>
        </is>
      </c>
      <c r="AE466" s="31" t="inlineStr">
        <is>
          <t>Surface-blended Elo on Hard: Leolia Jeanjean p=0.331 vs Anastasia Potapova. Executable ask 0.7750 (aec-wta-anapot-leojea-2026-09-03).</t>
        </is>
      </c>
      <c r="AF466" s="31" t="inlineStr">
        <is>
          <t>Surface-blended Elo model; singles only, WTA+ATP market coverage, not yet locked-holdout qualified -- promoted by explicit operator directive, not genuine walk-forward validation.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Leolia Jeanjean</t>
        </is>
      </c>
      <c r="AQ466" s="24" t="inlineStr">
        <is>
          <t>Leolia Jeanjean</t>
        </is>
      </c>
      <c r="AR466" s="24" t="inlineStr">
        <is>
          <t>Leolia Jeanjean</t>
        </is>
      </c>
      <c r="AS466" s="24" t="inlineStr">
        <is>
          <t>Anastasia Potapova</t>
        </is>
      </c>
      <c r="AT466" s="24" t="inlineStr">
        <is>
          <t>Anastasia Potapova</t>
        </is>
      </c>
      <c r="AU466" s="24" t="inlineStr">
        <is>
          <t>Anastasia Potapova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0ce66f49b381187fe6255a40ca2fdbfc155d5e36125ccf6d30fe81a72962eafa</t>
        </is>
      </c>
      <c r="BB466" s="24" t="inlineStr">
        <is>
          <t>surface_blended_elo</t>
        </is>
      </c>
      <c r="BC466" s="24" t="inlineStr">
        <is>
          <t>tennis-surface-elo-v1</t>
        </is>
      </c>
      <c r="BD466" s="24" t="inlineStr">
        <is>
          <t>0ce66f49b381187fe6255a40ca2fdbfc155d5e36125ccf6d30fe81a72962eafa</t>
        </is>
      </c>
      <c r="BE466" s="24" t="inlineStr">
        <is>
          <t>tennis-surface-elo-v1</t>
        </is>
      </c>
      <c r="BF466" s="24" t="inlineStr">
        <is>
          <t>1</t>
        </is>
      </c>
      <c r="BG466" s="24" t="inlineStr">
        <is>
          <t>0ce66f49b381187fe6255a40ca2fdbfc155d5e36125ccf6d30fe81a72962eafa</t>
        </is>
      </c>
      <c r="BH466" s="24" t="inlineStr">
        <is>
          <t>2026-09-03T04:34:41.560049Z</t>
        </is>
      </c>
      <c r="BI466" s="24" t="inlineStr">
        <is>
          <t>["same_event","same_team_same_day","same_league_same_day"]</t>
        </is>
      </c>
      <c r="BJ466" s="25" t="n"/>
      <c r="BK466" s="26" t="n">
        <v>-344</v>
      </c>
      <c r="BL466" s="27" t="n">
        <v>1.290698</v>
      </c>
      <c r="BM466" s="28" t="n">
        <v>0.774775</v>
      </c>
      <c r="BN466" s="28" t="n"/>
      <c r="BO466" s="28" t="n"/>
      <c r="BP466" s="25" t="n"/>
      <c r="BQ466" s="27" t="n">
        <v>1.290698</v>
      </c>
      <c r="BR466" s="28" t="n">
        <v>0.775</v>
      </c>
      <c r="BS466" s="28" t="n"/>
      <c r="BT466" s="28" t="n"/>
      <c r="BU466" s="25" t="n"/>
      <c r="BV466" s="29" t="n"/>
      <c r="BW466" s="24" t="n"/>
      <c r="BX466" s="30" t="n">
        <v>1</v>
      </c>
      <c r="BY466" s="27" t="n">
        <v>0.290697</v>
      </c>
      <c r="BZ466" s="24" t="inlineStr">
        <is>
          <t>2026-09-04T04:30:25.801051Z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inlineStr">
        <is>
          <t>8c359ec117d3931d28a8c65925cc0dbe85a0e202561252f4a97e079df29a8bdb</t>
        </is>
      </c>
      <c r="DE466" s="24" t="inlineStr">
        <is>
          <t>/Users/vincentc9002/model-prediction/data/odds/tennis/2026-09-03/polymarket_snapshots.jsonl</t>
        </is>
      </c>
      <c r="DF466" s="24" t="inlineStr">
        <is>
          <t>612966:2026-09-03T04:34:41.560049Z</t>
        </is>
      </c>
      <c r="DG466" s="24" t="n"/>
      <c r="DH466" s="24" t="n"/>
      <c r="DI466" s="24" t="n"/>
      <c r="DJ466" s="24" t="inlineStr">
        <is>
          <t>0.774775</t>
        </is>
      </c>
      <c r="DK466" s="24" t="n"/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12f25b1f635e4187</t>
        </is>
      </c>
      <c r="B467" s="24" t="inlineStr">
        <is>
          <t>2026-09-03T04:35:26.297680Z</t>
        </is>
      </c>
      <c r="C467" s="24" t="inlineStr">
        <is>
          <t>2026-09-03T15:00Z</t>
        </is>
      </c>
      <c r="D467" s="24" t="inlineStr">
        <is>
          <t>189-2026:182574</t>
        </is>
      </c>
      <c r="E467" s="24" t="inlineStr">
        <is>
          <t>TENNIS</t>
        </is>
      </c>
      <c r="F467" s="24" t="inlineStr">
        <is>
          <t>Elise Mertens</t>
        </is>
      </c>
      <c r="G467" s="24" t="inlineStr">
        <is>
          <t>Maria Timofeeva</t>
        </is>
      </c>
      <c r="H467" s="24" t="inlineStr">
        <is>
          <t>moneyline</t>
        </is>
      </c>
      <c r="I467" s="24" t="inlineStr">
        <is>
          <t>away</t>
        </is>
      </c>
      <c r="J467" s="25" t="n"/>
      <c r="K467" s="24" t="inlineStr">
        <is>
          <t>polymarket_us</t>
        </is>
      </c>
      <c r="L467" s="26" t="n">
        <v>-292</v>
      </c>
      <c r="M467" s="27" t="n">
        <v>1.342466</v>
      </c>
      <c r="N467" s="28" t="n">
        <v>0.7448979999999999</v>
      </c>
      <c r="O467" s="28" t="n">
        <v>0.6181</v>
      </c>
      <c r="P467" s="28" t="n">
        <v>0.05</v>
      </c>
      <c r="Q467" s="28" t="n">
        <v>-0.126798</v>
      </c>
      <c r="R467" s="26" t="n">
        <v>0</v>
      </c>
      <c r="S467" s="29" t="n">
        <v>1</v>
      </c>
      <c r="T467" s="24" t="inlineStr">
        <is>
          <t>tennis-surface-elo-v1</t>
        </is>
      </c>
      <c r="U467" s="24" t="inlineStr">
        <is>
          <t>settled</t>
        </is>
      </c>
      <c r="V467" s="24" t="inlineStr">
        <is>
          <t>win</t>
        </is>
      </c>
      <c r="W467" s="26" t="n">
        <v>1</v>
      </c>
      <c r="X467" s="26" t="n">
        <v>0</v>
      </c>
      <c r="Y467" s="25" t="n"/>
      <c r="Z467" s="26" t="n">
        <v>-292</v>
      </c>
      <c r="AA467" s="28" t="n">
        <v>0.745</v>
      </c>
      <c r="AB467" s="28" t="n">
        <v>0.000102</v>
      </c>
      <c r="AC467" s="30" t="n">
        <v>0.3425</v>
      </c>
      <c r="AD467" s="24" t="inlineStr">
        <is>
          <t>2026-09-04T04:30:27.826612Z</t>
        </is>
      </c>
      <c r="AE467" s="31" t="inlineStr">
        <is>
          <t>Surface-blended Elo on Hard: Elise Mertens p=0.618 vs Maria Timofeeva. Executable ask 0.7450 (aec-wta-martim-elimer-2026-09-02).</t>
        </is>
      </c>
      <c r="AF467" s="31" t="inlineStr">
        <is>
          <t>Surface-blended Elo model; singles only, WTA+ATP market coverage, not yet locked-holdout qualified -- promoted by explicit operator directive, not genuine walk-forward validation.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Elise Mertens</t>
        </is>
      </c>
      <c r="AQ467" s="24" t="inlineStr">
        <is>
          <t>Elise Mertens</t>
        </is>
      </c>
      <c r="AR467" s="24" t="inlineStr">
        <is>
          <t>Elise Mertens</t>
        </is>
      </c>
      <c r="AS467" s="24" t="inlineStr">
        <is>
          <t>Maria Timofeeva</t>
        </is>
      </c>
      <c r="AT467" s="24" t="inlineStr">
        <is>
          <t>Maria Timofeeva</t>
        </is>
      </c>
      <c r="AU467" s="24" t="inlineStr">
        <is>
          <t>Maria Timofeeva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0ce66f49b381187fe6255a40ca2fdbfc155d5e36125ccf6d30fe81a72962eafa</t>
        </is>
      </c>
      <c r="BB467" s="24" t="inlineStr">
        <is>
          <t>surface_blended_elo</t>
        </is>
      </c>
      <c r="BC467" s="24" t="inlineStr">
        <is>
          <t>tennis-surface-elo-v1</t>
        </is>
      </c>
      <c r="BD467" s="24" t="inlineStr">
        <is>
          <t>0ce66f49b381187fe6255a40ca2fdbfc155d5e36125ccf6d30fe81a72962eafa</t>
        </is>
      </c>
      <c r="BE467" s="24" t="inlineStr">
        <is>
          <t>tennis-surface-elo-v1</t>
        </is>
      </c>
      <c r="BF467" s="24" t="inlineStr">
        <is>
          <t>1</t>
        </is>
      </c>
      <c r="BG467" s="24" t="inlineStr">
        <is>
          <t>0ce66f49b381187fe6255a40ca2fdbfc155d5e36125ccf6d30fe81a72962eafa</t>
        </is>
      </c>
      <c r="BH467" s="24" t="inlineStr">
        <is>
          <t>2026-09-03T04:34:41.656959Z</t>
        </is>
      </c>
      <c r="BI467" s="24" t="inlineStr">
        <is>
          <t>["same_event","same_team_same_day","same_league_same_day"]</t>
        </is>
      </c>
      <c r="BJ467" s="25" t="n"/>
      <c r="BK467" s="26" t="n">
        <v>-292</v>
      </c>
      <c r="BL467" s="27" t="n">
        <v>1.342466</v>
      </c>
      <c r="BM467" s="28" t="n">
        <v>0.7448979999999999</v>
      </c>
      <c r="BN467" s="28" t="n"/>
      <c r="BO467" s="28" t="n"/>
      <c r="BP467" s="25" t="n"/>
      <c r="BQ467" s="27" t="n">
        <v>1.342466</v>
      </c>
      <c r="BR467" s="28" t="n">
        <v>0.745</v>
      </c>
      <c r="BS467" s="28" t="n"/>
      <c r="BT467" s="28" t="n"/>
      <c r="BU467" s="25" t="n"/>
      <c r="BV467" s="29" t="n"/>
      <c r="BW467" s="24" t="n"/>
      <c r="BX467" s="30" t="n">
        <v>1</v>
      </c>
      <c r="BY467" s="27" t="n">
        <v>0.342466</v>
      </c>
      <c r="BZ467" s="24" t="inlineStr">
        <is>
          <t>2026-09-04T04:30:27.826612Z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inlineStr">
        <is>
          <t>bd711a8921f898b1175d11af8c7b73187e0e81b632007bfe64f17fc11afd4708</t>
        </is>
      </c>
      <c r="DE467" s="24" t="inlineStr">
        <is>
          <t>/Users/vincentc9002/model-prediction/data/odds/tennis/2026-09-03/polymarket_snapshots.jsonl</t>
        </is>
      </c>
      <c r="DF467" s="24" t="inlineStr">
        <is>
          <t>610969:2026-09-03T04:34:41.656959Z</t>
        </is>
      </c>
      <c r="DG467" s="24" t="n"/>
      <c r="DH467" s="24" t="n"/>
      <c r="DI467" s="24" t="n"/>
      <c r="DJ467" s="24" t="inlineStr">
        <is>
          <t>0.744898</t>
        </is>
      </c>
      <c r="DK467" s="24" t="n"/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e9bef91be0644ef4</t>
        </is>
      </c>
      <c r="B468" s="24" t="inlineStr">
        <is>
          <t>2026-09-03T04:35:26.297680Z</t>
        </is>
      </c>
      <c r="C468" s="24" t="inlineStr">
        <is>
          <t>2026-09-03T15:00Z</t>
        </is>
      </c>
      <c r="D468" s="24" t="inlineStr">
        <is>
          <t>189-2026:182698</t>
        </is>
      </c>
      <c r="E468" s="24" t="inlineStr">
        <is>
          <t>TENNIS</t>
        </is>
      </c>
      <c r="F468" s="24" t="inlineStr">
        <is>
          <t>Karen Khachanov</t>
        </is>
      </c>
      <c r="G468" s="24" t="inlineStr">
        <is>
          <t>Felix Auger-Aliassime</t>
        </is>
      </c>
      <c r="H468" s="24" t="inlineStr">
        <is>
          <t>moneyline</t>
        </is>
      </c>
      <c r="I468" s="24" t="inlineStr">
        <is>
          <t>home</t>
        </is>
      </c>
      <c r="J468" s="25" t="n"/>
      <c r="K468" s="24" t="inlineStr">
        <is>
          <t>polymarket_us</t>
        </is>
      </c>
      <c r="L468" s="26" t="n">
        <v>-257</v>
      </c>
      <c r="M468" s="27" t="n">
        <v>1.389105</v>
      </c>
      <c r="N468" s="28" t="n">
        <v>0.719888</v>
      </c>
      <c r="O468" s="28" t="n">
        <v>0.7754</v>
      </c>
      <c r="P468" s="28" t="n">
        <v>0.05</v>
      </c>
      <c r="Q468" s="28" t="n">
        <v>0.055512</v>
      </c>
      <c r="R468" s="26" t="n">
        <v>48</v>
      </c>
      <c r="S468" s="29" t="n">
        <v>1</v>
      </c>
      <c r="T468" s="24" t="inlineStr">
        <is>
          <t>tennis-surface-elo-v1</t>
        </is>
      </c>
      <c r="U468" s="24" t="inlineStr">
        <is>
          <t>settled</t>
        </is>
      </c>
      <c r="V468" s="24" t="inlineStr">
        <is>
          <t>loss</t>
        </is>
      </c>
      <c r="W468" s="26" t="n">
        <v>1</v>
      </c>
      <c r="X468" s="26" t="n">
        <v>0</v>
      </c>
      <c r="Y468" s="25" t="n"/>
      <c r="Z468" s="26" t="n">
        <v>-257</v>
      </c>
      <c r="AA468" s="28" t="n">
        <v>0.72</v>
      </c>
      <c r="AB468" s="28" t="n">
        <v>0.000112</v>
      </c>
      <c r="AC468" s="30" t="n">
        <v>-1</v>
      </c>
      <c r="AD468" s="24" t="inlineStr">
        <is>
          <t>2026-09-04T04:30:29.892742Z</t>
        </is>
      </c>
      <c r="AE468" s="31" t="inlineStr">
        <is>
          <t>Surface-blended Elo on Hard: Karen Khachanov p=0.225 vs Felix Auger-Aliassime. Executable ask 0.7200 (aec-atp-felaug-karkha-2026-09-02).</t>
        </is>
      </c>
      <c r="AF468" s="31" t="inlineStr">
        <is>
          <t>Surface-blended Elo model; singles only, WTA+ATP market coverage, not yet locked-holdout qualified -- promoted by explicit operator directive, not genuine walk-forward validation.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Karen Khachanov</t>
        </is>
      </c>
      <c r="AQ468" s="24" t="inlineStr">
        <is>
          <t>Karen Khachanov</t>
        </is>
      </c>
      <c r="AR468" s="24" t="inlineStr">
        <is>
          <t>Karen Khachanov</t>
        </is>
      </c>
      <c r="AS468" s="24" t="inlineStr">
        <is>
          <t>Felix Auger-Aliassime</t>
        </is>
      </c>
      <c r="AT468" s="24" t="inlineStr">
        <is>
          <t>Felix Auger-Aliassime</t>
        </is>
      </c>
      <c r="AU468" s="24" t="inlineStr">
        <is>
          <t>Felix Auger-Aliassime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0ce66f49b381187fe6255a40ca2fdbfc155d5e36125ccf6d30fe81a72962eafa</t>
        </is>
      </c>
      <c r="BB468" s="24" t="inlineStr">
        <is>
          <t>surface_blended_elo</t>
        </is>
      </c>
      <c r="BC468" s="24" t="inlineStr">
        <is>
          <t>tennis-surface-elo-v1</t>
        </is>
      </c>
      <c r="BD468" s="24" t="inlineStr">
        <is>
          <t>0ce66f49b381187fe6255a40ca2fdbfc155d5e36125ccf6d30fe81a72962eafa</t>
        </is>
      </c>
      <c r="BE468" s="24" t="inlineStr">
        <is>
          <t>tennis-surface-elo-v1</t>
        </is>
      </c>
      <c r="BF468" s="24" t="inlineStr">
        <is>
          <t>1</t>
        </is>
      </c>
      <c r="BG468" s="24" t="inlineStr">
        <is>
          <t>0ce66f49b381187fe6255a40ca2fdbfc155d5e36125ccf6d30fe81a72962eafa</t>
        </is>
      </c>
      <c r="BH468" s="24" t="inlineStr">
        <is>
          <t>2026-09-03T04:34:42.637769Z</t>
        </is>
      </c>
      <c r="BI468" s="24" t="inlineStr">
        <is>
          <t>["same_event","same_team_same_day","same_league_same_day"]</t>
        </is>
      </c>
      <c r="BJ468" s="25" t="n"/>
      <c r="BK468" s="26" t="n">
        <v>-257</v>
      </c>
      <c r="BL468" s="27" t="n">
        <v>1.389105</v>
      </c>
      <c r="BM468" s="28" t="n">
        <v>0.719888</v>
      </c>
      <c r="BN468" s="28" t="n"/>
      <c r="BO468" s="28" t="n"/>
      <c r="BP468" s="25" t="n"/>
      <c r="BQ468" s="27" t="n">
        <v>1.389105</v>
      </c>
      <c r="BR468" s="28" t="n">
        <v>0.72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inlineStr">
        <is>
          <t>9cf465cc84ac33f4feb62aa77ea64a6be9d086a98ea6009d57653d13c1dccc97</t>
        </is>
      </c>
      <c r="DE468" s="24" t="inlineStr">
        <is>
          <t>/Users/vincentc9002/model-prediction/data/odds/tennis/2026-09-03/polymarket_snapshots.jsonl</t>
        </is>
      </c>
      <c r="DF468" s="24" t="inlineStr">
        <is>
          <t>602333:2026-09-03T04:34:42.637769Z</t>
        </is>
      </c>
      <c r="DG468" s="24" t="n"/>
      <c r="DH468" s="24" t="n"/>
      <c r="DI468" s="24" t="n"/>
      <c r="DJ468" s="24" t="inlineStr">
        <is>
          <t>0.719888</t>
        </is>
      </c>
      <c r="DK468" s="24" t="n"/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ec2906bb14b24356</t>
        </is>
      </c>
      <c r="B469" s="24" t="inlineStr">
        <is>
          <t>2026-09-03T04:35:26.297680Z</t>
        </is>
      </c>
      <c r="C469" s="24" t="inlineStr">
        <is>
          <t>2026-09-03T15:00Z</t>
        </is>
      </c>
      <c r="D469" s="24" t="inlineStr">
        <is>
          <t>189-2026:182713</t>
        </is>
      </c>
      <c r="E469" s="24" t="inlineStr">
        <is>
          <t>TENNIS</t>
        </is>
      </c>
      <c r="F469" s="24" t="inlineStr">
        <is>
          <t>Dalibor Svrcina</t>
        </is>
      </c>
      <c r="G469" s="24" t="inlineStr">
        <is>
          <t>Luciano Darderi</t>
        </is>
      </c>
      <c r="H469" s="24" t="inlineStr">
        <is>
          <t>moneyline</t>
        </is>
      </c>
      <c r="I469" s="24" t="inlineStr">
        <is>
          <t>home</t>
        </is>
      </c>
      <c r="J469" s="25" t="n"/>
      <c r="K469" s="24" t="inlineStr">
        <is>
          <t>polymarket_us</t>
        </is>
      </c>
      <c r="L469" s="26" t="n">
        <v>-133</v>
      </c>
      <c r="M469" s="27" t="n">
        <v>1.75188</v>
      </c>
      <c r="N469" s="28" t="n">
        <v>0.570815</v>
      </c>
      <c r="O469" s="28" t="n">
        <v>0.6375999999999999</v>
      </c>
      <c r="P469" s="28" t="n">
        <v>0.05</v>
      </c>
      <c r="Q469" s="28" t="n">
        <v>0.066785</v>
      </c>
      <c r="R469" s="26" t="n">
        <v>53</v>
      </c>
      <c r="S469" s="29" t="n">
        <v>1</v>
      </c>
      <c r="T469" s="24" t="inlineStr">
        <is>
          <t>tennis-surface-elo-v1</t>
        </is>
      </c>
      <c r="U469" s="24" t="inlineStr">
        <is>
          <t>settled</t>
        </is>
      </c>
      <c r="V469" s="24" t="inlineStr">
        <is>
          <t>win</t>
        </is>
      </c>
      <c r="W469" s="26" t="n">
        <v>0</v>
      </c>
      <c r="X469" s="26" t="n">
        <v>1</v>
      </c>
      <c r="Y469" s="25" t="n"/>
      <c r="Z469" s="26" t="n">
        <v>-133</v>
      </c>
      <c r="AA469" s="28" t="n">
        <v>0.57</v>
      </c>
      <c r="AB469" s="28" t="n">
        <v>-0.000815</v>
      </c>
      <c r="AC469" s="30" t="n">
        <v>0.7519</v>
      </c>
      <c r="AD469" s="24" t="inlineStr">
        <is>
          <t>2026-09-04T04:30:31.906954Z</t>
        </is>
      </c>
      <c r="AE469" s="31" t="inlineStr">
        <is>
          <t>Surface-blended Elo on Hard: Dalibor Svrcina p=0.362 vs Luciano Darderi. Executable ask 0.5700 (aec-atp-lucdar-dalsvr-2026-09-02).</t>
        </is>
      </c>
      <c r="AF469" s="31" t="inlineStr">
        <is>
          <t>Surface-blended Elo model; singles only, WTA+ATP market coverage, not yet locked-holdout qualified -- promoted by explicit operator directive, not genuine walk-forward validation.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Dalibor Svrcina</t>
        </is>
      </c>
      <c r="AQ469" s="24" t="inlineStr">
        <is>
          <t>Dalibor Svrcina</t>
        </is>
      </c>
      <c r="AR469" s="24" t="inlineStr">
        <is>
          <t>Dalibor Svrcina</t>
        </is>
      </c>
      <c r="AS469" s="24" t="inlineStr">
        <is>
          <t>Luciano Darderi</t>
        </is>
      </c>
      <c r="AT469" s="24" t="inlineStr">
        <is>
          <t>Luciano Darderi</t>
        </is>
      </c>
      <c r="AU469" s="24" t="inlineStr">
        <is>
          <t>Luciano Darderi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0ce66f49b381187fe6255a40ca2fdbfc155d5e36125ccf6d30fe81a72962eafa</t>
        </is>
      </c>
      <c r="BB469" s="24" t="inlineStr">
        <is>
          <t>surface_blended_elo</t>
        </is>
      </c>
      <c r="BC469" s="24" t="inlineStr">
        <is>
          <t>tennis-surface-elo-v1</t>
        </is>
      </c>
      <c r="BD469" s="24" t="inlineStr">
        <is>
          <t>0ce66f49b381187fe6255a40ca2fdbfc155d5e36125ccf6d30fe81a72962eafa</t>
        </is>
      </c>
      <c r="BE469" s="24" t="inlineStr">
        <is>
          <t>tennis-surface-elo-v1</t>
        </is>
      </c>
      <c r="BF469" s="24" t="inlineStr">
        <is>
          <t>1</t>
        </is>
      </c>
      <c r="BG469" s="24" t="inlineStr">
        <is>
          <t>0ce66f49b381187fe6255a40ca2fdbfc155d5e36125ccf6d30fe81a72962eafa</t>
        </is>
      </c>
      <c r="BH469" s="24" t="inlineStr">
        <is>
          <t>2026-09-03T04:34:42.786817Z</t>
        </is>
      </c>
      <c r="BI469" s="24" t="inlineStr">
        <is>
          <t>["same_event","same_team_same_day","same_league_same_day"]</t>
        </is>
      </c>
      <c r="BJ469" s="25" t="n"/>
      <c r="BK469" s="26" t="n">
        <v>-133</v>
      </c>
      <c r="BL469" s="27" t="n">
        <v>1.75188</v>
      </c>
      <c r="BM469" s="28" t="n">
        <v>0.570815</v>
      </c>
      <c r="BN469" s="28" t="n"/>
      <c r="BO469" s="28" t="n"/>
      <c r="BP469" s="25" t="n"/>
      <c r="BQ469" s="27" t="n">
        <v>1.75188</v>
      </c>
      <c r="BR469" s="28" t="n">
        <v>0.57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inlineStr">
        <is>
          <t>199ee2c9c2ee41648e7ad8ec29c7e3a1ff034d84d5b6a0135774e14d6cafdcb0</t>
        </is>
      </c>
      <c r="DE469" s="24" t="inlineStr">
        <is>
          <t>/Users/vincentc9002/model-prediction/data/odds/tennis/2026-09-03/polymarket_snapshots.jsonl</t>
        </is>
      </c>
      <c r="DF469" s="24" t="inlineStr">
        <is>
          <t>600379:2026-09-03T04:34:42.786817Z</t>
        </is>
      </c>
      <c r="DG469" s="24" t="n"/>
      <c r="DH469" s="24" t="n"/>
      <c r="DI469" s="24" t="n"/>
      <c r="DJ469" s="24" t="inlineStr">
        <is>
          <t>0.570815</t>
        </is>
      </c>
      <c r="DK469" s="24" t="n"/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ad4dfd69909b43b5</t>
        </is>
      </c>
      <c r="B470" s="24" t="inlineStr">
        <is>
          <t>2026-09-03T04:35:26.297680Z</t>
        </is>
      </c>
      <c r="C470" s="24" t="inlineStr">
        <is>
          <t>2026-09-03T15:00Z</t>
        </is>
      </c>
      <c r="D470" s="24" t="inlineStr">
        <is>
          <t>189-2026:182725</t>
        </is>
      </c>
      <c r="E470" s="24" t="inlineStr">
        <is>
          <t>TENNIS</t>
        </is>
      </c>
      <c r="F470" s="24" t="inlineStr">
        <is>
          <t>Francisco Cerundolo</t>
        </is>
      </c>
      <c r="G470" s="24" t="inlineStr">
        <is>
          <t>Jan-Lennard Struff</t>
        </is>
      </c>
      <c r="H470" s="24" t="inlineStr">
        <is>
          <t>moneyline</t>
        </is>
      </c>
      <c r="I470" s="24" t="inlineStr">
        <is>
          <t>away</t>
        </is>
      </c>
      <c r="J470" s="25" t="n"/>
      <c r="K470" s="24" t="inlineStr">
        <is>
          <t>polymarket_us</t>
        </is>
      </c>
      <c r="L470" s="26" t="n">
        <v>-156</v>
      </c>
      <c r="M470" s="27" t="n">
        <v>1.641026</v>
      </c>
      <c r="N470" s="28" t="n">
        <v>0.609375</v>
      </c>
      <c r="O470" s="28" t="n">
        <v>0.7209</v>
      </c>
      <c r="P470" s="28" t="n">
        <v>0.05</v>
      </c>
      <c r="Q470" s="28" t="n">
        <v>0.111525</v>
      </c>
      <c r="R470" s="26" t="n">
        <v>76</v>
      </c>
      <c r="S470" s="29" t="n">
        <v>1.5</v>
      </c>
      <c r="T470" s="24" t="inlineStr">
        <is>
          <t>tennis-surface-elo-v1</t>
        </is>
      </c>
      <c r="U470" s="24" t="inlineStr">
        <is>
          <t>settled</t>
        </is>
      </c>
      <c r="V470" s="24" t="inlineStr">
        <is>
          <t>win</t>
        </is>
      </c>
      <c r="W470" s="26" t="n">
        <v>1</v>
      </c>
      <c r="X470" s="26" t="n">
        <v>0</v>
      </c>
      <c r="Y470" s="25" t="n"/>
      <c r="Z470" s="26" t="n">
        <v>-156</v>
      </c>
      <c r="AA470" s="28" t="n">
        <v>0.61</v>
      </c>
      <c r="AB470" s="28" t="n">
        <v>0.000625</v>
      </c>
      <c r="AC470" s="30" t="n">
        <v>0.9615</v>
      </c>
      <c r="AD470" s="24" t="inlineStr">
        <is>
          <t>2026-09-04T04:30:33.934451Z</t>
        </is>
      </c>
      <c r="AE470" s="31" t="inlineStr">
        <is>
          <t>Surface-blended Elo on Hard: Francisco Cerundolo p=0.721 vs Jan-Lennard Struff. Executable ask 0.6100 (aec-atp-janstr-fracer-2026-09-02).</t>
        </is>
      </c>
      <c r="AF470" s="31" t="inlineStr">
        <is>
          <t>Surface-blended Elo model; singles only, WTA+ATP market coverage, not yet locked-holdout qualified -- promoted by explicit operator directive, not genuine walk-forward validation.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Francisco Cerundolo</t>
        </is>
      </c>
      <c r="AQ470" s="24" t="inlineStr">
        <is>
          <t>Francisco Cerundolo</t>
        </is>
      </c>
      <c r="AR470" s="24" t="inlineStr">
        <is>
          <t>Francisco Cerundolo</t>
        </is>
      </c>
      <c r="AS470" s="24" t="inlineStr">
        <is>
          <t>Jan-Lennard Struff</t>
        </is>
      </c>
      <c r="AT470" s="24" t="inlineStr">
        <is>
          <t>Jan-Lennard Struff</t>
        </is>
      </c>
      <c r="AU470" s="24" t="inlineStr">
        <is>
          <t>Jan-Lennard Struff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0ce66f49b381187fe6255a40ca2fdbfc155d5e36125ccf6d30fe81a72962eafa</t>
        </is>
      </c>
      <c r="BB470" s="24" t="inlineStr">
        <is>
          <t>surface_blended_elo</t>
        </is>
      </c>
      <c r="BC470" s="24" t="inlineStr">
        <is>
          <t>tennis-surface-elo-v1</t>
        </is>
      </c>
      <c r="BD470" s="24" t="inlineStr">
        <is>
          <t>0ce66f49b381187fe6255a40ca2fdbfc155d5e36125ccf6d30fe81a72962eafa</t>
        </is>
      </c>
      <c r="BE470" s="24" t="inlineStr">
        <is>
          <t>tennis-surface-elo-v1</t>
        </is>
      </c>
      <c r="BF470" s="24" t="inlineStr">
        <is>
          <t>1</t>
        </is>
      </c>
      <c r="BG470" s="24" t="inlineStr">
        <is>
          <t>0ce66f49b381187fe6255a40ca2fdbfc155d5e36125ccf6d30fe81a72962eafa</t>
        </is>
      </c>
      <c r="BH470" s="24" t="inlineStr">
        <is>
          <t>2026-09-03T04:34:42.690055Z</t>
        </is>
      </c>
      <c r="BI470" s="24" t="inlineStr">
        <is>
          <t>["same_event","same_team_same_day","same_league_same_day"]</t>
        </is>
      </c>
      <c r="BJ470" s="25" t="n"/>
      <c r="BK470" s="26" t="n">
        <v>-156</v>
      </c>
      <c r="BL470" s="27" t="n">
        <v>1.641026</v>
      </c>
      <c r="BM470" s="28" t="n">
        <v>0.609375</v>
      </c>
      <c r="BN470" s="28" t="n"/>
      <c r="BO470" s="28" t="n"/>
      <c r="BP470" s="25" t="n"/>
      <c r="BQ470" s="27" t="n">
        <v>1.641026</v>
      </c>
      <c r="BR470" s="28" t="n">
        <v>0.61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inlineStr">
        <is>
          <t>409b550cb1b1478247e527caf471f63d6e5aaa93b772a1b06998e3ffbd3d2ddd</t>
        </is>
      </c>
      <c r="DE470" s="24" t="inlineStr">
        <is>
          <t>/Users/vincentc9002/model-prediction/data/odds/tennis/2026-09-03/polymarket_snapshots.jsonl</t>
        </is>
      </c>
      <c r="DF470" s="24" t="inlineStr">
        <is>
          <t>610056:2026-09-03T04:34:42.690055Z</t>
        </is>
      </c>
      <c r="DG470" s="24" t="n"/>
      <c r="DH470" s="24" t="n"/>
      <c r="DI470" s="24" t="n"/>
      <c r="DJ470" s="24" t="inlineStr">
        <is>
          <t>0.609375</t>
        </is>
      </c>
      <c r="DK470" s="24" t="n"/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1e3d34e29c0442a0</t>
        </is>
      </c>
      <c r="B471" s="24" t="inlineStr">
        <is>
          <t>2026-09-03T16:11:19.815565Z</t>
        </is>
      </c>
      <c r="C471" s="24" t="inlineStr">
        <is>
          <t>2026-09-03T17:00Z</t>
        </is>
      </c>
      <c r="D471" s="24" t="inlineStr">
        <is>
          <t>189-2026:182556</t>
        </is>
      </c>
      <c r="E471" s="24" t="inlineStr">
        <is>
          <t>TENNIS</t>
        </is>
      </c>
      <c r="F471" s="24" t="inlineStr">
        <is>
          <t>Alexandra Eala</t>
        </is>
      </c>
      <c r="G471" s="24" t="inlineStr">
        <is>
          <t>Oleksandra Oliynykova</t>
        </is>
      </c>
      <c r="H471" s="24" t="inlineStr">
        <is>
          <t>moneyline</t>
        </is>
      </c>
      <c r="I471" s="24" t="inlineStr">
        <is>
          <t>away</t>
        </is>
      </c>
      <c r="J471" s="25" t="n"/>
      <c r="K471" s="24" t="inlineStr">
        <is>
          <t>polymarket_us</t>
        </is>
      </c>
      <c r="L471" s="26" t="n">
        <v>-733</v>
      </c>
      <c r="M471" s="27" t="n">
        <v>1.136426</v>
      </c>
      <c r="N471" s="28" t="n">
        <v>0.879952</v>
      </c>
      <c r="O471" s="28" t="n">
        <v>0.5637</v>
      </c>
      <c r="P471" s="28" t="n">
        <v>0.05</v>
      </c>
      <c r="Q471" s="28" t="n">
        <v>-0.316252</v>
      </c>
      <c r="R471" s="26" t="n">
        <v>0</v>
      </c>
      <c r="S471" s="29" t="n">
        <v>1</v>
      </c>
      <c r="T471" s="24" t="inlineStr">
        <is>
          <t>tennis-surface-elo-v1</t>
        </is>
      </c>
      <c r="U471" s="24" t="inlineStr">
        <is>
          <t>settled</t>
        </is>
      </c>
      <c r="V471" s="24" t="inlineStr">
        <is>
          <t>win</t>
        </is>
      </c>
      <c r="W471" s="26" t="n">
        <v>1</v>
      </c>
      <c r="X471" s="26" t="n">
        <v>0</v>
      </c>
      <c r="Y471" s="25" t="n"/>
      <c r="Z471" s="26" t="n">
        <v>-733</v>
      </c>
      <c r="AA471" s="28" t="n">
        <v>0.88</v>
      </c>
      <c r="AB471" s="28" t="n">
        <v>4.8e-05</v>
      </c>
      <c r="AC471" s="30" t="n">
        <v>0.1364</v>
      </c>
      <c r="AD471" s="24" t="inlineStr">
        <is>
          <t>2026-09-04T04:31:20.588746Z</t>
        </is>
      </c>
      <c r="AE471" s="31" t="inlineStr">
        <is>
          <t>Surface-blended Elo on Hard: Alexandra Eala p=0.564 vs Oleksandra Oliynykova. Executable ask 0.8800 (aec-wta-oleoli-aleeal-2026-09-03).</t>
        </is>
      </c>
      <c r="AF471" s="31" t="inlineStr">
        <is>
          <t>Surface-blended Elo model; singles only, WTA+ATP market coverage, not yet locked-holdout qualified -- promoted by explicit operator directive, not genuine walk-forward validation.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Alexandra Eala</t>
        </is>
      </c>
      <c r="AQ471" s="24" t="inlineStr">
        <is>
          <t>Alexandra Eala</t>
        </is>
      </c>
      <c r="AR471" s="24" t="inlineStr">
        <is>
          <t>Alexandra Eala</t>
        </is>
      </c>
      <c r="AS471" s="24" t="inlineStr">
        <is>
          <t>Oleksandra Oliynykova</t>
        </is>
      </c>
      <c r="AT471" s="24" t="inlineStr">
        <is>
          <t>Oleksandra Oliynykova</t>
        </is>
      </c>
      <c r="AU471" s="24" t="inlineStr">
        <is>
          <t>Oleksandra Oliynykova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0ce66f49b381187fe6255a40ca2fdbfc155d5e36125ccf6d30fe81a72962eafa</t>
        </is>
      </c>
      <c r="BB471" s="24" t="inlineStr">
        <is>
          <t>surface_blended_elo</t>
        </is>
      </c>
      <c r="BC471" s="24" t="inlineStr">
        <is>
          <t>tennis-surface-elo-v1</t>
        </is>
      </c>
      <c r="BD471" s="24" t="inlineStr">
        <is>
          <t>0ce66f49b381187fe6255a40ca2fdbfc155d5e36125ccf6d30fe81a72962eafa</t>
        </is>
      </c>
      <c r="BE471" s="24" t="inlineStr">
        <is>
          <t>tennis-surface-elo-v1</t>
        </is>
      </c>
      <c r="BF471" s="24" t="inlineStr">
        <is>
          <t>1</t>
        </is>
      </c>
      <c r="BG471" s="24" t="inlineStr">
        <is>
          <t>0ce66f49b381187fe6255a40ca2fdbfc155d5e36125ccf6d30fe81a72962eafa</t>
        </is>
      </c>
      <c r="BH471" s="24" t="inlineStr">
        <is>
          <t>2026-09-03T16:10:20.278748Z</t>
        </is>
      </c>
      <c r="BI471" s="24" t="inlineStr">
        <is>
          <t>["same_event","same_team_same_day","same_league_same_day"]</t>
        </is>
      </c>
      <c r="BJ471" s="25" t="n"/>
      <c r="BK471" s="26" t="n">
        <v>-733</v>
      </c>
      <c r="BL471" s="27" t="n">
        <v>1.136426</v>
      </c>
      <c r="BM471" s="28" t="n">
        <v>0.879952</v>
      </c>
      <c r="BN471" s="28" t="n"/>
      <c r="BO471" s="28" t="n"/>
      <c r="BP471" s="25" t="n"/>
      <c r="BQ471" s="27" t="n">
        <v>1.136426</v>
      </c>
      <c r="BR471" s="28" t="n">
        <v>0.88</v>
      </c>
      <c r="BS471" s="28" t="n"/>
      <c r="BT471" s="28" t="n"/>
      <c r="BU471" s="25" t="n"/>
      <c r="BV471" s="29" t="n"/>
      <c r="BW471" s="24" t="n"/>
      <c r="BX471" s="30" t="n">
        <v>1</v>
      </c>
      <c r="BY471" s="27" t="n">
        <v>0.136426</v>
      </c>
      <c r="BZ471" s="24" t="inlineStr">
        <is>
          <t>2026-09-04T04:31:20.588746Z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inlineStr">
        <is>
          <t>a993716805b6b7e74ac66099d9860e88070164f53146b8c0218239bf6aa48628</t>
        </is>
      </c>
      <c r="DE471" s="24" t="inlineStr">
        <is>
          <t>/Users/vincentc9002/model-prediction/data/odds/tennis/2026-09-03/polymarket_snapshots.jsonl</t>
        </is>
      </c>
      <c r="DF471" s="24" t="inlineStr">
        <is>
          <t>613169:2026-09-03T16:10:20.278748Z</t>
        </is>
      </c>
      <c r="DG471" s="24" t="n"/>
      <c r="DH471" s="24" t="n"/>
      <c r="DI471" s="24" t="n"/>
      <c r="DJ471" s="24" t="inlineStr">
        <is>
          <t>0.879952</t>
        </is>
      </c>
      <c r="DK471" s="24" t="n"/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23c00bb8d3ec4202</t>
        </is>
      </c>
      <c r="B472" s="24" t="inlineStr">
        <is>
          <t>2026-09-03T16:11:19.815565Z</t>
        </is>
      </c>
      <c r="C472" s="24" t="inlineStr">
        <is>
          <t>2026-09-03T17:00Z</t>
        </is>
      </c>
      <c r="D472" s="24" t="inlineStr">
        <is>
          <t>189-2026:182570</t>
        </is>
      </c>
      <c r="E472" s="24" t="inlineStr">
        <is>
          <t>TENNIS</t>
        </is>
      </c>
      <c r="F472" s="24" t="inlineStr">
        <is>
          <t>Yulia Putintseva</t>
        </is>
      </c>
      <c r="G472" s="24" t="inlineStr">
        <is>
          <t>Zheng Qinwen</t>
        </is>
      </c>
      <c r="H472" s="24" t="inlineStr">
        <is>
          <t>moneyline</t>
        </is>
      </c>
      <c r="I472" s="24" t="inlineStr">
        <is>
          <t>home</t>
        </is>
      </c>
      <c r="J472" s="25" t="n"/>
      <c r="K472" s="24" t="inlineStr">
        <is>
          <t>polymarket_us</t>
        </is>
      </c>
      <c r="L472" s="26" t="n">
        <v>-233</v>
      </c>
      <c r="M472" s="27" t="n">
        <v>1.429185</v>
      </c>
      <c r="N472" s="28" t="n">
        <v>0.6997</v>
      </c>
      <c r="O472" s="28" t="n">
        <v>0.636</v>
      </c>
      <c r="P472" s="28" t="n">
        <v>0.05</v>
      </c>
      <c r="Q472" s="28" t="n">
        <v>-0.06370000000000001</v>
      </c>
      <c r="R472" s="26" t="n">
        <v>0</v>
      </c>
      <c r="S472" s="29" t="n">
        <v>1</v>
      </c>
      <c r="T472" s="24" t="inlineStr">
        <is>
          <t>tennis-surface-elo-v1</t>
        </is>
      </c>
      <c r="U472" s="24" t="inlineStr">
        <is>
          <t>settled</t>
        </is>
      </c>
      <c r="V472" s="24" t="inlineStr">
        <is>
          <t>win</t>
        </is>
      </c>
      <c r="W472" s="26" t="n">
        <v>0</v>
      </c>
      <c r="X472" s="26" t="n">
        <v>1</v>
      </c>
      <c r="Y472" s="25" t="n"/>
      <c r="Z472" s="26" t="n"/>
      <c r="AA472" s="28" t="n"/>
      <c r="AB472" s="28" t="n"/>
      <c r="AC472" s="30" t="n">
        <v>0.4292</v>
      </c>
      <c r="AD472" s="24" t="inlineStr">
        <is>
          <t>2026-09-04T04:31:22.611221Z</t>
        </is>
      </c>
      <c r="AE472" s="31" t="inlineStr">
        <is>
          <t>Surface-blended Elo on Hard: Yulia Putintseva p=0.364 vs Zheng Qinwen. Executable ask 0.7000 (aec-wta-qinzhe-yulput-2026-09-02).</t>
        </is>
      </c>
      <c r="AF472" s="31" t="inlineStr">
        <is>
          <t>Surface-blended Elo model; singles only, WTA+ATP market coverage, not yet locked-holdout qualified -- promoted by explicit operator directive, not genuine walk-forward validation.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Yulia Putintseva</t>
        </is>
      </c>
      <c r="AQ472" s="24" t="inlineStr">
        <is>
          <t>Yulia Putintseva</t>
        </is>
      </c>
      <c r="AR472" s="24" t="inlineStr">
        <is>
          <t>Yulia Putintseva</t>
        </is>
      </c>
      <c r="AS472" s="24" t="inlineStr">
        <is>
          <t>Zheng Qinwen</t>
        </is>
      </c>
      <c r="AT472" s="24" t="inlineStr">
        <is>
          <t>Zheng Qinwen</t>
        </is>
      </c>
      <c r="AU472" s="24" t="inlineStr">
        <is>
          <t>Zheng Qinwen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0ce66f49b381187fe6255a40ca2fdbfc155d5e36125ccf6d30fe81a72962eafa</t>
        </is>
      </c>
      <c r="BB472" s="24" t="inlineStr">
        <is>
          <t>surface_blended_elo</t>
        </is>
      </c>
      <c r="BC472" s="24" t="inlineStr">
        <is>
          <t>tennis-surface-elo-v1</t>
        </is>
      </c>
      <c r="BD472" s="24" t="inlineStr">
        <is>
          <t>0ce66f49b381187fe6255a40ca2fdbfc155d5e36125ccf6d30fe81a72962eafa</t>
        </is>
      </c>
      <c r="BE472" s="24" t="inlineStr">
        <is>
          <t>tennis-surface-elo-v1</t>
        </is>
      </c>
      <c r="BF472" s="24" t="inlineStr">
        <is>
          <t>1</t>
        </is>
      </c>
      <c r="BG472" s="24" t="inlineStr">
        <is>
          <t>0ce66f49b381187fe6255a40ca2fdbfc155d5e36125ccf6d30fe81a72962eafa</t>
        </is>
      </c>
      <c r="BH472" s="24" t="inlineStr">
        <is>
          <t>2026-09-03T16:10:20.336951Z</t>
        </is>
      </c>
      <c r="BI472" s="24" t="inlineStr">
        <is>
          <t>["same_event","same_team_same_day","same_league_same_day"]</t>
        </is>
      </c>
      <c r="BJ472" s="25" t="n"/>
      <c r="BK472" s="26" t="n">
        <v>-233</v>
      </c>
      <c r="BL472" s="27" t="n">
        <v>1.429185</v>
      </c>
      <c r="BM472" s="28" t="n">
        <v>0.6997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>
        <v>1</v>
      </c>
      <c r="BY472" s="27" t="n">
        <v>0.429184</v>
      </c>
      <c r="BZ472" s="24" t="inlineStr">
        <is>
          <t>2026-09-04T04:31:22.611221Z</t>
        </is>
      </c>
      <c r="CA472" s="31" t="inlineStr">
        <is>
          <t>fixed one-unit hypothetical scoring; no real exposure or execution</t>
        </is>
      </c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inlineStr">
        <is>
          <t>8a40396eefb42332919fbe79b67dbb96c5bf33e8eb71ffb6739e22348bbef2e6</t>
        </is>
      </c>
      <c r="DE472" s="24" t="inlineStr">
        <is>
          <t>/Users/vincentc9002/model-prediction/data/odds/tennis/2026-09-03/polymarket_snapshots.jsonl</t>
        </is>
      </c>
      <c r="DF472" s="24" t="inlineStr">
        <is>
          <t>609875:2026-09-03T16:10:20.336951Z</t>
        </is>
      </c>
      <c r="DG472" s="24" t="n"/>
      <c r="DH472" s="24" t="n"/>
      <c r="DI472" s="24" t="n"/>
      <c r="DJ472" s="24" t="inlineStr">
        <is>
          <t>0.6997</t>
        </is>
      </c>
      <c r="DK472" s="24" t="n"/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55b32ea66d464551</t>
        </is>
      </c>
      <c r="B473" s="24" t="inlineStr">
        <is>
          <t>2026-09-03T16:11:19.815565Z</t>
        </is>
      </c>
      <c r="C473" s="24" t="inlineStr">
        <is>
          <t>2026-09-03T18:30Z</t>
        </is>
      </c>
      <c r="D473" s="24" t="inlineStr">
        <is>
          <t>189-2026:182538</t>
        </is>
      </c>
      <c r="E473" s="24" t="inlineStr">
        <is>
          <t>TENNIS</t>
        </is>
      </c>
      <c r="F473" s="24" t="inlineStr">
        <is>
          <t>Eva Lys</t>
        </is>
      </c>
      <c r="G473" s="24" t="inlineStr">
        <is>
          <t>Mirra Andreeva</t>
        </is>
      </c>
      <c r="H473" s="24" t="inlineStr">
        <is>
          <t>moneyline</t>
        </is>
      </c>
      <c r="I473" s="24" t="inlineStr">
        <is>
          <t>home</t>
        </is>
      </c>
      <c r="J473" s="25" t="n"/>
      <c r="K473" s="24" t="inlineStr">
        <is>
          <t>polymarket_us</t>
        </is>
      </c>
      <c r="L473" s="26" t="n">
        <v>-953</v>
      </c>
      <c r="M473" s="27" t="n">
        <v>1.104932</v>
      </c>
      <c r="N473" s="28" t="n">
        <v>0.905033</v>
      </c>
      <c r="O473" s="28" t="n">
        <v>0.7999000000000001</v>
      </c>
      <c r="P473" s="28" t="n">
        <v>0.05</v>
      </c>
      <c r="Q473" s="28" t="n">
        <v>-0.105133</v>
      </c>
      <c r="R473" s="26" t="n">
        <v>0</v>
      </c>
      <c r="S473" s="29" t="n">
        <v>1</v>
      </c>
      <c r="T473" s="24" t="inlineStr">
        <is>
          <t>tennis-surface-elo-v1</t>
        </is>
      </c>
      <c r="U473" s="24" t="inlineStr">
        <is>
          <t>settled</t>
        </is>
      </c>
      <c r="V473" s="24" t="inlineStr">
        <is>
          <t>win</t>
        </is>
      </c>
      <c r="W473" s="26" t="n">
        <v>0</v>
      </c>
      <c r="X473" s="26" t="n">
        <v>1</v>
      </c>
      <c r="Y473" s="25" t="n"/>
      <c r="Z473" s="26" t="n">
        <v>-953</v>
      </c>
      <c r="AA473" s="28" t="n">
        <v>0.905</v>
      </c>
      <c r="AB473" s="28" t="n">
        <v>-3.3e-05</v>
      </c>
      <c r="AC473" s="30" t="n">
        <v>0.1049</v>
      </c>
      <c r="AD473" s="24" t="inlineStr">
        <is>
          <t>2026-09-04T04:31:24.626290Z</t>
        </is>
      </c>
      <c r="AE473" s="31" t="inlineStr">
        <is>
          <t>Surface-blended Elo on Hard: Eva Lys p=0.200 vs Mirra Andreeva. Executable ask 0.9050 (aec-wta-mirand-evalys-2026-09-02).</t>
        </is>
      </c>
      <c r="AF473" s="31" t="inlineStr">
        <is>
          <t>Surface-blended Elo model; singles only, WTA+ATP market coverage, not yet locked-holdout qualified -- promoted by explicit operator directive, not genuine walk-forward validation.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Eva Lys</t>
        </is>
      </c>
      <c r="AQ473" s="24" t="inlineStr">
        <is>
          <t>Eva Lys</t>
        </is>
      </c>
      <c r="AR473" s="24" t="inlineStr">
        <is>
          <t>Eva Lys</t>
        </is>
      </c>
      <c r="AS473" s="24" t="inlineStr">
        <is>
          <t>Mirra Andreeva</t>
        </is>
      </c>
      <c r="AT473" s="24" t="inlineStr">
        <is>
          <t>Mirra Andreeva</t>
        </is>
      </c>
      <c r="AU473" s="24" t="inlineStr">
        <is>
          <t>Mirra Andreeva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0ce66f49b381187fe6255a40ca2fdbfc155d5e36125ccf6d30fe81a72962eafa</t>
        </is>
      </c>
      <c r="BB473" s="24" t="inlineStr">
        <is>
          <t>surface_blended_elo</t>
        </is>
      </c>
      <c r="BC473" s="24" t="inlineStr">
        <is>
          <t>tennis-surface-elo-v1</t>
        </is>
      </c>
      <c r="BD473" s="24" t="inlineStr">
        <is>
          <t>0ce66f49b381187fe6255a40ca2fdbfc155d5e36125ccf6d30fe81a72962eafa</t>
        </is>
      </c>
      <c r="BE473" s="24" t="inlineStr">
        <is>
          <t>tennis-surface-elo-v1</t>
        </is>
      </c>
      <c r="BF473" s="24" t="inlineStr">
        <is>
          <t>1</t>
        </is>
      </c>
      <c r="BG473" s="24" t="inlineStr">
        <is>
          <t>0ce66f49b381187fe6255a40ca2fdbfc155d5e36125ccf6d30fe81a72962eafa</t>
        </is>
      </c>
      <c r="BH473" s="24" t="inlineStr">
        <is>
          <t>2026-09-03T16:10:20.612420Z</t>
        </is>
      </c>
      <c r="BI473" s="24" t="inlineStr">
        <is>
          <t>["same_event","same_team_same_day","same_league_same_day"]</t>
        </is>
      </c>
      <c r="BJ473" s="25" t="n"/>
      <c r="BK473" s="26" t="n">
        <v>-953</v>
      </c>
      <c r="BL473" s="27" t="n">
        <v>1.104932</v>
      </c>
      <c r="BM473" s="28" t="n">
        <v>0.905033</v>
      </c>
      <c r="BN473" s="28" t="n"/>
      <c r="BO473" s="28" t="n"/>
      <c r="BP473" s="25" t="n"/>
      <c r="BQ473" s="27" t="n">
        <v>1.104932</v>
      </c>
      <c r="BR473" s="28" t="n">
        <v>0.905</v>
      </c>
      <c r="BS473" s="28" t="n"/>
      <c r="BT473" s="28" t="n"/>
      <c r="BU473" s="25" t="n"/>
      <c r="BV473" s="29" t="n"/>
      <c r="BW473" s="24" t="n"/>
      <c r="BX473" s="30" t="n">
        <v>1</v>
      </c>
      <c r="BY473" s="27" t="n">
        <v>0.104932</v>
      </c>
      <c r="BZ473" s="24" t="inlineStr">
        <is>
          <t>2026-09-04T04:31:24.626290Z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inlineStr">
        <is>
          <t>462f545bec1285d0c968098610e213ea8fdd3af0487f230c8cd2afafaab2a4f9</t>
        </is>
      </c>
      <c r="DE473" s="24" t="inlineStr">
        <is>
          <t>/Users/vincentc9002/model-prediction/data/odds/tennis/2026-09-03/polymarket_snapshots.jsonl</t>
        </is>
      </c>
      <c r="DF473" s="24" t="inlineStr">
        <is>
          <t>609872:2026-09-03T16:10:20.612420Z</t>
        </is>
      </c>
      <c r="DG473" s="24" t="n"/>
      <c r="DH473" s="24" t="n"/>
      <c r="DI473" s="24" t="n"/>
      <c r="DJ473" s="24" t="inlineStr">
        <is>
          <t>0.905033</t>
        </is>
      </c>
      <c r="DK473" s="24" t="n"/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cd6d511ea5cb4980</t>
        </is>
      </c>
      <c r="B474" s="24" t="inlineStr">
        <is>
          <t>2026-09-03T16:11:19.815565Z</t>
        </is>
      </c>
      <c r="C474" s="24" t="inlineStr">
        <is>
          <t>2026-09-03T18:30Z</t>
        </is>
      </c>
      <c r="D474" s="24" t="inlineStr">
        <is>
          <t>189-2026:182542</t>
        </is>
      </c>
      <c r="E474" s="24" t="inlineStr">
        <is>
          <t>TENNIS</t>
        </is>
      </c>
      <c r="F474" s="24" t="inlineStr">
        <is>
          <t>Tatjana Maria</t>
        </is>
      </c>
      <c r="G474" s="24" t="inlineStr">
        <is>
          <t>Nikola Bartunkova</t>
        </is>
      </c>
      <c r="H474" s="24" t="inlineStr">
        <is>
          <t>moneyline</t>
        </is>
      </c>
      <c r="I474" s="24" t="inlineStr">
        <is>
          <t>home</t>
        </is>
      </c>
      <c r="J474" s="25" t="n"/>
      <c r="K474" s="24" t="inlineStr">
        <is>
          <t>polymarket_us</t>
        </is>
      </c>
      <c r="L474" s="26" t="n">
        <v>-245</v>
      </c>
      <c r="M474" s="27" t="n">
        <v>1.408163</v>
      </c>
      <c r="N474" s="28" t="n">
        <v>0.710145</v>
      </c>
      <c r="O474" s="28" t="n">
        <v>0.5581</v>
      </c>
      <c r="P474" s="28" t="n">
        <v>0.05</v>
      </c>
      <c r="Q474" s="28" t="n">
        <v>-0.152045</v>
      </c>
      <c r="R474" s="26" t="n">
        <v>0</v>
      </c>
      <c r="S474" s="29" t="n">
        <v>1</v>
      </c>
      <c r="T474" s="24" t="inlineStr">
        <is>
          <t>tennis-surface-elo-v1</t>
        </is>
      </c>
      <c r="U474" s="24" t="inlineStr">
        <is>
          <t>settled</t>
        </is>
      </c>
      <c r="V474" s="24" t="inlineStr">
        <is>
          <t>win</t>
        </is>
      </c>
      <c r="W474" s="26" t="n">
        <v>0</v>
      </c>
      <c r="X474" s="26" t="n">
        <v>1</v>
      </c>
      <c r="Y474" s="25" t="n"/>
      <c r="Z474" s="26" t="n">
        <v>-245</v>
      </c>
      <c r="AA474" s="28" t="n">
        <v>0.71</v>
      </c>
      <c r="AB474" s="28" t="n">
        <v>-0.000145</v>
      </c>
      <c r="AC474" s="30" t="n">
        <v>0.4082</v>
      </c>
      <c r="AD474" s="24" t="inlineStr">
        <is>
          <t>2026-09-04T04:31:26.639135Z</t>
        </is>
      </c>
      <c r="AE474" s="31" t="inlineStr">
        <is>
          <t>Surface-blended Elo on Hard: Tatjana Maria p=0.442 vs Nikola Bartunkova. Executable ask 0.7100 (aec-wta-nikbar-tatmar-2026-09-03).</t>
        </is>
      </c>
      <c r="AF474" s="31" t="inlineStr">
        <is>
          <t>Surface-blended Elo model; singles only, WTA+ATP market coverage, not yet locked-holdout qualified -- promoted by explicit operator directive, not genuine walk-forward validation.</t>
        </is>
      </c>
      <c r="AG474" s="24" t="inlineStr">
        <is>
          <t>not_applicable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Tatjana Maria</t>
        </is>
      </c>
      <c r="AQ474" s="24" t="inlineStr">
        <is>
          <t>Tatjana Maria</t>
        </is>
      </c>
      <c r="AR474" s="24" t="inlineStr">
        <is>
          <t>Tatjana Maria</t>
        </is>
      </c>
      <c r="AS474" s="24" t="inlineStr">
        <is>
          <t>Nikola Bartunkova</t>
        </is>
      </c>
      <c r="AT474" s="24" t="inlineStr">
        <is>
          <t>Nikola Bartunkova</t>
        </is>
      </c>
      <c r="AU474" s="24" t="inlineStr">
        <is>
          <t>Nikola Bartunkova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0ce66f49b381187fe6255a40ca2fdbfc155d5e36125ccf6d30fe81a72962eafa</t>
        </is>
      </c>
      <c r="BB474" s="24" t="inlineStr">
        <is>
          <t>surface_blended_elo</t>
        </is>
      </c>
      <c r="BC474" s="24" t="inlineStr">
        <is>
          <t>tennis-surface-elo-v1</t>
        </is>
      </c>
      <c r="BD474" s="24" t="inlineStr">
        <is>
          <t>0ce66f49b381187fe6255a40ca2fdbfc155d5e36125ccf6d30fe81a72962eafa</t>
        </is>
      </c>
      <c r="BE474" s="24" t="inlineStr">
        <is>
          <t>tennis-surface-elo-v1</t>
        </is>
      </c>
      <c r="BF474" s="24" t="inlineStr">
        <is>
          <t>1</t>
        </is>
      </c>
      <c r="BG474" s="24" t="inlineStr">
        <is>
          <t>0ce66f49b381187fe6255a40ca2fdbfc155d5e36125ccf6d30fe81a72962eafa</t>
        </is>
      </c>
      <c r="BH474" s="24" t="inlineStr">
        <is>
          <t>2026-09-03T16:10:20.558331Z</t>
        </is>
      </c>
      <c r="BI474" s="24" t="inlineStr">
        <is>
          <t>["same_event","same_team_same_day","same_league_same_day"]</t>
        </is>
      </c>
      <c r="BJ474" s="25" t="n"/>
      <c r="BK474" s="26" t="n">
        <v>-245</v>
      </c>
      <c r="BL474" s="27" t="n">
        <v>1.408163</v>
      </c>
      <c r="BM474" s="28" t="n">
        <v>0.710145</v>
      </c>
      <c r="BN474" s="28" t="n"/>
      <c r="BO474" s="28" t="n"/>
      <c r="BP474" s="25" t="n"/>
      <c r="BQ474" s="27" t="n">
        <v>1.408163</v>
      </c>
      <c r="BR474" s="28" t="n">
        <v>0.71</v>
      </c>
      <c r="BS474" s="28" t="n"/>
      <c r="BT474" s="28" t="n"/>
      <c r="BU474" s="25" t="n"/>
      <c r="BV474" s="29" t="n"/>
      <c r="BW474" s="24" t="n"/>
      <c r="BX474" s="30" t="n">
        <v>1</v>
      </c>
      <c r="BY474" s="27" t="n">
        <v>0.408163</v>
      </c>
      <c r="BZ474" s="24" t="inlineStr">
        <is>
          <t>2026-09-04T04:31:26.639135Z</t>
        </is>
      </c>
      <c r="CA474" s="31" t="inlineStr">
        <is>
          <t>fixed one-unit hypothetical scoring; no real exposure or execution</t>
        </is>
      </c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False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inlineStr">
        <is>
          <t>1eb2ec15086ef19866ba99261f4c7ab9e424944450a0ea4984c14b4c9f32a91a</t>
        </is>
      </c>
      <c r="DE474" s="24" t="inlineStr">
        <is>
          <t>/Users/vincentc9002/model-prediction/data/odds/tennis/2026-09-03/polymarket_snapshots.jsonl</t>
        </is>
      </c>
      <c r="DF474" s="24" t="inlineStr">
        <is>
          <t>656836:2026-09-03T16:10:20.558331Z</t>
        </is>
      </c>
      <c r="DG474" s="24" t="n"/>
      <c r="DH474" s="24" t="n"/>
      <c r="DI474" s="24" t="n"/>
      <c r="DJ474" s="24" t="inlineStr">
        <is>
          <t>0.710145</t>
        </is>
      </c>
      <c r="DK474" s="24" t="n"/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d3f4e048cf994179</t>
        </is>
      </c>
      <c r="B475" s="24" t="inlineStr">
        <is>
          <t>2026-09-03T16:11:19.815565Z</t>
        </is>
      </c>
      <c r="C475" s="24" t="inlineStr">
        <is>
          <t>2026-09-03T19:00Z</t>
        </is>
      </c>
      <c r="D475" s="24" t="inlineStr">
        <is>
          <t>189-2026:182577</t>
        </is>
      </c>
      <c r="E475" s="24" t="inlineStr">
        <is>
          <t>TENNIS</t>
        </is>
      </c>
      <c r="F475" s="24" t="inlineStr">
        <is>
          <t>Yuliia Starodubtseva</t>
        </is>
      </c>
      <c r="G475" s="24" t="inlineStr">
        <is>
          <t>Maria Sakkari</t>
        </is>
      </c>
      <c r="H475" s="24" t="inlineStr">
        <is>
          <t>moneyline</t>
        </is>
      </c>
      <c r="I475" s="24" t="inlineStr">
        <is>
          <t>home</t>
        </is>
      </c>
      <c r="J475" s="25" t="n"/>
      <c r="K475" s="24" t="inlineStr">
        <is>
          <t>polymarket_us</t>
        </is>
      </c>
      <c r="L475" s="26" t="n">
        <v>-174</v>
      </c>
      <c r="M475" s="27" t="n">
        <v>1.574713</v>
      </c>
      <c r="N475" s="28" t="n">
        <v>0.635036</v>
      </c>
      <c r="O475" s="28" t="n">
        <v>0.5399</v>
      </c>
      <c r="P475" s="28" t="n">
        <v>0.05</v>
      </c>
      <c r="Q475" s="28" t="n">
        <v>-0.095136</v>
      </c>
      <c r="R475" s="26" t="n">
        <v>0</v>
      </c>
      <c r="S475" s="29" t="n">
        <v>1</v>
      </c>
      <c r="T475" s="24" t="inlineStr">
        <is>
          <t>tennis-surface-elo-v1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</v>
      </c>
      <c r="X475" s="26" t="n">
        <v>0</v>
      </c>
      <c r="Y475" s="25" t="n"/>
      <c r="Z475" s="26" t="n">
        <v>-174</v>
      </c>
      <c r="AA475" s="28" t="n">
        <v>0.635</v>
      </c>
      <c r="AB475" s="28" t="n">
        <v>-3.6e-05</v>
      </c>
      <c r="AC475" s="30" t="n">
        <v>-1</v>
      </c>
      <c r="AD475" s="24" t="inlineStr">
        <is>
          <t>2026-09-04T04:31:28.648376Z</t>
        </is>
      </c>
      <c r="AE475" s="31" t="inlineStr">
        <is>
          <t>Surface-blended Elo on Hard: Yuliia Starodubtseva p=0.460 vs Maria Sakkari. Executable ask 0.6350 (aec-wta-marsak-yulsta-2026-09-02).</t>
        </is>
      </c>
      <c r="AF475" s="31" t="inlineStr">
        <is>
          <t>Surface-blended Elo model; singles only, WTA+ATP market coverage, not yet locked-holdout qualified -- promoted by explicit operator directive, not genuine walk-forward validation.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Yuliia Starodubtseva</t>
        </is>
      </c>
      <c r="AQ475" s="24" t="inlineStr">
        <is>
          <t>Yuliia Starodubtseva</t>
        </is>
      </c>
      <c r="AR475" s="24" t="inlineStr">
        <is>
          <t>Yuliia Starodubtseva</t>
        </is>
      </c>
      <c r="AS475" s="24" t="inlineStr">
        <is>
          <t>Maria Sakkari</t>
        </is>
      </c>
      <c r="AT475" s="24" t="inlineStr">
        <is>
          <t>Maria Sakkari</t>
        </is>
      </c>
      <c r="AU475" s="24" t="inlineStr">
        <is>
          <t>Maria Sakkari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0ce66f49b381187fe6255a40ca2fdbfc155d5e36125ccf6d30fe81a72962eafa</t>
        </is>
      </c>
      <c r="BB475" s="24" t="inlineStr">
        <is>
          <t>surface_blended_elo</t>
        </is>
      </c>
      <c r="BC475" s="24" t="inlineStr">
        <is>
          <t>tennis-surface-elo-v1</t>
        </is>
      </c>
      <c r="BD475" s="24" t="inlineStr">
        <is>
          <t>0ce66f49b381187fe6255a40ca2fdbfc155d5e36125ccf6d30fe81a72962eafa</t>
        </is>
      </c>
      <c r="BE475" s="24" t="inlineStr">
        <is>
          <t>tennis-surface-elo-v1</t>
        </is>
      </c>
      <c r="BF475" s="24" t="inlineStr">
        <is>
          <t>1</t>
        </is>
      </c>
      <c r="BG475" s="24" t="inlineStr">
        <is>
          <t>0ce66f49b381187fe6255a40ca2fdbfc155d5e36125ccf6d30fe81a72962eafa</t>
        </is>
      </c>
      <c r="BH475" s="24" t="inlineStr">
        <is>
          <t>2026-09-03T16:10:20.721158Z</t>
        </is>
      </c>
      <c r="BI475" s="24" t="inlineStr">
        <is>
          <t>["same_event","same_team_same_day","same_league_same_day"]</t>
        </is>
      </c>
      <c r="BJ475" s="25" t="n"/>
      <c r="BK475" s="26" t="n">
        <v>-174</v>
      </c>
      <c r="BL475" s="27" t="n">
        <v>1.574713</v>
      </c>
      <c r="BM475" s="28" t="n">
        <v>0.635036</v>
      </c>
      <c r="BN475" s="28" t="n"/>
      <c r="BO475" s="28" t="n"/>
      <c r="BP475" s="25" t="n"/>
      <c r="BQ475" s="27" t="n">
        <v>1.574713</v>
      </c>
      <c r="BR475" s="28" t="n">
        <v>0.635</v>
      </c>
      <c r="BS475" s="28" t="n"/>
      <c r="BT475" s="28" t="n"/>
      <c r="BU475" s="25" t="n"/>
      <c r="BV475" s="29" t="n"/>
      <c r="BW475" s="24" t="n"/>
      <c r="BX475" s="30" t="n">
        <v>1</v>
      </c>
      <c r="BY475" s="27" t="n">
        <v>-1</v>
      </c>
      <c r="BZ475" s="24" t="inlineStr">
        <is>
          <t>2026-09-04T04:31:28.648376Z</t>
        </is>
      </c>
      <c r="CA475" s="31" t="inlineStr">
        <is>
          <t>fixed one-unit hypothetical scoring; no real exposure or execution</t>
        </is>
      </c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inlineStr">
        <is>
          <t>20f6deac2fcc69abfc743cef2f95e68d4abde788b5426a1586cea68e03ea43be</t>
        </is>
      </c>
      <c r="DE475" s="24" t="inlineStr">
        <is>
          <t>/Users/vincentc9002/model-prediction/data/odds/tennis/2026-09-03/polymarket_snapshots.jsonl</t>
        </is>
      </c>
      <c r="DF475" s="24" t="inlineStr">
        <is>
          <t>609874:2026-09-03T16:10:20.721158Z</t>
        </is>
      </c>
      <c r="DG475" s="24" t="n"/>
      <c r="DH475" s="24" t="n"/>
      <c r="DI475" s="24" t="n"/>
      <c r="DJ475" s="24" t="inlineStr">
        <is>
          <t>0.635036</t>
        </is>
      </c>
      <c r="DK475" s="24" t="n"/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f7da28b5a1ca441e</t>
        </is>
      </c>
      <c r="B476" s="24" t="inlineStr">
        <is>
          <t>2026-09-03T16:11:19.815565Z</t>
        </is>
      </c>
      <c r="C476" s="24" t="inlineStr">
        <is>
          <t>2026-09-03T20:00Z</t>
        </is>
      </c>
      <c r="D476" s="24" t="inlineStr">
        <is>
          <t>189-2026:182583</t>
        </is>
      </c>
      <c r="E476" s="24" t="inlineStr">
        <is>
          <t>TENNIS</t>
        </is>
      </c>
      <c r="F476" s="24" t="inlineStr">
        <is>
          <t>Francesca Jones</t>
        </is>
      </c>
      <c r="G476" s="24" t="inlineStr">
        <is>
          <t>Iva Jovic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polymarket_us</t>
        </is>
      </c>
      <c r="L476" s="26" t="n">
        <v>-590</v>
      </c>
      <c r="M476" s="27" t="n">
        <v>1.169492</v>
      </c>
      <c r="N476" s="28" t="n">
        <v>0.8550720000000001</v>
      </c>
      <c r="O476" s="28" t="n">
        <v>0.5973000000000001</v>
      </c>
      <c r="P476" s="28" t="n">
        <v>0.05</v>
      </c>
      <c r="Q476" s="28" t="n">
        <v>-0.257772</v>
      </c>
      <c r="R476" s="26" t="n">
        <v>0</v>
      </c>
      <c r="S476" s="29" t="n">
        <v>1</v>
      </c>
      <c r="T476" s="24" t="inlineStr">
        <is>
          <t>tennis-surface-elo-v1</t>
        </is>
      </c>
      <c r="U476" s="24" t="inlineStr">
        <is>
          <t>settled</t>
        </is>
      </c>
      <c r="V476" s="24" t="inlineStr">
        <is>
          <t>win</t>
        </is>
      </c>
      <c r="W476" s="26" t="n">
        <v>0</v>
      </c>
      <c r="X476" s="26" t="n">
        <v>1</v>
      </c>
      <c r="Y476" s="25" t="n"/>
      <c r="Z476" s="26" t="n">
        <v>-590</v>
      </c>
      <c r="AA476" s="28" t="n">
        <v>0.855</v>
      </c>
      <c r="AB476" s="28" t="n">
        <v>-7.2e-05</v>
      </c>
      <c r="AC476" s="30" t="n">
        <v>0.1695</v>
      </c>
      <c r="AD476" s="24" t="inlineStr">
        <is>
          <t>2026-09-04T04:31:30.692353Z</t>
        </is>
      </c>
      <c r="AE476" s="31" t="inlineStr">
        <is>
          <t>Surface-blended Elo on Hard: Francesca Jones p=0.403 vs Iva Jovic. Executable ask 0.8550 (aec-wta-ivajov-frajon-2026-09-03).</t>
        </is>
      </c>
      <c r="AF476" s="31" t="inlineStr">
        <is>
          <t>Surface-blended Elo model; singles only, WTA+ATP market coverage, not yet locked-holdout qualified -- promoted by explicit operator directive, not genuine walk-forward validation.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Francesca Jones</t>
        </is>
      </c>
      <c r="AQ476" s="24" t="inlineStr">
        <is>
          <t>Francesca Jones</t>
        </is>
      </c>
      <c r="AR476" s="24" t="inlineStr">
        <is>
          <t>Francesca Jones</t>
        </is>
      </c>
      <c r="AS476" s="24" t="inlineStr">
        <is>
          <t>Iva Jovic</t>
        </is>
      </c>
      <c r="AT476" s="24" t="inlineStr">
        <is>
          <t>Iva Jovic</t>
        </is>
      </c>
      <c r="AU476" s="24" t="inlineStr">
        <is>
          <t>Iva Jovic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0ce66f49b381187fe6255a40ca2fdbfc155d5e36125ccf6d30fe81a72962eafa</t>
        </is>
      </c>
      <c r="BB476" s="24" t="inlineStr">
        <is>
          <t>surface_blended_elo</t>
        </is>
      </c>
      <c r="BC476" s="24" t="inlineStr">
        <is>
          <t>tennis-surface-elo-v1</t>
        </is>
      </c>
      <c r="BD476" s="24" t="inlineStr">
        <is>
          <t>0ce66f49b381187fe6255a40ca2fdbfc155d5e36125ccf6d30fe81a72962eafa</t>
        </is>
      </c>
      <c r="BE476" s="24" t="inlineStr">
        <is>
          <t>tennis-surface-elo-v1</t>
        </is>
      </c>
      <c r="BF476" s="24" t="inlineStr">
        <is>
          <t>1</t>
        </is>
      </c>
      <c r="BG476" s="24" t="inlineStr">
        <is>
          <t>0ce66f49b381187fe6255a40ca2fdbfc155d5e36125ccf6d30fe81a72962eafa</t>
        </is>
      </c>
      <c r="BH476" s="24" t="inlineStr">
        <is>
          <t>2026-09-03T16:10:20.859106Z</t>
        </is>
      </c>
      <c r="BI476" s="24" t="inlineStr">
        <is>
          <t>["same_event","same_team_same_day","same_league_same_day"]</t>
        </is>
      </c>
      <c r="BJ476" s="25" t="n"/>
      <c r="BK476" s="26" t="n">
        <v>-590</v>
      </c>
      <c r="BL476" s="27" t="n">
        <v>1.169492</v>
      </c>
      <c r="BM476" s="28" t="n">
        <v>0.8550720000000001</v>
      </c>
      <c r="BN476" s="28" t="n"/>
      <c r="BO476" s="28" t="n"/>
      <c r="BP476" s="25" t="n"/>
      <c r="BQ476" s="27" t="n">
        <v>1.169492</v>
      </c>
      <c r="BR476" s="28" t="n">
        <v>0.855</v>
      </c>
      <c r="BS476" s="28" t="n"/>
      <c r="BT476" s="28" t="n"/>
      <c r="BU476" s="25" t="n"/>
      <c r="BV476" s="29" t="n"/>
      <c r="BW476" s="24" t="n"/>
      <c r="BX476" s="30" t="n">
        <v>1</v>
      </c>
      <c r="BY476" s="27" t="n">
        <v>0.169492</v>
      </c>
      <c r="BZ476" s="24" t="inlineStr">
        <is>
          <t>2026-09-04T04:31:30.692353Z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inlineStr">
        <is>
          <t>c8bce40a355cd9a6c5405aa9e135441182110f7e0ea1c7b3f12f3ec1ebb75ddc</t>
        </is>
      </c>
      <c r="DE476" s="24" t="inlineStr">
        <is>
          <t>/Users/vincentc9002/model-prediction/data/odds/tennis/2026-09-03/polymarket_snapshots.jsonl</t>
        </is>
      </c>
      <c r="DF476" s="24" t="inlineStr">
        <is>
          <t>657276:2026-09-03T16:10:20.859106Z</t>
        </is>
      </c>
      <c r="DG476" s="24" t="n"/>
      <c r="DH476" s="24" t="n"/>
      <c r="DI476" s="24" t="n"/>
      <c r="DJ476" s="24" t="inlineStr">
        <is>
          <t>0.855072</t>
        </is>
      </c>
      <c r="DK476" s="24" t="n"/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0b7c3a9e427b4928</t>
        </is>
      </c>
      <c r="B477" s="24" t="inlineStr">
        <is>
          <t>2026-09-03T16:11:19.815565Z</t>
        </is>
      </c>
      <c r="C477" s="24" t="inlineStr">
        <is>
          <t>2026-09-03T23:00Z</t>
        </is>
      </c>
      <c r="D477" s="24" t="inlineStr">
        <is>
          <t>189-2026:182563</t>
        </is>
      </c>
      <c r="E477" s="24" t="inlineStr">
        <is>
          <t>TENNIS</t>
        </is>
      </c>
      <c r="F477" s="24" t="inlineStr">
        <is>
          <t>Coco Gauff</t>
        </is>
      </c>
      <c r="G477" s="24" t="inlineStr">
        <is>
          <t>Paula Badosa</t>
        </is>
      </c>
      <c r="H477" s="24" t="inlineStr">
        <is>
          <t>moneyline</t>
        </is>
      </c>
      <c r="I477" s="24" t="inlineStr">
        <is>
          <t>away</t>
        </is>
      </c>
      <c r="J477" s="25" t="n"/>
      <c r="K477" s="24" t="inlineStr">
        <is>
          <t>polymarket_us</t>
        </is>
      </c>
      <c r="L477" s="26" t="n">
        <v>-641</v>
      </c>
      <c r="M477" s="27" t="n">
        <v>1.156006</v>
      </c>
      <c r="N477" s="28" t="n">
        <v>0.865047</v>
      </c>
      <c r="O477" s="28" t="n">
        <v>0.7681</v>
      </c>
      <c r="P477" s="28" t="n">
        <v>0.05</v>
      </c>
      <c r="Q477" s="28" t="n">
        <v>-0.09694700000000001</v>
      </c>
      <c r="R477" s="26" t="n">
        <v>0</v>
      </c>
      <c r="S477" s="29" t="n">
        <v>1</v>
      </c>
      <c r="T477" s="24" t="inlineStr">
        <is>
          <t>tennis-surface-elo-v1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0</v>
      </c>
      <c r="Y477" s="25" t="n"/>
      <c r="Z477" s="26" t="n">
        <v>-641</v>
      </c>
      <c r="AA477" s="28" t="n">
        <v>0.865</v>
      </c>
      <c r="AB477" s="28" t="n">
        <v>-4.7e-05</v>
      </c>
      <c r="AC477" s="30" t="n">
        <v>0.156</v>
      </c>
      <c r="AD477" s="24" t="inlineStr">
        <is>
          <t>2026-09-04T04:31:32.754973Z</t>
        </is>
      </c>
      <c r="AE477" s="31" t="inlineStr">
        <is>
          <t>Surface-blended Elo on Hard: Coco Gauff p=0.768 vs Paula Badosa. Executable ask 0.8650 (aec-wta-paubad-cocgau-2026-09-03).</t>
        </is>
      </c>
      <c r="AF477" s="31" t="inlineStr">
        <is>
          <t>Surface-blended Elo model; singles only, WTA+ATP market coverage, not yet locked-holdout qualified -- promoted by explicit operator directive, not genuine walk-forward validation.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Coco Gauff</t>
        </is>
      </c>
      <c r="AQ477" s="24" t="inlineStr">
        <is>
          <t>Coco Gauff</t>
        </is>
      </c>
      <c r="AR477" s="24" t="inlineStr">
        <is>
          <t>Coco Gauff</t>
        </is>
      </c>
      <c r="AS477" s="24" t="inlineStr">
        <is>
          <t>Paula Badosa</t>
        </is>
      </c>
      <c r="AT477" s="24" t="inlineStr">
        <is>
          <t>Paula Badosa</t>
        </is>
      </c>
      <c r="AU477" s="24" t="inlineStr">
        <is>
          <t>Paula Badosa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0ce66f49b381187fe6255a40ca2fdbfc155d5e36125ccf6d30fe81a72962eafa</t>
        </is>
      </c>
      <c r="BB477" s="24" t="inlineStr">
        <is>
          <t>surface_blended_elo</t>
        </is>
      </c>
      <c r="BC477" s="24" t="inlineStr">
        <is>
          <t>tennis-surface-elo-v1</t>
        </is>
      </c>
      <c r="BD477" s="24" t="inlineStr">
        <is>
          <t>0ce66f49b381187fe6255a40ca2fdbfc155d5e36125ccf6d30fe81a72962eafa</t>
        </is>
      </c>
      <c r="BE477" s="24" t="inlineStr">
        <is>
          <t>tennis-surface-elo-v1</t>
        </is>
      </c>
      <c r="BF477" s="24" t="inlineStr">
        <is>
          <t>1</t>
        </is>
      </c>
      <c r="BG477" s="24" t="inlineStr">
        <is>
          <t>0ce66f49b381187fe6255a40ca2fdbfc155d5e36125ccf6d30fe81a72962eafa</t>
        </is>
      </c>
      <c r="BH477" s="24" t="inlineStr">
        <is>
          <t>2026-09-03T16:10:21.030865Z</t>
        </is>
      </c>
      <c r="BI477" s="24" t="inlineStr">
        <is>
          <t>["same_event","same_team_same_day","same_league_same_day"]</t>
        </is>
      </c>
      <c r="BJ477" s="25" t="n"/>
      <c r="BK477" s="26" t="n">
        <v>-641</v>
      </c>
      <c r="BL477" s="27" t="n">
        <v>1.156006</v>
      </c>
      <c r="BM477" s="28" t="n">
        <v>0.865047</v>
      </c>
      <c r="BN477" s="28" t="n"/>
      <c r="BO477" s="28" t="n"/>
      <c r="BP477" s="25" t="n"/>
      <c r="BQ477" s="27" t="n">
        <v>1.156006</v>
      </c>
      <c r="BR477" s="28" t="n">
        <v>0.865</v>
      </c>
      <c r="BS477" s="28" t="n"/>
      <c r="BT477" s="28" t="n"/>
      <c r="BU477" s="25" t="n"/>
      <c r="BV477" s="29" t="n"/>
      <c r="BW477" s="24" t="n"/>
      <c r="BX477" s="30" t="n">
        <v>1</v>
      </c>
      <c r="BY477" s="27" t="n">
        <v>0.156007</v>
      </c>
      <c r="BZ477" s="24" t="inlineStr">
        <is>
          <t>2026-09-04T04:31:32.754973Z</t>
        </is>
      </c>
      <c r="CA477" s="31" t="inlineStr">
        <is>
          <t>fixed one-unit hypothetical scoring; no real exposure or execution</t>
        </is>
      </c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inlineStr">
        <is>
          <t>7879b4dd2b2a9d148041a69bafef1365476875b0f096afc817287e8594fb0978</t>
        </is>
      </c>
      <c r="DE477" s="24" t="inlineStr">
        <is>
          <t>/Users/vincentc9002/model-prediction/data/odds/tennis/2026-09-03/polymarket_snapshots.jsonl</t>
        </is>
      </c>
      <c r="DF477" s="24" t="inlineStr">
        <is>
          <t>653634:2026-09-03T16:10:21.030865Z</t>
        </is>
      </c>
      <c r="DG477" s="24" t="n"/>
      <c r="DH477" s="24" t="n"/>
      <c r="DI477" s="24" t="n"/>
      <c r="DJ477" s="24" t="inlineStr">
        <is>
          <t>0.865047</t>
        </is>
      </c>
      <c r="DK477" s="24" t="n"/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5a5f57f0a9744170</t>
        </is>
      </c>
      <c r="B478" s="24" t="inlineStr">
        <is>
          <t>2026-09-03T16:11:19.815565Z</t>
        </is>
      </c>
      <c r="C478" s="24" t="inlineStr">
        <is>
          <t>2026-09-04T01:00Z</t>
        </is>
      </c>
      <c r="D478" s="24" t="inlineStr">
        <is>
          <t>189-2026:182585</t>
        </is>
      </c>
      <c r="E478" s="24" t="inlineStr">
        <is>
          <t>TENNIS</t>
        </is>
      </c>
      <c r="F478" s="24" t="inlineStr">
        <is>
          <t>Elena Rybakina</t>
        </is>
      </c>
      <c r="G478" s="24" t="inlineStr">
        <is>
          <t>Jessica Bouzas Maneiro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polymarket_us</t>
        </is>
      </c>
      <c r="L478" s="26" t="n">
        <v>-506</v>
      </c>
      <c r="M478" s="27" t="n">
        <v>1.197628</v>
      </c>
      <c r="N478" s="28" t="n">
        <v>0.834983</v>
      </c>
      <c r="O478" s="28" t="n">
        <v>0.9249000000000001</v>
      </c>
      <c r="P478" s="28" t="n">
        <v>0.05</v>
      </c>
      <c r="Q478" s="28" t="n">
        <v>0.089917</v>
      </c>
      <c r="R478" s="26" t="n">
        <v>65</v>
      </c>
      <c r="S478" s="29" t="n">
        <v>1.25</v>
      </c>
      <c r="T478" s="24" t="inlineStr">
        <is>
          <t>tennis-surface-elo-v1</t>
        </is>
      </c>
      <c r="U478" s="24" t="inlineStr">
        <is>
          <t>settled</t>
        </is>
      </c>
      <c r="V478" s="24" t="inlineStr">
        <is>
          <t>win</t>
        </is>
      </c>
      <c r="W478" s="26" t="n">
        <v>1</v>
      </c>
      <c r="X478" s="26" t="n">
        <v>0</v>
      </c>
      <c r="Y478" s="25" t="n"/>
      <c r="Z478" s="26" t="n">
        <v>-506</v>
      </c>
      <c r="AA478" s="28" t="n">
        <v>0.835</v>
      </c>
      <c r="AB478" s="28" t="n">
        <v>1.7e-05</v>
      </c>
      <c r="AC478" s="30" t="n">
        <v>0.247</v>
      </c>
      <c r="AD478" s="24" t="inlineStr">
        <is>
          <t>2026-09-04T04:31:34.793107Z</t>
        </is>
      </c>
      <c r="AE478" s="31" t="inlineStr">
        <is>
          <t>Surface-blended Elo on Hard: Elena Rybakina p=0.925 vs Jessica Bouzas Maneiro. Executable ask 0.8350 (aec-wta-jesman-eleryb-2026-09-02).</t>
        </is>
      </c>
      <c r="AF478" s="31" t="inlineStr">
        <is>
          <t>Surface-blended Elo model; singles only, WTA+ATP market coverage, not yet locked-holdout qualified -- promoted by explicit operator directive, not genuine walk-forward validation.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Elena Rybakina</t>
        </is>
      </c>
      <c r="AQ478" s="24" t="inlineStr">
        <is>
          <t>Elena Rybakina</t>
        </is>
      </c>
      <c r="AR478" s="24" t="inlineStr">
        <is>
          <t>Elena Rybakina</t>
        </is>
      </c>
      <c r="AS478" s="24" t="inlineStr">
        <is>
          <t>Jessica Bouzas Maneiro</t>
        </is>
      </c>
      <c r="AT478" s="24" t="inlineStr">
        <is>
          <t>Jessica Bouzas Maneiro</t>
        </is>
      </c>
      <c r="AU478" s="24" t="inlineStr">
        <is>
          <t>Jessica Bouzas Maneiro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0ce66f49b381187fe6255a40ca2fdbfc155d5e36125ccf6d30fe81a72962eafa</t>
        </is>
      </c>
      <c r="BB478" s="24" t="inlineStr">
        <is>
          <t>surface_blended_elo</t>
        </is>
      </c>
      <c r="BC478" s="24" t="inlineStr">
        <is>
          <t>tennis-surface-elo-v1</t>
        </is>
      </c>
      <c r="BD478" s="24" t="inlineStr">
        <is>
          <t>0ce66f49b381187fe6255a40ca2fdbfc155d5e36125ccf6d30fe81a72962eafa</t>
        </is>
      </c>
      <c r="BE478" s="24" t="inlineStr">
        <is>
          <t>tennis-surface-elo-v1</t>
        </is>
      </c>
      <c r="BF478" s="24" t="inlineStr">
        <is>
          <t>1</t>
        </is>
      </c>
      <c r="BG478" s="24" t="inlineStr">
        <is>
          <t>0ce66f49b381187fe6255a40ca2fdbfc155d5e36125ccf6d30fe81a72962eafa</t>
        </is>
      </c>
      <c r="BH478" s="24" t="inlineStr">
        <is>
          <t>2026-09-03T16:10:21.095844Z</t>
        </is>
      </c>
      <c r="BI478" s="24" t="inlineStr">
        <is>
          <t>["same_event","same_team_same_day","same_league_same_day"]</t>
        </is>
      </c>
      <c r="BJ478" s="25" t="n"/>
      <c r="BK478" s="26" t="n">
        <v>-506</v>
      </c>
      <c r="BL478" s="27" t="n">
        <v>1.197628</v>
      </c>
      <c r="BM478" s="28" t="n">
        <v>0.834983</v>
      </c>
      <c r="BN478" s="28" t="n"/>
      <c r="BO478" s="28" t="n"/>
      <c r="BP478" s="25" t="n"/>
      <c r="BQ478" s="27" t="n">
        <v>1.197628</v>
      </c>
      <c r="BR478" s="28" t="n">
        <v>0.835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inlineStr">
        <is>
          <t>f23249cf4fb46ea22557ae708f2dfd0f9c1b718415588d04b680c1b126f5e147</t>
        </is>
      </c>
      <c r="DE478" s="24" t="inlineStr">
        <is>
          <t>/Users/vincentc9002/model-prediction/data/odds/tennis/2026-09-03/polymarket_snapshots.jsonl</t>
        </is>
      </c>
      <c r="DF478" s="24" t="inlineStr">
        <is>
          <t>612898:2026-09-03T16:10:21.095844Z</t>
        </is>
      </c>
      <c r="DG478" s="24" t="n"/>
      <c r="DH478" s="24" t="n"/>
      <c r="DI478" s="24" t="n"/>
      <c r="DJ478" s="24" t="inlineStr">
        <is>
          <t>0.834983</t>
        </is>
      </c>
      <c r="DK478" s="24" t="n"/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aa072eef67af46e5</t>
        </is>
      </c>
      <c r="B479" s="24" t="inlineStr">
        <is>
          <t>2026-09-03T16:11:19.815565Z</t>
        </is>
      </c>
      <c r="C479" s="24" t="inlineStr">
        <is>
          <t>2026-09-03T16:30Z</t>
        </is>
      </c>
      <c r="D479" s="24" t="inlineStr">
        <is>
          <t>189-2026:182711</t>
        </is>
      </c>
      <c r="E479" s="24" t="inlineStr">
        <is>
          <t>TENNIS</t>
        </is>
      </c>
      <c r="F479" s="24" t="inlineStr">
        <is>
          <t>Lorenzo Musetti</t>
        </is>
      </c>
      <c r="G479" s="24" t="inlineStr">
        <is>
          <t>Dane Sweeny</t>
        </is>
      </c>
      <c r="H479" s="24" t="inlineStr">
        <is>
          <t>moneyline</t>
        </is>
      </c>
      <c r="I479" s="24" t="inlineStr">
        <is>
          <t>away</t>
        </is>
      </c>
      <c r="J479" s="25" t="n"/>
      <c r="K479" s="24" t="inlineStr">
        <is>
          <t>polymarket_us</t>
        </is>
      </c>
      <c r="L479" s="26" t="n">
        <v>-1567</v>
      </c>
      <c r="M479" s="27" t="n">
        <v>1.063816</v>
      </c>
      <c r="N479" s="28" t="n">
        <v>0.940012</v>
      </c>
      <c r="O479" s="28" t="n">
        <v>0.7784</v>
      </c>
      <c r="P479" s="28" t="n">
        <v>0.05</v>
      </c>
      <c r="Q479" s="28" t="n">
        <v>-0.161612</v>
      </c>
      <c r="R479" s="26" t="n">
        <v>0</v>
      </c>
      <c r="S479" s="29" t="n">
        <v>1</v>
      </c>
      <c r="T479" s="24" t="inlineStr">
        <is>
          <t>tennis-surface-elo-v1</t>
        </is>
      </c>
      <c r="U479" s="24" t="inlineStr">
        <is>
          <t>settled</t>
        </is>
      </c>
      <c r="V479" s="24" t="inlineStr">
        <is>
          <t>loss</t>
        </is>
      </c>
      <c r="W479" s="26" t="n">
        <v>0</v>
      </c>
      <c r="X479" s="26" t="n">
        <v>1</v>
      </c>
      <c r="Y479" s="25" t="n"/>
      <c r="Z479" s="26" t="n">
        <v>-1567</v>
      </c>
      <c r="AA479" s="28" t="n">
        <v>0.9399999999999999</v>
      </c>
      <c r="AB479" s="28" t="n">
        <v>-1.2e-05</v>
      </c>
      <c r="AC479" s="30" t="n">
        <v>-1</v>
      </c>
      <c r="AD479" s="24" t="inlineStr">
        <is>
          <t>2026-09-04T04:31:36.824525Z</t>
        </is>
      </c>
      <c r="AE479" s="31" t="inlineStr">
        <is>
          <t>Surface-blended Elo on Hard: Lorenzo Musetti p=0.778 vs Dane Sweeny. Executable ask 0.9400 (aec-atp-danswe-lormus-2026-09-02).</t>
        </is>
      </c>
      <c r="AF479" s="31" t="inlineStr">
        <is>
          <t>Surface-blended Elo model; singles only, WTA+ATP market coverage, not yet locked-holdout qualified -- promoted by explicit operator directive, not genuine walk-forward validation.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Lorenzo Musetti</t>
        </is>
      </c>
      <c r="AQ479" s="24" t="inlineStr">
        <is>
          <t>Lorenzo Musetti</t>
        </is>
      </c>
      <c r="AR479" s="24" t="inlineStr">
        <is>
          <t>Lorenzo Musetti</t>
        </is>
      </c>
      <c r="AS479" s="24" t="inlineStr">
        <is>
          <t>Dane Sweeny</t>
        </is>
      </c>
      <c r="AT479" s="24" t="inlineStr">
        <is>
          <t>Dane Sweeny</t>
        </is>
      </c>
      <c r="AU479" s="24" t="inlineStr">
        <is>
          <t>Dane Sweeny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0ce66f49b381187fe6255a40ca2fdbfc155d5e36125ccf6d30fe81a72962eafa</t>
        </is>
      </c>
      <c r="BB479" s="24" t="inlineStr">
        <is>
          <t>surface_blended_elo</t>
        </is>
      </c>
      <c r="BC479" s="24" t="inlineStr">
        <is>
          <t>tennis-surface-elo-v1</t>
        </is>
      </c>
      <c r="BD479" s="24" t="inlineStr">
        <is>
          <t>0ce66f49b381187fe6255a40ca2fdbfc155d5e36125ccf6d30fe81a72962eafa</t>
        </is>
      </c>
      <c r="BE479" s="24" t="inlineStr">
        <is>
          <t>tennis-surface-elo-v1</t>
        </is>
      </c>
      <c r="BF479" s="24" t="inlineStr">
        <is>
          <t>1</t>
        </is>
      </c>
      <c r="BG479" s="24" t="inlineStr">
        <is>
          <t>0ce66f49b381187fe6255a40ca2fdbfc155d5e36125ccf6d30fe81a72962eafa</t>
        </is>
      </c>
      <c r="BH479" s="24" t="inlineStr">
        <is>
          <t>2026-09-03T16:10:21.877459Z</t>
        </is>
      </c>
      <c r="BI479" s="24" t="inlineStr">
        <is>
          <t>["same_event","same_team_same_day","same_league_same_day"]</t>
        </is>
      </c>
      <c r="BJ479" s="25" t="n"/>
      <c r="BK479" s="26" t="n">
        <v>-1567</v>
      </c>
      <c r="BL479" s="27" t="n">
        <v>1.063816</v>
      </c>
      <c r="BM479" s="28" t="n">
        <v>0.940012</v>
      </c>
      <c r="BN479" s="28" t="n"/>
      <c r="BO479" s="28" t="n"/>
      <c r="BP479" s="25" t="n"/>
      <c r="BQ479" s="27" t="n">
        <v>1.063816</v>
      </c>
      <c r="BR479" s="28" t="n">
        <v>0.9399999999999999</v>
      </c>
      <c r="BS479" s="28" t="n"/>
      <c r="BT479" s="28" t="n"/>
      <c r="BU479" s="25" t="n"/>
      <c r="BV479" s="29" t="n"/>
      <c r="BW479" s="24" t="n"/>
      <c r="BX479" s="30" t="n">
        <v>1</v>
      </c>
      <c r="BY479" s="27" t="n">
        <v>-1</v>
      </c>
      <c r="BZ479" s="24" t="inlineStr">
        <is>
          <t>2026-09-04T04:31:36.824525Z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inlineStr">
        <is>
          <t>9e8b02ec95db7278aabf936c95c06bb013b87f09c457c8a4922487ee8d20ae60</t>
        </is>
      </c>
      <c r="DE479" s="24" t="inlineStr">
        <is>
          <t>/Users/vincentc9002/model-prediction/data/odds/tennis/2026-09-03/polymarket_snapshots.jsonl</t>
        </is>
      </c>
      <c r="DF479" s="24" t="inlineStr">
        <is>
          <t>611359:2026-09-03T16:10:21.877459Z</t>
        </is>
      </c>
      <c r="DG479" s="24" t="n"/>
      <c r="DH479" s="24" t="n"/>
      <c r="DI479" s="24" t="n"/>
      <c r="DJ479" s="24" t="inlineStr">
        <is>
          <t>0.940012</t>
        </is>
      </c>
      <c r="DK479" s="24" t="n"/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fdd57660b219481f</t>
        </is>
      </c>
      <c r="B480" s="24" t="inlineStr">
        <is>
          <t>2026-09-03T16:11:19.815565Z</t>
        </is>
      </c>
      <c r="C480" s="24" t="inlineStr">
        <is>
          <t>2026-09-03T17:00Z</t>
        </is>
      </c>
      <c r="D480" s="24" t="inlineStr">
        <is>
          <t>189-2026:182726</t>
        </is>
      </c>
      <c r="E480" s="24" t="inlineStr">
        <is>
          <t>TENNIS</t>
        </is>
      </c>
      <c r="F480" s="24" t="inlineStr">
        <is>
          <t>Marco Trungelliti</t>
        </is>
      </c>
      <c r="G480" s="24" t="inlineStr">
        <is>
          <t>Alexander Blockx</t>
        </is>
      </c>
      <c r="H480" s="24" t="inlineStr">
        <is>
          <t>moneyline</t>
        </is>
      </c>
      <c r="I480" s="24" t="inlineStr">
        <is>
          <t>home</t>
        </is>
      </c>
      <c r="J480" s="25" t="n"/>
      <c r="K480" s="24" t="inlineStr">
        <is>
          <t>polymarket_us</t>
        </is>
      </c>
      <c r="L480" s="26" t="n">
        <v>-488</v>
      </c>
      <c r="M480" s="27" t="n">
        <v>1.204918</v>
      </c>
      <c r="N480" s="28" t="n">
        <v>0.829932</v>
      </c>
      <c r="O480" s="28" t="n">
        <v>0.5823</v>
      </c>
      <c r="P480" s="28" t="n">
        <v>0.05</v>
      </c>
      <c r="Q480" s="28" t="n">
        <v>-0.247632</v>
      </c>
      <c r="R480" s="26" t="n">
        <v>0</v>
      </c>
      <c r="S480" s="29" t="n">
        <v>1</v>
      </c>
      <c r="T480" s="24" t="inlineStr">
        <is>
          <t>tennis-surface-elo-v1</t>
        </is>
      </c>
      <c r="U480" s="24" t="inlineStr">
        <is>
          <t>settled</t>
        </is>
      </c>
      <c r="V480" s="24" t="inlineStr">
        <is>
          <t>win</t>
        </is>
      </c>
      <c r="W480" s="26" t="n">
        <v>0</v>
      </c>
      <c r="X480" s="26" t="n">
        <v>1</v>
      </c>
      <c r="Y480" s="25" t="n"/>
      <c r="Z480" s="26" t="n">
        <v>-488</v>
      </c>
      <c r="AA480" s="28" t="n">
        <v>0.83</v>
      </c>
      <c r="AB480" s="28" t="n">
        <v>6.8e-05</v>
      </c>
      <c r="AC480" s="30" t="n">
        <v>0.2049</v>
      </c>
      <c r="AD480" s="24" t="inlineStr">
        <is>
          <t>2026-09-04T04:31:38.841617Z</t>
        </is>
      </c>
      <c r="AE480" s="31" t="inlineStr">
        <is>
          <t>Surface-blended Elo on Hard: Marco Trungelliti p=0.418 vs Alexander Blockx. Executable ask 0.8300 (aec-atp-aleblo-martru-2026-09-01).</t>
        </is>
      </c>
      <c r="AF480" s="31" t="inlineStr">
        <is>
          <t>Surface-blended Elo model; singles only, WTA+ATP market coverage, not yet locked-holdout qualified -- promoted by explicit operator directive, not genuine walk-forward validation.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paper_call</t>
        </is>
      </c>
      <c r="AL480" s="26" t="n">
        <v>4</v>
      </c>
      <c r="AM480" s="24" t="inlineStr">
        <is>
          <t>RESEARCH_OBSERVATION</t>
        </is>
      </c>
      <c r="AN480" s="24" t="inlineStr">
        <is>
          <t>CALL</t>
        </is>
      </c>
      <c r="AO480" s="24" t="inlineStr">
        <is>
          <t>PAPER_CALL_LOW_EDGE</t>
        </is>
      </c>
      <c r="AP480" s="24" t="inlineStr">
        <is>
          <t>Marco Trungelliti</t>
        </is>
      </c>
      <c r="AQ480" s="24" t="inlineStr">
        <is>
          <t>Marco Trungelliti</t>
        </is>
      </c>
      <c r="AR480" s="24" t="inlineStr">
        <is>
          <t>Marco Trungelliti</t>
        </is>
      </c>
      <c r="AS480" s="24" t="inlineStr">
        <is>
          <t>Alexander Blockx</t>
        </is>
      </c>
      <c r="AT480" s="24" t="inlineStr">
        <is>
          <t>Alexander Blockx</t>
        </is>
      </c>
      <c r="AU480" s="24" t="inlineStr">
        <is>
          <t>Alexander Blockx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0ce66f49b381187fe6255a40ca2fdbfc155d5e36125ccf6d30fe81a72962eafa</t>
        </is>
      </c>
      <c r="BB480" s="24" t="inlineStr">
        <is>
          <t>surface_blended_elo</t>
        </is>
      </c>
      <c r="BC480" s="24" t="inlineStr">
        <is>
          <t>tennis-surface-elo-v1</t>
        </is>
      </c>
      <c r="BD480" s="24" t="inlineStr">
        <is>
          <t>0ce66f49b381187fe6255a40ca2fdbfc155d5e36125ccf6d30fe81a72962eafa</t>
        </is>
      </c>
      <c r="BE480" s="24" t="inlineStr">
        <is>
          <t>tennis-surface-elo-v1</t>
        </is>
      </c>
      <c r="BF480" s="24" t="inlineStr">
        <is>
          <t>1</t>
        </is>
      </c>
      <c r="BG480" s="24" t="inlineStr">
        <is>
          <t>0ce66f49b381187fe6255a40ca2fdbfc155d5e36125ccf6d30fe81a72962eafa</t>
        </is>
      </c>
      <c r="BH480" s="24" t="inlineStr">
        <is>
          <t>2026-09-03T16:10:21.425664Z</t>
        </is>
      </c>
      <c r="BI480" s="24" t="inlineStr">
        <is>
          <t>["same_event","same_team_same_day","same_league_same_day"]</t>
        </is>
      </c>
      <c r="BJ480" s="25" t="n"/>
      <c r="BK480" s="26" t="n">
        <v>-488</v>
      </c>
      <c r="BL480" s="27" t="n">
        <v>1.204918</v>
      </c>
      <c r="BM480" s="28" t="n">
        <v>0.829932</v>
      </c>
      <c r="BN480" s="28" t="n"/>
      <c r="BO480" s="28" t="n"/>
      <c r="BP480" s="25" t="n"/>
      <c r="BQ480" s="27" t="n">
        <v>1.204918</v>
      </c>
      <c r="BR480" s="28" t="n">
        <v>0.83</v>
      </c>
      <c r="BS480" s="28" t="n"/>
      <c r="BT480" s="28" t="n"/>
      <c r="BU480" s="25" t="n"/>
      <c r="BV480" s="29" t="n"/>
      <c r="BW480" s="24" t="n"/>
      <c r="BX480" s="30" t="n">
        <v>1</v>
      </c>
      <c r="BY480" s="27" t="n">
        <v>0.204918</v>
      </c>
      <c r="BZ480" s="24" t="inlineStr">
        <is>
          <t>2026-09-04T04:31:38.841617Z</t>
        </is>
      </c>
      <c r="CA480" s="31" t="inlineStr">
        <is>
          <t>fixed one-unit hypothetical scoring; no real exposure or execution</t>
        </is>
      </c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inlineStr">
        <is>
          <t>5b4478b0876b0f3fb6b42171e5887ea30b7d5e726483d8b6c8810f0e79c33748</t>
        </is>
      </c>
      <c r="DE480" s="24" t="inlineStr">
        <is>
          <t>/Users/vincentc9002/model-prediction/data/odds/tennis/2026-09-03/polymarket_snapshots.jsonl</t>
        </is>
      </c>
      <c r="DF480" s="24" t="inlineStr">
        <is>
          <t>601938:2026-09-03T16:10:21.425664Z</t>
        </is>
      </c>
      <c r="DG480" s="24" t="n"/>
      <c r="DH480" s="24" t="n"/>
      <c r="DI480" s="24" t="n"/>
      <c r="DJ480" s="24" t="inlineStr">
        <is>
          <t>0.829932</t>
        </is>
      </c>
      <c r="DK480" s="24" t="n"/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db3fc167cba24a80</t>
        </is>
      </c>
      <c r="B481" s="24" t="inlineStr">
        <is>
          <t>2026-09-03T16:11:19.815565Z</t>
        </is>
      </c>
      <c r="C481" s="24" t="inlineStr">
        <is>
          <t>2026-09-03T17:00Z</t>
        </is>
      </c>
      <c r="D481" s="24" t="inlineStr">
        <is>
          <t>189-2026:182755</t>
        </is>
      </c>
      <c r="E481" s="24" t="inlineStr">
        <is>
          <t>TENNIS</t>
        </is>
      </c>
      <c r="F481" s="24" t="inlineStr">
        <is>
          <t>Mattia Bellucci</t>
        </is>
      </c>
      <c r="G481" s="24" t="inlineStr">
        <is>
          <t>Taylor Fritz</t>
        </is>
      </c>
      <c r="H481" s="24" t="inlineStr">
        <is>
          <t>moneyline</t>
        </is>
      </c>
      <c r="I481" s="24" t="inlineStr">
        <is>
          <t>home</t>
        </is>
      </c>
      <c r="J481" s="25" t="n"/>
      <c r="K481" s="24" t="inlineStr">
        <is>
          <t>polymarket_us</t>
        </is>
      </c>
      <c r="L481" s="26" t="n">
        <v>-700</v>
      </c>
      <c r="M481" s="27" t="n">
        <v>1.142857</v>
      </c>
      <c r="N481" s="28" t="n">
        <v>0.875</v>
      </c>
      <c r="O481" s="28" t="n">
        <v>0.7776</v>
      </c>
      <c r="P481" s="28" t="n">
        <v>0.05</v>
      </c>
      <c r="Q481" s="28" t="n">
        <v>-0.0974</v>
      </c>
      <c r="R481" s="26" t="n">
        <v>0</v>
      </c>
      <c r="S481" s="29" t="n">
        <v>1</v>
      </c>
      <c r="T481" s="24" t="inlineStr">
        <is>
          <t>tennis-surface-elo-v1</t>
        </is>
      </c>
      <c r="U481" s="24" t="inlineStr">
        <is>
          <t>settled</t>
        </is>
      </c>
      <c r="V481" s="24" t="inlineStr">
        <is>
          <t>win</t>
        </is>
      </c>
      <c r="W481" s="26" t="n">
        <v>0</v>
      </c>
      <c r="X481" s="26" t="n">
        <v>1</v>
      </c>
      <c r="Y481" s="25" t="n"/>
      <c r="Z481" s="26" t="n">
        <v>-700</v>
      </c>
      <c r="AA481" s="28" t="n">
        <v>0.875</v>
      </c>
      <c r="AB481" s="28" t="n">
        <v>0</v>
      </c>
      <c r="AC481" s="30" t="n">
        <v>0.1429</v>
      </c>
      <c r="AD481" s="24" t="inlineStr">
        <is>
          <t>2026-09-04T04:31:40.882945Z</t>
        </is>
      </c>
      <c r="AE481" s="31" t="inlineStr">
        <is>
          <t>Surface-blended Elo on Hard: Mattia Bellucci p=0.222 vs Taylor Fritz. Executable ask 0.8750 (aec-atp-tayfri-matbel-2026-09-02).</t>
        </is>
      </c>
      <c r="AF481" s="31" t="inlineStr">
        <is>
          <t>Surface-blended Elo model; singles only, WTA+ATP market coverage, not yet locked-holdout qualified -- promoted by explicit operator directive, not genuine walk-forward validation.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paper_call</t>
        </is>
      </c>
      <c r="AL481" s="26" t="n">
        <v>4</v>
      </c>
      <c r="AM481" s="24" t="inlineStr">
        <is>
          <t>RESEARCH_OBSERVATION</t>
        </is>
      </c>
      <c r="AN481" s="24" t="inlineStr">
        <is>
          <t>CALL</t>
        </is>
      </c>
      <c r="AO481" s="24" t="inlineStr">
        <is>
          <t>PAPER_CALL_LOW_EDGE</t>
        </is>
      </c>
      <c r="AP481" s="24" t="inlineStr">
        <is>
          <t>Mattia Bellucci</t>
        </is>
      </c>
      <c r="AQ481" s="24" t="inlineStr">
        <is>
          <t>Mattia Bellucci</t>
        </is>
      </c>
      <c r="AR481" s="24" t="inlineStr">
        <is>
          <t>Mattia Bellucci</t>
        </is>
      </c>
      <c r="AS481" s="24" t="inlineStr">
        <is>
          <t>Taylor Fritz</t>
        </is>
      </c>
      <c r="AT481" s="24" t="inlineStr">
        <is>
          <t>Taylor Fritz</t>
        </is>
      </c>
      <c r="AU481" s="24" t="inlineStr">
        <is>
          <t>Taylor Fritz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0ce66f49b381187fe6255a40ca2fdbfc155d5e36125ccf6d30fe81a72962eafa</t>
        </is>
      </c>
      <c r="BB481" s="24" t="inlineStr">
        <is>
          <t>surface_blended_elo</t>
        </is>
      </c>
      <c r="BC481" s="24" t="inlineStr">
        <is>
          <t>tennis-surface-elo-v1</t>
        </is>
      </c>
      <c r="BD481" s="24" t="inlineStr">
        <is>
          <t>0ce66f49b381187fe6255a40ca2fdbfc155d5e36125ccf6d30fe81a72962eafa</t>
        </is>
      </c>
      <c r="BE481" s="24" t="inlineStr">
        <is>
          <t>tennis-surface-elo-v1</t>
        </is>
      </c>
      <c r="BF481" s="24" t="inlineStr">
        <is>
          <t>1</t>
        </is>
      </c>
      <c r="BG481" s="24" t="inlineStr">
        <is>
          <t>0ce66f49b381187fe6255a40ca2fdbfc155d5e36125ccf6d30fe81a72962eafa</t>
        </is>
      </c>
      <c r="BH481" s="24" t="inlineStr">
        <is>
          <t>2026-09-03T16:10:21.533664Z</t>
        </is>
      </c>
      <c r="BI481" s="24" t="inlineStr">
        <is>
          <t>["same_event","same_team_same_day","same_league_same_day"]</t>
        </is>
      </c>
      <c r="BJ481" s="25" t="n"/>
      <c r="BK481" s="26" t="n">
        <v>-700</v>
      </c>
      <c r="BL481" s="27" t="n">
        <v>1.142857</v>
      </c>
      <c r="BM481" s="28" t="n">
        <v>0.875</v>
      </c>
      <c r="BN481" s="28" t="n"/>
      <c r="BO481" s="28" t="n"/>
      <c r="BP481" s="25" t="n"/>
      <c r="BQ481" s="27" t="n">
        <v>1.142857</v>
      </c>
      <c r="BR481" s="28" t="n">
        <v>0.875</v>
      </c>
      <c r="BS481" s="28" t="n"/>
      <c r="BT481" s="28" t="n"/>
      <c r="BU481" s="25" t="n"/>
      <c r="BV481" s="29" t="n"/>
      <c r="BW481" s="24" t="n"/>
      <c r="BX481" s="30" t="n">
        <v>1</v>
      </c>
      <c r="BY481" s="27" t="n">
        <v>0.142857</v>
      </c>
      <c r="BZ481" s="24" t="inlineStr">
        <is>
          <t>2026-09-04T04:31:40.882945Z</t>
        </is>
      </c>
      <c r="CA481" s="31" t="inlineStr">
        <is>
          <t>fixed one-unit hypothetical scoring; no real exposure or execution</t>
        </is>
      </c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False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inlineStr">
        <is>
          <t>d1714c89473d6cce86da78926781bd6cd0e4929ed046bd5bf89979f70a6b106e</t>
        </is>
      </c>
      <c r="DE481" s="24" t="inlineStr">
        <is>
          <t>/Users/vincentc9002/model-prediction/data/odds/tennis/2026-09-03/polymarket_snapshots.jsonl</t>
        </is>
      </c>
      <c r="DF481" s="24" t="inlineStr">
        <is>
          <t>610043:2026-09-03T16:10:21.533664Z</t>
        </is>
      </c>
      <c r="DG481" s="24" t="n"/>
      <c r="DH481" s="24" t="n"/>
      <c r="DI481" s="24" t="n"/>
      <c r="DJ481" s="24" t="inlineStr">
        <is>
          <t>0.875</t>
        </is>
      </c>
      <c r="DK481" s="24" t="n"/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2f6b96fd33ac4645</t>
        </is>
      </c>
      <c r="B482" s="24" t="inlineStr">
        <is>
          <t>2026-09-03T16:11:19.815565Z</t>
        </is>
      </c>
      <c r="C482" s="24" t="inlineStr">
        <is>
          <t>2026-09-03T18:00Z</t>
        </is>
      </c>
      <c r="D482" s="24" t="inlineStr">
        <is>
          <t>189-2026:182709</t>
        </is>
      </c>
      <c r="E482" s="24" t="inlineStr">
        <is>
          <t>TENNIS</t>
        </is>
      </c>
      <c r="F482" s="24" t="inlineStr">
        <is>
          <t>Alejandro Tabilo</t>
        </is>
      </c>
      <c r="G482" s="24" t="inlineStr">
        <is>
          <t>Alexei Popyrin</t>
        </is>
      </c>
      <c r="H482" s="24" t="inlineStr">
        <is>
          <t>moneyline</t>
        </is>
      </c>
      <c r="I482" s="24" t="inlineStr">
        <is>
          <t>away</t>
        </is>
      </c>
      <c r="J482" s="25" t="n"/>
      <c r="K482" s="24" t="inlineStr">
        <is>
          <t>polymarket_us</t>
        </is>
      </c>
      <c r="L482" s="26" t="n">
        <v>-156</v>
      </c>
      <c r="M482" s="27" t="n">
        <v>1.641026</v>
      </c>
      <c r="N482" s="28" t="n">
        <v>0.609375</v>
      </c>
      <c r="O482" s="28" t="n">
        <v>0.5784</v>
      </c>
      <c r="P482" s="28" t="n">
        <v>0.05</v>
      </c>
      <c r="Q482" s="28" t="n">
        <v>-0.030975</v>
      </c>
      <c r="R482" s="26" t="n">
        <v>5</v>
      </c>
      <c r="S482" s="29" t="n">
        <v>1</v>
      </c>
      <c r="T482" s="24" t="inlineStr">
        <is>
          <t>tennis-surface-elo-v1</t>
        </is>
      </c>
      <c r="U482" s="24" t="inlineStr">
        <is>
          <t>settled</t>
        </is>
      </c>
      <c r="V482" s="24" t="inlineStr">
        <is>
          <t>win</t>
        </is>
      </c>
      <c r="W482" s="26" t="n">
        <v>1</v>
      </c>
      <c r="X482" s="26" t="n">
        <v>0</v>
      </c>
      <c r="Y482" s="25" t="n"/>
      <c r="Z482" s="26" t="n">
        <v>-156</v>
      </c>
      <c r="AA482" s="28" t="n">
        <v>0.61</v>
      </c>
      <c r="AB482" s="28" t="n">
        <v>0.000625</v>
      </c>
      <c r="AC482" s="30" t="n">
        <v>0.641</v>
      </c>
      <c r="AD482" s="24" t="inlineStr">
        <is>
          <t>2026-09-04T04:31:42.907005Z</t>
        </is>
      </c>
      <c r="AE482" s="31" t="inlineStr">
        <is>
          <t>Surface-blended Elo on Hard: Alejandro Tabilo p=0.578 vs Alexei Popyrin. Executable ask 0.6100 (aec-atp-alepop-aletab-2026-09-02).</t>
        </is>
      </c>
      <c r="AF482" s="31" t="inlineStr">
        <is>
          <t>Surface-blended Elo model; singles only, WTA+ATP market coverage, not yet locked-holdout qualified -- promoted by explicit operator directive, not genuine walk-forward validation.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paper_call</t>
        </is>
      </c>
      <c r="AL482" s="26" t="n">
        <v>4</v>
      </c>
      <c r="AM482" s="24" t="inlineStr">
        <is>
          <t>RESEARCH_OBSERVATION</t>
        </is>
      </c>
      <c r="AN482" s="24" t="inlineStr">
        <is>
          <t>CALL</t>
        </is>
      </c>
      <c r="AO482" s="24" t="inlineStr">
        <is>
          <t>PAPER_CALL_LOW_EDGE</t>
        </is>
      </c>
      <c r="AP482" s="24" t="inlineStr">
        <is>
          <t>Alejandro Tabilo</t>
        </is>
      </c>
      <c r="AQ482" s="24" t="inlineStr">
        <is>
          <t>Alejandro Tabilo</t>
        </is>
      </c>
      <c r="AR482" s="24" t="inlineStr">
        <is>
          <t>Alejandro Tabilo</t>
        </is>
      </c>
      <c r="AS482" s="24" t="inlineStr">
        <is>
          <t>Alexei Popyrin</t>
        </is>
      </c>
      <c r="AT482" s="24" t="inlineStr">
        <is>
          <t>Alexei Popyrin</t>
        </is>
      </c>
      <c r="AU482" s="24" t="inlineStr">
        <is>
          <t>Alexei Popyrin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0ce66f49b381187fe6255a40ca2fdbfc155d5e36125ccf6d30fe81a72962eafa</t>
        </is>
      </c>
      <c r="BB482" s="24" t="inlineStr">
        <is>
          <t>surface_blended_elo</t>
        </is>
      </c>
      <c r="BC482" s="24" t="inlineStr">
        <is>
          <t>tennis-surface-elo-v1</t>
        </is>
      </c>
      <c r="BD482" s="24" t="inlineStr">
        <is>
          <t>0ce66f49b381187fe6255a40ca2fdbfc155d5e36125ccf6d30fe81a72962eafa</t>
        </is>
      </c>
      <c r="BE482" s="24" t="inlineStr">
        <is>
          <t>tennis-surface-elo-v1</t>
        </is>
      </c>
      <c r="BF482" s="24" t="inlineStr">
        <is>
          <t>1</t>
        </is>
      </c>
      <c r="BG482" s="24" t="inlineStr">
        <is>
          <t>0ce66f49b381187fe6255a40ca2fdbfc155d5e36125ccf6d30fe81a72962eafa</t>
        </is>
      </c>
      <c r="BH482" s="24" t="inlineStr">
        <is>
          <t>2026-09-03T16:10:22.061083Z</t>
        </is>
      </c>
      <c r="BI482" s="24" t="inlineStr">
        <is>
          <t>["same_event","same_team_same_day","same_league_same_day"]</t>
        </is>
      </c>
      <c r="BJ482" s="25" t="n"/>
      <c r="BK482" s="26" t="n">
        <v>-156</v>
      </c>
      <c r="BL482" s="27" t="n">
        <v>1.641026</v>
      </c>
      <c r="BM482" s="28" t="n">
        <v>0.609375</v>
      </c>
      <c r="BN482" s="28" t="n"/>
      <c r="BO482" s="28" t="n"/>
      <c r="BP482" s="25" t="n"/>
      <c r="BQ482" s="27" t="n">
        <v>1.641026</v>
      </c>
      <c r="BR482" s="28" t="n">
        <v>0.61</v>
      </c>
      <c r="BS482" s="28" t="n"/>
      <c r="BT482" s="28" t="n"/>
      <c r="BU482" s="25" t="n"/>
      <c r="BV482" s="29" t="n"/>
      <c r="BW482" s="24" t="n"/>
      <c r="BX482" s="30" t="n">
        <v>1</v>
      </c>
      <c r="BY482" s="27" t="n">
        <v>0.641026</v>
      </c>
      <c r="BZ482" s="24" t="inlineStr">
        <is>
          <t>2026-09-04T04:31:42.907005Z</t>
        </is>
      </c>
      <c r="CA482" s="31" t="inlineStr">
        <is>
          <t>fixed one-unit hypothetical scoring; no real exposure or execution</t>
        </is>
      </c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False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inlineStr">
        <is>
          <t>e2d75f41f3c2bbfdc58e0ac57bda17bc9e007694fdb1d1b5236c41b01e9aa4ce</t>
        </is>
      </c>
      <c r="DE482" s="24" t="inlineStr">
        <is>
          <t>/Users/vincentc9002/model-prediction/data/odds/tennis/2026-09-03/polymarket_snapshots.jsonl</t>
        </is>
      </c>
      <c r="DF482" s="24" t="inlineStr">
        <is>
          <t>602289:2026-09-03T16:10:22.061083Z</t>
        </is>
      </c>
      <c r="DG482" s="24" t="n"/>
      <c r="DH482" s="24" t="n"/>
      <c r="DI482" s="24" t="n"/>
      <c r="DJ482" s="24" t="inlineStr">
        <is>
          <t>0.609375</t>
        </is>
      </c>
      <c r="DK482" s="24" t="n"/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69b717cd4e2a40db</t>
        </is>
      </c>
      <c r="B483" s="24" t="inlineStr">
        <is>
          <t>2026-09-03T16:11:19.815565Z</t>
        </is>
      </c>
      <c r="C483" s="24" t="inlineStr">
        <is>
          <t>2026-09-03T18:00Z</t>
        </is>
      </c>
      <c r="D483" s="24" t="inlineStr">
        <is>
          <t>189-2026:182735</t>
        </is>
      </c>
      <c r="E483" s="24" t="inlineStr">
        <is>
          <t>TENNIS</t>
        </is>
      </c>
      <c r="F483" s="24" t="inlineStr">
        <is>
          <t>Flavio Cobolli</t>
        </is>
      </c>
      <c r="G483" s="24" t="inlineStr">
        <is>
          <t>Tristan Schoolkate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polymarket_us</t>
        </is>
      </c>
      <c r="L483" s="26" t="n">
        <v>-413</v>
      </c>
      <c r="M483" s="27" t="n">
        <v>1.242131</v>
      </c>
      <c r="N483" s="28" t="n">
        <v>0.805068</v>
      </c>
      <c r="O483" s="28" t="n">
        <v>0.7446</v>
      </c>
      <c r="P483" s="28" t="n">
        <v>0.05</v>
      </c>
      <c r="Q483" s="28" t="n">
        <v>-0.060468</v>
      </c>
      <c r="R483" s="26" t="n">
        <v>0</v>
      </c>
      <c r="S483" s="29" t="n">
        <v>1</v>
      </c>
      <c r="T483" s="24" t="inlineStr">
        <is>
          <t>tennis-surface-elo-v1</t>
        </is>
      </c>
      <c r="U483" s="24" t="inlineStr">
        <is>
          <t>settled</t>
        </is>
      </c>
      <c r="V483" s="24" t="inlineStr">
        <is>
          <t>win</t>
        </is>
      </c>
      <c r="W483" s="26" t="n">
        <v>1</v>
      </c>
      <c r="X483" s="26" t="n">
        <v>0</v>
      </c>
      <c r="Y483" s="25" t="n"/>
      <c r="Z483" s="26" t="n">
        <v>-413</v>
      </c>
      <c r="AA483" s="28" t="n">
        <v>0.805</v>
      </c>
      <c r="AB483" s="28" t="n">
        <v>-6.8e-05</v>
      </c>
      <c r="AC483" s="30" t="n">
        <v>0.2421</v>
      </c>
      <c r="AD483" s="24" t="inlineStr">
        <is>
          <t>2026-09-04T04:31:44.922898Z</t>
        </is>
      </c>
      <c r="AE483" s="31" t="inlineStr">
        <is>
          <t>Surface-blended Elo on Hard: Flavio Cobolli p=0.745 vs Tristan Schoolkate. Executable ask 0.8050 (aec-atp-trisch-flacob-2026-09-02).</t>
        </is>
      </c>
      <c r="AF483" s="31" t="inlineStr">
        <is>
          <t>Surface-blended Elo model; singles only, WTA+ATP market coverage, not yet locked-holdout qualified -- promoted by explicit operator directive, not genuine walk-forward validation.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paper_call</t>
        </is>
      </c>
      <c r="AL483" s="26" t="n">
        <v>4</v>
      </c>
      <c r="AM483" s="24" t="inlineStr">
        <is>
          <t>RESEARCH_OBSERVATION</t>
        </is>
      </c>
      <c r="AN483" s="24" t="inlineStr">
        <is>
          <t>CALL</t>
        </is>
      </c>
      <c r="AO483" s="24" t="inlineStr">
        <is>
          <t>PAPER_CALL_LOW_EDGE</t>
        </is>
      </c>
      <c r="AP483" s="24" t="inlineStr">
        <is>
          <t>Flavio Cobolli</t>
        </is>
      </c>
      <c r="AQ483" s="24" t="inlineStr">
        <is>
          <t>Flavio Cobolli</t>
        </is>
      </c>
      <c r="AR483" s="24" t="inlineStr">
        <is>
          <t>Flavio Cobolli</t>
        </is>
      </c>
      <c r="AS483" s="24" t="inlineStr">
        <is>
          <t>Tristan Schoolkate</t>
        </is>
      </c>
      <c r="AT483" s="24" t="inlineStr">
        <is>
          <t>Tristan Schoolkate</t>
        </is>
      </c>
      <c r="AU483" s="24" t="inlineStr">
        <is>
          <t>Tristan Schoolkate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0ce66f49b381187fe6255a40ca2fdbfc155d5e36125ccf6d30fe81a72962eafa</t>
        </is>
      </c>
      <c r="BB483" s="24" t="inlineStr">
        <is>
          <t>surface_blended_elo</t>
        </is>
      </c>
      <c r="BC483" s="24" t="inlineStr">
        <is>
          <t>tennis-surface-elo-v1</t>
        </is>
      </c>
      <c r="BD483" s="24" t="inlineStr">
        <is>
          <t>0ce66f49b381187fe6255a40ca2fdbfc155d5e36125ccf6d30fe81a72962eafa</t>
        </is>
      </c>
      <c r="BE483" s="24" t="inlineStr">
        <is>
          <t>tennis-surface-elo-v1</t>
        </is>
      </c>
      <c r="BF483" s="24" t="inlineStr">
        <is>
          <t>1</t>
        </is>
      </c>
      <c r="BG483" s="24" t="inlineStr">
        <is>
          <t>0ce66f49b381187fe6255a40ca2fdbfc155d5e36125ccf6d30fe81a72962eafa</t>
        </is>
      </c>
      <c r="BH483" s="24" t="inlineStr">
        <is>
          <t>2026-09-03T16:10:21.931575Z</t>
        </is>
      </c>
      <c r="BI483" s="24" t="inlineStr">
        <is>
          <t>["same_event","same_team_same_day","same_league_same_day"]</t>
        </is>
      </c>
      <c r="BJ483" s="25" t="n"/>
      <c r="BK483" s="26" t="n">
        <v>-413</v>
      </c>
      <c r="BL483" s="27" t="n">
        <v>1.242131</v>
      </c>
      <c r="BM483" s="28" t="n">
        <v>0.805068</v>
      </c>
      <c r="BN483" s="28" t="n"/>
      <c r="BO483" s="28" t="n"/>
      <c r="BP483" s="25" t="n"/>
      <c r="BQ483" s="27" t="n">
        <v>1.242131</v>
      </c>
      <c r="BR483" s="28" t="n">
        <v>0.805</v>
      </c>
      <c r="BS483" s="28" t="n"/>
      <c r="BT483" s="28" t="n"/>
      <c r="BU483" s="25" t="n"/>
      <c r="BV483" s="29" t="n"/>
      <c r="BW483" s="24" t="n"/>
      <c r="BX483" s="30" t="n">
        <v>1</v>
      </c>
      <c r="BY483" s="27" t="n">
        <v>0.242131</v>
      </c>
      <c r="BZ483" s="24" t="inlineStr">
        <is>
          <t>2026-09-04T04:31:44.922898Z</t>
        </is>
      </c>
      <c r="CA483" s="31" t="inlineStr">
        <is>
          <t>fixed one-unit hypothetical scoring; no real exposure or execution</t>
        </is>
      </c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False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inlineStr">
        <is>
          <t>ec63d4c1e9924a91d18b6c0dac1071505a267663780ad9aece2b5a729b34c373</t>
        </is>
      </c>
      <c r="DE483" s="24" t="inlineStr">
        <is>
          <t>/Users/vincentc9002/model-prediction/data/odds/tennis/2026-09-03/polymarket_snapshots.jsonl</t>
        </is>
      </c>
      <c r="DF483" s="24" t="inlineStr">
        <is>
          <t>610071:2026-09-03T16:10:21.931575Z</t>
        </is>
      </c>
      <c r="DG483" s="24" t="n"/>
      <c r="DH483" s="24" t="n"/>
      <c r="DI483" s="24" t="n"/>
      <c r="DJ483" s="24" t="inlineStr">
        <is>
          <t>0.805068</t>
        </is>
      </c>
      <c r="DK483" s="24" t="n"/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263cf97079e44d5f</t>
        </is>
      </c>
      <c r="B484" s="24" t="inlineStr">
        <is>
          <t>2026-09-03T16:11:19.815565Z</t>
        </is>
      </c>
      <c r="C484" s="24" t="inlineStr">
        <is>
          <t>2026-09-03T18:00Z</t>
        </is>
      </c>
      <c r="D484" s="24" t="inlineStr">
        <is>
          <t>189-2026:182752</t>
        </is>
      </c>
      <c r="E484" s="24" t="inlineStr">
        <is>
          <t>TENNIS</t>
        </is>
      </c>
      <c r="F484" s="24" t="inlineStr">
        <is>
          <t>Jurij Rodionov</t>
        </is>
      </c>
      <c r="G484" s="24" t="inlineStr">
        <is>
          <t>Jakub Mensik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polymarket_us</t>
        </is>
      </c>
      <c r="L484" s="26" t="n">
        <v>-669</v>
      </c>
      <c r="M484" s="27" t="n">
        <v>1.149477</v>
      </c>
      <c r="N484" s="28" t="n">
        <v>0.869961</v>
      </c>
      <c r="O484" s="28" t="n">
        <v>0.7286</v>
      </c>
      <c r="P484" s="28" t="n">
        <v>0.05</v>
      </c>
      <c r="Q484" s="28" t="n">
        <v>-0.141361</v>
      </c>
      <c r="R484" s="26" t="n">
        <v>0</v>
      </c>
      <c r="S484" s="29" t="n">
        <v>1</v>
      </c>
      <c r="T484" s="24" t="inlineStr">
        <is>
          <t>tennis-surface-elo-v1</t>
        </is>
      </c>
      <c r="U484" s="24" t="inlineStr">
        <is>
          <t>settled</t>
        </is>
      </c>
      <c r="V484" s="24" t="inlineStr">
        <is>
          <t>win</t>
        </is>
      </c>
      <c r="W484" s="26" t="n">
        <v>0</v>
      </c>
      <c r="X484" s="26" t="n">
        <v>1</v>
      </c>
      <c r="Y484" s="25" t="n"/>
      <c r="Z484" s="26" t="n">
        <v>-669</v>
      </c>
      <c r="AA484" s="28" t="n">
        <v>0.87</v>
      </c>
      <c r="AB484" s="28" t="n">
        <v>3.9e-05</v>
      </c>
      <c r="AC484" s="30" t="n">
        <v>0.1495</v>
      </c>
      <c r="AD484" s="24" t="inlineStr">
        <is>
          <t>2026-09-04T04:31:47.002451Z</t>
        </is>
      </c>
      <c r="AE484" s="31" t="inlineStr">
        <is>
          <t>Surface-blended Elo on Hard: Jurij Rodionov p=0.271 vs Jakub Mensik. Executable ask 0.8700 (aec-atp-jakmen-jurrod-2026-09-02).</t>
        </is>
      </c>
      <c r="AF484" s="31" t="inlineStr">
        <is>
          <t>Surface-blended Elo model; singles only, WTA+ATP market coverage, not yet locked-holdout qualified -- promoted by explicit operator directive, not genuine walk-forward validation.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paper_call</t>
        </is>
      </c>
      <c r="AL484" s="26" t="n">
        <v>4</v>
      </c>
      <c r="AM484" s="24" t="inlineStr">
        <is>
          <t>RESEARCH_OBSERVATION</t>
        </is>
      </c>
      <c r="AN484" s="24" t="inlineStr">
        <is>
          <t>CALL</t>
        </is>
      </c>
      <c r="AO484" s="24" t="inlineStr">
        <is>
          <t>PAPER_CALL_LOW_EDGE</t>
        </is>
      </c>
      <c r="AP484" s="24" t="inlineStr">
        <is>
          <t>Jurij Rodionov</t>
        </is>
      </c>
      <c r="AQ484" s="24" t="inlineStr">
        <is>
          <t>Jurij Rodionov</t>
        </is>
      </c>
      <c r="AR484" s="24" t="inlineStr">
        <is>
          <t>Jurij Rodionov</t>
        </is>
      </c>
      <c r="AS484" s="24" t="inlineStr">
        <is>
          <t>Jakub Mensik</t>
        </is>
      </c>
      <c r="AT484" s="24" t="inlineStr">
        <is>
          <t>Jakub Mensik</t>
        </is>
      </c>
      <c r="AU484" s="24" t="inlineStr">
        <is>
          <t>Jakub Mensik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0ce66f49b381187fe6255a40ca2fdbfc155d5e36125ccf6d30fe81a72962eafa</t>
        </is>
      </c>
      <c r="BB484" s="24" t="inlineStr">
        <is>
          <t>surface_blended_elo</t>
        </is>
      </c>
      <c r="BC484" s="24" t="inlineStr">
        <is>
          <t>tennis-surface-elo-v1</t>
        </is>
      </c>
      <c r="BD484" s="24" t="inlineStr">
        <is>
          <t>0ce66f49b381187fe6255a40ca2fdbfc155d5e36125ccf6d30fe81a72962eafa</t>
        </is>
      </c>
      <c r="BE484" s="24" t="inlineStr">
        <is>
          <t>tennis-surface-elo-v1</t>
        </is>
      </c>
      <c r="BF484" s="24" t="inlineStr">
        <is>
          <t>1</t>
        </is>
      </c>
      <c r="BG484" s="24" t="inlineStr">
        <is>
          <t>0ce66f49b381187fe6255a40ca2fdbfc155d5e36125ccf6d30fe81a72962eafa</t>
        </is>
      </c>
      <c r="BH484" s="24" t="inlineStr">
        <is>
          <t>2026-09-03T16:10:21.725925Z</t>
        </is>
      </c>
      <c r="BI484" s="24" t="inlineStr">
        <is>
          <t>["same_event","same_team_same_day","same_league_same_day"]</t>
        </is>
      </c>
      <c r="BJ484" s="25" t="n"/>
      <c r="BK484" s="26" t="n">
        <v>-669</v>
      </c>
      <c r="BL484" s="27" t="n">
        <v>1.149477</v>
      </c>
      <c r="BM484" s="28" t="n">
        <v>0.869961</v>
      </c>
      <c r="BN484" s="28" t="n"/>
      <c r="BO484" s="28" t="n"/>
      <c r="BP484" s="25" t="n"/>
      <c r="BQ484" s="27" t="n">
        <v>1.149477</v>
      </c>
      <c r="BR484" s="28" t="n">
        <v>0.87</v>
      </c>
      <c r="BS484" s="28" t="n"/>
      <c r="BT484" s="28" t="n"/>
      <c r="BU484" s="25" t="n"/>
      <c r="BV484" s="29" t="n"/>
      <c r="BW484" s="24" t="n"/>
      <c r="BX484" s="30" t="n">
        <v>1</v>
      </c>
      <c r="BY484" s="27" t="n">
        <v>0.149477</v>
      </c>
      <c r="BZ484" s="24" t="inlineStr">
        <is>
          <t>2026-09-04T04:31:47.002451Z</t>
        </is>
      </c>
      <c r="CA484" s="31" t="inlineStr">
        <is>
          <t>fixed one-unit hypothetical scoring; no real exposure or execution</t>
        </is>
      </c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False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inlineStr">
        <is>
          <t>f88843f2132e24dec5af8f79c47fae4deb64cd857f3d79e7f12e9ca8fb7e5e4b</t>
        </is>
      </c>
      <c r="DE484" s="24" t="inlineStr">
        <is>
          <t>/Users/vincentc9002/model-prediction/data/odds/tennis/2026-09-03/polymarket_snapshots.jsonl</t>
        </is>
      </c>
      <c r="DF484" s="24" t="inlineStr">
        <is>
          <t>602035:2026-09-03T16:10:21.725925Z</t>
        </is>
      </c>
      <c r="DG484" s="24" t="n"/>
      <c r="DH484" s="24" t="n"/>
      <c r="DI484" s="24" t="n"/>
      <c r="DJ484" s="24" t="inlineStr">
        <is>
          <t>0.869961</t>
        </is>
      </c>
      <c r="DK484" s="24" t="n"/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347922c078b145d3</t>
        </is>
      </c>
      <c r="B485" s="24" t="inlineStr">
        <is>
          <t>2026-09-03T16:11:19.815565Z</t>
        </is>
      </c>
      <c r="C485" s="24" t="inlineStr">
        <is>
          <t>2026-09-03T20:00Z</t>
        </is>
      </c>
      <c r="D485" s="24" t="inlineStr">
        <is>
          <t>189-2026:182684</t>
        </is>
      </c>
      <c r="E485" s="24" t="inlineStr">
        <is>
          <t>TENNIS</t>
        </is>
      </c>
      <c r="F485" s="24" t="inlineStr">
        <is>
          <t>Arthur Gea</t>
        </is>
      </c>
      <c r="G485" s="24" t="inlineStr">
        <is>
          <t>Zachary Svajda</t>
        </is>
      </c>
      <c r="H485" s="24" t="inlineStr">
        <is>
          <t>moneyline</t>
        </is>
      </c>
      <c r="I485" s="24" t="inlineStr">
        <is>
          <t>home</t>
        </is>
      </c>
      <c r="J485" s="25" t="n"/>
      <c r="K485" s="24" t="inlineStr">
        <is>
          <t>polymarket_us</t>
        </is>
      </c>
      <c r="L485" s="26" t="n">
        <v>-113</v>
      </c>
      <c r="M485" s="27" t="n">
        <v>1.884956</v>
      </c>
      <c r="N485" s="28" t="n">
        <v>0.530516</v>
      </c>
      <c r="O485" s="28" t="n">
        <v>0.5014999999999999</v>
      </c>
      <c r="P485" s="28" t="n">
        <v>0.05</v>
      </c>
      <c r="Q485" s="28" t="n">
        <v>-0.029016</v>
      </c>
      <c r="R485" s="26" t="n">
        <v>5</v>
      </c>
      <c r="S485" s="29" t="n">
        <v>1</v>
      </c>
      <c r="T485" s="24" t="inlineStr">
        <is>
          <t>tennis-surface-elo-v1</t>
        </is>
      </c>
      <c r="U485" s="24" t="inlineStr">
        <is>
          <t>settled</t>
        </is>
      </c>
      <c r="V485" s="24" t="inlineStr">
        <is>
          <t>loss</t>
        </is>
      </c>
      <c r="W485" s="26" t="n">
        <v>1</v>
      </c>
      <c r="X485" s="26" t="n">
        <v>0</v>
      </c>
      <c r="Y485" s="25" t="n"/>
      <c r="Z485" s="26" t="n">
        <v>-113</v>
      </c>
      <c r="AA485" s="28" t="n">
        <v>0.53</v>
      </c>
      <c r="AB485" s="28" t="n">
        <v>-0.000516</v>
      </c>
      <c r="AC485" s="30" t="n">
        <v>-1</v>
      </c>
      <c r="AD485" s="24" t="inlineStr">
        <is>
          <t>2026-09-04T04:31:49.135367Z</t>
        </is>
      </c>
      <c r="AE485" s="31" t="inlineStr">
        <is>
          <t>Surface-blended Elo on Hard: Arthur Gea p=0.499 vs Zachary Svajda. Executable ask 0.5300 (aec-atp-zacsva-artgea-2026-09-03).</t>
        </is>
      </c>
      <c r="AF485" s="31" t="inlineStr">
        <is>
          <t>Surface-blended Elo model; singles only, WTA+ATP market coverage, not yet locked-holdout qualified -- promoted by explicit operator directive, not genuine walk-forward validation.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Arthur Gea</t>
        </is>
      </c>
      <c r="AQ485" s="24" t="inlineStr">
        <is>
          <t>Arthur Gea</t>
        </is>
      </c>
      <c r="AR485" s="24" t="inlineStr">
        <is>
          <t>Arthur Gea</t>
        </is>
      </c>
      <c r="AS485" s="24" t="inlineStr">
        <is>
          <t>Zachary Svajda</t>
        </is>
      </c>
      <c r="AT485" s="24" t="inlineStr">
        <is>
          <t>Zachary Svajda</t>
        </is>
      </c>
      <c r="AU485" s="24" t="inlineStr">
        <is>
          <t>Zachary Svajda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0ce66f49b381187fe6255a40ca2fdbfc155d5e36125ccf6d30fe81a72962eafa</t>
        </is>
      </c>
      <c r="BB485" s="24" t="inlineStr">
        <is>
          <t>surface_blended_elo</t>
        </is>
      </c>
      <c r="BC485" s="24" t="inlineStr">
        <is>
          <t>tennis-surface-elo-v1</t>
        </is>
      </c>
      <c r="BD485" s="24" t="inlineStr">
        <is>
          <t>0ce66f49b381187fe6255a40ca2fdbfc155d5e36125ccf6d30fe81a72962eafa</t>
        </is>
      </c>
      <c r="BE485" s="24" t="inlineStr">
        <is>
          <t>tennis-surface-elo-v1</t>
        </is>
      </c>
      <c r="BF485" s="24" t="inlineStr">
        <is>
          <t>1</t>
        </is>
      </c>
      <c r="BG485" s="24" t="inlineStr">
        <is>
          <t>0ce66f49b381187fe6255a40ca2fdbfc155d5e36125ccf6d30fe81a72962eafa</t>
        </is>
      </c>
      <c r="BH485" s="24" t="inlineStr">
        <is>
          <t>2026-09-03T16:10:22.330434Z</t>
        </is>
      </c>
      <c r="BI485" s="24" t="inlineStr">
        <is>
          <t>["same_event","same_team_same_day","same_league_same_day"]</t>
        </is>
      </c>
      <c r="BJ485" s="25" t="n"/>
      <c r="BK485" s="26" t="n">
        <v>-113</v>
      </c>
      <c r="BL485" s="27" t="n">
        <v>1.884956</v>
      </c>
      <c r="BM485" s="28" t="n">
        <v>0.530516</v>
      </c>
      <c r="BN485" s="28" t="n"/>
      <c r="BO485" s="28" t="n"/>
      <c r="BP485" s="25" t="n"/>
      <c r="BQ485" s="27" t="n">
        <v>1.884956</v>
      </c>
      <c r="BR485" s="28" t="n">
        <v>0.53</v>
      </c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2026-09-04T04:31:49.135367Z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inlineStr">
        <is>
          <t>6ae0e3bcdc8e5debd8e354a89f2a03bedb9c44d534822a23b1458aecc9ce7711</t>
        </is>
      </c>
      <c r="DE485" s="24" t="inlineStr">
        <is>
          <t>/Users/vincentc9002/model-prediction/data/odds/tennis/2026-09-03/polymarket_snapshots.jsonl</t>
        </is>
      </c>
      <c r="DF485" s="24" t="inlineStr">
        <is>
          <t>656775:2026-09-03T16:10:22.330434Z</t>
        </is>
      </c>
      <c r="DG485" s="24" t="n"/>
      <c r="DH485" s="24" t="n"/>
      <c r="DI485" s="24" t="n"/>
      <c r="DJ485" s="24" t="inlineStr">
        <is>
          <t>0.530516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b3185282940c4bee</t>
        </is>
      </c>
      <c r="B486" s="24" t="inlineStr">
        <is>
          <t>2026-09-03T16:11:19.815565Z</t>
        </is>
      </c>
      <c r="C486" s="24" t="inlineStr">
        <is>
          <t>2026-09-03T20:00Z</t>
        </is>
      </c>
      <c r="D486" s="24" t="inlineStr">
        <is>
          <t>189-2026:182686</t>
        </is>
      </c>
      <c r="E486" s="24" t="inlineStr">
        <is>
          <t>TENNIS</t>
        </is>
      </c>
      <c r="F486" s="24" t="inlineStr">
        <is>
          <t>Michael Zheng</t>
        </is>
      </c>
      <c r="G486" s="24" t="inlineStr">
        <is>
          <t>Bu Yunchaokete</t>
        </is>
      </c>
      <c r="H486" s="24" t="inlineStr">
        <is>
          <t>moneyline</t>
        </is>
      </c>
      <c r="I486" s="24" t="inlineStr">
        <is>
          <t>away</t>
        </is>
      </c>
      <c r="J486" s="25" t="n"/>
      <c r="K486" s="24" t="inlineStr">
        <is>
          <t>polymarket_us</t>
        </is>
      </c>
      <c r="L486" s="26" t="n">
        <v>-167</v>
      </c>
      <c r="M486" s="27" t="n">
        <v>1.598802</v>
      </c>
      <c r="N486" s="28" t="n">
        <v>0.625468</v>
      </c>
      <c r="O486" s="28" t="n">
        <v>0.6528</v>
      </c>
      <c r="P486" s="28" t="n">
        <v>0.05</v>
      </c>
      <c r="Q486" s="28" t="n">
        <v>0.027332</v>
      </c>
      <c r="R486" s="26" t="n">
        <v>34</v>
      </c>
      <c r="S486" s="29" t="n">
        <v>1</v>
      </c>
      <c r="T486" s="24" t="inlineStr">
        <is>
          <t>tennis-surface-elo-v1</t>
        </is>
      </c>
      <c r="U486" s="24" t="inlineStr">
        <is>
          <t>settled</t>
        </is>
      </c>
      <c r="V486" s="24" t="inlineStr">
        <is>
          <t>win</t>
        </is>
      </c>
      <c r="W486" s="26" t="n">
        <v>1</v>
      </c>
      <c r="X486" s="26" t="n">
        <v>0</v>
      </c>
      <c r="Y486" s="25" t="n"/>
      <c r="Z486" s="26" t="n">
        <v>-167</v>
      </c>
      <c r="AA486" s="28" t="n">
        <v>0.625</v>
      </c>
      <c r="AB486" s="28" t="n">
        <v>-0.000468</v>
      </c>
      <c r="AC486" s="30" t="n">
        <v>0.5988</v>
      </c>
      <c r="AD486" s="24" t="inlineStr">
        <is>
          <t>2026-09-04T04:31:51.117642Z</t>
        </is>
      </c>
      <c r="AE486" s="31" t="inlineStr">
        <is>
          <t>Surface-blended Elo on Hard: Michael Zheng p=0.653 vs Bu Yunchaokete. Executable ask 0.6250 (aec-atp-yunbu-miczhe-2026-09-03).</t>
        </is>
      </c>
      <c r="AF486" s="31" t="inlineStr">
        <is>
          <t>Surface-blended Elo model; singles only, WTA+ATP market coverage, not yet locked-holdout qualified -- promoted by explicit operator directive, not genuine walk-forward validation.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Michael Zheng</t>
        </is>
      </c>
      <c r="AQ486" s="24" t="inlineStr">
        <is>
          <t>Michael Zheng</t>
        </is>
      </c>
      <c r="AR486" s="24" t="inlineStr">
        <is>
          <t>Michael Zheng</t>
        </is>
      </c>
      <c r="AS486" s="24" t="inlineStr">
        <is>
          <t>Bu Yunchaokete</t>
        </is>
      </c>
      <c r="AT486" s="24" t="inlineStr">
        <is>
          <t>Bu Yunchaokete</t>
        </is>
      </c>
      <c r="AU486" s="24" t="inlineStr">
        <is>
          <t>Bu Yunchaokete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0ce66f49b381187fe6255a40ca2fdbfc155d5e36125ccf6d30fe81a72962eafa</t>
        </is>
      </c>
      <c r="BB486" s="24" t="inlineStr">
        <is>
          <t>surface_blended_elo</t>
        </is>
      </c>
      <c r="BC486" s="24" t="inlineStr">
        <is>
          <t>tennis-surface-elo-v1</t>
        </is>
      </c>
      <c r="BD486" s="24" t="inlineStr">
        <is>
          <t>0ce66f49b381187fe6255a40ca2fdbfc155d5e36125ccf6d30fe81a72962eafa</t>
        </is>
      </c>
      <c r="BE486" s="24" t="inlineStr">
        <is>
          <t>tennis-surface-elo-v1</t>
        </is>
      </c>
      <c r="BF486" s="24" t="inlineStr">
        <is>
          <t>1</t>
        </is>
      </c>
      <c r="BG486" s="24" t="inlineStr">
        <is>
          <t>0ce66f49b381187fe6255a40ca2fdbfc155d5e36125ccf6d30fe81a72962eafa</t>
        </is>
      </c>
      <c r="BH486" s="24" t="inlineStr">
        <is>
          <t>2026-09-03T16:10:22.859722Z</t>
        </is>
      </c>
      <c r="BI486" s="24" t="inlineStr">
        <is>
          <t>["same_event","same_team_same_day","same_league_same_day"]</t>
        </is>
      </c>
      <c r="BJ486" s="25" t="n"/>
      <c r="BK486" s="26" t="n">
        <v>-167</v>
      </c>
      <c r="BL486" s="27" t="n">
        <v>1.598802</v>
      </c>
      <c r="BM486" s="28" t="n">
        <v>0.625468</v>
      </c>
      <c r="BN486" s="28" t="n"/>
      <c r="BO486" s="28" t="n"/>
      <c r="BP486" s="25" t="n"/>
      <c r="BQ486" s="27" t="n">
        <v>1.598802</v>
      </c>
      <c r="BR486" s="28" t="n">
        <v>0.625</v>
      </c>
      <c r="BS486" s="28" t="n"/>
      <c r="BT486" s="28" t="n"/>
      <c r="BU486" s="25" t="n"/>
      <c r="BV486" s="29" t="n"/>
      <c r="BW486" s="24" t="n"/>
      <c r="BX486" s="30" t="n">
        <v>1</v>
      </c>
      <c r="BY486" s="27" t="n">
        <v>0.598803</v>
      </c>
      <c r="BZ486" s="24" t="inlineStr">
        <is>
          <t>2026-09-04T04:31:51.117642Z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inlineStr">
        <is>
          <t>b5b43f9488c2c781817da980557ea4a0c090f64ea1ec868e4b4fd9466d134ee3</t>
        </is>
      </c>
      <c r="DE486" s="24" t="inlineStr">
        <is>
          <t>/Users/vincentc9002/model-prediction/data/odds/tennis/2026-09-03/polymarket_snapshots.jsonl</t>
        </is>
      </c>
      <c r="DF486" s="24" t="inlineStr">
        <is>
          <t>656835:2026-09-03T16:10:22.859722Z</t>
        </is>
      </c>
      <c r="DG486" s="24" t="n"/>
      <c r="DH486" s="24" t="n"/>
      <c r="DI486" s="24" t="n"/>
      <c r="DJ486" s="24" t="inlineStr">
        <is>
          <t>0.625468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5f61eb3f92b24490</t>
        </is>
      </c>
      <c r="B487" s="24" t="inlineStr">
        <is>
          <t>2026-09-03T16:11:19.815565Z</t>
        </is>
      </c>
      <c r="C487" s="24" t="inlineStr">
        <is>
          <t>2026-09-03T20:00Z</t>
        </is>
      </c>
      <c r="D487" s="24" t="inlineStr">
        <is>
          <t>189-2026:182695</t>
        </is>
      </c>
      <c r="E487" s="24" t="inlineStr">
        <is>
          <t>TENNIS</t>
        </is>
      </c>
      <c r="F487" s="24" t="inlineStr">
        <is>
          <t>Jesper de Jong</t>
        </is>
      </c>
      <c r="G487" s="24" t="inlineStr">
        <is>
          <t>Zizou Bergs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polymarket_us</t>
        </is>
      </c>
      <c r="L487" s="26" t="n">
        <v>-217</v>
      </c>
      <c r="M487" s="27" t="n">
        <v>1.460829</v>
      </c>
      <c r="N487" s="28" t="n">
        <v>0.684543</v>
      </c>
      <c r="O487" s="28" t="n">
        <v>0.6249</v>
      </c>
      <c r="P487" s="28" t="n">
        <v>0.05</v>
      </c>
      <c r="Q487" s="28" t="n">
        <v>-0.059643</v>
      </c>
      <c r="R487" s="26" t="n">
        <v>0</v>
      </c>
      <c r="S487" s="29" t="n">
        <v>1</v>
      </c>
      <c r="T487" s="24" t="inlineStr">
        <is>
          <t>tennis-surface-elo-v1</t>
        </is>
      </c>
      <c r="U487" s="24" t="inlineStr">
        <is>
          <t>settled</t>
        </is>
      </c>
      <c r="V487" s="24" t="inlineStr">
        <is>
          <t>win</t>
        </is>
      </c>
      <c r="W487" s="26" t="n">
        <v>0</v>
      </c>
      <c r="X487" s="26" t="n">
        <v>1</v>
      </c>
      <c r="Y487" s="25" t="n"/>
      <c r="Z487" s="26" t="n">
        <v>-217</v>
      </c>
      <c r="AA487" s="28" t="n">
        <v>0.6850000000000001</v>
      </c>
      <c r="AB487" s="28" t="n">
        <v>0.000457</v>
      </c>
      <c r="AC487" s="30" t="n">
        <v>0.4608</v>
      </c>
      <c r="AD487" s="24" t="inlineStr">
        <is>
          <t>2026-09-04T04:31:53.146511Z</t>
        </is>
      </c>
      <c r="AE487" s="31" t="inlineStr">
        <is>
          <t>Surface-blended Elo on Hard: Jesper de Jong p=0.375 vs Zizou Bergs. Executable ask 0.6850 (aec-atp-zizber-jesjon-2026-09-03).</t>
        </is>
      </c>
      <c r="AF487" s="31" t="inlineStr">
        <is>
          <t>Surface-blended Elo model; singles only, WTA+ATP market coverage, not yet locked-holdout qualified -- promoted by explicit operator directive, not genuine walk-forward validation.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Jesper de Jong</t>
        </is>
      </c>
      <c r="AQ487" s="24" t="inlineStr">
        <is>
          <t>Jesper de Jong</t>
        </is>
      </c>
      <c r="AR487" s="24" t="inlineStr">
        <is>
          <t>Jesper de Jong</t>
        </is>
      </c>
      <c r="AS487" s="24" t="inlineStr">
        <is>
          <t>Zizou Bergs</t>
        </is>
      </c>
      <c r="AT487" s="24" t="inlineStr">
        <is>
          <t>Zizou Bergs</t>
        </is>
      </c>
      <c r="AU487" s="24" t="inlineStr">
        <is>
          <t>Zizou Bergs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0ce66f49b381187fe6255a40ca2fdbfc155d5e36125ccf6d30fe81a72962eafa</t>
        </is>
      </c>
      <c r="BB487" s="24" t="inlineStr">
        <is>
          <t>surface_blended_elo</t>
        </is>
      </c>
      <c r="BC487" s="24" t="inlineStr">
        <is>
          <t>tennis-surface-elo-v1</t>
        </is>
      </c>
      <c r="BD487" s="24" t="inlineStr">
        <is>
          <t>0ce66f49b381187fe6255a40ca2fdbfc155d5e36125ccf6d30fe81a72962eafa</t>
        </is>
      </c>
      <c r="BE487" s="24" t="inlineStr">
        <is>
          <t>tennis-surface-elo-v1</t>
        </is>
      </c>
      <c r="BF487" s="24" t="inlineStr">
        <is>
          <t>1</t>
        </is>
      </c>
      <c r="BG487" s="24" t="inlineStr">
        <is>
          <t>0ce66f49b381187fe6255a40ca2fdbfc155d5e36125ccf6d30fe81a72962eafa</t>
        </is>
      </c>
      <c r="BH487" s="24" t="inlineStr">
        <is>
          <t>2026-09-03T16:10:22.594967Z</t>
        </is>
      </c>
      <c r="BI487" s="24" t="inlineStr">
        <is>
          <t>["same_event","same_team_same_day","same_league_same_day"]</t>
        </is>
      </c>
      <c r="BJ487" s="25" t="n"/>
      <c r="BK487" s="26" t="n">
        <v>-217</v>
      </c>
      <c r="BL487" s="27" t="n">
        <v>1.460829</v>
      </c>
      <c r="BM487" s="28" t="n">
        <v>0.684543</v>
      </c>
      <c r="BN487" s="28" t="n"/>
      <c r="BO487" s="28" t="n"/>
      <c r="BP487" s="25" t="n"/>
      <c r="BQ487" s="27" t="n">
        <v>1.460829</v>
      </c>
      <c r="BR487" s="28" t="n">
        <v>0.6850000000000001</v>
      </c>
      <c r="BS487" s="28" t="n"/>
      <c r="BT487" s="28" t="n"/>
      <c r="BU487" s="25" t="n"/>
      <c r="BV487" s="29" t="n"/>
      <c r="BW487" s="24" t="n"/>
      <c r="BX487" s="30" t="n">
        <v>1</v>
      </c>
      <c r="BY487" s="27" t="n">
        <v>0.460829</v>
      </c>
      <c r="BZ487" s="24" t="inlineStr">
        <is>
          <t>2026-09-04T04:31:53.146511Z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inlineStr">
        <is>
          <t>c7999094165bf9e738a1380adc4243c07cefeff412f9050239c3e745d67d7e95</t>
        </is>
      </c>
      <c r="DE487" s="24" t="inlineStr">
        <is>
          <t>/Users/vincentc9002/model-prediction/data/odds/tennis/2026-09-03/polymarket_snapshots.jsonl</t>
        </is>
      </c>
      <c r="DF487" s="24" t="inlineStr">
        <is>
          <t>657152:2026-09-03T16:10:22.594967Z</t>
        </is>
      </c>
      <c r="DG487" s="24" t="n"/>
      <c r="DH487" s="24" t="n"/>
      <c r="DI487" s="24" t="n"/>
      <c r="DJ487" s="24" t="inlineStr">
        <is>
          <t>0.684543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01237d45157d4fc2</t>
        </is>
      </c>
      <c r="B488" s="24" t="inlineStr">
        <is>
          <t>2026-09-03T16:11:19.815565Z</t>
        </is>
      </c>
      <c r="C488" s="24" t="inlineStr">
        <is>
          <t>2026-09-03T20:00Z</t>
        </is>
      </c>
      <c r="D488" s="24" t="inlineStr">
        <is>
          <t>189-2026:182741</t>
        </is>
      </c>
      <c r="E488" s="24" t="inlineStr">
        <is>
          <t>TENNIS</t>
        </is>
      </c>
      <c r="F488" s="24" t="inlineStr">
        <is>
          <t>Ignacio Buse</t>
        </is>
      </c>
      <c r="G488" s="24" t="inlineStr">
        <is>
          <t>Benjamin Bonzi</t>
        </is>
      </c>
      <c r="H488" s="24" t="inlineStr">
        <is>
          <t>moneyline</t>
        </is>
      </c>
      <c r="I488" s="24" t="inlineStr">
        <is>
          <t>home</t>
        </is>
      </c>
      <c r="J488" s="25" t="n"/>
      <c r="K488" s="24" t="inlineStr">
        <is>
          <t>polymarket_us</t>
        </is>
      </c>
      <c r="L488" s="26" t="n">
        <v>108</v>
      </c>
      <c r="M488" s="27" t="n">
        <v>2.08</v>
      </c>
      <c r="N488" s="28" t="n">
        <v>0.480769</v>
      </c>
      <c r="O488" s="28" t="n">
        <v>0.5246</v>
      </c>
      <c r="P488" s="28" t="n">
        <v>0.05</v>
      </c>
      <c r="Q488" s="28" t="n">
        <v>0.043831</v>
      </c>
      <c r="R488" s="26" t="n">
        <v>42</v>
      </c>
      <c r="S488" s="29" t="n">
        <v>1</v>
      </c>
      <c r="T488" s="24" t="inlineStr">
        <is>
          <t>tennis-surface-elo-v1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1</v>
      </c>
      <c r="Y488" s="25" t="n"/>
      <c r="Z488" s="26" t="n">
        <v>108</v>
      </c>
      <c r="AA488" s="28" t="n">
        <v>0.48</v>
      </c>
      <c r="AB488" s="28" t="n">
        <v>-0.000769</v>
      </c>
      <c r="AC488" s="30" t="n">
        <v>1.08</v>
      </c>
      <c r="AD488" s="24" t="inlineStr">
        <is>
          <t>2026-09-04T04:31:55.179478Z</t>
        </is>
      </c>
      <c r="AE488" s="31" t="inlineStr">
        <is>
          <t>Surface-blended Elo on Hard: Ignacio Buse p=0.475 vs Benjamin Bonzi. Executable ask 0.4800 (aec-atp-benbon-ignbus-2026-09-03).</t>
        </is>
      </c>
      <c r="AF488" s="31" t="inlineStr">
        <is>
          <t>Surface-blended Elo model; singles only, WTA+ATP market coverage, not yet locked-holdout qualified -- promoted by explicit operator directive, not genuine walk-forward validation.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Ignacio Buse</t>
        </is>
      </c>
      <c r="AQ488" s="24" t="inlineStr">
        <is>
          <t>Ignacio Buse</t>
        </is>
      </c>
      <c r="AR488" s="24" t="inlineStr">
        <is>
          <t>Ignacio Buse</t>
        </is>
      </c>
      <c r="AS488" s="24" t="inlineStr">
        <is>
          <t>Benjamin Bonzi</t>
        </is>
      </c>
      <c r="AT488" s="24" t="inlineStr">
        <is>
          <t>Benjamin Bonzi</t>
        </is>
      </c>
      <c r="AU488" s="24" t="inlineStr">
        <is>
          <t>Benjamin Bonzi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0ce66f49b381187fe6255a40ca2fdbfc155d5e36125ccf6d30fe81a72962eafa</t>
        </is>
      </c>
      <c r="BB488" s="24" t="inlineStr">
        <is>
          <t>surface_blended_elo</t>
        </is>
      </c>
      <c r="BC488" s="24" t="inlineStr">
        <is>
          <t>tennis-surface-elo-v1</t>
        </is>
      </c>
      <c r="BD488" s="24" t="inlineStr">
        <is>
          <t>0ce66f49b381187fe6255a40ca2fdbfc155d5e36125ccf6d30fe81a72962eafa</t>
        </is>
      </c>
      <c r="BE488" s="24" t="inlineStr">
        <is>
          <t>tennis-surface-elo-v1</t>
        </is>
      </c>
      <c r="BF488" s="24" t="inlineStr">
        <is>
          <t>1</t>
        </is>
      </c>
      <c r="BG488" s="24" t="inlineStr">
        <is>
          <t>0ce66f49b381187fe6255a40ca2fdbfc155d5e36125ccf6d30fe81a72962eafa</t>
        </is>
      </c>
      <c r="BH488" s="24" t="inlineStr">
        <is>
          <t>2026-09-03T16:10:22.192268Z</t>
        </is>
      </c>
      <c r="BI488" s="24" t="inlineStr">
        <is>
          <t>["same_event","same_team_same_day","same_league_same_day"]</t>
        </is>
      </c>
      <c r="BJ488" s="25" t="n"/>
      <c r="BK488" s="26" t="n">
        <v>108</v>
      </c>
      <c r="BL488" s="27" t="n">
        <v>2.08</v>
      </c>
      <c r="BM488" s="28" t="n">
        <v>0.480769</v>
      </c>
      <c r="BN488" s="28" t="n"/>
      <c r="BO488" s="28" t="n"/>
      <c r="BP488" s="25" t="n"/>
      <c r="BQ488" s="27" t="n">
        <v>2.08</v>
      </c>
      <c r="BR488" s="28" t="n">
        <v>0.48</v>
      </c>
      <c r="BS488" s="28" t="n"/>
      <c r="BT488" s="28" t="n"/>
      <c r="BU488" s="25" t="n"/>
      <c r="BV488" s="29" t="n"/>
      <c r="BW488" s="24" t="n"/>
      <c r="BX488" s="30" t="n">
        <v>1</v>
      </c>
      <c r="BY488" s="27" t="n">
        <v>1.080001</v>
      </c>
      <c r="BZ488" s="24" t="inlineStr">
        <is>
          <t>2026-09-04T04:31:55.179478Z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inlineStr">
        <is>
          <t>d7f23807ff925e8d08285a91d964d6d633324272deb2cb498db340dbc348d717</t>
        </is>
      </c>
      <c r="DE488" s="24" t="inlineStr">
        <is>
          <t>/Users/vincentc9002/model-prediction/data/odds/tennis/2026-09-03/polymarket_snapshots.jsonl</t>
        </is>
      </c>
      <c r="DF488" s="24" t="inlineStr">
        <is>
          <t>656837:2026-09-03T16:10:22.192268Z</t>
        </is>
      </c>
      <c r="DG488" s="24" t="n"/>
      <c r="DH488" s="24" t="n"/>
      <c r="DI488" s="24" t="n"/>
      <c r="DJ488" s="24" t="inlineStr">
        <is>
          <t>0.480769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dcefb556a2e7436c</t>
        </is>
      </c>
      <c r="B489" s="24" t="inlineStr">
        <is>
          <t>2026-09-03T16:11:19.815565Z</t>
        </is>
      </c>
      <c r="C489" s="24" t="inlineStr">
        <is>
          <t>2026-09-03T20:30Z</t>
        </is>
      </c>
      <c r="D489" s="24" t="inlineStr">
        <is>
          <t>189-2026:182700</t>
        </is>
      </c>
      <c r="E489" s="24" t="inlineStr">
        <is>
          <t>TENNIS</t>
        </is>
      </c>
      <c r="F489" s="24" t="inlineStr">
        <is>
          <t>Alex de Minaur</t>
        </is>
      </c>
      <c r="G489" s="24" t="inlineStr">
        <is>
          <t>Botic Van De Zandschulp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polymarket_us</t>
        </is>
      </c>
      <c r="L489" s="26" t="n">
        <v>-270</v>
      </c>
      <c r="M489" s="27" t="n">
        <v>1.37037</v>
      </c>
      <c r="N489" s="28" t="n">
        <v>0.72973</v>
      </c>
      <c r="O489" s="28" t="n">
        <v>0.6858</v>
      </c>
      <c r="P489" s="28" t="n">
        <v>0.05</v>
      </c>
      <c r="Q489" s="28" t="n">
        <v>-0.04393</v>
      </c>
      <c r="R489" s="26" t="n">
        <v>0</v>
      </c>
      <c r="S489" s="29" t="n">
        <v>1</v>
      </c>
      <c r="T489" s="24" t="inlineStr">
        <is>
          <t>tennis-surface-elo-v1</t>
        </is>
      </c>
      <c r="U489" s="24" t="inlineStr">
        <is>
          <t>settled</t>
        </is>
      </c>
      <c r="V489" s="24" t="inlineStr">
        <is>
          <t>loss</t>
        </is>
      </c>
      <c r="W489" s="26" t="n">
        <v>0</v>
      </c>
      <c r="X489" s="26" t="n">
        <v>1</v>
      </c>
      <c r="Y489" s="25" t="n"/>
      <c r="Z489" s="26" t="n">
        <v>-270</v>
      </c>
      <c r="AA489" s="28" t="n">
        <v>0.73</v>
      </c>
      <c r="AB489" s="28" t="n">
        <v>0.00027</v>
      </c>
      <c r="AC489" s="30" t="n">
        <v>-1</v>
      </c>
      <c r="AD489" s="24" t="inlineStr">
        <is>
          <t>2026-09-04T04:31:57.214898Z</t>
        </is>
      </c>
      <c r="AE489" s="31" t="inlineStr">
        <is>
          <t>Surface-blended Elo on Hard: Alex de Minaur p=0.686 vs Botic Van De Zandschulp. Executable ask 0.7300 (aec-atp-botzan-alemin-2026-09-03).</t>
        </is>
      </c>
      <c r="AF489" s="31" t="inlineStr">
        <is>
          <t>Surface-blended Elo model; singles only, WTA+ATP market coverage, not yet locked-holdout qualified -- promoted by explicit operator directive, not genuine walk-forward validation.</t>
        </is>
      </c>
      <c r="AG489" s="24" t="inlineStr">
        <is>
          <t>review_required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Alex de Minaur</t>
        </is>
      </c>
      <c r="AQ489" s="24" t="inlineStr">
        <is>
          <t>Alex de Minaur</t>
        </is>
      </c>
      <c r="AR489" s="24" t="inlineStr">
        <is>
          <t>Alex de Minaur</t>
        </is>
      </c>
      <c r="AS489" s="24" t="inlineStr">
        <is>
          <t>Botic Van De Zandschulp</t>
        </is>
      </c>
      <c r="AT489" s="24" t="inlineStr">
        <is>
          <t>Botic Van De Zandschulp</t>
        </is>
      </c>
      <c r="AU489" s="24" t="inlineStr">
        <is>
          <t>Botic Van De Zandschulp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0ce66f49b381187fe6255a40ca2fdbfc155d5e36125ccf6d30fe81a72962eafa</t>
        </is>
      </c>
      <c r="BB489" s="24" t="inlineStr">
        <is>
          <t>surface_blended_elo</t>
        </is>
      </c>
      <c r="BC489" s="24" t="inlineStr">
        <is>
          <t>tennis-surface-elo-v1</t>
        </is>
      </c>
      <c r="BD489" s="24" t="inlineStr">
        <is>
          <t>0ce66f49b381187fe6255a40ca2fdbfc155d5e36125ccf6d30fe81a72962eafa</t>
        </is>
      </c>
      <c r="BE489" s="24" t="inlineStr">
        <is>
          <t>tennis-surface-elo-v1</t>
        </is>
      </c>
      <c r="BF489" s="24" t="inlineStr">
        <is>
          <t>1</t>
        </is>
      </c>
      <c r="BG489" s="24" t="inlineStr">
        <is>
          <t>0ce66f49b381187fe6255a40ca2fdbfc155d5e36125ccf6d30fe81a72962eafa</t>
        </is>
      </c>
      <c r="BH489" s="24" t="inlineStr">
        <is>
          <t>2026-09-03T16:10:23.009592Z</t>
        </is>
      </c>
      <c r="BI489" s="24" t="inlineStr">
        <is>
          <t>["same_event","same_team_same_day","same_league_same_day"]</t>
        </is>
      </c>
      <c r="BJ489" s="25" t="n"/>
      <c r="BK489" s="26" t="n">
        <v>-270</v>
      </c>
      <c r="BL489" s="27" t="n">
        <v>1.37037</v>
      </c>
      <c r="BM489" s="28" t="n">
        <v>0.72973</v>
      </c>
      <c r="BN489" s="28" t="n"/>
      <c r="BO489" s="28" t="n"/>
      <c r="BP489" s="25" t="n"/>
      <c r="BQ489" s="27" t="n">
        <v>1.37037</v>
      </c>
      <c r="BR489" s="28" t="n">
        <v>0.73</v>
      </c>
      <c r="BS489" s="28" t="n"/>
      <c r="BT489" s="28" t="n"/>
      <c r="BU489" s="25" t="n"/>
      <c r="BV489" s="29" t="n"/>
      <c r="BW489" s="24" t="n"/>
      <c r="BX489" s="30" t="n">
        <v>1</v>
      </c>
      <c r="BY489" s="27" t="n">
        <v>-1</v>
      </c>
      <c r="BZ489" s="24" t="inlineStr">
        <is>
          <t>2026-09-04T04:31:57.214898Z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inlineStr">
        <is>
          <t>2418872f644c96b3c4fad974f702b9e5ca3a9e37cf17e09e77350f5f5d502af0</t>
        </is>
      </c>
      <c r="DE489" s="24" t="inlineStr">
        <is>
          <t>/Users/vincentc9002/model-prediction/data/odds/tennis/2026-09-03/polymarket_snapshots.jsonl</t>
        </is>
      </c>
      <c r="DF489" s="24" t="inlineStr">
        <is>
          <t>656776:2026-09-03T16:10:23.009592Z</t>
        </is>
      </c>
      <c r="DG489" s="24" t="n"/>
      <c r="DH489" s="24" t="n"/>
      <c r="DI489" s="24" t="n"/>
      <c r="DJ489" s="24" t="inlineStr">
        <is>
          <t>0.72973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2dc31ca3bf3e4f02</t>
        </is>
      </c>
      <c r="B490" s="24" t="inlineStr">
        <is>
          <t>2026-09-03T16:11:19.815565Z</t>
        </is>
      </c>
      <c r="C490" s="24" t="inlineStr">
        <is>
          <t>2026-09-03T23:00Z</t>
        </is>
      </c>
      <c r="D490" s="24" t="inlineStr">
        <is>
          <t>189-2026:182756</t>
        </is>
      </c>
      <c r="E490" s="24" t="inlineStr">
        <is>
          <t>TENNIS</t>
        </is>
      </c>
      <c r="F490" s="24" t="inlineStr">
        <is>
          <t>Learner Tien</t>
        </is>
      </c>
      <c r="G490" s="24" t="inlineStr">
        <is>
          <t>Gael Monfils</t>
        </is>
      </c>
      <c r="H490" s="24" t="inlineStr">
        <is>
          <t>moneyline</t>
        </is>
      </c>
      <c r="I490" s="24" t="inlineStr">
        <is>
          <t>away</t>
        </is>
      </c>
      <c r="J490" s="25" t="n"/>
      <c r="K490" s="24" t="inlineStr">
        <is>
          <t>polymarket_us</t>
        </is>
      </c>
      <c r="L490" s="26" t="n">
        <v>-456</v>
      </c>
      <c r="M490" s="27" t="n">
        <v>1.219298</v>
      </c>
      <c r="N490" s="28" t="n">
        <v>0.820144</v>
      </c>
      <c r="O490" s="28" t="n">
        <v>0.7828000000000001</v>
      </c>
      <c r="P490" s="28" t="n">
        <v>0.05</v>
      </c>
      <c r="Q490" s="28" t="n">
        <v>-0.037344</v>
      </c>
      <c r="R490" s="26" t="n">
        <v>1</v>
      </c>
      <c r="S490" s="29" t="n">
        <v>1</v>
      </c>
      <c r="T490" s="24" t="inlineStr">
        <is>
          <t>tennis-surface-elo-v1</t>
        </is>
      </c>
      <c r="U490" s="24" t="inlineStr">
        <is>
          <t>settled</t>
        </is>
      </c>
      <c r="V490" s="24" t="inlineStr">
        <is>
          <t>win</t>
        </is>
      </c>
      <c r="W490" s="26" t="n">
        <v>1</v>
      </c>
      <c r="X490" s="26" t="n">
        <v>0</v>
      </c>
      <c r="Y490" s="25" t="n"/>
      <c r="Z490" s="26" t="n">
        <v>-456</v>
      </c>
      <c r="AA490" s="28" t="n">
        <v>0.82</v>
      </c>
      <c r="AB490" s="28" t="n">
        <v>-0.000144</v>
      </c>
      <c r="AC490" s="30" t="n">
        <v>0.2193</v>
      </c>
      <c r="AD490" s="24" t="inlineStr">
        <is>
          <t>2026-09-04T04:31:59.250548Z</t>
        </is>
      </c>
      <c r="AE490" s="31" t="inlineStr">
        <is>
          <t>Surface-blended Elo on Hard: Learner Tien p=0.783 vs Gael Monfils. Executable ask 0.8200 (aec-atp-gaemon-leatie-2026-09-03).</t>
        </is>
      </c>
      <c r="AF490" s="31" t="inlineStr">
        <is>
          <t>Surface-blended Elo model; singles only, WTA+ATP market coverage, not yet locked-holdout qualified -- promoted by explicit operator directive, not genuine walk-forward validation.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Learner Tien</t>
        </is>
      </c>
      <c r="AQ490" s="24" t="inlineStr">
        <is>
          <t>Learner Tien</t>
        </is>
      </c>
      <c r="AR490" s="24" t="inlineStr">
        <is>
          <t>Learner Tien</t>
        </is>
      </c>
      <c r="AS490" s="24" t="inlineStr">
        <is>
          <t>Gael Monfils</t>
        </is>
      </c>
      <c r="AT490" s="24" t="inlineStr">
        <is>
          <t>Gael Monfils</t>
        </is>
      </c>
      <c r="AU490" s="24" t="inlineStr">
        <is>
          <t>Gael Monfils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0ce66f49b381187fe6255a40ca2fdbfc155d5e36125ccf6d30fe81a72962eafa</t>
        </is>
      </c>
      <c r="BB490" s="24" t="inlineStr">
        <is>
          <t>surface_blended_elo</t>
        </is>
      </c>
      <c r="BC490" s="24" t="inlineStr">
        <is>
          <t>tennis-surface-elo-v1</t>
        </is>
      </c>
      <c r="BD490" s="24" t="inlineStr">
        <is>
          <t>0ce66f49b381187fe6255a40ca2fdbfc155d5e36125ccf6d30fe81a72962eafa</t>
        </is>
      </c>
      <c r="BE490" s="24" t="inlineStr">
        <is>
          <t>tennis-surface-elo-v1</t>
        </is>
      </c>
      <c r="BF490" s="24" t="inlineStr">
        <is>
          <t>1</t>
        </is>
      </c>
      <c r="BG490" s="24" t="inlineStr">
        <is>
          <t>0ce66f49b381187fe6255a40ca2fdbfc155d5e36125ccf6d30fe81a72962eafa</t>
        </is>
      </c>
      <c r="BH490" s="24" t="inlineStr">
        <is>
          <t>2026-09-03T16:10:23.158033Z</t>
        </is>
      </c>
      <c r="BI490" s="24" t="inlineStr">
        <is>
          <t>["same_event","same_team_same_day","same_league_same_day"]</t>
        </is>
      </c>
      <c r="BJ490" s="25" t="n"/>
      <c r="BK490" s="26" t="n">
        <v>-456</v>
      </c>
      <c r="BL490" s="27" t="n">
        <v>1.219298</v>
      </c>
      <c r="BM490" s="28" t="n">
        <v>0.820144</v>
      </c>
      <c r="BN490" s="28" t="n"/>
      <c r="BO490" s="28" t="n"/>
      <c r="BP490" s="25" t="n"/>
      <c r="BQ490" s="27" t="n">
        <v>1.219298</v>
      </c>
      <c r="BR490" s="28" t="n">
        <v>0.82</v>
      </c>
      <c r="BS490" s="28" t="n"/>
      <c r="BT490" s="28" t="n"/>
      <c r="BU490" s="25" t="n"/>
      <c r="BV490" s="29" t="n"/>
      <c r="BW490" s="24" t="n"/>
      <c r="BX490" s="30" t="n">
        <v>1</v>
      </c>
      <c r="BY490" s="27" t="n">
        <v>0.219298</v>
      </c>
      <c r="BZ490" s="24" t="inlineStr">
        <is>
          <t>2026-09-04T04:31:59.250548Z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inlineStr">
        <is>
          <t>267e12ad7b6622eb864888e6c6303e97400ea75503db910e3074a42ff2d79322</t>
        </is>
      </c>
      <c r="DE490" s="24" t="inlineStr">
        <is>
          <t>/Users/vincentc9002/model-prediction/data/odds/tennis/2026-09-03/polymarket_snapshots.jsonl</t>
        </is>
      </c>
      <c r="DF490" s="24" t="inlineStr">
        <is>
          <t>612911:2026-09-03T16:10:23.158033Z</t>
        </is>
      </c>
      <c r="DG490" s="24" t="n"/>
      <c r="DH490" s="24" t="n"/>
      <c r="DI490" s="24" t="n"/>
      <c r="DJ490" s="24" t="inlineStr">
        <is>
          <t>0.820144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251a777169ff4238</t>
        </is>
      </c>
      <c r="B491" s="24" t="inlineStr">
        <is>
          <t>2026-09-03T16:11:19.815565Z</t>
        </is>
      </c>
      <c r="C491" s="24" t="inlineStr">
        <is>
          <t>2026-09-04T00:30Z</t>
        </is>
      </c>
      <c r="D491" s="24" t="inlineStr">
        <is>
          <t>189-2026:182707</t>
        </is>
      </c>
      <c r="E491" s="24" t="inlineStr">
        <is>
          <t>TENNIS</t>
        </is>
      </c>
      <c r="F491" s="24" t="inlineStr">
        <is>
          <t>Quentin Halys</t>
        </is>
      </c>
      <c r="G491" s="24" t="inlineStr">
        <is>
          <t>Alexander Zverev</t>
        </is>
      </c>
      <c r="H491" s="24" t="inlineStr">
        <is>
          <t>moneyline</t>
        </is>
      </c>
      <c r="I491" s="24" t="inlineStr">
        <is>
          <t>home</t>
        </is>
      </c>
      <c r="J491" s="25" t="n"/>
      <c r="K491" s="24" t="inlineStr">
        <is>
          <t>polymarket_us</t>
        </is>
      </c>
      <c r="L491" s="26" t="n">
        <v>-545</v>
      </c>
      <c r="M491" s="27" t="n">
        <v>1.183486</v>
      </c>
      <c r="N491" s="28" t="n">
        <v>0.844961</v>
      </c>
      <c r="O491" s="28" t="n">
        <v>0.7688</v>
      </c>
      <c r="P491" s="28" t="n">
        <v>0.05</v>
      </c>
      <c r="Q491" s="28" t="n">
        <v>-0.07616100000000001</v>
      </c>
      <c r="R491" s="26" t="n">
        <v>0</v>
      </c>
      <c r="S491" s="29" t="n">
        <v>1</v>
      </c>
      <c r="T491" s="24" t="inlineStr">
        <is>
          <t>tennis-surface-elo-v1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1</v>
      </c>
      <c r="Y491" s="25" t="n"/>
      <c r="Z491" s="26" t="n">
        <v>-545</v>
      </c>
      <c r="AA491" s="28" t="n">
        <v>0.845</v>
      </c>
      <c r="AB491" s="28" t="n">
        <v>3.9e-05</v>
      </c>
      <c r="AC491" s="30" t="n">
        <v>0.1835</v>
      </c>
      <c r="AD491" s="24" t="inlineStr">
        <is>
          <t>2026-09-04T10:00:18.617564Z</t>
        </is>
      </c>
      <c r="AE491" s="31" t="inlineStr">
        <is>
          <t>Surface-blended Elo on Hard: Quentin Halys p=0.231 vs Alexander Zverev. Executable ask 0.8450 (aec-atp-alezve-quehal-2026-09-03).</t>
        </is>
      </c>
      <c r="AF491" s="31" t="inlineStr">
        <is>
          <t>Surface-blended Elo model; singles only, WTA+ATP market coverage, not yet locked-holdout qualified -- promoted by explicit operator directive, not genuine walk-forward validation.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Quentin Halys</t>
        </is>
      </c>
      <c r="AQ491" s="24" t="inlineStr">
        <is>
          <t>Quentin Halys</t>
        </is>
      </c>
      <c r="AR491" s="24" t="inlineStr">
        <is>
          <t>Quentin Halys</t>
        </is>
      </c>
      <c r="AS491" s="24" t="inlineStr">
        <is>
          <t>Alexander Zverev</t>
        </is>
      </c>
      <c r="AT491" s="24" t="inlineStr">
        <is>
          <t>Alexander Zverev</t>
        </is>
      </c>
      <c r="AU491" s="24" t="inlineStr">
        <is>
          <t>Alexander Zverev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0ce66f49b381187fe6255a40ca2fdbfc155d5e36125ccf6d30fe81a72962eafa</t>
        </is>
      </c>
      <c r="BB491" s="24" t="inlineStr">
        <is>
          <t>surface_blended_elo</t>
        </is>
      </c>
      <c r="BC491" s="24" t="inlineStr">
        <is>
          <t>tennis-surface-elo-v1</t>
        </is>
      </c>
      <c r="BD491" s="24" t="inlineStr">
        <is>
          <t>0ce66f49b381187fe6255a40ca2fdbfc155d5e36125ccf6d30fe81a72962eafa</t>
        </is>
      </c>
      <c r="BE491" s="24" t="inlineStr">
        <is>
          <t>tennis-surface-elo-v1</t>
        </is>
      </c>
      <c r="BF491" s="24" t="inlineStr">
        <is>
          <t>1</t>
        </is>
      </c>
      <c r="BG491" s="24" t="inlineStr">
        <is>
          <t>0ce66f49b381187fe6255a40ca2fdbfc155d5e36125ccf6d30fe81a72962eafa</t>
        </is>
      </c>
      <c r="BH491" s="24" t="inlineStr">
        <is>
          <t>2026-09-03T16:10:23.302312Z</t>
        </is>
      </c>
      <c r="BI491" s="24" t="inlineStr">
        <is>
          <t>["same_event","same_team_same_day","same_league_same_day"]</t>
        </is>
      </c>
      <c r="BJ491" s="25" t="n"/>
      <c r="BK491" s="26" t="n">
        <v>-545</v>
      </c>
      <c r="BL491" s="27" t="n">
        <v>1.183486</v>
      </c>
      <c r="BM491" s="28" t="n">
        <v>0.844961</v>
      </c>
      <c r="BN491" s="28" t="n"/>
      <c r="BO491" s="28" t="n"/>
      <c r="BP491" s="25" t="n"/>
      <c r="BQ491" s="27" t="n">
        <v>1.183486</v>
      </c>
      <c r="BR491" s="28" t="n">
        <v>0.845</v>
      </c>
      <c r="BS491" s="28" t="n"/>
      <c r="BT491" s="28" t="n"/>
      <c r="BU491" s="25" t="n"/>
      <c r="BV491" s="29" t="n"/>
      <c r="BW491" s="24" t="n"/>
      <c r="BX491" s="30" t="n">
        <v>1</v>
      </c>
      <c r="BY491" s="27" t="n">
        <v>0.183487</v>
      </c>
      <c r="BZ491" s="24" t="inlineStr">
        <is>
          <t>2026-09-04T10:00:18.617564Z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inlineStr">
        <is>
          <t>9833bfe26ccf33c68657fce431cf3d483579eee8279c2ea2e06fc3646f068846</t>
        </is>
      </c>
      <c r="DE491" s="24" t="inlineStr">
        <is>
          <t>/Users/vincentc9002/model-prediction/data/odds/tennis/2026-09-03/polymarket_snapshots.jsonl</t>
        </is>
      </c>
      <c r="DF491" s="24" t="inlineStr">
        <is>
          <t>614710:2026-09-03T16:10:23.302312Z</t>
        </is>
      </c>
      <c r="DG491" s="24" t="n"/>
      <c r="DH491" s="24" t="n"/>
      <c r="DI491" s="24" t="n"/>
      <c r="DJ491" s="24" t="inlineStr">
        <is>
          <t>0.844961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46ff204ed6f94547</t>
        </is>
      </c>
      <c r="B492" s="24" t="inlineStr">
        <is>
          <t>2026-09-04T10:03:56.631111Z</t>
        </is>
      </c>
      <c r="C492" s="24" t="inlineStr">
        <is>
          <t>2026-09-04T15:00Z</t>
        </is>
      </c>
      <c r="D492" s="24" t="inlineStr">
        <is>
          <t>189-2026:182549</t>
        </is>
      </c>
      <c r="E492" s="24" t="inlineStr">
        <is>
          <t>TENNIS</t>
        </is>
      </c>
      <c r="F492" s="24" t="inlineStr">
        <is>
          <t>Sorana Cirstea</t>
        </is>
      </c>
      <c r="G492" s="24" t="inlineStr">
        <is>
          <t>Jasmine Paolini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polymarket_us</t>
        </is>
      </c>
      <c r="L492" s="26" t="n">
        <v>-170</v>
      </c>
      <c r="M492" s="27" t="n">
        <v>1.588235</v>
      </c>
      <c r="N492" s="28" t="n">
        <v>0.62963</v>
      </c>
      <c r="O492" s="28" t="n">
        <v>0.6098</v>
      </c>
      <c r="P492" s="28" t="n">
        <v>0.05</v>
      </c>
      <c r="Q492" s="28" t="n">
        <v>-0.01983</v>
      </c>
      <c r="R492" s="26" t="n">
        <v>10</v>
      </c>
      <c r="S492" s="29" t="n">
        <v>1</v>
      </c>
      <c r="T492" s="24" t="inlineStr">
        <is>
          <t>tennis-surface-elo-v1</t>
        </is>
      </c>
      <c r="U492" s="24" t="inlineStr">
        <is>
          <t>settled</t>
        </is>
      </c>
      <c r="V492" s="24" t="inlineStr">
        <is>
          <t>win</t>
        </is>
      </c>
      <c r="W492" s="26" t="n">
        <v>1</v>
      </c>
      <c r="X492" s="26" t="n">
        <v>0</v>
      </c>
      <c r="Y492" s="25" t="n"/>
      <c r="Z492" s="26" t="n">
        <v>-170</v>
      </c>
      <c r="AA492" s="28" t="n">
        <v>0.63</v>
      </c>
      <c r="AB492" s="28" t="n">
        <v>0.00037</v>
      </c>
      <c r="AC492" s="30" t="n">
        <v>0.5881999999999999</v>
      </c>
      <c r="AD492" s="24" t="inlineStr">
        <is>
          <t>2026-09-04T22:00:14.249638Z</t>
        </is>
      </c>
      <c r="AE492" s="31" t="inlineStr">
        <is>
          <t>Surface-blended Elo on Hard: Sorana Cirstea p=0.610 vs Jasmine Paolini. Executable ask 0.6300 (aec-wta-jaspao-sorcir-2026-09-04).</t>
        </is>
      </c>
      <c r="AF492" s="31" t="inlineStr">
        <is>
          <t>Surface-blended Elo model; singles only, WTA+ATP market coverage, not yet locked-holdout qualified -- promoted by explicit operator directive, not genuine walk-forward validation.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Sorana Cirstea</t>
        </is>
      </c>
      <c r="AQ492" s="24" t="inlineStr">
        <is>
          <t>Sorana Cirstea</t>
        </is>
      </c>
      <c r="AR492" s="24" t="inlineStr">
        <is>
          <t>Sorana Cirstea</t>
        </is>
      </c>
      <c r="AS492" s="24" t="inlineStr">
        <is>
          <t>Jasmine Paolini</t>
        </is>
      </c>
      <c r="AT492" s="24" t="inlineStr">
        <is>
          <t>Jasmine Paolini</t>
        </is>
      </c>
      <c r="AU492" s="24" t="inlineStr">
        <is>
          <t>Jasmine Paolini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0ce66f49b381187fe6255a40ca2fdbfc155d5e36125ccf6d30fe81a72962eafa</t>
        </is>
      </c>
      <c r="BB492" s="24" t="inlineStr">
        <is>
          <t>surface_blended_elo</t>
        </is>
      </c>
      <c r="BC492" s="24" t="inlineStr">
        <is>
          <t>tennis-surface-elo-v1</t>
        </is>
      </c>
      <c r="BD492" s="24" t="inlineStr">
        <is>
          <t>0ce66f49b381187fe6255a40ca2fdbfc155d5e36125ccf6d30fe81a72962eafa</t>
        </is>
      </c>
      <c r="BE492" s="24" t="inlineStr">
        <is>
          <t>tennis-surface-elo-v1</t>
        </is>
      </c>
      <c r="BF492" s="24" t="inlineStr">
        <is>
          <t>1</t>
        </is>
      </c>
      <c r="BG492" s="24" t="inlineStr">
        <is>
          <t>0ce66f49b381187fe6255a40ca2fdbfc155d5e36125ccf6d30fe81a72962eafa</t>
        </is>
      </c>
      <c r="BH492" s="24" t="inlineStr">
        <is>
          <t>2026-09-04T10:03:08.635819Z</t>
        </is>
      </c>
      <c r="BI492" s="24" t="inlineStr">
        <is>
          <t>["same_event","same_team_same_day","same_league_same_day"]</t>
        </is>
      </c>
      <c r="BJ492" s="25" t="n"/>
      <c r="BK492" s="26" t="n">
        <v>-170</v>
      </c>
      <c r="BL492" s="27" t="n">
        <v>1.588235</v>
      </c>
      <c r="BM492" s="28" t="n">
        <v>0.62963</v>
      </c>
      <c r="BN492" s="28" t="n"/>
      <c r="BO492" s="28" t="n"/>
      <c r="BP492" s="25" t="n"/>
      <c r="BQ492" s="27" t="n">
        <v>1.588235</v>
      </c>
      <c r="BR492" s="28" t="n">
        <v>0.63</v>
      </c>
      <c r="BS492" s="28" t="n"/>
      <c r="BT492" s="28" t="n"/>
      <c r="BU492" s="25" t="n"/>
      <c r="BV492" s="29" t="n"/>
      <c r="BW492" s="24" t="n"/>
      <c r="BX492" s="30" t="n">
        <v>1</v>
      </c>
      <c r="BY492" s="27" t="n">
        <v>0.588234</v>
      </c>
      <c r="BZ492" s="24" t="inlineStr">
        <is>
          <t>2026-09-04T22:00:14.249638Z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inlineStr">
        <is>
          <t>92e76c4bc3b6b814b5608c31c98cf34ca9c9d175723cdf7c4901f65cee3e4da4</t>
        </is>
      </c>
      <c r="DE492" s="24" t="inlineStr">
        <is>
          <t>/Users/vincentc9002/model-prediction/data/odds/tennis/2026-09-04/polymarket_snapshots.jsonl</t>
        </is>
      </c>
      <c r="DF492" s="24" t="inlineStr">
        <is>
          <t>653796:2026-09-04T10:03:08.635819Z</t>
        </is>
      </c>
      <c r="DG492" s="24" t="n"/>
      <c r="DH492" s="24" t="n"/>
      <c r="DI492" s="24" t="n"/>
      <c r="DJ492" s="24" t="inlineStr">
        <is>
          <t>0.62963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9c171c55e6724642</t>
        </is>
      </c>
      <c r="B493" s="24" t="inlineStr">
        <is>
          <t>2026-09-04T10:03:56.631111Z</t>
        </is>
      </c>
      <c r="C493" s="24" t="inlineStr">
        <is>
          <t>2026-09-04T15:00Z</t>
        </is>
      </c>
      <c r="D493" s="24" t="inlineStr">
        <is>
          <t>189-2026:182554</t>
        </is>
      </c>
      <c r="E493" s="24" t="inlineStr">
        <is>
          <t>TENNIS</t>
        </is>
      </c>
      <c r="F493" s="24" t="inlineStr">
        <is>
          <t>Kamilla Rakhimova</t>
        </is>
      </c>
      <c r="G493" s="24" t="inlineStr">
        <is>
          <t>Aryna Sabalenka</t>
        </is>
      </c>
      <c r="H493" s="24" t="inlineStr">
        <is>
          <t>moneyline</t>
        </is>
      </c>
      <c r="I493" s="24" t="inlineStr">
        <is>
          <t>home</t>
        </is>
      </c>
      <c r="J493" s="25" t="n"/>
      <c r="K493" s="24" t="inlineStr">
        <is>
          <t>polymarket_us</t>
        </is>
      </c>
      <c r="L493" s="26" t="n">
        <v>-1567</v>
      </c>
      <c r="M493" s="27" t="n">
        <v>1.063816</v>
      </c>
      <c r="N493" s="28" t="n">
        <v>0.940012</v>
      </c>
      <c r="O493" s="28" t="n">
        <v>0.9135</v>
      </c>
      <c r="P493" s="28" t="n">
        <v>0.05</v>
      </c>
      <c r="Q493" s="28" t="n">
        <v>-0.026512</v>
      </c>
      <c r="R493" s="26" t="n">
        <v>7</v>
      </c>
      <c r="S493" s="29" t="n">
        <v>1</v>
      </c>
      <c r="T493" s="24" t="inlineStr">
        <is>
          <t>tennis-surface-elo-v1</t>
        </is>
      </c>
      <c r="U493" s="24" t="inlineStr">
        <is>
          <t>settled</t>
        </is>
      </c>
      <c r="V493" s="24" t="inlineStr">
        <is>
          <t>win</t>
        </is>
      </c>
      <c r="W493" s="26" t="n">
        <v>0</v>
      </c>
      <c r="X493" s="26" t="n">
        <v>1</v>
      </c>
      <c r="Y493" s="25" t="n"/>
      <c r="Z493" s="26" t="n">
        <v>-1567</v>
      </c>
      <c r="AA493" s="28" t="n">
        <v>0.9399999999999999</v>
      </c>
      <c r="AB493" s="28" t="n">
        <v>-1.2e-05</v>
      </c>
      <c r="AC493" s="30" t="n">
        <v>0.0638</v>
      </c>
      <c r="AD493" s="24" t="inlineStr">
        <is>
          <t>2026-09-04T22:00:15.330636Z</t>
        </is>
      </c>
      <c r="AE493" s="31" t="inlineStr">
        <is>
          <t>Surface-blended Elo on Hard: Kamilla Rakhimova p=0.086 vs Aryna Sabalenka. Executable ask 0.9400 (aec-wta-arysab-kamrak-2026-09-04).</t>
        </is>
      </c>
      <c r="AF493" s="31" t="inlineStr">
        <is>
          <t>Surface-blended Elo model; singles only, WTA+ATP market coverage, not yet locked-holdout qualified -- promoted by explicit operator directive, not genuine walk-forward validation.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Kamilla Rakhimova</t>
        </is>
      </c>
      <c r="AQ493" s="24" t="inlineStr">
        <is>
          <t>Kamilla Rakhimova</t>
        </is>
      </c>
      <c r="AR493" s="24" t="inlineStr">
        <is>
          <t>Kamilla Rakhimova</t>
        </is>
      </c>
      <c r="AS493" s="24" t="inlineStr">
        <is>
          <t>Aryna Sabalenka</t>
        </is>
      </c>
      <c r="AT493" s="24" t="inlineStr">
        <is>
          <t>Aryna Sabalenka</t>
        </is>
      </c>
      <c r="AU493" s="24" t="inlineStr">
        <is>
          <t>Aryna Sabalenka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0ce66f49b381187fe6255a40ca2fdbfc155d5e36125ccf6d30fe81a72962eafa</t>
        </is>
      </c>
      <c r="BB493" s="24" t="inlineStr">
        <is>
          <t>surface_blended_elo</t>
        </is>
      </c>
      <c r="BC493" s="24" t="inlineStr">
        <is>
          <t>tennis-surface-elo-v1</t>
        </is>
      </c>
      <c r="BD493" s="24" t="inlineStr">
        <is>
          <t>0ce66f49b381187fe6255a40ca2fdbfc155d5e36125ccf6d30fe81a72962eafa</t>
        </is>
      </c>
      <c r="BE493" s="24" t="inlineStr">
        <is>
          <t>tennis-surface-elo-v1</t>
        </is>
      </c>
      <c r="BF493" s="24" t="inlineStr">
        <is>
          <t>1</t>
        </is>
      </c>
      <c r="BG493" s="24" t="inlineStr">
        <is>
          <t>0ce66f49b381187fe6255a40ca2fdbfc155d5e36125ccf6d30fe81a72962eafa</t>
        </is>
      </c>
      <c r="BH493" s="24" t="inlineStr">
        <is>
          <t>2026-09-04T10:03:08.674036Z</t>
        </is>
      </c>
      <c r="BI493" s="24" t="inlineStr">
        <is>
          <t>["same_event","same_team_same_day","same_league_same_day"]</t>
        </is>
      </c>
      <c r="BJ493" s="25" t="n"/>
      <c r="BK493" s="26" t="n">
        <v>-1567</v>
      </c>
      <c r="BL493" s="27" t="n">
        <v>1.063816</v>
      </c>
      <c r="BM493" s="28" t="n">
        <v>0.940012</v>
      </c>
      <c r="BN493" s="28" t="n"/>
      <c r="BO493" s="28" t="n"/>
      <c r="BP493" s="25" t="n"/>
      <c r="BQ493" s="27" t="n">
        <v>1.063816</v>
      </c>
      <c r="BR493" s="28" t="n">
        <v>0.9399999999999999</v>
      </c>
      <c r="BS493" s="28" t="n"/>
      <c r="BT493" s="28" t="n"/>
      <c r="BU493" s="25" t="n"/>
      <c r="BV493" s="29" t="n"/>
      <c r="BW493" s="24" t="n"/>
      <c r="BX493" s="30" t="n">
        <v>1</v>
      </c>
      <c r="BY493" s="27" t="n">
        <v>0.063816</v>
      </c>
      <c r="BZ493" s="24" t="inlineStr">
        <is>
          <t>2026-09-04T22:00:15.330636Z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inlineStr">
        <is>
          <t>1a3511e24d6faba41985b97c40d6494b70770b7022d358880f40873256ad52b6</t>
        </is>
      </c>
      <c r="DE493" s="24" t="inlineStr">
        <is>
          <t>/Users/vincentc9002/model-prediction/data/odds/tennis/2026-09-04/polymarket_snapshots.jsonl</t>
        </is>
      </c>
      <c r="DF493" s="24" t="inlineStr">
        <is>
          <t>657354:2026-09-04T10:03:08.674036Z</t>
        </is>
      </c>
      <c r="DG493" s="24" t="n"/>
      <c r="DH493" s="24" t="n"/>
      <c r="DI493" s="24" t="n"/>
      <c r="DJ493" s="24" t="inlineStr">
        <is>
          <t>0.940012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1fb9cfbc89e94a25</t>
        </is>
      </c>
      <c r="B494" s="24" t="inlineStr">
        <is>
          <t>2026-09-04T10:03:56.631111Z</t>
        </is>
      </c>
      <c r="C494" s="24" t="inlineStr">
        <is>
          <t>2026-09-04T15:00Z</t>
        </is>
      </c>
      <c r="D494" s="24" t="inlineStr">
        <is>
          <t>189-2026:182564</t>
        </is>
      </c>
      <c r="E494" s="24" t="inlineStr">
        <is>
          <t>TENNIS</t>
        </is>
      </c>
      <c r="F494" s="24" t="inlineStr">
        <is>
          <t>Ekaterina Alexandrova</t>
        </is>
      </c>
      <c r="G494" s="24" t="inlineStr">
        <is>
          <t>Marta Kostyuk</t>
        </is>
      </c>
      <c r="H494" s="24" t="inlineStr">
        <is>
          <t>moneyline</t>
        </is>
      </c>
      <c r="I494" s="24" t="inlineStr">
        <is>
          <t>home</t>
        </is>
      </c>
      <c r="J494" s="25" t="n"/>
      <c r="K494" s="24" t="inlineStr">
        <is>
          <t>polymarket_us</t>
        </is>
      </c>
      <c r="L494" s="26" t="n">
        <v>-308</v>
      </c>
      <c r="M494" s="27" t="n">
        <v>1.324675</v>
      </c>
      <c r="N494" s="28" t="n">
        <v>0.754902</v>
      </c>
      <c r="O494" s="28" t="n">
        <v>0.7028</v>
      </c>
      <c r="P494" s="28" t="n">
        <v>0.05</v>
      </c>
      <c r="Q494" s="28" t="n">
        <v>-0.052102</v>
      </c>
      <c r="R494" s="26" t="n">
        <v>0</v>
      </c>
      <c r="S494" s="29" t="n">
        <v>1</v>
      </c>
      <c r="T494" s="24" t="inlineStr">
        <is>
          <t>tennis-surface-elo-v1</t>
        </is>
      </c>
      <c r="U494" s="24" t="inlineStr">
        <is>
          <t>settled</t>
        </is>
      </c>
      <c r="V494" s="24" t="inlineStr">
        <is>
          <t>win</t>
        </is>
      </c>
      <c r="W494" s="26" t="n">
        <v>0</v>
      </c>
      <c r="X494" s="26" t="n">
        <v>1</v>
      </c>
      <c r="Y494" s="25" t="n"/>
      <c r="Z494" s="26" t="n">
        <v>-308</v>
      </c>
      <c r="AA494" s="28" t="n">
        <v>0.755</v>
      </c>
      <c r="AB494" s="28" t="n">
        <v>9.8e-05</v>
      </c>
      <c r="AC494" s="30" t="n">
        <v>0.3247</v>
      </c>
      <c r="AD494" s="24" t="inlineStr">
        <is>
          <t>2026-09-04T22:00:16.349598Z</t>
        </is>
      </c>
      <c r="AE494" s="31" t="inlineStr">
        <is>
          <t>Surface-blended Elo on Hard: Ekaterina Alexandrova p=0.297 vs Marta Kostyuk. Executable ask 0.7550 (aec-wta-markos-ekaale-2026-09-04).</t>
        </is>
      </c>
      <c r="AF494" s="31" t="inlineStr">
        <is>
          <t>Surface-blended Elo model; singles only, WTA+ATP market coverage, not yet locked-holdout qualified -- promoted by explicit operator directive, not genuine walk-forward validation.</t>
        </is>
      </c>
      <c r="AG494" s="24" t="inlineStr">
        <is>
          <t>not_applicable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Ekaterina Alexandrova</t>
        </is>
      </c>
      <c r="AQ494" s="24" t="inlineStr">
        <is>
          <t>Ekaterina Alexandrova</t>
        </is>
      </c>
      <c r="AR494" s="24" t="inlineStr">
        <is>
          <t>Ekaterina Alexandrova</t>
        </is>
      </c>
      <c r="AS494" s="24" t="inlineStr">
        <is>
          <t>Marta Kostyuk</t>
        </is>
      </c>
      <c r="AT494" s="24" t="inlineStr">
        <is>
          <t>Marta Kostyuk</t>
        </is>
      </c>
      <c r="AU494" s="24" t="inlineStr">
        <is>
          <t>Marta Kostyuk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0ce66f49b381187fe6255a40ca2fdbfc155d5e36125ccf6d30fe81a72962eafa</t>
        </is>
      </c>
      <c r="BB494" s="24" t="inlineStr">
        <is>
          <t>surface_blended_elo</t>
        </is>
      </c>
      <c r="BC494" s="24" t="inlineStr">
        <is>
          <t>tennis-surface-elo-v1</t>
        </is>
      </c>
      <c r="BD494" s="24" t="inlineStr">
        <is>
          <t>0ce66f49b381187fe6255a40ca2fdbfc155d5e36125ccf6d30fe81a72962eafa</t>
        </is>
      </c>
      <c r="BE494" s="24" t="inlineStr">
        <is>
          <t>tennis-surface-elo-v1</t>
        </is>
      </c>
      <c r="BF494" s="24" t="inlineStr">
        <is>
          <t>1</t>
        </is>
      </c>
      <c r="BG494" s="24" t="inlineStr">
        <is>
          <t>0ce66f49b381187fe6255a40ca2fdbfc155d5e36125ccf6d30fe81a72962eafa</t>
        </is>
      </c>
      <c r="BH494" s="24" t="inlineStr">
        <is>
          <t>2026-09-04T10:03:08.539003Z</t>
        </is>
      </c>
      <c r="BI494" s="24" t="inlineStr">
        <is>
          <t>["same_event","same_team_same_day","same_league_same_day"]</t>
        </is>
      </c>
      <c r="BJ494" s="25" t="n"/>
      <c r="BK494" s="26" t="n">
        <v>-308</v>
      </c>
      <c r="BL494" s="27" t="n">
        <v>1.324675</v>
      </c>
      <c r="BM494" s="28" t="n">
        <v>0.754902</v>
      </c>
      <c r="BN494" s="28" t="n"/>
      <c r="BO494" s="28" t="n"/>
      <c r="BP494" s="25" t="n"/>
      <c r="BQ494" s="27" t="n">
        <v>1.324675</v>
      </c>
      <c r="BR494" s="28" t="n">
        <v>0.755</v>
      </c>
      <c r="BS494" s="28" t="n"/>
      <c r="BT494" s="28" t="n"/>
      <c r="BU494" s="25" t="n"/>
      <c r="BV494" s="29" t="n"/>
      <c r="BW494" s="24" t="n"/>
      <c r="BX494" s="30" t="n">
        <v>1</v>
      </c>
      <c r="BY494" s="27" t="n">
        <v>0.324675</v>
      </c>
      <c r="BZ494" s="24" t="inlineStr">
        <is>
          <t>2026-09-04T22:00:16.349598Z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inlineStr">
        <is>
          <t>56c934b4d26b9d0ae38123ed93f1b9b26dfc3ea2c82d0ed0f228898b7b4e5ea6</t>
        </is>
      </c>
      <c r="DE494" s="24" t="inlineStr">
        <is>
          <t>/Users/vincentc9002/model-prediction/data/odds/tennis/2026-09-04/polymarket_snapshots.jsonl</t>
        </is>
      </c>
      <c r="DF494" s="24" t="inlineStr">
        <is>
          <t>657313:2026-09-04T10:03:08.539003Z</t>
        </is>
      </c>
      <c r="DG494" s="24" t="n"/>
      <c r="DH494" s="24" t="n"/>
      <c r="DI494" s="24" t="n"/>
      <c r="DJ494" s="24" t="inlineStr">
        <is>
          <t>0.754902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510b1d12ded2468c</t>
        </is>
      </c>
      <c r="B495" s="24" t="inlineStr">
        <is>
          <t>2026-09-04T10:03:56.631111Z</t>
        </is>
      </c>
      <c r="C495" s="24" t="inlineStr">
        <is>
          <t>2026-09-04T15:30Z</t>
        </is>
      </c>
      <c r="D495" s="24" t="inlineStr">
        <is>
          <t>189-2026:182545</t>
        </is>
      </c>
      <c r="E495" s="24" t="inlineStr">
        <is>
          <t>TENNIS</t>
        </is>
      </c>
      <c r="F495" s="24" t="inlineStr">
        <is>
          <t>Leylah Fernandez</t>
        </is>
      </c>
      <c r="G495" s="24" t="inlineStr">
        <is>
          <t>Jessica Pegula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polymarket_us</t>
        </is>
      </c>
      <c r="L495" s="26" t="n">
        <v>-545</v>
      </c>
      <c r="M495" s="27" t="n">
        <v>1.183486</v>
      </c>
      <c r="N495" s="28" t="n">
        <v>0.844961</v>
      </c>
      <c r="O495" s="28" t="n">
        <v>0.8633</v>
      </c>
      <c r="P495" s="28" t="n">
        <v>0.05</v>
      </c>
      <c r="Q495" s="28" t="n">
        <v>0.018339</v>
      </c>
      <c r="R495" s="26" t="n">
        <v>29</v>
      </c>
      <c r="S495" s="29" t="n">
        <v>1</v>
      </c>
      <c r="T495" s="24" t="inlineStr">
        <is>
          <t>tennis-surface-elo-v1</t>
        </is>
      </c>
      <c r="U495" s="24" t="inlineStr">
        <is>
          <t>settled</t>
        </is>
      </c>
      <c r="V495" s="24" t="inlineStr">
        <is>
          <t>win</t>
        </is>
      </c>
      <c r="W495" s="26" t="n">
        <v>0</v>
      </c>
      <c r="X495" s="26" t="n">
        <v>1</v>
      </c>
      <c r="Y495" s="25" t="n"/>
      <c r="Z495" s="26" t="n">
        <v>-545</v>
      </c>
      <c r="AA495" s="28" t="n">
        <v>0.845</v>
      </c>
      <c r="AB495" s="28" t="n">
        <v>3.9e-05</v>
      </c>
      <c r="AC495" s="30" t="n">
        <v>0.1835</v>
      </c>
      <c r="AD495" s="24" t="inlineStr">
        <is>
          <t>2026-09-04T22:00:17.355529Z</t>
        </is>
      </c>
      <c r="AE495" s="31" t="inlineStr">
        <is>
          <t>Surface-blended Elo on Hard: Leylah Fernandez p=0.137 vs Jessica Pegula. Executable ask 0.8450 (aec-wta-jespeg-leyfer-2026-09-03).</t>
        </is>
      </c>
      <c r="AF495" s="31" t="inlineStr">
        <is>
          <t>Surface-blended Elo model; singles only, WTA+ATP market coverage, not yet locked-holdout qualified -- promoted by explicit operator directive, not genuine walk-forward validation.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Leylah Fernandez</t>
        </is>
      </c>
      <c r="AQ495" s="24" t="inlineStr">
        <is>
          <t>Leylah Fernandez</t>
        </is>
      </c>
      <c r="AR495" s="24" t="inlineStr">
        <is>
          <t>Leylah Fernandez</t>
        </is>
      </c>
      <c r="AS495" s="24" t="inlineStr">
        <is>
          <t>Jessica Pegula</t>
        </is>
      </c>
      <c r="AT495" s="24" t="inlineStr">
        <is>
          <t>Jessica Pegula</t>
        </is>
      </c>
      <c r="AU495" s="24" t="inlineStr">
        <is>
          <t>Jessica Pegula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0ce66f49b381187fe6255a40ca2fdbfc155d5e36125ccf6d30fe81a72962eafa</t>
        </is>
      </c>
      <c r="BB495" s="24" t="inlineStr">
        <is>
          <t>surface_blended_elo</t>
        </is>
      </c>
      <c r="BC495" s="24" t="inlineStr">
        <is>
          <t>tennis-surface-elo-v1</t>
        </is>
      </c>
      <c r="BD495" s="24" t="inlineStr">
        <is>
          <t>0ce66f49b381187fe6255a40ca2fdbfc155d5e36125ccf6d30fe81a72962eafa</t>
        </is>
      </c>
      <c r="BE495" s="24" t="inlineStr">
        <is>
          <t>tennis-surface-elo-v1</t>
        </is>
      </c>
      <c r="BF495" s="24" t="inlineStr">
        <is>
          <t>1</t>
        </is>
      </c>
      <c r="BG495" s="24" t="inlineStr">
        <is>
          <t>0ce66f49b381187fe6255a40ca2fdbfc155d5e36125ccf6d30fe81a72962eafa</t>
        </is>
      </c>
      <c r="BH495" s="24" t="inlineStr">
        <is>
          <t>2026-09-04T10:03:08.778867Z</t>
        </is>
      </c>
      <c r="BI495" s="24" t="inlineStr">
        <is>
          <t>["same_event","same_team_same_day","same_league_same_day"]</t>
        </is>
      </c>
      <c r="BJ495" s="25" t="n"/>
      <c r="BK495" s="26" t="n">
        <v>-545</v>
      </c>
      <c r="BL495" s="27" t="n">
        <v>1.183486</v>
      </c>
      <c r="BM495" s="28" t="n">
        <v>0.844961</v>
      </c>
      <c r="BN495" s="28" t="n"/>
      <c r="BO495" s="28" t="n"/>
      <c r="BP495" s="25" t="n"/>
      <c r="BQ495" s="27" t="n">
        <v>1.183486</v>
      </c>
      <c r="BR495" s="28" t="n">
        <v>0.845</v>
      </c>
      <c r="BS495" s="28" t="n"/>
      <c r="BT495" s="28" t="n"/>
      <c r="BU495" s="25" t="n"/>
      <c r="BV495" s="29" t="n"/>
      <c r="BW495" s="24" t="n"/>
      <c r="BX495" s="30" t="n">
        <v>1</v>
      </c>
      <c r="BY495" s="27" t="n">
        <v>0.183487</v>
      </c>
      <c r="BZ495" s="24" t="inlineStr">
        <is>
          <t>2026-09-04T22:00:17.355529Z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inlineStr">
        <is>
          <t>b8f2e62ea17b9efe79e8a267c2b02cf57db863a2819e01f6fc35939f23017e55</t>
        </is>
      </c>
      <c r="DE495" s="24" t="inlineStr">
        <is>
          <t>/Users/vincentc9002/model-prediction/data/odds/tennis/2026-09-04/polymarket_snapshots.jsonl</t>
        </is>
      </c>
      <c r="DF495" s="24" t="inlineStr">
        <is>
          <t>653554:2026-09-04T10:03:08.778867Z</t>
        </is>
      </c>
      <c r="DG495" s="24" t="n"/>
      <c r="DH495" s="24" t="n"/>
      <c r="DI495" s="24" t="n"/>
      <c r="DJ495" s="24" t="inlineStr">
        <is>
          <t>0.844961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fbd30974dbe64ff1</t>
        </is>
      </c>
      <c r="B496" s="24" t="inlineStr">
        <is>
          <t>2026-09-04T16:12:55.241267Z</t>
        </is>
      </c>
      <c r="C496" s="24" t="inlineStr">
        <is>
          <t>2026-09-04T17:00Z</t>
        </is>
      </c>
      <c r="D496" s="24" t="inlineStr">
        <is>
          <t>189-2026:182565</t>
        </is>
      </c>
      <c r="E496" s="24" t="inlineStr">
        <is>
          <t>TENNIS</t>
        </is>
      </c>
      <c r="F496" s="24" t="inlineStr">
        <is>
          <t>Diana Shnaider</t>
        </is>
      </c>
      <c r="G496" s="24" t="inlineStr">
        <is>
          <t>Taylor Townsend</t>
        </is>
      </c>
      <c r="H496" s="24" t="inlineStr">
        <is>
          <t>moneyline</t>
        </is>
      </c>
      <c r="I496" s="24" t="inlineStr">
        <is>
          <t>away</t>
        </is>
      </c>
      <c r="J496" s="25" t="n"/>
      <c r="K496" s="24" t="inlineStr">
        <is>
          <t>polymarket_us</t>
        </is>
      </c>
      <c r="L496" s="26" t="n">
        <v>-153</v>
      </c>
      <c r="M496" s="27" t="n">
        <v>1.653595</v>
      </c>
      <c r="N496" s="28" t="n">
        <v>0.604743</v>
      </c>
      <c r="O496" s="28" t="n">
        <v>0.5745</v>
      </c>
      <c r="P496" s="28" t="n">
        <v>0.05</v>
      </c>
      <c r="Q496" s="28" t="n">
        <v>-0.030243</v>
      </c>
      <c r="R496" s="26" t="n">
        <v>5</v>
      </c>
      <c r="S496" s="29" t="n">
        <v>1</v>
      </c>
      <c r="T496" s="24" t="inlineStr">
        <is>
          <t>tennis-surface-elo-v1</t>
        </is>
      </c>
      <c r="U496" s="24" t="inlineStr">
        <is>
          <t>settled</t>
        </is>
      </c>
      <c r="V496" s="24" t="inlineStr">
        <is>
          <t>loss</t>
        </is>
      </c>
      <c r="W496" s="26" t="n">
        <v>0</v>
      </c>
      <c r="X496" s="26" t="n">
        <v>1</v>
      </c>
      <c r="Y496" s="25" t="n"/>
      <c r="Z496" s="26" t="n">
        <v>-153</v>
      </c>
      <c r="AA496" s="28" t="n">
        <v>0.605</v>
      </c>
      <c r="AB496" s="28" t="n">
        <v>0.000257</v>
      </c>
      <c r="AC496" s="30" t="n">
        <v>-1</v>
      </c>
      <c r="AD496" s="24" t="inlineStr">
        <is>
          <t>2026-09-04T22:00:25.052508Z</t>
        </is>
      </c>
      <c r="AE496" s="31" t="inlineStr">
        <is>
          <t>Surface-blended Elo on Hard: Diana Shnaider p=0.574 vs Taylor Townsend. Executable ask 0.6050 (aec-wta-taytow-diashn-2026-09-04).</t>
        </is>
      </c>
      <c r="AF496" s="31" t="inlineStr">
        <is>
          <t>Surface-blended Elo model; singles only, WTA+ATP market coverage, not yet locked-holdout qualified -- promoted by explicit operator directive, not genuine walk-forward validation.</t>
        </is>
      </c>
      <c r="AG496" s="24" t="inlineStr">
        <is>
          <t>review_required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Diana Shnaider</t>
        </is>
      </c>
      <c r="AQ496" s="24" t="inlineStr">
        <is>
          <t>Diana Shnaider</t>
        </is>
      </c>
      <c r="AR496" s="24" t="inlineStr">
        <is>
          <t>Diana Shnaider</t>
        </is>
      </c>
      <c r="AS496" s="24" t="inlineStr">
        <is>
          <t>Taylor Townsend</t>
        </is>
      </c>
      <c r="AT496" s="24" t="inlineStr">
        <is>
          <t>Taylor Townsend</t>
        </is>
      </c>
      <c r="AU496" s="24" t="inlineStr">
        <is>
          <t>Taylor Townsend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0ce66f49b381187fe6255a40ca2fdbfc155d5e36125ccf6d30fe81a72962eafa</t>
        </is>
      </c>
      <c r="BB496" s="24" t="inlineStr">
        <is>
          <t>surface_blended_elo</t>
        </is>
      </c>
      <c r="BC496" s="24" t="inlineStr">
        <is>
          <t>tennis-surface-elo-v1</t>
        </is>
      </c>
      <c r="BD496" s="24" t="inlineStr">
        <is>
          <t>0ce66f49b381187fe6255a40ca2fdbfc155d5e36125ccf6d30fe81a72962eafa</t>
        </is>
      </c>
      <c r="BE496" s="24" t="inlineStr">
        <is>
          <t>tennis-surface-elo-v1</t>
        </is>
      </c>
      <c r="BF496" s="24" t="inlineStr">
        <is>
          <t>1</t>
        </is>
      </c>
      <c r="BG496" s="24" t="inlineStr">
        <is>
          <t>0ce66f49b381187fe6255a40ca2fdbfc155d5e36125ccf6d30fe81a72962eafa</t>
        </is>
      </c>
      <c r="BH496" s="24" t="inlineStr">
        <is>
          <t>2026-09-04T16:11:58.309680Z</t>
        </is>
      </c>
      <c r="BI496" s="24" t="inlineStr">
        <is>
          <t>["same_event","same_team_same_day","same_league_same_day"]</t>
        </is>
      </c>
      <c r="BJ496" s="25" t="n"/>
      <c r="BK496" s="26" t="n">
        <v>-153</v>
      </c>
      <c r="BL496" s="27" t="n">
        <v>1.653595</v>
      </c>
      <c r="BM496" s="28" t="n">
        <v>0.604743</v>
      </c>
      <c r="BN496" s="28" t="n"/>
      <c r="BO496" s="28" t="n"/>
      <c r="BP496" s="25" t="n"/>
      <c r="BQ496" s="27" t="n">
        <v>1.653595</v>
      </c>
      <c r="BR496" s="28" t="n">
        <v>0.605</v>
      </c>
      <c r="BS496" s="28" t="n"/>
      <c r="BT496" s="28" t="n"/>
      <c r="BU496" s="25" t="n"/>
      <c r="BV496" s="29" t="n"/>
      <c r="BW496" s="24" t="n"/>
      <c r="BX496" s="30" t="n">
        <v>1</v>
      </c>
      <c r="BY496" s="27" t="n">
        <v>-1</v>
      </c>
      <c r="BZ496" s="24" t="inlineStr">
        <is>
          <t>2026-09-04T22:00:25.052508Z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False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inlineStr">
        <is>
          <t>535cdfc8fd01ce9865607b6ba70a73713fad043eba976d29e252278fa1ce519a</t>
        </is>
      </c>
      <c r="DE496" s="24" t="inlineStr">
        <is>
          <t>/Users/vincentc9002/model-prediction/data/odds/tennis/2026-09-04/polymarket_snapshots.jsonl</t>
        </is>
      </c>
      <c r="DF496" s="24" t="inlineStr">
        <is>
          <t>653555:2026-09-04T16:11:58.309680Z</t>
        </is>
      </c>
      <c r="DG496" s="24" t="n"/>
      <c r="DH496" s="24" t="n"/>
      <c r="DI496" s="24" t="n"/>
      <c r="DJ496" s="24" t="inlineStr">
        <is>
          <t>0.604743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4f4a18f854ff45de</t>
        </is>
      </c>
      <c r="B497" s="24" t="inlineStr">
        <is>
          <t>2026-09-04T16:12:55.241267Z</t>
        </is>
      </c>
      <c r="C497" s="24" t="inlineStr">
        <is>
          <t>2026-09-04T18:30Z</t>
        </is>
      </c>
      <c r="D497" s="24" t="inlineStr">
        <is>
          <t>189-2026:182537</t>
        </is>
      </c>
      <c r="E497" s="24" t="inlineStr">
        <is>
          <t>TENNIS</t>
        </is>
      </c>
      <c r="F497" s="24" t="inlineStr">
        <is>
          <t>Karolina Muchova</t>
        </is>
      </c>
      <c r="G497" s="24" t="inlineStr">
        <is>
          <t>Emma Navarro</t>
        </is>
      </c>
      <c r="H497" s="24" t="inlineStr">
        <is>
          <t>moneyline</t>
        </is>
      </c>
      <c r="I497" s="24" t="inlineStr">
        <is>
          <t>away</t>
        </is>
      </c>
      <c r="J497" s="25" t="n"/>
      <c r="K497" s="24" t="inlineStr">
        <is>
          <t>polymarket_us</t>
        </is>
      </c>
      <c r="L497" s="26" t="n">
        <v>-388</v>
      </c>
      <c r="M497" s="27" t="n">
        <v>1.257732</v>
      </c>
      <c r="N497" s="28" t="n">
        <v>0.795082</v>
      </c>
      <c r="O497" s="28" t="n">
        <v>0.8071</v>
      </c>
      <c r="P497" s="28" t="n">
        <v>0.05</v>
      </c>
      <c r="Q497" s="28" t="n">
        <v>0.012018</v>
      </c>
      <c r="R497" s="26" t="n">
        <v>26</v>
      </c>
      <c r="S497" s="29" t="n">
        <v>1</v>
      </c>
      <c r="T497" s="24" t="inlineStr">
        <is>
          <t>tennis-surface-elo-v1</t>
        </is>
      </c>
      <c r="U497" s="24" t="inlineStr">
        <is>
          <t>settled</t>
        </is>
      </c>
      <c r="V497" s="24" t="inlineStr">
        <is>
          <t>loss</t>
        </is>
      </c>
      <c r="W497" s="26" t="n">
        <v>0</v>
      </c>
      <c r="X497" s="26" t="n">
        <v>1</v>
      </c>
      <c r="Y497" s="25" t="n"/>
      <c r="Z497" s="26" t="n">
        <v>-388</v>
      </c>
      <c r="AA497" s="28" t="n">
        <v>0.795</v>
      </c>
      <c r="AB497" s="28" t="n">
        <v>-8.2e-05</v>
      </c>
      <c r="AC497" s="30" t="n">
        <v>-1</v>
      </c>
      <c r="AD497" s="24" t="inlineStr">
        <is>
          <t>2026-09-04T22:00:26.120723Z</t>
        </is>
      </c>
      <c r="AE497" s="31" t="inlineStr">
        <is>
          <t>Surface-blended Elo on Hard: Karolina Muchova p=0.807 vs Emma Navarro. Executable ask 0.7950 (aec-wta-emmnav-karmuc-2026-09-04).</t>
        </is>
      </c>
      <c r="AF497" s="31" t="inlineStr">
        <is>
          <t>Surface-blended Elo model; singles only, WTA+ATP market coverage, not yet locked-holdout qualified -- promoted by explicit operator directive, not genuine walk-forward validation.</t>
        </is>
      </c>
      <c r="AG497" s="24" t="inlineStr">
        <is>
          <t>review_required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Karolina Muchova</t>
        </is>
      </c>
      <c r="AQ497" s="24" t="inlineStr">
        <is>
          <t>Karolina Muchova</t>
        </is>
      </c>
      <c r="AR497" s="24" t="inlineStr">
        <is>
          <t>Karolina Muchova</t>
        </is>
      </c>
      <c r="AS497" s="24" t="inlineStr">
        <is>
          <t>Emma Navarro</t>
        </is>
      </c>
      <c r="AT497" s="24" t="inlineStr">
        <is>
          <t>Emma Navarro</t>
        </is>
      </c>
      <c r="AU497" s="24" t="inlineStr">
        <is>
          <t>Emma Navarro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0ce66f49b381187fe6255a40ca2fdbfc155d5e36125ccf6d30fe81a72962eafa</t>
        </is>
      </c>
      <c r="BB497" s="24" t="inlineStr">
        <is>
          <t>surface_blended_elo</t>
        </is>
      </c>
      <c r="BC497" s="24" t="inlineStr">
        <is>
          <t>tennis-surface-elo-v1</t>
        </is>
      </c>
      <c r="BD497" s="24" t="inlineStr">
        <is>
          <t>0ce66f49b381187fe6255a40ca2fdbfc155d5e36125ccf6d30fe81a72962eafa</t>
        </is>
      </c>
      <c r="BE497" s="24" t="inlineStr">
        <is>
          <t>tennis-surface-elo-v1</t>
        </is>
      </c>
      <c r="BF497" s="24" t="inlineStr">
        <is>
          <t>1</t>
        </is>
      </c>
      <c r="BG497" s="24" t="inlineStr">
        <is>
          <t>0ce66f49b381187fe6255a40ca2fdbfc155d5e36125ccf6d30fe81a72962eafa</t>
        </is>
      </c>
      <c r="BH497" s="24" t="inlineStr">
        <is>
          <t>2026-09-04T16:11:59.298108Z</t>
        </is>
      </c>
      <c r="BI497" s="24" t="inlineStr">
        <is>
          <t>["same_event","same_team_same_day","same_league_same_day"]</t>
        </is>
      </c>
      <c r="BJ497" s="25" t="n"/>
      <c r="BK497" s="26" t="n">
        <v>-388</v>
      </c>
      <c r="BL497" s="27" t="n">
        <v>1.257732</v>
      </c>
      <c r="BM497" s="28" t="n">
        <v>0.795082</v>
      </c>
      <c r="BN497" s="28" t="n"/>
      <c r="BO497" s="28" t="n"/>
      <c r="BP497" s="25" t="n"/>
      <c r="BQ497" s="27" t="n">
        <v>1.257732</v>
      </c>
      <c r="BR497" s="28" t="n">
        <v>0.795</v>
      </c>
      <c r="BS497" s="28" t="n"/>
      <c r="BT497" s="28" t="n"/>
      <c r="BU497" s="25" t="n"/>
      <c r="BV497" s="29" t="n"/>
      <c r="BW497" s="24" t="n"/>
      <c r="BX497" s="30" t="n">
        <v>1</v>
      </c>
      <c r="BY497" s="27" t="n">
        <v>-1</v>
      </c>
      <c r="BZ497" s="24" t="inlineStr">
        <is>
          <t>2026-09-04T22:00:26.120723Z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inlineStr">
        <is>
          <t>bf777497bdc9b11dbcbb649310a510e2839e411f9f094e47ca9307e7bff4e0bf</t>
        </is>
      </c>
      <c r="DE497" s="24" t="inlineStr">
        <is>
          <t>/Users/vincentc9002/model-prediction/data/odds/tennis/2026-09-04/polymarket_snapshots.jsonl</t>
        </is>
      </c>
      <c r="DF497" s="24" t="inlineStr">
        <is>
          <t>656768:2026-09-04T16:11:59.298108Z</t>
        </is>
      </c>
      <c r="DG497" s="24" t="n"/>
      <c r="DH497" s="24" t="n"/>
      <c r="DI497" s="24" t="n"/>
      <c r="DJ497" s="24" t="inlineStr">
        <is>
          <t>0.795082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59423fafcc174a14</t>
        </is>
      </c>
      <c r="B498" s="24" t="inlineStr">
        <is>
          <t>2026-09-04T16:12:55.241267Z</t>
        </is>
      </c>
      <c r="C498" s="24" t="inlineStr">
        <is>
          <t>2026-09-04T18:30Z</t>
        </is>
      </c>
      <c r="D498" s="24" t="inlineStr">
        <is>
          <t>189-2026:182543</t>
        </is>
      </c>
      <c r="E498" s="24" t="inlineStr">
        <is>
          <t>TENNIS</t>
        </is>
      </c>
      <c r="F498" s="24" t="inlineStr">
        <is>
          <t>Linda Noskova</t>
        </is>
      </c>
      <c r="G498" s="24" t="inlineStr">
        <is>
          <t>Ann Li</t>
        </is>
      </c>
      <c r="H498" s="24" t="inlineStr">
        <is>
          <t>moneyline</t>
        </is>
      </c>
      <c r="I498" s="24" t="inlineStr">
        <is>
          <t>away</t>
        </is>
      </c>
      <c r="J498" s="25" t="n"/>
      <c r="K498" s="24" t="inlineStr">
        <is>
          <t>polymarket_us</t>
        </is>
      </c>
      <c r="L498" s="26" t="n">
        <v>-300</v>
      </c>
      <c r="M498" s="27" t="n">
        <v>1.333333</v>
      </c>
      <c r="N498" s="28" t="n">
        <v>0.75</v>
      </c>
      <c r="O498" s="28" t="n">
        <v>0.6415999999999999</v>
      </c>
      <c r="P498" s="28" t="n">
        <v>0.05</v>
      </c>
      <c r="Q498" s="28" t="n">
        <v>-0.1084</v>
      </c>
      <c r="R498" s="26" t="n">
        <v>0</v>
      </c>
      <c r="S498" s="29" t="n">
        <v>1</v>
      </c>
      <c r="T498" s="24" t="inlineStr">
        <is>
          <t>tennis-surface-elo-v1</t>
        </is>
      </c>
      <c r="U498" s="24" t="inlineStr">
        <is>
          <t>settled</t>
        </is>
      </c>
      <c r="V498" s="24" t="inlineStr">
        <is>
          <t>win</t>
        </is>
      </c>
      <c r="W498" s="26" t="n">
        <v>1</v>
      </c>
      <c r="X498" s="26" t="n">
        <v>0</v>
      </c>
      <c r="Y498" s="25" t="n"/>
      <c r="Z498" s="26" t="n">
        <v>-300</v>
      </c>
      <c r="AA498" s="28" t="n">
        <v>0.75</v>
      </c>
      <c r="AB498" s="28" t="n">
        <v>0</v>
      </c>
      <c r="AC498" s="30" t="n">
        <v>0.3333</v>
      </c>
      <c r="AD498" s="24" t="inlineStr">
        <is>
          <t>2026-09-05T04:37:16.345994Z</t>
        </is>
      </c>
      <c r="AE498" s="31" t="inlineStr">
        <is>
          <t>Surface-blended Elo on Hard: Linda Noskova p=0.642 vs Ann Li. Executable ask 0.7500 (aec-wta-annli-linnos-2026-09-04).</t>
        </is>
      </c>
      <c r="AF498" s="31" t="inlineStr">
        <is>
          <t>Surface-blended Elo model; singles only, WTA+ATP market coverage, not yet locked-holdout qualified -- promoted by explicit operator directive, not genuine walk-forward validation.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Linda Noskova</t>
        </is>
      </c>
      <c r="AQ498" s="24" t="inlineStr">
        <is>
          <t>Linda Noskova</t>
        </is>
      </c>
      <c r="AR498" s="24" t="inlineStr">
        <is>
          <t>Linda Noskova</t>
        </is>
      </c>
      <c r="AS498" s="24" t="inlineStr">
        <is>
          <t>Ann Li</t>
        </is>
      </c>
      <c r="AT498" s="24" t="inlineStr">
        <is>
          <t>Ann Li</t>
        </is>
      </c>
      <c r="AU498" s="24" t="inlineStr">
        <is>
          <t>Ann Li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0ce66f49b381187fe6255a40ca2fdbfc155d5e36125ccf6d30fe81a72962eafa</t>
        </is>
      </c>
      <c r="BB498" s="24" t="inlineStr">
        <is>
          <t>surface_blended_elo</t>
        </is>
      </c>
      <c r="BC498" s="24" t="inlineStr">
        <is>
          <t>tennis-surface-elo-v1</t>
        </is>
      </c>
      <c r="BD498" s="24" t="inlineStr">
        <is>
          <t>0ce66f49b381187fe6255a40ca2fdbfc155d5e36125ccf6d30fe81a72962eafa</t>
        </is>
      </c>
      <c r="BE498" s="24" t="inlineStr">
        <is>
          <t>tennis-surface-elo-v1</t>
        </is>
      </c>
      <c r="BF498" s="24" t="inlineStr">
        <is>
          <t>1</t>
        </is>
      </c>
      <c r="BG498" s="24" t="inlineStr">
        <is>
          <t>0ce66f49b381187fe6255a40ca2fdbfc155d5e36125ccf6d30fe81a72962eafa</t>
        </is>
      </c>
      <c r="BH498" s="24" t="inlineStr">
        <is>
          <t>2026-09-04T16:11:58.503061Z</t>
        </is>
      </c>
      <c r="BI498" s="24" t="inlineStr">
        <is>
          <t>["same_event","same_team_same_day","same_league_same_day"]</t>
        </is>
      </c>
      <c r="BJ498" s="25" t="n"/>
      <c r="BK498" s="26" t="n">
        <v>-300</v>
      </c>
      <c r="BL498" s="27" t="n">
        <v>1.333333</v>
      </c>
      <c r="BM498" s="28" t="n">
        <v>0.75</v>
      </c>
      <c r="BN498" s="28" t="n"/>
      <c r="BO498" s="28" t="n"/>
      <c r="BP498" s="25" t="n"/>
      <c r="BQ498" s="27" t="n">
        <v>1.333333</v>
      </c>
      <c r="BR498" s="28" t="n">
        <v>0.75</v>
      </c>
      <c r="BS498" s="28" t="n"/>
      <c r="BT498" s="28" t="n"/>
      <c r="BU498" s="25" t="n"/>
      <c r="BV498" s="29" t="n"/>
      <c r="BW498" s="24" t="n"/>
      <c r="BX498" s="30" t="n">
        <v>1</v>
      </c>
      <c r="BY498" s="27" t="n">
        <v>0.333333</v>
      </c>
      <c r="BZ498" s="24" t="inlineStr">
        <is>
          <t>2026-09-05T04:37:16.345994Z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inlineStr">
        <is>
          <t>ec6d4c7ddcf461bd45aa5f5657fd116ae9335590b2e098409902de772cf684db</t>
        </is>
      </c>
      <c r="DE498" s="24" t="inlineStr">
        <is>
          <t>/Users/vincentc9002/model-prediction/data/odds/tennis/2026-09-04/polymarket_snapshots.jsonl</t>
        </is>
      </c>
      <c r="DF498" s="24" t="inlineStr">
        <is>
          <t>657886:2026-09-04T16:11:58.503061Z</t>
        </is>
      </c>
      <c r="DG498" s="24" t="n"/>
      <c r="DH498" s="24" t="n"/>
      <c r="DI498" s="24" t="n"/>
      <c r="DJ498" s="24" t="inlineStr">
        <is>
          <t>0.75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c79c7da00122474e</t>
        </is>
      </c>
      <c r="B499" s="24" t="inlineStr">
        <is>
          <t>2026-09-04T16:12:55.241267Z</t>
        </is>
      </c>
      <c r="C499" s="24" t="inlineStr">
        <is>
          <t>2026-09-04T16:30Z</t>
        </is>
      </c>
      <c r="D499" s="24" t="inlineStr">
        <is>
          <t>189-2026:182687</t>
        </is>
      </c>
      <c r="E499" s="24" t="inlineStr">
        <is>
          <t>TENNIS</t>
        </is>
      </c>
      <c r="F499" s="24" t="inlineStr">
        <is>
          <t>Arthur Rinderknech</t>
        </is>
      </c>
      <c r="G499" s="24" t="inlineStr">
        <is>
          <t>Daniil Medvedev</t>
        </is>
      </c>
      <c r="H499" s="24" t="inlineStr">
        <is>
          <t>moneyline</t>
        </is>
      </c>
      <c r="I499" s="24" t="inlineStr">
        <is>
          <t>home</t>
        </is>
      </c>
      <c r="J499" s="25" t="n"/>
      <c r="K499" s="24" t="inlineStr">
        <is>
          <t>polymarket_us</t>
        </is>
      </c>
      <c r="L499" s="26" t="n">
        <v>-270</v>
      </c>
      <c r="M499" s="27" t="n">
        <v>1.37037</v>
      </c>
      <c r="N499" s="28" t="n">
        <v>0.72973</v>
      </c>
      <c r="O499" s="28" t="n">
        <v>0.706</v>
      </c>
      <c r="P499" s="28" t="n">
        <v>0.05</v>
      </c>
      <c r="Q499" s="28" t="n">
        <v>-0.02373</v>
      </c>
      <c r="R499" s="26" t="n">
        <v>8</v>
      </c>
      <c r="S499" s="29" t="n">
        <v>1</v>
      </c>
      <c r="T499" s="24" t="inlineStr">
        <is>
          <t>tennis-surface-elo-v1</t>
        </is>
      </c>
      <c r="U499" s="24" t="inlineStr">
        <is>
          <t>settled</t>
        </is>
      </c>
      <c r="V499" s="24" t="inlineStr">
        <is>
          <t>win</t>
        </is>
      </c>
      <c r="W499" s="26" t="n">
        <v>0</v>
      </c>
      <c r="X499" s="26" t="n">
        <v>1</v>
      </c>
      <c r="Y499" s="25" t="n"/>
      <c r="Z499" s="26" t="n">
        <v>-270</v>
      </c>
      <c r="AA499" s="28" t="n">
        <v>0.73</v>
      </c>
      <c r="AB499" s="28" t="n">
        <v>0.00027</v>
      </c>
      <c r="AC499" s="30" t="n">
        <v>0.3704</v>
      </c>
      <c r="AD499" s="24" t="inlineStr">
        <is>
          <t>2026-09-04T22:00:27.140322Z</t>
        </is>
      </c>
      <c r="AE499" s="31" t="inlineStr">
        <is>
          <t>Surface-blended Elo on Hard: Arthur Rinderknech p=0.294 vs Daniil Medvedev. Executable ask 0.7300 (aec-atp-danmed-artrin-2026-09-04).</t>
        </is>
      </c>
      <c r="AF499" s="31" t="inlineStr">
        <is>
          <t>Surface-blended Elo model; singles only, WTA+ATP market coverage, not yet locked-holdout qualified -- promoted by explicit operator directive, not genuine walk-forward validation.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PAPER_CALL_LOW_EDGE</t>
        </is>
      </c>
      <c r="AP499" s="24" t="inlineStr">
        <is>
          <t>Arthur Rinderknech</t>
        </is>
      </c>
      <c r="AQ499" s="24" t="inlineStr">
        <is>
          <t>Arthur Rinderknech</t>
        </is>
      </c>
      <c r="AR499" s="24" t="inlineStr">
        <is>
          <t>Arthur Rinderknech</t>
        </is>
      </c>
      <c r="AS499" s="24" t="inlineStr">
        <is>
          <t>Daniil Medvedev</t>
        </is>
      </c>
      <c r="AT499" s="24" t="inlineStr">
        <is>
          <t>Daniil Medvedev</t>
        </is>
      </c>
      <c r="AU499" s="24" t="inlineStr">
        <is>
          <t>Daniil Medvedev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0ce66f49b381187fe6255a40ca2fdbfc155d5e36125ccf6d30fe81a72962eafa</t>
        </is>
      </c>
      <c r="BB499" s="24" t="inlineStr">
        <is>
          <t>surface_blended_elo</t>
        </is>
      </c>
      <c r="BC499" s="24" t="inlineStr">
        <is>
          <t>tennis-surface-elo-v1</t>
        </is>
      </c>
      <c r="BD499" s="24" t="inlineStr">
        <is>
          <t>0ce66f49b381187fe6255a40ca2fdbfc155d5e36125ccf6d30fe81a72962eafa</t>
        </is>
      </c>
      <c r="BE499" s="24" t="inlineStr">
        <is>
          <t>tennis-surface-elo-v1</t>
        </is>
      </c>
      <c r="BF499" s="24" t="inlineStr">
        <is>
          <t>1</t>
        </is>
      </c>
      <c r="BG499" s="24" t="inlineStr">
        <is>
          <t>0ce66f49b381187fe6255a40ca2fdbfc155d5e36125ccf6d30fe81a72962eafa</t>
        </is>
      </c>
      <c r="BH499" s="24" t="inlineStr">
        <is>
          <t>2026-09-04T16:11:59.577707Z</t>
        </is>
      </c>
      <c r="BI499" s="24" t="inlineStr">
        <is>
          <t>["same_event","same_team_same_day","same_league_same_day"]</t>
        </is>
      </c>
      <c r="BJ499" s="25" t="n"/>
      <c r="BK499" s="26" t="n">
        <v>-270</v>
      </c>
      <c r="BL499" s="27" t="n">
        <v>1.37037</v>
      </c>
      <c r="BM499" s="28" t="n">
        <v>0.72973</v>
      </c>
      <c r="BN499" s="28" t="n"/>
      <c r="BO499" s="28" t="n"/>
      <c r="BP499" s="25" t="n"/>
      <c r="BQ499" s="27" t="n">
        <v>1.37037</v>
      </c>
      <c r="BR499" s="28" t="n">
        <v>0.73</v>
      </c>
      <c r="BS499" s="28" t="n"/>
      <c r="BT499" s="28" t="n"/>
      <c r="BU499" s="25" t="n"/>
      <c r="BV499" s="29" t="n"/>
      <c r="BW499" s="24" t="n"/>
      <c r="BX499" s="30" t="n">
        <v>1</v>
      </c>
      <c r="BY499" s="27" t="n">
        <v>0.37037</v>
      </c>
      <c r="BZ499" s="24" t="inlineStr">
        <is>
          <t>2026-09-04T22:00:27.140322Z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inlineStr">
        <is>
          <t>3060e95ce4b175a7589e6449c2f731ddf43716397d77703b7c13cf2d6d6a7d98</t>
        </is>
      </c>
      <c r="DE499" s="24" t="inlineStr">
        <is>
          <t>/Users/vincentc9002/model-prediction/data/odds/tennis/2026-09-04/polymarket_snapshots.jsonl</t>
        </is>
      </c>
      <c r="DF499" s="24" t="inlineStr">
        <is>
          <t>654067:2026-09-04T16:11:59.577707Z</t>
        </is>
      </c>
      <c r="DG499" s="24" t="n"/>
      <c r="DH499" s="24" t="n"/>
      <c r="DI499" s="24" t="n"/>
      <c r="DJ499" s="24" t="inlineStr">
        <is>
          <t>0.72973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821ac33485d94386</t>
        </is>
      </c>
      <c r="B500" s="24" t="inlineStr">
        <is>
          <t>2026-09-04T16:12:55.241267Z</t>
        </is>
      </c>
      <c r="C500" s="24" t="inlineStr">
        <is>
          <t>2026-09-04T16:30Z</t>
        </is>
      </c>
      <c r="D500" s="24" t="inlineStr">
        <is>
          <t>189-2026:182719</t>
        </is>
      </c>
      <c r="E500" s="24" t="inlineStr">
        <is>
          <t>TENNIS</t>
        </is>
      </c>
      <c r="F500" s="24" t="inlineStr">
        <is>
          <t>Tommy Paul</t>
        </is>
      </c>
      <c r="G500" s="24" t="inlineStr">
        <is>
          <t>Alexander Bublik</t>
        </is>
      </c>
      <c r="H500" s="24" t="inlineStr">
        <is>
          <t>moneyline</t>
        </is>
      </c>
      <c r="I500" s="24" t="inlineStr">
        <is>
          <t>away</t>
        </is>
      </c>
      <c r="J500" s="25" t="n"/>
      <c r="K500" s="24" t="inlineStr">
        <is>
          <t>polymarket_us</t>
        </is>
      </c>
      <c r="L500" s="26" t="n">
        <v>-160</v>
      </c>
      <c r="M500" s="27" t="n">
        <v>1.625</v>
      </c>
      <c r="N500" s="28" t="n">
        <v>0.615385</v>
      </c>
      <c r="O500" s="28" t="n">
        <v>0.6133</v>
      </c>
      <c r="P500" s="28" t="n">
        <v>0.05</v>
      </c>
      <c r="Q500" s="28" t="n">
        <v>-0.002085</v>
      </c>
      <c r="R500" s="26" t="n">
        <v>19</v>
      </c>
      <c r="S500" s="29" t="n">
        <v>1</v>
      </c>
      <c r="T500" s="24" t="inlineStr">
        <is>
          <t>tennis-surface-elo-v1</t>
        </is>
      </c>
      <c r="U500" s="24" t="inlineStr">
        <is>
          <t>settled</t>
        </is>
      </c>
      <c r="V500" s="24" t="inlineStr">
        <is>
          <t>win</t>
        </is>
      </c>
      <c r="W500" s="26" t="n">
        <v>1</v>
      </c>
      <c r="X500" s="26" t="n">
        <v>0</v>
      </c>
      <c r="Y500" s="25" t="n"/>
      <c r="Z500" s="26" t="n">
        <v>-160</v>
      </c>
      <c r="AA500" s="28" t="n">
        <v>0.615</v>
      </c>
      <c r="AB500" s="28" t="n">
        <v>-0.000385</v>
      </c>
      <c r="AC500" s="30" t="n">
        <v>0.625</v>
      </c>
      <c r="AD500" s="24" t="inlineStr">
        <is>
          <t>2026-09-04T22:00:28.159837Z</t>
        </is>
      </c>
      <c r="AE500" s="31" t="inlineStr">
        <is>
          <t>Surface-blended Elo on Hard: Tommy Paul p=0.613 vs Alexander Bublik. Executable ask 0.6150 (aec-atp-alebub-tompau-2026-09-04).</t>
        </is>
      </c>
      <c r="AF500" s="31" t="inlineStr">
        <is>
          <t>Surface-blended Elo model; singles only, WTA+ATP market coverage, not yet locked-holdout qualified -- promoted by explicit operator directive, not genuine walk-forward validation.</t>
        </is>
      </c>
      <c r="AG500" s="24" t="inlineStr">
        <is>
          <t>not_applicable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Tommy Paul</t>
        </is>
      </c>
      <c r="AQ500" s="24" t="inlineStr">
        <is>
          <t>Tommy Paul</t>
        </is>
      </c>
      <c r="AR500" s="24" t="inlineStr">
        <is>
          <t>Tommy Paul</t>
        </is>
      </c>
      <c r="AS500" s="24" t="inlineStr">
        <is>
          <t>Alexander Bublik</t>
        </is>
      </c>
      <c r="AT500" s="24" t="inlineStr">
        <is>
          <t>Alexander Bublik</t>
        </is>
      </c>
      <c r="AU500" s="24" t="inlineStr">
        <is>
          <t>Alexander Bublik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0ce66f49b381187fe6255a40ca2fdbfc155d5e36125ccf6d30fe81a72962eafa</t>
        </is>
      </c>
      <c r="BB500" s="24" t="inlineStr">
        <is>
          <t>surface_blended_elo</t>
        </is>
      </c>
      <c r="BC500" s="24" t="inlineStr">
        <is>
          <t>tennis-surface-elo-v1</t>
        </is>
      </c>
      <c r="BD500" s="24" t="inlineStr">
        <is>
          <t>0ce66f49b381187fe6255a40ca2fdbfc155d5e36125ccf6d30fe81a72962eafa</t>
        </is>
      </c>
      <c r="BE500" s="24" t="inlineStr">
        <is>
          <t>tennis-surface-elo-v1</t>
        </is>
      </c>
      <c r="BF500" s="24" t="inlineStr">
        <is>
          <t>1</t>
        </is>
      </c>
      <c r="BG500" s="24" t="inlineStr">
        <is>
          <t>0ce66f49b381187fe6255a40ca2fdbfc155d5e36125ccf6d30fe81a72962eafa</t>
        </is>
      </c>
      <c r="BH500" s="24" t="inlineStr">
        <is>
          <t>2026-09-04T16:11:59.602888Z</t>
        </is>
      </c>
      <c r="BI500" s="24" t="inlineStr">
        <is>
          <t>["same_event","same_team_same_day","same_league_same_day"]</t>
        </is>
      </c>
      <c r="BJ500" s="25" t="n"/>
      <c r="BK500" s="26" t="n">
        <v>-160</v>
      </c>
      <c r="BL500" s="27" t="n">
        <v>1.625</v>
      </c>
      <c r="BM500" s="28" t="n">
        <v>0.615385</v>
      </c>
      <c r="BN500" s="28" t="n"/>
      <c r="BO500" s="28" t="n"/>
      <c r="BP500" s="25" t="n"/>
      <c r="BQ500" s="27" t="n">
        <v>1.625</v>
      </c>
      <c r="BR500" s="28" t="n">
        <v>0.615</v>
      </c>
      <c r="BS500" s="28" t="n"/>
      <c r="BT500" s="28" t="n"/>
      <c r="BU500" s="25" t="n"/>
      <c r="BV500" s="29" t="n"/>
      <c r="BW500" s="24" t="n"/>
      <c r="BX500" s="30" t="n">
        <v>1</v>
      </c>
      <c r="BY500" s="27" t="n">
        <v>0.624999</v>
      </c>
      <c r="BZ500" s="24" t="inlineStr">
        <is>
          <t>2026-09-04T22:00:28.159837Z</t>
        </is>
      </c>
      <c r="CA500" s="31" t="inlineStr">
        <is>
          <t>fixed one-unit hypothetical scoring; no real exposure or execution</t>
        </is>
      </c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inlineStr">
        <is>
          <t>48b139d01c55d9370c13be4aaf1698a62babe211e0fe346b62dae51af7c287ff</t>
        </is>
      </c>
      <c r="DE500" s="24" t="inlineStr">
        <is>
          <t>/Users/vincentc9002/model-prediction/data/odds/tennis/2026-09-04/polymarket_snapshots.jsonl</t>
        </is>
      </c>
      <c r="DF500" s="24" t="inlineStr">
        <is>
          <t>657862:2026-09-04T16:11:59.602888Z</t>
        </is>
      </c>
      <c r="DG500" s="24" t="n"/>
      <c r="DH500" s="24" t="n"/>
      <c r="DI500" s="24" t="n"/>
      <c r="DJ500" s="24" t="inlineStr">
        <is>
          <t>0.615385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c0225c24f11c40ff</t>
        </is>
      </c>
      <c r="B501" s="24" t="inlineStr">
        <is>
          <t>2026-09-04T16:12:55.241267Z</t>
        </is>
      </c>
      <c r="C501" s="24" t="inlineStr">
        <is>
          <t>2026-09-04T17:00Z</t>
        </is>
      </c>
      <c r="D501" s="24" t="inlineStr">
        <is>
          <t>189-2026:182723</t>
        </is>
      </c>
      <c r="E501" s="24" t="inlineStr">
        <is>
          <t>TENNIS</t>
        </is>
      </c>
      <c r="F501" s="24" t="inlineStr">
        <is>
          <t>Carlos Alcaraz</t>
        </is>
      </c>
      <c r="G501" s="24" t="inlineStr">
        <is>
          <t>Wu Yibing</t>
        </is>
      </c>
      <c r="H501" s="24" t="inlineStr">
        <is>
          <t>moneyline</t>
        </is>
      </c>
      <c r="I501" s="24" t="inlineStr">
        <is>
          <t>away</t>
        </is>
      </c>
      <c r="J501" s="25" t="n"/>
      <c r="K501" s="24" t="inlineStr">
        <is>
          <t>polymarket_us</t>
        </is>
      </c>
      <c r="L501" s="26" t="n">
        <v>-1233</v>
      </c>
      <c r="M501" s="27" t="n">
        <v>1.081103</v>
      </c>
      <c r="N501" s="28" t="n">
        <v>0.9249810000000001</v>
      </c>
      <c r="O501" s="28" t="n">
        <v>0.9205</v>
      </c>
      <c r="P501" s="28" t="n">
        <v>0.05</v>
      </c>
      <c r="Q501" s="28" t="n">
        <v>-0.004481</v>
      </c>
      <c r="R501" s="26" t="n">
        <v>18</v>
      </c>
      <c r="S501" s="29" t="n">
        <v>1</v>
      </c>
      <c r="T501" s="24" t="inlineStr">
        <is>
          <t>tennis-surface-elo-v1</t>
        </is>
      </c>
      <c r="U501" s="24" t="inlineStr">
        <is>
          <t>settled</t>
        </is>
      </c>
      <c r="V501" s="24" t="inlineStr">
        <is>
          <t>win</t>
        </is>
      </c>
      <c r="W501" s="26" t="n">
        <v>1</v>
      </c>
      <c r="X501" s="26" t="n">
        <v>0</v>
      </c>
      <c r="Y501" s="25" t="n"/>
      <c r="Z501" s="26" t="n">
        <v>-1233</v>
      </c>
      <c r="AA501" s="28" t="n">
        <v>0.925</v>
      </c>
      <c r="AB501" s="28" t="n">
        <v>1.9e-05</v>
      </c>
      <c r="AC501" s="30" t="n">
        <v>0.08110000000000001</v>
      </c>
      <c r="AD501" s="24" t="inlineStr">
        <is>
          <t>2026-09-04T22:00:29.185291Z</t>
        </is>
      </c>
      <c r="AE501" s="31" t="inlineStr">
        <is>
          <t>Surface-blended Elo on Hard: Carlos Alcaraz p=0.921 vs Wu Yibing. Executable ask 0.9250 (aec-atp-yibwu-caralc-2026-09-04).</t>
        </is>
      </c>
      <c r="AF501" s="31" t="inlineStr">
        <is>
          <t>Surface-blended Elo model; singles only, WTA+ATP market coverage, not yet locked-holdout qualified -- promoted by explicit operator directive, not genuine walk-forward validation.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Carlos Alcaraz</t>
        </is>
      </c>
      <c r="AQ501" s="24" t="inlineStr">
        <is>
          <t>Carlos Alcaraz</t>
        </is>
      </c>
      <c r="AR501" s="24" t="inlineStr">
        <is>
          <t>Carlos Alcaraz</t>
        </is>
      </c>
      <c r="AS501" s="24" t="inlineStr">
        <is>
          <t>Wu Yibing</t>
        </is>
      </c>
      <c r="AT501" s="24" t="inlineStr">
        <is>
          <t>Wu Yibing</t>
        </is>
      </c>
      <c r="AU501" s="24" t="inlineStr">
        <is>
          <t>Wu Yibing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0ce66f49b381187fe6255a40ca2fdbfc155d5e36125ccf6d30fe81a72962eafa</t>
        </is>
      </c>
      <c r="BB501" s="24" t="inlineStr">
        <is>
          <t>surface_blended_elo</t>
        </is>
      </c>
      <c r="BC501" s="24" t="inlineStr">
        <is>
          <t>tennis-surface-elo-v1</t>
        </is>
      </c>
      <c r="BD501" s="24" t="inlineStr">
        <is>
          <t>0ce66f49b381187fe6255a40ca2fdbfc155d5e36125ccf6d30fe81a72962eafa</t>
        </is>
      </c>
      <c r="BE501" s="24" t="inlineStr">
        <is>
          <t>tennis-surface-elo-v1</t>
        </is>
      </c>
      <c r="BF501" s="24" t="inlineStr">
        <is>
          <t>1</t>
        </is>
      </c>
      <c r="BG501" s="24" t="inlineStr">
        <is>
          <t>0ce66f49b381187fe6255a40ca2fdbfc155d5e36125ccf6d30fe81a72962eafa</t>
        </is>
      </c>
      <c r="BH501" s="24" t="inlineStr">
        <is>
          <t>2026-09-04T16:12:00.407590Z</t>
        </is>
      </c>
      <c r="BI501" s="24" t="inlineStr">
        <is>
          <t>["same_event","same_team_same_day","same_league_same_day"]</t>
        </is>
      </c>
      <c r="BJ501" s="25" t="n"/>
      <c r="BK501" s="26" t="n">
        <v>-1233</v>
      </c>
      <c r="BL501" s="27" t="n">
        <v>1.081103</v>
      </c>
      <c r="BM501" s="28" t="n">
        <v>0.9249810000000001</v>
      </c>
      <c r="BN501" s="28" t="n"/>
      <c r="BO501" s="28" t="n"/>
      <c r="BP501" s="25" t="n"/>
      <c r="BQ501" s="27" t="n">
        <v>1.081103</v>
      </c>
      <c r="BR501" s="28" t="n">
        <v>0.925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0.08110299999999999</v>
      </c>
      <c r="BZ501" s="24" t="inlineStr">
        <is>
          <t>2026-09-04T22:00:29.185291Z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inlineStr">
        <is>
          <t>90a586c46e87863692be90cf0a0aaa5f3292d35a617ad4f722d0823cf6587355</t>
        </is>
      </c>
      <c r="DE501" s="24" t="inlineStr">
        <is>
          <t>/Users/vincentc9002/model-prediction/data/odds/tennis/2026-09-04/polymarket_snapshots.jsonl</t>
        </is>
      </c>
      <c r="DF501" s="24" t="inlineStr">
        <is>
          <t>657878:2026-09-04T16:12:00.407590Z</t>
        </is>
      </c>
      <c r="DG501" s="24" t="n"/>
      <c r="DH501" s="24" t="n"/>
      <c r="DI501" s="24" t="n"/>
      <c r="DJ501" s="24" t="inlineStr">
        <is>
          <t>0.924981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e0005df0d9ec442a</t>
        </is>
      </c>
      <c r="B502" s="24" t="inlineStr">
        <is>
          <t>2026-09-04T16:12:55.241267Z</t>
        </is>
      </c>
      <c r="C502" s="24" t="inlineStr">
        <is>
          <t>2026-09-04T20:00Z</t>
        </is>
      </c>
      <c r="D502" s="24" t="inlineStr">
        <is>
          <t>189-2026:182740</t>
        </is>
      </c>
      <c r="E502" s="24" t="inlineStr">
        <is>
          <t>TENNIS</t>
        </is>
      </c>
      <c r="F502" s="24" t="inlineStr">
        <is>
          <t>Mariano Navone</t>
        </is>
      </c>
      <c r="G502" s="24" t="inlineStr">
        <is>
          <t>Tomas Martin Etcheverry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polymarket_us</t>
        </is>
      </c>
      <c r="L502" s="26" t="n">
        <v>-106</v>
      </c>
      <c r="M502" s="27" t="n">
        <v>1.943396</v>
      </c>
      <c r="N502" s="28" t="n">
        <v>0.514563</v>
      </c>
      <c r="O502" s="28" t="n">
        <v>0.5485</v>
      </c>
      <c r="P502" s="28" t="n">
        <v>0.05</v>
      </c>
      <c r="Q502" s="28" t="n">
        <v>0.033937</v>
      </c>
      <c r="R502" s="26" t="n">
        <v>37</v>
      </c>
      <c r="S502" s="29" t="n">
        <v>1</v>
      </c>
      <c r="T502" s="24" t="inlineStr">
        <is>
          <t>tennis-surface-elo-v1</t>
        </is>
      </c>
      <c r="U502" s="24" t="inlineStr">
        <is>
          <t>settled</t>
        </is>
      </c>
      <c r="V502" s="24" t="inlineStr">
        <is>
          <t>win</t>
        </is>
      </c>
      <c r="W502" s="26" t="n">
        <v>0</v>
      </c>
      <c r="X502" s="26" t="n">
        <v>1</v>
      </c>
      <c r="Y502" s="25" t="n"/>
      <c r="Z502" s="26" t="n"/>
      <c r="AA502" s="28" t="n"/>
      <c r="AB502" s="28" t="n"/>
      <c r="AC502" s="30" t="n">
        <v>0.9434</v>
      </c>
      <c r="AD502" s="24" t="inlineStr">
        <is>
          <t>2026-09-05T04:37:17.330887Z</t>
        </is>
      </c>
      <c r="AE502" s="31" t="inlineStr">
        <is>
          <t>Surface-blended Elo on Hard: Mariano Navone p=0.451 vs Tomas Martin Etcheverry. Executable ask 0.5150 (aec-atp-tometc-marnav-2026-09-04).</t>
        </is>
      </c>
      <c r="AF502" s="31" t="inlineStr">
        <is>
          <t>Surface-blended Elo model; singles only, WTA+ATP market coverage, not yet locked-holdout qualified -- promoted by explicit operator directive, not genuine walk-forward validation.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Mariano Navone</t>
        </is>
      </c>
      <c r="AQ502" s="24" t="inlineStr">
        <is>
          <t>Mariano Navone</t>
        </is>
      </c>
      <c r="AR502" s="24" t="inlineStr">
        <is>
          <t>Mariano Navone</t>
        </is>
      </c>
      <c r="AS502" s="24" t="inlineStr">
        <is>
          <t>Tomas Martin Etcheverry</t>
        </is>
      </c>
      <c r="AT502" s="24" t="inlineStr">
        <is>
          <t>Tomas Martin Etcheverry</t>
        </is>
      </c>
      <c r="AU502" s="24" t="inlineStr">
        <is>
          <t>Tomas Martin Etcheverry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0ce66f49b381187fe6255a40ca2fdbfc155d5e36125ccf6d30fe81a72962eafa</t>
        </is>
      </c>
      <c r="BB502" s="24" t="inlineStr">
        <is>
          <t>surface_blended_elo</t>
        </is>
      </c>
      <c r="BC502" s="24" t="inlineStr">
        <is>
          <t>tennis-surface-elo-v1</t>
        </is>
      </c>
      <c r="BD502" s="24" t="inlineStr">
        <is>
          <t>0ce66f49b381187fe6255a40ca2fdbfc155d5e36125ccf6d30fe81a72962eafa</t>
        </is>
      </c>
      <c r="BE502" s="24" t="inlineStr">
        <is>
          <t>tennis-surface-elo-v1</t>
        </is>
      </c>
      <c r="BF502" s="24" t="inlineStr">
        <is>
          <t>1</t>
        </is>
      </c>
      <c r="BG502" s="24" t="inlineStr">
        <is>
          <t>0ce66f49b381187fe6255a40ca2fdbfc155d5e36125ccf6d30fe81a72962eafa</t>
        </is>
      </c>
      <c r="BH502" s="24" t="inlineStr">
        <is>
          <t>2026-09-04T16:12:00.695213Z</t>
        </is>
      </c>
      <c r="BI502" s="24" t="inlineStr">
        <is>
          <t>["same_event","same_team_same_day","same_league_same_day"]</t>
        </is>
      </c>
      <c r="BJ502" s="25" t="n"/>
      <c r="BK502" s="26" t="n">
        <v>-106</v>
      </c>
      <c r="BL502" s="27" t="n">
        <v>1.943396</v>
      </c>
      <c r="BM502" s="28" t="n">
        <v>0.514563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0.943397</v>
      </c>
      <c r="BZ502" s="24" t="inlineStr">
        <is>
          <t>2026-09-05T04:37:17.330887Z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inlineStr">
        <is>
          <t>6b800b54ab542886478a88aecceb6d170607e90467ee2d9c50b9a12b3f003c4b</t>
        </is>
      </c>
      <c r="DE502" s="24" t="inlineStr">
        <is>
          <t>/Users/vincentc9002/model-prediction/data/odds/tennis/2026-09-04/polymarket_snapshots.jsonl</t>
        </is>
      </c>
      <c r="DF502" s="24" t="inlineStr">
        <is>
          <t>657814:2026-09-04T16:12:00.695213Z</t>
        </is>
      </c>
      <c r="DG502" s="24" t="n"/>
      <c r="DH502" s="24" t="n"/>
      <c r="DI502" s="24" t="n"/>
      <c r="DJ502" s="24" t="inlineStr">
        <is>
          <t>0.514563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a9c392c378664562</t>
        </is>
      </c>
      <c r="B503" s="24" t="inlineStr">
        <is>
          <t>2026-09-04T16:12:55.241267Z</t>
        </is>
      </c>
      <c r="C503" s="24" t="inlineStr">
        <is>
          <t>2026-09-04T20:30Z</t>
        </is>
      </c>
      <c r="D503" s="24" t="inlineStr">
        <is>
          <t>189-2026:182689</t>
        </is>
      </c>
      <c r="E503" s="24" t="inlineStr">
        <is>
          <t>TENNIS</t>
        </is>
      </c>
      <c r="F503" s="24" t="inlineStr">
        <is>
          <t>Daniel Merida</t>
        </is>
      </c>
      <c r="G503" s="24" t="inlineStr">
        <is>
          <t>Alex Michelsen</t>
        </is>
      </c>
      <c r="H503" s="24" t="inlineStr">
        <is>
          <t>moneyline</t>
        </is>
      </c>
      <c r="I503" s="24" t="inlineStr">
        <is>
          <t>away</t>
        </is>
      </c>
      <c r="J503" s="25" t="n"/>
      <c r="K503" s="24" t="inlineStr">
        <is>
          <t>polymarket_us</t>
        </is>
      </c>
      <c r="L503" s="26" t="n">
        <v>174</v>
      </c>
      <c r="M503" s="27" t="n">
        <v>2.74</v>
      </c>
      <c r="N503" s="28" t="n">
        <v>0.364964</v>
      </c>
      <c r="O503" s="28" t="n">
        <v>0.5165</v>
      </c>
      <c r="P503" s="28" t="n">
        <v>0.05</v>
      </c>
      <c r="Q503" s="28" t="n">
        <v>0.151536</v>
      </c>
      <c r="R503" s="26" t="n">
        <v>96</v>
      </c>
      <c r="S503" s="29" t="n">
        <v>1.75</v>
      </c>
      <c r="T503" s="24" t="inlineStr">
        <is>
          <t>tennis-surface-elo-v1</t>
        </is>
      </c>
      <c r="U503" s="24" t="inlineStr">
        <is>
          <t>settled</t>
        </is>
      </c>
      <c r="V503" s="24" t="inlineStr">
        <is>
          <t>loss</t>
        </is>
      </c>
      <c r="W503" s="26" t="n">
        <v>0</v>
      </c>
      <c r="X503" s="26" t="n">
        <v>1</v>
      </c>
      <c r="Y503" s="25" t="n"/>
      <c r="Z503" s="26" t="n">
        <v>174</v>
      </c>
      <c r="AA503" s="28" t="n">
        <v>0.365</v>
      </c>
      <c r="AB503" s="28" t="n">
        <v>3.6e-05</v>
      </c>
      <c r="AC503" s="30" t="n">
        <v>-1.75</v>
      </c>
      <c r="AD503" s="24" t="inlineStr">
        <is>
          <t>2026-09-05T04:37:18.309355Z</t>
        </is>
      </c>
      <c r="AE503" s="31" t="inlineStr">
        <is>
          <t>Surface-blended Elo on Hard: Daniel Merida p=0.517 vs Alex Michelsen. Executable ask 0.3650 (aec-atp-alemic-danagu-2026-09-03).</t>
        </is>
      </c>
      <c r="AF503" s="31" t="inlineStr">
        <is>
          <t>Surface-blended Elo model; singles only, WTA+ATP market coverage, not yet locked-holdout qualified -- promoted by explicit operator directive, not genuine walk-forward validation.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Daniel Merida</t>
        </is>
      </c>
      <c r="AQ503" s="24" t="inlineStr">
        <is>
          <t>Daniel Merida</t>
        </is>
      </c>
      <c r="AR503" s="24" t="inlineStr">
        <is>
          <t>Daniel Merida</t>
        </is>
      </c>
      <c r="AS503" s="24" t="inlineStr">
        <is>
          <t>Alex Michelsen</t>
        </is>
      </c>
      <c r="AT503" s="24" t="inlineStr">
        <is>
          <t>Alex Michelsen</t>
        </is>
      </c>
      <c r="AU503" s="24" t="inlineStr">
        <is>
          <t>Alex Michelsen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0ce66f49b381187fe6255a40ca2fdbfc155d5e36125ccf6d30fe81a72962eafa</t>
        </is>
      </c>
      <c r="BB503" s="24" t="inlineStr">
        <is>
          <t>surface_blended_elo</t>
        </is>
      </c>
      <c r="BC503" s="24" t="inlineStr">
        <is>
          <t>tennis-surface-elo-v1</t>
        </is>
      </c>
      <c r="BD503" s="24" t="inlineStr">
        <is>
          <t>0ce66f49b381187fe6255a40ca2fdbfc155d5e36125ccf6d30fe81a72962eafa</t>
        </is>
      </c>
      <c r="BE503" s="24" t="inlineStr">
        <is>
          <t>tennis-surface-elo-v1</t>
        </is>
      </c>
      <c r="BF503" s="24" t="inlineStr">
        <is>
          <t>1</t>
        </is>
      </c>
      <c r="BG503" s="24" t="inlineStr">
        <is>
          <t>0ce66f49b381187fe6255a40ca2fdbfc155d5e36125ccf6d30fe81a72962eafa</t>
        </is>
      </c>
      <c r="BH503" s="24" t="inlineStr">
        <is>
          <t>2026-09-04T16:12:00.493969Z</t>
        </is>
      </c>
      <c r="BI503" s="24" t="inlineStr">
        <is>
          <t>["same_event","same_team_same_day","same_league_same_day"]</t>
        </is>
      </c>
      <c r="BJ503" s="25" t="n"/>
      <c r="BK503" s="26" t="n">
        <v>174</v>
      </c>
      <c r="BL503" s="27" t="n">
        <v>2.74</v>
      </c>
      <c r="BM503" s="28" t="n">
        <v>0.364964</v>
      </c>
      <c r="BN503" s="28" t="n"/>
      <c r="BO503" s="28" t="n"/>
      <c r="BP503" s="25" t="n"/>
      <c r="BQ503" s="27" t="n">
        <v>2.74</v>
      </c>
      <c r="BR503" s="28" t="n">
        <v>0.365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2026-09-05T04:37:18.309355Z</t>
        </is>
      </c>
      <c r="CA503" s="31" t="inlineStr">
        <is>
          <t>fixed one-unit hypothetical scoring; no real exposure or execution</t>
        </is>
      </c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inlineStr">
        <is>
          <t>0aa3e9769c149fbbf1a9dead8384a38d2e276eaf9e28dc714bdca267b9dd6316</t>
        </is>
      </c>
      <c r="DE503" s="24" t="inlineStr">
        <is>
          <t>/Users/vincentc9002/model-prediction/data/odds/tennis/2026-09-04/polymarket_snapshots.jsonl</t>
        </is>
      </c>
      <c r="DF503" s="24" t="inlineStr">
        <is>
          <t>654017:2026-09-04T16:12:00.493969Z</t>
        </is>
      </c>
      <c r="DG503" s="24" t="n"/>
      <c r="DH503" s="24" t="n"/>
      <c r="DI503" s="24" t="n"/>
      <c r="DJ503" s="24" t="inlineStr">
        <is>
          <t>0.364964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4ccce13d1c764d63</t>
        </is>
      </c>
      <c r="B504" s="24" t="inlineStr">
        <is>
          <t>2026-09-04T16:12:55.241267Z</t>
        </is>
      </c>
      <c r="C504" s="24" t="inlineStr">
        <is>
          <t>2026-09-04T21:00Z</t>
        </is>
      </c>
      <c r="D504" s="24" t="inlineStr">
        <is>
          <t>189-2026:182747</t>
        </is>
      </c>
      <c r="E504" s="24" t="inlineStr">
        <is>
          <t>TENNIS</t>
        </is>
      </c>
      <c r="F504" s="24" t="inlineStr">
        <is>
          <t>Stefanos Tsitsipas</t>
        </is>
      </c>
      <c r="G504" s="24" t="inlineStr">
        <is>
          <t>Jiri Lehecka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-167</v>
      </c>
      <c r="M504" s="27" t="n">
        <v>1.598802</v>
      </c>
      <c r="N504" s="28" t="n">
        <v>0.625468</v>
      </c>
      <c r="O504" s="28" t="n">
        <v>0.6315</v>
      </c>
      <c r="P504" s="28" t="n">
        <v>0.05</v>
      </c>
      <c r="Q504" s="28" t="n">
        <v>0.006032</v>
      </c>
      <c r="R504" s="26" t="n">
        <v>23</v>
      </c>
      <c r="S504" s="29" t="n">
        <v>1</v>
      </c>
      <c r="T504" s="24" t="inlineStr">
        <is>
          <t>tennis-surface-elo-v1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</v>
      </c>
      <c r="X504" s="26" t="n">
        <v>0</v>
      </c>
      <c r="Y504" s="25" t="n"/>
      <c r="Z504" s="26" t="n">
        <v>-167</v>
      </c>
      <c r="AA504" s="28" t="n">
        <v>0.625</v>
      </c>
      <c r="AB504" s="28" t="n">
        <v>-0.000468</v>
      </c>
      <c r="AC504" s="30" t="n">
        <v>-1</v>
      </c>
      <c r="AD504" s="24" t="inlineStr">
        <is>
          <t>2026-09-05T04:37:19.292928Z</t>
        </is>
      </c>
      <c r="AE504" s="31" t="inlineStr">
        <is>
          <t>Surface-blended Elo on Hard: Stefanos Tsitsipas p=0.368 vs Jiri Lehecka. Executable ask 0.6250 (aec-atp-jirleh-stetsi-2026-09-04).</t>
        </is>
      </c>
      <c r="AF504" s="31" t="inlineStr">
        <is>
          <t>Surface-blended Elo model; singles only, WTA+ATP market coverage, not yet locked-holdout qualified -- promoted by explicit operator directive, not genuine walk-forward validation.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Stefanos Tsitsipas</t>
        </is>
      </c>
      <c r="AQ504" s="24" t="inlineStr">
        <is>
          <t>Stefanos Tsitsipas</t>
        </is>
      </c>
      <c r="AR504" s="24" t="inlineStr">
        <is>
          <t>Stefanos Tsitsipas</t>
        </is>
      </c>
      <c r="AS504" s="24" t="inlineStr">
        <is>
          <t>Jiri Lehecka</t>
        </is>
      </c>
      <c r="AT504" s="24" t="inlineStr">
        <is>
          <t>Jiri Lehecka</t>
        </is>
      </c>
      <c r="AU504" s="24" t="inlineStr">
        <is>
          <t>Jiri Lehecka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0ce66f49b381187fe6255a40ca2fdbfc155d5e36125ccf6d30fe81a72962eafa</t>
        </is>
      </c>
      <c r="BB504" s="24" t="inlineStr">
        <is>
          <t>surface_blended_elo</t>
        </is>
      </c>
      <c r="BC504" s="24" t="inlineStr">
        <is>
          <t>tennis-surface-elo-v1</t>
        </is>
      </c>
      <c r="BD504" s="24" t="inlineStr">
        <is>
          <t>0ce66f49b381187fe6255a40ca2fdbfc155d5e36125ccf6d30fe81a72962eafa</t>
        </is>
      </c>
      <c r="BE504" s="24" t="inlineStr">
        <is>
          <t>tennis-surface-elo-v1</t>
        </is>
      </c>
      <c r="BF504" s="24" t="inlineStr">
        <is>
          <t>1</t>
        </is>
      </c>
      <c r="BG504" s="24" t="inlineStr">
        <is>
          <t>0ce66f49b381187fe6255a40ca2fdbfc155d5e36125ccf6d30fe81a72962eafa</t>
        </is>
      </c>
      <c r="BH504" s="24" t="inlineStr">
        <is>
          <t>2026-09-04T16:12:01.451436Z</t>
        </is>
      </c>
      <c r="BI504" s="24" t="inlineStr">
        <is>
          <t>["same_event","same_team_same_day","same_league_same_day"]</t>
        </is>
      </c>
      <c r="BJ504" s="25" t="n"/>
      <c r="BK504" s="26" t="n">
        <v>-167</v>
      </c>
      <c r="BL504" s="27" t="n">
        <v>1.598802</v>
      </c>
      <c r="BM504" s="28" t="n">
        <v>0.625468</v>
      </c>
      <c r="BN504" s="28" t="n"/>
      <c r="BO504" s="28" t="n"/>
      <c r="BP504" s="25" t="n"/>
      <c r="BQ504" s="27" t="n">
        <v>1.598802</v>
      </c>
      <c r="BR504" s="28" t="n">
        <v>0.625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2026-09-05T04:37:19.292928Z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inlineStr">
        <is>
          <t>286ba3778d3788a1f97a5896047aa7427b2457431b1a80c4d3ea70aa3f354910</t>
        </is>
      </c>
      <c r="DE504" s="24" t="inlineStr">
        <is>
          <t>/Users/vincentc9002/model-prediction/data/odds/tennis/2026-09-04/polymarket_snapshots.jsonl</t>
        </is>
      </c>
      <c r="DF504" s="24" t="inlineStr">
        <is>
          <t>657498:2026-09-04T16:12:01.451436Z</t>
        </is>
      </c>
      <c r="DG504" s="24" t="n"/>
      <c r="DH504" s="24" t="n"/>
      <c r="DI504" s="24" t="n"/>
      <c r="DJ504" s="24" t="inlineStr">
        <is>
          <t>0.625468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d6e8c445dbbf4e57</t>
        </is>
      </c>
      <c r="B505" s="24" t="inlineStr">
        <is>
          <t>2026-09-04T22:03:43.914277Z</t>
        </is>
      </c>
      <c r="C505" s="24" t="inlineStr">
        <is>
          <t>2026-09-05T01:00Z</t>
        </is>
      </c>
      <c r="D505" s="24" t="inlineStr">
        <is>
          <t>189-2026:182529</t>
        </is>
      </c>
      <c r="E505" s="24" t="inlineStr">
        <is>
          <t>TENNIS</t>
        </is>
      </c>
      <c r="F505" s="24" t="inlineStr">
        <is>
          <t>Anna Kalinskaya</t>
        </is>
      </c>
      <c r="G505" s="24" t="inlineStr">
        <is>
          <t>Elina Svitolina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-251</v>
      </c>
      <c r="M505" s="27" t="n">
        <v>1.398406</v>
      </c>
      <c r="N505" s="28" t="n">
        <v>0.7151</v>
      </c>
      <c r="O505" s="28" t="n">
        <v>0.6619</v>
      </c>
      <c r="P505" s="28" t="n">
        <v>0.05</v>
      </c>
      <c r="Q505" s="28" t="n">
        <v>-0.0532</v>
      </c>
      <c r="R505" s="26" t="n">
        <v>0</v>
      </c>
      <c r="S505" s="29" t="n">
        <v>1</v>
      </c>
      <c r="T505" s="24" t="inlineStr">
        <is>
          <t>tennis-surface-elo-v1</t>
        </is>
      </c>
      <c r="U505" s="24" t="inlineStr">
        <is>
          <t>settled</t>
        </is>
      </c>
      <c r="V505" s="24" t="inlineStr">
        <is>
          <t>loss</t>
        </is>
      </c>
      <c r="W505" s="26" t="n">
        <v>1</v>
      </c>
      <c r="X505" s="26" t="n">
        <v>0</v>
      </c>
      <c r="Y505" s="25" t="n"/>
      <c r="Z505" s="26" t="n">
        <v>-251</v>
      </c>
      <c r="AA505" s="28" t="n">
        <v>0.715</v>
      </c>
      <c r="AB505" s="28" t="n">
        <v>-0.0001</v>
      </c>
      <c r="AC505" s="30" t="n">
        <v>-1</v>
      </c>
      <c r="AD505" s="24" t="inlineStr">
        <is>
          <t>2026-09-05T04:38:11.216891Z</t>
        </is>
      </c>
      <c r="AE505" s="31" t="inlineStr">
        <is>
          <t>Surface-blended Elo on Hard: Anna Kalinskaya p=0.338 vs Elina Svitolina. Executable ask 0.7150 (aec-wta-elisvi-annkal-2026-09-04).</t>
        </is>
      </c>
      <c r="AF505" s="31" t="inlineStr">
        <is>
          <t>Surface-blended Elo model; singles only, WTA+ATP market coverage, not yet locked-holdout qualified -- promoted by explicit operator directive, not genuine walk-forward validation.</t>
        </is>
      </c>
      <c r="AG505" s="24" t="inlineStr">
        <is>
          <t>review_required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Anna Kalinskaya</t>
        </is>
      </c>
      <c r="AQ505" s="24" t="inlineStr">
        <is>
          <t>Anna Kalinskaya</t>
        </is>
      </c>
      <c r="AR505" s="24" t="inlineStr">
        <is>
          <t>Anna Kalinskaya</t>
        </is>
      </c>
      <c r="AS505" s="24" t="inlineStr">
        <is>
          <t>Elina Svitolina</t>
        </is>
      </c>
      <c r="AT505" s="24" t="inlineStr">
        <is>
          <t>Elina Svitolina</t>
        </is>
      </c>
      <c r="AU505" s="24" t="inlineStr">
        <is>
          <t>Elina Svitolina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0ce66f49b381187fe6255a40ca2fdbfc155d5e36125ccf6d30fe81a72962eafa</t>
        </is>
      </c>
      <c r="BB505" s="24" t="inlineStr">
        <is>
          <t>surface_blended_elo</t>
        </is>
      </c>
      <c r="BC505" s="24" t="inlineStr">
        <is>
          <t>tennis-surface-elo-v1</t>
        </is>
      </c>
      <c r="BD505" s="24" t="inlineStr">
        <is>
          <t>0ce66f49b381187fe6255a40ca2fdbfc155d5e36125ccf6d30fe81a72962eafa</t>
        </is>
      </c>
      <c r="BE505" s="24" t="inlineStr">
        <is>
          <t>tennis-surface-elo-v1</t>
        </is>
      </c>
      <c r="BF505" s="24" t="inlineStr">
        <is>
          <t>1</t>
        </is>
      </c>
      <c r="BG505" s="24" t="inlineStr">
        <is>
          <t>0ce66f49b381187fe6255a40ca2fdbfc155d5e36125ccf6d30fe81a72962eafa</t>
        </is>
      </c>
      <c r="BH505" s="24" t="inlineStr">
        <is>
          <t>2026-09-04T22:02:55.860091Z</t>
        </is>
      </c>
      <c r="BI505" s="24" t="inlineStr">
        <is>
          <t>["same_event","same_team_same_day","same_league_same_day"]</t>
        </is>
      </c>
      <c r="BJ505" s="25" t="n"/>
      <c r="BK505" s="26" t="n">
        <v>-251</v>
      </c>
      <c r="BL505" s="27" t="n">
        <v>1.398406</v>
      </c>
      <c r="BM505" s="28" t="n">
        <v>0.7151</v>
      </c>
      <c r="BN505" s="28" t="n"/>
      <c r="BO505" s="28" t="n"/>
      <c r="BP505" s="25" t="n"/>
      <c r="BQ505" s="27" t="n">
        <v>1.398406</v>
      </c>
      <c r="BR505" s="28" t="n">
        <v>0.715</v>
      </c>
      <c r="BS505" s="28" t="n"/>
      <c r="BT505" s="28" t="n"/>
      <c r="BU505" s="25" t="n"/>
      <c r="BV505" s="29" t="n"/>
      <c r="BW505" s="24" t="n"/>
      <c r="BX505" s="30" t="n">
        <v>1</v>
      </c>
      <c r="BY505" s="27" t="n">
        <v>-1</v>
      </c>
      <c r="BZ505" s="24" t="inlineStr">
        <is>
          <t>2026-09-05T04:38:11.216891Z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inlineStr">
        <is>
          <t>3508ea74a3820f705d06fbb95329978c93191bb1ed6e2bc29d18d20758c4ca8c</t>
        </is>
      </c>
      <c r="DE505" s="24" t="inlineStr">
        <is>
          <t>/Users/vincentc9002/model-prediction/data/odds/tennis/2026-09-04/polymarket_snapshots.jsonl</t>
        </is>
      </c>
      <c r="DF505" s="24" t="inlineStr">
        <is>
          <t>657813:2026-09-04T22:02:55.860091Z</t>
        </is>
      </c>
      <c r="DG505" s="24" t="n"/>
      <c r="DH505" s="24" t="n"/>
      <c r="DI505" s="24" t="n"/>
      <c r="DJ505" s="24" t="inlineStr">
        <is>
          <t>0.7151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47e9b2b584304734</t>
        </is>
      </c>
      <c r="B506" s="24" t="inlineStr">
        <is>
          <t>2026-09-04T22:03:43.914277Z</t>
        </is>
      </c>
      <c r="C506" s="24" t="inlineStr">
        <is>
          <t>2026-09-04T23:00Z</t>
        </is>
      </c>
      <c r="D506" s="24" t="inlineStr">
        <is>
          <t>189-2026:182691</t>
        </is>
      </c>
      <c r="E506" s="24" t="inlineStr">
        <is>
          <t>TENNIS</t>
        </is>
      </c>
      <c r="F506" s="24" t="inlineStr">
        <is>
          <t>Frances Tiafoe</t>
        </is>
      </c>
      <c r="G506" s="24" t="inlineStr">
        <is>
          <t>Valentin Vacherot</t>
        </is>
      </c>
      <c r="H506" s="24" t="inlineStr">
        <is>
          <t>moneyline</t>
        </is>
      </c>
      <c r="I506" s="24" t="inlineStr">
        <is>
          <t>away</t>
        </is>
      </c>
      <c r="J506" s="25" t="n"/>
      <c r="K506" s="24" t="inlineStr">
        <is>
          <t>polymarket_us</t>
        </is>
      </c>
      <c r="L506" s="26" t="n">
        <v>-182</v>
      </c>
      <c r="M506" s="27" t="n">
        <v>1.549451</v>
      </c>
      <c r="N506" s="28" t="n">
        <v>0.64539</v>
      </c>
      <c r="O506" s="28" t="n">
        <v>0.7187</v>
      </c>
      <c r="P506" s="28" t="n">
        <v>0.05</v>
      </c>
      <c r="Q506" s="28" t="n">
        <v>0.07331</v>
      </c>
      <c r="R506" s="26" t="n">
        <v>57</v>
      </c>
      <c r="S506" s="29" t="n">
        <v>1.25</v>
      </c>
      <c r="T506" s="24" t="inlineStr">
        <is>
          <t>tennis-surface-elo-v1</t>
        </is>
      </c>
      <c r="U506" s="24" t="inlineStr">
        <is>
          <t>settled</t>
        </is>
      </c>
      <c r="V506" s="24" t="inlineStr">
        <is>
          <t>win</t>
        </is>
      </c>
      <c r="W506" s="26" t="n">
        <v>1</v>
      </c>
      <c r="X506" s="26" t="n">
        <v>0</v>
      </c>
      <c r="Y506" s="25" t="n"/>
      <c r="Z506" s="26" t="n">
        <v>-182</v>
      </c>
      <c r="AA506" s="28" t="n">
        <v>0.645</v>
      </c>
      <c r="AB506" s="28" t="n">
        <v>-0.00039</v>
      </c>
      <c r="AC506" s="30" t="n">
        <v>0.6868</v>
      </c>
      <c r="AD506" s="24" t="inlineStr">
        <is>
          <t>2026-09-05T04:38:12.323095Z</t>
        </is>
      </c>
      <c r="AE506" s="31" t="inlineStr">
        <is>
          <t>Surface-blended Elo on Hard: Frances Tiafoe p=0.719 vs Valentin Vacherot. Executable ask 0.6450 (aec-atp-valvac-fratia-2026-09-04).</t>
        </is>
      </c>
      <c r="AF506" s="31" t="inlineStr">
        <is>
          <t>Surface-blended Elo model; singles only, WTA+ATP market coverage, not yet locked-holdout qualified -- promoted by explicit operator directive, not genuine walk-forward validation.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Frances Tiafoe</t>
        </is>
      </c>
      <c r="AQ506" s="24" t="inlineStr">
        <is>
          <t>Frances Tiafoe</t>
        </is>
      </c>
      <c r="AR506" s="24" t="inlineStr">
        <is>
          <t>Frances Tiafoe</t>
        </is>
      </c>
      <c r="AS506" s="24" t="inlineStr">
        <is>
          <t>Valentin Vacherot</t>
        </is>
      </c>
      <c r="AT506" s="24" t="inlineStr">
        <is>
          <t>Valentin Vacherot</t>
        </is>
      </c>
      <c r="AU506" s="24" t="inlineStr">
        <is>
          <t>Valentin Vacherot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0ce66f49b381187fe6255a40ca2fdbfc155d5e36125ccf6d30fe81a72962eafa</t>
        </is>
      </c>
      <c r="BB506" s="24" t="inlineStr">
        <is>
          <t>surface_blended_elo</t>
        </is>
      </c>
      <c r="BC506" s="24" t="inlineStr">
        <is>
          <t>tennis-surface-elo-v1</t>
        </is>
      </c>
      <c r="BD506" s="24" t="inlineStr">
        <is>
          <t>0ce66f49b381187fe6255a40ca2fdbfc155d5e36125ccf6d30fe81a72962eafa</t>
        </is>
      </c>
      <c r="BE506" s="24" t="inlineStr">
        <is>
          <t>tennis-surface-elo-v1</t>
        </is>
      </c>
      <c r="BF506" s="24" t="inlineStr">
        <is>
          <t>1</t>
        </is>
      </c>
      <c r="BG506" s="24" t="inlineStr">
        <is>
          <t>0ce66f49b381187fe6255a40ca2fdbfc155d5e36125ccf6d30fe81a72962eafa</t>
        </is>
      </c>
      <c r="BH506" s="24" t="inlineStr">
        <is>
          <t>2026-09-04T22:02:56.604861Z</t>
        </is>
      </c>
      <c r="BI506" s="24" t="inlineStr">
        <is>
          <t>["same_event","same_team_same_day","same_league_same_day"]</t>
        </is>
      </c>
      <c r="BJ506" s="25" t="n"/>
      <c r="BK506" s="26" t="n">
        <v>-182</v>
      </c>
      <c r="BL506" s="27" t="n">
        <v>1.549451</v>
      </c>
      <c r="BM506" s="28" t="n">
        <v>0.64539</v>
      </c>
      <c r="BN506" s="28" t="n"/>
      <c r="BO506" s="28" t="n"/>
      <c r="BP506" s="25" t="n"/>
      <c r="BQ506" s="27" t="n">
        <v>1.549451</v>
      </c>
      <c r="BR506" s="28" t="n">
        <v>0.645</v>
      </c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inlineStr">
        <is>
          <t>5ea3f00128b814070f0bbdf8fd357ee4c0b7cc14e5115f5c32b3c6c941e3676f</t>
        </is>
      </c>
      <c r="DE506" s="24" t="inlineStr">
        <is>
          <t>/Users/vincentc9002/model-prediction/data/odds/tennis/2026-09-04/polymarket_snapshots.jsonl</t>
        </is>
      </c>
      <c r="DF506" s="24" t="inlineStr">
        <is>
          <t>657861:2026-09-04T22:02:56.604861Z</t>
        </is>
      </c>
      <c r="DG506" s="24" t="n"/>
      <c r="DH506" s="24" t="n"/>
      <c r="DI506" s="24" t="n"/>
      <c r="DJ506" s="24" t="inlineStr">
        <is>
          <t>0.64539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a41f25692d0c4456</t>
        </is>
      </c>
      <c r="B507" s="24" t="inlineStr">
        <is>
          <t>2026-09-04T22:03:43.914277Z</t>
        </is>
      </c>
      <c r="C507" s="24" t="inlineStr">
        <is>
          <t>2026-09-05T00:30Z</t>
        </is>
      </c>
      <c r="D507" s="24" t="inlineStr">
        <is>
          <t>189-2026:182745</t>
        </is>
      </c>
      <c r="E507" s="24" t="inlineStr">
        <is>
          <t>TENNIS</t>
        </is>
      </c>
      <c r="F507" s="24" t="inlineStr">
        <is>
          <t>Denis Shapovalov</t>
        </is>
      </c>
      <c r="G507" s="24" t="inlineStr">
        <is>
          <t>Ben Shelton</t>
        </is>
      </c>
      <c r="H507" s="24" t="inlineStr">
        <is>
          <t>moneyline</t>
        </is>
      </c>
      <c r="I507" s="24" t="inlineStr">
        <is>
          <t>home</t>
        </is>
      </c>
      <c r="J507" s="25" t="n"/>
      <c r="K507" s="24" t="inlineStr">
        <is>
          <t>polymarket_us</t>
        </is>
      </c>
      <c r="L507" s="26" t="n">
        <v>-365</v>
      </c>
      <c r="M507" s="27" t="n">
        <v>1.273973</v>
      </c>
      <c r="N507" s="28" t="n">
        <v>0.784946</v>
      </c>
      <c r="O507" s="28" t="n">
        <v>0.7947</v>
      </c>
      <c r="P507" s="28" t="n">
        <v>0.05</v>
      </c>
      <c r="Q507" s="28" t="n">
        <v>0.009754000000000001</v>
      </c>
      <c r="R507" s="26" t="n">
        <v>25</v>
      </c>
      <c r="S507" s="29" t="n">
        <v>1</v>
      </c>
      <c r="T507" s="24" t="inlineStr">
        <is>
          <t>tennis-surface-elo-v1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1</v>
      </c>
      <c r="Y507" s="25" t="n"/>
      <c r="Z507" s="26" t="n">
        <v>-365</v>
      </c>
      <c r="AA507" s="28" t="n">
        <v>0.785</v>
      </c>
      <c r="AB507" s="28" t="n">
        <v>5.4e-05</v>
      </c>
      <c r="AC507" s="30" t="n">
        <v>0.274</v>
      </c>
      <c r="AD507" s="24" t="inlineStr">
        <is>
          <t>2026-09-05T10:00:17.032061Z</t>
        </is>
      </c>
      <c r="AE507" s="31" t="inlineStr">
        <is>
          <t>Surface-blended Elo on Hard: Denis Shapovalov p=0.205 vs Ben Shelton. Executable ask 0.7850 (aec-atp-benshe-densha-2026-09-04).</t>
        </is>
      </c>
      <c r="AF507" s="31" t="inlineStr">
        <is>
          <t>Surface-blended Elo model; singles only, WTA+ATP market coverage, not yet locked-holdout qualified -- promoted by explicit operator directive, not genuine walk-forward validation.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Denis Shapovalov</t>
        </is>
      </c>
      <c r="AQ507" s="24" t="inlineStr">
        <is>
          <t>Denis Shapovalov</t>
        </is>
      </c>
      <c r="AR507" s="24" t="inlineStr">
        <is>
          <t>Denis Shapovalov</t>
        </is>
      </c>
      <c r="AS507" s="24" t="inlineStr">
        <is>
          <t>Ben Shelton</t>
        </is>
      </c>
      <c r="AT507" s="24" t="inlineStr">
        <is>
          <t>Ben Shelton</t>
        </is>
      </c>
      <c r="AU507" s="24" t="inlineStr">
        <is>
          <t>Ben Shelton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0ce66f49b381187fe6255a40ca2fdbfc155d5e36125ccf6d30fe81a72962eafa</t>
        </is>
      </c>
      <c r="BB507" s="24" t="inlineStr">
        <is>
          <t>surface_blended_elo</t>
        </is>
      </c>
      <c r="BC507" s="24" t="inlineStr">
        <is>
          <t>tennis-surface-elo-v1</t>
        </is>
      </c>
      <c r="BD507" s="24" t="inlineStr">
        <is>
          <t>0ce66f49b381187fe6255a40ca2fdbfc155d5e36125ccf6d30fe81a72962eafa</t>
        </is>
      </c>
      <c r="BE507" s="24" t="inlineStr">
        <is>
          <t>tennis-surface-elo-v1</t>
        </is>
      </c>
      <c r="BF507" s="24" t="inlineStr">
        <is>
          <t>1</t>
        </is>
      </c>
      <c r="BG507" s="24" t="inlineStr">
        <is>
          <t>0ce66f49b381187fe6255a40ca2fdbfc155d5e36125ccf6d30fe81a72962eafa</t>
        </is>
      </c>
      <c r="BH507" s="24" t="inlineStr">
        <is>
          <t>2026-09-04T22:02:57.260261Z</t>
        </is>
      </c>
      <c r="BI507" s="24" t="inlineStr">
        <is>
          <t>["same_event","same_team_same_day","same_league_same_day"]</t>
        </is>
      </c>
      <c r="BJ507" s="25" t="n"/>
      <c r="BK507" s="26" t="n">
        <v>-365</v>
      </c>
      <c r="BL507" s="27" t="n">
        <v>1.273973</v>
      </c>
      <c r="BM507" s="28" t="n">
        <v>0.784946</v>
      </c>
      <c r="BN507" s="28" t="n"/>
      <c r="BO507" s="28" t="n"/>
      <c r="BP507" s="25" t="n"/>
      <c r="BQ507" s="27" t="n">
        <v>1.273973</v>
      </c>
      <c r="BR507" s="28" t="n">
        <v>0.785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0.273973</v>
      </c>
      <c r="BZ507" s="24" t="inlineStr">
        <is>
          <t>2026-09-05T10:00:17.032061Z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inlineStr">
        <is>
          <t>b2d636f3d1ecf7a660740eb2fb6ab243fe8ab68488a5c1de7d7a8fd87f664673</t>
        </is>
      </c>
      <c r="DE507" s="24" t="inlineStr">
        <is>
          <t>/Users/vincentc9002/model-prediction/data/odds/tennis/2026-09-04/polymarket_snapshots.jsonl</t>
        </is>
      </c>
      <c r="DF507" s="24" t="inlineStr">
        <is>
          <t>657268:2026-09-04T22:02:57.260261Z</t>
        </is>
      </c>
      <c r="DG507" s="24" t="n"/>
      <c r="DH507" s="24" t="n"/>
      <c r="DI507" s="24" t="n"/>
      <c r="DJ507" s="24" t="inlineStr">
        <is>
          <t>0.784946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aa0cafab7acb43ca</t>
        </is>
      </c>
      <c r="B508" s="24" t="inlineStr">
        <is>
          <t>2026-09-05T10:05:15.845406Z</t>
        </is>
      </c>
      <c r="C508" s="24" t="inlineStr">
        <is>
          <t>2026-09-05T15:00Z</t>
        </is>
      </c>
      <c r="D508" s="24" t="inlineStr">
        <is>
          <t>189-2026:182540</t>
        </is>
      </c>
      <c r="E508" s="24" t="inlineStr">
        <is>
          <t>TENNIS</t>
        </is>
      </c>
      <c r="F508" s="24" t="inlineStr">
        <is>
          <t>Amanda Anisimova</t>
        </is>
      </c>
      <c r="G508" s="24" t="inlineStr">
        <is>
          <t>Anastasia Potapova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polymarket_us</t>
        </is>
      </c>
      <c r="L508" s="26" t="n">
        <v>-525</v>
      </c>
      <c r="M508" s="27" t="n">
        <v>1.190476</v>
      </c>
      <c r="N508" s="28" t="n">
        <v>0.84</v>
      </c>
      <c r="O508" s="28" t="n">
        <v>0.7475000000000001</v>
      </c>
      <c r="P508" s="28" t="n">
        <v>0.05</v>
      </c>
      <c r="Q508" s="28" t="n">
        <v>-0.0925</v>
      </c>
      <c r="R508" s="26" t="n">
        <v>0</v>
      </c>
      <c r="S508" s="29" t="n">
        <v>1</v>
      </c>
      <c r="T508" s="24" t="inlineStr">
        <is>
          <t>tennis-surface-elo-v1</t>
        </is>
      </c>
      <c r="U508" s="24" t="inlineStr">
        <is>
          <t>settled</t>
        </is>
      </c>
      <c r="V508" s="24" t="inlineStr">
        <is>
          <t>loss</t>
        </is>
      </c>
      <c r="W508" s="26" t="n">
        <v>0</v>
      </c>
      <c r="X508" s="26" t="n">
        <v>1</v>
      </c>
      <c r="Y508" s="25" t="n"/>
      <c r="Z508" s="26" t="n">
        <v>-525</v>
      </c>
      <c r="AA508" s="28" t="n">
        <v>0.84</v>
      </c>
      <c r="AB508" s="28" t="n">
        <v>0</v>
      </c>
      <c r="AC508" s="30" t="n">
        <v>-1</v>
      </c>
      <c r="AD508" s="24" t="inlineStr">
        <is>
          <t>2026-09-05T22:00:15.348186Z</t>
        </is>
      </c>
      <c r="AE508" s="31" t="inlineStr">
        <is>
          <t>Surface-blended Elo on Hard: Amanda Anisimova p=0.747 vs Anastasia Potapova. Executable ask 0.8400 (aec-wta-anapot-amaani-2026-09-04).</t>
        </is>
      </c>
      <c r="AF508" s="31" t="inlineStr">
        <is>
          <t>Surface-blended Elo model; singles only, WTA+ATP market coverage, not yet locked-holdout qualified -- promoted by explicit operator directive, not genuine walk-forward validation.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Amanda Anisimova</t>
        </is>
      </c>
      <c r="AQ508" s="24" t="inlineStr">
        <is>
          <t>Amanda Anisimova</t>
        </is>
      </c>
      <c r="AR508" s="24" t="inlineStr">
        <is>
          <t>Amanda Anisimova</t>
        </is>
      </c>
      <c r="AS508" s="24" t="inlineStr">
        <is>
          <t>Anastasia Potapova</t>
        </is>
      </c>
      <c r="AT508" s="24" t="inlineStr">
        <is>
          <t>Anastasia Potapova</t>
        </is>
      </c>
      <c r="AU508" s="24" t="inlineStr">
        <is>
          <t>Anastasia Potapova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0ce66f49b381187fe6255a40ca2fdbfc155d5e36125ccf6d30fe81a72962eafa</t>
        </is>
      </c>
      <c r="BB508" s="24" t="inlineStr">
        <is>
          <t>surface_blended_elo</t>
        </is>
      </c>
      <c r="BC508" s="24" t="inlineStr">
        <is>
          <t>tennis-surface-elo-v1</t>
        </is>
      </c>
      <c r="BD508" s="24" t="inlineStr">
        <is>
          <t>0ce66f49b381187fe6255a40ca2fdbfc155d5e36125ccf6d30fe81a72962eafa</t>
        </is>
      </c>
      <c r="BE508" s="24" t="inlineStr">
        <is>
          <t>tennis-surface-elo-v1</t>
        </is>
      </c>
      <c r="BF508" s="24" t="inlineStr">
        <is>
          <t>1</t>
        </is>
      </c>
      <c r="BG508" s="24" t="inlineStr">
        <is>
          <t>0ce66f49b381187fe6255a40ca2fdbfc155d5e36125ccf6d30fe81a72962eafa</t>
        </is>
      </c>
      <c r="BH508" s="24" t="inlineStr">
        <is>
          <t>2026-09-05T10:04:26.638642Z</t>
        </is>
      </c>
      <c r="BI508" s="24" t="inlineStr">
        <is>
          <t>["same_event","same_team_same_day","same_league_same_day"]</t>
        </is>
      </c>
      <c r="BJ508" s="25" t="n"/>
      <c r="BK508" s="26" t="n">
        <v>-525</v>
      </c>
      <c r="BL508" s="27" t="n">
        <v>1.190476</v>
      </c>
      <c r="BM508" s="28" t="n">
        <v>0.84</v>
      </c>
      <c r="BN508" s="28" t="n"/>
      <c r="BO508" s="28" t="n"/>
      <c r="BP508" s="25" t="n"/>
      <c r="BQ508" s="27" t="n">
        <v>1.190476</v>
      </c>
      <c r="BR508" s="28" t="n">
        <v>0.84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-1</v>
      </c>
      <c r="BZ508" s="24" t="inlineStr">
        <is>
          <t>2026-09-05T22:00:15.348186Z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inlineStr">
        <is>
          <t>72376085bdf5ac7c300f2b6ee5112811b6b2f7e55f45501b3d44b400f7d13435</t>
        </is>
      </c>
      <c r="DE508" s="24" t="inlineStr">
        <is>
          <t>/Users/vincentc9002/model-prediction/data/odds/tennis/2026-09-05/polymarket_snapshots.jsonl</t>
        </is>
      </c>
      <c r="DF508" s="24" t="inlineStr">
        <is>
          <t>663894:2026-09-05T10:04:26.638642Z</t>
        </is>
      </c>
      <c r="DG508" s="24" t="n"/>
      <c r="DH508" s="24" t="n"/>
      <c r="DI508" s="24" t="n"/>
      <c r="DJ508" s="24" t="inlineStr">
        <is>
          <t>0.84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41ae900133a9407d</t>
        </is>
      </c>
      <c r="B509" s="24" t="inlineStr">
        <is>
          <t>2026-09-05T10:05:15.845406Z</t>
        </is>
      </c>
      <c r="C509" s="24" t="inlineStr">
        <is>
          <t>2026-09-05T15:00Z</t>
        </is>
      </c>
      <c r="D509" s="24" t="inlineStr">
        <is>
          <t>189-2026:182560</t>
        </is>
      </c>
      <c r="E509" s="24" t="inlineStr">
        <is>
          <t>TENNIS</t>
        </is>
      </c>
      <c r="F509" s="24" t="inlineStr">
        <is>
          <t>Zheng Qinwen</t>
        </is>
      </c>
      <c r="G509" s="24" t="inlineStr">
        <is>
          <t>Madison Keys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-150</v>
      </c>
      <c r="M509" s="27" t="n">
        <v>1.666667</v>
      </c>
      <c r="N509" s="28" t="n">
        <v>0.6</v>
      </c>
      <c r="O509" s="28" t="n">
        <v>0.5957</v>
      </c>
      <c r="P509" s="28" t="n">
        <v>0.05</v>
      </c>
      <c r="Q509" s="28" t="n">
        <v>-0.0043</v>
      </c>
      <c r="R509" s="26" t="n">
        <v>18</v>
      </c>
      <c r="S509" s="29" t="n">
        <v>1</v>
      </c>
      <c r="T509" s="24" t="inlineStr">
        <is>
          <t>tennis-surface-elo-v1</t>
        </is>
      </c>
      <c r="U509" s="24" t="inlineStr">
        <is>
          <t>settled</t>
        </is>
      </c>
      <c r="V509" s="24" t="inlineStr">
        <is>
          <t>loss</t>
        </is>
      </c>
      <c r="W509" s="26" t="n">
        <v>1</v>
      </c>
      <c r="X509" s="26" t="n">
        <v>0</v>
      </c>
      <c r="Y509" s="25" t="n"/>
      <c r="Z509" s="26" t="n">
        <v>-150</v>
      </c>
      <c r="AA509" s="28" t="n">
        <v>0.6</v>
      </c>
      <c r="AB509" s="28" t="n">
        <v>0</v>
      </c>
      <c r="AC509" s="30" t="n">
        <v>-1</v>
      </c>
      <c r="AD509" s="24" t="inlineStr">
        <is>
          <t>2026-09-05T22:00:16.349143Z</t>
        </is>
      </c>
      <c r="AE509" s="31" t="inlineStr">
        <is>
          <t>Surface-blended Elo on Hard: Zheng Qinwen p=0.404 vs Madison Keys. Executable ask 0.6000 (aec-wta-madkey-qinzhe-2026-09-04).</t>
        </is>
      </c>
      <c r="AF509" s="31" t="inlineStr">
        <is>
          <t>Surface-blended Elo model; singles only, WTA+ATP market coverage, not yet locked-holdout qualified -- promoted by explicit operator directive, not genuine walk-forward validation.</t>
        </is>
      </c>
      <c r="AG509" s="24" t="inlineStr">
        <is>
          <t>review_required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Zheng Qinwen</t>
        </is>
      </c>
      <c r="AQ509" s="24" t="inlineStr">
        <is>
          <t>Zheng Qinwen</t>
        </is>
      </c>
      <c r="AR509" s="24" t="inlineStr">
        <is>
          <t>Zheng Qinwen</t>
        </is>
      </c>
      <c r="AS509" s="24" t="inlineStr">
        <is>
          <t>Madison Keys</t>
        </is>
      </c>
      <c r="AT509" s="24" t="inlineStr">
        <is>
          <t>Madison Keys</t>
        </is>
      </c>
      <c r="AU509" s="24" t="inlineStr">
        <is>
          <t>Madison Keys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0ce66f49b381187fe6255a40ca2fdbfc155d5e36125ccf6d30fe81a72962eafa</t>
        </is>
      </c>
      <c r="BB509" s="24" t="inlineStr">
        <is>
          <t>surface_blended_elo</t>
        </is>
      </c>
      <c r="BC509" s="24" t="inlineStr">
        <is>
          <t>tennis-surface-elo-v1</t>
        </is>
      </c>
      <c r="BD509" s="24" t="inlineStr">
        <is>
          <t>0ce66f49b381187fe6255a40ca2fdbfc155d5e36125ccf6d30fe81a72962eafa</t>
        </is>
      </c>
      <c r="BE509" s="24" t="inlineStr">
        <is>
          <t>tennis-surface-elo-v1</t>
        </is>
      </c>
      <c r="BF509" s="24" t="inlineStr">
        <is>
          <t>1</t>
        </is>
      </c>
      <c r="BG509" s="24" t="inlineStr">
        <is>
          <t>0ce66f49b381187fe6255a40ca2fdbfc155d5e36125ccf6d30fe81a72962eafa</t>
        </is>
      </c>
      <c r="BH509" s="24" t="inlineStr">
        <is>
          <t>2026-09-05T10:04:26.548364Z</t>
        </is>
      </c>
      <c r="BI509" s="24" t="inlineStr">
        <is>
          <t>["same_event","same_team_same_day","same_league_same_day"]</t>
        </is>
      </c>
      <c r="BJ509" s="25" t="n"/>
      <c r="BK509" s="26" t="n">
        <v>-150</v>
      </c>
      <c r="BL509" s="27" t="n">
        <v>1.666667</v>
      </c>
      <c r="BM509" s="28" t="n">
        <v>0.6</v>
      </c>
      <c r="BN509" s="28" t="n"/>
      <c r="BO509" s="28" t="n"/>
      <c r="BP509" s="25" t="n"/>
      <c r="BQ509" s="27" t="n">
        <v>1.666667</v>
      </c>
      <c r="BR509" s="28" t="n">
        <v>0.6</v>
      </c>
      <c r="BS509" s="28" t="n"/>
      <c r="BT509" s="28" t="n"/>
      <c r="BU509" s="25" t="n"/>
      <c r="BV509" s="29" t="n"/>
      <c r="BW509" s="24" t="n"/>
      <c r="BX509" s="30" t="n">
        <v>1</v>
      </c>
      <c r="BY509" s="27" t="n">
        <v>-1</v>
      </c>
      <c r="BZ509" s="24" t="inlineStr">
        <is>
          <t>2026-09-05T22:00:16.349143Z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inlineStr">
        <is>
          <t>48388dba5059025052bb229172b2216719f7b504c1a80ed29fece873b5fe770c</t>
        </is>
      </c>
      <c r="DE509" s="24" t="inlineStr">
        <is>
          <t>/Users/vincentc9002/model-prediction/data/odds/tennis/2026-09-05/polymarket_snapshots.jsonl</t>
        </is>
      </c>
      <c r="DF509" s="24" t="inlineStr">
        <is>
          <t>665656:2026-09-05T10:04:26.548364Z</t>
        </is>
      </c>
      <c r="DG509" s="24" t="n"/>
      <c r="DH509" s="24" t="n"/>
      <c r="DI509" s="24" t="n"/>
      <c r="DJ509" s="24" t="inlineStr">
        <is>
          <t>0.6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1efcce55fb5944bd</t>
        </is>
      </c>
      <c r="B510" s="24" t="inlineStr">
        <is>
          <t>2026-09-05T10:05:15.845406Z</t>
        </is>
      </c>
      <c r="C510" s="24" t="inlineStr">
        <is>
          <t>2026-09-05T15:30Z</t>
        </is>
      </c>
      <c r="D510" s="24" t="inlineStr">
        <is>
          <t>189-2026:182727</t>
        </is>
      </c>
      <c r="E510" s="24" t="inlineStr">
        <is>
          <t>TENNIS</t>
        </is>
      </c>
      <c r="F510" s="24" t="inlineStr">
        <is>
          <t>Francisco Cerundolo</t>
        </is>
      </c>
      <c r="G510" s="24" t="inlineStr">
        <is>
          <t>Taylor Fritz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-614</v>
      </c>
      <c r="M510" s="27" t="n">
        <v>1.162866</v>
      </c>
      <c r="N510" s="28" t="n">
        <v>0.859944</v>
      </c>
      <c r="O510" s="28" t="n">
        <v>0.5492</v>
      </c>
      <c r="P510" s="28" t="n">
        <v>0.05</v>
      </c>
      <c r="Q510" s="28" t="n">
        <v>-0.310744</v>
      </c>
      <c r="R510" s="26" t="n">
        <v>0</v>
      </c>
      <c r="S510" s="29" t="n">
        <v>1</v>
      </c>
      <c r="T510" s="24" t="inlineStr">
        <is>
          <t>tennis-surface-elo-v1</t>
        </is>
      </c>
      <c r="U510" s="24" t="inlineStr">
        <is>
          <t>settled</t>
        </is>
      </c>
      <c r="V510" s="24" t="inlineStr">
        <is>
          <t>loss</t>
        </is>
      </c>
      <c r="W510" s="26" t="n">
        <v>1</v>
      </c>
      <c r="X510" s="26" t="n">
        <v>0</v>
      </c>
      <c r="Y510" s="25" t="n"/>
      <c r="Z510" s="26" t="n">
        <v>-614</v>
      </c>
      <c r="AA510" s="28" t="n">
        <v>0.86</v>
      </c>
      <c r="AB510" s="28" t="n">
        <v>5.6e-05</v>
      </c>
      <c r="AC510" s="30" t="n">
        <v>-1</v>
      </c>
      <c r="AD510" s="24" t="inlineStr">
        <is>
          <t>2026-09-05T22:00:17.343233Z</t>
        </is>
      </c>
      <c r="AE510" s="31" t="inlineStr">
        <is>
          <t>Surface-blended Elo on Hard: Francisco Cerundolo p=0.451 vs Taylor Fritz. Executable ask 0.8600 (aec-atp-tayfri-fracer-2026-09-04).</t>
        </is>
      </c>
      <c r="AF510" s="31" t="inlineStr">
        <is>
          <t>Surface-blended Elo model; singles only, WTA+ATP market coverage, not yet locked-holdout qualified -- promoted by explicit operator directive, not genuine walk-forward validation.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Francisco Cerundolo</t>
        </is>
      </c>
      <c r="AQ510" s="24" t="inlineStr">
        <is>
          <t>Francisco Cerundolo</t>
        </is>
      </c>
      <c r="AR510" s="24" t="inlineStr">
        <is>
          <t>Francisco Cerundolo</t>
        </is>
      </c>
      <c r="AS510" s="24" t="inlineStr">
        <is>
          <t>Taylor Fritz</t>
        </is>
      </c>
      <c r="AT510" s="24" t="inlineStr">
        <is>
          <t>Taylor Fritz</t>
        </is>
      </c>
      <c r="AU510" s="24" t="inlineStr">
        <is>
          <t>Taylor Fritz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0ce66f49b381187fe6255a40ca2fdbfc155d5e36125ccf6d30fe81a72962eafa</t>
        </is>
      </c>
      <c r="BB510" s="24" t="inlineStr">
        <is>
          <t>surface_blended_elo</t>
        </is>
      </c>
      <c r="BC510" s="24" t="inlineStr">
        <is>
          <t>tennis-surface-elo-v1</t>
        </is>
      </c>
      <c r="BD510" s="24" t="inlineStr">
        <is>
          <t>0ce66f49b381187fe6255a40ca2fdbfc155d5e36125ccf6d30fe81a72962eafa</t>
        </is>
      </c>
      <c r="BE510" s="24" t="inlineStr">
        <is>
          <t>tennis-surface-elo-v1</t>
        </is>
      </c>
      <c r="BF510" s="24" t="inlineStr">
        <is>
          <t>1</t>
        </is>
      </c>
      <c r="BG510" s="24" t="inlineStr">
        <is>
          <t>0ce66f49b381187fe6255a40ca2fdbfc155d5e36125ccf6d30fe81a72962eafa</t>
        </is>
      </c>
      <c r="BH510" s="24" t="inlineStr">
        <is>
          <t>2026-09-05T10:04:28.685508Z</t>
        </is>
      </c>
      <c r="BI510" s="24" t="inlineStr">
        <is>
          <t>["same_event","same_team_same_day","same_league_same_day"]</t>
        </is>
      </c>
      <c r="BJ510" s="25" t="n"/>
      <c r="BK510" s="26" t="n">
        <v>-614</v>
      </c>
      <c r="BL510" s="27" t="n">
        <v>1.162866</v>
      </c>
      <c r="BM510" s="28" t="n">
        <v>0.859944</v>
      </c>
      <c r="BN510" s="28" t="n"/>
      <c r="BO510" s="28" t="n"/>
      <c r="BP510" s="25" t="n"/>
      <c r="BQ510" s="27" t="n">
        <v>1.162866</v>
      </c>
      <c r="BR510" s="28" t="n">
        <v>0.86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2026-09-05T22:00:17.343233Z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inlineStr">
        <is>
          <t>fc8c4f5f69f13c4166feac185f5ad24f93487b0b7f1a035747d04358e8244725</t>
        </is>
      </c>
      <c r="DE510" s="24" t="inlineStr">
        <is>
          <t>/Users/vincentc9002/model-prediction/data/odds/tennis/2026-09-05/polymarket_snapshots.jsonl</t>
        </is>
      </c>
      <c r="DF510" s="24" t="inlineStr">
        <is>
          <t>665159:2026-09-05T10:04:28.685508Z</t>
        </is>
      </c>
      <c r="DG510" s="24" t="n"/>
      <c r="DH510" s="24" t="n"/>
      <c r="DI510" s="24" t="n"/>
      <c r="DJ510" s="24" t="inlineStr">
        <is>
          <t>0.859944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c589333d8fa54472</t>
        </is>
      </c>
      <c r="B511" s="24" t="inlineStr">
        <is>
          <t>2026-09-05T16:05:16.623786Z</t>
        </is>
      </c>
      <c r="C511" s="24" t="inlineStr">
        <is>
          <t>2026-09-05T16:30Z</t>
        </is>
      </c>
      <c r="D511" s="24" t="inlineStr">
        <is>
          <t>189-2026:182536</t>
        </is>
      </c>
      <c r="E511" s="24" t="inlineStr">
        <is>
          <t>TENNIS</t>
        </is>
      </c>
      <c r="F511" s="24" t="inlineStr">
        <is>
          <t>Nikola Bartunkova</t>
        </is>
      </c>
      <c r="G511" s="24" t="inlineStr">
        <is>
          <t>Mirra Andreeva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-400</v>
      </c>
      <c r="M511" s="27" t="n">
        <v>1.25</v>
      </c>
      <c r="N511" s="28" t="n">
        <v>0.8</v>
      </c>
      <c r="O511" s="28" t="n">
        <v>0.6812</v>
      </c>
      <c r="P511" s="28" t="n">
        <v>0.05</v>
      </c>
      <c r="Q511" s="28" t="n">
        <v>-0.1188</v>
      </c>
      <c r="R511" s="26" t="n">
        <v>0</v>
      </c>
      <c r="S511" s="29" t="n">
        <v>1</v>
      </c>
      <c r="T511" s="24" t="inlineStr">
        <is>
          <t>tennis-surface-elo-v1</t>
        </is>
      </c>
      <c r="U511" s="24" t="inlineStr">
        <is>
          <t>settled</t>
        </is>
      </c>
      <c r="V511" s="24" t="inlineStr">
        <is>
          <t>win</t>
        </is>
      </c>
      <c r="W511" s="26" t="n">
        <v>0</v>
      </c>
      <c r="X511" s="26" t="n">
        <v>1</v>
      </c>
      <c r="Y511" s="25" t="n"/>
      <c r="Z511" s="26" t="n">
        <v>-400</v>
      </c>
      <c r="AA511" s="28" t="n">
        <v>0.8</v>
      </c>
      <c r="AB511" s="28" t="n">
        <v>0</v>
      </c>
      <c r="AC511" s="30" t="n">
        <v>0.25</v>
      </c>
      <c r="AD511" s="24" t="inlineStr">
        <is>
          <t>2026-09-05T22:00:30.189423Z</t>
        </is>
      </c>
      <c r="AE511" s="31" t="inlineStr">
        <is>
          <t>Surface-blended Elo on Hard: Nikola Bartunkova p=0.319 vs Mirra Andreeva. Executable ask 0.8000 (aec-wta-mirand-nikbar-2026-09-04).</t>
        </is>
      </c>
      <c r="AF511" s="31" t="inlineStr">
        <is>
          <t>Surface-blended Elo model; singles only, WTA+ATP market coverage, not yet locked-holdout qualified -- promoted by explicit operator directive, not genuine walk-forward validation.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Nikola Bartunkova</t>
        </is>
      </c>
      <c r="AQ511" s="24" t="inlineStr">
        <is>
          <t>Nikola Bartunkova</t>
        </is>
      </c>
      <c r="AR511" s="24" t="inlineStr">
        <is>
          <t>Nikola Bartunkova</t>
        </is>
      </c>
      <c r="AS511" s="24" t="inlineStr">
        <is>
          <t>Mirra Andreeva</t>
        </is>
      </c>
      <c r="AT511" s="24" t="inlineStr">
        <is>
          <t>Mirra Andreeva</t>
        </is>
      </c>
      <c r="AU511" s="24" t="inlineStr">
        <is>
          <t>Mirra Andreeva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0ce66f49b381187fe6255a40ca2fdbfc155d5e36125ccf6d30fe81a72962eafa</t>
        </is>
      </c>
      <c r="BB511" s="24" t="inlineStr">
        <is>
          <t>surface_blended_elo</t>
        </is>
      </c>
      <c r="BC511" s="24" t="inlineStr">
        <is>
          <t>tennis-surface-elo-v1</t>
        </is>
      </c>
      <c r="BD511" s="24" t="inlineStr">
        <is>
          <t>0ce66f49b381187fe6255a40ca2fdbfc155d5e36125ccf6d30fe81a72962eafa</t>
        </is>
      </c>
      <c r="BE511" s="24" t="inlineStr">
        <is>
          <t>tennis-surface-elo-v1</t>
        </is>
      </c>
      <c r="BF511" s="24" t="inlineStr">
        <is>
          <t>1</t>
        </is>
      </c>
      <c r="BG511" s="24" t="inlineStr">
        <is>
          <t>0ce66f49b381187fe6255a40ca2fdbfc155d5e36125ccf6d30fe81a72962eafa</t>
        </is>
      </c>
      <c r="BH511" s="24" t="inlineStr">
        <is>
          <t>2026-09-05T16:04:30.622379Z</t>
        </is>
      </c>
      <c r="BI511" s="24" t="inlineStr">
        <is>
          <t>["same_event","same_team_same_day","same_league_same_day"]</t>
        </is>
      </c>
      <c r="BJ511" s="25" t="n"/>
      <c r="BK511" s="26" t="n">
        <v>-400</v>
      </c>
      <c r="BL511" s="27" t="n">
        <v>1.25</v>
      </c>
      <c r="BM511" s="28" t="n">
        <v>0.8</v>
      </c>
      <c r="BN511" s="28" t="n"/>
      <c r="BO511" s="28" t="n"/>
      <c r="BP511" s="25" t="n"/>
      <c r="BQ511" s="27" t="n">
        <v>1.25</v>
      </c>
      <c r="BR511" s="28" t="n">
        <v>0.8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0.25</v>
      </c>
      <c r="BZ511" s="24" t="inlineStr">
        <is>
          <t>2026-09-05T22:00:30.189423Z</t>
        </is>
      </c>
      <c r="CA511" s="31" t="inlineStr">
        <is>
          <t>fixed one-unit hypothetical scoring; no real exposure or execution</t>
        </is>
      </c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inlineStr">
        <is>
          <t>15dce58823f64abfb445c3ef78db1cb4bc98f5039c961c22fdf0386d356e0d45</t>
        </is>
      </c>
      <c r="DE511" s="24" t="inlineStr">
        <is>
          <t>/Users/vincentc9002/model-prediction/data/odds/tennis/2026-09-05/polymarket_snapshots.jsonl</t>
        </is>
      </c>
      <c r="DF511" s="24" t="inlineStr">
        <is>
          <t>665829:2026-09-05T16:04:30.622379Z</t>
        </is>
      </c>
      <c r="DG511" s="24" t="n"/>
      <c r="DH511" s="24" t="n"/>
      <c r="DI511" s="24" t="n"/>
      <c r="DJ511" s="24" t="inlineStr">
        <is>
          <t>0.8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525316d518d74603</t>
        </is>
      </c>
      <c r="B512" s="24" t="inlineStr">
        <is>
          <t>2026-09-05T16:05:16.623786Z</t>
        </is>
      </c>
      <c r="C512" s="24" t="inlineStr">
        <is>
          <t>2026-09-05T16:30Z</t>
        </is>
      </c>
      <c r="D512" s="24" t="inlineStr">
        <is>
          <t>189-2026:182586</t>
        </is>
      </c>
      <c r="E512" s="24" t="inlineStr">
        <is>
          <t>TENNIS</t>
        </is>
      </c>
      <c r="F512" s="24" t="inlineStr">
        <is>
          <t>Marie Bouzkova</t>
        </is>
      </c>
      <c r="G512" s="24" t="inlineStr">
        <is>
          <t>Iga Swiatek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-590</v>
      </c>
      <c r="M512" s="27" t="n">
        <v>1.169492</v>
      </c>
      <c r="N512" s="28" t="n">
        <v>0.8550720000000001</v>
      </c>
      <c r="O512" s="28" t="n">
        <v>0.7499</v>
      </c>
      <c r="P512" s="28" t="n">
        <v>0.05</v>
      </c>
      <c r="Q512" s="28" t="n">
        <v>-0.105172</v>
      </c>
      <c r="R512" s="26" t="n">
        <v>0</v>
      </c>
      <c r="S512" s="29" t="n">
        <v>1</v>
      </c>
      <c r="T512" s="24" t="inlineStr">
        <is>
          <t>tennis-surface-elo-v1</t>
        </is>
      </c>
      <c r="U512" s="24" t="inlineStr">
        <is>
          <t>settled</t>
        </is>
      </c>
      <c r="V512" s="24" t="inlineStr">
        <is>
          <t>win</t>
        </is>
      </c>
      <c r="W512" s="26" t="n">
        <v>0</v>
      </c>
      <c r="X512" s="26" t="n">
        <v>1</v>
      </c>
      <c r="Y512" s="25" t="n"/>
      <c r="Z512" s="26" t="n">
        <v>-590</v>
      </c>
      <c r="AA512" s="28" t="n">
        <v>0.855</v>
      </c>
      <c r="AB512" s="28" t="n">
        <v>-7.2e-05</v>
      </c>
      <c r="AC512" s="30" t="n">
        <v>0.1695</v>
      </c>
      <c r="AD512" s="24" t="inlineStr">
        <is>
          <t>2026-09-05T22:00:31.239639Z</t>
        </is>
      </c>
      <c r="AE512" s="31" t="inlineStr">
        <is>
          <t>Surface-blended Elo on Hard: Marie Bouzkova p=0.250 vs Iga Swiatek. Executable ask 0.8550 (aec-wta-igaswi-marbou-2026-09-04).</t>
        </is>
      </c>
      <c r="AF512" s="31" t="inlineStr">
        <is>
          <t>Surface-blended Elo model; singles only, WTA+ATP market coverage, not yet locked-holdout qualified -- promoted by explicit operator directive, not genuine walk-forward validation.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Marie Bouzkova</t>
        </is>
      </c>
      <c r="AQ512" s="24" t="inlineStr">
        <is>
          <t>Marie Bouzkova</t>
        </is>
      </c>
      <c r="AR512" s="24" t="inlineStr">
        <is>
          <t>Marie Bouzkova</t>
        </is>
      </c>
      <c r="AS512" s="24" t="inlineStr">
        <is>
          <t>Iga Swiatek</t>
        </is>
      </c>
      <c r="AT512" s="24" t="inlineStr">
        <is>
          <t>Iga Swiatek</t>
        </is>
      </c>
      <c r="AU512" s="24" t="inlineStr">
        <is>
          <t>Iga Swiatek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0ce66f49b381187fe6255a40ca2fdbfc155d5e36125ccf6d30fe81a72962eafa</t>
        </is>
      </c>
      <c r="BB512" s="24" t="inlineStr">
        <is>
          <t>surface_blended_elo</t>
        </is>
      </c>
      <c r="BC512" s="24" t="inlineStr">
        <is>
          <t>tennis-surface-elo-v1</t>
        </is>
      </c>
      <c r="BD512" s="24" t="inlineStr">
        <is>
          <t>0ce66f49b381187fe6255a40ca2fdbfc155d5e36125ccf6d30fe81a72962eafa</t>
        </is>
      </c>
      <c r="BE512" s="24" t="inlineStr">
        <is>
          <t>tennis-surface-elo-v1</t>
        </is>
      </c>
      <c r="BF512" s="24" t="inlineStr">
        <is>
          <t>1</t>
        </is>
      </c>
      <c r="BG512" s="24" t="inlineStr">
        <is>
          <t>0ce66f49b381187fe6255a40ca2fdbfc155d5e36125ccf6d30fe81a72962eafa</t>
        </is>
      </c>
      <c r="BH512" s="24" t="inlineStr">
        <is>
          <t>2026-09-05T16:04:30.497840Z</t>
        </is>
      </c>
      <c r="BI512" s="24" t="inlineStr">
        <is>
          <t>["same_event","same_team_same_day","same_league_same_day"]</t>
        </is>
      </c>
      <c r="BJ512" s="25" t="n"/>
      <c r="BK512" s="26" t="n">
        <v>-590</v>
      </c>
      <c r="BL512" s="27" t="n">
        <v>1.169492</v>
      </c>
      <c r="BM512" s="28" t="n">
        <v>0.8550720000000001</v>
      </c>
      <c r="BN512" s="28" t="n"/>
      <c r="BO512" s="28" t="n"/>
      <c r="BP512" s="25" t="n"/>
      <c r="BQ512" s="27" t="n">
        <v>1.169492</v>
      </c>
      <c r="BR512" s="28" t="n">
        <v>0.855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0.169492</v>
      </c>
      <c r="BZ512" s="24" t="inlineStr">
        <is>
          <t>2026-09-05T22:00:31.239639Z</t>
        </is>
      </c>
      <c r="CA512" s="31" t="inlineStr">
        <is>
          <t>fixed one-unit hypothetical scoring; no real exposure or execution</t>
        </is>
      </c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inlineStr">
        <is>
          <t>5002e6ae5a3556f0cc5e3348fd1613422e4244e04bcb420c94c40b38cc543df5</t>
        </is>
      </c>
      <c r="DE512" s="24" t="inlineStr">
        <is>
          <t>/Users/vincentc9002/model-prediction/data/odds/tennis/2026-09-05/polymarket_snapshots.jsonl</t>
        </is>
      </c>
      <c r="DF512" s="24" t="inlineStr">
        <is>
          <t>663639:2026-09-05T16:04:30.497840Z</t>
        </is>
      </c>
      <c r="DG512" s="24" t="n"/>
      <c r="DH512" s="24" t="n"/>
      <c r="DI512" s="24" t="n"/>
      <c r="DJ512" s="24" t="inlineStr">
        <is>
          <t>0.855072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e41444a6287542d5</t>
        </is>
      </c>
      <c r="B513" s="24" t="inlineStr">
        <is>
          <t>2026-09-05T16:05:16.623786Z</t>
        </is>
      </c>
      <c r="C513" s="24" t="inlineStr">
        <is>
          <t>2026-09-05T17:30Z</t>
        </is>
      </c>
      <c r="D513" s="24" t="inlineStr">
        <is>
          <t>189-2026:182581</t>
        </is>
      </c>
      <c r="E513" s="24" t="inlineStr">
        <is>
          <t>TENNIS</t>
        </is>
      </c>
      <c r="F513" s="24" t="inlineStr">
        <is>
          <t>Coco Gauff</t>
        </is>
      </c>
      <c r="G513" s="24" t="inlineStr">
        <is>
          <t>Cristina Bucsa</t>
        </is>
      </c>
      <c r="H513" s="24" t="inlineStr">
        <is>
          <t>moneyline</t>
        </is>
      </c>
      <c r="I513" s="24" t="inlineStr">
        <is>
          <t>away</t>
        </is>
      </c>
      <c r="J513" s="25" t="n"/>
      <c r="K513" s="24" t="inlineStr">
        <is>
          <t>polymarket_us</t>
        </is>
      </c>
      <c r="L513" s="26" t="n">
        <v>-2122</v>
      </c>
      <c r="M513" s="27" t="n">
        <v>1.047125</v>
      </c>
      <c r="N513" s="28" t="n">
        <v>0.954995</v>
      </c>
      <c r="O513" s="28" t="n">
        <v>0.8506</v>
      </c>
      <c r="P513" s="28" t="n">
        <v>0.05</v>
      </c>
      <c r="Q513" s="28" t="n">
        <v>-0.104395</v>
      </c>
      <c r="R513" s="26" t="n">
        <v>0</v>
      </c>
      <c r="S513" s="29" t="n">
        <v>1</v>
      </c>
      <c r="T513" s="24" t="inlineStr">
        <is>
          <t>tennis-surface-elo-v1</t>
        </is>
      </c>
      <c r="U513" s="24" t="inlineStr">
        <is>
          <t>settled</t>
        </is>
      </c>
      <c r="V513" s="24" t="inlineStr">
        <is>
          <t>win</t>
        </is>
      </c>
      <c r="W513" s="26" t="n">
        <v>1</v>
      </c>
      <c r="X513" s="26" t="n">
        <v>0</v>
      </c>
      <c r="Y513" s="25" t="n"/>
      <c r="Z513" s="26" t="n">
        <v>-2122</v>
      </c>
      <c r="AA513" s="28" t="n">
        <v>0.955</v>
      </c>
      <c r="AB513" s="28" t="n">
        <v>5e-06</v>
      </c>
      <c r="AC513" s="30" t="n">
        <v>0.0471</v>
      </c>
      <c r="AD513" s="24" t="inlineStr">
        <is>
          <t>2026-09-05T22:00:32.244930Z</t>
        </is>
      </c>
      <c r="AE513" s="31" t="inlineStr">
        <is>
          <t>Surface-blended Elo on Hard: Coco Gauff p=0.851 vs Cristina Bucsa. Executable ask 0.9550 (aec-wta-cribuc-cocgau-2026-09-05).</t>
        </is>
      </c>
      <c r="AF513" s="31" t="inlineStr">
        <is>
          <t>Surface-blended Elo model; singles only, WTA+ATP market coverage, not yet locked-holdout qualified -- promoted by explicit operator directive, not genuine walk-forward validation.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Coco Gauff</t>
        </is>
      </c>
      <c r="AQ513" s="24" t="inlineStr">
        <is>
          <t>Coco Gauff</t>
        </is>
      </c>
      <c r="AR513" s="24" t="inlineStr">
        <is>
          <t>Coco Gauff</t>
        </is>
      </c>
      <c r="AS513" s="24" t="inlineStr">
        <is>
          <t>Cristina Bucsa</t>
        </is>
      </c>
      <c r="AT513" s="24" t="inlineStr">
        <is>
          <t>Cristina Bucsa</t>
        </is>
      </c>
      <c r="AU513" s="24" t="inlineStr">
        <is>
          <t>Cristina Bucsa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0ce66f49b381187fe6255a40ca2fdbfc155d5e36125ccf6d30fe81a72962eafa</t>
        </is>
      </c>
      <c r="BB513" s="24" t="inlineStr">
        <is>
          <t>surface_blended_elo</t>
        </is>
      </c>
      <c r="BC513" s="24" t="inlineStr">
        <is>
          <t>tennis-surface-elo-v1</t>
        </is>
      </c>
      <c r="BD513" s="24" t="inlineStr">
        <is>
          <t>0ce66f49b381187fe6255a40ca2fdbfc155d5e36125ccf6d30fe81a72962eafa</t>
        </is>
      </c>
      <c r="BE513" s="24" t="inlineStr">
        <is>
          <t>tennis-surface-elo-v1</t>
        </is>
      </c>
      <c r="BF513" s="24" t="inlineStr">
        <is>
          <t>1</t>
        </is>
      </c>
      <c r="BG513" s="24" t="inlineStr">
        <is>
          <t>0ce66f49b381187fe6255a40ca2fdbfc155d5e36125ccf6d30fe81a72962eafa</t>
        </is>
      </c>
      <c r="BH513" s="24" t="inlineStr">
        <is>
          <t>2026-09-05T16:04:30.793465Z</t>
        </is>
      </c>
      <c r="BI513" s="24" t="inlineStr">
        <is>
          <t>["same_event","same_team_same_day","same_league_same_day"]</t>
        </is>
      </c>
      <c r="BJ513" s="25" t="n"/>
      <c r="BK513" s="26" t="n">
        <v>-2122</v>
      </c>
      <c r="BL513" s="27" t="n">
        <v>1.047125</v>
      </c>
      <c r="BM513" s="28" t="n">
        <v>0.954995</v>
      </c>
      <c r="BN513" s="28" t="n"/>
      <c r="BO513" s="28" t="n"/>
      <c r="BP513" s="25" t="n"/>
      <c r="BQ513" s="27" t="n">
        <v>1.047125</v>
      </c>
      <c r="BR513" s="28" t="n">
        <v>0.955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0.047126</v>
      </c>
      <c r="BZ513" s="24" t="inlineStr">
        <is>
          <t>2026-09-05T22:00:32.244930Z</t>
        </is>
      </c>
      <c r="CA513" s="31" t="inlineStr">
        <is>
          <t>fixed one-unit hypothetical scoring; no real exposure or execution</t>
        </is>
      </c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inlineStr">
        <is>
          <t>7c56df318dbd7c35152ee08c5eac2b0459191ac0c88c933e30b79afb9173df93</t>
        </is>
      </c>
      <c r="DE513" s="24" t="inlineStr">
        <is>
          <t>/Users/vincentc9002/model-prediction/data/odds/tennis/2026-09-05/polymarket_snapshots.jsonl</t>
        </is>
      </c>
      <c r="DF513" s="24" t="inlineStr">
        <is>
          <t>666412:2026-09-05T16:04:30.793465Z</t>
        </is>
      </c>
      <c r="DG513" s="24" t="n"/>
      <c r="DH513" s="24" t="n"/>
      <c r="DI513" s="24" t="n"/>
      <c r="DJ513" s="24" t="inlineStr">
        <is>
          <t>0.954995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e9631ea2ae904f80</t>
        </is>
      </c>
      <c r="B514" s="24" t="inlineStr">
        <is>
          <t>2026-09-05T16:05:16.623786Z</t>
        </is>
      </c>
      <c r="C514" s="24" t="inlineStr">
        <is>
          <t>2026-09-05T21:00Z</t>
        </is>
      </c>
      <c r="D514" s="24" t="inlineStr">
        <is>
          <t>189-2026:182530</t>
        </is>
      </c>
      <c r="E514" s="24" t="inlineStr">
        <is>
          <t>TENNIS</t>
        </is>
      </c>
      <c r="F514" s="24" t="inlineStr">
        <is>
          <t>Elena Rybakina</t>
        </is>
      </c>
      <c r="G514" s="24" t="inlineStr">
        <is>
          <t>Yuliia Starodubtseva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-953</v>
      </c>
      <c r="M514" s="27" t="n">
        <v>1.104932</v>
      </c>
      <c r="N514" s="28" t="n">
        <v>0.905033</v>
      </c>
      <c r="O514" s="28" t="n">
        <v>0.8788</v>
      </c>
      <c r="P514" s="28" t="n">
        <v>0.05</v>
      </c>
      <c r="Q514" s="28" t="n">
        <v>-0.026233</v>
      </c>
      <c r="R514" s="26" t="n">
        <v>7</v>
      </c>
      <c r="S514" s="29" t="n">
        <v>1</v>
      </c>
      <c r="T514" s="24" t="inlineStr">
        <is>
          <t>tennis-surface-elo-v1</t>
        </is>
      </c>
      <c r="U514" s="24" t="inlineStr">
        <is>
          <t>settled</t>
        </is>
      </c>
      <c r="V514" s="24" t="inlineStr">
        <is>
          <t>win</t>
        </is>
      </c>
      <c r="W514" s="26" t="n">
        <v>1</v>
      </c>
      <c r="X514" s="26" t="n">
        <v>0</v>
      </c>
      <c r="Y514" s="25" t="n"/>
      <c r="Z514" s="26" t="n">
        <v>-953</v>
      </c>
      <c r="AA514" s="28" t="n">
        <v>0.905</v>
      </c>
      <c r="AB514" s="28" t="n">
        <v>-3.3e-05</v>
      </c>
      <c r="AC514" s="30" t="n">
        <v>0.1049</v>
      </c>
      <c r="AD514" s="24" t="inlineStr">
        <is>
          <t>2026-09-06T04:30:19.122251Z</t>
        </is>
      </c>
      <c r="AE514" s="31" t="inlineStr">
        <is>
          <t>Surface-blended Elo on Hard: Elena Rybakina p=0.879 vs Yuliia Starodubtseva. Executable ask 0.9050 (aec-wta-yulsta-eleryb-2026-09-05).</t>
        </is>
      </c>
      <c r="AF514" s="31" t="inlineStr">
        <is>
          <t>Surface-blended Elo model; singles only, WTA+ATP market coverage, not yet locked-holdout qualified -- promoted by explicit operator directive, not genuine walk-forward validation.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Elena Rybakina</t>
        </is>
      </c>
      <c r="AQ514" s="24" t="inlineStr">
        <is>
          <t>Elena Rybakina</t>
        </is>
      </c>
      <c r="AR514" s="24" t="inlineStr">
        <is>
          <t>Elena Rybakina</t>
        </is>
      </c>
      <c r="AS514" s="24" t="inlineStr">
        <is>
          <t>Yuliia Starodubtseva</t>
        </is>
      </c>
      <c r="AT514" s="24" t="inlineStr">
        <is>
          <t>Yuliia Starodubtseva</t>
        </is>
      </c>
      <c r="AU514" s="24" t="inlineStr">
        <is>
          <t>Yuliia Starodubtseva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0ce66f49b381187fe6255a40ca2fdbfc155d5e36125ccf6d30fe81a72962eafa</t>
        </is>
      </c>
      <c r="BB514" s="24" t="inlineStr">
        <is>
          <t>surface_blended_elo</t>
        </is>
      </c>
      <c r="BC514" s="24" t="inlineStr">
        <is>
          <t>tennis-surface-elo-v1</t>
        </is>
      </c>
      <c r="BD514" s="24" t="inlineStr">
        <is>
          <t>0ce66f49b381187fe6255a40ca2fdbfc155d5e36125ccf6d30fe81a72962eafa</t>
        </is>
      </c>
      <c r="BE514" s="24" t="inlineStr">
        <is>
          <t>tennis-surface-elo-v1</t>
        </is>
      </c>
      <c r="BF514" s="24" t="inlineStr">
        <is>
          <t>1</t>
        </is>
      </c>
      <c r="BG514" s="24" t="inlineStr">
        <is>
          <t>0ce66f49b381187fe6255a40ca2fdbfc155d5e36125ccf6d30fe81a72962eafa</t>
        </is>
      </c>
      <c r="BH514" s="24" t="inlineStr">
        <is>
          <t>2026-09-05T16:04:30.948846Z</t>
        </is>
      </c>
      <c r="BI514" s="24" t="inlineStr">
        <is>
          <t>["same_event","same_team_same_day","same_league_same_day"]</t>
        </is>
      </c>
      <c r="BJ514" s="25" t="n"/>
      <c r="BK514" s="26" t="n">
        <v>-953</v>
      </c>
      <c r="BL514" s="27" t="n">
        <v>1.104932</v>
      </c>
      <c r="BM514" s="28" t="n">
        <v>0.905033</v>
      </c>
      <c r="BN514" s="28" t="n"/>
      <c r="BO514" s="28" t="n"/>
      <c r="BP514" s="25" t="n"/>
      <c r="BQ514" s="27" t="n">
        <v>1.104932</v>
      </c>
      <c r="BR514" s="28" t="n">
        <v>0.905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0.104932</v>
      </c>
      <c r="BZ514" s="24" t="inlineStr">
        <is>
          <t>2026-09-06T04:30:19.122251Z</t>
        </is>
      </c>
      <c r="CA514" s="31" t="inlineStr">
        <is>
          <t>fixed one-unit hypothetical scoring; no real exposure or execution</t>
        </is>
      </c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inlineStr">
        <is>
          <t>8ae8abce173e2b53f9093496323d4e0e69f5547d7859b2f49ff2c0a7ce3be77c</t>
        </is>
      </c>
      <c r="DE514" s="24" t="inlineStr">
        <is>
          <t>/Users/vincentc9002/model-prediction/data/odds/tennis/2026-09-05/polymarket_snapshots.jsonl</t>
        </is>
      </c>
      <c r="DF514" s="24" t="inlineStr">
        <is>
          <t>666925:2026-09-05T16:04:30.948846Z</t>
        </is>
      </c>
      <c r="DG514" s="24" t="n"/>
      <c r="DH514" s="24" t="n"/>
      <c r="DI514" s="24" t="n"/>
      <c r="DJ514" s="24" t="inlineStr">
        <is>
          <t>0.905033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a5c78441825440b7</t>
        </is>
      </c>
      <c r="B515" s="24" t="inlineStr">
        <is>
          <t>2026-09-05T16:05:16.623786Z</t>
        </is>
      </c>
      <c r="C515" s="24" t="inlineStr">
        <is>
          <t>2026-09-05T16:30Z</t>
        </is>
      </c>
      <c r="D515" s="24" t="inlineStr">
        <is>
          <t>189-2026:182731</t>
        </is>
      </c>
      <c r="E515" s="24" t="inlineStr">
        <is>
          <t>TENNIS</t>
        </is>
      </c>
      <c r="F515" s="24" t="inlineStr">
        <is>
          <t>Flavio Cobolli</t>
        </is>
      </c>
      <c r="G515" s="24" t="inlineStr">
        <is>
          <t>Alexander Blockx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-106</v>
      </c>
      <c r="M515" s="27" t="n">
        <v>1.943396</v>
      </c>
      <c r="N515" s="28" t="n">
        <v>0.514563</v>
      </c>
      <c r="O515" s="28" t="n">
        <v>0.636</v>
      </c>
      <c r="P515" s="28" t="n">
        <v>0.05</v>
      </c>
      <c r="Q515" s="28" t="n">
        <v>0.121437</v>
      </c>
      <c r="R515" s="26" t="n">
        <v>81</v>
      </c>
      <c r="S515" s="29" t="n">
        <v>1.5</v>
      </c>
      <c r="T515" s="24" t="inlineStr">
        <is>
          <t>tennis-surface-elo-v1</t>
        </is>
      </c>
      <c r="U515" s="24" t="inlineStr">
        <is>
          <t>settled</t>
        </is>
      </c>
      <c r="V515" s="24" t="inlineStr">
        <is>
          <t>loss</t>
        </is>
      </c>
      <c r="W515" s="26" t="n">
        <v>0</v>
      </c>
      <c r="X515" s="26" t="n">
        <v>1</v>
      </c>
      <c r="Y515" s="25" t="n"/>
      <c r="Z515" s="26" t="n">
        <v>-106</v>
      </c>
      <c r="AA515" s="28" t="n">
        <v>0.515</v>
      </c>
      <c r="AB515" s="28" t="n">
        <v>0.000437</v>
      </c>
      <c r="AC515" s="30" t="n">
        <v>-1.5</v>
      </c>
      <c r="AD515" s="24" t="inlineStr">
        <is>
          <t>2026-09-05T22:00:33.303095Z</t>
        </is>
      </c>
      <c r="AE515" s="31" t="inlineStr">
        <is>
          <t>Surface-blended Elo on Hard: Flavio Cobolli p=0.636 vs Alexander Blockx. Executable ask 0.5150 (aec-atp-aleblo-flacob-2026-09-04).</t>
        </is>
      </c>
      <c r="AF515" s="31" t="inlineStr">
        <is>
          <t>Surface-blended Elo model; singles only, WTA+ATP market coverage, not yet locked-holdout qualified -- promoted by explicit operator directive, not genuine walk-forward validation.</t>
        </is>
      </c>
      <c r="AG515" s="24" t="inlineStr">
        <is>
          <t>review_required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Flavio Cobolli</t>
        </is>
      </c>
      <c r="AQ515" s="24" t="inlineStr">
        <is>
          <t>Flavio Cobolli</t>
        </is>
      </c>
      <c r="AR515" s="24" t="inlineStr">
        <is>
          <t>Flavio Cobolli</t>
        </is>
      </c>
      <c r="AS515" s="24" t="inlineStr">
        <is>
          <t>Alexander Blockx</t>
        </is>
      </c>
      <c r="AT515" s="24" t="inlineStr">
        <is>
          <t>Alexander Blockx</t>
        </is>
      </c>
      <c r="AU515" s="24" t="inlineStr">
        <is>
          <t>Alexander Blockx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0ce66f49b381187fe6255a40ca2fdbfc155d5e36125ccf6d30fe81a72962eafa</t>
        </is>
      </c>
      <c r="BB515" s="24" t="inlineStr">
        <is>
          <t>surface_blended_elo</t>
        </is>
      </c>
      <c r="BC515" s="24" t="inlineStr">
        <is>
          <t>tennis-surface-elo-v1</t>
        </is>
      </c>
      <c r="BD515" s="24" t="inlineStr">
        <is>
          <t>0ce66f49b381187fe6255a40ca2fdbfc155d5e36125ccf6d30fe81a72962eafa</t>
        </is>
      </c>
      <c r="BE515" s="24" t="inlineStr">
        <is>
          <t>tennis-surface-elo-v1</t>
        </is>
      </c>
      <c r="BF515" s="24" t="inlineStr">
        <is>
          <t>1</t>
        </is>
      </c>
      <c r="BG515" s="24" t="inlineStr">
        <is>
          <t>0ce66f49b381187fe6255a40ca2fdbfc155d5e36125ccf6d30fe81a72962eafa</t>
        </is>
      </c>
      <c r="BH515" s="24" t="inlineStr">
        <is>
          <t>2026-09-05T16:04:31.837582Z</t>
        </is>
      </c>
      <c r="BI515" s="24" t="inlineStr">
        <is>
          <t>["same_event","same_team_same_day","same_league_same_day"]</t>
        </is>
      </c>
      <c r="BJ515" s="25" t="n"/>
      <c r="BK515" s="26" t="n">
        <v>-106</v>
      </c>
      <c r="BL515" s="27" t="n">
        <v>1.943396</v>
      </c>
      <c r="BM515" s="28" t="n">
        <v>0.514563</v>
      </c>
      <c r="BN515" s="28" t="n"/>
      <c r="BO515" s="28" t="n"/>
      <c r="BP515" s="25" t="n"/>
      <c r="BQ515" s="27" t="n">
        <v>1.943396</v>
      </c>
      <c r="BR515" s="28" t="n">
        <v>0.515</v>
      </c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inlineStr">
        <is>
          <t>618d28f99ddd45e71dc04a6af3c5bed01f228c92cfcd2e7acf0daf1e7eda3228</t>
        </is>
      </c>
      <c r="DE515" s="24" t="inlineStr">
        <is>
          <t>/Users/vincentc9002/model-prediction/data/odds/tennis/2026-09-05/polymarket_snapshots.jsonl</t>
        </is>
      </c>
      <c r="DF515" s="24" t="inlineStr">
        <is>
          <t>665492:2026-09-05T16:04:31.837582Z</t>
        </is>
      </c>
      <c r="DG515" s="24" t="n"/>
      <c r="DH515" s="24" t="n"/>
      <c r="DI515" s="24" t="n"/>
      <c r="DJ515" s="24" t="inlineStr">
        <is>
          <t>0.514563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dabf9d2bc54445bf</t>
        </is>
      </c>
      <c r="B516" s="24" t="inlineStr">
        <is>
          <t>2026-09-05T16:05:16.623786Z</t>
        </is>
      </c>
      <c r="C516" s="24" t="inlineStr">
        <is>
          <t>2026-09-05T18:00Z</t>
        </is>
      </c>
      <c r="D516" s="24" t="inlineStr">
        <is>
          <t>189-2026:182716</t>
        </is>
      </c>
      <c r="E516" s="24" t="inlineStr">
        <is>
          <t>TENNIS</t>
        </is>
      </c>
      <c r="F516" s="24" t="inlineStr">
        <is>
          <t>Benjamin Bonzi</t>
        </is>
      </c>
      <c r="G516" s="24" t="inlineStr">
        <is>
          <t>Karen Khachanov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polymarket_us</t>
        </is>
      </c>
      <c r="L516" s="26" t="n">
        <v>190</v>
      </c>
      <c r="M516" s="27" t="n">
        <v>2.9</v>
      </c>
      <c r="N516" s="28" t="n">
        <v>0.344828</v>
      </c>
      <c r="O516" s="28" t="n">
        <v>0.5669</v>
      </c>
      <c r="P516" s="28" t="n">
        <v>0.05</v>
      </c>
      <c r="Q516" s="28" t="n">
        <v>0.222072</v>
      </c>
      <c r="R516" s="26" t="n">
        <v>100</v>
      </c>
      <c r="S516" s="29" t="n">
        <v>2</v>
      </c>
      <c r="T516" s="24" t="inlineStr">
        <is>
          <t>tennis-surface-elo-v1</t>
        </is>
      </c>
      <c r="U516" s="24" t="inlineStr">
        <is>
          <t>settled</t>
        </is>
      </c>
      <c r="V516" s="24" t="inlineStr">
        <is>
          <t>loss</t>
        </is>
      </c>
      <c r="W516" s="26" t="n">
        <v>0</v>
      </c>
      <c r="X516" s="26" t="n">
        <v>1</v>
      </c>
      <c r="Y516" s="25" t="n"/>
      <c r="Z516" s="26" t="n">
        <v>190</v>
      </c>
      <c r="AA516" s="28" t="n">
        <v>0.345</v>
      </c>
      <c r="AB516" s="28" t="n">
        <v>0.000172</v>
      </c>
      <c r="AC516" s="30" t="n">
        <v>-2</v>
      </c>
      <c r="AD516" s="24" t="inlineStr">
        <is>
          <t>2026-09-05T22:00:34.328989Z</t>
        </is>
      </c>
      <c r="AE516" s="31" t="inlineStr">
        <is>
          <t>Surface-blended Elo on Hard: Benjamin Bonzi p=0.567 vs Karen Khachanov. Executable ask 0.3450 (aec-atp-karkha-benbon-2026-09-04).</t>
        </is>
      </c>
      <c r="AF516" s="31" t="inlineStr">
        <is>
          <t>Surface-blended Elo model; singles only, WTA+ATP market coverage, not yet locked-holdout qualified -- promoted by explicit operator directive, not genuine walk-forward validation.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Benjamin Bonzi</t>
        </is>
      </c>
      <c r="AQ516" s="24" t="inlineStr">
        <is>
          <t>Benjamin Bonzi</t>
        </is>
      </c>
      <c r="AR516" s="24" t="inlineStr">
        <is>
          <t>Benjamin Bonzi</t>
        </is>
      </c>
      <c r="AS516" s="24" t="inlineStr">
        <is>
          <t>Karen Khachanov</t>
        </is>
      </c>
      <c r="AT516" s="24" t="inlineStr">
        <is>
          <t>Karen Khachanov</t>
        </is>
      </c>
      <c r="AU516" s="24" t="inlineStr">
        <is>
          <t>Karen Khachanov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0ce66f49b381187fe6255a40ca2fdbfc155d5e36125ccf6d30fe81a72962eafa</t>
        </is>
      </c>
      <c r="BB516" s="24" t="inlineStr">
        <is>
          <t>surface_blended_elo</t>
        </is>
      </c>
      <c r="BC516" s="24" t="inlineStr">
        <is>
          <t>tennis-surface-elo-v1</t>
        </is>
      </c>
      <c r="BD516" s="24" t="inlineStr">
        <is>
          <t>0ce66f49b381187fe6255a40ca2fdbfc155d5e36125ccf6d30fe81a72962eafa</t>
        </is>
      </c>
      <c r="BE516" s="24" t="inlineStr">
        <is>
          <t>tennis-surface-elo-v1</t>
        </is>
      </c>
      <c r="BF516" s="24" t="inlineStr">
        <is>
          <t>1</t>
        </is>
      </c>
      <c r="BG516" s="24" t="inlineStr">
        <is>
          <t>0ce66f49b381187fe6255a40ca2fdbfc155d5e36125ccf6d30fe81a72962eafa</t>
        </is>
      </c>
      <c r="BH516" s="24" t="inlineStr">
        <is>
          <t>2026-09-05T16:04:32.255106Z</t>
        </is>
      </c>
      <c r="BI516" s="24" t="inlineStr">
        <is>
          <t>["same_event","same_team_same_day","same_league_same_day"]</t>
        </is>
      </c>
      <c r="BJ516" s="25" t="n"/>
      <c r="BK516" s="26" t="n">
        <v>190</v>
      </c>
      <c r="BL516" s="27" t="n">
        <v>2.9</v>
      </c>
      <c r="BM516" s="28" t="n">
        <v>0.344828</v>
      </c>
      <c r="BN516" s="28" t="n"/>
      <c r="BO516" s="28" t="n"/>
      <c r="BP516" s="25" t="n"/>
      <c r="BQ516" s="27" t="n">
        <v>2.9</v>
      </c>
      <c r="BR516" s="28" t="n">
        <v>0.345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inlineStr">
        <is>
          <t>1be19af43f04b1af7807ad3a5e33182ec557d24d6b8d26b1e17edb7aa03fd8f1</t>
        </is>
      </c>
      <c r="DE516" s="24" t="inlineStr">
        <is>
          <t>/Users/vincentc9002/model-prediction/data/odds/tennis/2026-09-05/polymarket_snapshots.jsonl</t>
        </is>
      </c>
      <c r="DF516" s="24" t="inlineStr">
        <is>
          <t>665915:2026-09-05T16:04:32.255106Z</t>
        </is>
      </c>
      <c r="DG516" s="24" t="n"/>
      <c r="DH516" s="24" t="n"/>
      <c r="DI516" s="24" t="n"/>
      <c r="DJ516" s="24" t="inlineStr">
        <is>
          <t>0.344828</t>
        </is>
      </c>
      <c r="DK516" s="24" t="n"/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1dd3892f2e614ac3</t>
        </is>
      </c>
      <c r="B517" s="24" t="inlineStr">
        <is>
          <t>2026-09-05T16:05:16.623786Z</t>
        </is>
      </c>
      <c r="C517" s="24" t="inlineStr">
        <is>
          <t>2026-09-05T18:00Z</t>
        </is>
      </c>
      <c r="D517" s="24" t="inlineStr">
        <is>
          <t>189-2026:182737</t>
        </is>
      </c>
      <c r="E517" s="24" t="inlineStr">
        <is>
          <t>TENNIS</t>
        </is>
      </c>
      <c r="F517" s="24" t="inlineStr">
        <is>
          <t>Dane Sweeny</t>
        </is>
      </c>
      <c r="G517" s="24" t="inlineStr">
        <is>
          <t>Luciano Darderi</t>
        </is>
      </c>
      <c r="H517" s="24" t="inlineStr">
        <is>
          <t>moneyline</t>
        </is>
      </c>
      <c r="I517" s="24" t="inlineStr">
        <is>
          <t>home</t>
        </is>
      </c>
      <c r="J517" s="25" t="n"/>
      <c r="K517" s="24" t="inlineStr">
        <is>
          <t>polymarket_us</t>
        </is>
      </c>
      <c r="L517" s="26" t="n">
        <v>-317</v>
      </c>
      <c r="M517" s="27" t="n">
        <v>1.315457</v>
      </c>
      <c r="N517" s="28" t="n">
        <v>0.760192</v>
      </c>
      <c r="O517" s="28" t="n">
        <v>0.6401</v>
      </c>
      <c r="P517" s="28" t="n">
        <v>0.05</v>
      </c>
      <c r="Q517" s="28" t="n">
        <v>-0.120092</v>
      </c>
      <c r="R517" s="26" t="n">
        <v>0</v>
      </c>
      <c r="S517" s="29" t="n">
        <v>1</v>
      </c>
      <c r="T517" s="24" t="inlineStr">
        <is>
          <t>tennis-surface-elo-v1</t>
        </is>
      </c>
      <c r="U517" s="24" t="inlineStr">
        <is>
          <t>settled</t>
        </is>
      </c>
      <c r="V517" s="24" t="inlineStr">
        <is>
          <t>win</t>
        </is>
      </c>
      <c r="W517" s="26" t="n">
        <v>0</v>
      </c>
      <c r="X517" s="26" t="n">
        <v>1</v>
      </c>
      <c r="Y517" s="25" t="n"/>
      <c r="Z517" s="26" t="n">
        <v>-317</v>
      </c>
      <c r="AA517" s="28" t="n">
        <v>0.76</v>
      </c>
      <c r="AB517" s="28" t="n">
        <v>-0.000192</v>
      </c>
      <c r="AC517" s="30" t="n">
        <v>0.3155</v>
      </c>
      <c r="AD517" s="24" t="inlineStr">
        <is>
          <t>2026-09-05T22:00:35.348246Z</t>
        </is>
      </c>
      <c r="AE517" s="31" t="inlineStr">
        <is>
          <t>Surface-blended Elo on Hard: Dane Sweeny p=0.360 vs Luciano Darderi. Executable ask 0.7600 (aec-atp-lucdar-danswe-2026-09-04).</t>
        </is>
      </c>
      <c r="AF517" s="31" t="inlineStr">
        <is>
          <t>Surface-blended Elo model; singles only, WTA+ATP market coverage, not yet locked-holdout qualified -- promoted by explicit operator directive, not genuine walk-forward validation.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Dane Sweeny</t>
        </is>
      </c>
      <c r="AQ517" s="24" t="inlineStr">
        <is>
          <t>Dane Sweeny</t>
        </is>
      </c>
      <c r="AR517" s="24" t="inlineStr">
        <is>
          <t>Dane Sweeny</t>
        </is>
      </c>
      <c r="AS517" s="24" t="inlineStr">
        <is>
          <t>Luciano Darderi</t>
        </is>
      </c>
      <c r="AT517" s="24" t="inlineStr">
        <is>
          <t>Luciano Darderi</t>
        </is>
      </c>
      <c r="AU517" s="24" t="inlineStr">
        <is>
          <t>Luciano Darderi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0ce66f49b381187fe6255a40ca2fdbfc155d5e36125ccf6d30fe81a72962eafa</t>
        </is>
      </c>
      <c r="BB517" s="24" t="inlineStr">
        <is>
          <t>surface_blended_elo</t>
        </is>
      </c>
      <c r="BC517" s="24" t="inlineStr">
        <is>
          <t>tennis-surface-elo-v1</t>
        </is>
      </c>
      <c r="BD517" s="24" t="inlineStr">
        <is>
          <t>0ce66f49b381187fe6255a40ca2fdbfc155d5e36125ccf6d30fe81a72962eafa</t>
        </is>
      </c>
      <c r="BE517" s="24" t="inlineStr">
        <is>
          <t>tennis-surface-elo-v1</t>
        </is>
      </c>
      <c r="BF517" s="24" t="inlineStr">
        <is>
          <t>1</t>
        </is>
      </c>
      <c r="BG517" s="24" t="inlineStr">
        <is>
          <t>0ce66f49b381187fe6255a40ca2fdbfc155d5e36125ccf6d30fe81a72962eafa</t>
        </is>
      </c>
      <c r="BH517" s="24" t="inlineStr">
        <is>
          <t>2026-09-05T16:04:32.094951Z</t>
        </is>
      </c>
      <c r="BI517" s="24" t="inlineStr">
        <is>
          <t>["same_event","same_team_same_day","same_league_same_day"]</t>
        </is>
      </c>
      <c r="BJ517" s="25" t="n"/>
      <c r="BK517" s="26" t="n">
        <v>-317</v>
      </c>
      <c r="BL517" s="27" t="n">
        <v>1.315457</v>
      </c>
      <c r="BM517" s="28" t="n">
        <v>0.760192</v>
      </c>
      <c r="BN517" s="28" t="n"/>
      <c r="BO517" s="28" t="n"/>
      <c r="BP517" s="25" t="n"/>
      <c r="BQ517" s="27" t="n">
        <v>1.315457</v>
      </c>
      <c r="BR517" s="28" t="n">
        <v>0.76</v>
      </c>
      <c r="BS517" s="28" t="n"/>
      <c r="BT517" s="28" t="n"/>
      <c r="BU517" s="25" t="n"/>
      <c r="BV517" s="29" t="n"/>
      <c r="BW517" s="24" t="n"/>
      <c r="BX517" s="30" t="n">
        <v>1</v>
      </c>
      <c r="BY517" s="27" t="n">
        <v>0.315457</v>
      </c>
      <c r="BZ517" s="24" t="inlineStr">
        <is>
          <t>2026-09-05T22:00:35.348246Z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inlineStr">
        <is>
          <t>30a363e837e58fe6ab4ea562fed3c9cecfa9a2c831d5b0d53c49cf18cf589e1f</t>
        </is>
      </c>
      <c r="DE517" s="24" t="inlineStr">
        <is>
          <t>/Users/vincentc9002/model-prediction/data/odds/tennis/2026-09-05/polymarket_snapshots.jsonl</t>
        </is>
      </c>
      <c r="DF517" s="24" t="inlineStr">
        <is>
          <t>665602:2026-09-05T16:04:32.094951Z</t>
        </is>
      </c>
      <c r="DG517" s="24" t="n"/>
      <c r="DH517" s="24" t="n"/>
      <c r="DI517" s="24" t="n"/>
      <c r="DJ517" s="24" t="inlineStr">
        <is>
          <t>0.760192</t>
        </is>
      </c>
      <c r="DK517" s="24" t="n"/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421f02344c2642dc</t>
        </is>
      </c>
      <c r="B518" s="24" t="inlineStr">
        <is>
          <t>2026-09-05T16:05:16.623786Z</t>
        </is>
      </c>
      <c r="C518" s="24" t="inlineStr">
        <is>
          <t>2026-09-05T18:00Z</t>
        </is>
      </c>
      <c r="D518" s="24" t="inlineStr">
        <is>
          <t>189-2026:182749</t>
        </is>
      </c>
      <c r="E518" s="24" t="inlineStr">
        <is>
          <t>TENNIS</t>
        </is>
      </c>
      <c r="F518" s="24" t="inlineStr">
        <is>
          <t>Arthur Gea</t>
        </is>
      </c>
      <c r="G518" s="24" t="inlineStr">
        <is>
          <t>Michael Zheng</t>
        </is>
      </c>
      <c r="H518" s="24" t="inlineStr">
        <is>
          <t>moneyline</t>
        </is>
      </c>
      <c r="I518" s="24" t="inlineStr">
        <is>
          <t>home</t>
        </is>
      </c>
      <c r="J518" s="25" t="n"/>
      <c r="K518" s="24" t="inlineStr">
        <is>
          <t>polymarket_us</t>
        </is>
      </c>
      <c r="L518" s="26" t="n">
        <v>-141</v>
      </c>
      <c r="M518" s="27" t="n">
        <v>1.70922</v>
      </c>
      <c r="N518" s="28" t="n">
        <v>0.585062</v>
      </c>
      <c r="O518" s="28" t="n">
        <v>0.5628</v>
      </c>
      <c r="P518" s="28" t="n">
        <v>0.05</v>
      </c>
      <c r="Q518" s="28" t="n">
        <v>-0.022262</v>
      </c>
      <c r="R518" s="26" t="n">
        <v>9</v>
      </c>
      <c r="S518" s="29" t="n">
        <v>1</v>
      </c>
      <c r="T518" s="24" t="inlineStr">
        <is>
          <t>tennis-surface-elo-v1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</v>
      </c>
      <c r="X518" s="26" t="n">
        <v>0</v>
      </c>
      <c r="Y518" s="25" t="n"/>
      <c r="Z518" s="26" t="n">
        <v>-141</v>
      </c>
      <c r="AA518" s="28" t="n">
        <v>0.585</v>
      </c>
      <c r="AB518" s="28" t="n">
        <v>-6.2e-05</v>
      </c>
      <c r="AC518" s="30" t="n">
        <v>-1</v>
      </c>
      <c r="AD518" s="24" t="inlineStr">
        <is>
          <t>2026-09-06T04:30:20.141370Z</t>
        </is>
      </c>
      <c r="AE518" s="31" t="inlineStr">
        <is>
          <t>Surface-blended Elo on Hard: Arthur Gea p=0.437 vs Michael Zheng. Executable ask 0.5850 (aec-atp-miczhe-artgea-2026-09-05).</t>
        </is>
      </c>
      <c r="AF518" s="31" t="inlineStr">
        <is>
          <t>Surface-blended Elo model; singles only, WTA+ATP market coverage, not yet locked-holdout qualified -- promoted by explicit operator directive, not genuine walk-forward validation.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paper_call</t>
        </is>
      </c>
      <c r="AL518" s="26" t="n">
        <v>4</v>
      </c>
      <c r="AM518" s="24" t="inlineStr">
        <is>
          <t>RESEARCH_OBSERVATION</t>
        </is>
      </c>
      <c r="AN518" s="24" t="inlineStr">
        <is>
          <t>CALL</t>
        </is>
      </c>
      <c r="AO518" s="24" t="inlineStr">
        <is>
          <t>PAPER_CALL_LOW_EDGE</t>
        </is>
      </c>
      <c r="AP518" s="24" t="inlineStr">
        <is>
          <t>Arthur Gea</t>
        </is>
      </c>
      <c r="AQ518" s="24" t="inlineStr">
        <is>
          <t>Arthur Gea</t>
        </is>
      </c>
      <c r="AR518" s="24" t="inlineStr">
        <is>
          <t>Arthur Gea</t>
        </is>
      </c>
      <c r="AS518" s="24" t="inlineStr">
        <is>
          <t>Michael Zheng</t>
        </is>
      </c>
      <c r="AT518" s="24" t="inlineStr">
        <is>
          <t>Michael Zheng</t>
        </is>
      </c>
      <c r="AU518" s="24" t="inlineStr">
        <is>
          <t>Michael Zheng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0ce66f49b381187fe6255a40ca2fdbfc155d5e36125ccf6d30fe81a72962eafa</t>
        </is>
      </c>
      <c r="BB518" s="24" t="inlineStr">
        <is>
          <t>surface_blended_elo</t>
        </is>
      </c>
      <c r="BC518" s="24" t="inlineStr">
        <is>
          <t>tennis-surface-elo-v1</t>
        </is>
      </c>
      <c r="BD518" s="24" t="inlineStr">
        <is>
          <t>0ce66f49b381187fe6255a40ca2fdbfc155d5e36125ccf6d30fe81a72962eafa</t>
        </is>
      </c>
      <c r="BE518" s="24" t="inlineStr">
        <is>
          <t>tennis-surface-elo-v1</t>
        </is>
      </c>
      <c r="BF518" s="24" t="inlineStr">
        <is>
          <t>1</t>
        </is>
      </c>
      <c r="BG518" s="24" t="inlineStr">
        <is>
          <t>0ce66f49b381187fe6255a40ca2fdbfc155d5e36125ccf6d30fe81a72962eafa</t>
        </is>
      </c>
      <c r="BH518" s="24" t="inlineStr">
        <is>
          <t>2026-09-05T16:04:31.967484Z</t>
        </is>
      </c>
      <c r="BI518" s="24" t="inlineStr">
        <is>
          <t>["same_event","same_team_same_day","same_league_same_day"]</t>
        </is>
      </c>
      <c r="BJ518" s="25" t="n"/>
      <c r="BK518" s="26" t="n">
        <v>-141</v>
      </c>
      <c r="BL518" s="27" t="n">
        <v>1.70922</v>
      </c>
      <c r="BM518" s="28" t="n">
        <v>0.585062</v>
      </c>
      <c r="BN518" s="28" t="n"/>
      <c r="BO518" s="28" t="n"/>
      <c r="BP518" s="25" t="n"/>
      <c r="BQ518" s="27" t="n">
        <v>1.70922</v>
      </c>
      <c r="BR518" s="28" t="n">
        <v>0.585</v>
      </c>
      <c r="BS518" s="28" t="n"/>
      <c r="BT518" s="28" t="n"/>
      <c r="BU518" s="25" t="n"/>
      <c r="BV518" s="29" t="n"/>
      <c r="BW518" s="24" t="n"/>
      <c r="BX518" s="30" t="n">
        <v>1</v>
      </c>
      <c r="BY518" s="27" t="n">
        <v>-1</v>
      </c>
      <c r="BZ518" s="24" t="inlineStr">
        <is>
          <t>2026-09-06T04:30:20.141370Z</t>
        </is>
      </c>
      <c r="CA518" s="31" t="inlineStr">
        <is>
          <t>fixed one-unit hypothetical scoring; no real exposure or execution</t>
        </is>
      </c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False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inlineStr">
        <is>
          <t>14a33748d0e73da5026a0c9f66c49ff71d9260800b8b02c53a1d3a8c7c096bf2</t>
        </is>
      </c>
      <c r="DE518" s="24" t="inlineStr">
        <is>
          <t>/Users/vincentc9002/model-prediction/data/odds/tennis/2026-09-05/polymarket_snapshots.jsonl</t>
        </is>
      </c>
      <c r="DF518" s="24" t="inlineStr">
        <is>
          <t>666477:2026-09-05T16:04:31.967484Z</t>
        </is>
      </c>
      <c r="DG518" s="24" t="n"/>
      <c r="DH518" s="24" t="n"/>
      <c r="DI518" s="24" t="n"/>
      <c r="DJ518" s="24" t="inlineStr">
        <is>
          <t>0.585062</t>
        </is>
      </c>
      <c r="DK518" s="24" t="n"/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49128e6d4e204b95</t>
        </is>
      </c>
      <c r="B519" s="24" t="inlineStr">
        <is>
          <t>2026-09-05T16:05:16.623786Z</t>
        </is>
      </c>
      <c r="C519" s="24" t="inlineStr">
        <is>
          <t>2026-09-05T20:30Z</t>
        </is>
      </c>
      <c r="D519" s="24" t="inlineStr">
        <is>
          <t>189-2026:182757</t>
        </is>
      </c>
      <c r="E519" s="24" t="inlineStr">
        <is>
          <t>TENNIS</t>
        </is>
      </c>
      <c r="F519" s="24" t="inlineStr">
        <is>
          <t>Botic Van De Zandschulp</t>
        </is>
      </c>
      <c r="G519" s="24" t="inlineStr">
        <is>
          <t>Zizou Bergs</t>
        </is>
      </c>
      <c r="H519" s="24" t="inlineStr">
        <is>
          <t>moneyline</t>
        </is>
      </c>
      <c r="I519" s="24" t="inlineStr">
        <is>
          <t>away</t>
        </is>
      </c>
      <c r="J519" s="25" t="n"/>
      <c r="K519" s="24" t="inlineStr">
        <is>
          <t>polymarket_us</t>
        </is>
      </c>
      <c r="L519" s="26" t="n">
        <v>-194</v>
      </c>
      <c r="M519" s="27" t="n">
        <v>1.515464</v>
      </c>
      <c r="N519" s="28" t="n">
        <v>0.659864</v>
      </c>
      <c r="O519" s="28" t="n">
        <v>0.5688</v>
      </c>
      <c r="P519" s="28" t="n">
        <v>0.05</v>
      </c>
      <c r="Q519" s="28" t="n">
        <v>-0.09106400000000001</v>
      </c>
      <c r="R519" s="26" t="n">
        <v>0</v>
      </c>
      <c r="S519" s="29" t="n">
        <v>1</v>
      </c>
      <c r="T519" s="24" t="inlineStr">
        <is>
          <t>tennis-surface-elo-v1</t>
        </is>
      </c>
      <c r="U519" s="24" t="inlineStr">
        <is>
          <t>settled</t>
        </is>
      </c>
      <c r="V519" s="24" t="inlineStr">
        <is>
          <t>win</t>
        </is>
      </c>
      <c r="W519" s="26" t="n">
        <v>1</v>
      </c>
      <c r="X519" s="26" t="n">
        <v>0</v>
      </c>
      <c r="Y519" s="25" t="n"/>
      <c r="Z519" s="26" t="n">
        <v>-194</v>
      </c>
      <c r="AA519" s="28" t="n">
        <v>0.66</v>
      </c>
      <c r="AB519" s="28" t="n">
        <v>0.000136</v>
      </c>
      <c r="AC519" s="30" t="n">
        <v>0.5155</v>
      </c>
      <c r="AD519" s="24" t="inlineStr">
        <is>
          <t>2026-09-06T04:30:21.149136Z</t>
        </is>
      </c>
      <c r="AE519" s="31" t="inlineStr">
        <is>
          <t>Surface-blended Elo on Hard: Botic Van De Zandschulp p=0.569 vs Zizou Bergs. Executable ask 0.6600 (aec-atp-zizber-botzan-2026-09-05).</t>
        </is>
      </c>
      <c r="AF519" s="31" t="inlineStr">
        <is>
          <t>Surface-blended Elo model; singles only, WTA+ATP market coverage, not yet locked-holdout qualified -- promoted by explicit operator directive, not genuine walk-forward validation.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Botic Van De Zandschulp</t>
        </is>
      </c>
      <c r="AQ519" s="24" t="inlineStr">
        <is>
          <t>Botic Van De Zandschulp</t>
        </is>
      </c>
      <c r="AR519" s="24" t="inlineStr">
        <is>
          <t>Botic Van De Zandschulp</t>
        </is>
      </c>
      <c r="AS519" s="24" t="inlineStr">
        <is>
          <t>Zizou Bergs</t>
        </is>
      </c>
      <c r="AT519" s="24" t="inlineStr">
        <is>
          <t>Zizou Bergs</t>
        </is>
      </c>
      <c r="AU519" s="24" t="inlineStr">
        <is>
          <t>Zizou Bergs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0ce66f49b381187fe6255a40ca2fdbfc155d5e36125ccf6d30fe81a72962eafa</t>
        </is>
      </c>
      <c r="BB519" s="24" t="inlineStr">
        <is>
          <t>surface_blended_elo</t>
        </is>
      </c>
      <c r="BC519" s="24" t="inlineStr">
        <is>
          <t>tennis-surface-elo-v1</t>
        </is>
      </c>
      <c r="BD519" s="24" t="inlineStr">
        <is>
          <t>0ce66f49b381187fe6255a40ca2fdbfc155d5e36125ccf6d30fe81a72962eafa</t>
        </is>
      </c>
      <c r="BE519" s="24" t="inlineStr">
        <is>
          <t>tennis-surface-elo-v1</t>
        </is>
      </c>
      <c r="BF519" s="24" t="inlineStr">
        <is>
          <t>1</t>
        </is>
      </c>
      <c r="BG519" s="24" t="inlineStr">
        <is>
          <t>0ce66f49b381187fe6255a40ca2fdbfc155d5e36125ccf6d30fe81a72962eafa</t>
        </is>
      </c>
      <c r="BH519" s="24" t="inlineStr">
        <is>
          <t>2026-09-05T16:04:32.499726Z</t>
        </is>
      </c>
      <c r="BI519" s="24" t="inlineStr">
        <is>
          <t>["same_event","same_team_same_day","same_league_same_day"]</t>
        </is>
      </c>
      <c r="BJ519" s="25" t="n"/>
      <c r="BK519" s="26" t="n">
        <v>-194</v>
      </c>
      <c r="BL519" s="27" t="n">
        <v>1.515464</v>
      </c>
      <c r="BM519" s="28" t="n">
        <v>0.659864</v>
      </c>
      <c r="BN519" s="28" t="n"/>
      <c r="BO519" s="28" t="n"/>
      <c r="BP519" s="25" t="n"/>
      <c r="BQ519" s="27" t="n">
        <v>1.515464</v>
      </c>
      <c r="BR519" s="28" t="n">
        <v>0.66</v>
      </c>
      <c r="BS519" s="28" t="n"/>
      <c r="BT519" s="28" t="n"/>
      <c r="BU519" s="25" t="n"/>
      <c r="BV519" s="29" t="n"/>
      <c r="BW519" s="24" t="n"/>
      <c r="BX519" s="30" t="n">
        <v>1</v>
      </c>
      <c r="BY519" s="27" t="n">
        <v>0.515464</v>
      </c>
      <c r="BZ519" s="24" t="inlineStr">
        <is>
          <t>2026-09-06T04:30:21.149136Z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inlineStr">
        <is>
          <t>71097e5553cf34a110eecf72a1526fe074e361777850237561d9201b87179bf2</t>
        </is>
      </c>
      <c r="DE519" s="24" t="inlineStr">
        <is>
          <t>/Users/vincentc9002/model-prediction/data/odds/tennis/2026-09-05/polymarket_snapshots.jsonl</t>
        </is>
      </c>
      <c r="DF519" s="24" t="inlineStr">
        <is>
          <t>666476:2026-09-05T16:04:32.499726Z</t>
        </is>
      </c>
      <c r="DG519" s="24" t="n"/>
      <c r="DH519" s="24" t="n"/>
      <c r="DI519" s="24" t="n"/>
      <c r="DJ519" s="24" t="inlineStr">
        <is>
          <t>0.659864</t>
        </is>
      </c>
      <c r="DK519" s="24" t="n"/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25d318f355114a6e</t>
        </is>
      </c>
      <c r="B520" s="24" t="inlineStr">
        <is>
          <t>2026-09-05T22:05:16.756925Z</t>
        </is>
      </c>
      <c r="C520" s="24" t="inlineStr">
        <is>
          <t>2026-09-05T23:00Z</t>
        </is>
      </c>
      <c r="D520" s="24" t="inlineStr">
        <is>
          <t>189-2026:182566</t>
        </is>
      </c>
      <c r="E520" s="24" t="inlineStr">
        <is>
          <t>TENNIS</t>
        </is>
      </c>
      <c r="F520" s="24" t="inlineStr">
        <is>
          <t>Elise Mertens</t>
        </is>
      </c>
      <c r="G520" s="24" t="inlineStr">
        <is>
          <t>Naomi Osaka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polymarket_us</t>
        </is>
      </c>
      <c r="L520" s="26" t="n">
        <v>-277</v>
      </c>
      <c r="M520" s="27" t="n">
        <v>1.361011</v>
      </c>
      <c r="N520" s="28" t="n">
        <v>0.734748</v>
      </c>
      <c r="O520" s="28" t="n">
        <v>0.6261</v>
      </c>
      <c r="P520" s="28" t="n">
        <v>0.05</v>
      </c>
      <c r="Q520" s="28" t="n">
        <v>-0.108648</v>
      </c>
      <c r="R520" s="26" t="n">
        <v>0</v>
      </c>
      <c r="S520" s="29" t="n">
        <v>1</v>
      </c>
      <c r="T520" s="24" t="inlineStr">
        <is>
          <t>tennis-surface-elo-v1</t>
        </is>
      </c>
      <c r="U520" s="24" t="inlineStr">
        <is>
          <t>settled</t>
        </is>
      </c>
      <c r="V520" s="24" t="inlineStr">
        <is>
          <t>win</t>
        </is>
      </c>
      <c r="W520" s="26" t="n">
        <v>0</v>
      </c>
      <c r="X520" s="26" t="n">
        <v>1</v>
      </c>
      <c r="Y520" s="25" t="n"/>
      <c r="Z520" s="26" t="n">
        <v>-277</v>
      </c>
      <c r="AA520" s="28" t="n">
        <v>0.735</v>
      </c>
      <c r="AB520" s="28" t="n">
        <v>0.000252</v>
      </c>
      <c r="AC520" s="30" t="n">
        <v>0.361</v>
      </c>
      <c r="AD520" s="24" t="inlineStr">
        <is>
          <t>2026-09-06T04:31:19.652504Z</t>
        </is>
      </c>
      <c r="AE520" s="31" t="inlineStr">
        <is>
          <t>Surface-blended Elo on Hard: Elise Mertens p=0.374 vs Naomi Osaka. Executable ask 0.7350 (aec-wta-naoosa-elimer-2026-09-04).</t>
        </is>
      </c>
      <c r="AF520" s="31" t="inlineStr">
        <is>
          <t>Surface-blended Elo model; singles only, WTA+ATP market coverage, not yet locked-holdout qualified -- promoted by explicit operator directive, not genuine walk-forward validation.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Elise Mertens</t>
        </is>
      </c>
      <c r="AQ520" s="24" t="inlineStr">
        <is>
          <t>Elise Mertens</t>
        </is>
      </c>
      <c r="AR520" s="24" t="inlineStr">
        <is>
          <t>Elise Mertens</t>
        </is>
      </c>
      <c r="AS520" s="24" t="inlineStr">
        <is>
          <t>Naomi Osaka</t>
        </is>
      </c>
      <c r="AT520" s="24" t="inlineStr">
        <is>
          <t>Naomi Osaka</t>
        </is>
      </c>
      <c r="AU520" s="24" t="inlineStr">
        <is>
          <t>Naomi Osaka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0ce66f49b381187fe6255a40ca2fdbfc155d5e36125ccf6d30fe81a72962eafa</t>
        </is>
      </c>
      <c r="BB520" s="24" t="inlineStr">
        <is>
          <t>surface_blended_elo</t>
        </is>
      </c>
      <c r="BC520" s="24" t="inlineStr">
        <is>
          <t>tennis-surface-elo-v1</t>
        </is>
      </c>
      <c r="BD520" s="24" t="inlineStr">
        <is>
          <t>0ce66f49b381187fe6255a40ca2fdbfc155d5e36125ccf6d30fe81a72962eafa</t>
        </is>
      </c>
      <c r="BE520" s="24" t="inlineStr">
        <is>
          <t>tennis-surface-elo-v1</t>
        </is>
      </c>
      <c r="BF520" s="24" t="inlineStr">
        <is>
          <t>1</t>
        </is>
      </c>
      <c r="BG520" s="24" t="inlineStr">
        <is>
          <t>0ce66f49b381187fe6255a40ca2fdbfc155d5e36125ccf6d30fe81a72962eafa</t>
        </is>
      </c>
      <c r="BH520" s="24" t="inlineStr">
        <is>
          <t>2026-09-05T22:04:36.749618Z</t>
        </is>
      </c>
      <c r="BI520" s="24" t="inlineStr">
        <is>
          <t>["same_event","same_team_same_day","same_league_same_day"]</t>
        </is>
      </c>
      <c r="BJ520" s="25" t="n"/>
      <c r="BK520" s="26" t="n">
        <v>-277</v>
      </c>
      <c r="BL520" s="27" t="n">
        <v>1.361011</v>
      </c>
      <c r="BM520" s="28" t="n">
        <v>0.734748</v>
      </c>
      <c r="BN520" s="28" t="n"/>
      <c r="BO520" s="28" t="n"/>
      <c r="BP520" s="25" t="n"/>
      <c r="BQ520" s="27" t="n">
        <v>1.361011</v>
      </c>
      <c r="BR520" s="28" t="n">
        <v>0.735</v>
      </c>
      <c r="BS520" s="28" t="n"/>
      <c r="BT520" s="28" t="n"/>
      <c r="BU520" s="25" t="n"/>
      <c r="BV520" s="29" t="n"/>
      <c r="BW520" s="24" t="n"/>
      <c r="BX520" s="30" t="n">
        <v>1</v>
      </c>
      <c r="BY520" s="27" t="n">
        <v>0.361011</v>
      </c>
      <c r="BZ520" s="24" t="inlineStr">
        <is>
          <t>2026-09-06T04:31:19.652504Z</t>
        </is>
      </c>
      <c r="CA520" s="31" t="inlineStr">
        <is>
          <t>fixed one-unit hypothetical scoring; no real exposure or execution</t>
        </is>
      </c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inlineStr">
        <is>
          <t>fdda4bbfcd44466de909ecf9c5799c23156934aae49170f67e9afe477db59ec0</t>
        </is>
      </c>
      <c r="DE520" s="24" t="inlineStr">
        <is>
          <t>/Users/vincentc9002/model-prediction/data/odds/tennis/2026-09-05/polymarket_snapshots.jsonl</t>
        </is>
      </c>
      <c r="DF520" s="24" t="inlineStr">
        <is>
          <t>663583:2026-09-05T22:04:36.749618Z</t>
        </is>
      </c>
      <c r="DG520" s="24" t="n"/>
      <c r="DH520" s="24" t="n"/>
      <c r="DI520" s="24" t="n"/>
      <c r="DJ520" s="24" t="inlineStr">
        <is>
          <t>0.734748</t>
        </is>
      </c>
      <c r="DK520" s="24" t="n"/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5fc38da6e4a8412b</t>
        </is>
      </c>
      <c r="B521" s="24" t="inlineStr">
        <is>
          <t>2026-09-05T22:05:16.756925Z</t>
        </is>
      </c>
      <c r="C521" s="24" t="inlineStr">
        <is>
          <t>2026-09-05T23:00Z</t>
        </is>
      </c>
      <c r="D521" s="24" t="inlineStr">
        <is>
          <t>189-2026:182578</t>
        </is>
      </c>
      <c r="E521" s="24" t="inlineStr">
        <is>
          <t>TENNIS</t>
        </is>
      </c>
      <c r="F521" s="24" t="inlineStr">
        <is>
          <t>Alexandra Eala</t>
        </is>
      </c>
      <c r="G521" s="24" t="inlineStr">
        <is>
          <t>Iva Jovic</t>
        </is>
      </c>
      <c r="H521" s="24" t="inlineStr">
        <is>
          <t>moneyline</t>
        </is>
      </c>
      <c r="I521" s="24" t="inlineStr">
        <is>
          <t>home</t>
        </is>
      </c>
      <c r="J521" s="25" t="n"/>
      <c r="K521" s="24" t="inlineStr">
        <is>
          <t>polymarket_us</t>
        </is>
      </c>
      <c r="L521" s="26" t="n">
        <v>-113</v>
      </c>
      <c r="M521" s="27" t="n">
        <v>1.884956</v>
      </c>
      <c r="N521" s="28" t="n">
        <v>0.530516</v>
      </c>
      <c r="O521" s="28" t="n">
        <v>0.5548</v>
      </c>
      <c r="P521" s="28" t="n">
        <v>0.05</v>
      </c>
      <c r="Q521" s="28" t="n">
        <v>0.024284</v>
      </c>
      <c r="R521" s="26" t="n">
        <v>32</v>
      </c>
      <c r="S521" s="29" t="n">
        <v>1</v>
      </c>
      <c r="T521" s="24" t="inlineStr">
        <is>
          <t>tennis-surface-elo-v1</t>
        </is>
      </c>
      <c r="U521" s="24" t="inlineStr">
        <is>
          <t>settled</t>
        </is>
      </c>
      <c r="V521" s="24" t="inlineStr">
        <is>
          <t>win</t>
        </is>
      </c>
      <c r="W521" s="26" t="n">
        <v>0</v>
      </c>
      <c r="X521" s="26" t="n">
        <v>1</v>
      </c>
      <c r="Y521" s="25" t="n"/>
      <c r="Z521" s="26" t="n">
        <v>-113</v>
      </c>
      <c r="AA521" s="28" t="n">
        <v>0.53</v>
      </c>
      <c r="AB521" s="28" t="n">
        <v>-0.000516</v>
      </c>
      <c r="AC521" s="30" t="n">
        <v>0.885</v>
      </c>
      <c r="AD521" s="24" t="inlineStr">
        <is>
          <t>2026-09-06T04:31:20.733635Z</t>
        </is>
      </c>
      <c r="AE521" s="31" t="inlineStr">
        <is>
          <t>Surface-blended Elo on Hard: Alexandra Eala p=0.445 vs Iva Jovic. Executable ask 0.5300 (aec-wta-ivajov-aleeal-2026-09-05).</t>
        </is>
      </c>
      <c r="AF521" s="31" t="inlineStr">
        <is>
          <t>Surface-blended Elo model; singles only, WTA+ATP market coverage, not yet locked-holdout qualified -- promoted by explicit operator directive, not genuine walk-forward validation.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paper_call</t>
        </is>
      </c>
      <c r="AL521" s="26" t="n">
        <v>4</v>
      </c>
      <c r="AM521" s="24" t="inlineStr">
        <is>
          <t>RESEARCH_OBSERVATION</t>
        </is>
      </c>
      <c r="AN521" s="24" t="inlineStr">
        <is>
          <t>CALL</t>
        </is>
      </c>
      <c r="AO521" s="24" t="inlineStr">
        <is>
          <t>PAPER_CALL_LOW_EDGE</t>
        </is>
      </c>
      <c r="AP521" s="24" t="inlineStr">
        <is>
          <t>Alexandra Eala</t>
        </is>
      </c>
      <c r="AQ521" s="24" t="inlineStr">
        <is>
          <t>Alexandra Eala</t>
        </is>
      </c>
      <c r="AR521" s="24" t="inlineStr">
        <is>
          <t>Alexandra Eala</t>
        </is>
      </c>
      <c r="AS521" s="24" t="inlineStr">
        <is>
          <t>Iva Jovic</t>
        </is>
      </c>
      <c r="AT521" s="24" t="inlineStr">
        <is>
          <t>Iva Jovic</t>
        </is>
      </c>
      <c r="AU521" s="24" t="inlineStr">
        <is>
          <t>Iva Jovic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0ce66f49b381187fe6255a40ca2fdbfc155d5e36125ccf6d30fe81a72962eafa</t>
        </is>
      </c>
      <c r="BB521" s="24" t="inlineStr">
        <is>
          <t>surface_blended_elo</t>
        </is>
      </c>
      <c r="BC521" s="24" t="inlineStr">
        <is>
          <t>tennis-surface-elo-v1</t>
        </is>
      </c>
      <c r="BD521" s="24" t="inlineStr">
        <is>
          <t>0ce66f49b381187fe6255a40ca2fdbfc155d5e36125ccf6d30fe81a72962eafa</t>
        </is>
      </c>
      <c r="BE521" s="24" t="inlineStr">
        <is>
          <t>tennis-surface-elo-v1</t>
        </is>
      </c>
      <c r="BF521" s="24" t="inlineStr">
        <is>
          <t>1</t>
        </is>
      </c>
      <c r="BG521" s="24" t="inlineStr">
        <is>
          <t>0ce66f49b381187fe6255a40ca2fdbfc155d5e36125ccf6d30fe81a72962eafa</t>
        </is>
      </c>
      <c r="BH521" s="24" t="inlineStr">
        <is>
          <t>2026-09-05T22:04:36.654034Z</t>
        </is>
      </c>
      <c r="BI521" s="24" t="inlineStr">
        <is>
          <t>["same_event","same_team_same_day","same_league_same_day"]</t>
        </is>
      </c>
      <c r="BJ521" s="25" t="n"/>
      <c r="BK521" s="26" t="n">
        <v>-113</v>
      </c>
      <c r="BL521" s="27" t="n">
        <v>1.884956</v>
      </c>
      <c r="BM521" s="28" t="n">
        <v>0.530516</v>
      </c>
      <c r="BN521" s="28" t="n"/>
      <c r="BO521" s="28" t="n"/>
      <c r="BP521" s="25" t="n"/>
      <c r="BQ521" s="27" t="n">
        <v>1.884956</v>
      </c>
      <c r="BR521" s="28" t="n">
        <v>0.53</v>
      </c>
      <c r="BS521" s="28" t="n"/>
      <c r="BT521" s="28" t="n"/>
      <c r="BU521" s="25" t="n"/>
      <c r="BV521" s="29" t="n"/>
      <c r="BW521" s="24" t="n"/>
      <c r="BX521" s="30" t="n">
        <v>1</v>
      </c>
      <c r="BY521" s="27" t="n">
        <v>0.884957</v>
      </c>
      <c r="BZ521" s="24" t="inlineStr">
        <is>
          <t>2026-09-06T04:31:20.733635Z</t>
        </is>
      </c>
      <c r="CA521" s="31" t="inlineStr">
        <is>
          <t>fixed one-unit hypothetical scoring; no real exposure or execution</t>
        </is>
      </c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inlineStr">
        <is>
          <t>5d4f99c7fe4f3a0ad93431cfb332665b6610231025bb8e0fc9ada6e78b52be24</t>
        </is>
      </c>
      <c r="DE521" s="24" t="inlineStr">
        <is>
          <t>/Users/vincentc9002/model-prediction/data/odds/tennis/2026-09-05/polymarket_snapshots.jsonl</t>
        </is>
      </c>
      <c r="DF521" s="24" t="inlineStr">
        <is>
          <t>666356:2026-09-05T22:04:36.654034Z</t>
        </is>
      </c>
      <c r="DG521" s="24" t="n"/>
      <c r="DH521" s="24" t="n"/>
      <c r="DI521" s="24" t="n"/>
      <c r="DJ521" s="24" t="inlineStr">
        <is>
          <t>0.530516</t>
        </is>
      </c>
      <c r="DK521" s="24" t="n"/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5a4fe447c3d04af7</t>
        </is>
      </c>
      <c r="B522" s="24" t="inlineStr">
        <is>
          <t>2026-09-05T22:05:16.756925Z</t>
        </is>
      </c>
      <c r="C522" s="24" t="inlineStr">
        <is>
          <t>2026-09-06T00:30Z</t>
        </is>
      </c>
      <c r="D522" s="24" t="inlineStr">
        <is>
          <t>189-2026:182699</t>
        </is>
      </c>
      <c r="E522" s="24" t="inlineStr">
        <is>
          <t>TENNIS</t>
        </is>
      </c>
      <c r="F522" s="24" t="inlineStr">
        <is>
          <t>Alejandro Tabilo</t>
        </is>
      </c>
      <c r="G522" s="24" t="inlineStr">
        <is>
          <t>Alexander Zverev</t>
        </is>
      </c>
      <c r="H522" s="24" t="inlineStr">
        <is>
          <t>moneyline</t>
        </is>
      </c>
      <c r="I522" s="24" t="inlineStr">
        <is>
          <t>home</t>
        </is>
      </c>
      <c r="J522" s="25" t="n"/>
      <c r="K522" s="24" t="inlineStr">
        <is>
          <t>polymarket_us</t>
        </is>
      </c>
      <c r="L522" s="26" t="n">
        <v>-506</v>
      </c>
      <c r="M522" s="27" t="n">
        <v>1.197628</v>
      </c>
      <c r="N522" s="28" t="n">
        <v>0.834983</v>
      </c>
      <c r="O522" s="28" t="n">
        <v>0.7926</v>
      </c>
      <c r="P522" s="28" t="n">
        <v>0.05</v>
      </c>
      <c r="Q522" s="28" t="n">
        <v>-0.042383</v>
      </c>
      <c r="R522" s="26" t="n">
        <v>0</v>
      </c>
      <c r="S522" s="29" t="n">
        <v>1</v>
      </c>
      <c r="T522" s="24" t="inlineStr">
        <is>
          <t>tennis-surface-elo-v1</t>
        </is>
      </c>
      <c r="U522" s="24" t="inlineStr">
        <is>
          <t>settled</t>
        </is>
      </c>
      <c r="V522" s="24" t="inlineStr">
        <is>
          <t>win</t>
        </is>
      </c>
      <c r="W522" s="26" t="n">
        <v>0</v>
      </c>
      <c r="X522" s="26" t="n">
        <v>1</v>
      </c>
      <c r="Y522" s="25" t="n"/>
      <c r="Z522" s="26" t="n">
        <v>-506</v>
      </c>
      <c r="AA522" s="28" t="n">
        <v>0.835</v>
      </c>
      <c r="AB522" s="28" t="n">
        <v>1.7e-05</v>
      </c>
      <c r="AC522" s="30" t="n">
        <v>0.1976</v>
      </c>
      <c r="AD522" s="24" t="inlineStr">
        <is>
          <t>2026-09-06T10:00:15.903186Z</t>
        </is>
      </c>
      <c r="AE522" s="31" t="inlineStr">
        <is>
          <t>Surface-blended Elo on Hard: Alejandro Tabilo p=0.207 vs Alexander Zverev. Executable ask 0.8350 (aec-atp-alezve-aletab-2026-09-05).</t>
        </is>
      </c>
      <c r="AF522" s="31" t="inlineStr">
        <is>
          <t>Surface-blended Elo model; singles only, WTA+ATP market coverage, not yet locked-holdout qualified -- promoted by explicit operator directive, not genuine walk-forward validation.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Alejandro Tabilo</t>
        </is>
      </c>
      <c r="AQ522" s="24" t="inlineStr">
        <is>
          <t>Alejandro Tabilo</t>
        </is>
      </c>
      <c r="AR522" s="24" t="inlineStr">
        <is>
          <t>Alejandro Tabilo</t>
        </is>
      </c>
      <c r="AS522" s="24" t="inlineStr">
        <is>
          <t>Alexander Zverev</t>
        </is>
      </c>
      <c r="AT522" s="24" t="inlineStr">
        <is>
          <t>Alexander Zverev</t>
        </is>
      </c>
      <c r="AU522" s="24" t="inlineStr">
        <is>
          <t>Alexander Zverev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0ce66f49b381187fe6255a40ca2fdbfc155d5e36125ccf6d30fe81a72962eafa</t>
        </is>
      </c>
      <c r="BB522" s="24" t="inlineStr">
        <is>
          <t>surface_blended_elo</t>
        </is>
      </c>
      <c r="BC522" s="24" t="inlineStr">
        <is>
          <t>tennis-surface-elo-v1</t>
        </is>
      </c>
      <c r="BD522" s="24" t="inlineStr">
        <is>
          <t>0ce66f49b381187fe6255a40ca2fdbfc155d5e36125ccf6d30fe81a72962eafa</t>
        </is>
      </c>
      <c r="BE522" s="24" t="inlineStr">
        <is>
          <t>tennis-surface-elo-v1</t>
        </is>
      </c>
      <c r="BF522" s="24" t="inlineStr">
        <is>
          <t>1</t>
        </is>
      </c>
      <c r="BG522" s="24" t="inlineStr">
        <is>
          <t>0ce66f49b381187fe6255a40ca2fdbfc155d5e36125ccf6d30fe81a72962eafa</t>
        </is>
      </c>
      <c r="BH522" s="24" t="inlineStr">
        <is>
          <t>2026-09-05T22:04:39.567909Z</t>
        </is>
      </c>
      <c r="BI522" s="24" t="inlineStr">
        <is>
          <t>["same_event","same_team_same_day","same_league_same_day"]</t>
        </is>
      </c>
      <c r="BJ522" s="25" t="n"/>
      <c r="BK522" s="26" t="n">
        <v>-506</v>
      </c>
      <c r="BL522" s="27" t="n">
        <v>1.197628</v>
      </c>
      <c r="BM522" s="28" t="n">
        <v>0.834983</v>
      </c>
      <c r="BN522" s="28" t="n"/>
      <c r="BO522" s="28" t="n"/>
      <c r="BP522" s="25" t="n"/>
      <c r="BQ522" s="27" t="n">
        <v>1.197628</v>
      </c>
      <c r="BR522" s="28" t="n">
        <v>0.835</v>
      </c>
      <c r="BS522" s="28" t="n"/>
      <c r="BT522" s="28" t="n"/>
      <c r="BU522" s="25" t="n"/>
      <c r="BV522" s="29" t="n"/>
      <c r="BW522" s="24" t="n"/>
      <c r="BX522" s="30" t="n">
        <v>1</v>
      </c>
      <c r="BY522" s="27" t="n">
        <v>0.197629</v>
      </c>
      <c r="BZ522" s="24" t="inlineStr">
        <is>
          <t>2026-09-06T10:00:15.903186Z</t>
        </is>
      </c>
      <c r="CA522" s="31" t="inlineStr">
        <is>
          <t>fixed one-unit hypothetical scoring; no real exposure or execution</t>
        </is>
      </c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inlineStr">
        <is>
          <t>0c3157e9fd90e7549edb009ac310a969ba18dbc127389c0f2be5a93d0f97ba78</t>
        </is>
      </c>
      <c r="DE522" s="24" t="inlineStr">
        <is>
          <t>/Users/vincentc9002/model-prediction/data/odds/tennis/2026-09-05/polymarket_snapshots.jsonl</t>
        </is>
      </c>
      <c r="DF522" s="24" t="inlineStr">
        <is>
          <t>668908:2026-09-05T22:04:39.567909Z</t>
        </is>
      </c>
      <c r="DG522" s="24" t="n"/>
      <c r="DH522" s="24" t="n"/>
      <c r="DI522" s="24" t="n"/>
      <c r="DJ522" s="24" t="inlineStr">
        <is>
          <t>0.834983</t>
        </is>
      </c>
      <c r="DK522" s="24" t="n"/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7ffae7540e4d4264</t>
        </is>
      </c>
      <c r="B523" s="24" t="inlineStr">
        <is>
          <t>2026-09-05T22:05:16.756925Z</t>
        </is>
      </c>
      <c r="C523" s="24" t="inlineStr">
        <is>
          <t>2026-09-06T00:30Z</t>
        </is>
      </c>
      <c r="D523" s="24" t="inlineStr">
        <is>
          <t>189-2026:182728</t>
        </is>
      </c>
      <c r="E523" s="24" t="inlineStr">
        <is>
          <t>TENNIS</t>
        </is>
      </c>
      <c r="F523" s="24" t="inlineStr">
        <is>
          <t>Learner Tien</t>
        </is>
      </c>
      <c r="G523" s="24" t="inlineStr">
        <is>
          <t>Jakub Mensik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polymarket_us</t>
        </is>
      </c>
      <c r="L523" s="26" t="n">
        <v>-122</v>
      </c>
      <c r="M523" s="27" t="n">
        <v>1.819672</v>
      </c>
      <c r="N523" s="28" t="n">
        <v>0.54955</v>
      </c>
      <c r="O523" s="28" t="n">
        <v>0.5669999999999999</v>
      </c>
      <c r="P523" s="28" t="n">
        <v>0.05</v>
      </c>
      <c r="Q523" s="28" t="n">
        <v>0.01745</v>
      </c>
      <c r="R523" s="26" t="n">
        <v>29</v>
      </c>
      <c r="S523" s="29" t="n">
        <v>1</v>
      </c>
      <c r="T523" s="24" t="inlineStr">
        <is>
          <t>tennis-surface-elo-v1</t>
        </is>
      </c>
      <c r="U523" s="24" t="inlineStr">
        <is>
          <t>settled</t>
        </is>
      </c>
      <c r="V523" s="24" t="inlineStr">
        <is>
          <t>win</t>
        </is>
      </c>
      <c r="W523" s="26" t="n">
        <v>1</v>
      </c>
      <c r="X523" s="26" t="n">
        <v>0</v>
      </c>
      <c r="Y523" s="25" t="n"/>
      <c r="Z523" s="26" t="n">
        <v>-122</v>
      </c>
      <c r="AA523" s="28" t="n">
        <v>0.55</v>
      </c>
      <c r="AB523" s="28" t="n">
        <v>0.00045</v>
      </c>
      <c r="AC523" s="30" t="n">
        <v>0.8197</v>
      </c>
      <c r="AD523" s="24" t="inlineStr">
        <is>
          <t>2026-09-06T10:00:16.976519Z</t>
        </is>
      </c>
      <c r="AE523" s="31" t="inlineStr">
        <is>
          <t>Surface-blended Elo on Hard: Learner Tien p=0.567 vs Jakub Mensik. Executable ask 0.5500 (aec-atp-jakmen-leatie-2026-09-05).</t>
        </is>
      </c>
      <c r="AF523" s="31" t="inlineStr">
        <is>
          <t>Surface-blended Elo model; singles only, WTA+ATP market coverage, not yet locked-holdout qualified -- promoted by explicit operator directive, not genuine walk-forward validation.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paper_call</t>
        </is>
      </c>
      <c r="AL523" s="26" t="n">
        <v>4</v>
      </c>
      <c r="AM523" s="24" t="inlineStr">
        <is>
          <t>RESEARCH_OBSERVATION</t>
        </is>
      </c>
      <c r="AN523" s="24" t="inlineStr">
        <is>
          <t>CALL</t>
        </is>
      </c>
      <c r="AO523" s="24" t="inlineStr">
        <is>
          <t>PAPER_CALL_LOW_EDGE</t>
        </is>
      </c>
      <c r="AP523" s="24" t="inlineStr">
        <is>
          <t>Learner Tien</t>
        </is>
      </c>
      <c r="AQ523" s="24" t="inlineStr">
        <is>
          <t>Learner Tien</t>
        </is>
      </c>
      <c r="AR523" s="24" t="inlineStr">
        <is>
          <t>Learner Tien</t>
        </is>
      </c>
      <c r="AS523" s="24" t="inlineStr">
        <is>
          <t>Jakub Mensik</t>
        </is>
      </c>
      <c r="AT523" s="24" t="inlineStr">
        <is>
          <t>Jakub Mensik</t>
        </is>
      </c>
      <c r="AU523" s="24" t="inlineStr">
        <is>
          <t>Jakub Mensik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0ce66f49b381187fe6255a40ca2fdbfc155d5e36125ccf6d30fe81a72962eafa</t>
        </is>
      </c>
      <c r="BB523" s="24" t="inlineStr">
        <is>
          <t>surface_blended_elo</t>
        </is>
      </c>
      <c r="BC523" s="24" t="inlineStr">
        <is>
          <t>tennis-surface-elo-v1</t>
        </is>
      </c>
      <c r="BD523" s="24" t="inlineStr">
        <is>
          <t>0ce66f49b381187fe6255a40ca2fdbfc155d5e36125ccf6d30fe81a72962eafa</t>
        </is>
      </c>
      <c r="BE523" s="24" t="inlineStr">
        <is>
          <t>tennis-surface-elo-v1</t>
        </is>
      </c>
      <c r="BF523" s="24" t="inlineStr">
        <is>
          <t>1</t>
        </is>
      </c>
      <c r="BG523" s="24" t="inlineStr">
        <is>
          <t>0ce66f49b381187fe6255a40ca2fdbfc155d5e36125ccf6d30fe81a72962eafa</t>
        </is>
      </c>
      <c r="BH523" s="24" t="inlineStr">
        <is>
          <t>2026-09-05T22:04:39.476240Z</t>
        </is>
      </c>
      <c r="BI523" s="24" t="inlineStr">
        <is>
          <t>["same_event","same_team_same_day","same_league_same_day"]</t>
        </is>
      </c>
      <c r="BJ523" s="25" t="n"/>
      <c r="BK523" s="26" t="n">
        <v>-122</v>
      </c>
      <c r="BL523" s="27" t="n">
        <v>1.819672</v>
      </c>
      <c r="BM523" s="28" t="n">
        <v>0.54955</v>
      </c>
      <c r="BN523" s="28" t="n"/>
      <c r="BO523" s="28" t="n"/>
      <c r="BP523" s="25" t="n"/>
      <c r="BQ523" s="27" t="n">
        <v>1.819672</v>
      </c>
      <c r="BR523" s="28" t="n">
        <v>0.55</v>
      </c>
      <c r="BS523" s="28" t="n"/>
      <c r="BT523" s="28" t="n"/>
      <c r="BU523" s="25" t="n"/>
      <c r="BV523" s="29" t="n"/>
      <c r="BW523" s="24" t="n"/>
      <c r="BX523" s="30" t="n">
        <v>1</v>
      </c>
      <c r="BY523" s="27" t="n">
        <v>0.819671</v>
      </c>
      <c r="BZ523" s="24" t="inlineStr">
        <is>
          <t>2026-09-06T10:00:16.976519Z</t>
        </is>
      </c>
      <c r="CA523" s="31" t="inlineStr">
        <is>
          <t>fixed one-unit hypothetical scoring; no real exposure or execution</t>
        </is>
      </c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inlineStr">
        <is>
          <t>de59f87b4da75e2ba901302f56358734149ae936e410335d2780aaf0eaa6b581</t>
        </is>
      </c>
      <c r="DE523" s="24" t="inlineStr">
        <is>
          <t>/Users/vincentc9002/model-prediction/data/odds/tennis/2026-09-05/polymarket_snapshots.jsonl</t>
        </is>
      </c>
      <c r="DF523" s="24" t="inlineStr">
        <is>
          <t>666416:2026-09-05T22:04:39.476240Z</t>
        </is>
      </c>
      <c r="DG523" s="24" t="n"/>
      <c r="DH523" s="24" t="n"/>
      <c r="DI523" s="24" t="n"/>
      <c r="DJ523" s="24" t="inlineStr">
        <is>
          <t>0.54955</t>
        </is>
      </c>
      <c r="DK523" s="24" t="n"/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bb348d43d0d34fb9</t>
        </is>
      </c>
      <c r="B524" s="24" t="inlineStr">
        <is>
          <t>2026-09-06T10:03:24.787128Z</t>
        </is>
      </c>
      <c r="C524" s="24" t="inlineStr">
        <is>
          <t>2026-09-06T15:30Z</t>
        </is>
      </c>
      <c r="D524" s="24" t="inlineStr">
        <is>
          <t>189-2026:182541</t>
        </is>
      </c>
      <c r="E524" s="24" t="inlineStr">
        <is>
          <t>TENNIS</t>
        </is>
      </c>
      <c r="F524" s="24" t="inlineStr">
        <is>
          <t>Taylor Townsend</t>
        </is>
      </c>
      <c r="G524" s="24" t="inlineStr">
        <is>
          <t>Aryna Sabalenka</t>
        </is>
      </c>
      <c r="H524" s="24" t="inlineStr">
        <is>
          <t>moneyline</t>
        </is>
      </c>
      <c r="I524" s="24" t="inlineStr">
        <is>
          <t>home</t>
        </is>
      </c>
      <c r="J524" s="25" t="n"/>
      <c r="K524" s="24" t="inlineStr">
        <is>
          <t>polymarket_us</t>
        </is>
      </c>
      <c r="L524" s="26" t="n">
        <v>-471</v>
      </c>
      <c r="M524" s="27" t="n">
        <v>1.212314</v>
      </c>
      <c r="N524" s="28" t="n">
        <v>0.824869</v>
      </c>
      <c r="O524" s="28" t="n">
        <v>0.8376</v>
      </c>
      <c r="P524" s="28" t="n">
        <v>0.05</v>
      </c>
      <c r="Q524" s="28" t="n">
        <v>0.012731</v>
      </c>
      <c r="R524" s="26" t="n">
        <v>26</v>
      </c>
      <c r="S524" s="29" t="n">
        <v>1</v>
      </c>
      <c r="T524" s="24" t="inlineStr">
        <is>
          <t>tennis-surface-elo-v1</t>
        </is>
      </c>
      <c r="U524" s="24" t="inlineStr">
        <is>
          <t>settled</t>
        </is>
      </c>
      <c r="V524" s="24" t="inlineStr">
        <is>
          <t>win</t>
        </is>
      </c>
      <c r="W524" s="26" t="n">
        <v>0</v>
      </c>
      <c r="X524" s="26" t="n">
        <v>1</v>
      </c>
      <c r="Y524" s="25" t="n"/>
      <c r="Z524" s="26" t="n">
        <v>-471</v>
      </c>
      <c r="AA524" s="28" t="n">
        <v>0.825</v>
      </c>
      <c r="AB524" s="28" t="n">
        <v>0.000131</v>
      </c>
      <c r="AC524" s="30" t="n">
        <v>0.2123</v>
      </c>
      <c r="AD524" s="24" t="inlineStr">
        <is>
          <t>2026-09-06T22:00:21.107167Z</t>
        </is>
      </c>
      <c r="AE524" s="31" t="inlineStr">
        <is>
          <t>Surface-blended Elo on Hard: Taylor Townsend p=0.162 vs Aryna Sabalenka. Executable ask 0.8250 (aec-wta-arysab-taytow-2026-09-06).</t>
        </is>
      </c>
      <c r="AF524" s="31" t="inlineStr">
        <is>
          <t>Surface-blended Elo model; singles only, WTA+ATP market coverage, not yet locked-holdout qualified -- promoted by explicit operator directive, not genuine walk-forward validation.</t>
        </is>
      </c>
      <c r="AG524" s="24" t="inlineStr">
        <is>
          <t>not_applicable</t>
        </is>
      </c>
      <c r="AH524" s="24" t="n"/>
      <c r="AI524" s="31" t="n"/>
      <c r="AJ524" s="31" t="n"/>
      <c r="AK524" s="24" t="inlineStr">
        <is>
          <t>paper_call</t>
        </is>
      </c>
      <c r="AL524" s="26" t="n">
        <v>4</v>
      </c>
      <c r="AM524" s="24" t="inlineStr">
        <is>
          <t>RESEARCH_OBSERVATION</t>
        </is>
      </c>
      <c r="AN524" s="24" t="inlineStr">
        <is>
          <t>CALL</t>
        </is>
      </c>
      <c r="AO524" s="24" t="inlineStr">
        <is>
          <t>PAPER_CALL_LOW_EDGE</t>
        </is>
      </c>
      <c r="AP524" s="24" t="inlineStr">
        <is>
          <t>Taylor Townsend</t>
        </is>
      </c>
      <c r="AQ524" s="24" t="inlineStr">
        <is>
          <t>Taylor Townsend</t>
        </is>
      </c>
      <c r="AR524" s="24" t="inlineStr">
        <is>
          <t>Taylor Townsend</t>
        </is>
      </c>
      <c r="AS524" s="24" t="inlineStr">
        <is>
          <t>Aryna Sabalenka</t>
        </is>
      </c>
      <c r="AT524" s="24" t="inlineStr">
        <is>
          <t>Aryna Sabalenka</t>
        </is>
      </c>
      <c r="AU524" s="24" t="inlineStr">
        <is>
          <t>Aryna Sabalenka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0ce66f49b381187fe6255a40ca2fdbfc155d5e36125ccf6d30fe81a72962eafa</t>
        </is>
      </c>
      <c r="BB524" s="24" t="inlineStr">
        <is>
          <t>surface_blended_elo</t>
        </is>
      </c>
      <c r="BC524" s="24" t="inlineStr">
        <is>
          <t>tennis-surface-elo-v1</t>
        </is>
      </c>
      <c r="BD524" s="24" t="inlineStr">
        <is>
          <t>0ce66f49b381187fe6255a40ca2fdbfc155d5e36125ccf6d30fe81a72962eafa</t>
        </is>
      </c>
      <c r="BE524" s="24" t="inlineStr">
        <is>
          <t>tennis-surface-elo-v1</t>
        </is>
      </c>
      <c r="BF524" s="24" t="inlineStr">
        <is>
          <t>1</t>
        </is>
      </c>
      <c r="BG524" s="24" t="inlineStr">
        <is>
          <t>0ce66f49b381187fe6255a40ca2fdbfc155d5e36125ccf6d30fe81a72962eafa</t>
        </is>
      </c>
      <c r="BH524" s="24" t="inlineStr">
        <is>
          <t>2026-09-06T04:34:49.088325Z</t>
        </is>
      </c>
      <c r="BI524" s="24" t="inlineStr">
        <is>
          <t>["same_event","same_team_same_day","same_league_same_day"]</t>
        </is>
      </c>
      <c r="BJ524" s="25" t="n"/>
      <c r="BK524" s="26" t="n">
        <v>-471</v>
      </c>
      <c r="BL524" s="27" t="n">
        <v>1.212314</v>
      </c>
      <c r="BM524" s="28" t="n">
        <v>0.824869</v>
      </c>
      <c r="BN524" s="28" t="n"/>
      <c r="BO524" s="28" t="n"/>
      <c r="BP524" s="25" t="n"/>
      <c r="BQ524" s="27" t="n">
        <v>1.212314</v>
      </c>
      <c r="BR524" s="28" t="n">
        <v>0.825</v>
      </c>
      <c r="BS524" s="28" t="n"/>
      <c r="BT524" s="28" t="n"/>
      <c r="BU524" s="25" t="n"/>
      <c r="BV524" s="29" t="n"/>
      <c r="BW524" s="24" t="n"/>
      <c r="BX524" s="30" t="n">
        <v>1</v>
      </c>
      <c r="BY524" s="27" t="n">
        <v>0.212314</v>
      </c>
      <c r="BZ524" s="24" t="inlineStr">
        <is>
          <t>2026-09-06T22:00:21.107167Z</t>
        </is>
      </c>
      <c r="CA524" s="31" t="inlineStr">
        <is>
          <t>fixed one-unit hypothetical scoring; no real exposure or execution</t>
        </is>
      </c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inlineStr">
        <is>
          <t>a983c5d8ac5dea78c6e69c9bb9600acb1c2c156799abc03ecbbd95c825713246</t>
        </is>
      </c>
      <c r="DE524" s="24" t="inlineStr">
        <is>
          <t>/Users/vincentc9002/model-prediction/data/odds/tennis/2026-09-06/polymarket_snapshots.jsonl</t>
        </is>
      </c>
      <c r="DF524" s="24" t="inlineStr">
        <is>
          <t>675296:2026-09-06T04:34:49.088325Z</t>
        </is>
      </c>
      <c r="DG524" s="24" t="n"/>
      <c r="DH524" s="24" t="n"/>
      <c r="DI524" s="24" t="n"/>
      <c r="DJ524" s="24" t="inlineStr">
        <is>
          <t>0.824869</t>
        </is>
      </c>
      <c r="DK524" s="24" t="n"/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0ce9406322cc421d</t>
        </is>
      </c>
      <c r="B525" s="24" t="inlineStr">
        <is>
          <t>2026-09-06T16:03:12.878161Z</t>
        </is>
      </c>
      <c r="C525" s="24" t="inlineStr">
        <is>
          <t>2026-09-06T16:30Z</t>
        </is>
      </c>
      <c r="D525" s="24" t="inlineStr">
        <is>
          <t>189-2026:182571</t>
        </is>
      </c>
      <c r="E525" s="24" t="inlineStr">
        <is>
          <t>TENNIS</t>
        </is>
      </c>
      <c r="F525" s="24" t="inlineStr">
        <is>
          <t>Linda Noskova</t>
        </is>
      </c>
      <c r="G525" s="24" t="inlineStr">
        <is>
          <t>Marta Kostyuk</t>
        </is>
      </c>
      <c r="H525" s="24" t="inlineStr">
        <is>
          <t>moneyline</t>
        </is>
      </c>
      <c r="I525" s="24" t="inlineStr">
        <is>
          <t>home</t>
        </is>
      </c>
      <c r="J525" s="25" t="n"/>
      <c r="K525" s="24" t="inlineStr">
        <is>
          <t>polymarket_us</t>
        </is>
      </c>
      <c r="L525" s="26" t="n">
        <v>-138</v>
      </c>
      <c r="M525" s="27" t="n">
        <v>1.724638</v>
      </c>
      <c r="N525" s="28" t="n">
        <v>0.579832</v>
      </c>
      <c r="O525" s="28" t="n">
        <v>0.5659</v>
      </c>
      <c r="P525" s="28" t="n">
        <v>0.05</v>
      </c>
      <c r="Q525" s="28" t="n">
        <v>-0.013932</v>
      </c>
      <c r="R525" s="26" t="n">
        <v>13</v>
      </c>
      <c r="S525" s="29" t="n">
        <v>1</v>
      </c>
      <c r="T525" s="24" t="inlineStr">
        <is>
          <t>tennis-surface-elo-v1</t>
        </is>
      </c>
      <c r="U525" s="24" t="inlineStr">
        <is>
          <t>settled</t>
        </is>
      </c>
      <c r="V525" s="24" t="inlineStr">
        <is>
          <t>loss</t>
        </is>
      </c>
      <c r="W525" s="26" t="n">
        <v>1</v>
      </c>
      <c r="X525" s="26" t="n">
        <v>0</v>
      </c>
      <c r="Y525" s="25" t="n"/>
      <c r="Z525" s="26" t="n">
        <v>-138</v>
      </c>
      <c r="AA525" s="28" t="n">
        <v>0.58</v>
      </c>
      <c r="AB525" s="28" t="n">
        <v>0.000168</v>
      </c>
      <c r="AC525" s="30" t="n">
        <v>-1</v>
      </c>
      <c r="AD525" s="24" t="inlineStr">
        <is>
          <t>2026-09-06T22:01:03.770562Z</t>
        </is>
      </c>
      <c r="AE525" s="31" t="inlineStr">
        <is>
          <t>Surface-blended Elo on Hard: Linda Noskova p=0.434 vs Marta Kostyuk. Executable ask 0.5800 (aec-wta-markos-linnos-2026-09-06).</t>
        </is>
      </c>
      <c r="AF525" s="31" t="inlineStr">
        <is>
          <t>Surface-blended Elo model; singles only, WTA+ATP market coverage, not yet locked-holdout qualified -- promoted by explicit operator directive, not genuine walk-forward validation.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Linda Noskova</t>
        </is>
      </c>
      <c r="AQ525" s="24" t="inlineStr">
        <is>
          <t>Linda Noskova</t>
        </is>
      </c>
      <c r="AR525" s="24" t="inlineStr">
        <is>
          <t>Linda Noskova</t>
        </is>
      </c>
      <c r="AS525" s="24" t="inlineStr">
        <is>
          <t>Marta Kostyuk</t>
        </is>
      </c>
      <c r="AT525" s="24" t="inlineStr">
        <is>
          <t>Marta Kostyuk</t>
        </is>
      </c>
      <c r="AU525" s="24" t="inlineStr">
        <is>
          <t>Marta Kostyuk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0ce66f49b381187fe6255a40ca2fdbfc155d5e36125ccf6d30fe81a72962eafa</t>
        </is>
      </c>
      <c r="BB525" s="24" t="inlineStr">
        <is>
          <t>surface_blended_elo</t>
        </is>
      </c>
      <c r="BC525" s="24" t="inlineStr">
        <is>
          <t>tennis-surface-elo-v1</t>
        </is>
      </c>
      <c r="BD525" s="24" t="inlineStr">
        <is>
          <t>0ce66f49b381187fe6255a40ca2fdbfc155d5e36125ccf6d30fe81a72962eafa</t>
        </is>
      </c>
      <c r="BE525" s="24" t="inlineStr">
        <is>
          <t>tennis-surface-elo-v1</t>
        </is>
      </c>
      <c r="BF525" s="24" t="inlineStr">
        <is>
          <t>1</t>
        </is>
      </c>
      <c r="BG525" s="24" t="inlineStr">
        <is>
          <t>0ce66f49b381187fe6255a40ca2fdbfc155d5e36125ccf6d30fe81a72962eafa</t>
        </is>
      </c>
      <c r="BH525" s="24" t="inlineStr">
        <is>
          <t>2026-09-06T16:02:32.272692Z</t>
        </is>
      </c>
      <c r="BI525" s="24" t="inlineStr">
        <is>
          <t>["same_event","same_team_same_day","same_league_same_day"]</t>
        </is>
      </c>
      <c r="BJ525" s="25" t="n"/>
      <c r="BK525" s="26" t="n">
        <v>-138</v>
      </c>
      <c r="BL525" s="27" t="n">
        <v>1.724638</v>
      </c>
      <c r="BM525" s="28" t="n">
        <v>0.579832</v>
      </c>
      <c r="BN525" s="28" t="n"/>
      <c r="BO525" s="28" t="n"/>
      <c r="BP525" s="25" t="n"/>
      <c r="BQ525" s="27" t="n">
        <v>1.724638</v>
      </c>
      <c r="BR525" s="28" t="n">
        <v>0.58</v>
      </c>
      <c r="BS525" s="28" t="n"/>
      <c r="BT525" s="28" t="n"/>
      <c r="BU525" s="25" t="n"/>
      <c r="BV525" s="29" t="n"/>
      <c r="BW525" s="24" t="n"/>
      <c r="BX525" s="30" t="n">
        <v>1</v>
      </c>
      <c r="BY525" s="27" t="n">
        <v>-1</v>
      </c>
      <c r="BZ525" s="24" t="inlineStr">
        <is>
          <t>2026-09-06T22:01:03.770562Z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inlineStr">
        <is>
          <t>6018661262709fed2c8f77c3c37cbca8dadf4c38b1b66f582d093297b588c0bb</t>
        </is>
      </c>
      <c r="DE525" s="24" t="inlineStr">
        <is>
          <t>/Users/vincentc9002/model-prediction/data/odds/tennis/2026-09-06/polymarket_snapshots.jsonl</t>
        </is>
      </c>
      <c r="DF525" s="24" t="inlineStr">
        <is>
          <t>676672:2026-09-06T16:02:32.272692Z</t>
        </is>
      </c>
      <c r="DG525" s="24" t="n"/>
      <c r="DH525" s="24" t="n"/>
      <c r="DI525" s="24" t="n"/>
      <c r="DJ525" s="24" t="inlineStr">
        <is>
          <t>0.579832</t>
        </is>
      </c>
      <c r="DK525" s="24" t="n"/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daf8599585a548c2</t>
        </is>
      </c>
      <c r="B526" s="24" t="inlineStr">
        <is>
          <t>2026-09-06T16:03:12.878161Z</t>
        </is>
      </c>
      <c r="C526" s="24" t="inlineStr">
        <is>
          <t>2026-09-06T21:00Z</t>
        </is>
      </c>
      <c r="D526" s="24" t="inlineStr">
        <is>
          <t>189-2026:182582</t>
        </is>
      </c>
      <c r="E526" s="24" t="inlineStr">
        <is>
          <t>TENNIS</t>
        </is>
      </c>
      <c r="F526" s="24" t="inlineStr">
        <is>
          <t>Sorana Cirstea</t>
        </is>
      </c>
      <c r="G526" s="24" t="inlineStr">
        <is>
          <t>Jessica Pegula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polymarket_us</t>
        </is>
      </c>
      <c r="L526" s="26" t="n">
        <v>-257</v>
      </c>
      <c r="M526" s="27" t="n">
        <v>1.389105</v>
      </c>
      <c r="N526" s="28" t="n">
        <v>0.719888</v>
      </c>
      <c r="O526" s="28" t="n">
        <v>0.7429</v>
      </c>
      <c r="P526" s="28" t="n">
        <v>0.05</v>
      </c>
      <c r="Q526" s="28" t="n">
        <v>0.023012</v>
      </c>
      <c r="R526" s="26" t="n">
        <v>32</v>
      </c>
      <c r="S526" s="29" t="n">
        <v>1</v>
      </c>
      <c r="T526" s="24" t="inlineStr">
        <is>
          <t>tennis-surface-elo-v1</t>
        </is>
      </c>
      <c r="U526" s="24" t="inlineStr">
        <is>
          <t>settled</t>
        </is>
      </c>
      <c r="V526" s="24" t="inlineStr">
        <is>
          <t>win</t>
        </is>
      </c>
      <c r="W526" s="26" t="n">
        <v>0</v>
      </c>
      <c r="X526" s="26" t="n">
        <v>1</v>
      </c>
      <c r="Y526" s="25" t="n"/>
      <c r="Z526" s="26" t="n">
        <v>-257</v>
      </c>
      <c r="AA526" s="28" t="n">
        <v>0.72</v>
      </c>
      <c r="AB526" s="28" t="n">
        <v>0.000112</v>
      </c>
      <c r="AC526" s="30" t="n">
        <v>0.3891</v>
      </c>
      <c r="AD526" s="24" t="inlineStr">
        <is>
          <t>2026-09-07T04:30:32.707181Z</t>
        </is>
      </c>
      <c r="AE526" s="31" t="inlineStr">
        <is>
          <t>Surface-blended Elo on Hard: Sorana Cirstea p=0.257 vs Jessica Pegula. Executable ask 0.7200 (aec-wta-jespeg-sorcir-2026-09-06).</t>
        </is>
      </c>
      <c r="AF526" s="31" t="inlineStr">
        <is>
          <t>Surface-blended Elo model; singles only, WTA+ATP market coverage, not yet locked-holdout qualified -- promoted by explicit operator directive, not genuine walk-forward validation.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Sorana Cirstea</t>
        </is>
      </c>
      <c r="AQ526" s="24" t="inlineStr">
        <is>
          <t>Sorana Cirstea</t>
        </is>
      </c>
      <c r="AR526" s="24" t="inlineStr">
        <is>
          <t>Sorana Cirstea</t>
        </is>
      </c>
      <c r="AS526" s="24" t="inlineStr">
        <is>
          <t>Jessica Pegula</t>
        </is>
      </c>
      <c r="AT526" s="24" t="inlineStr">
        <is>
          <t>Jessica Pegula</t>
        </is>
      </c>
      <c r="AU526" s="24" t="inlineStr">
        <is>
          <t>Jessica Pegula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0ce66f49b381187fe6255a40ca2fdbfc155d5e36125ccf6d30fe81a72962eafa</t>
        </is>
      </c>
      <c r="BB526" s="24" t="inlineStr">
        <is>
          <t>surface_blended_elo</t>
        </is>
      </c>
      <c r="BC526" s="24" t="inlineStr">
        <is>
          <t>tennis-surface-elo-v1</t>
        </is>
      </c>
      <c r="BD526" s="24" t="inlineStr">
        <is>
          <t>0ce66f49b381187fe6255a40ca2fdbfc155d5e36125ccf6d30fe81a72962eafa</t>
        </is>
      </c>
      <c r="BE526" s="24" t="inlineStr">
        <is>
          <t>tennis-surface-elo-v1</t>
        </is>
      </c>
      <c r="BF526" s="24" t="inlineStr">
        <is>
          <t>1</t>
        </is>
      </c>
      <c r="BG526" s="24" t="inlineStr">
        <is>
          <t>0ce66f49b381187fe6255a40ca2fdbfc155d5e36125ccf6d30fe81a72962eafa</t>
        </is>
      </c>
      <c r="BH526" s="24" t="inlineStr">
        <is>
          <t>2026-09-06T16:02:32.373035Z</t>
        </is>
      </c>
      <c r="BI526" s="24" t="inlineStr">
        <is>
          <t>["same_event","same_team_same_day","same_league_same_day"]</t>
        </is>
      </c>
      <c r="BJ526" s="25" t="n"/>
      <c r="BK526" s="26" t="n">
        <v>-257</v>
      </c>
      <c r="BL526" s="27" t="n">
        <v>1.389105</v>
      </c>
      <c r="BM526" s="28" t="n">
        <v>0.719888</v>
      </c>
      <c r="BN526" s="28" t="n"/>
      <c r="BO526" s="28" t="n"/>
      <c r="BP526" s="25" t="n"/>
      <c r="BQ526" s="27" t="n">
        <v>1.389105</v>
      </c>
      <c r="BR526" s="28" t="n">
        <v>0.72</v>
      </c>
      <c r="BS526" s="28" t="n"/>
      <c r="BT526" s="28" t="n"/>
      <c r="BU526" s="25" t="n"/>
      <c r="BV526" s="29" t="n"/>
      <c r="BW526" s="24" t="n"/>
      <c r="BX526" s="30" t="n">
        <v>1</v>
      </c>
      <c r="BY526" s="27" t="n">
        <v>0.389105</v>
      </c>
      <c r="BZ526" s="24" t="inlineStr">
        <is>
          <t>2026-09-07T04:30:32.707181Z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inlineStr">
        <is>
          <t>0407f1e4f5353fb0356cfe6f08cca28a401a8b51cf703c32499659aa8682c12c</t>
        </is>
      </c>
      <c r="DE526" s="24" t="inlineStr">
        <is>
          <t>/Users/vincentc9002/model-prediction/data/odds/tennis/2026-09-06/polymarket_snapshots.jsonl</t>
        </is>
      </c>
      <c r="DF526" s="24" t="inlineStr">
        <is>
          <t>673558:2026-09-06T16:02:32.373035Z</t>
        </is>
      </c>
      <c r="DG526" s="24" t="n"/>
      <c r="DH526" s="24" t="n"/>
      <c r="DI526" s="24" t="n"/>
      <c r="DJ526" s="24" t="inlineStr">
        <is>
          <t>0.719888</t>
        </is>
      </c>
      <c r="DK526" s="24" t="n"/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7c168094f64248cd</t>
        </is>
      </c>
      <c r="B527" s="24" t="inlineStr">
        <is>
          <t>2026-09-06T16:03:12.878161Z</t>
        </is>
      </c>
      <c r="C527" s="24" t="inlineStr">
        <is>
          <t>2026-09-06T18:00Z</t>
        </is>
      </c>
      <c r="D527" s="24" t="inlineStr">
        <is>
          <t>189-2026:182724</t>
        </is>
      </c>
      <c r="E527" s="24" t="inlineStr">
        <is>
          <t>TENNIS</t>
        </is>
      </c>
      <c r="F527" s="24" t="inlineStr">
        <is>
          <t>Carlos Alcaraz</t>
        </is>
      </c>
      <c r="G527" s="24" t="inlineStr">
        <is>
          <t>Tommy Paul</t>
        </is>
      </c>
      <c r="H527" s="24" t="inlineStr">
        <is>
          <t>moneyline</t>
        </is>
      </c>
      <c r="I527" s="24" t="inlineStr">
        <is>
          <t>away</t>
        </is>
      </c>
      <c r="J527" s="25" t="n"/>
      <c r="K527" s="24" t="inlineStr">
        <is>
          <t>polymarket_us</t>
        </is>
      </c>
      <c r="L527" s="26" t="n">
        <v>-413</v>
      </c>
      <c r="M527" s="27" t="n">
        <v>1.242131</v>
      </c>
      <c r="N527" s="28" t="n">
        <v>0.805068</v>
      </c>
      <c r="O527" s="28" t="n">
        <v>0.7544999999999999</v>
      </c>
      <c r="P527" s="28" t="n">
        <v>0.05</v>
      </c>
      <c r="Q527" s="28" t="n">
        <v>-0.050568</v>
      </c>
      <c r="R527" s="26" t="n">
        <v>0</v>
      </c>
      <c r="S527" s="29" t="n">
        <v>1</v>
      </c>
      <c r="T527" s="24" t="inlineStr">
        <is>
          <t>tennis-surface-elo-v1</t>
        </is>
      </c>
      <c r="U527" s="24" t="inlineStr">
        <is>
          <t>settled</t>
        </is>
      </c>
      <c r="V527" s="24" t="inlineStr">
        <is>
          <t>win</t>
        </is>
      </c>
      <c r="W527" s="26" t="n">
        <v>1</v>
      </c>
      <c r="X527" s="26" t="n">
        <v>0</v>
      </c>
      <c r="Y527" s="25" t="n"/>
      <c r="Z527" s="26" t="n">
        <v>-413</v>
      </c>
      <c r="AA527" s="28" t="n">
        <v>0.805</v>
      </c>
      <c r="AB527" s="28" t="n">
        <v>-6.8e-05</v>
      </c>
      <c r="AC527" s="30" t="n">
        <v>0.2421</v>
      </c>
      <c r="AD527" s="24" t="inlineStr">
        <is>
          <t>2026-09-06T22:01:04.810678Z</t>
        </is>
      </c>
      <c r="AE527" s="31" t="inlineStr">
        <is>
          <t>Surface-blended Elo on Hard: Carlos Alcaraz p=0.754 vs Tommy Paul. Executable ask 0.8050 (aec-atp-tompau-caralc-2026-09-06).</t>
        </is>
      </c>
      <c r="AF527" s="31" t="inlineStr">
        <is>
          <t>Surface-blended Elo model; singles only, WTA+ATP market coverage, not yet locked-holdout qualified -- promoted by explicit operator directive, not genuine walk-forward validation.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paper_call</t>
        </is>
      </c>
      <c r="AL527" s="26" t="n">
        <v>4</v>
      </c>
      <c r="AM527" s="24" t="inlineStr">
        <is>
          <t>RESEARCH_OBSERVATION</t>
        </is>
      </c>
      <c r="AN527" s="24" t="inlineStr">
        <is>
          <t>CALL</t>
        </is>
      </c>
      <c r="AO527" s="24" t="inlineStr">
        <is>
          <t>PAPER_CALL_LOW_EDGE</t>
        </is>
      </c>
      <c r="AP527" s="24" t="inlineStr">
        <is>
          <t>Carlos Alcaraz</t>
        </is>
      </c>
      <c r="AQ527" s="24" t="inlineStr">
        <is>
          <t>Carlos Alcaraz</t>
        </is>
      </c>
      <c r="AR527" s="24" t="inlineStr">
        <is>
          <t>Carlos Alcaraz</t>
        </is>
      </c>
      <c r="AS527" s="24" t="inlineStr">
        <is>
          <t>Tommy Paul</t>
        </is>
      </c>
      <c r="AT527" s="24" t="inlineStr">
        <is>
          <t>Tommy Paul</t>
        </is>
      </c>
      <c r="AU527" s="24" t="inlineStr">
        <is>
          <t>Tommy Paul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0ce66f49b381187fe6255a40ca2fdbfc155d5e36125ccf6d30fe81a72962eafa</t>
        </is>
      </c>
      <c r="BB527" s="24" t="inlineStr">
        <is>
          <t>surface_blended_elo</t>
        </is>
      </c>
      <c r="BC527" s="24" t="inlineStr">
        <is>
          <t>tennis-surface-elo-v1</t>
        </is>
      </c>
      <c r="BD527" s="24" t="inlineStr">
        <is>
          <t>0ce66f49b381187fe6255a40ca2fdbfc155d5e36125ccf6d30fe81a72962eafa</t>
        </is>
      </c>
      <c r="BE527" s="24" t="inlineStr">
        <is>
          <t>tennis-surface-elo-v1</t>
        </is>
      </c>
      <c r="BF527" s="24" t="inlineStr">
        <is>
          <t>1</t>
        </is>
      </c>
      <c r="BG527" s="24" t="inlineStr">
        <is>
          <t>0ce66f49b381187fe6255a40ca2fdbfc155d5e36125ccf6d30fe81a72962eafa</t>
        </is>
      </c>
      <c r="BH527" s="24" t="inlineStr">
        <is>
          <t>2026-09-06T16:02:33.182051Z</t>
        </is>
      </c>
      <c r="BI527" s="24" t="inlineStr">
        <is>
          <t>["same_event","same_team_same_day","same_league_same_day"]</t>
        </is>
      </c>
      <c r="BJ527" s="25" t="n"/>
      <c r="BK527" s="26" t="n">
        <v>-413</v>
      </c>
      <c r="BL527" s="27" t="n">
        <v>1.242131</v>
      </c>
      <c r="BM527" s="28" t="n">
        <v>0.805068</v>
      </c>
      <c r="BN527" s="28" t="n"/>
      <c r="BO527" s="28" t="n"/>
      <c r="BP527" s="25" t="n"/>
      <c r="BQ527" s="27" t="n">
        <v>1.242131</v>
      </c>
      <c r="BR527" s="28" t="n">
        <v>0.805</v>
      </c>
      <c r="BS527" s="28" t="n"/>
      <c r="BT527" s="28" t="n"/>
      <c r="BU527" s="25" t="n"/>
      <c r="BV527" s="29" t="n"/>
      <c r="BW527" s="24" t="n"/>
      <c r="BX527" s="30" t="n">
        <v>1</v>
      </c>
      <c r="BY527" s="27" t="n">
        <v>0.242131</v>
      </c>
      <c r="BZ527" s="24" t="inlineStr">
        <is>
          <t>2026-09-06T22:01:04.810678Z</t>
        </is>
      </c>
      <c r="CA527" s="31" t="inlineStr">
        <is>
          <t>fixed one-unit hypothetical scoring; no real exposure or execution</t>
        </is>
      </c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False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inlineStr">
        <is>
          <t>0fea28ba437de992f6bd0b12d926e1cfcefa514e0b54df190e22884c25c76458</t>
        </is>
      </c>
      <c r="DE527" s="24" t="inlineStr">
        <is>
          <t>/Users/vincentc9002/model-prediction/data/odds/tennis/2026-09-06/polymarket_snapshots.jsonl</t>
        </is>
      </c>
      <c r="DF527" s="24" t="inlineStr">
        <is>
          <t>676737:2026-09-06T16:02:33.182051Z</t>
        </is>
      </c>
      <c r="DG527" s="24" t="n"/>
      <c r="DH527" s="24" t="n"/>
      <c r="DI527" s="24" t="n"/>
      <c r="DJ527" s="24" t="inlineStr">
        <is>
          <t>0.805068</t>
        </is>
      </c>
      <c r="DK527" s="24" t="n"/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f37313c2c38244b3</t>
        </is>
      </c>
      <c r="B528" s="24" t="inlineStr">
        <is>
          <t>2026-09-06T16:03:12.878161Z</t>
        </is>
      </c>
      <c r="C528" s="24" t="inlineStr">
        <is>
          <t>2026-09-06T18:30Z</t>
        </is>
      </c>
      <c r="D528" s="24" t="inlineStr">
        <is>
          <t>189-2026:182717</t>
        </is>
      </c>
      <c r="E528" s="24" t="inlineStr">
        <is>
          <t>TENNIS</t>
        </is>
      </c>
      <c r="F528" s="24" t="inlineStr">
        <is>
          <t>Tomas Martin Etcheverry</t>
        </is>
      </c>
      <c r="G528" s="24" t="inlineStr">
        <is>
          <t>Alex Michelsen</t>
        </is>
      </c>
      <c r="H528" s="24" t="inlineStr">
        <is>
          <t>moneyline</t>
        </is>
      </c>
      <c r="I528" s="24" t="inlineStr">
        <is>
          <t>home</t>
        </is>
      </c>
      <c r="J528" s="25" t="n"/>
      <c r="K528" s="24" t="inlineStr">
        <is>
          <t>polymarket_us</t>
        </is>
      </c>
      <c r="L528" s="26" t="n">
        <v>-257</v>
      </c>
      <c r="M528" s="27" t="n">
        <v>1.389105</v>
      </c>
      <c r="N528" s="28" t="n">
        <v>0.719888</v>
      </c>
      <c r="O528" s="28" t="n">
        <v>0.5725</v>
      </c>
      <c r="P528" s="28" t="n">
        <v>0.05</v>
      </c>
      <c r="Q528" s="28" t="n">
        <v>-0.147388</v>
      </c>
      <c r="R528" s="26" t="n">
        <v>0</v>
      </c>
      <c r="S528" s="29" t="n">
        <v>1</v>
      </c>
      <c r="T528" s="24" t="inlineStr">
        <is>
          <t>tennis-surface-elo-v1</t>
        </is>
      </c>
      <c r="U528" s="24" t="inlineStr">
        <is>
          <t>settled</t>
        </is>
      </c>
      <c r="V528" s="24" t="inlineStr">
        <is>
          <t>win</t>
        </is>
      </c>
      <c r="W528" s="26" t="n">
        <v>0</v>
      </c>
      <c r="X528" s="26" t="n">
        <v>1</v>
      </c>
      <c r="Y528" s="25" t="n"/>
      <c r="Z528" s="26" t="n">
        <v>-257</v>
      </c>
      <c r="AA528" s="28" t="n">
        <v>0.72</v>
      </c>
      <c r="AB528" s="28" t="n">
        <v>0.000112</v>
      </c>
      <c r="AC528" s="30" t="n">
        <v>0.3891</v>
      </c>
      <c r="AD528" s="24" t="inlineStr">
        <is>
          <t>2026-09-07T04:30:33.974758Z</t>
        </is>
      </c>
      <c r="AE528" s="31" t="inlineStr">
        <is>
          <t>Surface-blended Elo on Hard: Tomas Martin Etcheverry p=0.427 vs Alex Michelsen. Executable ask 0.7200 (aec-atp-alemic-tometc-2026-09-06).</t>
        </is>
      </c>
      <c r="AF528" s="31" t="inlineStr">
        <is>
          <t>Surface-blended Elo model; singles only, WTA+ATP market coverage, not yet locked-holdout qualified -- promoted by explicit operator directive, not genuine walk-forward validation.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Tomas Martin Etcheverry</t>
        </is>
      </c>
      <c r="AQ528" s="24" t="inlineStr">
        <is>
          <t>Tomas Martin Etcheverry</t>
        </is>
      </c>
      <c r="AR528" s="24" t="inlineStr">
        <is>
          <t>Tomas Martin Etcheverry</t>
        </is>
      </c>
      <c r="AS528" s="24" t="inlineStr">
        <is>
          <t>Alex Michelsen</t>
        </is>
      </c>
      <c r="AT528" s="24" t="inlineStr">
        <is>
          <t>Alex Michelsen</t>
        </is>
      </c>
      <c r="AU528" s="24" t="inlineStr">
        <is>
          <t>Alex Michelsen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0ce66f49b381187fe6255a40ca2fdbfc155d5e36125ccf6d30fe81a72962eafa</t>
        </is>
      </c>
      <c r="BB528" s="24" t="inlineStr">
        <is>
          <t>surface_blended_elo</t>
        </is>
      </c>
      <c r="BC528" s="24" t="inlineStr">
        <is>
          <t>tennis-surface-elo-v1</t>
        </is>
      </c>
      <c r="BD528" s="24" t="inlineStr">
        <is>
          <t>0ce66f49b381187fe6255a40ca2fdbfc155d5e36125ccf6d30fe81a72962eafa</t>
        </is>
      </c>
      <c r="BE528" s="24" t="inlineStr">
        <is>
          <t>tennis-surface-elo-v1</t>
        </is>
      </c>
      <c r="BF528" s="24" t="inlineStr">
        <is>
          <t>1</t>
        </is>
      </c>
      <c r="BG528" s="24" t="inlineStr">
        <is>
          <t>0ce66f49b381187fe6255a40ca2fdbfc155d5e36125ccf6d30fe81a72962eafa</t>
        </is>
      </c>
      <c r="BH528" s="24" t="inlineStr">
        <is>
          <t>2026-09-06T16:02:33.360267Z</t>
        </is>
      </c>
      <c r="BI528" s="24" t="inlineStr">
        <is>
          <t>["same_event","same_team_same_day","same_league_same_day"]</t>
        </is>
      </c>
      <c r="BJ528" s="25" t="n"/>
      <c r="BK528" s="26" t="n">
        <v>-257</v>
      </c>
      <c r="BL528" s="27" t="n">
        <v>1.389105</v>
      </c>
      <c r="BM528" s="28" t="n">
        <v>0.719888</v>
      </c>
      <c r="BN528" s="28" t="n"/>
      <c r="BO528" s="28" t="n"/>
      <c r="BP528" s="25" t="n"/>
      <c r="BQ528" s="27" t="n">
        <v>1.389105</v>
      </c>
      <c r="BR528" s="28" t="n">
        <v>0.72</v>
      </c>
      <c r="BS528" s="28" t="n"/>
      <c r="BT528" s="28" t="n"/>
      <c r="BU528" s="25" t="n"/>
      <c r="BV528" s="29" t="n"/>
      <c r="BW528" s="24" t="n"/>
      <c r="BX528" s="30" t="n">
        <v>1</v>
      </c>
      <c r="BY528" s="27" t="n">
        <v>0.389105</v>
      </c>
      <c r="BZ528" s="24" t="inlineStr">
        <is>
          <t>2026-09-07T04:30:33.974758Z</t>
        </is>
      </c>
      <c r="CA528" s="31" t="inlineStr">
        <is>
          <t>fixed one-unit hypothetical scoring; no real exposure or execution</t>
        </is>
      </c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inlineStr">
        <is>
          <t>10d983d6e7de68a3f45d8da70beee56a84eb56e3f2fb96e915870a0f5ad0d9fe</t>
        </is>
      </c>
      <c r="DE528" s="24" t="inlineStr">
        <is>
          <t>/Users/vincentc9002/model-prediction/data/odds/tennis/2026-09-06/polymarket_snapshots.jsonl</t>
        </is>
      </c>
      <c r="DF528" s="24" t="inlineStr">
        <is>
          <t>678068:2026-09-06T16:02:33.360267Z</t>
        </is>
      </c>
      <c r="DG528" s="24" t="n"/>
      <c r="DH528" s="24" t="n"/>
      <c r="DI528" s="24" t="n"/>
      <c r="DJ528" s="24" t="inlineStr">
        <is>
          <t>0.719888</t>
        </is>
      </c>
      <c r="DK528" s="24" t="n"/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3ef793a94043429f</t>
        </is>
      </c>
      <c r="B529" s="24" t="inlineStr">
        <is>
          <t>2026-09-06T16:03:12.878161Z</t>
        </is>
      </c>
      <c r="C529" s="24" t="inlineStr">
        <is>
          <t>2026-09-06T19:00Z</t>
        </is>
      </c>
      <c r="D529" s="24" t="inlineStr">
        <is>
          <t>189-2026:182744</t>
        </is>
      </c>
      <c r="E529" s="24" t="inlineStr">
        <is>
          <t>TENNIS</t>
        </is>
      </c>
      <c r="F529" s="24" t="inlineStr">
        <is>
          <t>Frances Tiafoe</t>
        </is>
      </c>
      <c r="G529" s="24" t="inlineStr">
        <is>
          <t>Daniil Medvedev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polymarket_us</t>
        </is>
      </c>
      <c r="L529" s="26" t="n">
        <v>153</v>
      </c>
      <c r="M529" s="27" t="n">
        <v>2.53</v>
      </c>
      <c r="N529" s="28" t="n">
        <v>0.395257</v>
      </c>
      <c r="O529" s="28" t="n">
        <v>0.5615</v>
      </c>
      <c r="P529" s="28" t="n">
        <v>0.05</v>
      </c>
      <c r="Q529" s="28" t="n">
        <v>0.166243</v>
      </c>
      <c r="R529" s="26" t="n">
        <v>100</v>
      </c>
      <c r="S529" s="29" t="n">
        <v>1.75</v>
      </c>
      <c r="T529" s="24" t="inlineStr">
        <is>
          <t>tennis-surface-elo-v1</t>
        </is>
      </c>
      <c r="U529" s="24" t="inlineStr">
        <is>
          <t>settled</t>
        </is>
      </c>
      <c r="V529" s="24" t="inlineStr">
        <is>
          <t>win</t>
        </is>
      </c>
      <c r="W529" s="26" t="n">
        <v>1</v>
      </c>
      <c r="X529" s="26" t="n">
        <v>0</v>
      </c>
      <c r="Y529" s="25" t="n"/>
      <c r="Z529" s="26" t="n">
        <v>153</v>
      </c>
      <c r="AA529" s="28" t="n">
        <v>0.395</v>
      </c>
      <c r="AB529" s="28" t="n">
        <v>-0.000257</v>
      </c>
      <c r="AC529" s="30" t="n">
        <v>2.6775</v>
      </c>
      <c r="AD529" s="24" t="inlineStr">
        <is>
          <t>2026-09-07T04:30:35.052089Z</t>
        </is>
      </c>
      <c r="AE529" s="31" t="inlineStr">
        <is>
          <t>Surface-blended Elo on Hard: Frances Tiafoe p=0.562 vs Daniil Medvedev. Executable ask 0.3950 (aec-atp-danmed-fratia-2026-09-06).</t>
        </is>
      </c>
      <c r="AF529" s="31" t="inlineStr">
        <is>
          <t>Surface-blended Elo model; singles only, WTA+ATP market coverage, not yet locked-holdout qualified -- promoted by explicit operator directive, not genuine walk-forward validation.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Frances Tiafoe</t>
        </is>
      </c>
      <c r="AQ529" s="24" t="inlineStr">
        <is>
          <t>Frances Tiafoe</t>
        </is>
      </c>
      <c r="AR529" s="24" t="inlineStr">
        <is>
          <t>Frances Tiafoe</t>
        </is>
      </c>
      <c r="AS529" s="24" t="inlineStr">
        <is>
          <t>Daniil Medvedev</t>
        </is>
      </c>
      <c r="AT529" s="24" t="inlineStr">
        <is>
          <t>Daniil Medvedev</t>
        </is>
      </c>
      <c r="AU529" s="24" t="inlineStr">
        <is>
          <t>Daniil Medvedev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0ce66f49b381187fe6255a40ca2fdbfc155d5e36125ccf6d30fe81a72962eafa</t>
        </is>
      </c>
      <c r="BB529" s="24" t="inlineStr">
        <is>
          <t>surface_blended_elo</t>
        </is>
      </c>
      <c r="BC529" s="24" t="inlineStr">
        <is>
          <t>tennis-surface-elo-v1</t>
        </is>
      </c>
      <c r="BD529" s="24" t="inlineStr">
        <is>
          <t>0ce66f49b381187fe6255a40ca2fdbfc155d5e36125ccf6d30fe81a72962eafa</t>
        </is>
      </c>
      <c r="BE529" s="24" t="inlineStr">
        <is>
          <t>tennis-surface-elo-v1</t>
        </is>
      </c>
      <c r="BF529" s="24" t="inlineStr">
        <is>
          <t>1</t>
        </is>
      </c>
      <c r="BG529" s="24" t="inlineStr">
        <is>
          <t>0ce66f49b381187fe6255a40ca2fdbfc155d5e36125ccf6d30fe81a72962eafa</t>
        </is>
      </c>
      <c r="BH529" s="24" t="inlineStr">
        <is>
          <t>2026-09-06T16:02:33.521050Z</t>
        </is>
      </c>
      <c r="BI529" s="24" t="inlineStr">
        <is>
          <t>["same_event","same_team_same_day","same_league_same_day"]</t>
        </is>
      </c>
      <c r="BJ529" s="25" t="n"/>
      <c r="BK529" s="26" t="n">
        <v>153</v>
      </c>
      <c r="BL529" s="27" t="n">
        <v>2.53</v>
      </c>
      <c r="BM529" s="28" t="n">
        <v>0.395257</v>
      </c>
      <c r="BN529" s="28" t="n"/>
      <c r="BO529" s="28" t="n"/>
      <c r="BP529" s="25" t="n"/>
      <c r="BQ529" s="27" t="n">
        <v>2.53</v>
      </c>
      <c r="BR529" s="28" t="n">
        <v>0.395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inlineStr">
        <is>
          <t>d5ce2ab70cdf75c767f50462385be98170aee95bcd712f314166a7e02756b55e</t>
        </is>
      </c>
      <c r="DE529" s="24" t="inlineStr">
        <is>
          <t>/Users/vincentc9002/model-prediction/data/odds/tennis/2026-09-06/polymarket_snapshots.jsonl</t>
        </is>
      </c>
      <c r="DF529" s="24" t="inlineStr">
        <is>
          <t>678150:2026-09-06T16:02:33.521050Z</t>
        </is>
      </c>
      <c r="DG529" s="24" t="n"/>
      <c r="DH529" s="24" t="n"/>
      <c r="DI529" s="24" t="n"/>
      <c r="DJ529" s="24" t="inlineStr">
        <is>
          <t>0.395257</t>
        </is>
      </c>
      <c r="DK529" s="24" t="n"/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a6b5bafc70d8458a</t>
        </is>
      </c>
      <c r="B530" s="24" t="inlineStr">
        <is>
          <t>2026-09-06T22:03:59.969438Z</t>
        </is>
      </c>
      <c r="C530" s="24" t="inlineStr">
        <is>
          <t>2026-09-07T01:00Z</t>
        </is>
      </c>
      <c r="D530" s="24" t="inlineStr">
        <is>
          <t>189-2026:182588</t>
        </is>
      </c>
      <c r="E530" s="24" t="inlineStr">
        <is>
          <t>TENNIS</t>
        </is>
      </c>
      <c r="F530" s="24" t="inlineStr">
        <is>
          <t>Emma Navarro</t>
        </is>
      </c>
      <c r="G530" s="24" t="inlineStr">
        <is>
          <t>Anna Kalinskaya</t>
        </is>
      </c>
      <c r="H530" s="24" t="inlineStr">
        <is>
          <t>moneyline</t>
        </is>
      </c>
      <c r="I530" s="24" t="inlineStr">
        <is>
          <t>home</t>
        </is>
      </c>
      <c r="J530" s="25" t="n"/>
      <c r="K530" s="24" t="inlineStr">
        <is>
          <t>polymarket_us</t>
        </is>
      </c>
      <c r="L530" s="26" t="n">
        <v>-108</v>
      </c>
      <c r="M530" s="27" t="n">
        <v>1.925926</v>
      </c>
      <c r="N530" s="28" t="n">
        <v>0.519231</v>
      </c>
      <c r="O530" s="28" t="n">
        <v>0.5527</v>
      </c>
      <c r="P530" s="28" t="n">
        <v>0.05</v>
      </c>
      <c r="Q530" s="28" t="n">
        <v>0.033469</v>
      </c>
      <c r="R530" s="26" t="n">
        <v>37</v>
      </c>
      <c r="S530" s="29" t="n">
        <v>1</v>
      </c>
      <c r="T530" s="24" t="inlineStr">
        <is>
          <t>tennis-surface-elo-v1</t>
        </is>
      </c>
      <c r="U530" s="24" t="inlineStr">
        <is>
          <t>settled</t>
        </is>
      </c>
      <c r="V530" s="24" t="inlineStr">
        <is>
          <t>loss</t>
        </is>
      </c>
      <c r="W530" s="26" t="n">
        <v>1</v>
      </c>
      <c r="X530" s="26" t="n">
        <v>0</v>
      </c>
      <c r="Y530" s="25" t="n"/>
      <c r="Z530" s="26" t="n">
        <v>-108</v>
      </c>
      <c r="AA530" s="28" t="n">
        <v>0.52</v>
      </c>
      <c r="AB530" s="28" t="n">
        <v>0.000769</v>
      </c>
      <c r="AC530" s="30" t="n">
        <v>-1</v>
      </c>
      <c r="AD530" s="24" t="inlineStr">
        <is>
          <t>2026-09-07T04:30:46.631698Z</t>
        </is>
      </c>
      <c r="AE530" s="31" t="inlineStr">
        <is>
          <t>Surface-blended Elo on Hard: Emma Navarro p=0.447 vs Anna Kalinskaya. Executable ask 0.5200 (aec-wta-annkal-emmnav-2026-09-06).</t>
        </is>
      </c>
      <c r="AF530" s="31" t="inlineStr">
        <is>
          <t>Surface-blended Elo model; singles only, WTA+ATP market coverage, not yet locked-holdout qualified -- promoted by explicit operator directive, not genuine walk-forward validation.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Emma Navarro</t>
        </is>
      </c>
      <c r="AQ530" s="24" t="inlineStr">
        <is>
          <t>Emma Navarro</t>
        </is>
      </c>
      <c r="AR530" s="24" t="inlineStr">
        <is>
          <t>Emma Navarro</t>
        </is>
      </c>
      <c r="AS530" s="24" t="inlineStr">
        <is>
          <t>Anna Kalinskaya</t>
        </is>
      </c>
      <c r="AT530" s="24" t="inlineStr">
        <is>
          <t>Anna Kalinskaya</t>
        </is>
      </c>
      <c r="AU530" s="24" t="inlineStr">
        <is>
          <t>Anna Kalinskaya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0ce66f49b381187fe6255a40ca2fdbfc155d5e36125ccf6d30fe81a72962eafa</t>
        </is>
      </c>
      <c r="BB530" s="24" t="inlineStr">
        <is>
          <t>surface_blended_elo</t>
        </is>
      </c>
      <c r="BC530" s="24" t="inlineStr">
        <is>
          <t>tennis-surface-elo-v1</t>
        </is>
      </c>
      <c r="BD530" s="24" t="inlineStr">
        <is>
          <t>0ce66f49b381187fe6255a40ca2fdbfc155d5e36125ccf6d30fe81a72962eafa</t>
        </is>
      </c>
      <c r="BE530" s="24" t="inlineStr">
        <is>
          <t>tennis-surface-elo-v1</t>
        </is>
      </c>
      <c r="BF530" s="24" t="inlineStr">
        <is>
          <t>1</t>
        </is>
      </c>
      <c r="BG530" s="24" t="inlineStr">
        <is>
          <t>0ce66f49b381187fe6255a40ca2fdbfc155d5e36125ccf6d30fe81a72962eafa</t>
        </is>
      </c>
      <c r="BH530" s="24" t="inlineStr">
        <is>
          <t>2026-09-06T22:03:40.629686Z</t>
        </is>
      </c>
      <c r="BI530" s="24" t="inlineStr">
        <is>
          <t>["same_event","same_team_same_day","same_league_same_day"]</t>
        </is>
      </c>
      <c r="BJ530" s="25" t="n"/>
      <c r="BK530" s="26" t="n">
        <v>-108</v>
      </c>
      <c r="BL530" s="27" t="n">
        <v>1.925926</v>
      </c>
      <c r="BM530" s="28" t="n">
        <v>0.519231</v>
      </c>
      <c r="BN530" s="28" t="n"/>
      <c r="BO530" s="28" t="n"/>
      <c r="BP530" s="25" t="n"/>
      <c r="BQ530" s="27" t="n">
        <v>1.925926</v>
      </c>
      <c r="BR530" s="28" t="n">
        <v>0.52</v>
      </c>
      <c r="BS530" s="28" t="n"/>
      <c r="BT530" s="28" t="n"/>
      <c r="BU530" s="25" t="n"/>
      <c r="BV530" s="29" t="n"/>
      <c r="BW530" s="24" t="n"/>
      <c r="BX530" s="30" t="n">
        <v>1</v>
      </c>
      <c r="BY530" s="27" t="n">
        <v>-1</v>
      </c>
      <c r="BZ530" s="24" t="inlineStr">
        <is>
          <t>2026-09-07T04:30:46.631698Z</t>
        </is>
      </c>
      <c r="CA530" s="31" t="inlineStr">
        <is>
          <t>fixed one-unit hypothetical scoring; no real exposure or execution</t>
        </is>
      </c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inlineStr">
        <is>
          <t>cfbde5ab4f359e9ca90e01300b802e48420c5819142f8306f5bcd4bf79ac5006</t>
        </is>
      </c>
      <c r="DE530" s="24" t="inlineStr">
        <is>
          <t>/Users/vincentc9002/model-prediction/data/odds/tennis/2026-09-06/polymarket_snapshots.jsonl</t>
        </is>
      </c>
      <c r="DF530" s="24" t="inlineStr">
        <is>
          <t>679405:2026-09-06T22:03:40.629686Z</t>
        </is>
      </c>
      <c r="DG530" s="24" t="n"/>
      <c r="DH530" s="24" t="n"/>
      <c r="DI530" s="24" t="n"/>
      <c r="DJ530" s="24" t="inlineStr">
        <is>
          <t>0.519231</t>
        </is>
      </c>
      <c r="DK530" s="24" t="n"/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c749c317b89e412b</t>
        </is>
      </c>
      <c r="B531" s="24" t="inlineStr">
        <is>
          <t>2026-09-06T22:03:59.969438Z</t>
        </is>
      </c>
      <c r="C531" s="24" t="inlineStr">
        <is>
          <t>2026-09-06T23:00Z</t>
        </is>
      </c>
      <c r="D531" s="24" t="inlineStr">
        <is>
          <t>189-2026:182722</t>
        </is>
      </c>
      <c r="E531" s="24" t="inlineStr">
        <is>
          <t>TENNIS</t>
        </is>
      </c>
      <c r="F531" s="24" t="inlineStr">
        <is>
          <t>Stefanos Tsitsipas</t>
        </is>
      </c>
      <c r="G531" s="24" t="inlineStr">
        <is>
          <t>Ben Shelton</t>
        </is>
      </c>
      <c r="H531" s="24" t="inlineStr">
        <is>
          <t>moneyline</t>
        </is>
      </c>
      <c r="I531" s="24" t="inlineStr">
        <is>
          <t>home</t>
        </is>
      </c>
      <c r="J531" s="25" t="n"/>
      <c r="K531" s="24" t="inlineStr">
        <is>
          <t>polymarket_us</t>
        </is>
      </c>
      <c r="L531" s="26" t="n">
        <v>-257</v>
      </c>
      <c r="M531" s="27" t="n">
        <v>1.389105</v>
      </c>
      <c r="N531" s="28" t="n">
        <v>0.719888</v>
      </c>
      <c r="O531" s="28" t="n">
        <v>0.7351</v>
      </c>
      <c r="P531" s="28" t="n">
        <v>0.05</v>
      </c>
      <c r="Q531" s="28" t="n">
        <v>0.015212</v>
      </c>
      <c r="R531" s="26" t="n">
        <v>28</v>
      </c>
      <c r="S531" s="29" t="n">
        <v>1</v>
      </c>
      <c r="T531" s="24" t="inlineStr">
        <is>
          <t>tennis-surface-elo-v1</t>
        </is>
      </c>
      <c r="U531" s="24" t="inlineStr">
        <is>
          <t>settled</t>
        </is>
      </c>
      <c r="V531" s="24" t="inlineStr">
        <is>
          <t>win</t>
        </is>
      </c>
      <c r="W531" s="26" t="n">
        <v>0</v>
      </c>
      <c r="X531" s="26" t="n">
        <v>1</v>
      </c>
      <c r="Y531" s="25" t="n"/>
      <c r="Z531" s="26" t="n">
        <v>-257</v>
      </c>
      <c r="AA531" s="28" t="n">
        <v>0.72</v>
      </c>
      <c r="AB531" s="28" t="n">
        <v>0.000112</v>
      </c>
      <c r="AC531" s="30" t="n">
        <v>0.3891</v>
      </c>
      <c r="AD531" s="24" t="inlineStr">
        <is>
          <t>2026-09-07T04:30:47.697832Z</t>
        </is>
      </c>
      <c r="AE531" s="31" t="inlineStr">
        <is>
          <t>Surface-blended Elo on Hard: Stefanos Tsitsipas p=0.265 vs Ben Shelton. Executable ask 0.7200 (aec-atp-benshe-stetsi-2026-09-06).</t>
        </is>
      </c>
      <c r="AF531" s="31" t="inlineStr">
        <is>
          <t>Surface-blended Elo model; singles only, WTA+ATP market coverage, not yet locked-holdout qualified -- promoted by explicit operator directive, not genuine walk-forward validation.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Stefanos Tsitsipas</t>
        </is>
      </c>
      <c r="AQ531" s="24" t="inlineStr">
        <is>
          <t>Stefanos Tsitsipas</t>
        </is>
      </c>
      <c r="AR531" s="24" t="inlineStr">
        <is>
          <t>Stefanos Tsitsipas</t>
        </is>
      </c>
      <c r="AS531" s="24" t="inlineStr">
        <is>
          <t>Ben Shelton</t>
        </is>
      </c>
      <c r="AT531" s="24" t="inlineStr">
        <is>
          <t>Ben Shelton</t>
        </is>
      </c>
      <c r="AU531" s="24" t="inlineStr">
        <is>
          <t>Ben Shelton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0ce66f49b381187fe6255a40ca2fdbfc155d5e36125ccf6d30fe81a72962eafa</t>
        </is>
      </c>
      <c r="BB531" s="24" t="inlineStr">
        <is>
          <t>surface_blended_elo</t>
        </is>
      </c>
      <c r="BC531" s="24" t="inlineStr">
        <is>
          <t>tennis-surface-elo-v1</t>
        </is>
      </c>
      <c r="BD531" s="24" t="inlineStr">
        <is>
          <t>0ce66f49b381187fe6255a40ca2fdbfc155d5e36125ccf6d30fe81a72962eafa</t>
        </is>
      </c>
      <c r="BE531" s="24" t="inlineStr">
        <is>
          <t>tennis-surface-elo-v1</t>
        </is>
      </c>
      <c r="BF531" s="24" t="inlineStr">
        <is>
          <t>1</t>
        </is>
      </c>
      <c r="BG531" s="24" t="inlineStr">
        <is>
          <t>0ce66f49b381187fe6255a40ca2fdbfc155d5e36125ccf6d30fe81a72962eafa</t>
        </is>
      </c>
      <c r="BH531" s="24" t="inlineStr">
        <is>
          <t>2026-09-06T22:03:40.826277Z</t>
        </is>
      </c>
      <c r="BI531" s="24" t="inlineStr">
        <is>
          <t>["same_event","same_team_same_day","same_league_same_day"]</t>
        </is>
      </c>
      <c r="BJ531" s="25" t="n"/>
      <c r="BK531" s="26" t="n">
        <v>-257</v>
      </c>
      <c r="BL531" s="27" t="n">
        <v>1.389105</v>
      </c>
      <c r="BM531" s="28" t="n">
        <v>0.719888</v>
      </c>
      <c r="BN531" s="28" t="n"/>
      <c r="BO531" s="28" t="n"/>
      <c r="BP531" s="25" t="n"/>
      <c r="BQ531" s="27" t="n">
        <v>1.389105</v>
      </c>
      <c r="BR531" s="28" t="n">
        <v>0.72</v>
      </c>
      <c r="BS531" s="28" t="n"/>
      <c r="BT531" s="28" t="n"/>
      <c r="BU531" s="25" t="n"/>
      <c r="BV531" s="29" t="n"/>
      <c r="BW531" s="24" t="n"/>
      <c r="BX531" s="30" t="n">
        <v>1</v>
      </c>
      <c r="BY531" s="27" t="n">
        <v>0.389105</v>
      </c>
      <c r="BZ531" s="24" t="inlineStr">
        <is>
          <t>2026-09-07T04:30:47.697832Z</t>
        </is>
      </c>
      <c r="CA531" s="31" t="inlineStr">
        <is>
          <t>fixed one-unit hypothetical scoring; no real exposure or execution</t>
        </is>
      </c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inlineStr">
        <is>
          <t>4432fb1dd153e23a84b57a90d5d1c3498c141ca50ebb34965baf9cf83153deff</t>
        </is>
      </c>
      <c r="DE531" s="24" t="inlineStr">
        <is>
          <t>/Users/vincentc9002/model-prediction/data/odds/tennis/2026-09-06/polymarket_snapshots.jsonl</t>
        </is>
      </c>
      <c r="DF531" s="24" t="inlineStr">
        <is>
          <t>681219:2026-09-06T22:03:40.826277Z</t>
        </is>
      </c>
      <c r="DG531" s="24" t="n"/>
      <c r="DH531" s="24" t="n"/>
      <c r="DI531" s="24" t="n"/>
      <c r="DJ531" s="24" t="inlineStr">
        <is>
          <t>0.719888</t>
        </is>
      </c>
      <c r="DK531" s="24" t="n"/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7b7ad2040a864001</t>
        </is>
      </c>
      <c r="B532" s="24" t="inlineStr">
        <is>
          <t>2026-09-07T04:33:25.566147Z</t>
        </is>
      </c>
      <c r="C532" s="24" t="inlineStr">
        <is>
          <t>2026-09-07T08:30Z</t>
        </is>
      </c>
      <c r="D532" s="24" t="inlineStr">
        <is>
          <t>1076-2026:183530</t>
        </is>
      </c>
      <c r="E532" s="24" t="inlineStr">
        <is>
          <t>TENNIS</t>
        </is>
      </c>
      <c r="F532" s="24" t="inlineStr">
        <is>
          <t>Irene Burillo</t>
        </is>
      </c>
      <c r="G532" s="24" t="inlineStr">
        <is>
          <t>Lucia Bronzetti</t>
        </is>
      </c>
      <c r="H532" s="24" t="inlineStr">
        <is>
          <t>moneyline</t>
        </is>
      </c>
      <c r="I532" s="24" t="inlineStr">
        <is>
          <t>home</t>
        </is>
      </c>
      <c r="J532" s="25" t="n"/>
      <c r="K532" s="24" t="inlineStr">
        <is>
          <t>polymarket_us</t>
        </is>
      </c>
      <c r="L532" s="26" t="n">
        <v>-270</v>
      </c>
      <c r="M532" s="27" t="n">
        <v>1.37037</v>
      </c>
      <c r="N532" s="28" t="n">
        <v>0.72973</v>
      </c>
      <c r="O532" s="28" t="n">
        <v>0.7332</v>
      </c>
      <c r="P532" s="28" t="n">
        <v>0.05</v>
      </c>
      <c r="Q532" s="28" t="n">
        <v>0.00347</v>
      </c>
      <c r="R532" s="26" t="n">
        <v>22</v>
      </c>
      <c r="S532" s="29" t="n">
        <v>1</v>
      </c>
      <c r="T532" s="24" t="inlineStr">
        <is>
          <t>tennis-surface-elo-v1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</v>
      </c>
      <c r="X532" s="26" t="n">
        <v>0</v>
      </c>
      <c r="Y532" s="25" t="n"/>
      <c r="Z532" s="26" t="n">
        <v>-270</v>
      </c>
      <c r="AA532" s="28" t="n">
        <v>0.73</v>
      </c>
      <c r="AB532" s="28" t="n">
        <v>0.00027</v>
      </c>
      <c r="AC532" s="30" t="n">
        <v>-1</v>
      </c>
      <c r="AD532" s="24" t="inlineStr">
        <is>
          <t>2026-09-07T16:00:21.475756Z</t>
        </is>
      </c>
      <c r="AE532" s="31" t="inlineStr">
        <is>
          <t>Surface-blended Elo on Hard: Irene Burillo p=0.267 vs Lucia Bronzetti. Executable ask 0.7300 (aec-wta-lucbro-ireesc-2026-09-07).</t>
        </is>
      </c>
      <c r="AF532" s="31" t="inlineStr">
        <is>
          <t>Surface-blended Elo model; singles only, WTA+ATP market coverage, not yet locked-holdout qualified -- promoted by explicit operator directive, not genuine walk-forward validation.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Irene Burillo</t>
        </is>
      </c>
      <c r="AQ532" s="24" t="inlineStr">
        <is>
          <t>Irene Burillo</t>
        </is>
      </c>
      <c r="AR532" s="24" t="inlineStr">
        <is>
          <t>Irene Burillo</t>
        </is>
      </c>
      <c r="AS532" s="24" t="inlineStr">
        <is>
          <t>Lucia Bronzetti</t>
        </is>
      </c>
      <c r="AT532" s="24" t="inlineStr">
        <is>
          <t>Lucia Bronzetti</t>
        </is>
      </c>
      <c r="AU532" s="24" t="inlineStr">
        <is>
          <t>Lucia Bronzetti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0ce66f49b381187fe6255a40ca2fdbfc155d5e36125ccf6d30fe81a72962eafa</t>
        </is>
      </c>
      <c r="BB532" s="24" t="inlineStr">
        <is>
          <t>surface_blended_elo</t>
        </is>
      </c>
      <c r="BC532" s="24" t="inlineStr">
        <is>
          <t>tennis-surface-elo-v1</t>
        </is>
      </c>
      <c r="BD532" s="24" t="inlineStr">
        <is>
          <t>0ce66f49b381187fe6255a40ca2fdbfc155d5e36125ccf6d30fe81a72962eafa</t>
        </is>
      </c>
      <c r="BE532" s="24" t="inlineStr">
        <is>
          <t>tennis-surface-elo-v1</t>
        </is>
      </c>
      <c r="BF532" s="24" t="inlineStr">
        <is>
          <t>1</t>
        </is>
      </c>
      <c r="BG532" s="24" t="inlineStr">
        <is>
          <t>0ce66f49b381187fe6255a40ca2fdbfc155d5e36125ccf6d30fe81a72962eafa</t>
        </is>
      </c>
      <c r="BH532" s="24" t="inlineStr">
        <is>
          <t>2026-09-07T04:32:50.892793Z</t>
        </is>
      </c>
      <c r="BI532" s="24" t="inlineStr">
        <is>
          <t>["same_event","same_team_same_day","same_league_same_day"]</t>
        </is>
      </c>
      <c r="BJ532" s="25" t="n"/>
      <c r="BK532" s="26" t="n">
        <v>-270</v>
      </c>
      <c r="BL532" s="27" t="n">
        <v>1.37037</v>
      </c>
      <c r="BM532" s="28" t="n">
        <v>0.72973</v>
      </c>
      <c r="BN532" s="28" t="n"/>
      <c r="BO532" s="28" t="n"/>
      <c r="BP532" s="25" t="n"/>
      <c r="BQ532" s="27" t="n">
        <v>1.37037</v>
      </c>
      <c r="BR532" s="28" t="n">
        <v>0.73</v>
      </c>
      <c r="BS532" s="28" t="n"/>
      <c r="BT532" s="28" t="n"/>
      <c r="BU532" s="25" t="n"/>
      <c r="BV532" s="29" t="n"/>
      <c r="BW532" s="24" t="n"/>
      <c r="BX532" s="30" t="n">
        <v>1</v>
      </c>
      <c r="BY532" s="27" t="n">
        <v>-1</v>
      </c>
      <c r="BZ532" s="24" t="inlineStr">
        <is>
          <t>2026-09-07T16:00:21.475756Z</t>
        </is>
      </c>
      <c r="CA532" s="31" t="inlineStr">
        <is>
          <t>fixed one-unit hypothetical scoring; no real exposure or execution</t>
        </is>
      </c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inlineStr">
        <is>
          <t>6486c6715254b61016e3a4fb113ffba27f90f5757f39fdfeed9a27e823803d06</t>
        </is>
      </c>
      <c r="DE532" s="24" t="inlineStr">
        <is>
          <t>/Users/vincentc9002/model-prediction/data/odds/tennis/2026-09-07/polymarket_snapshots.jsonl</t>
        </is>
      </c>
      <c r="DF532" s="24" t="inlineStr">
        <is>
          <t>707238:2026-09-07T04:32:50.892793Z</t>
        </is>
      </c>
      <c r="DG532" s="24" t="n"/>
      <c r="DH532" s="24" t="n"/>
      <c r="DI532" s="24" t="n"/>
      <c r="DJ532" s="24" t="inlineStr">
        <is>
          <t>0.72973</t>
        </is>
      </c>
      <c r="DK532" s="24" t="n"/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a2d26d699d3b4f25</t>
        </is>
      </c>
      <c r="B533" s="24" t="inlineStr">
        <is>
          <t>2026-09-07T04:33:25.566147Z</t>
        </is>
      </c>
      <c r="C533" s="24" t="inlineStr">
        <is>
          <t>2026-09-07T08:30Z</t>
        </is>
      </c>
      <c r="D533" s="24" t="inlineStr">
        <is>
          <t>1076-2026:183540</t>
        </is>
      </c>
      <c r="E533" s="24" t="inlineStr">
        <is>
          <t>TENNIS</t>
        </is>
      </c>
      <c r="F533" s="24" t="inlineStr">
        <is>
          <t>Zhibek Kulambayeva</t>
        </is>
      </c>
      <c r="G533" s="24" t="inlineStr">
        <is>
          <t>Radka Zelnickova</t>
        </is>
      </c>
      <c r="H533" s="24" t="inlineStr">
        <is>
          <t>moneyline</t>
        </is>
      </c>
      <c r="I533" s="24" t="inlineStr">
        <is>
          <t>away</t>
        </is>
      </c>
      <c r="J533" s="25" t="n"/>
      <c r="K533" s="24" t="inlineStr">
        <is>
          <t>polymarket_us</t>
        </is>
      </c>
      <c r="L533" s="26" t="n">
        <v>-213</v>
      </c>
      <c r="M533" s="27" t="n">
        <v>1.469484</v>
      </c>
      <c r="N533" s="28" t="n">
        <v>0.680511</v>
      </c>
      <c r="O533" s="28" t="n">
        <v>0.5046</v>
      </c>
      <c r="P533" s="28" t="n">
        <v>0.05</v>
      </c>
      <c r="Q533" s="28" t="n">
        <v>-0.175911</v>
      </c>
      <c r="R533" s="26" t="n">
        <v>0</v>
      </c>
      <c r="S533" s="29" t="n">
        <v>1</v>
      </c>
      <c r="T533" s="24" t="inlineStr">
        <is>
          <t>tennis-surface-elo-v1</t>
        </is>
      </c>
      <c r="U533" s="24" t="inlineStr">
        <is>
          <t>settled</t>
        </is>
      </c>
      <c r="V533" s="24" t="inlineStr">
        <is>
          <t>win</t>
        </is>
      </c>
      <c r="W533" s="26" t="n">
        <v>1</v>
      </c>
      <c r="X533" s="26" t="n">
        <v>0</v>
      </c>
      <c r="Y533" s="25" t="n"/>
      <c r="Z533" s="26" t="n">
        <v>-213</v>
      </c>
      <c r="AA533" s="28" t="n">
        <v>0.68</v>
      </c>
      <c r="AB533" s="28" t="n">
        <v>-0.000511</v>
      </c>
      <c r="AC533" s="30" t="n">
        <v>0.4695</v>
      </c>
      <c r="AD533" s="24" t="inlineStr">
        <is>
          <t>2026-09-07T16:00:22.660455Z</t>
        </is>
      </c>
      <c r="AE533" s="31" t="inlineStr">
        <is>
          <t>Surface-blended Elo on Hard: Zhibek Kulambayeva p=0.505 vs Radka Zelnickova. Executable ask 0.6800 (aec-wta-radzel-zhikul-2026-09-07).</t>
        </is>
      </c>
      <c r="AF533" s="31" t="inlineStr">
        <is>
          <t>Surface-blended Elo model; singles only, WTA+ATP market coverage, not yet locked-holdout qualified -- promoted by explicit operator directive, not genuine walk-forward validation.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PAPER_CALL_MODEL_UNVALIDATED</t>
        </is>
      </c>
      <c r="AP533" s="24" t="inlineStr">
        <is>
          <t>Zhibek Kulambayeva</t>
        </is>
      </c>
      <c r="AQ533" s="24" t="inlineStr">
        <is>
          <t>Zhibek Kulambayeva</t>
        </is>
      </c>
      <c r="AR533" s="24" t="inlineStr">
        <is>
          <t>Zhibek Kulambayeva</t>
        </is>
      </c>
      <c r="AS533" s="24" t="inlineStr">
        <is>
          <t>Radka Zelnickova</t>
        </is>
      </c>
      <c r="AT533" s="24" t="inlineStr">
        <is>
          <t>Radka Zelnickova</t>
        </is>
      </c>
      <c r="AU533" s="24" t="inlineStr">
        <is>
          <t>Radka Zelnickova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0ce66f49b381187fe6255a40ca2fdbfc155d5e36125ccf6d30fe81a72962eafa</t>
        </is>
      </c>
      <c r="BB533" s="24" t="inlineStr">
        <is>
          <t>surface_blended_elo</t>
        </is>
      </c>
      <c r="BC533" s="24" t="inlineStr">
        <is>
          <t>tennis-surface-elo-v1</t>
        </is>
      </c>
      <c r="BD533" s="24" t="inlineStr">
        <is>
          <t>0ce66f49b381187fe6255a40ca2fdbfc155d5e36125ccf6d30fe81a72962eafa</t>
        </is>
      </c>
      <c r="BE533" s="24" t="inlineStr">
        <is>
          <t>tennis-surface-elo-v1</t>
        </is>
      </c>
      <c r="BF533" s="24" t="inlineStr">
        <is>
          <t>1</t>
        </is>
      </c>
      <c r="BG533" s="24" t="inlineStr">
        <is>
          <t>0ce66f49b381187fe6255a40ca2fdbfc155d5e36125ccf6d30fe81a72962eafa</t>
        </is>
      </c>
      <c r="BH533" s="24" t="inlineStr">
        <is>
          <t>2026-09-07T04:32:50.893419Z</t>
        </is>
      </c>
      <c r="BI533" s="24" t="inlineStr">
        <is>
          <t>["same_event","same_team_same_day","same_league_same_day"]</t>
        </is>
      </c>
      <c r="BJ533" s="25" t="n"/>
      <c r="BK533" s="26" t="n">
        <v>-213</v>
      </c>
      <c r="BL533" s="27" t="n">
        <v>1.469484</v>
      </c>
      <c r="BM533" s="28" t="n">
        <v>0.680511</v>
      </c>
      <c r="BN533" s="28" t="n"/>
      <c r="BO533" s="28" t="n"/>
      <c r="BP533" s="25" t="n"/>
      <c r="BQ533" s="27" t="n">
        <v>1.469484</v>
      </c>
      <c r="BR533" s="28" t="n">
        <v>0.68</v>
      </c>
      <c r="BS533" s="28" t="n"/>
      <c r="BT533" s="28" t="n"/>
      <c r="BU533" s="25" t="n"/>
      <c r="BV533" s="29" t="n"/>
      <c r="BW533" s="24" t="n"/>
      <c r="BX533" s="30" t="n">
        <v>1</v>
      </c>
      <c r="BY533" s="27" t="n">
        <v>0.469484</v>
      </c>
      <c r="BZ533" s="24" t="inlineStr">
        <is>
          <t>2026-09-07T16:00:22.660455Z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inlineStr">
        <is>
          <t>073154d280b472089bad4afa41abc8e48e0d90a0c29b4de5c428d60470fa7d2c</t>
        </is>
      </c>
      <c r="DE533" s="24" t="inlineStr">
        <is>
          <t>/Users/vincentc9002/model-prediction/data/odds/tennis/2026-09-07/polymarket_snapshots.jsonl</t>
        </is>
      </c>
      <c r="DF533" s="24" t="inlineStr">
        <is>
          <t>710928:2026-09-07T04:32:50.893419Z</t>
        </is>
      </c>
      <c r="DG533" s="24" t="n"/>
      <c r="DH533" s="24" t="n"/>
      <c r="DI533" s="24" t="n"/>
      <c r="DJ533" s="24" t="inlineStr">
        <is>
          <t>0.680511</t>
        </is>
      </c>
      <c r="DK533" s="24" t="n"/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f87d955de9a24120</t>
        </is>
      </c>
      <c r="B534" s="24" t="inlineStr">
        <is>
          <t>2026-09-07T04:33:25.566147Z</t>
        </is>
      </c>
      <c r="C534" s="24" t="inlineStr">
        <is>
          <t>2026-09-07T10:00Z</t>
        </is>
      </c>
      <c r="D534" s="24" t="inlineStr">
        <is>
          <t>1076-2026:183538</t>
        </is>
      </c>
      <c r="E534" s="24" t="inlineStr">
        <is>
          <t>TENNIS</t>
        </is>
      </c>
      <c r="F534" s="24" t="inlineStr">
        <is>
          <t>Elizara Yaneva</t>
        </is>
      </c>
      <c r="G534" s="24" t="inlineStr">
        <is>
          <t>Weronika Falkowska</t>
        </is>
      </c>
      <c r="H534" s="24" t="inlineStr">
        <is>
          <t>moneyline</t>
        </is>
      </c>
      <c r="I534" s="24" t="inlineStr">
        <is>
          <t>home</t>
        </is>
      </c>
      <c r="J534" s="25" t="n"/>
      <c r="K534" s="24" t="inlineStr">
        <is>
          <t>polymarket_us</t>
        </is>
      </c>
      <c r="L534" s="26" t="n">
        <v>257</v>
      </c>
      <c r="M534" s="27" t="n">
        <v>3.57</v>
      </c>
      <c r="N534" s="28" t="n">
        <v>0.280112</v>
      </c>
      <c r="O534" s="28" t="n">
        <v>0.5329</v>
      </c>
      <c r="P534" s="28" t="n">
        <v>0.05</v>
      </c>
      <c r="Q534" s="28" t="n">
        <v>0.252788</v>
      </c>
      <c r="R534" s="26" t="n">
        <v>100</v>
      </c>
      <c r="S534" s="29" t="n">
        <v>2</v>
      </c>
      <c r="T534" s="24" t="inlineStr">
        <is>
          <t>tennis-surface-elo-v1</t>
        </is>
      </c>
      <c r="U534" s="24" t="inlineStr">
        <is>
          <t>settled</t>
        </is>
      </c>
      <c r="V534" s="24" t="inlineStr">
        <is>
          <t>loss</t>
        </is>
      </c>
      <c r="W534" s="26" t="n">
        <v>1</v>
      </c>
      <c r="X534" s="26" t="n">
        <v>0</v>
      </c>
      <c r="Y534" s="25" t="n"/>
      <c r="Z534" s="26" t="n">
        <v>257</v>
      </c>
      <c r="AA534" s="28" t="n">
        <v>0.28</v>
      </c>
      <c r="AB534" s="28" t="n">
        <v>-0.000112</v>
      </c>
      <c r="AC534" s="30" t="n">
        <v>-2</v>
      </c>
      <c r="AD534" s="24" t="inlineStr">
        <is>
          <t>2026-09-07T22:00:16.228894Z</t>
        </is>
      </c>
      <c r="AE534" s="31" t="inlineStr">
        <is>
          <t>Surface-blended Elo on Hard: Elizara Yaneva p=0.467 vs Weronika Falkowska. Executable ask 0.2800 (aec-wta-werfal-eliyan-2026-09-07).</t>
        </is>
      </c>
      <c r="AF534" s="31" t="inlineStr">
        <is>
          <t>Surface-blended Elo model; singles only, WTA+ATP market coverage, not yet locked-holdout qualified -- promoted by explicit operator directive, not genuine walk-forward validation.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Elizara Yaneva</t>
        </is>
      </c>
      <c r="AQ534" s="24" t="inlineStr">
        <is>
          <t>Elizara Yaneva</t>
        </is>
      </c>
      <c r="AR534" s="24" t="inlineStr">
        <is>
          <t>Elizara Yaneva</t>
        </is>
      </c>
      <c r="AS534" s="24" t="inlineStr">
        <is>
          <t>Weronika Falkowska</t>
        </is>
      </c>
      <c r="AT534" s="24" t="inlineStr">
        <is>
          <t>Weronika Falkowska</t>
        </is>
      </c>
      <c r="AU534" s="24" t="inlineStr">
        <is>
          <t>Weronika Falkowska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0ce66f49b381187fe6255a40ca2fdbfc155d5e36125ccf6d30fe81a72962eafa</t>
        </is>
      </c>
      <c r="BB534" s="24" t="inlineStr">
        <is>
          <t>surface_blended_elo</t>
        </is>
      </c>
      <c r="BC534" s="24" t="inlineStr">
        <is>
          <t>tennis-surface-elo-v1</t>
        </is>
      </c>
      <c r="BD534" s="24" t="inlineStr">
        <is>
          <t>0ce66f49b381187fe6255a40ca2fdbfc155d5e36125ccf6d30fe81a72962eafa</t>
        </is>
      </c>
      <c r="BE534" s="24" t="inlineStr">
        <is>
          <t>tennis-surface-elo-v1</t>
        </is>
      </c>
      <c r="BF534" s="24" t="inlineStr">
        <is>
          <t>1</t>
        </is>
      </c>
      <c r="BG534" s="24" t="inlineStr">
        <is>
          <t>0ce66f49b381187fe6255a40ca2fdbfc155d5e36125ccf6d30fe81a72962eafa</t>
        </is>
      </c>
      <c r="BH534" s="24" t="inlineStr">
        <is>
          <t>2026-09-07T04:32:50.896226Z</t>
        </is>
      </c>
      <c r="BI534" s="24" t="inlineStr">
        <is>
          <t>["same_event","same_team_same_day","same_league_same_day"]</t>
        </is>
      </c>
      <c r="BJ534" s="25" t="n"/>
      <c r="BK534" s="26" t="n">
        <v>257</v>
      </c>
      <c r="BL534" s="27" t="n">
        <v>3.57</v>
      </c>
      <c r="BM534" s="28" t="n">
        <v>0.280112</v>
      </c>
      <c r="BN534" s="28" t="n"/>
      <c r="BO534" s="28" t="n"/>
      <c r="BP534" s="25" t="n"/>
      <c r="BQ534" s="27" t="n">
        <v>3.57</v>
      </c>
      <c r="BR534" s="28" t="n">
        <v>0.28</v>
      </c>
      <c r="BS534" s="28" t="n"/>
      <c r="BT534" s="28" t="n"/>
      <c r="BU534" s="25" t="n"/>
      <c r="BV534" s="29" t="n"/>
      <c r="BW534" s="24" t="n"/>
      <c r="BX534" s="30" t="n">
        <v>1</v>
      </c>
      <c r="BY534" s="27" t="n">
        <v>-1</v>
      </c>
      <c r="BZ534" s="24" t="inlineStr">
        <is>
          <t>2026-09-07T22:00:16.228894Z</t>
        </is>
      </c>
      <c r="CA534" s="31" t="inlineStr">
        <is>
          <t>fixed one-unit hypothetical scoring; no real exposure or execution</t>
        </is>
      </c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inlineStr">
        <is>
          <t>2d9f6881e782cae86952d601c90cd17b694eb70ef79070fd9a535e662967587a</t>
        </is>
      </c>
      <c r="DE534" s="24" t="inlineStr">
        <is>
          <t>/Users/vincentc9002/model-prediction/data/odds/tennis/2026-09-07/polymarket_snapshots.jsonl</t>
        </is>
      </c>
      <c r="DF534" s="24" t="inlineStr">
        <is>
          <t>707240:2026-09-07T04:32:50.896226Z</t>
        </is>
      </c>
      <c r="DG534" s="24" t="n"/>
      <c r="DH534" s="24" t="n"/>
      <c r="DI534" s="24" t="n"/>
      <c r="DJ534" s="24" t="inlineStr">
        <is>
          <t>0.280112</t>
        </is>
      </c>
      <c r="DK534" s="24" t="n"/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8f3bd5a534974c24</t>
        </is>
      </c>
      <c r="B535" s="24" t="inlineStr">
        <is>
          <t>2026-09-07T04:33:25.566147Z</t>
        </is>
      </c>
      <c r="C535" s="24" t="inlineStr">
        <is>
          <t>2026-09-07T10:00Z</t>
        </is>
      </c>
      <c r="D535" s="24" t="inlineStr">
        <is>
          <t>1076-2026:183536</t>
        </is>
      </c>
      <c r="E535" s="24" t="inlineStr">
        <is>
          <t>TENNIS</t>
        </is>
      </c>
      <c r="F535" s="24" t="inlineStr">
        <is>
          <t>Lina Gjorcheska</t>
        </is>
      </c>
      <c r="G535" s="24" t="inlineStr">
        <is>
          <t>Mia Ristic</t>
        </is>
      </c>
      <c r="H535" s="24" t="inlineStr">
        <is>
          <t>moneyline</t>
        </is>
      </c>
      <c r="I535" s="24" t="inlineStr">
        <is>
          <t>home</t>
        </is>
      </c>
      <c r="J535" s="25" t="n"/>
      <c r="K535" s="24" t="inlineStr">
        <is>
          <t>polymarket_us</t>
        </is>
      </c>
      <c r="L535" s="26" t="n">
        <v>-355</v>
      </c>
      <c r="M535" s="27" t="n">
        <v>1.28169</v>
      </c>
      <c r="N535" s="28" t="n">
        <v>0.78022</v>
      </c>
      <c r="O535" s="28" t="n">
        <v>0.6427</v>
      </c>
      <c r="P535" s="28" t="n">
        <v>0.05</v>
      </c>
      <c r="Q535" s="28" t="n">
        <v>-0.13752</v>
      </c>
      <c r="R535" s="26" t="n">
        <v>0</v>
      </c>
      <c r="S535" s="29" t="n">
        <v>1</v>
      </c>
      <c r="T535" s="24" t="inlineStr">
        <is>
          <t>tennis-surface-elo-v1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</v>
      </c>
      <c r="X535" s="26" t="n">
        <v>0</v>
      </c>
      <c r="Y535" s="25" t="n"/>
      <c r="Z535" s="26" t="n">
        <v>-355</v>
      </c>
      <c r="AA535" s="28" t="n">
        <v>0.78</v>
      </c>
      <c r="AB535" s="28" t="n">
        <v>-0.00022</v>
      </c>
      <c r="AC535" s="30" t="n">
        <v>-1</v>
      </c>
      <c r="AD535" s="24" t="inlineStr">
        <is>
          <t>2026-09-07T16:00:23.787201Z</t>
        </is>
      </c>
      <c r="AE535" s="31" t="inlineStr">
        <is>
          <t>Surface-blended Elo on Hard: Lina Gjorcheska p=0.357 vs Mia Ristic. Executable ask 0.7800 (aec-wta-miaris-lingjo-2026-09-07).</t>
        </is>
      </c>
      <c r="AF535" s="31" t="inlineStr">
        <is>
          <t>Surface-blended Elo model; singles only, WTA+ATP market coverage, not yet locked-holdout qualified -- promoted by explicit operator directive, not genuine walk-forward validation.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paper_call</t>
        </is>
      </c>
      <c r="AL535" s="26" t="n">
        <v>4</v>
      </c>
      <c r="AM535" s="24" t="inlineStr">
        <is>
          <t>RESEARCH_OBSERVATION</t>
        </is>
      </c>
      <c r="AN535" s="24" t="inlineStr">
        <is>
          <t>CALL</t>
        </is>
      </c>
      <c r="AO535" s="24" t="inlineStr">
        <is>
          <t>PAPER_CALL_LOW_EDGE</t>
        </is>
      </c>
      <c r="AP535" s="24" t="inlineStr">
        <is>
          <t>Lina Gjorcheska</t>
        </is>
      </c>
      <c r="AQ535" s="24" t="inlineStr">
        <is>
          <t>Lina Gjorcheska</t>
        </is>
      </c>
      <c r="AR535" s="24" t="inlineStr">
        <is>
          <t>Lina Gjorcheska</t>
        </is>
      </c>
      <c r="AS535" s="24" t="inlineStr">
        <is>
          <t>Mia Ristic</t>
        </is>
      </c>
      <c r="AT535" s="24" t="inlineStr">
        <is>
          <t>Mia Ristic</t>
        </is>
      </c>
      <c r="AU535" s="24" t="inlineStr">
        <is>
          <t>Mia Ristic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0ce66f49b381187fe6255a40ca2fdbfc155d5e36125ccf6d30fe81a72962eafa</t>
        </is>
      </c>
      <c r="BB535" s="24" t="inlineStr">
        <is>
          <t>surface_blended_elo</t>
        </is>
      </c>
      <c r="BC535" s="24" t="inlineStr">
        <is>
          <t>tennis-surface-elo-v1</t>
        </is>
      </c>
      <c r="BD535" s="24" t="inlineStr">
        <is>
          <t>0ce66f49b381187fe6255a40ca2fdbfc155d5e36125ccf6d30fe81a72962eafa</t>
        </is>
      </c>
      <c r="BE535" s="24" t="inlineStr">
        <is>
          <t>tennis-surface-elo-v1</t>
        </is>
      </c>
      <c r="BF535" s="24" t="inlineStr">
        <is>
          <t>1</t>
        </is>
      </c>
      <c r="BG535" s="24" t="inlineStr">
        <is>
          <t>0ce66f49b381187fe6255a40ca2fdbfc155d5e36125ccf6d30fe81a72962eafa</t>
        </is>
      </c>
      <c r="BH535" s="24" t="inlineStr">
        <is>
          <t>2026-09-07T04:32:50.902914Z</t>
        </is>
      </c>
      <c r="BI535" s="24" t="inlineStr">
        <is>
          <t>["same_event","same_team_same_day","same_league_same_day"]</t>
        </is>
      </c>
      <c r="BJ535" s="25" t="n"/>
      <c r="BK535" s="26" t="n">
        <v>-355</v>
      </c>
      <c r="BL535" s="27" t="n">
        <v>1.28169</v>
      </c>
      <c r="BM535" s="28" t="n">
        <v>0.78022</v>
      </c>
      <c r="BN535" s="28" t="n"/>
      <c r="BO535" s="28" t="n"/>
      <c r="BP535" s="25" t="n"/>
      <c r="BQ535" s="27" t="n">
        <v>1.28169</v>
      </c>
      <c r="BR535" s="28" t="n">
        <v>0.78</v>
      </c>
      <c r="BS535" s="28" t="n"/>
      <c r="BT535" s="28" t="n"/>
      <c r="BU535" s="25" t="n"/>
      <c r="BV535" s="29" t="n"/>
      <c r="BW535" s="24" t="n"/>
      <c r="BX535" s="30" t="n">
        <v>1</v>
      </c>
      <c r="BY535" s="27" t="n">
        <v>-1</v>
      </c>
      <c r="BZ535" s="24" t="inlineStr">
        <is>
          <t>2026-09-07T16:00:23.787201Z</t>
        </is>
      </c>
      <c r="CA535" s="31" t="inlineStr">
        <is>
          <t>fixed one-unit hypothetical scoring; no real exposure or execution</t>
        </is>
      </c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inlineStr">
        <is>
          <t>38bec9688bb79c81adabe224815353f6e6e1e2db3d7713e49ae0146d6795fcf6</t>
        </is>
      </c>
      <c r="DE535" s="24" t="inlineStr">
        <is>
          <t>/Users/vincentc9002/model-prediction/data/odds/tennis/2026-09-07/polymarket_snapshots.jsonl</t>
        </is>
      </c>
      <c r="DF535" s="24" t="inlineStr">
        <is>
          <t>707241:2026-09-07T04:32:50.902914Z</t>
        </is>
      </c>
      <c r="DG535" s="24" t="n"/>
      <c r="DH535" s="24" t="n"/>
      <c r="DI535" s="24" t="n"/>
      <c r="DJ535" s="24" t="inlineStr">
        <is>
          <t>0.78022</t>
        </is>
      </c>
      <c r="DK535" s="24" t="n"/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c8a880ca0c464bc4</t>
        </is>
      </c>
      <c r="B536" s="24" t="inlineStr">
        <is>
          <t>2026-09-07T10:02:31.424426Z</t>
        </is>
      </c>
      <c r="C536" s="24" t="inlineStr">
        <is>
          <t>2026-09-07T15:00Z</t>
        </is>
      </c>
      <c r="D536" s="24" t="inlineStr">
        <is>
          <t>189-2026:182555</t>
        </is>
      </c>
      <c r="E536" s="24" t="inlineStr">
        <is>
          <t>TENNIS</t>
        </is>
      </c>
      <c r="F536" s="24" t="inlineStr">
        <is>
          <t>Anastasia Potapova</t>
        </is>
      </c>
      <c r="G536" s="24" t="inlineStr">
        <is>
          <t>Mirra Andreeva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polymarket_us</t>
        </is>
      </c>
      <c r="L536" s="26" t="n">
        <v>-506</v>
      </c>
      <c r="M536" s="27" t="n">
        <v>1.197628</v>
      </c>
      <c r="N536" s="28" t="n">
        <v>0.834983</v>
      </c>
      <c r="O536" s="28" t="n">
        <v>0.7004</v>
      </c>
      <c r="P536" s="28" t="n">
        <v>0.05</v>
      </c>
      <c r="Q536" s="28" t="n">
        <v>-0.134583</v>
      </c>
      <c r="R536" s="26" t="n">
        <v>0</v>
      </c>
      <c r="S536" s="29" t="n">
        <v>1</v>
      </c>
      <c r="T536" s="24" t="inlineStr">
        <is>
          <t>tennis-surface-elo-v1</t>
        </is>
      </c>
      <c r="U536" s="24" t="inlineStr">
        <is>
          <t>settled</t>
        </is>
      </c>
      <c r="V536" s="24" t="inlineStr">
        <is>
          <t>win</t>
        </is>
      </c>
      <c r="W536" s="26" t="n">
        <v>0</v>
      </c>
      <c r="X536" s="26" t="n">
        <v>1</v>
      </c>
      <c r="Y536" s="25" t="n"/>
      <c r="Z536" s="26" t="n">
        <v>-506</v>
      </c>
      <c r="AA536" s="28" t="n">
        <v>0.835</v>
      </c>
      <c r="AB536" s="28" t="n">
        <v>1.7e-05</v>
      </c>
      <c r="AC536" s="30" t="n">
        <v>0.1976</v>
      </c>
      <c r="AD536" s="24" t="inlineStr">
        <is>
          <t>2026-09-07T22:00:18.074620Z</t>
        </is>
      </c>
      <c r="AE536" s="31" t="inlineStr">
        <is>
          <t>Surface-blended Elo on Hard: Anastasia Potapova p=0.300 vs Mirra Andreeva. Executable ask 0.8350 (aec-wta-mirand-anapot-2026-09-06).</t>
        </is>
      </c>
      <c r="AF536" s="31" t="inlineStr">
        <is>
          <t>Surface-blended Elo model; singles only, WTA+ATP market coverage, not yet locked-holdout qualified -- promoted by explicit operator directive, not genuine walk-forward validation.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paper_call</t>
        </is>
      </c>
      <c r="AL536" s="26" t="n">
        <v>4</v>
      </c>
      <c r="AM536" s="24" t="inlineStr">
        <is>
          <t>RESEARCH_OBSERVATION</t>
        </is>
      </c>
      <c r="AN536" s="24" t="inlineStr">
        <is>
          <t>CALL</t>
        </is>
      </c>
      <c r="AO536" s="24" t="inlineStr">
        <is>
          <t>PAPER_CALL_LOW_EDGE</t>
        </is>
      </c>
      <c r="AP536" s="24" t="inlineStr">
        <is>
          <t>Anastasia Potapova</t>
        </is>
      </c>
      <c r="AQ536" s="24" t="inlineStr">
        <is>
          <t>Anastasia Potapova</t>
        </is>
      </c>
      <c r="AR536" s="24" t="inlineStr">
        <is>
          <t>Anastasia Potapova</t>
        </is>
      </c>
      <c r="AS536" s="24" t="inlineStr">
        <is>
          <t>Mirra Andreeva</t>
        </is>
      </c>
      <c r="AT536" s="24" t="inlineStr">
        <is>
          <t>Mirra Andreeva</t>
        </is>
      </c>
      <c r="AU536" s="24" t="inlineStr">
        <is>
          <t>Mirra Andreeva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0ce66f49b381187fe6255a40ca2fdbfc155d5e36125ccf6d30fe81a72962eafa</t>
        </is>
      </c>
      <c r="BB536" s="24" t="inlineStr">
        <is>
          <t>surface_blended_elo</t>
        </is>
      </c>
      <c r="BC536" s="24" t="inlineStr">
        <is>
          <t>tennis-surface-elo-v1</t>
        </is>
      </c>
      <c r="BD536" s="24" t="inlineStr">
        <is>
          <t>0ce66f49b381187fe6255a40ca2fdbfc155d5e36125ccf6d30fe81a72962eafa</t>
        </is>
      </c>
      <c r="BE536" s="24" t="inlineStr">
        <is>
          <t>tennis-surface-elo-v1</t>
        </is>
      </c>
      <c r="BF536" s="24" t="inlineStr">
        <is>
          <t>1</t>
        </is>
      </c>
      <c r="BG536" s="24" t="inlineStr">
        <is>
          <t>0ce66f49b381187fe6255a40ca2fdbfc155d5e36125ccf6d30fe81a72962eafa</t>
        </is>
      </c>
      <c r="BH536" s="24" t="inlineStr">
        <is>
          <t>2026-09-07T10:01:53.839918Z</t>
        </is>
      </c>
      <c r="BI536" s="24" t="inlineStr">
        <is>
          <t>["same_event","same_team_same_day","same_league_same_day"]</t>
        </is>
      </c>
      <c r="BJ536" s="25" t="n"/>
      <c r="BK536" s="26" t="n">
        <v>-506</v>
      </c>
      <c r="BL536" s="27" t="n">
        <v>1.197628</v>
      </c>
      <c r="BM536" s="28" t="n">
        <v>0.834983</v>
      </c>
      <c r="BN536" s="28" t="n"/>
      <c r="BO536" s="28" t="n"/>
      <c r="BP536" s="25" t="n"/>
      <c r="BQ536" s="27" t="n">
        <v>1.197628</v>
      </c>
      <c r="BR536" s="28" t="n">
        <v>0.835</v>
      </c>
      <c r="BS536" s="28" t="n"/>
      <c r="BT536" s="28" t="n"/>
      <c r="BU536" s="25" t="n"/>
      <c r="BV536" s="29" t="n"/>
      <c r="BW536" s="24" t="n"/>
      <c r="BX536" s="30" t="n">
        <v>1</v>
      </c>
      <c r="BY536" s="27" t="n">
        <v>0.197629</v>
      </c>
      <c r="BZ536" s="24" t="inlineStr">
        <is>
          <t>2026-09-07T22:00:18.074620Z</t>
        </is>
      </c>
      <c r="CA536" s="31" t="inlineStr">
        <is>
          <t>fixed one-unit hypothetical scoring; no real exposure or execution</t>
        </is>
      </c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inlineStr">
        <is>
          <t>f4b5a27af42d4aa2389c6882bd329c0bf07d7ee3cad848994f918949295d8265</t>
        </is>
      </c>
      <c r="DE536" s="24" t="inlineStr">
        <is>
          <t>/Users/vincentc9002/model-prediction/data/odds/tennis/2026-09-07/polymarket_snapshots.jsonl</t>
        </is>
      </c>
      <c r="DF536" s="24" t="inlineStr">
        <is>
          <t>690350:2026-09-07T10:01:53.839918Z</t>
        </is>
      </c>
      <c r="DG536" s="24" t="n"/>
      <c r="DH536" s="24" t="n"/>
      <c r="DI536" s="24" t="n"/>
      <c r="DJ536" s="24" t="inlineStr">
        <is>
          <t>0.834983</t>
        </is>
      </c>
      <c r="DK536" s="24" t="n"/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00987227cd4e4f09</t>
        </is>
      </c>
      <c r="B537" s="24" t="inlineStr">
        <is>
          <t>2026-09-07T10:02:31.424426Z</t>
        </is>
      </c>
      <c r="C537" s="24" t="inlineStr">
        <is>
          <t>2026-09-07T15:30Z</t>
        </is>
      </c>
      <c r="D537" s="24" t="inlineStr">
        <is>
          <t>189-2026:182562</t>
        </is>
      </c>
      <c r="E537" s="24" t="inlineStr">
        <is>
          <t>TENNIS</t>
        </is>
      </c>
      <c r="F537" s="24" t="inlineStr">
        <is>
          <t>Zheng Qinwen</t>
        </is>
      </c>
      <c r="G537" s="24" t="inlineStr">
        <is>
          <t>Iga Swiatek</t>
        </is>
      </c>
      <c r="H537" s="24" t="inlineStr">
        <is>
          <t>moneyline</t>
        </is>
      </c>
      <c r="I537" s="24" t="inlineStr">
        <is>
          <t>home</t>
        </is>
      </c>
      <c r="J537" s="25" t="n"/>
      <c r="K537" s="24" t="inlineStr">
        <is>
          <t>polymarket_us</t>
        </is>
      </c>
      <c r="L537" s="26" t="n">
        <v>-400</v>
      </c>
      <c r="M537" s="27" t="n">
        <v>1.25</v>
      </c>
      <c r="N537" s="28" t="n">
        <v>0.8</v>
      </c>
      <c r="O537" s="28" t="n">
        <v>0.7129</v>
      </c>
      <c r="P537" s="28" t="n">
        <v>0.05</v>
      </c>
      <c r="Q537" s="28" t="n">
        <v>-0.0871</v>
      </c>
      <c r="R537" s="26" t="n">
        <v>0</v>
      </c>
      <c r="S537" s="29" t="n">
        <v>1</v>
      </c>
      <c r="T537" s="24" t="inlineStr">
        <is>
          <t>tennis-surface-elo-v1</t>
        </is>
      </c>
      <c r="U537" s="24" t="inlineStr">
        <is>
          <t>settled</t>
        </is>
      </c>
      <c r="V537" s="24" t="inlineStr">
        <is>
          <t>loss</t>
        </is>
      </c>
      <c r="W537" s="26" t="n">
        <v>1</v>
      </c>
      <c r="X537" s="26" t="n">
        <v>0</v>
      </c>
      <c r="Y537" s="25" t="n"/>
      <c r="Z537" s="26" t="n">
        <v>-400</v>
      </c>
      <c r="AA537" s="28" t="n">
        <v>0.8</v>
      </c>
      <c r="AB537" s="28" t="n">
        <v>0</v>
      </c>
      <c r="AC537" s="30" t="n">
        <v>-1</v>
      </c>
      <c r="AD537" s="24" t="inlineStr">
        <is>
          <t>2026-09-07T22:00:21.961679Z</t>
        </is>
      </c>
      <c r="AE537" s="31" t="inlineStr">
        <is>
          <t>Surface-blended Elo on Hard: Zheng Qinwen p=0.287 vs Iga Swiatek. Executable ask 0.8000 (aec-wta-igaswi-qinzhe-2026-09-06).</t>
        </is>
      </c>
      <c r="AF537" s="31" t="inlineStr">
        <is>
          <t>Surface-blended Elo model; singles only, WTA+ATP market coverage, not yet locked-holdout qualified -- promoted by explicit operator directive, not genuine walk-forward validation.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paper_call</t>
        </is>
      </c>
      <c r="AL537" s="26" t="n">
        <v>4</v>
      </c>
      <c r="AM537" s="24" t="inlineStr">
        <is>
          <t>RESEARCH_OBSERVATION</t>
        </is>
      </c>
      <c r="AN537" s="24" t="inlineStr">
        <is>
          <t>CALL</t>
        </is>
      </c>
      <c r="AO537" s="24" t="inlineStr">
        <is>
          <t>PAPER_CALL_LOW_EDGE</t>
        </is>
      </c>
      <c r="AP537" s="24" t="inlineStr">
        <is>
          <t>Zheng Qinwen</t>
        </is>
      </c>
      <c r="AQ537" s="24" t="inlineStr">
        <is>
          <t>Zheng Qinwen</t>
        </is>
      </c>
      <c r="AR537" s="24" t="inlineStr">
        <is>
          <t>Zheng Qinwen</t>
        </is>
      </c>
      <c r="AS537" s="24" t="inlineStr">
        <is>
          <t>Iga Swiatek</t>
        </is>
      </c>
      <c r="AT537" s="24" t="inlineStr">
        <is>
          <t>Iga Swiatek</t>
        </is>
      </c>
      <c r="AU537" s="24" t="inlineStr">
        <is>
          <t>Iga Swiatek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0ce66f49b381187fe6255a40ca2fdbfc155d5e36125ccf6d30fe81a72962eafa</t>
        </is>
      </c>
      <c r="BB537" s="24" t="inlineStr">
        <is>
          <t>surface_blended_elo</t>
        </is>
      </c>
      <c r="BC537" s="24" t="inlineStr">
        <is>
          <t>tennis-surface-elo-v1</t>
        </is>
      </c>
      <c r="BD537" s="24" t="inlineStr">
        <is>
          <t>0ce66f49b381187fe6255a40ca2fdbfc155d5e36125ccf6d30fe81a72962eafa</t>
        </is>
      </c>
      <c r="BE537" s="24" t="inlineStr">
        <is>
          <t>tennis-surface-elo-v1</t>
        </is>
      </c>
      <c r="BF537" s="24" t="inlineStr">
        <is>
          <t>1</t>
        </is>
      </c>
      <c r="BG537" s="24" t="inlineStr">
        <is>
          <t>0ce66f49b381187fe6255a40ca2fdbfc155d5e36125ccf6d30fe81a72962eafa</t>
        </is>
      </c>
      <c r="BH537" s="24" t="inlineStr">
        <is>
          <t>2026-09-07T10:01:53.900290Z</t>
        </is>
      </c>
      <c r="BI537" s="24" t="inlineStr">
        <is>
          <t>["same_event","same_team_same_day","same_league_same_day"]</t>
        </is>
      </c>
      <c r="BJ537" s="25" t="n"/>
      <c r="BK537" s="26" t="n">
        <v>-400</v>
      </c>
      <c r="BL537" s="27" t="n">
        <v>1.25</v>
      </c>
      <c r="BM537" s="28" t="n">
        <v>0.8</v>
      </c>
      <c r="BN537" s="28" t="n"/>
      <c r="BO537" s="28" t="n"/>
      <c r="BP537" s="25" t="n"/>
      <c r="BQ537" s="27" t="n">
        <v>1.25</v>
      </c>
      <c r="BR537" s="28" t="n">
        <v>0.8</v>
      </c>
      <c r="BS537" s="28" t="n"/>
      <c r="BT537" s="28" t="n"/>
      <c r="BU537" s="25" t="n"/>
      <c r="BV537" s="29" t="n"/>
      <c r="BW537" s="24" t="n"/>
      <c r="BX537" s="30" t="n">
        <v>1</v>
      </c>
      <c r="BY537" s="27" t="n">
        <v>-1</v>
      </c>
      <c r="BZ537" s="24" t="inlineStr">
        <is>
          <t>2026-09-07T22:00:21.961679Z</t>
        </is>
      </c>
      <c r="CA537" s="31" t="inlineStr">
        <is>
          <t>fixed one-unit hypothetical scoring; no real exposure or execution</t>
        </is>
      </c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inlineStr">
        <is>
          <t>84a834102729fabce214ea9110b9f81b5e9f632904b88e55fb3a23a37595d590</t>
        </is>
      </c>
      <c r="DE537" s="24" t="inlineStr">
        <is>
          <t>/Users/vincentc9002/model-prediction/data/odds/tennis/2026-09-07/polymarket_snapshots.jsonl</t>
        </is>
      </c>
      <c r="DF537" s="24" t="inlineStr">
        <is>
          <t>691077:2026-09-07T10:01:53.900290Z</t>
        </is>
      </c>
      <c r="DG537" s="24" t="n"/>
      <c r="DH537" s="24" t="n"/>
      <c r="DI537" s="24" t="n"/>
      <c r="DJ537" s="24" t="inlineStr">
        <is>
          <t>0.8</t>
        </is>
      </c>
      <c r="DK537" s="24" t="n"/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69c553a4eab44bcf</t>
        </is>
      </c>
      <c r="B538" s="24" t="inlineStr">
        <is>
          <t>2026-09-07T10:02:31.424426Z</t>
        </is>
      </c>
      <c r="C538" s="24" t="inlineStr">
        <is>
          <t>2026-09-07T10:30Z</t>
        </is>
      </c>
      <c r="D538" s="24" t="inlineStr">
        <is>
          <t>998-2026:183580</t>
        </is>
      </c>
      <c r="E538" s="24" t="inlineStr">
        <is>
          <t>TENNIS</t>
        </is>
      </c>
      <c r="F538" s="24" t="inlineStr">
        <is>
          <t>Despina Papamichail</t>
        </is>
      </c>
      <c r="G538" s="24" t="inlineStr">
        <is>
          <t>Anastasia Zolotareva</t>
        </is>
      </c>
      <c r="H538" s="24" t="inlineStr">
        <is>
          <t>moneyline</t>
        </is>
      </c>
      <c r="I538" s="24" t="inlineStr">
        <is>
          <t>home</t>
        </is>
      </c>
      <c r="J538" s="25" t="n"/>
      <c r="K538" s="24" t="inlineStr">
        <is>
          <t>polymarket_us</t>
        </is>
      </c>
      <c r="L538" s="26" t="n">
        <v>-163</v>
      </c>
      <c r="M538" s="27" t="n">
        <v>1.613497</v>
      </c>
      <c r="N538" s="28" t="n">
        <v>0.619772</v>
      </c>
      <c r="O538" s="28" t="n">
        <v>0.5824</v>
      </c>
      <c r="P538" s="28" t="n">
        <v>0.05</v>
      </c>
      <c r="Q538" s="28" t="n">
        <v>-0.037372</v>
      </c>
      <c r="R538" s="26" t="n">
        <v>1</v>
      </c>
      <c r="S538" s="29" t="n">
        <v>1</v>
      </c>
      <c r="T538" s="24" t="inlineStr">
        <is>
          <t>tennis-surface-elo-v1</t>
        </is>
      </c>
      <c r="U538" s="24" t="inlineStr">
        <is>
          <t>settled</t>
        </is>
      </c>
      <c r="V538" s="24" t="inlineStr">
        <is>
          <t>loss</t>
        </is>
      </c>
      <c r="W538" s="26" t="n">
        <v>1</v>
      </c>
      <c r="X538" s="26" t="n">
        <v>0</v>
      </c>
      <c r="Y538" s="25" t="n"/>
      <c r="Z538" s="26" t="n">
        <v>-163</v>
      </c>
      <c r="AA538" s="28" t="n">
        <v>0.62</v>
      </c>
      <c r="AB538" s="28" t="n">
        <v>0.000228</v>
      </c>
      <c r="AC538" s="30" t="n">
        <v>-1</v>
      </c>
      <c r="AD538" s="24" t="inlineStr">
        <is>
          <t>2026-09-07T16:00:24.958657Z</t>
        </is>
      </c>
      <c r="AE538" s="31" t="inlineStr">
        <is>
          <t>Surface-blended Elo on Hard: Despina Papamichail p=0.418 vs Anastasia Zolotareva. Executable ask 0.6200 (aec-wta-anazol-despap-2026-09-07).</t>
        </is>
      </c>
      <c r="AF538" s="31" t="inlineStr">
        <is>
          <t>Surface-blended Elo model; singles only, WTA+ATP market coverage, not yet locked-holdout qualified -- promoted by explicit operator directive, not genuine walk-forward validation.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Despina Papamichail</t>
        </is>
      </c>
      <c r="AQ538" s="24" t="inlineStr">
        <is>
          <t>Despina Papamichail</t>
        </is>
      </c>
      <c r="AR538" s="24" t="inlineStr">
        <is>
          <t>Despina Papamichail</t>
        </is>
      </c>
      <c r="AS538" s="24" t="inlineStr">
        <is>
          <t>Anastasia Zolotareva</t>
        </is>
      </c>
      <c r="AT538" s="24" t="inlineStr">
        <is>
          <t>Anastasia Zolotareva</t>
        </is>
      </c>
      <c r="AU538" s="24" t="inlineStr">
        <is>
          <t>Anastasia Zolotareva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0ce66f49b381187fe6255a40ca2fdbfc155d5e36125ccf6d30fe81a72962eafa</t>
        </is>
      </c>
      <c r="BB538" s="24" t="inlineStr">
        <is>
          <t>surface_blended_elo</t>
        </is>
      </c>
      <c r="BC538" s="24" t="inlineStr">
        <is>
          <t>tennis-surface-elo-v1</t>
        </is>
      </c>
      <c r="BD538" s="24" t="inlineStr">
        <is>
          <t>0ce66f49b381187fe6255a40ca2fdbfc155d5e36125ccf6d30fe81a72962eafa</t>
        </is>
      </c>
      <c r="BE538" s="24" t="inlineStr">
        <is>
          <t>tennis-surface-elo-v1</t>
        </is>
      </c>
      <c r="BF538" s="24" t="inlineStr">
        <is>
          <t>1</t>
        </is>
      </c>
      <c r="BG538" s="24" t="inlineStr">
        <is>
          <t>0ce66f49b381187fe6255a40ca2fdbfc155d5e36125ccf6d30fe81a72962eafa</t>
        </is>
      </c>
      <c r="BH538" s="24" t="inlineStr">
        <is>
          <t>2026-09-07T10:01:53.814414Z</t>
        </is>
      </c>
      <c r="BI538" s="24" t="inlineStr">
        <is>
          <t>["same_event","same_team_same_day","same_league_same_day"]</t>
        </is>
      </c>
      <c r="BJ538" s="25" t="n"/>
      <c r="BK538" s="26" t="n">
        <v>-163</v>
      </c>
      <c r="BL538" s="27" t="n">
        <v>1.613497</v>
      </c>
      <c r="BM538" s="28" t="n">
        <v>0.619772</v>
      </c>
      <c r="BN538" s="28" t="n"/>
      <c r="BO538" s="28" t="n"/>
      <c r="BP538" s="25" t="n"/>
      <c r="BQ538" s="27" t="n">
        <v>1.613497</v>
      </c>
      <c r="BR538" s="28" t="n">
        <v>0.62</v>
      </c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2026-09-07T16:00:24.958657Z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inlineStr">
        <is>
          <t>7c1803ca3bfff869e612e6662ac372f5d32afbe53631c92c1b6d4b5b448770ef</t>
        </is>
      </c>
      <c r="DE538" s="24" t="inlineStr">
        <is>
          <t>/Users/vincentc9002/model-prediction/data/odds/tennis/2026-09-07/polymarket_snapshots.jsonl</t>
        </is>
      </c>
      <c r="DF538" s="24" t="inlineStr">
        <is>
          <t>691086:2026-09-07T10:01:53.814414Z</t>
        </is>
      </c>
      <c r="DG538" s="24" t="n"/>
      <c r="DH538" s="24" t="n"/>
      <c r="DI538" s="24" t="n"/>
      <c r="DJ538" s="24" t="inlineStr">
        <is>
          <t>0.619772</t>
        </is>
      </c>
      <c r="DK538" s="24" t="n"/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e9062236f58745fb</t>
        </is>
      </c>
      <c r="B539" s="24" t="inlineStr">
        <is>
          <t>2026-09-07T10:02:31.424426Z</t>
        </is>
      </c>
      <c r="C539" s="24" t="inlineStr">
        <is>
          <t>2026-09-07T12:00Z</t>
        </is>
      </c>
      <c r="D539" s="24" t="inlineStr">
        <is>
          <t>998-2026:183581</t>
        </is>
      </c>
      <c r="E539" s="24" t="inlineStr">
        <is>
          <t>TENNIS</t>
        </is>
      </c>
      <c r="F539" s="24" t="inlineStr">
        <is>
          <t>Tessa Johanna Brockmann</t>
        </is>
      </c>
      <c r="G539" s="24" t="inlineStr">
        <is>
          <t>Tamara Zidansek</t>
        </is>
      </c>
      <c r="H539" s="24" t="inlineStr">
        <is>
          <t>moneyline</t>
        </is>
      </c>
      <c r="I539" s="24" t="inlineStr">
        <is>
          <t>home</t>
        </is>
      </c>
      <c r="J539" s="25" t="n"/>
      <c r="K539" s="24" t="inlineStr">
        <is>
          <t>polymarket_us</t>
        </is>
      </c>
      <c r="L539" s="26" t="n">
        <v>-400</v>
      </c>
      <c r="M539" s="27" t="n">
        <v>1.25</v>
      </c>
      <c r="N539" s="28" t="n">
        <v>0.8</v>
      </c>
      <c r="O539" s="28" t="n">
        <v>0.7237</v>
      </c>
      <c r="P539" s="28" t="n">
        <v>0.05</v>
      </c>
      <c r="Q539" s="28" t="n">
        <v>-0.07630000000000001</v>
      </c>
      <c r="R539" s="26" t="n">
        <v>0</v>
      </c>
      <c r="S539" s="29" t="n">
        <v>1</v>
      </c>
      <c r="T539" s="24" t="inlineStr">
        <is>
          <t>tennis-surface-elo-v1</t>
        </is>
      </c>
      <c r="U539" s="24" t="inlineStr">
        <is>
          <t>settled</t>
        </is>
      </c>
      <c r="V539" s="24" t="inlineStr">
        <is>
          <t>loss</t>
        </is>
      </c>
      <c r="W539" s="26" t="n">
        <v>1</v>
      </c>
      <c r="X539" s="26" t="n">
        <v>0</v>
      </c>
      <c r="Y539" s="25" t="n"/>
      <c r="Z539" s="26" t="n">
        <v>-400</v>
      </c>
      <c r="AA539" s="28" t="n">
        <v>0.8</v>
      </c>
      <c r="AB539" s="28" t="n">
        <v>0</v>
      </c>
      <c r="AC539" s="30" t="n">
        <v>-1</v>
      </c>
      <c r="AD539" s="24" t="inlineStr">
        <is>
          <t>2026-09-07T16:00:26.076489Z</t>
        </is>
      </c>
      <c r="AE539" s="31" t="inlineStr">
        <is>
          <t>Surface-blended Elo on Hard: Tessa Johanna Brockmann p=0.276 vs Tamara Zidansek. Executable ask 0.8000 (aec-wta-tamzid-tesbro-2026-09-07).</t>
        </is>
      </c>
      <c r="AF539" s="31" t="inlineStr">
        <is>
          <t>Surface-blended Elo model; singles only, WTA+ATP market coverage, not yet locked-holdout qualified -- promoted by explicit operator directive, not genuine walk-forward validation.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paper_call</t>
        </is>
      </c>
      <c r="AL539" s="26" t="n">
        <v>4</v>
      </c>
      <c r="AM539" s="24" t="inlineStr">
        <is>
          <t>RESEARCH_OBSERVATION</t>
        </is>
      </c>
      <c r="AN539" s="24" t="inlineStr">
        <is>
          <t>CALL</t>
        </is>
      </c>
      <c r="AO539" s="24" t="inlineStr">
        <is>
          <t>PAPER_CALL_LOW_EDGE</t>
        </is>
      </c>
      <c r="AP539" s="24" t="inlineStr">
        <is>
          <t>Tessa Johanna Brockmann</t>
        </is>
      </c>
      <c r="AQ539" s="24" t="inlineStr">
        <is>
          <t>Tessa Johanna Brockmann</t>
        </is>
      </c>
      <c r="AR539" s="24" t="inlineStr">
        <is>
          <t>Tessa Johanna Brockmann</t>
        </is>
      </c>
      <c r="AS539" s="24" t="inlineStr">
        <is>
          <t>Tamara Zidansek</t>
        </is>
      </c>
      <c r="AT539" s="24" t="inlineStr">
        <is>
          <t>Tamara Zidansek</t>
        </is>
      </c>
      <c r="AU539" s="24" t="inlineStr">
        <is>
          <t>Tamara Zidansek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0ce66f49b381187fe6255a40ca2fdbfc155d5e36125ccf6d30fe81a72962eafa</t>
        </is>
      </c>
      <c r="BB539" s="24" t="inlineStr">
        <is>
          <t>surface_blended_elo</t>
        </is>
      </c>
      <c r="BC539" s="24" t="inlineStr">
        <is>
          <t>tennis-surface-elo-v1</t>
        </is>
      </c>
      <c r="BD539" s="24" t="inlineStr">
        <is>
          <t>0ce66f49b381187fe6255a40ca2fdbfc155d5e36125ccf6d30fe81a72962eafa</t>
        </is>
      </c>
      <c r="BE539" s="24" t="inlineStr">
        <is>
          <t>tennis-surface-elo-v1</t>
        </is>
      </c>
      <c r="BF539" s="24" t="inlineStr">
        <is>
          <t>1</t>
        </is>
      </c>
      <c r="BG539" s="24" t="inlineStr">
        <is>
          <t>0ce66f49b381187fe6255a40ca2fdbfc155d5e36125ccf6d30fe81a72962eafa</t>
        </is>
      </c>
      <c r="BH539" s="24" t="inlineStr">
        <is>
          <t>2026-09-07T10:01:53.833198Z</t>
        </is>
      </c>
      <c r="BI539" s="24" t="inlineStr">
        <is>
          <t>["same_event","same_team_same_day","same_league_same_day"]</t>
        </is>
      </c>
      <c r="BJ539" s="25" t="n"/>
      <c r="BK539" s="26" t="n">
        <v>-400</v>
      </c>
      <c r="BL539" s="27" t="n">
        <v>1.25</v>
      </c>
      <c r="BM539" s="28" t="n">
        <v>0.8</v>
      </c>
      <c r="BN539" s="28" t="n"/>
      <c r="BO539" s="28" t="n"/>
      <c r="BP539" s="25" t="n"/>
      <c r="BQ539" s="27" t="n">
        <v>1.25</v>
      </c>
      <c r="BR539" s="28" t="n">
        <v>0.8</v>
      </c>
      <c r="BS539" s="28" t="n"/>
      <c r="BT539" s="28" t="n"/>
      <c r="BU539" s="25" t="n"/>
      <c r="BV539" s="29" t="n"/>
      <c r="BW539" s="24" t="n"/>
      <c r="BX539" s="30" t="n">
        <v>1</v>
      </c>
      <c r="BY539" s="27" t="n">
        <v>-1</v>
      </c>
      <c r="BZ539" s="24" t="inlineStr">
        <is>
          <t>2026-09-07T16:00:26.076489Z</t>
        </is>
      </c>
      <c r="CA539" s="31" t="inlineStr">
        <is>
          <t>fixed one-unit hypothetical scoring; no real exposure or execution</t>
        </is>
      </c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inlineStr">
        <is>
          <t>833904d60035adf989fb5ac7afbcf8f22a3f74c55447286e3e2ef448f1f455dd</t>
        </is>
      </c>
      <c r="DE539" s="24" t="inlineStr">
        <is>
          <t>/Users/vincentc9002/model-prediction/data/odds/tennis/2026-09-07/polymarket_snapshots.jsonl</t>
        </is>
      </c>
      <c r="DF539" s="24" t="inlineStr">
        <is>
          <t>691083:2026-09-07T10:01:53.833198Z</t>
        </is>
      </c>
      <c r="DG539" s="24" t="n"/>
      <c r="DH539" s="24" t="n"/>
      <c r="DI539" s="24" t="n"/>
      <c r="DJ539" s="24" t="inlineStr">
        <is>
          <t>0.8</t>
        </is>
      </c>
      <c r="DK539" s="24" t="n"/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a3d5bf504b0f4108</t>
        </is>
      </c>
      <c r="B540" s="24" t="inlineStr">
        <is>
          <t>2026-09-07T10:02:31.424426Z</t>
        </is>
      </c>
      <c r="C540" s="24" t="inlineStr">
        <is>
          <t>2026-09-07T12:00Z</t>
        </is>
      </c>
      <c r="D540" s="24" t="inlineStr">
        <is>
          <t>998-2026:183595</t>
        </is>
      </c>
      <c r="E540" s="24" t="inlineStr">
        <is>
          <t>TENNIS</t>
        </is>
      </c>
      <c r="F540" s="24" t="inlineStr">
        <is>
          <t>Anastasiia Sobolieva</t>
        </is>
      </c>
      <c r="G540" s="24" t="inlineStr">
        <is>
          <t>Mina Hodzic</t>
        </is>
      </c>
      <c r="H540" s="24" t="inlineStr">
        <is>
          <t>moneyline</t>
        </is>
      </c>
      <c r="I540" s="24" t="inlineStr">
        <is>
          <t>home</t>
        </is>
      </c>
      <c r="J540" s="25" t="n"/>
      <c r="K540" s="24" t="inlineStr">
        <is>
          <t>polymarket_us</t>
        </is>
      </c>
      <c r="L540" s="26" t="n">
        <v>245</v>
      </c>
      <c r="M540" s="27" t="n">
        <v>3.45</v>
      </c>
      <c r="N540" s="28" t="n">
        <v>0.289855</v>
      </c>
      <c r="O540" s="28" t="n">
        <v>0.643</v>
      </c>
      <c r="P540" s="28" t="n">
        <v>0.05</v>
      </c>
      <c r="Q540" s="28" t="n">
        <v>0.353145</v>
      </c>
      <c r="R540" s="26" t="n">
        <v>100</v>
      </c>
      <c r="S540" s="29" t="n">
        <v>2</v>
      </c>
      <c r="T540" s="24" t="inlineStr">
        <is>
          <t>tennis-surface-elo-v1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</v>
      </c>
      <c r="X540" s="26" t="n">
        <v>0</v>
      </c>
      <c r="Y540" s="25" t="n"/>
      <c r="Z540" s="26" t="n">
        <v>245</v>
      </c>
      <c r="AA540" s="28" t="n">
        <v>0.29</v>
      </c>
      <c r="AB540" s="28" t="n">
        <v>0.000145</v>
      </c>
      <c r="AC540" s="30" t="n">
        <v>-2</v>
      </c>
      <c r="AD540" s="24" t="inlineStr">
        <is>
          <t>2026-09-07T22:00:23.588337Z</t>
        </is>
      </c>
      <c r="AE540" s="31" t="inlineStr">
        <is>
          <t>Surface-blended Elo on Hard: Anastasiia Sobolieva p=0.357 vs Mina Hodzic. Executable ask 0.2900 (aec-wta-minhod-anasob-2026-09-07).</t>
        </is>
      </c>
      <c r="AF540" s="31" t="inlineStr">
        <is>
          <t>Surface-blended Elo model; singles only, WTA+ATP market coverage, not yet locked-holdout qualified -- promoted by explicit operator directive, not genuine walk-forward validation.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Anastasiia Sobolieva</t>
        </is>
      </c>
      <c r="AQ540" s="24" t="inlineStr">
        <is>
          <t>Anastasiia Sobolieva</t>
        </is>
      </c>
      <c r="AR540" s="24" t="inlineStr">
        <is>
          <t>Anastasiia Sobolieva</t>
        </is>
      </c>
      <c r="AS540" s="24" t="inlineStr">
        <is>
          <t>Mina Hodzic</t>
        </is>
      </c>
      <c r="AT540" s="24" t="inlineStr">
        <is>
          <t>Mina Hodzic</t>
        </is>
      </c>
      <c r="AU540" s="24" t="inlineStr">
        <is>
          <t>Mina Hodzic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0ce66f49b381187fe6255a40ca2fdbfc155d5e36125ccf6d30fe81a72962eafa</t>
        </is>
      </c>
      <c r="BB540" s="24" t="inlineStr">
        <is>
          <t>surface_blended_elo</t>
        </is>
      </c>
      <c r="BC540" s="24" t="inlineStr">
        <is>
          <t>tennis-surface-elo-v1</t>
        </is>
      </c>
      <c r="BD540" s="24" t="inlineStr">
        <is>
          <t>0ce66f49b381187fe6255a40ca2fdbfc155d5e36125ccf6d30fe81a72962eafa</t>
        </is>
      </c>
      <c r="BE540" s="24" t="inlineStr">
        <is>
          <t>tennis-surface-elo-v1</t>
        </is>
      </c>
      <c r="BF540" s="24" t="inlineStr">
        <is>
          <t>1</t>
        </is>
      </c>
      <c r="BG540" s="24" t="inlineStr">
        <is>
          <t>0ce66f49b381187fe6255a40ca2fdbfc155d5e36125ccf6d30fe81a72962eafa</t>
        </is>
      </c>
      <c r="BH540" s="24" t="inlineStr">
        <is>
          <t>2026-09-07T10:01:53.821085Z</t>
        </is>
      </c>
      <c r="BI540" s="24" t="inlineStr">
        <is>
          <t>["same_event","same_team_same_day","same_league_same_day"]</t>
        </is>
      </c>
      <c r="BJ540" s="25" t="n"/>
      <c r="BK540" s="26" t="n">
        <v>245</v>
      </c>
      <c r="BL540" s="27" t="n">
        <v>3.45</v>
      </c>
      <c r="BM540" s="28" t="n">
        <v>0.289855</v>
      </c>
      <c r="BN540" s="28" t="n"/>
      <c r="BO540" s="28" t="n"/>
      <c r="BP540" s="25" t="n"/>
      <c r="BQ540" s="27" t="n">
        <v>3.45</v>
      </c>
      <c r="BR540" s="28" t="n">
        <v>0.29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inlineStr">
        <is>
          <t>f0b28af51f0eed568968f923a466230851f5884b766b4115f07a2203401664d2</t>
        </is>
      </c>
      <c r="DE540" s="24" t="inlineStr">
        <is>
          <t>/Users/vincentc9002/model-prediction/data/odds/tennis/2026-09-07/polymarket_snapshots.jsonl</t>
        </is>
      </c>
      <c r="DF540" s="24" t="inlineStr">
        <is>
          <t>691080:2026-09-07T10:01:53.821085Z</t>
        </is>
      </c>
      <c r="DG540" s="24" t="n"/>
      <c r="DH540" s="24" t="n"/>
      <c r="DI540" s="24" t="n"/>
      <c r="DJ540" s="24" t="inlineStr">
        <is>
          <t>0.289855</t>
        </is>
      </c>
      <c r="DK540" s="24" t="n"/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c298d25644a849c5</t>
        </is>
      </c>
      <c r="B541" s="24" t="inlineStr">
        <is>
          <t>2026-09-07T10:02:31.424426Z</t>
        </is>
      </c>
      <c r="C541" s="24" t="inlineStr">
        <is>
          <t>2026-09-07T13:30Z</t>
        </is>
      </c>
      <c r="D541" s="24" t="inlineStr">
        <is>
          <t>998-2026:183578</t>
        </is>
      </c>
      <c r="E541" s="24" t="inlineStr">
        <is>
          <t>TENNIS</t>
        </is>
      </c>
      <c r="F541" s="24" t="inlineStr">
        <is>
          <t>Francesca Curmi</t>
        </is>
      </c>
      <c r="G541" s="24" t="inlineStr">
        <is>
          <t>Nuria Brancaccio</t>
        </is>
      </c>
      <c r="H541" s="24" t="inlineStr">
        <is>
          <t>moneyline</t>
        </is>
      </c>
      <c r="I541" s="24" t="inlineStr">
        <is>
          <t>away</t>
        </is>
      </c>
      <c r="J541" s="25" t="n"/>
      <c r="K541" s="24" t="inlineStr">
        <is>
          <t>polymarket_us</t>
        </is>
      </c>
      <c r="L541" s="26" t="n">
        <v>108</v>
      </c>
      <c r="M541" s="27" t="n">
        <v>2.08</v>
      </c>
      <c r="N541" s="28" t="n">
        <v>0.480769</v>
      </c>
      <c r="O541" s="28" t="n">
        <v>0.5415</v>
      </c>
      <c r="P541" s="28" t="n">
        <v>0.05</v>
      </c>
      <c r="Q541" s="28" t="n">
        <v>0.060731</v>
      </c>
      <c r="R541" s="26" t="n">
        <v>50</v>
      </c>
      <c r="S541" s="29" t="n">
        <v>1</v>
      </c>
      <c r="T541" s="24" t="inlineStr">
        <is>
          <t>tennis-surface-elo-v1</t>
        </is>
      </c>
      <c r="U541" s="24" t="inlineStr">
        <is>
          <t>settled</t>
        </is>
      </c>
      <c r="V541" s="24" t="inlineStr">
        <is>
          <t>loss</t>
        </is>
      </c>
      <c r="W541" s="26" t="n">
        <v>0</v>
      </c>
      <c r="X541" s="26" t="n">
        <v>1</v>
      </c>
      <c r="Y541" s="25" t="n"/>
      <c r="Z541" s="26" t="n">
        <v>108</v>
      </c>
      <c r="AA541" s="28" t="n">
        <v>0.48</v>
      </c>
      <c r="AB541" s="28" t="n">
        <v>-0.000769</v>
      </c>
      <c r="AC541" s="30" t="n">
        <v>-1</v>
      </c>
      <c r="AD541" s="24" t="inlineStr">
        <is>
          <t>2026-09-07T22:00:25.637317Z</t>
        </is>
      </c>
      <c r="AE541" s="31" t="inlineStr">
        <is>
          <t>Surface-blended Elo on Hard: Francesca Curmi p=0.542 vs Nuria Brancaccio. Executable ask 0.4800 (aec-wta-nurbra-fracur-2026-09-07).</t>
        </is>
      </c>
      <c r="AF541" s="31" t="inlineStr">
        <is>
          <t>Surface-blended Elo model; singles only, WTA+ATP market coverage, not yet locked-holdout qualified -- promoted by explicit operator directive, not genuine walk-forward validation.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Francesca Curmi</t>
        </is>
      </c>
      <c r="AQ541" s="24" t="inlineStr">
        <is>
          <t>Francesca Curmi</t>
        </is>
      </c>
      <c r="AR541" s="24" t="inlineStr">
        <is>
          <t>Francesca Curmi</t>
        </is>
      </c>
      <c r="AS541" s="24" t="inlineStr">
        <is>
          <t>Nuria Brancaccio</t>
        </is>
      </c>
      <c r="AT541" s="24" t="inlineStr">
        <is>
          <t>Nuria Brancaccio</t>
        </is>
      </c>
      <c r="AU541" s="24" t="inlineStr">
        <is>
          <t>Nuria Brancaccio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0ce66f49b381187fe6255a40ca2fdbfc155d5e36125ccf6d30fe81a72962eafa</t>
        </is>
      </c>
      <c r="BB541" s="24" t="inlineStr">
        <is>
          <t>surface_blended_elo</t>
        </is>
      </c>
      <c r="BC541" s="24" t="inlineStr">
        <is>
          <t>tennis-surface-elo-v1</t>
        </is>
      </c>
      <c r="BD541" s="24" t="inlineStr">
        <is>
          <t>0ce66f49b381187fe6255a40ca2fdbfc155d5e36125ccf6d30fe81a72962eafa</t>
        </is>
      </c>
      <c r="BE541" s="24" t="inlineStr">
        <is>
          <t>tennis-surface-elo-v1</t>
        </is>
      </c>
      <c r="BF541" s="24" t="inlineStr">
        <is>
          <t>1</t>
        </is>
      </c>
      <c r="BG541" s="24" t="inlineStr">
        <is>
          <t>0ce66f49b381187fe6255a40ca2fdbfc155d5e36125ccf6d30fe81a72962eafa</t>
        </is>
      </c>
      <c r="BH541" s="24" t="inlineStr">
        <is>
          <t>2026-09-07T10:01:53.850129Z</t>
        </is>
      </c>
      <c r="BI541" s="24" t="inlineStr">
        <is>
          <t>["same_event","same_team_same_day","same_league_same_day"]</t>
        </is>
      </c>
      <c r="BJ541" s="25" t="n"/>
      <c r="BK541" s="26" t="n">
        <v>108</v>
      </c>
      <c r="BL541" s="27" t="n">
        <v>2.08</v>
      </c>
      <c r="BM541" s="28" t="n">
        <v>0.480769</v>
      </c>
      <c r="BN541" s="28" t="n"/>
      <c r="BO541" s="28" t="n"/>
      <c r="BP541" s="25" t="n"/>
      <c r="BQ541" s="27" t="n">
        <v>2.08</v>
      </c>
      <c r="BR541" s="28" t="n">
        <v>0.48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inlineStr">
        <is>
          <t>0d3c6b2d984a2b53690ccb5cab28912842696ac3e7d0f2b45af9b9a40a2a1919</t>
        </is>
      </c>
      <c r="DE541" s="24" t="inlineStr">
        <is>
          <t>/Users/vincentc9002/model-prediction/data/odds/tennis/2026-09-07/polymarket_snapshots.jsonl</t>
        </is>
      </c>
      <c r="DF541" s="24" t="inlineStr">
        <is>
          <t>691072:2026-09-07T10:01:53.850129Z</t>
        </is>
      </c>
      <c r="DG541" s="24" t="n"/>
      <c r="DH541" s="24" t="n"/>
      <c r="DI541" s="24" t="n"/>
      <c r="DJ541" s="24" t="inlineStr">
        <is>
          <t>0.480769</t>
        </is>
      </c>
      <c r="DK541" s="24" t="n"/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65053c22369e4a50</t>
        </is>
      </c>
      <c r="B542" s="24" t="inlineStr">
        <is>
          <t>2026-09-07T10:02:31.424426Z</t>
        </is>
      </c>
      <c r="C542" s="24" t="inlineStr">
        <is>
          <t>2026-09-07T10:30Z</t>
        </is>
      </c>
      <c r="D542" s="24" t="inlineStr">
        <is>
          <t>1076-2026:183550</t>
        </is>
      </c>
      <c r="E542" s="24" t="inlineStr">
        <is>
          <t>TENNIS</t>
        </is>
      </c>
      <c r="F542" s="24" t="inlineStr">
        <is>
          <t>Aurora Zantedeschi</t>
        </is>
      </c>
      <c r="G542" s="24" t="inlineStr">
        <is>
          <t>Sofya Lansere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polymarket_us</t>
        </is>
      </c>
      <c r="L542" s="26" t="n">
        <v>-203</v>
      </c>
      <c r="M542" s="27" t="n">
        <v>1.492611</v>
      </c>
      <c r="N542" s="28" t="n">
        <v>0.669967</v>
      </c>
      <c r="O542" s="28" t="n">
        <v>0.5673</v>
      </c>
      <c r="P542" s="28" t="n">
        <v>0.05</v>
      </c>
      <c r="Q542" s="28" t="n">
        <v>-0.102667</v>
      </c>
      <c r="R542" s="26" t="n">
        <v>0</v>
      </c>
      <c r="S542" s="29" t="n">
        <v>1</v>
      </c>
      <c r="T542" s="24" t="inlineStr">
        <is>
          <t>tennis-surface-elo-v1</t>
        </is>
      </c>
      <c r="U542" s="24" t="inlineStr">
        <is>
          <t>settled</t>
        </is>
      </c>
      <c r="V542" s="24" t="inlineStr">
        <is>
          <t>win</t>
        </is>
      </c>
      <c r="W542" s="26" t="n">
        <v>1</v>
      </c>
      <c r="X542" s="26" t="n">
        <v>0</v>
      </c>
      <c r="Y542" s="25" t="n"/>
      <c r="Z542" s="26" t="n">
        <v>-203</v>
      </c>
      <c r="AA542" s="28" t="n">
        <v>0.67</v>
      </c>
      <c r="AB542" s="28" t="n">
        <v>3.3e-05</v>
      </c>
      <c r="AC542" s="30" t="n">
        <v>0.4926</v>
      </c>
      <c r="AD542" s="24" t="inlineStr">
        <is>
          <t>2026-09-07T16:00:27.187671Z</t>
        </is>
      </c>
      <c r="AE542" s="31" t="inlineStr">
        <is>
          <t>Surface-blended Elo on Hard: Aurora Zantedeschi p=0.567 vs Sofya Lansere. Executable ask 0.6700 (aec-wta-soflan-aurzan-2026-09-07).</t>
        </is>
      </c>
      <c r="AF542" s="31" t="inlineStr">
        <is>
          <t>Surface-blended Elo model; singles only, WTA+ATP market coverage, not yet locked-holdout qualified -- promoted by explicit operator directive, not genuine walk-forward validation.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Aurora Zantedeschi</t>
        </is>
      </c>
      <c r="AQ542" s="24" t="inlineStr">
        <is>
          <t>Aurora Zantedeschi</t>
        </is>
      </c>
      <c r="AR542" s="24" t="inlineStr">
        <is>
          <t>Aurora Zantedeschi</t>
        </is>
      </c>
      <c r="AS542" s="24" t="inlineStr">
        <is>
          <t>Sofya Lansere</t>
        </is>
      </c>
      <c r="AT542" s="24" t="inlineStr">
        <is>
          <t>Sofya Lansere</t>
        </is>
      </c>
      <c r="AU542" s="24" t="inlineStr">
        <is>
          <t>Sofya Lansere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0ce66f49b381187fe6255a40ca2fdbfc155d5e36125ccf6d30fe81a72962eafa</t>
        </is>
      </c>
      <c r="BB542" s="24" t="inlineStr">
        <is>
          <t>surface_blended_elo</t>
        </is>
      </c>
      <c r="BC542" s="24" t="inlineStr">
        <is>
          <t>tennis-surface-elo-v1</t>
        </is>
      </c>
      <c r="BD542" s="24" t="inlineStr">
        <is>
          <t>0ce66f49b381187fe6255a40ca2fdbfc155d5e36125ccf6d30fe81a72962eafa</t>
        </is>
      </c>
      <c r="BE542" s="24" t="inlineStr">
        <is>
          <t>tennis-surface-elo-v1</t>
        </is>
      </c>
      <c r="BF542" s="24" t="inlineStr">
        <is>
          <t>1</t>
        </is>
      </c>
      <c r="BG542" s="24" t="inlineStr">
        <is>
          <t>0ce66f49b381187fe6255a40ca2fdbfc155d5e36125ccf6d30fe81a72962eafa</t>
        </is>
      </c>
      <c r="BH542" s="24" t="inlineStr">
        <is>
          <t>2026-09-07T10:01:53.815696Z</t>
        </is>
      </c>
      <c r="BI542" s="24" t="inlineStr">
        <is>
          <t>["same_event","same_team_same_day","same_league_same_day"]</t>
        </is>
      </c>
      <c r="BJ542" s="25" t="n"/>
      <c r="BK542" s="26" t="n">
        <v>-203</v>
      </c>
      <c r="BL542" s="27" t="n">
        <v>1.492611</v>
      </c>
      <c r="BM542" s="28" t="n">
        <v>0.669967</v>
      </c>
      <c r="BN542" s="28" t="n"/>
      <c r="BO542" s="28" t="n"/>
      <c r="BP542" s="25" t="n"/>
      <c r="BQ542" s="27" t="n">
        <v>1.492611</v>
      </c>
      <c r="BR542" s="28" t="n">
        <v>0.67</v>
      </c>
      <c r="BS542" s="28" t="n"/>
      <c r="BT542" s="28" t="n"/>
      <c r="BU542" s="25" t="n"/>
      <c r="BV542" s="29" t="n"/>
      <c r="BW542" s="24" t="n"/>
      <c r="BX542" s="30" t="n">
        <v>1</v>
      </c>
      <c r="BY542" s="27" t="n">
        <v>0.492611</v>
      </c>
      <c r="BZ542" s="24" t="inlineStr">
        <is>
          <t>2026-09-07T16:00:27.187671Z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inlineStr">
        <is>
          <t>d46b86aa3a3bf19150bbe2af0bfdc794d84eb9017eff65297f8479be35c9b395</t>
        </is>
      </c>
      <c r="DE542" s="24" t="inlineStr">
        <is>
          <t>/Users/vincentc9002/model-prediction/data/odds/tennis/2026-09-07/polymarket_snapshots.jsonl</t>
        </is>
      </c>
      <c r="DF542" s="24" t="inlineStr">
        <is>
          <t>707242:2026-09-07T10:01:53.815696Z</t>
        </is>
      </c>
      <c r="DG542" s="24" t="n"/>
      <c r="DH542" s="24" t="n"/>
      <c r="DI542" s="24" t="n"/>
      <c r="DJ542" s="24" t="inlineStr">
        <is>
          <t>0.669967</t>
        </is>
      </c>
      <c r="DK542" s="24" t="n"/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9eb9f055102d4621</t>
        </is>
      </c>
      <c r="B543" s="24" t="inlineStr">
        <is>
          <t>2026-09-07T10:02:31.424426Z</t>
        </is>
      </c>
      <c r="C543" s="24" t="inlineStr">
        <is>
          <t>2026-09-07T13:00Z</t>
        </is>
      </c>
      <c r="D543" s="24" t="inlineStr">
        <is>
          <t>1076-2026:183546</t>
        </is>
      </c>
      <c r="E543" s="24" t="inlineStr">
        <is>
          <t>TENNIS</t>
        </is>
      </c>
      <c r="F543" s="24" t="inlineStr">
        <is>
          <t>Leyre Romero Gormaz</t>
        </is>
      </c>
      <c r="G543" s="24" t="inlineStr">
        <is>
          <t>Berfu Cengiz</t>
        </is>
      </c>
      <c r="H543" s="24" t="inlineStr">
        <is>
          <t>moneyline</t>
        </is>
      </c>
      <c r="I543" s="24" t="inlineStr">
        <is>
          <t>away</t>
        </is>
      </c>
      <c r="J543" s="25" t="n"/>
      <c r="K543" s="24" t="inlineStr">
        <is>
          <t>polymarket_us</t>
        </is>
      </c>
      <c r="L543" s="26" t="n">
        <v>-144</v>
      </c>
      <c r="M543" s="27" t="n">
        <v>1.694444</v>
      </c>
      <c r="N543" s="28" t="n">
        <v>0.590164</v>
      </c>
      <c r="O543" s="28" t="n">
        <v>0.7339</v>
      </c>
      <c r="P543" s="28" t="n">
        <v>0.05</v>
      </c>
      <c r="Q543" s="28" t="n">
        <v>0.143736</v>
      </c>
      <c r="R543" s="26" t="n">
        <v>92</v>
      </c>
      <c r="S543" s="29" t="n">
        <v>1.5</v>
      </c>
      <c r="T543" s="24" t="inlineStr">
        <is>
          <t>tennis-surface-elo-v1</t>
        </is>
      </c>
      <c r="U543" s="24" t="inlineStr">
        <is>
          <t>settled</t>
        </is>
      </c>
      <c r="V543" s="24" t="inlineStr">
        <is>
          <t>win</t>
        </is>
      </c>
      <c r="W543" s="26" t="n">
        <v>1</v>
      </c>
      <c r="X543" s="26" t="n">
        <v>0</v>
      </c>
      <c r="Y543" s="25" t="n"/>
      <c r="Z543" s="26" t="n">
        <v>-144</v>
      </c>
      <c r="AA543" s="28" t="n">
        <v>0.59</v>
      </c>
      <c r="AB543" s="28" t="n">
        <v>-0.000164</v>
      </c>
      <c r="AC543" s="30" t="n">
        <v>1.0417</v>
      </c>
      <c r="AD543" s="24" t="inlineStr">
        <is>
          <t>2026-09-07T22:00:27.323373Z</t>
        </is>
      </c>
      <c r="AE543" s="31" t="inlineStr">
        <is>
          <t>Surface-blended Elo on Hard: Leyre Romero Gormaz p=0.734 vs Berfu Cengiz. Executable ask 0.5900 (aec-wta-bercen-leygor-2026-09-07).</t>
        </is>
      </c>
      <c r="AF543" s="31" t="inlineStr">
        <is>
          <t>Surface-blended Elo model; singles only, WTA+ATP market coverage, not yet locked-holdout qualified -- promoted by explicit operator directive, not genuine walk-forward validation.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Leyre Romero Gormaz</t>
        </is>
      </c>
      <c r="AQ543" s="24" t="inlineStr">
        <is>
          <t>Leyre Romero Gormaz</t>
        </is>
      </c>
      <c r="AR543" s="24" t="inlineStr">
        <is>
          <t>Leyre Romero Gormaz</t>
        </is>
      </c>
      <c r="AS543" s="24" t="inlineStr">
        <is>
          <t>Berfu Cengiz</t>
        </is>
      </c>
      <c r="AT543" s="24" t="inlineStr">
        <is>
          <t>Berfu Cengiz</t>
        </is>
      </c>
      <c r="AU543" s="24" t="inlineStr">
        <is>
          <t>Berfu Cengiz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0ce66f49b381187fe6255a40ca2fdbfc155d5e36125ccf6d30fe81a72962eafa</t>
        </is>
      </c>
      <c r="BB543" s="24" t="inlineStr">
        <is>
          <t>surface_blended_elo</t>
        </is>
      </c>
      <c r="BC543" s="24" t="inlineStr">
        <is>
          <t>tennis-surface-elo-v1</t>
        </is>
      </c>
      <c r="BD543" s="24" t="inlineStr">
        <is>
          <t>0ce66f49b381187fe6255a40ca2fdbfc155d5e36125ccf6d30fe81a72962eafa</t>
        </is>
      </c>
      <c r="BE543" s="24" t="inlineStr">
        <is>
          <t>tennis-surface-elo-v1</t>
        </is>
      </c>
      <c r="BF543" s="24" t="inlineStr">
        <is>
          <t>1</t>
        </is>
      </c>
      <c r="BG543" s="24" t="inlineStr">
        <is>
          <t>0ce66f49b381187fe6255a40ca2fdbfc155d5e36125ccf6d30fe81a72962eafa</t>
        </is>
      </c>
      <c r="BH543" s="24" t="inlineStr">
        <is>
          <t>2026-09-07T10:01:53.831531Z</t>
        </is>
      </c>
      <c r="BI543" s="24" t="inlineStr">
        <is>
          <t>["same_event","same_team_same_day","same_league_same_day"]</t>
        </is>
      </c>
      <c r="BJ543" s="25" t="n"/>
      <c r="BK543" s="26" t="n">
        <v>-144</v>
      </c>
      <c r="BL543" s="27" t="n">
        <v>1.694444</v>
      </c>
      <c r="BM543" s="28" t="n">
        <v>0.590164</v>
      </c>
      <c r="BN543" s="28" t="n"/>
      <c r="BO543" s="28" t="n"/>
      <c r="BP543" s="25" t="n"/>
      <c r="BQ543" s="27" t="n">
        <v>1.694444</v>
      </c>
      <c r="BR543" s="28" t="n">
        <v>0.59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inlineStr">
        <is>
          <t>ef1f7715753dfe802d54b1acafea97d2e2d6f0900a3ddb8b1317b9c2b33e5f07</t>
        </is>
      </c>
      <c r="DE543" s="24" t="inlineStr">
        <is>
          <t>/Users/vincentc9002/model-prediction/data/odds/tennis/2026-09-07/polymarket_snapshots.jsonl</t>
        </is>
      </c>
      <c r="DF543" s="24" t="inlineStr">
        <is>
          <t>707243:2026-09-07T10:01:53.831531Z</t>
        </is>
      </c>
      <c r="DG543" s="24" t="n"/>
      <c r="DH543" s="24" t="n"/>
      <c r="DI543" s="24" t="n"/>
      <c r="DJ543" s="24" t="inlineStr">
        <is>
          <t>0.590164</t>
        </is>
      </c>
      <c r="DK543" s="24" t="n"/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ac54c8e8b3f8486d</t>
        </is>
      </c>
      <c r="B544" s="24" t="inlineStr">
        <is>
          <t>2026-09-07T16:02:59.290160Z</t>
        </is>
      </c>
      <c r="C544" s="24" t="inlineStr">
        <is>
          <t>2026-09-07T18:30Z</t>
        </is>
      </c>
      <c r="D544" s="24" t="inlineStr">
        <is>
          <t>189-2026:182527</t>
        </is>
      </c>
      <c r="E544" s="24" t="inlineStr">
        <is>
          <t>TENNIS</t>
        </is>
      </c>
      <c r="F544" s="24" t="inlineStr">
        <is>
          <t>Elena Rybakina</t>
        </is>
      </c>
      <c r="G544" s="24" t="inlineStr">
        <is>
          <t>Naomi Osaka</t>
        </is>
      </c>
      <c r="H544" s="24" t="inlineStr">
        <is>
          <t>moneyline</t>
        </is>
      </c>
      <c r="I544" s="24" t="inlineStr">
        <is>
          <t>away</t>
        </is>
      </c>
      <c r="J544" s="25" t="n"/>
      <c r="K544" s="24" t="inlineStr">
        <is>
          <t>polymarket_us</t>
        </is>
      </c>
      <c r="L544" s="26" t="n">
        <v>-130</v>
      </c>
      <c r="M544" s="27" t="n">
        <v>1.769231</v>
      </c>
      <c r="N544" s="28" t="n">
        <v>0.565217</v>
      </c>
      <c r="O544" s="28" t="n">
        <v>0.722</v>
      </c>
      <c r="P544" s="28" t="n">
        <v>0.05</v>
      </c>
      <c r="Q544" s="28" t="n">
        <v>0.156783</v>
      </c>
      <c r="R544" s="26" t="n">
        <v>98</v>
      </c>
      <c r="S544" s="29" t="n">
        <v>1.75</v>
      </c>
      <c r="T544" s="24" t="inlineStr">
        <is>
          <t>tennis-surface-elo-v1</t>
        </is>
      </c>
      <c r="U544" s="24" t="inlineStr">
        <is>
          <t>settled</t>
        </is>
      </c>
      <c r="V544" s="24" t="inlineStr">
        <is>
          <t>win</t>
        </is>
      </c>
      <c r="W544" s="26" t="n">
        <v>1</v>
      </c>
      <c r="X544" s="26" t="n">
        <v>0</v>
      </c>
      <c r="Y544" s="25" t="n"/>
      <c r="Z544" s="26" t="n">
        <v>-130</v>
      </c>
      <c r="AA544" s="28" t="n">
        <v>0.5649999999999999</v>
      </c>
      <c r="AB544" s="28" t="n">
        <v>-0.000217</v>
      </c>
      <c r="AC544" s="30" t="n">
        <v>1.3462</v>
      </c>
      <c r="AD544" s="24" t="inlineStr">
        <is>
          <t>2026-09-07T22:00:59.490870Z</t>
        </is>
      </c>
      <c r="AE544" s="31" t="inlineStr">
        <is>
          <t>Surface-blended Elo on Hard: Elena Rybakina p=0.722 vs Naomi Osaka. Executable ask 0.5650 (aec-wta-naoosa-eleryb-2026-09-07).</t>
        </is>
      </c>
      <c r="AF544" s="31" t="inlineStr">
        <is>
          <t>Surface-blended Elo model; singles only, WTA+ATP market coverage, not yet locked-holdout qualified -- promoted by explicit operator directive, not genuine walk-forward validation.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Elena Rybakina</t>
        </is>
      </c>
      <c r="AQ544" s="24" t="inlineStr">
        <is>
          <t>Elena Rybakina</t>
        </is>
      </c>
      <c r="AR544" s="24" t="inlineStr">
        <is>
          <t>Elena Rybakina</t>
        </is>
      </c>
      <c r="AS544" s="24" t="inlineStr">
        <is>
          <t>Naomi Osaka</t>
        </is>
      </c>
      <c r="AT544" s="24" t="inlineStr">
        <is>
          <t>Naomi Osaka</t>
        </is>
      </c>
      <c r="AU544" s="24" t="inlineStr">
        <is>
          <t>Naomi Osaka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0ce66f49b381187fe6255a40ca2fdbfc155d5e36125ccf6d30fe81a72962eafa</t>
        </is>
      </c>
      <c r="BB544" s="24" t="inlineStr">
        <is>
          <t>surface_blended_elo</t>
        </is>
      </c>
      <c r="BC544" s="24" t="inlineStr">
        <is>
          <t>tennis-surface-elo-v1</t>
        </is>
      </c>
      <c r="BD544" s="24" t="inlineStr">
        <is>
          <t>0ce66f49b381187fe6255a40ca2fdbfc155d5e36125ccf6d30fe81a72962eafa</t>
        </is>
      </c>
      <c r="BE544" s="24" t="inlineStr">
        <is>
          <t>tennis-surface-elo-v1</t>
        </is>
      </c>
      <c r="BF544" s="24" t="inlineStr">
        <is>
          <t>1</t>
        </is>
      </c>
      <c r="BG544" s="24" t="inlineStr">
        <is>
          <t>0ce66f49b381187fe6255a40ca2fdbfc155d5e36125ccf6d30fe81a72962eafa</t>
        </is>
      </c>
      <c r="BH544" s="24" t="inlineStr">
        <is>
          <t>2026-09-07T16:02:19.372778Z</t>
        </is>
      </c>
      <c r="BI544" s="24" t="inlineStr">
        <is>
          <t>["same_event","same_team_same_day","same_league_same_day"]</t>
        </is>
      </c>
      <c r="BJ544" s="25" t="n"/>
      <c r="BK544" s="26" t="n">
        <v>-130</v>
      </c>
      <c r="BL544" s="27" t="n">
        <v>1.769231</v>
      </c>
      <c r="BM544" s="28" t="n">
        <v>0.565217</v>
      </c>
      <c r="BN544" s="28" t="n"/>
      <c r="BO544" s="28" t="n"/>
      <c r="BP544" s="25" t="n"/>
      <c r="BQ544" s="27" t="n">
        <v>1.769231</v>
      </c>
      <c r="BR544" s="28" t="n">
        <v>0.5649999999999999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inlineStr">
        <is>
          <t>815476f8010c676a9e6ae5e58cdc46b53fd32aeda88ced358c7f832ac0aa3567</t>
        </is>
      </c>
      <c r="DE544" s="24" t="inlineStr">
        <is>
          <t>/Users/vincentc9002/model-prediction/data/odds/tennis/2026-09-07/polymarket_snapshots.jsonl</t>
        </is>
      </c>
      <c r="DF544" s="24" t="inlineStr">
        <is>
          <t>694998:2026-09-07T16:02:19.372778Z</t>
        </is>
      </c>
      <c r="DG544" s="24" t="n"/>
      <c r="DH544" s="24" t="n"/>
      <c r="DI544" s="24" t="n"/>
      <c r="DJ544" s="24" t="inlineStr">
        <is>
          <t>0.565217</t>
        </is>
      </c>
      <c r="DK544" s="24" t="n"/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7076176fd4294f41</t>
        </is>
      </c>
      <c r="B545" s="24" t="inlineStr">
        <is>
          <t>2026-09-07T16:02:59.290160Z</t>
        </is>
      </c>
      <c r="C545" s="24" t="inlineStr">
        <is>
          <t>2026-09-07T17:00Z</t>
        </is>
      </c>
      <c r="D545" s="24" t="inlineStr">
        <is>
          <t>998-2026:183583</t>
        </is>
      </c>
      <c r="E545" s="24" t="inlineStr">
        <is>
          <t>TENNIS</t>
        </is>
      </c>
      <c r="F545" s="24" t="inlineStr">
        <is>
          <t>Noma Noha Akugue</t>
        </is>
      </c>
      <c r="G545" s="24" t="inlineStr">
        <is>
          <t>Denisa Zoldakova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polymarket_us</t>
        </is>
      </c>
      <c r="L545" s="26" t="n">
        <v>122</v>
      </c>
      <c r="M545" s="27" t="n">
        <v>2.22</v>
      </c>
      <c r="N545" s="28" t="n">
        <v>0.45045</v>
      </c>
      <c r="O545" s="28" t="n">
        <v>0.5252</v>
      </c>
      <c r="P545" s="28" t="n">
        <v>0.05</v>
      </c>
      <c r="Q545" s="28" t="n">
        <v>0.07475</v>
      </c>
      <c r="R545" s="26" t="n">
        <v>57</v>
      </c>
      <c r="S545" s="29" t="n">
        <v>1.25</v>
      </c>
      <c r="T545" s="24" t="inlineStr">
        <is>
          <t>tennis-surface-elo-v1</t>
        </is>
      </c>
      <c r="U545" s="24" t="inlineStr">
        <is>
          <t>settled</t>
        </is>
      </c>
      <c r="V545" s="24" t="inlineStr">
        <is>
          <t>loss</t>
        </is>
      </c>
      <c r="W545" s="26" t="n">
        <v>1</v>
      </c>
      <c r="X545" s="26" t="n">
        <v>0</v>
      </c>
      <c r="Y545" s="25" t="n"/>
      <c r="Z545" s="26" t="n">
        <v>122</v>
      </c>
      <c r="AA545" s="28" t="n">
        <v>0.45</v>
      </c>
      <c r="AB545" s="28" t="n">
        <v>-0.00045</v>
      </c>
      <c r="AC545" s="30" t="n">
        <v>-1.25</v>
      </c>
      <c r="AD545" s="24" t="inlineStr">
        <is>
          <t>2026-09-07T22:01:00.710517Z</t>
        </is>
      </c>
      <c r="AE545" s="31" t="inlineStr">
        <is>
          <t>Surface-blended Elo on Hard: Noma Noha Akugue p=0.475 vs Denisa Zoldakova. Executable ask 0.4500 (aec-wta-denzol-nomaku-2026-09-07).</t>
        </is>
      </c>
      <c r="AF545" s="31" t="inlineStr">
        <is>
          <t>Surface-blended Elo model; singles only, WTA+ATP market coverage, not yet locked-holdout qualified -- promoted by explicit operator directive, not genuine walk-forward validation.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PAPER_CALL_MODEL_UNVALIDATED</t>
        </is>
      </c>
      <c r="AP545" s="24" t="inlineStr">
        <is>
          <t>Noma Noha Akugue</t>
        </is>
      </c>
      <c r="AQ545" s="24" t="inlineStr">
        <is>
          <t>Noma Noha Akugue</t>
        </is>
      </c>
      <c r="AR545" s="24" t="inlineStr">
        <is>
          <t>Noma Noha Akugue</t>
        </is>
      </c>
      <c r="AS545" s="24" t="inlineStr">
        <is>
          <t>Denisa Zoldakova</t>
        </is>
      </c>
      <c r="AT545" s="24" t="inlineStr">
        <is>
          <t>Denisa Zoldakova</t>
        </is>
      </c>
      <c r="AU545" s="24" t="inlineStr">
        <is>
          <t>Denisa Zoldakova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0ce66f49b381187fe6255a40ca2fdbfc155d5e36125ccf6d30fe81a72962eafa</t>
        </is>
      </c>
      <c r="BB545" s="24" t="inlineStr">
        <is>
          <t>surface_blended_elo</t>
        </is>
      </c>
      <c r="BC545" s="24" t="inlineStr">
        <is>
          <t>tennis-surface-elo-v1</t>
        </is>
      </c>
      <c r="BD545" s="24" t="inlineStr">
        <is>
          <t>0ce66f49b381187fe6255a40ca2fdbfc155d5e36125ccf6d30fe81a72962eafa</t>
        </is>
      </c>
      <c r="BE545" s="24" t="inlineStr">
        <is>
          <t>tennis-surface-elo-v1</t>
        </is>
      </c>
      <c r="BF545" s="24" t="inlineStr">
        <is>
          <t>1</t>
        </is>
      </c>
      <c r="BG545" s="24" t="inlineStr">
        <is>
          <t>0ce66f49b381187fe6255a40ca2fdbfc155d5e36125ccf6d30fe81a72962eafa</t>
        </is>
      </c>
      <c r="BH545" s="24" t="inlineStr">
        <is>
          <t>2026-09-07T16:02:19.293675Z</t>
        </is>
      </c>
      <c r="BI545" s="24" t="inlineStr">
        <is>
          <t>["same_event","same_team_same_day","same_league_same_day"]</t>
        </is>
      </c>
      <c r="BJ545" s="25" t="n"/>
      <c r="BK545" s="26" t="n">
        <v>122</v>
      </c>
      <c r="BL545" s="27" t="n">
        <v>2.22</v>
      </c>
      <c r="BM545" s="28" t="n">
        <v>0.45045</v>
      </c>
      <c r="BN545" s="28" t="n"/>
      <c r="BO545" s="28" t="n"/>
      <c r="BP545" s="25" t="n"/>
      <c r="BQ545" s="27" t="n">
        <v>2.22</v>
      </c>
      <c r="BR545" s="28" t="n">
        <v>0.45</v>
      </c>
      <c r="BS545" s="28" t="n"/>
      <c r="BT545" s="28" t="n"/>
      <c r="BU545" s="25" t="n"/>
      <c r="BV545" s="29" t="n"/>
      <c r="BW545" s="24" t="n"/>
      <c r="BX545" s="30" t="n">
        <v>1</v>
      </c>
      <c r="BY545" s="27" t="n">
        <v>-1</v>
      </c>
      <c r="BZ545" s="24" t="inlineStr">
        <is>
          <t>2026-09-07T22:01:00.710517Z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inlineStr">
        <is>
          <t>cf5b91872c094f2ce89df0df4ca4512014cbf88c56f64d1a82139ff50340248d</t>
        </is>
      </c>
      <c r="DE545" s="24" t="inlineStr">
        <is>
          <t>/Users/vincentc9002/model-prediction/data/odds/tennis/2026-09-07/polymarket_snapshots.jsonl</t>
        </is>
      </c>
      <c r="DF545" s="24" t="inlineStr">
        <is>
          <t>691073:2026-09-07T16:02:19.293675Z</t>
        </is>
      </c>
      <c r="DG545" s="24" t="n"/>
      <c r="DH545" s="24" t="n"/>
      <c r="DI545" s="24" t="n"/>
      <c r="DJ545" s="24" t="inlineStr">
        <is>
          <t>0.45045</t>
        </is>
      </c>
      <c r="DK545" s="24" t="n"/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418d5d09905d40cd</t>
        </is>
      </c>
      <c r="B546" s="24" t="inlineStr">
        <is>
          <t>2026-09-07T16:02:59.290160Z</t>
        </is>
      </c>
      <c r="C546" s="24" t="inlineStr">
        <is>
          <t>2026-09-07T16:30Z</t>
        </is>
      </c>
      <c r="D546" s="24" t="inlineStr">
        <is>
          <t>964-2026:183620</t>
        </is>
      </c>
      <c r="E546" s="24" t="inlineStr">
        <is>
          <t>TENNIS</t>
        </is>
      </c>
      <c r="F546" s="24" t="inlineStr">
        <is>
          <t>Suzan Lamens</t>
        </is>
      </c>
      <c r="G546" s="24" t="inlineStr">
        <is>
          <t>Kayla Day</t>
        </is>
      </c>
      <c r="H546" s="24" t="inlineStr">
        <is>
          <t>moneyline</t>
        </is>
      </c>
      <c r="I546" s="24" t="inlineStr">
        <is>
          <t>home</t>
        </is>
      </c>
      <c r="J546" s="25" t="n"/>
      <c r="K546" s="24" t="inlineStr">
        <is>
          <t>polymarket_us</t>
        </is>
      </c>
      <c r="L546" s="26" t="n">
        <v>-194</v>
      </c>
      <c r="M546" s="27" t="n">
        <v>1.515464</v>
      </c>
      <c r="N546" s="28" t="n">
        <v>0.659864</v>
      </c>
      <c r="O546" s="28" t="n">
        <v>0.5056</v>
      </c>
      <c r="P546" s="28" t="n">
        <v>0.05</v>
      </c>
      <c r="Q546" s="28" t="n">
        <v>-0.154264</v>
      </c>
      <c r="R546" s="26" t="n">
        <v>0</v>
      </c>
      <c r="S546" s="29" t="n">
        <v>1</v>
      </c>
      <c r="T546" s="24" t="inlineStr">
        <is>
          <t>tennis-surface-elo-v1</t>
        </is>
      </c>
      <c r="U546" s="24" t="inlineStr">
        <is>
          <t>settled</t>
        </is>
      </c>
      <c r="V546" s="24" t="inlineStr">
        <is>
          <t>win</t>
        </is>
      </c>
      <c r="W546" s="26" t="n">
        <v>0</v>
      </c>
      <c r="X546" s="26" t="n">
        <v>1</v>
      </c>
      <c r="Y546" s="25" t="n"/>
      <c r="Z546" s="26" t="n">
        <v>-194</v>
      </c>
      <c r="AA546" s="28" t="n">
        <v>0.66</v>
      </c>
      <c r="AB546" s="28" t="n">
        <v>0.000136</v>
      </c>
      <c r="AC546" s="30" t="n">
        <v>0.5155</v>
      </c>
      <c r="AD546" s="24" t="inlineStr">
        <is>
          <t>2026-09-08T04:30:25.676453Z</t>
        </is>
      </c>
      <c r="AE546" s="31" t="inlineStr">
        <is>
          <t>Surface-blended Elo on Hard: Suzan Lamens p=0.494 vs Kayla Day. Executable ask 0.6600 (aec-wta-kayday-suzlam-2026-09-07).</t>
        </is>
      </c>
      <c r="AF546" s="31" t="inlineStr">
        <is>
          <t>Surface-blended Elo model; singles only, WTA+ATP market coverage, not yet locked-holdout qualified -- promoted by explicit operator directive, not genuine walk-forward validation.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PAPER_CALL_LOW_EDGE</t>
        </is>
      </c>
      <c r="AP546" s="24" t="inlineStr">
        <is>
          <t>Suzan Lamens</t>
        </is>
      </c>
      <c r="AQ546" s="24" t="inlineStr">
        <is>
          <t>Suzan Lamens</t>
        </is>
      </c>
      <c r="AR546" s="24" t="inlineStr">
        <is>
          <t>Suzan Lamens</t>
        </is>
      </c>
      <c r="AS546" s="24" t="inlineStr">
        <is>
          <t>Kayla Day</t>
        </is>
      </c>
      <c r="AT546" s="24" t="inlineStr">
        <is>
          <t>Kayla Day</t>
        </is>
      </c>
      <c r="AU546" s="24" t="inlineStr">
        <is>
          <t>Kayla Day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0ce66f49b381187fe6255a40ca2fdbfc155d5e36125ccf6d30fe81a72962eafa</t>
        </is>
      </c>
      <c r="BB546" s="24" t="inlineStr">
        <is>
          <t>surface_blended_elo</t>
        </is>
      </c>
      <c r="BC546" s="24" t="inlineStr">
        <is>
          <t>tennis-surface-elo-v1</t>
        </is>
      </c>
      <c r="BD546" s="24" t="inlineStr">
        <is>
          <t>0ce66f49b381187fe6255a40ca2fdbfc155d5e36125ccf6d30fe81a72962eafa</t>
        </is>
      </c>
      <c r="BE546" s="24" t="inlineStr">
        <is>
          <t>tennis-surface-elo-v1</t>
        </is>
      </c>
      <c r="BF546" s="24" t="inlineStr">
        <is>
          <t>1</t>
        </is>
      </c>
      <c r="BG546" s="24" t="inlineStr">
        <is>
          <t>0ce66f49b381187fe6255a40ca2fdbfc155d5e36125ccf6d30fe81a72962eafa</t>
        </is>
      </c>
      <c r="BH546" s="24" t="inlineStr">
        <is>
          <t>2026-09-07T16:02:19.257506Z</t>
        </is>
      </c>
      <c r="BI546" s="24" t="inlineStr">
        <is>
          <t>["same_event","same_team_same_day","same_league_same_day"]</t>
        </is>
      </c>
      <c r="BJ546" s="25" t="n"/>
      <c r="BK546" s="26" t="n">
        <v>-194</v>
      </c>
      <c r="BL546" s="27" t="n">
        <v>1.515464</v>
      </c>
      <c r="BM546" s="28" t="n">
        <v>0.659864</v>
      </c>
      <c r="BN546" s="28" t="n"/>
      <c r="BO546" s="28" t="n"/>
      <c r="BP546" s="25" t="n"/>
      <c r="BQ546" s="27" t="n">
        <v>1.515464</v>
      </c>
      <c r="BR546" s="28" t="n">
        <v>0.66</v>
      </c>
      <c r="BS546" s="28" t="n"/>
      <c r="BT546" s="28" t="n"/>
      <c r="BU546" s="25" t="n"/>
      <c r="BV546" s="29" t="n"/>
      <c r="BW546" s="24" t="n"/>
      <c r="BX546" s="30" t="n">
        <v>1</v>
      </c>
      <c r="BY546" s="27" t="n">
        <v>0.515464</v>
      </c>
      <c r="BZ546" s="24" t="inlineStr">
        <is>
          <t>2026-09-08T04:30:25.676453Z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inlineStr">
        <is>
          <t>63991793c773ecd349f35ed158357c7eb6ad2f95581dd2f0bced39e489606d1d</t>
        </is>
      </c>
      <c r="DE546" s="24" t="inlineStr">
        <is>
          <t>/Users/vincentc9002/model-prediction/data/odds/tennis/2026-09-07/polymarket_snapshots.jsonl</t>
        </is>
      </c>
      <c r="DF546" s="24" t="inlineStr">
        <is>
          <t>713628:2026-09-07T16:02:19.257506Z</t>
        </is>
      </c>
      <c r="DG546" s="24" t="n"/>
      <c r="DH546" s="24" t="n"/>
      <c r="DI546" s="24" t="n"/>
      <c r="DJ546" s="24" t="inlineStr">
        <is>
          <t>0.659864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cdebc231370744c2</t>
        </is>
      </c>
      <c r="B547" s="24" t="inlineStr">
        <is>
          <t>2026-09-07T16:02:59.290160Z</t>
        </is>
      </c>
      <c r="C547" s="24" t="inlineStr">
        <is>
          <t>2026-09-07T16:30Z</t>
        </is>
      </c>
      <c r="D547" s="24" t="inlineStr">
        <is>
          <t>964-2026:183629</t>
        </is>
      </c>
      <c r="E547" s="24" t="inlineStr">
        <is>
          <t>TENNIS</t>
        </is>
      </c>
      <c r="F547" s="24" t="inlineStr">
        <is>
          <t>Darja Semenistaja</t>
        </is>
      </c>
      <c r="G547" s="24" t="inlineStr">
        <is>
          <t>Anastasia Tikhonova</t>
        </is>
      </c>
      <c r="H547" s="24" t="inlineStr">
        <is>
          <t>moneyline</t>
        </is>
      </c>
      <c r="I547" s="24" t="inlineStr">
        <is>
          <t>away</t>
        </is>
      </c>
      <c r="J547" s="25" t="n"/>
      <c r="K547" s="24" t="inlineStr">
        <is>
          <t>polymarket_us</t>
        </is>
      </c>
      <c r="L547" s="26" t="n">
        <v>-335</v>
      </c>
      <c r="M547" s="27" t="n">
        <v>1.298507</v>
      </c>
      <c r="N547" s="28" t="n">
        <v>0.770115</v>
      </c>
      <c r="O547" s="28" t="n">
        <v>0.6892</v>
      </c>
      <c r="P547" s="28" t="n">
        <v>0.05</v>
      </c>
      <c r="Q547" s="28" t="n">
        <v>-0.080915</v>
      </c>
      <c r="R547" s="26" t="n">
        <v>0</v>
      </c>
      <c r="S547" s="29" t="n">
        <v>1</v>
      </c>
      <c r="T547" s="24" t="inlineStr">
        <is>
          <t>tennis-surface-elo-v1</t>
        </is>
      </c>
      <c r="U547" s="24" t="inlineStr">
        <is>
          <t>settled</t>
        </is>
      </c>
      <c r="V547" s="24" t="inlineStr">
        <is>
          <t>loss</t>
        </is>
      </c>
      <c r="W547" s="26" t="n">
        <v>0</v>
      </c>
      <c r="X547" s="26" t="n">
        <v>1</v>
      </c>
      <c r="Y547" s="25" t="n"/>
      <c r="Z547" s="26" t="n">
        <v>-335</v>
      </c>
      <c r="AA547" s="28" t="n">
        <v>0.77</v>
      </c>
      <c r="AB547" s="28" t="n">
        <v>-0.000115</v>
      </c>
      <c r="AC547" s="30" t="n">
        <v>-1</v>
      </c>
      <c r="AD547" s="24" t="inlineStr">
        <is>
          <t>2026-09-08T04:30:27.856412Z</t>
        </is>
      </c>
      <c r="AE547" s="31" t="inlineStr">
        <is>
          <t>Surface-blended Elo on Hard: Darja Semenistaja p=0.689 vs Anastasia Tikhonova. Executable ask 0.7700 (aec-wta-anatik-darsem-2026-09-07).</t>
        </is>
      </c>
      <c r="AF547" s="31" t="inlineStr">
        <is>
          <t>Surface-blended Elo model; singles only, WTA+ATP market coverage, not yet locked-holdout qualified -- promoted by explicit operator directive, not genuine walk-forward validation.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PAPER_CALL_LOW_EDGE</t>
        </is>
      </c>
      <c r="AP547" s="24" t="inlineStr">
        <is>
          <t>Darja Semenistaja</t>
        </is>
      </c>
      <c r="AQ547" s="24" t="inlineStr">
        <is>
          <t>Darja Semenistaja</t>
        </is>
      </c>
      <c r="AR547" s="24" t="inlineStr">
        <is>
          <t>Darja Semenistaja</t>
        </is>
      </c>
      <c r="AS547" s="24" t="inlineStr">
        <is>
          <t>Anastasia Tikhonova</t>
        </is>
      </c>
      <c r="AT547" s="24" t="inlineStr">
        <is>
          <t>Anastasia Tikhonova</t>
        </is>
      </c>
      <c r="AU547" s="24" t="inlineStr">
        <is>
          <t>Anastasia Tikhonova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0ce66f49b381187fe6255a40ca2fdbfc155d5e36125ccf6d30fe81a72962eafa</t>
        </is>
      </c>
      <c r="BB547" s="24" t="inlineStr">
        <is>
          <t>surface_blended_elo</t>
        </is>
      </c>
      <c r="BC547" s="24" t="inlineStr">
        <is>
          <t>tennis-surface-elo-v1</t>
        </is>
      </c>
      <c r="BD547" s="24" t="inlineStr">
        <is>
          <t>0ce66f49b381187fe6255a40ca2fdbfc155d5e36125ccf6d30fe81a72962eafa</t>
        </is>
      </c>
      <c r="BE547" s="24" t="inlineStr">
        <is>
          <t>tennis-surface-elo-v1</t>
        </is>
      </c>
      <c r="BF547" s="24" t="inlineStr">
        <is>
          <t>1</t>
        </is>
      </c>
      <c r="BG547" s="24" t="inlineStr">
        <is>
          <t>0ce66f49b381187fe6255a40ca2fdbfc155d5e36125ccf6d30fe81a72962eafa</t>
        </is>
      </c>
      <c r="BH547" s="24" t="inlineStr">
        <is>
          <t>2026-09-07T16:02:19.272168Z</t>
        </is>
      </c>
      <c r="BI547" s="24" t="inlineStr">
        <is>
          <t>["same_event","same_team_same_day","same_league_same_day"]</t>
        </is>
      </c>
      <c r="BJ547" s="25" t="n"/>
      <c r="BK547" s="26" t="n">
        <v>-335</v>
      </c>
      <c r="BL547" s="27" t="n">
        <v>1.298507</v>
      </c>
      <c r="BM547" s="28" t="n">
        <v>0.770115</v>
      </c>
      <c r="BN547" s="28" t="n"/>
      <c r="BO547" s="28" t="n"/>
      <c r="BP547" s="25" t="n"/>
      <c r="BQ547" s="27" t="n">
        <v>1.298507</v>
      </c>
      <c r="BR547" s="28" t="n">
        <v>0.77</v>
      </c>
      <c r="BS547" s="28" t="n"/>
      <c r="BT547" s="28" t="n"/>
      <c r="BU547" s="25" t="n"/>
      <c r="BV547" s="29" t="n"/>
      <c r="BW547" s="24" t="n"/>
      <c r="BX547" s="30" t="n">
        <v>1</v>
      </c>
      <c r="BY547" s="27" t="n">
        <v>-1</v>
      </c>
      <c r="BZ547" s="24" t="inlineStr">
        <is>
          <t>2026-09-08T04:30:27.856412Z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inlineStr">
        <is>
          <t>86eb9a64e0765457f734aa0924d7aa688a7a6b28a5e84cd873f1dff986dd2097</t>
        </is>
      </c>
      <c r="DE547" s="24" t="inlineStr">
        <is>
          <t>/Users/vincentc9002/model-prediction/data/odds/tennis/2026-09-07/polymarket_snapshots.jsonl</t>
        </is>
      </c>
      <c r="DF547" s="24" t="inlineStr">
        <is>
          <t>713629:2026-09-07T16:02:19.272168Z</t>
        </is>
      </c>
      <c r="DG547" s="24" t="n"/>
      <c r="DH547" s="24" t="n"/>
      <c r="DI547" s="24" t="n"/>
      <c r="DJ547" s="24" t="inlineStr">
        <is>
          <t>0.770115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6314d50921524557</t>
        </is>
      </c>
      <c r="B548" s="24" t="inlineStr">
        <is>
          <t>2026-09-07T16:02:59.290160Z</t>
        </is>
      </c>
      <c r="C548" s="24" t="inlineStr">
        <is>
          <t>2026-09-07T18:00Z</t>
        </is>
      </c>
      <c r="D548" s="24" t="inlineStr">
        <is>
          <t>964-2026:183619</t>
        </is>
      </c>
      <c r="E548" s="24" t="inlineStr">
        <is>
          <t>TENNIS</t>
        </is>
      </c>
      <c r="F548" s="24" t="inlineStr">
        <is>
          <t>Carol Young Suh Lee</t>
        </is>
      </c>
      <c r="G548" s="24" t="inlineStr">
        <is>
          <t>Vendula Valdmannova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polymarket_us</t>
        </is>
      </c>
      <c r="L548" s="26" t="n">
        <v>133</v>
      </c>
      <c r="M548" s="27" t="n">
        <v>2.33</v>
      </c>
      <c r="N548" s="28" t="n">
        <v>0.429185</v>
      </c>
      <c r="O548" s="28" t="n">
        <v>0.5556</v>
      </c>
      <c r="P548" s="28" t="n">
        <v>0.05</v>
      </c>
      <c r="Q548" s="28" t="n">
        <v>0.126415</v>
      </c>
      <c r="R548" s="26" t="n">
        <v>83</v>
      </c>
      <c r="S548" s="29" t="n">
        <v>1.5</v>
      </c>
      <c r="T548" s="24" t="inlineStr">
        <is>
          <t>tennis-surface-elo-v1</t>
        </is>
      </c>
      <c r="U548" s="24" t="inlineStr">
        <is>
          <t>settled</t>
        </is>
      </c>
      <c r="V548" s="24" t="inlineStr">
        <is>
          <t>loss</t>
        </is>
      </c>
      <c r="W548" s="26" t="n">
        <v>1</v>
      </c>
      <c r="X548" s="26" t="n">
        <v>0</v>
      </c>
      <c r="Y548" s="25" t="n"/>
      <c r="Z548" s="26" t="n">
        <v>133</v>
      </c>
      <c r="AA548" s="28" t="n">
        <v>0.43</v>
      </c>
      <c r="AB548" s="28" t="n">
        <v>0.000815</v>
      </c>
      <c r="AC548" s="30" t="n">
        <v>-1.5</v>
      </c>
      <c r="AD548" s="24" t="inlineStr">
        <is>
          <t>2026-09-08T04:30:30.026849Z</t>
        </is>
      </c>
      <c r="AE548" s="31" t="inlineStr">
        <is>
          <t>Surface-blended Elo on Hard: Carol Young Suh Lee p=0.444 vs Vendula Valdmannova. Executable ask 0.4300 (aec-wta-venval-carlee-2026-09-07).</t>
        </is>
      </c>
      <c r="AF548" s="31" t="inlineStr">
        <is>
          <t>Surface-blended Elo model; singles only, WTA+ATP market coverage, not yet locked-holdout qualified -- promoted by explicit operator directive, not genuine walk-forward validation.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Carol Young Suh Lee</t>
        </is>
      </c>
      <c r="AQ548" s="24" t="inlineStr">
        <is>
          <t>Carol Young Suh Lee</t>
        </is>
      </c>
      <c r="AR548" s="24" t="inlineStr">
        <is>
          <t>Carol Young Suh Lee</t>
        </is>
      </c>
      <c r="AS548" s="24" t="inlineStr">
        <is>
          <t>Vendula Valdmannova</t>
        </is>
      </c>
      <c r="AT548" s="24" t="inlineStr">
        <is>
          <t>Vendula Valdmannova</t>
        </is>
      </c>
      <c r="AU548" s="24" t="inlineStr">
        <is>
          <t>Vendula Valdmannova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0ce66f49b381187fe6255a40ca2fdbfc155d5e36125ccf6d30fe81a72962eafa</t>
        </is>
      </c>
      <c r="BB548" s="24" t="inlineStr">
        <is>
          <t>surface_blended_elo</t>
        </is>
      </c>
      <c r="BC548" s="24" t="inlineStr">
        <is>
          <t>tennis-surface-elo-v1</t>
        </is>
      </c>
      <c r="BD548" s="24" t="inlineStr">
        <is>
          <t>0ce66f49b381187fe6255a40ca2fdbfc155d5e36125ccf6d30fe81a72962eafa</t>
        </is>
      </c>
      <c r="BE548" s="24" t="inlineStr">
        <is>
          <t>tennis-surface-elo-v1</t>
        </is>
      </c>
      <c r="BF548" s="24" t="inlineStr">
        <is>
          <t>1</t>
        </is>
      </c>
      <c r="BG548" s="24" t="inlineStr">
        <is>
          <t>0ce66f49b381187fe6255a40ca2fdbfc155d5e36125ccf6d30fe81a72962eafa</t>
        </is>
      </c>
      <c r="BH548" s="24" t="inlineStr">
        <is>
          <t>2026-09-07T16:02:19.287638Z</t>
        </is>
      </c>
      <c r="BI548" s="24" t="inlineStr">
        <is>
          <t>["same_event","same_team_same_day","same_league_same_day"]</t>
        </is>
      </c>
      <c r="BJ548" s="25" t="n"/>
      <c r="BK548" s="26" t="n">
        <v>133</v>
      </c>
      <c r="BL548" s="27" t="n">
        <v>2.33</v>
      </c>
      <c r="BM548" s="28" t="n">
        <v>0.429185</v>
      </c>
      <c r="BN548" s="28" t="n"/>
      <c r="BO548" s="28" t="n"/>
      <c r="BP548" s="25" t="n"/>
      <c r="BQ548" s="27" t="n">
        <v>2.33</v>
      </c>
      <c r="BR548" s="28" t="n">
        <v>0.43</v>
      </c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inlineStr">
        <is>
          <t>badb90818fa646015834f60aa0afcf2a6710c967450f060ad961e061b2de86eb</t>
        </is>
      </c>
      <c r="DE548" s="24" t="inlineStr">
        <is>
          <t>/Users/vincentc9002/model-prediction/data/odds/tennis/2026-09-07/polymarket_snapshots.jsonl</t>
        </is>
      </c>
      <c r="DF548" s="24" t="inlineStr">
        <is>
          <t>713630:2026-09-07T16:02:19.287638Z</t>
        </is>
      </c>
      <c r="DG548" s="24" t="n"/>
      <c r="DH548" s="24" t="n"/>
      <c r="DI548" s="24" t="n"/>
      <c r="DJ548" s="24" t="inlineStr">
        <is>
          <t>0.429185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2a40b82e7d2744a3</t>
        </is>
      </c>
      <c r="B549" s="24" t="inlineStr">
        <is>
          <t>2026-09-07T16:02:59.290160Z</t>
        </is>
      </c>
      <c r="C549" s="24" t="inlineStr">
        <is>
          <t>2026-09-07T19:00Z</t>
        </is>
      </c>
      <c r="D549" s="24" t="inlineStr">
        <is>
          <t>964-2026:183623</t>
        </is>
      </c>
      <c r="E549" s="24" t="inlineStr">
        <is>
          <t>TENNIS</t>
        </is>
      </c>
      <c r="F549" s="24" t="inlineStr">
        <is>
          <t>Varvara Lepchenko</t>
        </is>
      </c>
      <c r="G549" s="24" t="inlineStr">
        <is>
          <t>Katrina Scott</t>
        </is>
      </c>
      <c r="H549" s="24" t="inlineStr">
        <is>
          <t>moneyline</t>
        </is>
      </c>
      <c r="I549" s="24" t="inlineStr">
        <is>
          <t>home</t>
        </is>
      </c>
      <c r="J549" s="25" t="n"/>
      <c r="K549" s="24" t="inlineStr">
        <is>
          <t>polymarket_us</t>
        </is>
      </c>
      <c r="L549" s="26" t="n">
        <v>104</v>
      </c>
      <c r="M549" s="27" t="n">
        <v>2.04</v>
      </c>
      <c r="N549" s="28" t="n">
        <v>0.490196</v>
      </c>
      <c r="O549" s="28" t="n">
        <v>0.5581</v>
      </c>
      <c r="P549" s="28" t="n">
        <v>0.05</v>
      </c>
      <c r="Q549" s="28" t="n">
        <v>0.06790400000000001</v>
      </c>
      <c r="R549" s="26" t="n">
        <v>54</v>
      </c>
      <c r="S549" s="29" t="n">
        <v>1</v>
      </c>
      <c r="T549" s="24" t="inlineStr">
        <is>
          <t>tennis-surface-elo-v1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>
        <v>104</v>
      </c>
      <c r="AA549" s="28" t="n">
        <v>0.49</v>
      </c>
      <c r="AB549" s="28" t="n">
        <v>-0.000196</v>
      </c>
      <c r="AC549" s="30" t="n">
        <v>-1</v>
      </c>
      <c r="AD549" s="24" t="inlineStr">
        <is>
          <t>2026-09-08T04:30:32.176795Z</t>
        </is>
      </c>
      <c r="AE549" s="31" t="inlineStr">
        <is>
          <t>Surface-blended Elo on Hard: Varvara Lepchenko p=0.442 vs Katrina Scott. Executable ask 0.4900 (aec-wta-katsco-varlep-2026-09-07).</t>
        </is>
      </c>
      <c r="AF549" s="31" t="inlineStr">
        <is>
          <t>Surface-blended Elo model; singles only, WTA+ATP market coverage, not yet locked-holdout qualified -- promoted by explicit operator directive, not genuine walk-forward validation.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Varvara Lepchenko</t>
        </is>
      </c>
      <c r="AQ549" s="24" t="inlineStr">
        <is>
          <t>Varvara Lepchenko</t>
        </is>
      </c>
      <c r="AR549" s="24" t="inlineStr">
        <is>
          <t>Varvara Lepchenko</t>
        </is>
      </c>
      <c r="AS549" s="24" t="inlineStr">
        <is>
          <t>Katrina Scott</t>
        </is>
      </c>
      <c r="AT549" s="24" t="inlineStr">
        <is>
          <t>Katrina Scott</t>
        </is>
      </c>
      <c r="AU549" s="24" t="inlineStr">
        <is>
          <t>Katrina Scott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0ce66f49b381187fe6255a40ca2fdbfc155d5e36125ccf6d30fe81a72962eafa</t>
        </is>
      </c>
      <c r="BB549" s="24" t="inlineStr">
        <is>
          <t>surface_blended_elo</t>
        </is>
      </c>
      <c r="BC549" s="24" t="inlineStr">
        <is>
          <t>tennis-surface-elo-v1</t>
        </is>
      </c>
      <c r="BD549" s="24" t="inlineStr">
        <is>
          <t>0ce66f49b381187fe6255a40ca2fdbfc155d5e36125ccf6d30fe81a72962eafa</t>
        </is>
      </c>
      <c r="BE549" s="24" t="inlineStr">
        <is>
          <t>tennis-surface-elo-v1</t>
        </is>
      </c>
      <c r="BF549" s="24" t="inlineStr">
        <is>
          <t>1</t>
        </is>
      </c>
      <c r="BG549" s="24" t="inlineStr">
        <is>
          <t>0ce66f49b381187fe6255a40ca2fdbfc155d5e36125ccf6d30fe81a72962eafa</t>
        </is>
      </c>
      <c r="BH549" s="24" t="inlineStr">
        <is>
          <t>2026-09-07T16:02:19.447102Z</t>
        </is>
      </c>
      <c r="BI549" s="24" t="inlineStr">
        <is>
          <t>["same_event","same_team_same_day","same_league_same_day"]</t>
        </is>
      </c>
      <c r="BJ549" s="25" t="n"/>
      <c r="BK549" s="26" t="n">
        <v>104</v>
      </c>
      <c r="BL549" s="27" t="n">
        <v>2.04</v>
      </c>
      <c r="BM549" s="28" t="n">
        <v>0.490196</v>
      </c>
      <c r="BN549" s="28" t="n"/>
      <c r="BO549" s="28" t="n"/>
      <c r="BP549" s="25" t="n"/>
      <c r="BQ549" s="27" t="n">
        <v>2.04</v>
      </c>
      <c r="BR549" s="28" t="n">
        <v>0.49</v>
      </c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inlineStr">
        <is>
          <t>140076628cfe864898293f2dbbdfbbfc89c1b4ad0a668dbced9593f8bbe1e109</t>
        </is>
      </c>
      <c r="DE549" s="24" t="inlineStr">
        <is>
          <t>/Users/vincentc9002/model-prediction/data/odds/tennis/2026-09-07/polymarket_snapshots.jsonl</t>
        </is>
      </c>
      <c r="DF549" s="24" t="inlineStr">
        <is>
          <t>713631:2026-09-07T16:02:19.447102Z</t>
        </is>
      </c>
      <c r="DG549" s="24" t="n"/>
      <c r="DH549" s="24" t="n"/>
      <c r="DI549" s="24" t="n"/>
      <c r="DJ549" s="24" t="inlineStr">
        <is>
          <t>0.490196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35f77ca70136445b</t>
        </is>
      </c>
      <c r="B550" s="24" t="inlineStr">
        <is>
          <t>2026-09-07T16:02:59.290160Z</t>
        </is>
      </c>
      <c r="C550" s="24" t="inlineStr">
        <is>
          <t>2026-09-07T17:00Z</t>
        </is>
      </c>
      <c r="D550" s="24" t="inlineStr">
        <is>
          <t>189-2026:182738</t>
        </is>
      </c>
      <c r="E550" s="24" t="inlineStr">
        <is>
          <t>TENNIS</t>
        </is>
      </c>
      <c r="F550" s="24" t="inlineStr">
        <is>
          <t>Alexander Blockx</t>
        </is>
      </c>
      <c r="G550" s="24" t="inlineStr">
        <is>
          <t>Francisco Cerundolo</t>
        </is>
      </c>
      <c r="H550" s="24" t="inlineStr">
        <is>
          <t>moneyline</t>
        </is>
      </c>
      <c r="I550" s="24" t="inlineStr">
        <is>
          <t>home</t>
        </is>
      </c>
      <c r="J550" s="25" t="n"/>
      <c r="K550" s="24" t="inlineStr">
        <is>
          <t>polymarket_us</t>
        </is>
      </c>
      <c r="L550" s="26" t="n">
        <v>147</v>
      </c>
      <c r="M550" s="27" t="n">
        <v>2.47</v>
      </c>
      <c r="N550" s="28" t="n">
        <v>0.404858</v>
      </c>
      <c r="O550" s="28" t="n">
        <v>0.6515</v>
      </c>
      <c r="P550" s="28" t="n">
        <v>0.05</v>
      </c>
      <c r="Q550" s="28" t="n">
        <v>0.246642</v>
      </c>
      <c r="R550" s="26" t="n">
        <v>100</v>
      </c>
      <c r="S550" s="29" t="n">
        <v>2</v>
      </c>
      <c r="T550" s="24" t="inlineStr">
        <is>
          <t>tennis-surface-elo-v1</t>
        </is>
      </c>
      <c r="U550" s="24" t="inlineStr">
        <is>
          <t>settled</t>
        </is>
      </c>
      <c r="V550" s="24" t="inlineStr">
        <is>
          <t>loss</t>
        </is>
      </c>
      <c r="W550" s="26" t="n">
        <v>1</v>
      </c>
      <c r="X550" s="26" t="n">
        <v>0</v>
      </c>
      <c r="Y550" s="25" t="n"/>
      <c r="Z550" s="26" t="n">
        <v>147</v>
      </c>
      <c r="AA550" s="28" t="n">
        <v>0.405</v>
      </c>
      <c r="AB550" s="28" t="n">
        <v>0.000142</v>
      </c>
      <c r="AC550" s="30" t="n">
        <v>-2</v>
      </c>
      <c r="AD550" s="24" t="inlineStr">
        <is>
          <t>2026-09-07T22:01:02.217188Z</t>
        </is>
      </c>
      <c r="AE550" s="31" t="inlineStr">
        <is>
          <t>Surface-blended Elo on Hard: Alexander Blockx p=0.348 vs Francisco Cerundolo. Executable ask 0.4050 (aec-atp-fracer-aleblo-2026-09-06).</t>
        </is>
      </c>
      <c r="AF550" s="31" t="inlineStr">
        <is>
          <t>Surface-blended Elo model; singles only, WTA+ATP market coverage, not yet locked-holdout qualified -- promoted by explicit operator directive, not genuine walk-forward validation.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model_qualified</t>
        </is>
      </c>
      <c r="AL550" s="26" t="n">
        <v>4</v>
      </c>
      <c r="AM550" s="24" t="inlineStr">
        <is>
          <t>QUALIFIED_SHADOW_CALL</t>
        </is>
      </c>
      <c r="AN550" s="24" t="inlineStr">
        <is>
          <t>CALL</t>
        </is>
      </c>
      <c r="AO550" s="24" t="inlineStr">
        <is>
          <t>QUALIFIED</t>
        </is>
      </c>
      <c r="AP550" s="24" t="inlineStr">
        <is>
          <t>Alexander Blockx</t>
        </is>
      </c>
      <c r="AQ550" s="24" t="inlineStr">
        <is>
          <t>Alexander Blockx</t>
        </is>
      </c>
      <c r="AR550" s="24" t="inlineStr">
        <is>
          <t>Alexander Blockx</t>
        </is>
      </c>
      <c r="AS550" s="24" t="inlineStr">
        <is>
          <t>Francisco Cerundolo</t>
        </is>
      </c>
      <c r="AT550" s="24" t="inlineStr">
        <is>
          <t>Francisco Cerundolo</t>
        </is>
      </c>
      <c r="AU550" s="24" t="inlineStr">
        <is>
          <t>Francisco Cerundolo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0ce66f49b381187fe6255a40ca2fdbfc155d5e36125ccf6d30fe81a72962eafa</t>
        </is>
      </c>
      <c r="BB550" s="24" t="inlineStr">
        <is>
          <t>surface_blended_elo</t>
        </is>
      </c>
      <c r="BC550" s="24" t="inlineStr">
        <is>
          <t>tennis-surface-elo-v1</t>
        </is>
      </c>
      <c r="BD550" s="24" t="inlineStr">
        <is>
          <t>0ce66f49b381187fe6255a40ca2fdbfc155d5e36125ccf6d30fe81a72962eafa</t>
        </is>
      </c>
      <c r="BE550" s="24" t="inlineStr">
        <is>
          <t>tennis-surface-elo-v1</t>
        </is>
      </c>
      <c r="BF550" s="24" t="inlineStr">
        <is>
          <t>1</t>
        </is>
      </c>
      <c r="BG550" s="24" t="inlineStr">
        <is>
          <t>0ce66f49b381187fe6255a40ca2fdbfc155d5e36125ccf6d30fe81a72962eafa</t>
        </is>
      </c>
      <c r="BH550" s="24" t="inlineStr">
        <is>
          <t>2026-09-07T16:02:19.757451Z</t>
        </is>
      </c>
      <c r="BI550" s="24" t="inlineStr">
        <is>
          <t>["same_event","same_team_same_day","same_league_same_day"]</t>
        </is>
      </c>
      <c r="BJ550" s="25" t="n"/>
      <c r="BK550" s="26" t="n">
        <v>147</v>
      </c>
      <c r="BL550" s="27" t="n">
        <v>2.47</v>
      </c>
      <c r="BM550" s="28" t="n">
        <v>0.404858</v>
      </c>
      <c r="BN550" s="28" t="n"/>
      <c r="BO550" s="28" t="n"/>
      <c r="BP550" s="25" t="n"/>
      <c r="BQ550" s="27" t="n">
        <v>2.47</v>
      </c>
      <c r="BR550" s="28" t="n">
        <v>0.405</v>
      </c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inlineStr">
        <is>
          <t>31cf069b7880e1db5b360b2859057a9360a16d0ad49a483fd4d896a766315495</t>
        </is>
      </c>
      <c r="DE550" s="24" t="inlineStr">
        <is>
          <t>/Users/vincentc9002/model-prediction/data/odds/tennis/2026-09-07/polymarket_snapshots.jsonl</t>
        </is>
      </c>
      <c r="DF550" s="24" t="inlineStr">
        <is>
          <t>691066:2026-09-07T16:02:19.757451Z</t>
        </is>
      </c>
      <c r="DG550" s="24" t="n"/>
      <c r="DH550" s="24" t="n"/>
      <c r="DI550" s="24" t="n"/>
      <c r="DJ550" s="24" t="inlineStr">
        <is>
          <t>0.404858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7af28a587b934e84</t>
        </is>
      </c>
      <c r="B551" s="24" t="inlineStr">
        <is>
          <t>2026-09-07T16:02:59.290160Z</t>
        </is>
      </c>
      <c r="C551" s="24" t="inlineStr">
        <is>
          <t>2026-09-07T20:00Z</t>
        </is>
      </c>
      <c r="D551" s="24" t="inlineStr">
        <is>
          <t>189-2026:182692</t>
        </is>
      </c>
      <c r="E551" s="24" t="inlineStr">
        <is>
          <t>TENNIS</t>
        </is>
      </c>
      <c r="F551" s="24" t="inlineStr">
        <is>
          <t>Learner Tien</t>
        </is>
      </c>
      <c r="G551" s="24" t="inlineStr">
        <is>
          <t>Karen Khachanov</t>
        </is>
      </c>
      <c r="H551" s="24" t="inlineStr">
        <is>
          <t>moneyline</t>
        </is>
      </c>
      <c r="I551" s="24" t="inlineStr">
        <is>
          <t>away</t>
        </is>
      </c>
      <c r="J551" s="25" t="n"/>
      <c r="K551" s="24" t="inlineStr">
        <is>
          <t>polymarket_us</t>
        </is>
      </c>
      <c r="L551" s="26" t="n">
        <v>-174</v>
      </c>
      <c r="M551" s="27" t="n">
        <v>1.574713</v>
      </c>
      <c r="N551" s="28" t="n">
        <v>0.635036</v>
      </c>
      <c r="O551" s="28" t="n">
        <v>0.7203000000000001</v>
      </c>
      <c r="P551" s="28" t="n">
        <v>0.05</v>
      </c>
      <c r="Q551" s="28" t="n">
        <v>0.08526400000000001</v>
      </c>
      <c r="R551" s="26" t="n">
        <v>63</v>
      </c>
      <c r="S551" s="29" t="n">
        <v>1.25</v>
      </c>
      <c r="T551" s="24" t="inlineStr">
        <is>
          <t>tennis-surface-elo-v1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1</v>
      </c>
      <c r="Y551" s="25" t="n"/>
      <c r="Z551" s="26" t="n">
        <v>-174</v>
      </c>
      <c r="AA551" s="28" t="n">
        <v>0.635</v>
      </c>
      <c r="AB551" s="28" t="n">
        <v>-3.6e-05</v>
      </c>
      <c r="AC551" s="30" t="n">
        <v>-1.25</v>
      </c>
      <c r="AD551" s="24" t="inlineStr">
        <is>
          <t>2026-09-08T04:30:34.395151Z</t>
        </is>
      </c>
      <c r="AE551" s="31" t="inlineStr">
        <is>
          <t>Surface-blended Elo on Hard: Learner Tien p=0.720 vs Karen Khachanov. Executable ask 0.6350 (aec-atp-karkha-leatie-2026-09-07).</t>
        </is>
      </c>
      <c r="AF551" s="31" t="inlineStr">
        <is>
          <t>Surface-blended Elo model; singles only, WTA+ATP market coverage, not yet locked-holdout qualified -- promoted by explicit operator directive, not genuine walk-forward validation.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Learner Tien</t>
        </is>
      </c>
      <c r="AQ551" s="24" t="inlineStr">
        <is>
          <t>Learner Tien</t>
        </is>
      </c>
      <c r="AR551" s="24" t="inlineStr">
        <is>
          <t>Learner Tien</t>
        </is>
      </c>
      <c r="AS551" s="24" t="inlineStr">
        <is>
          <t>Karen Khachanov</t>
        </is>
      </c>
      <c r="AT551" s="24" t="inlineStr">
        <is>
          <t>Karen Khachanov</t>
        </is>
      </c>
      <c r="AU551" s="24" t="inlineStr">
        <is>
          <t>Karen Khachanov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0ce66f49b381187fe6255a40ca2fdbfc155d5e36125ccf6d30fe81a72962eafa</t>
        </is>
      </c>
      <c r="BB551" s="24" t="inlineStr">
        <is>
          <t>surface_blended_elo</t>
        </is>
      </c>
      <c r="BC551" s="24" t="inlineStr">
        <is>
          <t>tennis-surface-elo-v1</t>
        </is>
      </c>
      <c r="BD551" s="24" t="inlineStr">
        <is>
          <t>0ce66f49b381187fe6255a40ca2fdbfc155d5e36125ccf6d30fe81a72962eafa</t>
        </is>
      </c>
      <c r="BE551" s="24" t="inlineStr">
        <is>
          <t>tennis-surface-elo-v1</t>
        </is>
      </c>
      <c r="BF551" s="24" t="inlineStr">
        <is>
          <t>1</t>
        </is>
      </c>
      <c r="BG551" s="24" t="inlineStr">
        <is>
          <t>0ce66f49b381187fe6255a40ca2fdbfc155d5e36125ccf6d30fe81a72962eafa</t>
        </is>
      </c>
      <c r="BH551" s="24" t="inlineStr">
        <is>
          <t>2026-09-07T16:02:19.874401Z</t>
        </is>
      </c>
      <c r="BI551" s="24" t="inlineStr">
        <is>
          <t>["same_event","same_team_same_day","same_league_same_day"]</t>
        </is>
      </c>
      <c r="BJ551" s="25" t="n"/>
      <c r="BK551" s="26" t="n">
        <v>-174</v>
      </c>
      <c r="BL551" s="27" t="n">
        <v>1.574713</v>
      </c>
      <c r="BM551" s="28" t="n">
        <v>0.635036</v>
      </c>
      <c r="BN551" s="28" t="n"/>
      <c r="BO551" s="28" t="n"/>
      <c r="BP551" s="25" t="n"/>
      <c r="BQ551" s="27" t="n">
        <v>1.574713</v>
      </c>
      <c r="BR551" s="28" t="n">
        <v>0.635</v>
      </c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inlineStr">
        <is>
          <t>f7ed510f7c58c3a8c4336e6f7c0fcf216137b0399f2107cad08caab0dcd03349</t>
        </is>
      </c>
      <c r="DE551" s="24" t="inlineStr">
        <is>
          <t>/Users/vincentc9002/model-prediction/data/odds/tennis/2026-09-07/polymarket_snapshots.jsonl</t>
        </is>
      </c>
      <c r="DF551" s="24" t="inlineStr">
        <is>
          <t>696967:2026-09-07T16:02:19.874401Z</t>
        </is>
      </c>
      <c r="DG551" s="24" t="n"/>
      <c r="DH551" s="24" t="n"/>
      <c r="DI551" s="24" t="n"/>
      <c r="DJ551" s="24" t="inlineStr">
        <is>
          <t>0.635036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6f76059c775048ee</t>
        </is>
      </c>
      <c r="B552" s="24" t="inlineStr">
        <is>
          <t>2026-09-07T16:02:59.290160Z</t>
        </is>
      </c>
      <c r="C552" s="24" t="inlineStr">
        <is>
          <t>2026-09-07T20:30Z</t>
        </is>
      </c>
      <c r="D552" s="24" t="inlineStr">
        <is>
          <t>189-2026:182688</t>
        </is>
      </c>
      <c r="E552" s="24" t="inlineStr">
        <is>
          <t>TENNIS</t>
        </is>
      </c>
      <c r="F552" s="24" t="inlineStr">
        <is>
          <t>Botic Van De Zandschulp</t>
        </is>
      </c>
      <c r="G552" s="24" t="inlineStr">
        <is>
          <t>Arthur Gea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polymarket_us</t>
        </is>
      </c>
      <c r="L552" s="26" t="n">
        <v>-153</v>
      </c>
      <c r="M552" s="27" t="n">
        <v>1.653595</v>
      </c>
      <c r="N552" s="28" t="n">
        <v>0.604743</v>
      </c>
      <c r="O552" s="28" t="n">
        <v>0.5866</v>
      </c>
      <c r="P552" s="28" t="n">
        <v>0.05</v>
      </c>
      <c r="Q552" s="28" t="n">
        <v>-0.018143</v>
      </c>
      <c r="R552" s="26" t="n">
        <v>11</v>
      </c>
      <c r="S552" s="29" t="n">
        <v>1</v>
      </c>
      <c r="T552" s="24" t="inlineStr">
        <is>
          <t>tennis-surface-elo-v1</t>
        </is>
      </c>
      <c r="U552" s="24" t="inlineStr">
        <is>
          <t>settled</t>
        </is>
      </c>
      <c r="V552" s="24" t="inlineStr">
        <is>
          <t>win</t>
        </is>
      </c>
      <c r="W552" s="26" t="n">
        <v>1</v>
      </c>
      <c r="X552" s="26" t="n">
        <v>0</v>
      </c>
      <c r="Y552" s="25" t="n"/>
      <c r="Z552" s="26" t="n">
        <v>-153</v>
      </c>
      <c r="AA552" s="28" t="n">
        <v>0.605</v>
      </c>
      <c r="AB552" s="28" t="n">
        <v>0.000257</v>
      </c>
      <c r="AC552" s="30" t="n">
        <v>0.6536</v>
      </c>
      <c r="AD552" s="24" t="inlineStr">
        <is>
          <t>2026-09-08T04:30:36.918280Z</t>
        </is>
      </c>
      <c r="AE552" s="31" t="inlineStr">
        <is>
          <t>Surface-blended Elo on Hard: Botic Van De Zandschulp p=0.587 vs Arthur Gea. Executable ask 0.6050 (aec-atp-artgea-botzan-2026-09-06).</t>
        </is>
      </c>
      <c r="AF552" s="31" t="inlineStr">
        <is>
          <t>Surface-blended Elo model; singles only, WTA+ATP market coverage, not yet locked-holdout qualified -- promoted by explicit operator directive, not genuine walk-forward validation.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PAPER_CALL_LOW_EDGE</t>
        </is>
      </c>
      <c r="AP552" s="24" t="inlineStr">
        <is>
          <t>Botic Van De Zandschulp</t>
        </is>
      </c>
      <c r="AQ552" s="24" t="inlineStr">
        <is>
          <t>Botic Van De Zandschulp</t>
        </is>
      </c>
      <c r="AR552" s="24" t="inlineStr">
        <is>
          <t>Botic Van De Zandschulp</t>
        </is>
      </c>
      <c r="AS552" s="24" t="inlineStr">
        <is>
          <t>Arthur Gea</t>
        </is>
      </c>
      <c r="AT552" s="24" t="inlineStr">
        <is>
          <t>Arthur Gea</t>
        </is>
      </c>
      <c r="AU552" s="24" t="inlineStr">
        <is>
          <t>Arthur Gea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0ce66f49b381187fe6255a40ca2fdbfc155d5e36125ccf6d30fe81a72962eafa</t>
        </is>
      </c>
      <c r="BB552" s="24" t="inlineStr">
        <is>
          <t>surface_blended_elo</t>
        </is>
      </c>
      <c r="BC552" s="24" t="inlineStr">
        <is>
          <t>tennis-surface-elo-v1</t>
        </is>
      </c>
      <c r="BD552" s="24" t="inlineStr">
        <is>
          <t>0ce66f49b381187fe6255a40ca2fdbfc155d5e36125ccf6d30fe81a72962eafa</t>
        </is>
      </c>
      <c r="BE552" s="24" t="inlineStr">
        <is>
          <t>tennis-surface-elo-v1</t>
        </is>
      </c>
      <c r="BF552" s="24" t="inlineStr">
        <is>
          <t>1</t>
        </is>
      </c>
      <c r="BG552" s="24" t="inlineStr">
        <is>
          <t>0ce66f49b381187fe6255a40ca2fdbfc155d5e36125ccf6d30fe81a72962eafa</t>
        </is>
      </c>
      <c r="BH552" s="24" t="inlineStr">
        <is>
          <t>2026-09-07T16:02:20.028744Z</t>
        </is>
      </c>
      <c r="BI552" s="24" t="inlineStr">
        <is>
          <t>["same_event","same_team_same_day","same_league_same_day"]</t>
        </is>
      </c>
      <c r="BJ552" s="25" t="n"/>
      <c r="BK552" s="26" t="n">
        <v>-153</v>
      </c>
      <c r="BL552" s="27" t="n">
        <v>1.653595</v>
      </c>
      <c r="BM552" s="28" t="n">
        <v>0.604743</v>
      </c>
      <c r="BN552" s="28" t="n"/>
      <c r="BO552" s="28" t="n"/>
      <c r="BP552" s="25" t="n"/>
      <c r="BQ552" s="27" t="n">
        <v>1.653595</v>
      </c>
      <c r="BR552" s="28" t="n">
        <v>0.605</v>
      </c>
      <c r="BS552" s="28" t="n"/>
      <c r="BT552" s="28" t="n"/>
      <c r="BU552" s="25" t="n"/>
      <c r="BV552" s="29" t="n"/>
      <c r="BW552" s="24" t="n"/>
      <c r="BX552" s="30" t="n">
        <v>1</v>
      </c>
      <c r="BY552" s="27" t="n">
        <v>0.653595</v>
      </c>
      <c r="BZ552" s="24" t="inlineStr">
        <is>
          <t>2026-09-08T04:30:36.918280Z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False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inlineStr">
        <is>
          <t>2828fe98b01ebee6787bf2dd42a2b06ac7f2739026f164fd1b064d8c5bc1ae51</t>
        </is>
      </c>
      <c r="DE552" s="24" t="inlineStr">
        <is>
          <t>/Users/vincentc9002/model-prediction/data/odds/tennis/2026-09-07/polymarket_snapshots.jsonl</t>
        </is>
      </c>
      <c r="DF552" s="24" t="inlineStr">
        <is>
          <t>694758:2026-09-07T16:02:20.028744Z</t>
        </is>
      </c>
      <c r="DG552" s="24" t="n"/>
      <c r="DH552" s="24" t="n"/>
      <c r="DI552" s="24" t="n"/>
      <c r="DJ552" s="24" t="inlineStr">
        <is>
          <t>0.604743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ea8e20f5afe64505</t>
        </is>
      </c>
      <c r="B553" s="24" t="inlineStr">
        <is>
          <t>2026-09-07T22:04:13.917534Z</t>
        </is>
      </c>
      <c r="C553" s="24" t="inlineStr">
        <is>
          <t>2026-09-07T23:00Z</t>
        </is>
      </c>
      <c r="D553" s="24" t="inlineStr">
        <is>
          <t>189-2026:182557</t>
        </is>
      </c>
      <c r="E553" s="24" t="inlineStr">
        <is>
          <t>TENNIS</t>
        </is>
      </c>
      <c r="F553" s="24" t="inlineStr">
        <is>
          <t>Coco Gauff</t>
        </is>
      </c>
      <c r="G553" s="24" t="inlineStr">
        <is>
          <t>Iva Jovic</t>
        </is>
      </c>
      <c r="H553" s="24" t="inlineStr">
        <is>
          <t>moneyline</t>
        </is>
      </c>
      <c r="I553" s="24" t="inlineStr">
        <is>
          <t>away</t>
        </is>
      </c>
      <c r="J553" s="25" t="n"/>
      <c r="K553" s="24" t="inlineStr">
        <is>
          <t>polymarket_us</t>
        </is>
      </c>
      <c r="L553" s="26" t="n">
        <v>-277</v>
      </c>
      <c r="M553" s="27" t="n">
        <v>1.361011</v>
      </c>
      <c r="N553" s="28" t="n">
        <v>0.734748</v>
      </c>
      <c r="O553" s="28" t="n">
        <v>0.7328</v>
      </c>
      <c r="P553" s="28" t="n">
        <v>0.05</v>
      </c>
      <c r="Q553" s="28" t="n">
        <v>-0.001948</v>
      </c>
      <c r="R553" s="26" t="n">
        <v>19</v>
      </c>
      <c r="S553" s="29" t="n">
        <v>1</v>
      </c>
      <c r="T553" s="24" t="inlineStr">
        <is>
          <t>tennis-surface-elo-v1</t>
        </is>
      </c>
      <c r="U553" s="24" t="inlineStr">
        <is>
          <t>settled</t>
        </is>
      </c>
      <c r="V553" s="24" t="inlineStr">
        <is>
          <t>win</t>
        </is>
      </c>
      <c r="W553" s="26" t="n">
        <v>1</v>
      </c>
      <c r="X553" s="26" t="n">
        <v>0</v>
      </c>
      <c r="Y553" s="25" t="n"/>
      <c r="Z553" s="26" t="n">
        <v>-277</v>
      </c>
      <c r="AA553" s="28" t="n">
        <v>0.735</v>
      </c>
      <c r="AB553" s="28" t="n">
        <v>0.000252</v>
      </c>
      <c r="AC553" s="30" t="n">
        <v>0.361</v>
      </c>
      <c r="AD553" s="24" t="inlineStr">
        <is>
          <t>2026-09-08T04:30:58.977302Z</t>
        </is>
      </c>
      <c r="AE553" s="31" t="inlineStr">
        <is>
          <t>Surface-blended Elo on Hard: Coco Gauff p=0.733 vs Iva Jovic. Executable ask 0.7350 (aec-wta-ivajov-cocgau-2026-09-07).</t>
        </is>
      </c>
      <c r="AF553" s="31" t="inlineStr">
        <is>
          <t>Surface-blended Elo model; singles only, WTA+ATP market coverage, not yet locked-holdout qualified -- promoted by explicit operator directive, not genuine walk-forward validation.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PAPER_CALL_LOW_EDGE</t>
        </is>
      </c>
      <c r="AP553" s="24" t="inlineStr">
        <is>
          <t>Coco Gauff</t>
        </is>
      </c>
      <c r="AQ553" s="24" t="inlineStr">
        <is>
          <t>Coco Gauff</t>
        </is>
      </c>
      <c r="AR553" s="24" t="inlineStr">
        <is>
          <t>Coco Gauff</t>
        </is>
      </c>
      <c r="AS553" s="24" t="inlineStr">
        <is>
          <t>Iva Jovic</t>
        </is>
      </c>
      <c r="AT553" s="24" t="inlineStr">
        <is>
          <t>Iva Jovic</t>
        </is>
      </c>
      <c r="AU553" s="24" t="inlineStr">
        <is>
          <t>Iva Jovic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0ce66f49b381187fe6255a40ca2fdbfc155d5e36125ccf6d30fe81a72962eafa</t>
        </is>
      </c>
      <c r="BB553" s="24" t="inlineStr">
        <is>
          <t>surface_blended_elo</t>
        </is>
      </c>
      <c r="BC553" s="24" t="inlineStr">
        <is>
          <t>tennis-surface-elo-v1</t>
        </is>
      </c>
      <c r="BD553" s="24" t="inlineStr">
        <is>
          <t>0ce66f49b381187fe6255a40ca2fdbfc155d5e36125ccf6d30fe81a72962eafa</t>
        </is>
      </c>
      <c r="BE553" s="24" t="inlineStr">
        <is>
          <t>tennis-surface-elo-v1</t>
        </is>
      </c>
      <c r="BF553" s="24" t="inlineStr">
        <is>
          <t>1</t>
        </is>
      </c>
      <c r="BG553" s="24" t="inlineStr">
        <is>
          <t>0ce66f49b381187fe6255a40ca2fdbfc155d5e36125ccf6d30fe81a72962eafa</t>
        </is>
      </c>
      <c r="BH553" s="24" t="inlineStr">
        <is>
          <t>2026-09-07T22:03:48.229204Z</t>
        </is>
      </c>
      <c r="BI553" s="24" t="inlineStr">
        <is>
          <t>["same_event","same_team_same_day","same_league_same_day"]</t>
        </is>
      </c>
      <c r="BJ553" s="25" t="n"/>
      <c r="BK553" s="26" t="n">
        <v>-277</v>
      </c>
      <c r="BL553" s="27" t="n">
        <v>1.361011</v>
      </c>
      <c r="BM553" s="28" t="n">
        <v>0.734748</v>
      </c>
      <c r="BN553" s="28" t="n"/>
      <c r="BO553" s="28" t="n"/>
      <c r="BP553" s="25" t="n"/>
      <c r="BQ553" s="27" t="n">
        <v>1.361011</v>
      </c>
      <c r="BR553" s="28" t="n">
        <v>0.735</v>
      </c>
      <c r="BS553" s="28" t="n"/>
      <c r="BT553" s="28" t="n"/>
      <c r="BU553" s="25" t="n"/>
      <c r="BV553" s="29" t="n"/>
      <c r="BW553" s="24" t="n"/>
      <c r="BX553" s="30" t="n">
        <v>1</v>
      </c>
      <c r="BY553" s="27" t="n">
        <v>0.361011</v>
      </c>
      <c r="BZ553" s="24" t="inlineStr">
        <is>
          <t>2026-09-08T04:30:58.977302Z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inlineStr">
        <is>
          <t>f5b00b086da35bf5c925e03e1ae5564fe58ca4236c9738907ed855ee60ea2925</t>
        </is>
      </c>
      <c r="DE553" s="24" t="inlineStr">
        <is>
          <t>/Users/vincentc9002/model-prediction/data/odds/tennis/2026-09-07/polymarket_snapshots.jsonl</t>
        </is>
      </c>
      <c r="DF553" s="24" t="inlineStr">
        <is>
          <t>694795:2026-09-07T22:03:48.229204Z</t>
        </is>
      </c>
      <c r="DG553" s="24" t="n"/>
      <c r="DH553" s="24" t="n"/>
      <c r="DI553" s="24" t="n"/>
      <c r="DJ553" s="24" t="inlineStr">
        <is>
          <t>0.734748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e28bab35f0ed4dc6</t>
        </is>
      </c>
      <c r="B554" s="24" t="inlineStr">
        <is>
          <t>2026-09-07T22:04:13.917534Z</t>
        </is>
      </c>
      <c r="C554" s="24" t="inlineStr">
        <is>
          <t>2026-09-07T23:30Z</t>
        </is>
      </c>
      <c r="D554" s="24" t="inlineStr">
        <is>
          <t>964-2026:183617</t>
        </is>
      </c>
      <c r="E554" s="24" t="inlineStr">
        <is>
          <t>TENNIS</t>
        </is>
      </c>
      <c r="F554" s="24" t="inlineStr">
        <is>
          <t>Lucrezia Stefanini</t>
        </is>
      </c>
      <c r="G554" s="24" t="inlineStr">
        <is>
          <t>Julieta Pareja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polymarket_us</t>
        </is>
      </c>
      <c r="L554" s="26" t="n">
        <v>-113</v>
      </c>
      <c r="M554" s="27" t="n">
        <v>1.884956</v>
      </c>
      <c r="N554" s="28" t="n">
        <v>0.530516</v>
      </c>
      <c r="O554" s="28" t="n">
        <v>0.5406</v>
      </c>
      <c r="P554" s="28" t="n">
        <v>0.05</v>
      </c>
      <c r="Q554" s="28" t="n">
        <v>0.010084</v>
      </c>
      <c r="R554" s="26" t="n">
        <v>25</v>
      </c>
      <c r="S554" s="29" t="n">
        <v>1</v>
      </c>
      <c r="T554" s="24" t="inlineStr">
        <is>
          <t>tennis-surface-elo-v1</t>
        </is>
      </c>
      <c r="U554" s="24" t="inlineStr">
        <is>
          <t>settled</t>
        </is>
      </c>
      <c r="V554" s="24" t="inlineStr">
        <is>
          <t>loss</t>
        </is>
      </c>
      <c r="W554" s="26" t="n">
        <v>0</v>
      </c>
      <c r="X554" s="26" t="n">
        <v>1</v>
      </c>
      <c r="Y554" s="25" t="n"/>
      <c r="Z554" s="26" t="n">
        <v>-113</v>
      </c>
      <c r="AA554" s="28" t="n">
        <v>0.53</v>
      </c>
      <c r="AB554" s="28" t="n">
        <v>-0.000516</v>
      </c>
      <c r="AC554" s="30" t="n">
        <v>-1</v>
      </c>
      <c r="AD554" s="24" t="inlineStr">
        <is>
          <t>2026-09-08T04:31:01.175391Z</t>
        </is>
      </c>
      <c r="AE554" s="31" t="inlineStr">
        <is>
          <t>Surface-blended Elo on Hard: Lucrezia Stefanini p=0.541 vs Julieta Pareja. Executable ask 0.5300 (aec-wta-julpar-lucste-2026-09-07).</t>
        </is>
      </c>
      <c r="AF554" s="31" t="inlineStr">
        <is>
          <t>Surface-blended Elo model; singles only, WTA+ATP market coverage, not yet locked-holdout qualified -- promoted by explicit operator directive, not genuine walk-forward validation.</t>
        </is>
      </c>
      <c r="AG554" s="24" t="inlineStr">
        <is>
          <t>review_required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Lucrezia Stefanini</t>
        </is>
      </c>
      <c r="AQ554" s="24" t="inlineStr">
        <is>
          <t>Lucrezia Stefanini</t>
        </is>
      </c>
      <c r="AR554" s="24" t="inlineStr">
        <is>
          <t>Lucrezia Stefanini</t>
        </is>
      </c>
      <c r="AS554" s="24" t="inlineStr">
        <is>
          <t>Julieta Pareja</t>
        </is>
      </c>
      <c r="AT554" s="24" t="inlineStr">
        <is>
          <t>Julieta Pareja</t>
        </is>
      </c>
      <c r="AU554" s="24" t="inlineStr">
        <is>
          <t>Julieta Pareja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0ce66f49b381187fe6255a40ca2fdbfc155d5e36125ccf6d30fe81a72962eafa</t>
        </is>
      </c>
      <c r="BB554" s="24" t="inlineStr">
        <is>
          <t>surface_blended_elo</t>
        </is>
      </c>
      <c r="BC554" s="24" t="inlineStr">
        <is>
          <t>tennis-surface-elo-v1</t>
        </is>
      </c>
      <c r="BD554" s="24" t="inlineStr">
        <is>
          <t>0ce66f49b381187fe6255a40ca2fdbfc155d5e36125ccf6d30fe81a72962eafa</t>
        </is>
      </c>
      <c r="BE554" s="24" t="inlineStr">
        <is>
          <t>tennis-surface-elo-v1</t>
        </is>
      </c>
      <c r="BF554" s="24" t="inlineStr">
        <is>
          <t>1</t>
        </is>
      </c>
      <c r="BG554" s="24" t="inlineStr">
        <is>
          <t>0ce66f49b381187fe6255a40ca2fdbfc155d5e36125ccf6d30fe81a72962eafa</t>
        </is>
      </c>
      <c r="BH554" s="24" t="inlineStr">
        <is>
          <t>2026-09-07T22:03:48.289263Z</t>
        </is>
      </c>
      <c r="BI554" s="24" t="inlineStr">
        <is>
          <t>["same_event","same_team_same_day","same_league_same_day"]</t>
        </is>
      </c>
      <c r="BJ554" s="25" t="n"/>
      <c r="BK554" s="26" t="n">
        <v>-113</v>
      </c>
      <c r="BL554" s="27" t="n">
        <v>1.884956</v>
      </c>
      <c r="BM554" s="28" t="n">
        <v>0.530516</v>
      </c>
      <c r="BN554" s="28" t="n"/>
      <c r="BO554" s="28" t="n"/>
      <c r="BP554" s="25" t="n"/>
      <c r="BQ554" s="27" t="n">
        <v>1.884956</v>
      </c>
      <c r="BR554" s="28" t="n">
        <v>0.53</v>
      </c>
      <c r="BS554" s="28" t="n"/>
      <c r="BT554" s="28" t="n"/>
      <c r="BU554" s="25" t="n"/>
      <c r="BV554" s="29" t="n"/>
      <c r="BW554" s="24" t="n"/>
      <c r="BX554" s="30" t="n">
        <v>1</v>
      </c>
      <c r="BY554" s="27" t="n">
        <v>-1</v>
      </c>
      <c r="BZ554" s="24" t="inlineStr">
        <is>
          <t>2026-09-08T04:31:01.175391Z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inlineStr">
        <is>
          <t>62b87f7427a39d4666117a1f904494f5e55ba4c4da75a4798f5a2d225c548216</t>
        </is>
      </c>
      <c r="DE554" s="24" t="inlineStr">
        <is>
          <t>/Users/vincentc9002/model-prediction/data/odds/tennis/2026-09-07/polymarket_snapshots.jsonl</t>
        </is>
      </c>
      <c r="DF554" s="24" t="inlineStr">
        <is>
          <t>713633:2026-09-07T22:03:48.289263Z</t>
        </is>
      </c>
      <c r="DG554" s="24" t="n"/>
      <c r="DH554" s="24" t="n"/>
      <c r="DI554" s="24" t="n"/>
      <c r="DJ554" s="24" t="inlineStr">
        <is>
          <t>0.530516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9a416f2f513a4ba1</t>
        </is>
      </c>
      <c r="B555" s="24" t="inlineStr">
        <is>
          <t>2026-09-07T22:04:13.917534Z</t>
        </is>
      </c>
      <c r="C555" s="24" t="inlineStr">
        <is>
          <t>2026-09-08T00:30Z</t>
        </is>
      </c>
      <c r="D555" s="24" t="inlineStr">
        <is>
          <t>189-2026:182682</t>
        </is>
      </c>
      <c r="E555" s="24" t="inlineStr">
        <is>
          <t>TENNIS</t>
        </is>
      </c>
      <c r="F555" s="24" t="inlineStr">
        <is>
          <t>Luciano Darderi</t>
        </is>
      </c>
      <c r="G555" s="24" t="inlineStr">
        <is>
          <t>Alexander Zverev</t>
        </is>
      </c>
      <c r="H555" s="24" t="inlineStr">
        <is>
          <t>moneyline</t>
        </is>
      </c>
      <c r="I555" s="24" t="inlineStr">
        <is>
          <t>home</t>
        </is>
      </c>
      <c r="J555" s="25" t="n"/>
      <c r="K555" s="24" t="inlineStr">
        <is>
          <t>polymarket_us</t>
        </is>
      </c>
      <c r="L555" s="26" t="n">
        <v>-770</v>
      </c>
      <c r="M555" s="27" t="n">
        <v>1.12987</v>
      </c>
      <c r="N555" s="28" t="n">
        <v>0.885057</v>
      </c>
      <c r="O555" s="28" t="n">
        <v>0.7665999999999999</v>
      </c>
      <c r="P555" s="28" t="n">
        <v>0.05</v>
      </c>
      <c r="Q555" s="28" t="n">
        <v>-0.118457</v>
      </c>
      <c r="R555" s="26" t="n">
        <v>0</v>
      </c>
      <c r="S555" s="29" t="n">
        <v>1</v>
      </c>
      <c r="T555" s="24" t="inlineStr">
        <is>
          <t>tennis-surface-elo-v1</t>
        </is>
      </c>
      <c r="U555" s="24" t="inlineStr">
        <is>
          <t>settled</t>
        </is>
      </c>
      <c r="V555" s="24" t="inlineStr">
        <is>
          <t>win</t>
        </is>
      </c>
      <c r="W555" s="26" t="n">
        <v>0</v>
      </c>
      <c r="X555" s="26" t="n">
        <v>1</v>
      </c>
      <c r="Y555" s="25" t="n"/>
      <c r="Z555" s="26" t="n">
        <v>-770</v>
      </c>
      <c r="AA555" s="28" t="n">
        <v>0.885</v>
      </c>
      <c r="AB555" s="28" t="n">
        <v>-5.7e-05</v>
      </c>
      <c r="AC555" s="30" t="n">
        <v>0.1299</v>
      </c>
      <c r="AD555" s="24" t="inlineStr">
        <is>
          <t>2026-09-08T04:31:03.354175Z</t>
        </is>
      </c>
      <c r="AE555" s="31" t="inlineStr">
        <is>
          <t>Surface-blended Elo on Hard: Luciano Darderi p=0.233 vs Alexander Zverev. Executable ask 0.8850 (aec-atp-alezve-lucdar-2026-09-07).</t>
        </is>
      </c>
      <c r="AF555" s="31" t="inlineStr">
        <is>
          <t>Surface-blended Elo model; singles only, WTA+ATP market coverage, not yet locked-holdout qualified -- promoted by explicit operator directive, not genuine walk-forward validation.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PAPER_CALL_LOW_EDGE</t>
        </is>
      </c>
      <c r="AP555" s="24" t="inlineStr">
        <is>
          <t>Luciano Darderi</t>
        </is>
      </c>
      <c r="AQ555" s="24" t="inlineStr">
        <is>
          <t>Luciano Darderi</t>
        </is>
      </c>
      <c r="AR555" s="24" t="inlineStr">
        <is>
          <t>Luciano Darderi</t>
        </is>
      </c>
      <c r="AS555" s="24" t="inlineStr">
        <is>
          <t>Alexander Zverev</t>
        </is>
      </c>
      <c r="AT555" s="24" t="inlineStr">
        <is>
          <t>Alexander Zverev</t>
        </is>
      </c>
      <c r="AU555" s="24" t="inlineStr">
        <is>
          <t>Alexander Zverev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0ce66f49b381187fe6255a40ca2fdbfc155d5e36125ccf6d30fe81a72962eafa</t>
        </is>
      </c>
      <c r="BB555" s="24" t="inlineStr">
        <is>
          <t>surface_blended_elo</t>
        </is>
      </c>
      <c r="BC555" s="24" t="inlineStr">
        <is>
          <t>tennis-surface-elo-v1</t>
        </is>
      </c>
      <c r="BD555" s="24" t="inlineStr">
        <is>
          <t>0ce66f49b381187fe6255a40ca2fdbfc155d5e36125ccf6d30fe81a72962eafa</t>
        </is>
      </c>
      <c r="BE555" s="24" t="inlineStr">
        <is>
          <t>tennis-surface-elo-v1</t>
        </is>
      </c>
      <c r="BF555" s="24" t="inlineStr">
        <is>
          <t>1</t>
        </is>
      </c>
      <c r="BG555" s="24" t="inlineStr">
        <is>
          <t>0ce66f49b381187fe6255a40ca2fdbfc155d5e36125ccf6d30fe81a72962eafa</t>
        </is>
      </c>
      <c r="BH555" s="24" t="inlineStr">
        <is>
          <t>2026-09-07T22:03:48.932216Z</t>
        </is>
      </c>
      <c r="BI555" s="24" t="inlineStr">
        <is>
          <t>["same_event","same_team_same_day","same_league_same_day"]</t>
        </is>
      </c>
      <c r="BJ555" s="25" t="n"/>
      <c r="BK555" s="26" t="n">
        <v>-770</v>
      </c>
      <c r="BL555" s="27" t="n">
        <v>1.12987</v>
      </c>
      <c r="BM555" s="28" t="n">
        <v>0.885057</v>
      </c>
      <c r="BN555" s="28" t="n"/>
      <c r="BO555" s="28" t="n"/>
      <c r="BP555" s="25" t="n"/>
      <c r="BQ555" s="27" t="n">
        <v>1.12987</v>
      </c>
      <c r="BR555" s="28" t="n">
        <v>0.885</v>
      </c>
      <c r="BS555" s="28" t="n"/>
      <c r="BT555" s="28" t="n"/>
      <c r="BU555" s="25" t="n"/>
      <c r="BV555" s="29" t="n"/>
      <c r="BW555" s="24" t="n"/>
      <c r="BX555" s="30" t="n">
        <v>1</v>
      </c>
      <c r="BY555" s="27" t="n">
        <v>0.129871</v>
      </c>
      <c r="BZ555" s="24" t="inlineStr">
        <is>
          <t>2026-09-08T04:31:03.354175Z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inlineStr">
        <is>
          <t>134fb70276fc573146defc1b07ab645ee044958118a7daf9f8599d81cb7696c1</t>
        </is>
      </c>
      <c r="DE555" s="24" t="inlineStr">
        <is>
          <t>/Users/vincentc9002/model-prediction/data/odds/tennis/2026-09-07/polymarket_snapshots.jsonl</t>
        </is>
      </c>
      <c r="DF555" s="24" t="inlineStr">
        <is>
          <t>696958:2026-09-07T22:03:48.932216Z</t>
        </is>
      </c>
      <c r="DG555" s="24" t="n"/>
      <c r="DH555" s="24" t="n"/>
      <c r="DI555" s="24" t="n"/>
      <c r="DJ555" s="24" t="inlineStr">
        <is>
          <t>0.885057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4a8c398d2981422c</t>
        </is>
      </c>
      <c r="B556" s="24" t="inlineStr">
        <is>
          <t>2026-09-08T04:34:52.149310Z</t>
        </is>
      </c>
      <c r="C556" s="24" t="inlineStr">
        <is>
          <t>2026-09-08T09:00Z</t>
        </is>
      </c>
      <c r="D556" s="24" t="inlineStr">
        <is>
          <t>998-2026:183585</t>
        </is>
      </c>
      <c r="E556" s="24" t="inlineStr">
        <is>
          <t>TENNIS</t>
        </is>
      </c>
      <c r="F556" s="24" t="inlineStr">
        <is>
          <t>Alina Granwehr</t>
        </is>
      </c>
      <c r="G556" s="24" t="inlineStr">
        <is>
          <t>Lucie Nguyen Tan</t>
        </is>
      </c>
      <c r="H556" s="24" t="inlineStr">
        <is>
          <t>moneyline</t>
        </is>
      </c>
      <c r="I556" s="24" t="inlineStr">
        <is>
          <t>home</t>
        </is>
      </c>
      <c r="J556" s="25" t="n"/>
      <c r="K556" s="24" t="inlineStr">
        <is>
          <t>polymarket_us</t>
        </is>
      </c>
      <c r="L556" s="26" t="n">
        <v>163</v>
      </c>
      <c r="M556" s="27" t="n">
        <v>2.63</v>
      </c>
      <c r="N556" s="28" t="n">
        <v>0.380228</v>
      </c>
      <c r="O556" s="28" t="n">
        <v>0.5694</v>
      </c>
      <c r="P556" s="28" t="n">
        <v>0.05</v>
      </c>
      <c r="Q556" s="28" t="n">
        <v>0.189172</v>
      </c>
      <c r="R556" s="26" t="n">
        <v>100</v>
      </c>
      <c r="S556" s="29" t="n">
        <v>2</v>
      </c>
      <c r="T556" s="24" t="inlineStr">
        <is>
          <t>tennis-surface-elo-v1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</v>
      </c>
      <c r="X556" s="26" t="n">
        <v>0</v>
      </c>
      <c r="Y556" s="25" t="n"/>
      <c r="Z556" s="26" t="n">
        <v>163</v>
      </c>
      <c r="AA556" s="28" t="n">
        <v>0.38</v>
      </c>
      <c r="AB556" s="28" t="n">
        <v>-0.000228</v>
      </c>
      <c r="AC556" s="30" t="n">
        <v>-2</v>
      </c>
      <c r="AD556" s="24" t="inlineStr">
        <is>
          <t>2026-09-08T16:00:20.923362Z</t>
        </is>
      </c>
      <c r="AE556" s="31" t="inlineStr">
        <is>
          <t>Surface-blended Elo on Hard: Alina Granwehr p=0.431 vs Lucie Nguyen Tan. Executable ask 0.3800 (aec-wta-luctan-aligra-2026-09-08).</t>
        </is>
      </c>
      <c r="AF556" s="31" t="inlineStr">
        <is>
          <t>Surface-blended Elo model; singles only, WTA+ATP market coverage, not yet locked-holdout qualified -- promoted by explicit operator directive, not genuine walk-forward validation.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Alina Granwehr</t>
        </is>
      </c>
      <c r="AQ556" s="24" t="inlineStr">
        <is>
          <t>Alina Granwehr</t>
        </is>
      </c>
      <c r="AR556" s="24" t="inlineStr">
        <is>
          <t>Alina Granwehr</t>
        </is>
      </c>
      <c r="AS556" s="24" t="inlineStr">
        <is>
          <t>Lucie Nguyen Tan</t>
        </is>
      </c>
      <c r="AT556" s="24" t="inlineStr">
        <is>
          <t>Lucie Nguyen Tan</t>
        </is>
      </c>
      <c r="AU556" s="24" t="inlineStr">
        <is>
          <t>Lucie Nguyen Tan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0ce66f49b381187fe6255a40ca2fdbfc155d5e36125ccf6d30fe81a72962eafa</t>
        </is>
      </c>
      <c r="BB556" s="24" t="inlineStr">
        <is>
          <t>surface_blended_elo</t>
        </is>
      </c>
      <c r="BC556" s="24" t="inlineStr">
        <is>
          <t>tennis-surface-elo-v1</t>
        </is>
      </c>
      <c r="BD556" s="24" t="inlineStr">
        <is>
          <t>0ce66f49b381187fe6255a40ca2fdbfc155d5e36125ccf6d30fe81a72962eafa</t>
        </is>
      </c>
      <c r="BE556" s="24" t="inlineStr">
        <is>
          <t>tennis-surface-elo-v1</t>
        </is>
      </c>
      <c r="BF556" s="24" t="inlineStr">
        <is>
          <t>1</t>
        </is>
      </c>
      <c r="BG556" s="24" t="inlineStr">
        <is>
          <t>0ce66f49b381187fe6255a40ca2fdbfc155d5e36125ccf6d30fe81a72962eafa</t>
        </is>
      </c>
      <c r="BH556" s="24" t="inlineStr">
        <is>
          <t>2026-09-08T04:33:39.552528Z</t>
        </is>
      </c>
      <c r="BI556" s="24" t="inlineStr">
        <is>
          <t>["same_event","same_team_same_day","same_league_same_day"]</t>
        </is>
      </c>
      <c r="BJ556" s="25" t="n"/>
      <c r="BK556" s="26" t="n">
        <v>163</v>
      </c>
      <c r="BL556" s="27" t="n">
        <v>2.63</v>
      </c>
      <c r="BM556" s="28" t="n">
        <v>0.380228</v>
      </c>
      <c r="BN556" s="28" t="n"/>
      <c r="BO556" s="28" t="n"/>
      <c r="BP556" s="25" t="n"/>
      <c r="BQ556" s="27" t="n">
        <v>2.63</v>
      </c>
      <c r="BR556" s="28" t="n">
        <v>0.38</v>
      </c>
      <c r="BS556" s="28" t="n"/>
      <c r="BT556" s="28" t="n"/>
      <c r="BU556" s="25" t="n"/>
      <c r="BV556" s="29" t="n"/>
      <c r="BW556" s="24" t="n"/>
      <c r="BX556" s="30" t="n">
        <v>1</v>
      </c>
      <c r="BY556" s="27" t="n">
        <v>-1</v>
      </c>
      <c r="BZ556" s="24" t="inlineStr">
        <is>
          <t>2026-09-08T16:00:20.923362Z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inlineStr">
        <is>
          <t>111cdc4e632c6acabfdd1ef777dd91f198e5d3cacb440eca6ff0c1d9ace40146</t>
        </is>
      </c>
      <c r="DE556" s="24" t="inlineStr">
        <is>
          <t>/Users/vincentc9002/model-prediction/data/odds/tennis/2026-09-08/polymarket_snapshots.jsonl</t>
        </is>
      </c>
      <c r="DF556" s="24" t="inlineStr">
        <is>
          <t>719073:2026-09-08T04:33:39.552528Z</t>
        </is>
      </c>
      <c r="DG556" s="24" t="n"/>
      <c r="DH556" s="24" t="n"/>
      <c r="DI556" s="24" t="n"/>
      <c r="DJ556" s="24" t="inlineStr">
        <is>
          <t>0.380228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924ea4bfd4ff4735</t>
        </is>
      </c>
      <c r="B557" s="24" t="inlineStr">
        <is>
          <t>2026-09-08T04:34:52.149310Z</t>
        </is>
      </c>
      <c r="C557" s="24" t="inlineStr">
        <is>
          <t>2026-09-08T09:00Z</t>
        </is>
      </c>
      <c r="D557" s="24" t="inlineStr">
        <is>
          <t>998-2026:183597</t>
        </is>
      </c>
      <c r="E557" s="24" t="inlineStr">
        <is>
          <t>TENNIS</t>
        </is>
      </c>
      <c r="F557" s="24" t="inlineStr">
        <is>
          <t>Angela Fita Boluda</t>
        </is>
      </c>
      <c r="G557" s="24" t="inlineStr">
        <is>
          <t>Andrea Lazaro Garcia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polymarket_us</t>
        </is>
      </c>
      <c r="L557" s="26" t="n">
        <v>-186</v>
      </c>
      <c r="M557" s="27" t="n">
        <v>1.537634</v>
      </c>
      <c r="N557" s="28" t="n">
        <v>0.65035</v>
      </c>
      <c r="O557" s="28" t="n">
        <v>0.6768</v>
      </c>
      <c r="P557" s="28" t="n">
        <v>0.05</v>
      </c>
      <c r="Q557" s="28" t="n">
        <v>0.02645</v>
      </c>
      <c r="R557" s="26" t="n">
        <v>33</v>
      </c>
      <c r="S557" s="29" t="n">
        <v>1</v>
      </c>
      <c r="T557" s="24" t="inlineStr">
        <is>
          <t>tennis-surface-elo-v1</t>
        </is>
      </c>
      <c r="U557" s="24" t="inlineStr">
        <is>
          <t>settled</t>
        </is>
      </c>
      <c r="V557" s="24" t="inlineStr">
        <is>
          <t>win</t>
        </is>
      </c>
      <c r="W557" s="26" t="n">
        <v>0</v>
      </c>
      <c r="X557" s="26" t="n">
        <v>1</v>
      </c>
      <c r="Y557" s="25" t="n"/>
      <c r="Z557" s="26" t="n">
        <v>-186</v>
      </c>
      <c r="AA557" s="28" t="n">
        <v>0.65</v>
      </c>
      <c r="AB557" s="28" t="n">
        <v>-0.00035</v>
      </c>
      <c r="AC557" s="30" t="n">
        <v>0.5376</v>
      </c>
      <c r="AD557" s="24" t="inlineStr">
        <is>
          <t>2026-09-08T16:00:23.339213Z</t>
        </is>
      </c>
      <c r="AE557" s="31" t="inlineStr">
        <is>
          <t>Surface-blended Elo on Hard: Angela Fita Boluda p=0.323 vs Andrea Lazaro Garcia. Executable ask 0.6500 (aec-wta-andgar-angbol-2026-09-07).</t>
        </is>
      </c>
      <c r="AF557" s="31" t="inlineStr">
        <is>
          <t>Surface-blended Elo model; singles only, WTA+ATP market coverage, not yet locked-holdout qualified -- promoted by explicit operator directive, not genuine walk-forward validation.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Angela Fita Boluda</t>
        </is>
      </c>
      <c r="AQ557" s="24" t="inlineStr">
        <is>
          <t>Angela Fita Boluda</t>
        </is>
      </c>
      <c r="AR557" s="24" t="inlineStr">
        <is>
          <t>Angela Fita Boluda</t>
        </is>
      </c>
      <c r="AS557" s="24" t="inlineStr">
        <is>
          <t>Andrea Lazaro Garcia</t>
        </is>
      </c>
      <c r="AT557" s="24" t="inlineStr">
        <is>
          <t>Andrea Lazaro Garcia</t>
        </is>
      </c>
      <c r="AU557" s="24" t="inlineStr">
        <is>
          <t>Andrea Lazaro Garcia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0ce66f49b381187fe6255a40ca2fdbfc155d5e36125ccf6d30fe81a72962eafa</t>
        </is>
      </c>
      <c r="BB557" s="24" t="inlineStr">
        <is>
          <t>surface_blended_elo</t>
        </is>
      </c>
      <c r="BC557" s="24" t="inlineStr">
        <is>
          <t>tennis-surface-elo-v1</t>
        </is>
      </c>
      <c r="BD557" s="24" t="inlineStr">
        <is>
          <t>0ce66f49b381187fe6255a40ca2fdbfc155d5e36125ccf6d30fe81a72962eafa</t>
        </is>
      </c>
      <c r="BE557" s="24" t="inlineStr">
        <is>
          <t>tennis-surface-elo-v1</t>
        </is>
      </c>
      <c r="BF557" s="24" t="inlineStr">
        <is>
          <t>1</t>
        </is>
      </c>
      <c r="BG557" s="24" t="inlineStr">
        <is>
          <t>0ce66f49b381187fe6255a40ca2fdbfc155d5e36125ccf6d30fe81a72962eafa</t>
        </is>
      </c>
      <c r="BH557" s="24" t="inlineStr">
        <is>
          <t>2026-09-08T04:33:39.564197Z</t>
        </is>
      </c>
      <c r="BI557" s="24" t="inlineStr">
        <is>
          <t>["same_event","same_team_same_day","same_league_same_day"]</t>
        </is>
      </c>
      <c r="BJ557" s="25" t="n"/>
      <c r="BK557" s="26" t="n">
        <v>-186</v>
      </c>
      <c r="BL557" s="27" t="n">
        <v>1.537634</v>
      </c>
      <c r="BM557" s="28" t="n">
        <v>0.65035</v>
      </c>
      <c r="BN557" s="28" t="n"/>
      <c r="BO557" s="28" t="n"/>
      <c r="BP557" s="25" t="n"/>
      <c r="BQ557" s="27" t="n">
        <v>1.537634</v>
      </c>
      <c r="BR557" s="28" t="n">
        <v>0.65</v>
      </c>
      <c r="BS557" s="28" t="n"/>
      <c r="BT557" s="28" t="n"/>
      <c r="BU557" s="25" t="n"/>
      <c r="BV557" s="29" t="n"/>
      <c r="BW557" s="24" t="n"/>
      <c r="BX557" s="30" t="n">
        <v>1</v>
      </c>
      <c r="BY557" s="27" t="n">
        <v>0.5376339999999999</v>
      </c>
      <c r="BZ557" s="24" t="inlineStr">
        <is>
          <t>2026-09-08T16:00:23.339213Z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inlineStr">
        <is>
          <t>5a19825258214006b03163430b86102da1c55007bb4c0ed08a9f77dbee469154</t>
        </is>
      </c>
      <c r="DE557" s="24" t="inlineStr">
        <is>
          <t>/Users/vincentc9002/model-prediction/data/odds/tennis/2026-09-08/polymarket_snapshots.jsonl</t>
        </is>
      </c>
      <c r="DF557" s="24" t="inlineStr">
        <is>
          <t>691085:2026-09-08T04:33:39.564197Z</t>
        </is>
      </c>
      <c r="DG557" s="24" t="n"/>
      <c r="DH557" s="24" t="n"/>
      <c r="DI557" s="24" t="n"/>
      <c r="DJ557" s="24" t="inlineStr">
        <is>
          <t>0.65035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47eca782ca4043fd</t>
        </is>
      </c>
      <c r="B558" s="24" t="inlineStr">
        <is>
          <t>2026-09-08T04:34:52.149310Z</t>
        </is>
      </c>
      <c r="C558" s="24" t="inlineStr">
        <is>
          <t>2026-09-08T07:30Z</t>
        </is>
      </c>
      <c r="D558" s="24" t="inlineStr">
        <is>
          <t>1076-2026:183531</t>
        </is>
      </c>
      <c r="E558" s="24" t="inlineStr">
        <is>
          <t>TENNIS</t>
        </is>
      </c>
      <c r="F558" s="24" t="inlineStr">
        <is>
          <t>Katarzyna Kawa</t>
        </is>
      </c>
      <c r="G558" s="24" t="inlineStr">
        <is>
          <t>Eva Bennemann</t>
        </is>
      </c>
      <c r="H558" s="24" t="inlineStr">
        <is>
          <t>moneyline</t>
        </is>
      </c>
      <c r="I558" s="24" t="inlineStr">
        <is>
          <t>away</t>
        </is>
      </c>
      <c r="J558" s="25" t="n"/>
      <c r="K558" s="24" t="inlineStr">
        <is>
          <t>polymarket_us</t>
        </is>
      </c>
      <c r="L558" s="26" t="n">
        <v>-257</v>
      </c>
      <c r="M558" s="27" t="n">
        <v>1.389105</v>
      </c>
      <c r="N558" s="28" t="n">
        <v>0.719888</v>
      </c>
      <c r="O558" s="28" t="n">
        <v>0.6385999999999999</v>
      </c>
      <c r="P558" s="28" t="n">
        <v>0.05</v>
      </c>
      <c r="Q558" s="28" t="n">
        <v>-0.081288</v>
      </c>
      <c r="R558" s="26" t="n">
        <v>0</v>
      </c>
      <c r="S558" s="29" t="n">
        <v>1</v>
      </c>
      <c r="T558" s="24" t="inlineStr">
        <is>
          <t>tennis-surface-elo-v1</t>
        </is>
      </c>
      <c r="U558" s="24" t="inlineStr">
        <is>
          <t>settled</t>
        </is>
      </c>
      <c r="V558" s="24" t="inlineStr">
        <is>
          <t>loss</t>
        </is>
      </c>
      <c r="W558" s="26" t="n">
        <v>0</v>
      </c>
      <c r="X558" s="26" t="n">
        <v>1</v>
      </c>
      <c r="Y558" s="25" t="n"/>
      <c r="Z558" s="26" t="n">
        <v>-257</v>
      </c>
      <c r="AA558" s="28" t="n">
        <v>0.72</v>
      </c>
      <c r="AB558" s="28" t="n">
        <v>0.000112</v>
      </c>
      <c r="AC558" s="30" t="n">
        <v>-1</v>
      </c>
      <c r="AD558" s="24" t="inlineStr">
        <is>
          <t>2026-09-08T10:00:16.298275Z</t>
        </is>
      </c>
      <c r="AE558" s="31" t="inlineStr">
        <is>
          <t>Surface-blended Elo on Hard: Katarzyna Kawa p=0.639 vs Eva Bennemann. Executable ask 0.7200 (aec-wta-evaben-katkaw-2026-09-07).</t>
        </is>
      </c>
      <c r="AF558" s="31" t="inlineStr">
        <is>
          <t>Surface-blended Elo model; singles only, WTA+ATP market coverage, not yet locked-holdout qualified -- promoted by explicit operator directive, not genuine walk-forward validation.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Katarzyna Kawa</t>
        </is>
      </c>
      <c r="AQ558" s="24" t="inlineStr">
        <is>
          <t>Katarzyna Kawa</t>
        </is>
      </c>
      <c r="AR558" s="24" t="inlineStr">
        <is>
          <t>Katarzyna Kawa</t>
        </is>
      </c>
      <c r="AS558" s="24" t="inlineStr">
        <is>
          <t>Eva Bennemann</t>
        </is>
      </c>
      <c r="AT558" s="24" t="inlineStr">
        <is>
          <t>Eva Bennemann</t>
        </is>
      </c>
      <c r="AU558" s="24" t="inlineStr">
        <is>
          <t>Eva Bennemann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0ce66f49b381187fe6255a40ca2fdbfc155d5e36125ccf6d30fe81a72962eafa</t>
        </is>
      </c>
      <c r="BB558" s="24" t="inlineStr">
        <is>
          <t>surface_blended_elo</t>
        </is>
      </c>
      <c r="BC558" s="24" t="inlineStr">
        <is>
          <t>tennis-surface-elo-v1</t>
        </is>
      </c>
      <c r="BD558" s="24" t="inlineStr">
        <is>
          <t>0ce66f49b381187fe6255a40ca2fdbfc155d5e36125ccf6d30fe81a72962eafa</t>
        </is>
      </c>
      <c r="BE558" s="24" t="inlineStr">
        <is>
          <t>tennis-surface-elo-v1</t>
        </is>
      </c>
      <c r="BF558" s="24" t="inlineStr">
        <is>
          <t>1</t>
        </is>
      </c>
      <c r="BG558" s="24" t="inlineStr">
        <is>
          <t>0ce66f49b381187fe6255a40ca2fdbfc155d5e36125ccf6d30fe81a72962eafa</t>
        </is>
      </c>
      <c r="BH558" s="24" t="inlineStr">
        <is>
          <t>2026-09-08T04:33:39.537795Z</t>
        </is>
      </c>
      <c r="BI558" s="24" t="inlineStr">
        <is>
          <t>["same_event","same_team_same_day","same_league_same_day"]</t>
        </is>
      </c>
      <c r="BJ558" s="25" t="n"/>
      <c r="BK558" s="26" t="n">
        <v>-257</v>
      </c>
      <c r="BL558" s="27" t="n">
        <v>1.389105</v>
      </c>
      <c r="BM558" s="28" t="n">
        <v>0.719888</v>
      </c>
      <c r="BN558" s="28" t="n"/>
      <c r="BO558" s="28" t="n"/>
      <c r="BP558" s="25" t="n"/>
      <c r="BQ558" s="27" t="n">
        <v>1.389105</v>
      </c>
      <c r="BR558" s="28" t="n">
        <v>0.72</v>
      </c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2026-09-08T10:00:16.298275Z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inlineStr">
        <is>
          <t>67ccee917b2cb398827d099517ab77619e67921017fa9417c2e5344d6a602904</t>
        </is>
      </c>
      <c r="DE558" s="24" t="inlineStr">
        <is>
          <t>/Users/vincentc9002/model-prediction/data/odds/tennis/2026-09-08/polymarket_snapshots.jsonl</t>
        </is>
      </c>
      <c r="DF558" s="24" t="inlineStr">
        <is>
          <t>707246:2026-09-08T04:33:39.537795Z</t>
        </is>
      </c>
      <c r="DG558" s="24" t="n"/>
      <c r="DH558" s="24" t="n"/>
      <c r="DI558" s="24" t="n"/>
      <c r="DJ558" s="24" t="inlineStr">
        <is>
          <t>0.719888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f0d541889f7646ab</t>
        </is>
      </c>
      <c r="B559" s="24" t="inlineStr">
        <is>
          <t>2026-09-08T04:34:52.149310Z</t>
        </is>
      </c>
      <c r="C559" s="24" t="inlineStr">
        <is>
          <t>2026-09-08T07:30Z</t>
        </is>
      </c>
      <c r="D559" s="24" t="inlineStr">
        <is>
          <t>1076-2026:183534</t>
        </is>
      </c>
      <c r="E559" s="24" t="inlineStr">
        <is>
          <t>TENNIS</t>
        </is>
      </c>
      <c r="F559" s="24" t="inlineStr">
        <is>
          <t>Gina Feistel</t>
        </is>
      </c>
      <c r="G559" s="24" t="inlineStr">
        <is>
          <t>Maria Lourdes Carle</t>
        </is>
      </c>
      <c r="H559" s="24" t="inlineStr">
        <is>
          <t>moneyline</t>
        </is>
      </c>
      <c r="I559" s="24" t="inlineStr">
        <is>
          <t>away</t>
        </is>
      </c>
      <c r="J559" s="25" t="n"/>
      <c r="K559" s="24" t="inlineStr">
        <is>
          <t>polymarket_us</t>
        </is>
      </c>
      <c r="L559" s="26" t="n">
        <v>150</v>
      </c>
      <c r="M559" s="27" t="n">
        <v>2.5</v>
      </c>
      <c r="N559" s="28" t="n">
        <v>0.4</v>
      </c>
      <c r="O559" s="28" t="n">
        <v>0.5138</v>
      </c>
      <c r="P559" s="28" t="n">
        <v>0.05</v>
      </c>
      <c r="Q559" s="28" t="n">
        <v>0.1138</v>
      </c>
      <c r="R559" s="26" t="n">
        <v>77</v>
      </c>
      <c r="S559" s="29" t="n">
        <v>1.5</v>
      </c>
      <c r="T559" s="24" t="inlineStr">
        <is>
          <t>tennis-surface-elo-v1</t>
        </is>
      </c>
      <c r="U559" s="24" t="inlineStr">
        <is>
          <t>settled</t>
        </is>
      </c>
      <c r="V559" s="24" t="inlineStr">
        <is>
          <t>loss</t>
        </is>
      </c>
      <c r="W559" s="26" t="n">
        <v>0</v>
      </c>
      <c r="X559" s="26" t="n">
        <v>1</v>
      </c>
      <c r="Y559" s="25" t="n"/>
      <c r="Z559" s="26" t="n">
        <v>150</v>
      </c>
      <c r="AA559" s="28" t="n">
        <v>0.4</v>
      </c>
      <c r="AB559" s="28" t="n">
        <v>0</v>
      </c>
      <c r="AC559" s="30" t="n">
        <v>-1.5</v>
      </c>
      <c r="AD559" s="24" t="inlineStr">
        <is>
          <t>2026-09-08T16:00:25.581084Z</t>
        </is>
      </c>
      <c r="AE559" s="31" t="inlineStr">
        <is>
          <t>Surface-blended Elo on Hard: Gina Feistel p=0.514 vs Maria Lourdes Carle. Executable ask 0.4000 (aec-wta-marcar-ginfei-2026-09-07).</t>
        </is>
      </c>
      <c r="AF559" s="31" t="inlineStr">
        <is>
          <t>Surface-blended Elo model; singles only, WTA+ATP market coverage, not yet locked-holdout qualified -- promoted by explicit operator directive, not genuine walk-forward validation.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PAPER_CALL_LOW_EDGE</t>
        </is>
      </c>
      <c r="AP559" s="24" t="inlineStr">
        <is>
          <t>Gina Feistel</t>
        </is>
      </c>
      <c r="AQ559" s="24" t="inlineStr">
        <is>
          <t>Gina Feistel</t>
        </is>
      </c>
      <c r="AR559" s="24" t="inlineStr">
        <is>
          <t>Gina Feistel</t>
        </is>
      </c>
      <c r="AS559" s="24" t="inlineStr">
        <is>
          <t>Maria Lourdes Carle</t>
        </is>
      </c>
      <c r="AT559" s="24" t="inlineStr">
        <is>
          <t>Maria Lourdes Carle</t>
        </is>
      </c>
      <c r="AU559" s="24" t="inlineStr">
        <is>
          <t>Maria Lourdes Carle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0ce66f49b381187fe6255a40ca2fdbfc155d5e36125ccf6d30fe81a72962eafa</t>
        </is>
      </c>
      <c r="BB559" s="24" t="inlineStr">
        <is>
          <t>surface_blended_elo</t>
        </is>
      </c>
      <c r="BC559" s="24" t="inlineStr">
        <is>
          <t>tennis-surface-elo-v1</t>
        </is>
      </c>
      <c r="BD559" s="24" t="inlineStr">
        <is>
          <t>0ce66f49b381187fe6255a40ca2fdbfc155d5e36125ccf6d30fe81a72962eafa</t>
        </is>
      </c>
      <c r="BE559" s="24" t="inlineStr">
        <is>
          <t>tennis-surface-elo-v1</t>
        </is>
      </c>
      <c r="BF559" s="24" t="inlineStr">
        <is>
          <t>1</t>
        </is>
      </c>
      <c r="BG559" s="24" t="inlineStr">
        <is>
          <t>0ce66f49b381187fe6255a40ca2fdbfc155d5e36125ccf6d30fe81a72962eafa</t>
        </is>
      </c>
      <c r="BH559" s="24" t="inlineStr">
        <is>
          <t>2026-09-08T04:33:39.548776Z</t>
        </is>
      </c>
      <c r="BI559" s="24" t="inlineStr">
        <is>
          <t>["same_event","same_team_same_day","same_league_same_day"]</t>
        </is>
      </c>
      <c r="BJ559" s="25" t="n"/>
      <c r="BK559" s="26" t="n">
        <v>150</v>
      </c>
      <c r="BL559" s="27" t="n">
        <v>2.5</v>
      </c>
      <c r="BM559" s="28" t="n">
        <v>0.4</v>
      </c>
      <c r="BN559" s="28" t="n"/>
      <c r="BO559" s="28" t="n"/>
      <c r="BP559" s="25" t="n"/>
      <c r="BQ559" s="27" t="n">
        <v>2.5</v>
      </c>
      <c r="BR559" s="28" t="n">
        <v>0.4</v>
      </c>
      <c r="BS559" s="28" t="n"/>
      <c r="BT559" s="28" t="n"/>
      <c r="BU559" s="25" t="n"/>
      <c r="BV559" s="29" t="n"/>
      <c r="BW559" s="24" t="n"/>
      <c r="BX559" s="30" t="n">
        <v>1</v>
      </c>
      <c r="BY559" s="27" t="n">
        <v>-1</v>
      </c>
      <c r="BZ559" s="24" t="inlineStr">
        <is>
          <t>2026-09-08T16:00:25.581084Z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inlineStr">
        <is>
          <t>af353772225318948aab277e4ad1c57f1f050588ccc2c4019b7d2f5ad02be42f</t>
        </is>
      </c>
      <c r="DE559" s="24" t="inlineStr">
        <is>
          <t>/Users/vincentc9002/model-prediction/data/odds/tennis/2026-09-08/polymarket_snapshots.jsonl</t>
        </is>
      </c>
      <c r="DF559" s="24" t="inlineStr">
        <is>
          <t>707237:2026-09-08T04:33:39.548776Z</t>
        </is>
      </c>
      <c r="DG559" s="24" t="n"/>
      <c r="DH559" s="24" t="n"/>
      <c r="DI559" s="24" t="n"/>
      <c r="DJ559" s="24" t="inlineStr">
        <is>
          <t>0.4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2e6f727914cb473f</t>
        </is>
      </c>
      <c r="B560" s="24" t="inlineStr">
        <is>
          <t>2026-09-08T04:34:52.149310Z</t>
        </is>
      </c>
      <c r="C560" s="24" t="inlineStr">
        <is>
          <t>2026-09-08T07:30Z</t>
        </is>
      </c>
      <c r="D560" s="24" t="inlineStr">
        <is>
          <t>1076-2026:183548</t>
        </is>
      </c>
      <c r="E560" s="24" t="inlineStr">
        <is>
          <t>TENNIS</t>
        </is>
      </c>
      <c r="F560" s="24" t="inlineStr">
        <is>
          <t>Alevtina Ibragimova</t>
        </is>
      </c>
      <c r="G560" s="24" t="inlineStr">
        <is>
          <t>Julie Struplova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polymarket_us</t>
        </is>
      </c>
      <c r="L560" s="26" t="n">
        <v>-170</v>
      </c>
      <c r="M560" s="27" t="n">
        <v>1.588235</v>
      </c>
      <c r="N560" s="28" t="n">
        <v>0.62963</v>
      </c>
      <c r="O560" s="28" t="n">
        <v>0.6211</v>
      </c>
      <c r="P560" s="28" t="n">
        <v>0.05</v>
      </c>
      <c r="Q560" s="28" t="n">
        <v>-0.008529999999999999</v>
      </c>
      <c r="R560" s="26" t="n">
        <v>16</v>
      </c>
      <c r="S560" s="29" t="n">
        <v>1</v>
      </c>
      <c r="T560" s="24" t="inlineStr">
        <is>
          <t>tennis-surface-elo-v1</t>
        </is>
      </c>
      <c r="U560" s="24" t="inlineStr">
        <is>
          <t>settled</t>
        </is>
      </c>
      <c r="V560" s="24" t="inlineStr">
        <is>
          <t>win</t>
        </is>
      </c>
      <c r="W560" s="26" t="n">
        <v>1</v>
      </c>
      <c r="X560" s="26" t="n">
        <v>0</v>
      </c>
      <c r="Y560" s="25" t="n"/>
      <c r="Z560" s="26" t="n">
        <v>-170</v>
      </c>
      <c r="AA560" s="28" t="n">
        <v>0.63</v>
      </c>
      <c r="AB560" s="28" t="n">
        <v>0.00037</v>
      </c>
      <c r="AC560" s="30" t="n">
        <v>0.5881999999999999</v>
      </c>
      <c r="AD560" s="24" t="inlineStr">
        <is>
          <t>2026-09-08T10:00:17.357020Z</t>
        </is>
      </c>
      <c r="AE560" s="31" t="inlineStr">
        <is>
          <t>Surface-blended Elo on Hard: Alevtina Ibragimova p=0.621 vs Julie Struplova. Executable ask 0.6300 (aec-wta-julstr-aleibr-2026-09-07).</t>
        </is>
      </c>
      <c r="AF560" s="31" t="inlineStr">
        <is>
          <t>Surface-blended Elo model; singles only, WTA+ATP market coverage, not yet locked-holdout qualified -- promoted by explicit operator directive, not genuine walk-forward validation.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Alevtina Ibragimova</t>
        </is>
      </c>
      <c r="AQ560" s="24" t="inlineStr">
        <is>
          <t>Alevtina Ibragimova</t>
        </is>
      </c>
      <c r="AR560" s="24" t="inlineStr">
        <is>
          <t>Alevtina Ibragimova</t>
        </is>
      </c>
      <c r="AS560" s="24" t="inlineStr">
        <is>
          <t>Julie Struplova</t>
        </is>
      </c>
      <c r="AT560" s="24" t="inlineStr">
        <is>
          <t>Julie Struplova</t>
        </is>
      </c>
      <c r="AU560" s="24" t="inlineStr">
        <is>
          <t>Julie Struplova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0ce66f49b381187fe6255a40ca2fdbfc155d5e36125ccf6d30fe81a72962eafa</t>
        </is>
      </c>
      <c r="BB560" s="24" t="inlineStr">
        <is>
          <t>surface_blended_elo</t>
        </is>
      </c>
      <c r="BC560" s="24" t="inlineStr">
        <is>
          <t>tennis-surface-elo-v1</t>
        </is>
      </c>
      <c r="BD560" s="24" t="inlineStr">
        <is>
          <t>0ce66f49b381187fe6255a40ca2fdbfc155d5e36125ccf6d30fe81a72962eafa</t>
        </is>
      </c>
      <c r="BE560" s="24" t="inlineStr">
        <is>
          <t>tennis-surface-elo-v1</t>
        </is>
      </c>
      <c r="BF560" s="24" t="inlineStr">
        <is>
          <t>1</t>
        </is>
      </c>
      <c r="BG560" s="24" t="inlineStr">
        <is>
          <t>0ce66f49b381187fe6255a40ca2fdbfc155d5e36125ccf6d30fe81a72962eafa</t>
        </is>
      </c>
      <c r="BH560" s="24" t="inlineStr">
        <is>
          <t>2026-09-08T04:33:39.531749Z</t>
        </is>
      </c>
      <c r="BI560" s="24" t="inlineStr">
        <is>
          <t>["same_event","same_team_same_day","same_league_same_day"]</t>
        </is>
      </c>
      <c r="BJ560" s="25" t="n"/>
      <c r="BK560" s="26" t="n">
        <v>-170</v>
      </c>
      <c r="BL560" s="27" t="n">
        <v>1.588235</v>
      </c>
      <c r="BM560" s="28" t="n">
        <v>0.62963</v>
      </c>
      <c r="BN560" s="28" t="n"/>
      <c r="BO560" s="28" t="n"/>
      <c r="BP560" s="25" t="n"/>
      <c r="BQ560" s="27" t="n">
        <v>1.588235</v>
      </c>
      <c r="BR560" s="28" t="n">
        <v>0.63</v>
      </c>
      <c r="BS560" s="28" t="n"/>
      <c r="BT560" s="28" t="n"/>
      <c r="BU560" s="25" t="n"/>
      <c r="BV560" s="29" t="n"/>
      <c r="BW560" s="24" t="n"/>
      <c r="BX560" s="30" t="n">
        <v>1</v>
      </c>
      <c r="BY560" s="27" t="n">
        <v>0.588234</v>
      </c>
      <c r="BZ560" s="24" t="inlineStr">
        <is>
          <t>2026-09-08T10:00:17.357020Z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False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inlineStr">
        <is>
          <t>0a237ca6e67eb8351b05f4bf2c85aa63ae30a9f0d067dd49d11cf506b7b8fd88</t>
        </is>
      </c>
      <c r="DE560" s="24" t="inlineStr">
        <is>
          <t>/Users/vincentc9002/model-prediction/data/odds/tennis/2026-09-08/polymarket_snapshots.jsonl</t>
        </is>
      </c>
      <c r="DF560" s="24" t="inlineStr">
        <is>
          <t>707710:2026-09-08T04:33:39.531749Z</t>
        </is>
      </c>
      <c r="DG560" s="24" t="n"/>
      <c r="DH560" s="24" t="n"/>
      <c r="DI560" s="24" t="n"/>
      <c r="DJ560" s="24" t="inlineStr">
        <is>
          <t>0.62963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bee631c7bfe64854</t>
        </is>
      </c>
      <c r="B561" s="24" t="inlineStr">
        <is>
          <t>2026-09-08T04:34:52.149310Z</t>
        </is>
      </c>
      <c r="C561" s="24" t="inlineStr">
        <is>
          <t>2026-09-08T09:00Z</t>
        </is>
      </c>
      <c r="D561" s="24" t="inlineStr">
        <is>
          <t>1076-2026:183532</t>
        </is>
      </c>
      <c r="E561" s="24" t="inlineStr">
        <is>
          <t>TENNIS</t>
        </is>
      </c>
      <c r="F561" s="24" t="inlineStr">
        <is>
          <t>Eva Vedder</t>
        </is>
      </c>
      <c r="G561" s="24" t="inlineStr">
        <is>
          <t>Samira De Stefano</t>
        </is>
      </c>
      <c r="H561" s="24" t="inlineStr">
        <is>
          <t>moneyline</t>
        </is>
      </c>
      <c r="I561" s="24" t="inlineStr">
        <is>
          <t>home</t>
        </is>
      </c>
      <c r="J561" s="25" t="n"/>
      <c r="K561" s="24" t="inlineStr">
        <is>
          <t>polymarket_us</t>
        </is>
      </c>
      <c r="L561" s="26" t="n">
        <v>-186</v>
      </c>
      <c r="M561" s="27" t="n">
        <v>1.537634</v>
      </c>
      <c r="N561" s="28" t="n">
        <v>0.65035</v>
      </c>
      <c r="O561" s="28" t="n">
        <v>0.5819</v>
      </c>
      <c r="P561" s="28" t="n">
        <v>0.05</v>
      </c>
      <c r="Q561" s="28" t="n">
        <v>-0.06845</v>
      </c>
      <c r="R561" s="26" t="n">
        <v>0</v>
      </c>
      <c r="S561" s="29" t="n">
        <v>1</v>
      </c>
      <c r="T561" s="24" t="inlineStr">
        <is>
          <t>tennis-surface-elo-v1</t>
        </is>
      </c>
      <c r="U561" s="24" t="inlineStr">
        <is>
          <t>settled</t>
        </is>
      </c>
      <c r="V561" s="24" t="inlineStr">
        <is>
          <t>loss</t>
        </is>
      </c>
      <c r="W561" s="26" t="n">
        <v>1</v>
      </c>
      <c r="X561" s="26" t="n">
        <v>0</v>
      </c>
      <c r="Y561" s="25" t="n"/>
      <c r="Z561" s="26" t="n">
        <v>-186</v>
      </c>
      <c r="AA561" s="28" t="n">
        <v>0.65</v>
      </c>
      <c r="AB561" s="28" t="n">
        <v>-0.00035</v>
      </c>
      <c r="AC561" s="30" t="n">
        <v>-1</v>
      </c>
      <c r="AD561" s="24" t="inlineStr">
        <is>
          <t>2026-09-08T16:00:27.803223Z</t>
        </is>
      </c>
      <c r="AE561" s="31" t="inlineStr">
        <is>
          <t>Surface-blended Elo on Hard: Eva Vedder p=0.418 vs Samira De Stefano. Executable ask 0.6500 (aec-wta-samste-evaved-2026-09-08).</t>
        </is>
      </c>
      <c r="AF561" s="31" t="inlineStr">
        <is>
          <t>Surface-blended Elo model; singles only, WTA+ATP market coverage, not yet locked-holdout qualified -- promoted by explicit operator directive, not genuine walk-forward validation.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Eva Vedder</t>
        </is>
      </c>
      <c r="AQ561" s="24" t="inlineStr">
        <is>
          <t>Eva Vedder</t>
        </is>
      </c>
      <c r="AR561" s="24" t="inlineStr">
        <is>
          <t>Eva Vedder</t>
        </is>
      </c>
      <c r="AS561" s="24" t="inlineStr">
        <is>
          <t>Samira De Stefano</t>
        </is>
      </c>
      <c r="AT561" s="24" t="inlineStr">
        <is>
          <t>Samira De Stefano</t>
        </is>
      </c>
      <c r="AU561" s="24" t="inlineStr">
        <is>
          <t>Samira De Stefano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0ce66f49b381187fe6255a40ca2fdbfc155d5e36125ccf6d30fe81a72962eafa</t>
        </is>
      </c>
      <c r="BB561" s="24" t="inlineStr">
        <is>
          <t>surface_blended_elo</t>
        </is>
      </c>
      <c r="BC561" s="24" t="inlineStr">
        <is>
          <t>tennis-surface-elo-v1</t>
        </is>
      </c>
      <c r="BD561" s="24" t="inlineStr">
        <is>
          <t>0ce66f49b381187fe6255a40ca2fdbfc155d5e36125ccf6d30fe81a72962eafa</t>
        </is>
      </c>
      <c r="BE561" s="24" t="inlineStr">
        <is>
          <t>tennis-surface-elo-v1</t>
        </is>
      </c>
      <c r="BF561" s="24" t="inlineStr">
        <is>
          <t>1</t>
        </is>
      </c>
      <c r="BG561" s="24" t="inlineStr">
        <is>
          <t>0ce66f49b381187fe6255a40ca2fdbfc155d5e36125ccf6d30fe81a72962eafa</t>
        </is>
      </c>
      <c r="BH561" s="24" t="inlineStr">
        <is>
          <t>2026-09-08T04:33:39.546358Z</t>
        </is>
      </c>
      <c r="BI561" s="24" t="inlineStr">
        <is>
          <t>["same_event","same_team_same_day","same_league_same_day"]</t>
        </is>
      </c>
      <c r="BJ561" s="25" t="n"/>
      <c r="BK561" s="26" t="n">
        <v>-186</v>
      </c>
      <c r="BL561" s="27" t="n">
        <v>1.537634</v>
      </c>
      <c r="BM561" s="28" t="n">
        <v>0.65035</v>
      </c>
      <c r="BN561" s="28" t="n"/>
      <c r="BO561" s="28" t="n"/>
      <c r="BP561" s="25" t="n"/>
      <c r="BQ561" s="27" t="n">
        <v>1.537634</v>
      </c>
      <c r="BR561" s="28" t="n">
        <v>0.65</v>
      </c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2026-09-08T16:00:27.803223Z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False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inlineStr">
        <is>
          <t>116e67c5607d428e173acf8e938476f3f46fb75e4a3579057840a3993efcb8cf</t>
        </is>
      </c>
      <c r="DE561" s="24" t="inlineStr">
        <is>
          <t>/Users/vincentc9002/model-prediction/data/odds/tennis/2026-09-08/polymarket_snapshots.jsonl</t>
        </is>
      </c>
      <c r="DF561" s="24" t="inlineStr">
        <is>
          <t>718751:2026-09-08T04:33:39.546358Z</t>
        </is>
      </c>
      <c r="DG561" s="24" t="n"/>
      <c r="DH561" s="24" t="n"/>
      <c r="DI561" s="24" t="n"/>
      <c r="DJ561" s="24" t="inlineStr">
        <is>
          <t>0.65035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887a0ffc96f34976</t>
        </is>
      </c>
      <c r="B562" s="24" t="inlineStr">
        <is>
          <t>2026-09-08T04:34:52.149310Z</t>
        </is>
      </c>
      <c r="C562" s="24" t="inlineStr">
        <is>
          <t>2026-09-08T09:00Z</t>
        </is>
      </c>
      <c r="D562" s="24" t="inlineStr">
        <is>
          <t>1076-2026:183542</t>
        </is>
      </c>
      <c r="E562" s="24" t="inlineStr">
        <is>
          <t>TENNIS</t>
        </is>
      </c>
      <c r="F562" s="24" t="inlineStr">
        <is>
          <t>Miriam Bulgaru</t>
        </is>
      </c>
      <c r="G562" s="24" t="inlineStr">
        <is>
          <t>Federica Urgesi</t>
        </is>
      </c>
      <c r="H562" s="24" t="inlineStr">
        <is>
          <t>moneyline</t>
        </is>
      </c>
      <c r="I562" s="24" t="inlineStr">
        <is>
          <t>home</t>
        </is>
      </c>
      <c r="J562" s="25" t="n"/>
      <c r="K562" s="24" t="inlineStr">
        <is>
          <t>polymarket_us</t>
        </is>
      </c>
      <c r="L562" s="26" t="n">
        <v>-270</v>
      </c>
      <c r="M562" s="27" t="n">
        <v>1.37037</v>
      </c>
      <c r="N562" s="28" t="n">
        <v>0.72973</v>
      </c>
      <c r="O562" s="28" t="n">
        <v>0.6247</v>
      </c>
      <c r="P562" s="28" t="n">
        <v>0.05</v>
      </c>
      <c r="Q562" s="28" t="n">
        <v>-0.10503</v>
      </c>
      <c r="R562" s="26" t="n">
        <v>0</v>
      </c>
      <c r="S562" s="29" t="n">
        <v>1</v>
      </c>
      <c r="T562" s="24" t="inlineStr">
        <is>
          <t>tennis-surface-elo-v1</t>
        </is>
      </c>
      <c r="U562" s="24" t="inlineStr">
        <is>
          <t>settled</t>
        </is>
      </c>
      <c r="V562" s="24" t="inlineStr">
        <is>
          <t>loss</t>
        </is>
      </c>
      <c r="W562" s="26" t="n">
        <v>1</v>
      </c>
      <c r="X562" s="26" t="n">
        <v>0</v>
      </c>
      <c r="Y562" s="25" t="n"/>
      <c r="Z562" s="26" t="n">
        <v>-270</v>
      </c>
      <c r="AA562" s="28" t="n">
        <v>0.73</v>
      </c>
      <c r="AB562" s="28" t="n">
        <v>0.00027</v>
      </c>
      <c r="AC562" s="30" t="n">
        <v>-1</v>
      </c>
      <c r="AD562" s="24" t="inlineStr">
        <is>
          <t>2026-09-08T16:00:30.012017Z</t>
        </is>
      </c>
      <c r="AE562" s="31" t="inlineStr">
        <is>
          <t>Surface-blended Elo on Hard: Miriam Bulgaru p=0.375 vs Federica Urgesi. Executable ask 0.7300 (aec-wta-fedurg-mirbul-2026-09-07).</t>
        </is>
      </c>
      <c r="AF562" s="31" t="inlineStr">
        <is>
          <t>Surface-blended Elo model; singles only, WTA+ATP market coverage, not yet locked-holdout qualified -- promoted by explicit operator directive, not genuine walk-forward validation.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Miriam Bulgaru</t>
        </is>
      </c>
      <c r="AQ562" s="24" t="inlineStr">
        <is>
          <t>Miriam Bulgaru</t>
        </is>
      </c>
      <c r="AR562" s="24" t="inlineStr">
        <is>
          <t>Miriam Bulgaru</t>
        </is>
      </c>
      <c r="AS562" s="24" t="inlineStr">
        <is>
          <t>Federica Urgesi</t>
        </is>
      </c>
      <c r="AT562" s="24" t="inlineStr">
        <is>
          <t>Federica Urgesi</t>
        </is>
      </c>
      <c r="AU562" s="24" t="inlineStr">
        <is>
          <t>Federica Urgesi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0ce66f49b381187fe6255a40ca2fdbfc155d5e36125ccf6d30fe81a72962eafa</t>
        </is>
      </c>
      <c r="BB562" s="24" t="inlineStr">
        <is>
          <t>surface_blended_elo</t>
        </is>
      </c>
      <c r="BC562" s="24" t="inlineStr">
        <is>
          <t>tennis-surface-elo-v1</t>
        </is>
      </c>
      <c r="BD562" s="24" t="inlineStr">
        <is>
          <t>0ce66f49b381187fe6255a40ca2fdbfc155d5e36125ccf6d30fe81a72962eafa</t>
        </is>
      </c>
      <c r="BE562" s="24" t="inlineStr">
        <is>
          <t>tennis-surface-elo-v1</t>
        </is>
      </c>
      <c r="BF562" s="24" t="inlineStr">
        <is>
          <t>1</t>
        </is>
      </c>
      <c r="BG562" s="24" t="inlineStr">
        <is>
          <t>0ce66f49b381187fe6255a40ca2fdbfc155d5e36125ccf6d30fe81a72962eafa</t>
        </is>
      </c>
      <c r="BH562" s="24" t="inlineStr">
        <is>
          <t>2026-09-08T04:33:39.560328Z</t>
        </is>
      </c>
      <c r="BI562" s="24" t="inlineStr">
        <is>
          <t>["same_event","same_team_same_day","same_league_same_day"]</t>
        </is>
      </c>
      <c r="BJ562" s="25" t="n"/>
      <c r="BK562" s="26" t="n">
        <v>-270</v>
      </c>
      <c r="BL562" s="27" t="n">
        <v>1.37037</v>
      </c>
      <c r="BM562" s="28" t="n">
        <v>0.72973</v>
      </c>
      <c r="BN562" s="28" t="n"/>
      <c r="BO562" s="28" t="n"/>
      <c r="BP562" s="25" t="n"/>
      <c r="BQ562" s="27" t="n">
        <v>1.37037</v>
      </c>
      <c r="BR562" s="28" t="n">
        <v>0.73</v>
      </c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2026-09-08T16:00:30.012017Z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inlineStr">
        <is>
          <t>6b6c59c37a540bb0d30cd23867ea9a1227e546f7329e7cd41731143c92e59796</t>
        </is>
      </c>
      <c r="DE562" s="24" t="inlineStr">
        <is>
          <t>/Users/vincentc9002/model-prediction/data/odds/tennis/2026-09-08/polymarket_snapshots.jsonl</t>
        </is>
      </c>
      <c r="DF562" s="24" t="inlineStr">
        <is>
          <t>707239:2026-09-08T04:33:39.560328Z</t>
        </is>
      </c>
      <c r="DG562" s="24" t="n"/>
      <c r="DH562" s="24" t="n"/>
      <c r="DI562" s="24" t="n"/>
      <c r="DJ562" s="24" t="inlineStr">
        <is>
          <t>0.72973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61a42b8ef070415c</t>
        </is>
      </c>
      <c r="B563" s="24" t="inlineStr">
        <is>
          <t>2026-09-08T04:34:52.149310Z</t>
        </is>
      </c>
      <c r="C563" s="24" t="inlineStr">
        <is>
          <t>2026-09-08T09:00Z</t>
        </is>
      </c>
      <c r="D563" s="24" t="inlineStr">
        <is>
          <t>1076-2026:183553</t>
        </is>
      </c>
      <c r="E563" s="24" t="inlineStr">
        <is>
          <t>TENNIS</t>
        </is>
      </c>
      <c r="F563" s="24" t="inlineStr">
        <is>
          <t>Raluka Serban</t>
        </is>
      </c>
      <c r="G563" s="24" t="inlineStr">
        <is>
          <t>Francesca Jones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polymarket_us</t>
        </is>
      </c>
      <c r="L563" s="26" t="n">
        <v>-1329</v>
      </c>
      <c r="M563" s="27" t="n">
        <v>1.075245</v>
      </c>
      <c r="N563" s="28" t="n">
        <v>0.930021</v>
      </c>
      <c r="O563" s="28" t="n">
        <v>0.8431999999999999</v>
      </c>
      <c r="P563" s="28" t="n">
        <v>0.05</v>
      </c>
      <c r="Q563" s="28" t="n">
        <v>-0.086821</v>
      </c>
      <c r="R563" s="26" t="n">
        <v>0</v>
      </c>
      <c r="S563" s="29" t="n">
        <v>1</v>
      </c>
      <c r="T563" s="24" t="inlineStr">
        <is>
          <t>tennis-surface-elo-v1</t>
        </is>
      </c>
      <c r="U563" s="24" t="inlineStr">
        <is>
          <t>settled</t>
        </is>
      </c>
      <c r="V563" s="24" t="inlineStr">
        <is>
          <t>win</t>
        </is>
      </c>
      <c r="W563" s="26" t="n">
        <v>0</v>
      </c>
      <c r="X563" s="26" t="n">
        <v>1</v>
      </c>
      <c r="Y563" s="25" t="n"/>
      <c r="Z563" s="26" t="n">
        <v>-1329</v>
      </c>
      <c r="AA563" s="28" t="n">
        <v>0.93</v>
      </c>
      <c r="AB563" s="28" t="n">
        <v>-2.1e-05</v>
      </c>
      <c r="AC563" s="30" t="n">
        <v>0.0752</v>
      </c>
      <c r="AD563" s="24" t="inlineStr">
        <is>
          <t>2026-09-08T16:00:32.200752Z</t>
        </is>
      </c>
      <c r="AE563" s="31" t="inlineStr">
        <is>
          <t>Surface-blended Elo on Hard: Raluka Serban p=0.157 vs Francesca Jones. Executable ask 0.9300 (aec-wta-frajon-ralser-2026-09-07).</t>
        </is>
      </c>
      <c r="AF563" s="31" t="inlineStr">
        <is>
          <t>Surface-blended Elo model; singles only, WTA+ATP market coverage, not yet locked-holdout qualified -- promoted by explicit operator directive, not genuine walk-forward validation.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PAPER_CALL_LOW_EDGE</t>
        </is>
      </c>
      <c r="AP563" s="24" t="inlineStr">
        <is>
          <t>Raluka Serban</t>
        </is>
      </c>
      <c r="AQ563" s="24" t="inlineStr">
        <is>
          <t>Raluka Serban</t>
        </is>
      </c>
      <c r="AR563" s="24" t="inlineStr">
        <is>
          <t>Raluka Serban</t>
        </is>
      </c>
      <c r="AS563" s="24" t="inlineStr">
        <is>
          <t>Francesca Jones</t>
        </is>
      </c>
      <c r="AT563" s="24" t="inlineStr">
        <is>
          <t>Francesca Jones</t>
        </is>
      </c>
      <c r="AU563" s="24" t="inlineStr">
        <is>
          <t>Francesca Jones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0ce66f49b381187fe6255a40ca2fdbfc155d5e36125ccf6d30fe81a72962eafa</t>
        </is>
      </c>
      <c r="BB563" s="24" t="inlineStr">
        <is>
          <t>surface_blended_elo</t>
        </is>
      </c>
      <c r="BC563" s="24" t="inlineStr">
        <is>
          <t>tennis-surface-elo-v1</t>
        </is>
      </c>
      <c r="BD563" s="24" t="inlineStr">
        <is>
          <t>0ce66f49b381187fe6255a40ca2fdbfc155d5e36125ccf6d30fe81a72962eafa</t>
        </is>
      </c>
      <c r="BE563" s="24" t="inlineStr">
        <is>
          <t>tennis-surface-elo-v1</t>
        </is>
      </c>
      <c r="BF563" s="24" t="inlineStr">
        <is>
          <t>1</t>
        </is>
      </c>
      <c r="BG563" s="24" t="inlineStr">
        <is>
          <t>0ce66f49b381187fe6255a40ca2fdbfc155d5e36125ccf6d30fe81a72962eafa</t>
        </is>
      </c>
      <c r="BH563" s="24" t="inlineStr">
        <is>
          <t>2026-09-08T04:33:39.566296Z</t>
        </is>
      </c>
      <c r="BI563" s="24" t="inlineStr">
        <is>
          <t>["same_event","same_team_same_day","same_league_same_day"]</t>
        </is>
      </c>
      <c r="BJ563" s="25" t="n"/>
      <c r="BK563" s="26" t="n">
        <v>-1329</v>
      </c>
      <c r="BL563" s="27" t="n">
        <v>1.075245</v>
      </c>
      <c r="BM563" s="28" t="n">
        <v>0.930021</v>
      </c>
      <c r="BN563" s="28" t="n"/>
      <c r="BO563" s="28" t="n"/>
      <c r="BP563" s="25" t="n"/>
      <c r="BQ563" s="27" t="n">
        <v>1.075245</v>
      </c>
      <c r="BR563" s="28" t="n">
        <v>0.93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0.07524500000000001</v>
      </c>
      <c r="BZ563" s="24" t="inlineStr">
        <is>
          <t>2026-09-08T16:00:32.200752Z</t>
        </is>
      </c>
      <c r="CA563" s="31" t="inlineStr">
        <is>
          <t>fixed one-unit hypothetical scoring; no real exposure or execution</t>
        </is>
      </c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False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inlineStr">
        <is>
          <t>7d6d8e71ba6b600ce4ea3e5a85fc53bf2b3a811db2c4a0cb113cc0f7d6cd281f</t>
        </is>
      </c>
      <c r="DE563" s="24" t="inlineStr">
        <is>
          <t>/Users/vincentc9002/model-prediction/data/odds/tennis/2026-09-08/polymarket_snapshots.jsonl</t>
        </is>
      </c>
      <c r="DF563" s="24" t="inlineStr">
        <is>
          <t>707708:2026-09-08T04:33:39.566296Z</t>
        </is>
      </c>
      <c r="DG563" s="24" t="n"/>
      <c r="DH563" s="24" t="n"/>
      <c r="DI563" s="24" t="n"/>
      <c r="DJ563" s="24" t="inlineStr">
        <is>
          <t>0.930021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fb00477fc4b34723</t>
        </is>
      </c>
      <c r="B564" s="24" t="inlineStr">
        <is>
          <t>2026-09-08T10:03:42.233393Z</t>
        </is>
      </c>
      <c r="C564" s="24" t="inlineStr">
        <is>
          <t>2026-09-08T15:30Z</t>
        </is>
      </c>
      <c r="D564" s="24" t="inlineStr">
        <is>
          <t>189-2026:182533</t>
        </is>
      </c>
      <c r="E564" s="24" t="inlineStr">
        <is>
          <t>TENNIS</t>
        </is>
      </c>
      <c r="F564" s="24" t="inlineStr">
        <is>
          <t>Linda Noskova</t>
        </is>
      </c>
      <c r="G564" s="24" t="inlineStr">
        <is>
          <t>Aryna Sabalenka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-233</v>
      </c>
      <c r="M564" s="27" t="n">
        <v>1.429185</v>
      </c>
      <c r="N564" s="28" t="n">
        <v>0.6997</v>
      </c>
      <c r="O564" s="28" t="n">
        <v>0.7645</v>
      </c>
      <c r="P564" s="28" t="n">
        <v>0.05</v>
      </c>
      <c r="Q564" s="28" t="n">
        <v>0.0648</v>
      </c>
      <c r="R564" s="26" t="n">
        <v>52</v>
      </c>
      <c r="S564" s="29" t="n">
        <v>1</v>
      </c>
      <c r="T564" s="24" t="inlineStr">
        <is>
          <t>tennis-surface-elo-v1</t>
        </is>
      </c>
      <c r="U564" s="24" t="inlineStr">
        <is>
          <t>settled</t>
        </is>
      </c>
      <c r="V564" s="24" t="inlineStr">
        <is>
          <t>win</t>
        </is>
      </c>
      <c r="W564" s="26" t="n">
        <v>0</v>
      </c>
      <c r="X564" s="26" t="n">
        <v>1</v>
      </c>
      <c r="Y564" s="25" t="n"/>
      <c r="Z564" s="26" t="n">
        <v>-233</v>
      </c>
      <c r="AA564" s="28" t="n">
        <v>0.7</v>
      </c>
      <c r="AB564" s="28" t="n">
        <v>0.0003</v>
      </c>
      <c r="AC564" s="30" t="n">
        <v>0.4292</v>
      </c>
      <c r="AD564" s="24" t="inlineStr">
        <is>
          <t>2026-09-08T22:10:10.149079Z</t>
        </is>
      </c>
      <c r="AE564" s="31" t="inlineStr">
        <is>
          <t>Surface-blended Elo on Hard: Linda Noskova p=0.235 vs Aryna Sabalenka. Executable ask 0.7000 (aec-wta-arysab-linnos-2026-09-07).</t>
        </is>
      </c>
      <c r="AF564" s="31" t="inlineStr">
        <is>
          <t>Surface-blended Elo model; singles only, WTA+ATP market coverage, not yet locked-holdout qualified -- promoted by explicit operator directive, not genuine walk-forward validation.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Linda Noskova</t>
        </is>
      </c>
      <c r="AQ564" s="24" t="inlineStr">
        <is>
          <t>Linda Noskova</t>
        </is>
      </c>
      <c r="AR564" s="24" t="inlineStr">
        <is>
          <t>Linda Noskova</t>
        </is>
      </c>
      <c r="AS564" s="24" t="inlineStr">
        <is>
          <t>Aryna Sabalenka</t>
        </is>
      </c>
      <c r="AT564" s="24" t="inlineStr">
        <is>
          <t>Aryna Sabalenka</t>
        </is>
      </c>
      <c r="AU564" s="24" t="inlineStr">
        <is>
          <t>Aryna Sabalenka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0ce66f49b381187fe6255a40ca2fdbfc155d5e36125ccf6d30fe81a72962eafa</t>
        </is>
      </c>
      <c r="BB564" s="24" t="inlineStr">
        <is>
          <t>surface_blended_elo</t>
        </is>
      </c>
      <c r="BC564" s="24" t="inlineStr">
        <is>
          <t>tennis-surface-elo-v1</t>
        </is>
      </c>
      <c r="BD564" s="24" t="inlineStr">
        <is>
          <t>0ce66f49b381187fe6255a40ca2fdbfc155d5e36125ccf6d30fe81a72962eafa</t>
        </is>
      </c>
      <c r="BE564" s="24" t="inlineStr">
        <is>
          <t>tennis-surface-elo-v1</t>
        </is>
      </c>
      <c r="BF564" s="24" t="inlineStr">
        <is>
          <t>1</t>
        </is>
      </c>
      <c r="BG564" s="24" t="inlineStr">
        <is>
          <t>0ce66f49b381187fe6255a40ca2fdbfc155d5e36125ccf6d30fe81a72962eafa</t>
        </is>
      </c>
      <c r="BH564" s="24" t="inlineStr">
        <is>
          <t>2026-09-08T10:03:02.513389Z</t>
        </is>
      </c>
      <c r="BI564" s="24" t="inlineStr">
        <is>
          <t>["same_event","same_team_same_day","same_league_same_day"]</t>
        </is>
      </c>
      <c r="BJ564" s="25" t="n"/>
      <c r="BK564" s="26" t="n">
        <v>-233</v>
      </c>
      <c r="BL564" s="27" t="n">
        <v>1.429185</v>
      </c>
      <c r="BM564" s="28" t="n">
        <v>0.6997</v>
      </c>
      <c r="BN564" s="28" t="n"/>
      <c r="BO564" s="28" t="n"/>
      <c r="BP564" s="25" t="n"/>
      <c r="BQ564" s="27" t="n">
        <v>1.429185</v>
      </c>
      <c r="BR564" s="28" t="n">
        <v>0.7</v>
      </c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inlineStr">
        <is>
          <t>ced542393a81adbc1c1eba201916fea70bc586a17e53f1a32405b82b2943801c</t>
        </is>
      </c>
      <c r="DE564" s="24" t="inlineStr">
        <is>
          <t>/Users/vincentc9002/model-prediction/data/odds/tennis/2026-09-08/polymarket_snapshots.jsonl</t>
        </is>
      </c>
      <c r="DF564" s="24" t="inlineStr">
        <is>
          <t>712570:2026-09-08T10:03:02.513389Z</t>
        </is>
      </c>
      <c r="DG564" s="24" t="n"/>
      <c r="DH564" s="24" t="n"/>
      <c r="DI564" s="24" t="n"/>
      <c r="DJ564" s="24" t="inlineStr">
        <is>
          <t>0.6997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7b0b1ec898e144b6</t>
        </is>
      </c>
      <c r="B565" s="24" t="inlineStr">
        <is>
          <t>2026-09-08T10:03:42.233393Z</t>
        </is>
      </c>
      <c r="C565" s="24" t="inlineStr">
        <is>
          <t>2026-09-08T10:30Z</t>
        </is>
      </c>
      <c r="D565" s="24" t="inlineStr">
        <is>
          <t>998-2026:183576</t>
        </is>
      </c>
      <c r="E565" s="24" t="inlineStr">
        <is>
          <t>TENNIS</t>
        </is>
      </c>
      <c r="F565" s="24" t="inlineStr">
        <is>
          <t>Dalma Galfi</t>
        </is>
      </c>
      <c r="G565" s="24" t="inlineStr">
        <is>
          <t>Valentina Ryser</t>
        </is>
      </c>
      <c r="H565" s="24" t="inlineStr">
        <is>
          <t>moneyline</t>
        </is>
      </c>
      <c r="I565" s="24" t="inlineStr">
        <is>
          <t>away</t>
        </is>
      </c>
      <c r="J565" s="25" t="n"/>
      <c r="K565" s="24" t="inlineStr">
        <is>
          <t>polymarket_us</t>
        </is>
      </c>
      <c r="L565" s="26" t="n">
        <v>-245</v>
      </c>
      <c r="M565" s="27" t="n">
        <v>1.408163</v>
      </c>
      <c r="N565" s="28" t="n">
        <v>0.710145</v>
      </c>
      <c r="O565" s="28" t="n">
        <v>0.5207000000000001</v>
      </c>
      <c r="P565" s="28" t="n">
        <v>0.05</v>
      </c>
      <c r="Q565" s="28" t="n">
        <v>-0.189445</v>
      </c>
      <c r="R565" s="26" t="n">
        <v>0</v>
      </c>
      <c r="S565" s="29" t="n">
        <v>1</v>
      </c>
      <c r="T565" s="24" t="inlineStr">
        <is>
          <t>tennis-surface-elo-v1</t>
        </is>
      </c>
      <c r="U565" s="24" t="inlineStr">
        <is>
          <t>settled</t>
        </is>
      </c>
      <c r="V565" s="24" t="inlineStr">
        <is>
          <t>win</t>
        </is>
      </c>
      <c r="W565" s="26" t="n">
        <v>1</v>
      </c>
      <c r="X565" s="26" t="n">
        <v>0</v>
      </c>
      <c r="Y565" s="25" t="n"/>
      <c r="Z565" s="26" t="n">
        <v>-245</v>
      </c>
      <c r="AA565" s="28" t="n">
        <v>0.71</v>
      </c>
      <c r="AB565" s="28" t="n">
        <v>-0.000145</v>
      </c>
      <c r="AC565" s="30" t="n">
        <v>0.4082</v>
      </c>
      <c r="AD565" s="24" t="inlineStr">
        <is>
          <t>2026-09-08T16:00:34.482689Z</t>
        </is>
      </c>
      <c r="AE565" s="31" t="inlineStr">
        <is>
          <t>Surface-blended Elo on Hard: Dalma Galfi p=0.521 vs Valentina Ryser. Executable ask 0.7100 (aec-wta-valrys-dalgal-2026-09-07).</t>
        </is>
      </c>
      <c r="AF565" s="31" t="inlineStr">
        <is>
          <t>Surface-blended Elo model; singles only, WTA+ATP market coverage, not yet locked-holdout qualified -- promoted by explicit operator directive, not genuine walk-forward validation.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Dalma Galfi</t>
        </is>
      </c>
      <c r="AQ565" s="24" t="inlineStr">
        <is>
          <t>Dalma Galfi</t>
        </is>
      </c>
      <c r="AR565" s="24" t="inlineStr">
        <is>
          <t>Dalma Galfi</t>
        </is>
      </c>
      <c r="AS565" s="24" t="inlineStr">
        <is>
          <t>Valentina Ryser</t>
        </is>
      </c>
      <c r="AT565" s="24" t="inlineStr">
        <is>
          <t>Valentina Ryser</t>
        </is>
      </c>
      <c r="AU565" s="24" t="inlineStr">
        <is>
          <t>Valentina Ryser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0ce66f49b381187fe6255a40ca2fdbfc155d5e36125ccf6d30fe81a72962eafa</t>
        </is>
      </c>
      <c r="BB565" s="24" t="inlineStr">
        <is>
          <t>surface_blended_elo</t>
        </is>
      </c>
      <c r="BC565" s="24" t="inlineStr">
        <is>
          <t>tennis-surface-elo-v1</t>
        </is>
      </c>
      <c r="BD565" s="24" t="inlineStr">
        <is>
          <t>0ce66f49b381187fe6255a40ca2fdbfc155d5e36125ccf6d30fe81a72962eafa</t>
        </is>
      </c>
      <c r="BE565" s="24" t="inlineStr">
        <is>
          <t>tennis-surface-elo-v1</t>
        </is>
      </c>
      <c r="BF565" s="24" t="inlineStr">
        <is>
          <t>1</t>
        </is>
      </c>
      <c r="BG565" s="24" t="inlineStr">
        <is>
          <t>0ce66f49b381187fe6255a40ca2fdbfc155d5e36125ccf6d30fe81a72962eafa</t>
        </is>
      </c>
      <c r="BH565" s="24" t="inlineStr">
        <is>
          <t>2026-09-08T04:33:39.581643Z</t>
        </is>
      </c>
      <c r="BI565" s="24" t="inlineStr">
        <is>
          <t>["same_event","same_team_same_day","same_league_same_day"]</t>
        </is>
      </c>
      <c r="BJ565" s="25" t="n"/>
      <c r="BK565" s="26" t="n">
        <v>-245</v>
      </c>
      <c r="BL565" s="27" t="n">
        <v>1.408163</v>
      </c>
      <c r="BM565" s="28" t="n">
        <v>0.710145</v>
      </c>
      <c r="BN565" s="28" t="n"/>
      <c r="BO565" s="28" t="n"/>
      <c r="BP565" s="25" t="n"/>
      <c r="BQ565" s="27" t="n">
        <v>1.408163</v>
      </c>
      <c r="BR565" s="28" t="n">
        <v>0.71</v>
      </c>
      <c r="BS565" s="28" t="n"/>
      <c r="BT565" s="28" t="n"/>
      <c r="BU565" s="25" t="n"/>
      <c r="BV565" s="29" t="n"/>
      <c r="BW565" s="24" t="n"/>
      <c r="BX565" s="30" t="n">
        <v>1</v>
      </c>
      <c r="BY565" s="27" t="n">
        <v>0.408163</v>
      </c>
      <c r="BZ565" s="24" t="inlineStr">
        <is>
          <t>2026-09-08T16:00:34.482689Z</t>
        </is>
      </c>
      <c r="CA565" s="31" t="inlineStr">
        <is>
          <t>fixed one-unit hypothetical scoring; no real exposure or execution</t>
        </is>
      </c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inlineStr">
        <is>
          <t>d34327c9e8f429047e4ab98de1898d8a1a29f0c2040f2e7dd690bb5a450934a5</t>
        </is>
      </c>
      <c r="DE565" s="24" t="inlineStr">
        <is>
          <t>/Users/vincentc9002/model-prediction/data/odds/tennis/2026-09-08/polymarket_snapshots.jsonl</t>
        </is>
      </c>
      <c r="DF565" s="24" t="inlineStr">
        <is>
          <t>691084:2026-09-08T04:33:39.581643Z</t>
        </is>
      </c>
      <c r="DG565" s="24" t="n"/>
      <c r="DH565" s="24" t="n"/>
      <c r="DI565" s="24" t="n"/>
      <c r="DJ565" s="24" t="inlineStr">
        <is>
          <t>0.710145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38b9e9f8a0344e37</t>
        </is>
      </c>
      <c r="B566" s="24" t="inlineStr">
        <is>
          <t>2026-09-08T10:03:42.233393Z</t>
        </is>
      </c>
      <c r="C566" s="24" t="inlineStr">
        <is>
          <t>2026-09-08T10:30Z</t>
        </is>
      </c>
      <c r="D566" s="24" t="inlineStr">
        <is>
          <t>998-2026:183594</t>
        </is>
      </c>
      <c r="E566" s="24" t="inlineStr">
        <is>
          <t>TENNIS</t>
        </is>
      </c>
      <c r="F566" s="24" t="inlineStr">
        <is>
          <t>Lola Radivojevic</t>
        </is>
      </c>
      <c r="G566" s="24" t="inlineStr">
        <is>
          <t>Lucie Havlickova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-108</v>
      </c>
      <c r="M566" s="27" t="n">
        <v>1.925926</v>
      </c>
      <c r="N566" s="28" t="n">
        <v>0.519231</v>
      </c>
      <c r="O566" s="28" t="n">
        <v>0.5946</v>
      </c>
      <c r="P566" s="28" t="n">
        <v>0.05</v>
      </c>
      <c r="Q566" s="28" t="n">
        <v>0.07536900000000001</v>
      </c>
      <c r="R566" s="26" t="n">
        <v>58</v>
      </c>
      <c r="S566" s="29" t="n">
        <v>1.25</v>
      </c>
      <c r="T566" s="24" t="inlineStr">
        <is>
          <t>tennis-surface-elo-v1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1</v>
      </c>
      <c r="Y566" s="25" t="n"/>
      <c r="Z566" s="26" t="n">
        <v>-108</v>
      </c>
      <c r="AA566" s="28" t="n">
        <v>0.52</v>
      </c>
      <c r="AB566" s="28" t="n">
        <v>0.000769</v>
      </c>
      <c r="AC566" s="30" t="n">
        <v>1.1574</v>
      </c>
      <c r="AD566" s="24" t="inlineStr">
        <is>
          <t>2026-09-08T16:00:36.672016Z</t>
        </is>
      </c>
      <c r="AE566" s="31" t="inlineStr">
        <is>
          <t>Surface-blended Elo on Hard: Lola Radivojevic p=0.405 vs Lucie Havlickova. Executable ask 0.5200 (aec-wta-luchav-lolrad-2026-09-07).</t>
        </is>
      </c>
      <c r="AF566" s="31" t="inlineStr">
        <is>
          <t>Surface-blended Elo model; singles only, WTA+ATP market coverage, not yet locked-holdout qualified -- promoted by explicit operator directive, not genuine walk-forward validation.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model_qualified</t>
        </is>
      </c>
      <c r="AL566" s="26" t="n">
        <v>4</v>
      </c>
      <c r="AM566" s="24" t="inlineStr">
        <is>
          <t>QUALIFIED_SHADOW_CALL</t>
        </is>
      </c>
      <c r="AN566" s="24" t="inlineStr">
        <is>
          <t>CALL</t>
        </is>
      </c>
      <c r="AO566" s="24" t="inlineStr">
        <is>
          <t>QUALIFIED</t>
        </is>
      </c>
      <c r="AP566" s="24" t="inlineStr">
        <is>
          <t>Lola Radivojevic</t>
        </is>
      </c>
      <c r="AQ566" s="24" t="inlineStr">
        <is>
          <t>Lola Radivojevic</t>
        </is>
      </c>
      <c r="AR566" s="24" t="inlineStr">
        <is>
          <t>Lola Radivojevic</t>
        </is>
      </c>
      <c r="AS566" s="24" t="inlineStr">
        <is>
          <t>Lucie Havlickova</t>
        </is>
      </c>
      <c r="AT566" s="24" t="inlineStr">
        <is>
          <t>Lucie Havlickova</t>
        </is>
      </c>
      <c r="AU566" s="24" t="inlineStr">
        <is>
          <t>Lucie Havlickova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0ce66f49b381187fe6255a40ca2fdbfc155d5e36125ccf6d30fe81a72962eafa</t>
        </is>
      </c>
      <c r="BB566" s="24" t="inlineStr">
        <is>
          <t>surface_blended_elo</t>
        </is>
      </c>
      <c r="BC566" s="24" t="inlineStr">
        <is>
          <t>tennis-surface-elo-v1</t>
        </is>
      </c>
      <c r="BD566" s="24" t="inlineStr">
        <is>
          <t>0ce66f49b381187fe6255a40ca2fdbfc155d5e36125ccf6d30fe81a72962eafa</t>
        </is>
      </c>
      <c r="BE566" s="24" t="inlineStr">
        <is>
          <t>tennis-surface-elo-v1</t>
        </is>
      </c>
      <c r="BF566" s="24" t="inlineStr">
        <is>
          <t>1</t>
        </is>
      </c>
      <c r="BG566" s="24" t="inlineStr">
        <is>
          <t>0ce66f49b381187fe6255a40ca2fdbfc155d5e36125ccf6d30fe81a72962eafa</t>
        </is>
      </c>
      <c r="BH566" s="24" t="inlineStr">
        <is>
          <t>2026-09-08T04:33:39.587352Z</t>
        </is>
      </c>
      <c r="BI566" s="24" t="inlineStr">
        <is>
          <t>["same_event","same_team_same_day","same_league_same_day"]</t>
        </is>
      </c>
      <c r="BJ566" s="25" t="n"/>
      <c r="BK566" s="26" t="n">
        <v>-108</v>
      </c>
      <c r="BL566" s="27" t="n">
        <v>1.925926</v>
      </c>
      <c r="BM566" s="28" t="n">
        <v>0.519231</v>
      </c>
      <c r="BN566" s="28" t="n"/>
      <c r="BO566" s="28" t="n"/>
      <c r="BP566" s="25" t="n"/>
      <c r="BQ566" s="27" t="n">
        <v>1.925926</v>
      </c>
      <c r="BR566" s="28" t="n">
        <v>0.52</v>
      </c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inlineStr">
        <is>
          <t>c462d1b528e3c658711460d7f6f9771eb9fd9f6befae22d356144cc8f89b334a</t>
        </is>
      </c>
      <c r="DE566" s="24" t="inlineStr">
        <is>
          <t>/Users/vincentc9002/model-prediction/data/odds/tennis/2026-09-08/polymarket_snapshots.jsonl</t>
        </is>
      </c>
      <c r="DF566" s="24" t="inlineStr">
        <is>
          <t>691067:2026-09-08T04:33:39.587352Z</t>
        </is>
      </c>
      <c r="DG566" s="24" t="n"/>
      <c r="DH566" s="24" t="n"/>
      <c r="DI566" s="24" t="n"/>
      <c r="DJ566" s="24" t="inlineStr">
        <is>
          <t>0.519231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137386a7d49c4bcc</t>
        </is>
      </c>
      <c r="B567" s="24" t="inlineStr">
        <is>
          <t>2026-09-08T10:03:42.233393Z</t>
        </is>
      </c>
      <c r="C567" s="24" t="inlineStr">
        <is>
          <t>2026-09-08T10:30Z</t>
        </is>
      </c>
      <c r="D567" s="24" t="inlineStr">
        <is>
          <t>998-2026:183579</t>
        </is>
      </c>
      <c r="E567" s="24" t="inlineStr">
        <is>
          <t>TENNIS</t>
        </is>
      </c>
      <c r="F567" s="24" t="inlineStr">
        <is>
          <t>Clara Burel</t>
        </is>
      </c>
      <c r="G567" s="24" t="inlineStr">
        <is>
          <t>Katerina Tsygourova</t>
        </is>
      </c>
      <c r="H567" s="24" t="inlineStr">
        <is>
          <t>moneyline</t>
        </is>
      </c>
      <c r="I567" s="24" t="inlineStr">
        <is>
          <t>away</t>
        </is>
      </c>
      <c r="J567" s="25" t="n"/>
      <c r="K567" s="24" t="inlineStr">
        <is>
          <t>polymarket_us</t>
        </is>
      </c>
      <c r="L567" s="26" t="n">
        <v>-1011</v>
      </c>
      <c r="M567" s="27" t="n">
        <v>1.098912</v>
      </c>
      <c r="N567" s="28" t="n">
        <v>0.909991</v>
      </c>
      <c r="O567" s="28" t="n">
        <v>0.5288</v>
      </c>
      <c r="P567" s="28" t="n">
        <v>0.05</v>
      </c>
      <c r="Q567" s="28" t="n">
        <v>-0.381191</v>
      </c>
      <c r="R567" s="26" t="n">
        <v>0</v>
      </c>
      <c r="S567" s="29" t="n">
        <v>1</v>
      </c>
      <c r="T567" s="24" t="inlineStr">
        <is>
          <t>tennis-surface-elo-v1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0</v>
      </c>
      <c r="Y567" s="25" t="n"/>
      <c r="Z567" s="26" t="n">
        <v>-1011</v>
      </c>
      <c r="AA567" s="28" t="n">
        <v>0.91</v>
      </c>
      <c r="AB567" s="28" t="n">
        <v>9e-06</v>
      </c>
      <c r="AC567" s="30" t="n">
        <v>0.0989</v>
      </c>
      <c r="AD567" s="24" t="inlineStr">
        <is>
          <t>2026-09-08T16:00:38.897127Z</t>
        </is>
      </c>
      <c r="AE567" s="31" t="inlineStr">
        <is>
          <t>Surface-blended Elo on Hard: Clara Burel p=0.529 vs Katerina Tsygourova. Executable ask 0.9100 (aec-wta-kattsy-clabur-2026-09-08).</t>
        </is>
      </c>
      <c r="AF567" s="31" t="inlineStr">
        <is>
          <t>Surface-blended Elo model; singles only, WTA+ATP market coverage, not yet locked-holdout qualified -- promoted by explicit operator directive, not genuine walk-forward validation.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PAPER_CALL_MODEL_UNVALIDATED</t>
        </is>
      </c>
      <c r="AP567" s="24" t="inlineStr">
        <is>
          <t>Clara Burel</t>
        </is>
      </c>
      <c r="AQ567" s="24" t="inlineStr">
        <is>
          <t>Clara Burel</t>
        </is>
      </c>
      <c r="AR567" s="24" t="inlineStr">
        <is>
          <t>Clara Burel</t>
        </is>
      </c>
      <c r="AS567" s="24" t="inlineStr">
        <is>
          <t>Katerina Tsygourova</t>
        </is>
      </c>
      <c r="AT567" s="24" t="inlineStr">
        <is>
          <t>Katerina Tsygourova</t>
        </is>
      </c>
      <c r="AU567" s="24" t="inlineStr">
        <is>
          <t>Katerina Tsygourova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0ce66f49b381187fe6255a40ca2fdbfc155d5e36125ccf6d30fe81a72962eafa</t>
        </is>
      </c>
      <c r="BB567" s="24" t="inlineStr">
        <is>
          <t>surface_blended_elo</t>
        </is>
      </c>
      <c r="BC567" s="24" t="inlineStr">
        <is>
          <t>tennis-surface-elo-v1</t>
        </is>
      </c>
      <c r="BD567" s="24" t="inlineStr">
        <is>
          <t>0ce66f49b381187fe6255a40ca2fdbfc155d5e36125ccf6d30fe81a72962eafa</t>
        </is>
      </c>
      <c r="BE567" s="24" t="inlineStr">
        <is>
          <t>tennis-surface-elo-v1</t>
        </is>
      </c>
      <c r="BF567" s="24" t="inlineStr">
        <is>
          <t>1</t>
        </is>
      </c>
      <c r="BG567" s="24" t="inlineStr">
        <is>
          <t>0ce66f49b381187fe6255a40ca2fdbfc155d5e36125ccf6d30fe81a72962eafa</t>
        </is>
      </c>
      <c r="BH567" s="24" t="inlineStr">
        <is>
          <t>2026-09-08T04:33:39.588738Z</t>
        </is>
      </c>
      <c r="BI567" s="24" t="inlineStr">
        <is>
          <t>["same_event","same_team_same_day","same_league_same_day"]</t>
        </is>
      </c>
      <c r="BJ567" s="25" t="n"/>
      <c r="BK567" s="26" t="n">
        <v>-1011</v>
      </c>
      <c r="BL567" s="27" t="n">
        <v>1.098912</v>
      </c>
      <c r="BM567" s="28" t="n">
        <v>0.909991</v>
      </c>
      <c r="BN567" s="28" t="n"/>
      <c r="BO567" s="28" t="n"/>
      <c r="BP567" s="25" t="n"/>
      <c r="BQ567" s="27" t="n">
        <v>1.098912</v>
      </c>
      <c r="BR567" s="28" t="n">
        <v>0.91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0.098912</v>
      </c>
      <c r="BZ567" s="24" t="inlineStr">
        <is>
          <t>2026-09-08T16:00:38.897127Z</t>
        </is>
      </c>
      <c r="CA567" s="31" t="inlineStr">
        <is>
          <t>fixed one-unit hypothetical scoring; no real exposure or execution</t>
        </is>
      </c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inlineStr">
        <is>
          <t>74c4baeeacbcb8bea967e62f318a2b0360548876ecb2b85831e8c3e0afcf9259</t>
        </is>
      </c>
      <c r="DE567" s="24" t="inlineStr">
        <is>
          <t>/Users/vincentc9002/model-prediction/data/odds/tennis/2026-09-08/polymarket_snapshots.jsonl</t>
        </is>
      </c>
      <c r="DF567" s="24" t="inlineStr">
        <is>
          <t>719075:2026-09-08T04:33:39.588738Z</t>
        </is>
      </c>
      <c r="DG567" s="24" t="n"/>
      <c r="DH567" s="24" t="n"/>
      <c r="DI567" s="24" t="n"/>
      <c r="DJ567" s="24" t="inlineStr">
        <is>
          <t>0.909991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cc9cf6a0ac564d61</t>
        </is>
      </c>
      <c r="B568" s="24" t="inlineStr">
        <is>
          <t>2026-09-08T10:03:42.233393Z</t>
        </is>
      </c>
      <c r="C568" s="24" t="inlineStr">
        <is>
          <t>2026-09-08T12:00Z</t>
        </is>
      </c>
      <c r="D568" s="24" t="inlineStr">
        <is>
          <t>998-2026:183591</t>
        </is>
      </c>
      <c r="E568" s="24" t="inlineStr">
        <is>
          <t>TENNIS</t>
        </is>
      </c>
      <c r="F568" s="24" t="inlineStr">
        <is>
          <t>Mona Barthel</t>
        </is>
      </c>
      <c r="G568" s="24" t="inlineStr">
        <is>
          <t>Fiona Ferro</t>
        </is>
      </c>
      <c r="H568" s="24" t="inlineStr">
        <is>
          <t>moneyline</t>
        </is>
      </c>
      <c r="I568" s="24" t="inlineStr">
        <is>
          <t>home</t>
        </is>
      </c>
      <c r="J568" s="25" t="n"/>
      <c r="K568" s="24" t="inlineStr">
        <is>
          <t>polymarket_us</t>
        </is>
      </c>
      <c r="L568" s="26" t="n">
        <v>-335</v>
      </c>
      <c r="M568" s="27" t="n">
        <v>1.298507</v>
      </c>
      <c r="N568" s="28" t="n">
        <v>0.770115</v>
      </c>
      <c r="O568" s="28" t="n">
        <v>0.6136</v>
      </c>
      <c r="P568" s="28" t="n">
        <v>0.05</v>
      </c>
      <c r="Q568" s="28" t="n">
        <v>-0.156515</v>
      </c>
      <c r="R568" s="26" t="n">
        <v>0</v>
      </c>
      <c r="S568" s="29" t="n">
        <v>1</v>
      </c>
      <c r="T568" s="24" t="inlineStr">
        <is>
          <t>tennis-surface-elo-v1</t>
        </is>
      </c>
      <c r="U568" s="24" t="inlineStr">
        <is>
          <t>settled</t>
        </is>
      </c>
      <c r="V568" s="24" t="inlineStr">
        <is>
          <t>win</t>
        </is>
      </c>
      <c r="W568" s="26" t="n">
        <v>0</v>
      </c>
      <c r="X568" s="26" t="n">
        <v>1</v>
      </c>
      <c r="Y568" s="25" t="n"/>
      <c r="Z568" s="26" t="n">
        <v>-335</v>
      </c>
      <c r="AA568" s="28" t="n">
        <v>0.77</v>
      </c>
      <c r="AB568" s="28" t="n">
        <v>-0.000115</v>
      </c>
      <c r="AC568" s="30" t="n">
        <v>0.2985</v>
      </c>
      <c r="AD568" s="24" t="inlineStr">
        <is>
          <t>2026-09-08T16:00:41.093806Z</t>
        </is>
      </c>
      <c r="AE568" s="31" t="inlineStr">
        <is>
          <t>Surface-blended Elo on Hard: Mona Barthel p=0.386 vs Fiona Ferro. Executable ask 0.7700 (aec-wta-fiofer-monbar-2026-09-07).</t>
        </is>
      </c>
      <c r="AF568" s="31" t="inlineStr">
        <is>
          <t>Surface-blended Elo model; singles only, WTA+ATP market coverage, not yet locked-holdout qualified -- promoted by explicit operator directive, not genuine walk-forward validation.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PAPER_CALL_LOW_EDGE</t>
        </is>
      </c>
      <c r="AP568" s="24" t="inlineStr">
        <is>
          <t>Mona Barthel</t>
        </is>
      </c>
      <c r="AQ568" s="24" t="inlineStr">
        <is>
          <t>Mona Barthel</t>
        </is>
      </c>
      <c r="AR568" s="24" t="inlineStr">
        <is>
          <t>Mona Barthel</t>
        </is>
      </c>
      <c r="AS568" s="24" t="inlineStr">
        <is>
          <t>Fiona Ferro</t>
        </is>
      </c>
      <c r="AT568" s="24" t="inlineStr">
        <is>
          <t>Fiona Ferro</t>
        </is>
      </c>
      <c r="AU568" s="24" t="inlineStr">
        <is>
          <t>Fiona Ferro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0ce66f49b381187fe6255a40ca2fdbfc155d5e36125ccf6d30fe81a72962eafa</t>
        </is>
      </c>
      <c r="BB568" s="24" t="inlineStr">
        <is>
          <t>surface_blended_elo</t>
        </is>
      </c>
      <c r="BC568" s="24" t="inlineStr">
        <is>
          <t>tennis-surface-elo-v1</t>
        </is>
      </c>
      <c r="BD568" s="24" t="inlineStr">
        <is>
          <t>0ce66f49b381187fe6255a40ca2fdbfc155d5e36125ccf6d30fe81a72962eafa</t>
        </is>
      </c>
      <c r="BE568" s="24" t="inlineStr">
        <is>
          <t>tennis-surface-elo-v1</t>
        </is>
      </c>
      <c r="BF568" s="24" t="inlineStr">
        <is>
          <t>1</t>
        </is>
      </c>
      <c r="BG568" s="24" t="inlineStr">
        <is>
          <t>0ce66f49b381187fe6255a40ca2fdbfc155d5e36125ccf6d30fe81a72962eafa</t>
        </is>
      </c>
      <c r="BH568" s="24" t="inlineStr">
        <is>
          <t>2026-09-08T04:33:39.595425Z</t>
        </is>
      </c>
      <c r="BI568" s="24" t="inlineStr">
        <is>
          <t>["same_event","same_team_same_day","same_league_same_day"]</t>
        </is>
      </c>
      <c r="BJ568" s="25" t="n"/>
      <c r="BK568" s="26" t="n">
        <v>-335</v>
      </c>
      <c r="BL568" s="27" t="n">
        <v>1.298507</v>
      </c>
      <c r="BM568" s="28" t="n">
        <v>0.770115</v>
      </c>
      <c r="BN568" s="28" t="n"/>
      <c r="BO568" s="28" t="n"/>
      <c r="BP568" s="25" t="n"/>
      <c r="BQ568" s="27" t="n">
        <v>1.298507</v>
      </c>
      <c r="BR568" s="28" t="n">
        <v>0.77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0.298507</v>
      </c>
      <c r="BZ568" s="24" t="inlineStr">
        <is>
          <t>2026-09-08T16:00:41.093806Z</t>
        </is>
      </c>
      <c r="CA568" s="31" t="inlineStr">
        <is>
          <t>fixed one-unit hypothetical scoring; no real exposure or execution</t>
        </is>
      </c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inlineStr">
        <is>
          <t>0f423741e8c0472ed68af5e4eea7d4744f99aee2ff41e18dbf1adfa1407d356e</t>
        </is>
      </c>
      <c r="DE568" s="24" t="inlineStr">
        <is>
          <t>/Users/vincentc9002/model-prediction/data/odds/tennis/2026-09-08/polymarket_snapshots.jsonl</t>
        </is>
      </c>
      <c r="DF568" s="24" t="inlineStr">
        <is>
          <t>691071:2026-09-08T04:33:39.595425Z</t>
        </is>
      </c>
      <c r="DG568" s="24" t="n"/>
      <c r="DH568" s="24" t="n"/>
      <c r="DI568" s="24" t="n"/>
      <c r="DJ568" s="24" t="inlineStr">
        <is>
          <t>0.770115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2c562c4253544a08</t>
        </is>
      </c>
      <c r="B569" s="24" t="inlineStr">
        <is>
          <t>2026-09-08T10:03:42.233393Z</t>
        </is>
      </c>
      <c r="C569" s="24" t="inlineStr">
        <is>
          <t>2026-09-08T12:00Z</t>
        </is>
      </c>
      <c r="D569" s="24" t="inlineStr">
        <is>
          <t>998-2026:183589</t>
        </is>
      </c>
      <c r="E569" s="24" t="inlineStr">
        <is>
          <t>TENNIS</t>
        </is>
      </c>
      <c r="F569" s="24" t="inlineStr">
        <is>
          <t>Barbora Palicova</t>
        </is>
      </c>
      <c r="G569" s="24" t="inlineStr">
        <is>
          <t>Alice Tubello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150</v>
      </c>
      <c r="M569" s="27" t="n">
        <v>2.5</v>
      </c>
      <c r="N569" s="28" t="n">
        <v>0.4</v>
      </c>
      <c r="O569" s="28" t="n">
        <v>0.5879</v>
      </c>
      <c r="P569" s="28" t="n">
        <v>0.05</v>
      </c>
      <c r="Q569" s="28" t="n">
        <v>0.1879</v>
      </c>
      <c r="R569" s="26" t="n">
        <v>100</v>
      </c>
      <c r="S569" s="29" t="n">
        <v>2</v>
      </c>
      <c r="T569" s="24" t="inlineStr">
        <is>
          <t>tennis-surface-elo-v1</t>
        </is>
      </c>
      <c r="U569" s="24" t="inlineStr">
        <is>
          <t>settled</t>
        </is>
      </c>
      <c r="V569" s="24" t="inlineStr">
        <is>
          <t>loss</t>
        </is>
      </c>
      <c r="W569" s="26" t="n">
        <v>1</v>
      </c>
      <c r="X569" s="26" t="n">
        <v>0</v>
      </c>
      <c r="Y569" s="25" t="n"/>
      <c r="Z569" s="26" t="n">
        <v>150</v>
      </c>
      <c r="AA569" s="28" t="n">
        <v>0.4</v>
      </c>
      <c r="AB569" s="28" t="n">
        <v>0</v>
      </c>
      <c r="AC569" s="30" t="n">
        <v>-2</v>
      </c>
      <c r="AD569" s="24" t="inlineStr">
        <is>
          <t>2026-09-08T16:00:43.297815Z</t>
        </is>
      </c>
      <c r="AE569" s="31" t="inlineStr">
        <is>
          <t>Surface-blended Elo on Hard: Barbora Palicova p=0.412 vs Alice Tubello. Executable ask 0.4000 (aec-wta-alitub-barpal-2026-09-07).</t>
        </is>
      </c>
      <c r="AF569" s="31" t="inlineStr">
        <is>
          <t>Surface-blended Elo model; singles only, WTA+ATP market coverage, not yet locked-holdout qualified -- promoted by explicit operator directive, not genuine walk-forward validation.</t>
        </is>
      </c>
      <c r="AG569" s="24" t="inlineStr">
        <is>
          <t>review_required</t>
        </is>
      </c>
      <c r="AH569" s="24" t="n"/>
      <c r="AI569" s="31" t="n"/>
      <c r="AJ569" s="31" t="n"/>
      <c r="AK569" s="24" t="inlineStr">
        <is>
          <t>model_qualified</t>
        </is>
      </c>
      <c r="AL569" s="26" t="n">
        <v>4</v>
      </c>
      <c r="AM569" s="24" t="inlineStr">
        <is>
          <t>QUALIFIED_SHADOW_CALL</t>
        </is>
      </c>
      <c r="AN569" s="24" t="inlineStr">
        <is>
          <t>CALL</t>
        </is>
      </c>
      <c r="AO569" s="24" t="inlineStr">
        <is>
          <t>QUALIFIED</t>
        </is>
      </c>
      <c r="AP569" s="24" t="inlineStr">
        <is>
          <t>Barbora Palicova</t>
        </is>
      </c>
      <c r="AQ569" s="24" t="inlineStr">
        <is>
          <t>Barbora Palicova</t>
        </is>
      </c>
      <c r="AR569" s="24" t="inlineStr">
        <is>
          <t>Barbora Palicova</t>
        </is>
      </c>
      <c r="AS569" s="24" t="inlineStr">
        <is>
          <t>Alice Tubello</t>
        </is>
      </c>
      <c r="AT569" s="24" t="inlineStr">
        <is>
          <t>Alice Tubello</t>
        </is>
      </c>
      <c r="AU569" s="24" t="inlineStr">
        <is>
          <t>Alice Tubello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0ce66f49b381187fe6255a40ca2fdbfc155d5e36125ccf6d30fe81a72962eafa</t>
        </is>
      </c>
      <c r="BB569" s="24" t="inlineStr">
        <is>
          <t>surface_blended_elo</t>
        </is>
      </c>
      <c r="BC569" s="24" t="inlineStr">
        <is>
          <t>tennis-surface-elo-v1</t>
        </is>
      </c>
      <c r="BD569" s="24" t="inlineStr">
        <is>
          <t>0ce66f49b381187fe6255a40ca2fdbfc155d5e36125ccf6d30fe81a72962eafa</t>
        </is>
      </c>
      <c r="BE569" s="24" t="inlineStr">
        <is>
          <t>tennis-surface-elo-v1</t>
        </is>
      </c>
      <c r="BF569" s="24" t="inlineStr">
        <is>
          <t>1</t>
        </is>
      </c>
      <c r="BG569" s="24" t="inlineStr">
        <is>
          <t>0ce66f49b381187fe6255a40ca2fdbfc155d5e36125ccf6d30fe81a72962eafa</t>
        </is>
      </c>
      <c r="BH569" s="24" t="inlineStr">
        <is>
          <t>2026-09-08T04:33:39.589868Z</t>
        </is>
      </c>
      <c r="BI569" s="24" t="inlineStr">
        <is>
          <t>["same_event","same_team_same_day","same_league_same_day"]</t>
        </is>
      </c>
      <c r="BJ569" s="25" t="n"/>
      <c r="BK569" s="26" t="n">
        <v>150</v>
      </c>
      <c r="BL569" s="27" t="n">
        <v>2.5</v>
      </c>
      <c r="BM569" s="28" t="n">
        <v>0.4</v>
      </c>
      <c r="BN569" s="28" t="n"/>
      <c r="BO569" s="28" t="n"/>
      <c r="BP569" s="25" t="n"/>
      <c r="BQ569" s="27" t="n">
        <v>2.5</v>
      </c>
      <c r="BR569" s="28" t="n">
        <v>0.4</v>
      </c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True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inlineStr">
        <is>
          <t>4bdb4ba3a242fbf4191359fbd412f18abcad3951a71db21fb950fe0618a6d626</t>
        </is>
      </c>
      <c r="DE569" s="24" t="inlineStr">
        <is>
          <t>/Users/vincentc9002/model-prediction/data/odds/tennis/2026-09-08/polymarket_snapshots.jsonl</t>
        </is>
      </c>
      <c r="DF569" s="24" t="inlineStr">
        <is>
          <t>691070:2026-09-08T04:33:39.589868Z</t>
        </is>
      </c>
      <c r="DG569" s="24" t="n"/>
      <c r="DH569" s="24" t="n"/>
      <c r="DI569" s="24" t="n"/>
      <c r="DJ569" s="24" t="inlineStr">
        <is>
          <t>0.4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c63daf6d2fb64421</t>
        </is>
      </c>
      <c r="B570" s="24" t="inlineStr">
        <is>
          <t>2026-09-08T10:03:42.233393Z</t>
        </is>
      </c>
      <c r="C570" s="24" t="inlineStr">
        <is>
          <t>2026-09-08T14:00Z</t>
        </is>
      </c>
      <c r="D570" s="24" t="inlineStr">
        <is>
          <t>998-2026:183577</t>
        </is>
      </c>
      <c r="E570" s="24" t="inlineStr">
        <is>
          <t>TENNIS</t>
        </is>
      </c>
      <c r="F570" s="24" t="inlineStr">
        <is>
          <t>Rebeka Masarova</t>
        </is>
      </c>
      <c r="G570" s="24" t="inlineStr">
        <is>
          <t>Simona Waltert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-133</v>
      </c>
      <c r="M570" s="27" t="n">
        <v>1.75188</v>
      </c>
      <c r="N570" s="28" t="n">
        <v>0.570815</v>
      </c>
      <c r="O570" s="28" t="n">
        <v>0.5727</v>
      </c>
      <c r="P570" s="28" t="n">
        <v>0.05</v>
      </c>
      <c r="Q570" s="28" t="n">
        <v>0.001885</v>
      </c>
      <c r="R570" s="26" t="n">
        <v>21</v>
      </c>
      <c r="S570" s="29" t="n">
        <v>1</v>
      </c>
      <c r="T570" s="24" t="inlineStr">
        <is>
          <t>tennis-surface-elo-v1</t>
        </is>
      </c>
      <c r="U570" s="24" t="inlineStr">
        <is>
          <t>settled</t>
        </is>
      </c>
      <c r="V570" s="24" t="inlineStr">
        <is>
          <t>win</t>
        </is>
      </c>
      <c r="W570" s="26" t="n">
        <v>0</v>
      </c>
      <c r="X570" s="26" t="n">
        <v>1</v>
      </c>
      <c r="Y570" s="25" t="n"/>
      <c r="Z570" s="26" t="n">
        <v>-133</v>
      </c>
      <c r="AA570" s="28" t="n">
        <v>0.57</v>
      </c>
      <c r="AB570" s="28" t="n">
        <v>-0.000815</v>
      </c>
      <c r="AC570" s="30" t="n">
        <v>0.7519</v>
      </c>
      <c r="AD570" s="24" t="inlineStr">
        <is>
          <t>2026-09-08T22:10:12.656752Z</t>
        </is>
      </c>
      <c r="AE570" s="31" t="inlineStr">
        <is>
          <t>Surface-blended Elo on Hard: Rebeka Masarova p=0.427 vs Simona Waltert. Executable ask 0.5700 (aec-wta-simwal-rebmas-2026-09-07).</t>
        </is>
      </c>
      <c r="AF570" s="31" t="inlineStr">
        <is>
          <t>Surface-blended Elo model; singles only, WTA+ATP market coverage, not yet locked-holdout qualified -- promoted by explicit operator directive, not genuine walk-forward validation.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PAPER_CALL_LOW_EDGE</t>
        </is>
      </c>
      <c r="AP570" s="24" t="inlineStr">
        <is>
          <t>Rebeka Masarova</t>
        </is>
      </c>
      <c r="AQ570" s="24" t="inlineStr">
        <is>
          <t>Rebeka Masarova</t>
        </is>
      </c>
      <c r="AR570" s="24" t="inlineStr">
        <is>
          <t>Rebeka Masarova</t>
        </is>
      </c>
      <c r="AS570" s="24" t="inlineStr">
        <is>
          <t>Simona Waltert</t>
        </is>
      </c>
      <c r="AT570" s="24" t="inlineStr">
        <is>
          <t>Simona Waltert</t>
        </is>
      </c>
      <c r="AU570" s="24" t="inlineStr">
        <is>
          <t>Simona Waltert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0ce66f49b381187fe6255a40ca2fdbfc155d5e36125ccf6d30fe81a72962eafa</t>
        </is>
      </c>
      <c r="BB570" s="24" t="inlineStr">
        <is>
          <t>surface_blended_elo</t>
        </is>
      </c>
      <c r="BC570" s="24" t="inlineStr">
        <is>
          <t>tennis-surface-elo-v1</t>
        </is>
      </c>
      <c r="BD570" s="24" t="inlineStr">
        <is>
          <t>0ce66f49b381187fe6255a40ca2fdbfc155d5e36125ccf6d30fe81a72962eafa</t>
        </is>
      </c>
      <c r="BE570" s="24" t="inlineStr">
        <is>
          <t>tennis-surface-elo-v1</t>
        </is>
      </c>
      <c r="BF570" s="24" t="inlineStr">
        <is>
          <t>1</t>
        </is>
      </c>
      <c r="BG570" s="24" t="inlineStr">
        <is>
          <t>0ce66f49b381187fe6255a40ca2fdbfc155d5e36125ccf6d30fe81a72962eafa</t>
        </is>
      </c>
      <c r="BH570" s="24" t="inlineStr">
        <is>
          <t>2026-09-08T04:33:39.612431Z</t>
        </is>
      </c>
      <c r="BI570" s="24" t="inlineStr">
        <is>
          <t>["same_event","same_team_same_day","same_league_same_day"]</t>
        </is>
      </c>
      <c r="BJ570" s="25" t="n"/>
      <c r="BK570" s="26" t="n">
        <v>-133</v>
      </c>
      <c r="BL570" s="27" t="n">
        <v>1.75188</v>
      </c>
      <c r="BM570" s="28" t="n">
        <v>0.570815</v>
      </c>
      <c r="BN570" s="28" t="n"/>
      <c r="BO570" s="28" t="n"/>
      <c r="BP570" s="25" t="n"/>
      <c r="BQ570" s="27" t="n">
        <v>1.75188</v>
      </c>
      <c r="BR570" s="28" t="n">
        <v>0.57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0.751881</v>
      </c>
      <c r="BZ570" s="24" t="inlineStr">
        <is>
          <t>2026-09-08T22:10:12.656752Z</t>
        </is>
      </c>
      <c r="CA570" s="31" t="inlineStr">
        <is>
          <t>fixed one-unit hypothetical scoring; no real exposure or execution</t>
        </is>
      </c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inlineStr">
        <is>
          <t>cb8515b903eb342a8e4cdeaecd9522f28f839454b6c1d83f6914742d83f8ee71</t>
        </is>
      </c>
      <c r="DE570" s="24" t="inlineStr">
        <is>
          <t>/Users/vincentc9002/model-prediction/data/odds/tennis/2026-09-08/polymarket_snapshots.jsonl</t>
        </is>
      </c>
      <c r="DF570" s="24" t="inlineStr">
        <is>
          <t>691074:2026-09-08T04:33:39.612431Z</t>
        </is>
      </c>
      <c r="DG570" s="24" t="n"/>
      <c r="DH570" s="24" t="n"/>
      <c r="DI570" s="24" t="n"/>
      <c r="DJ570" s="24" t="inlineStr">
        <is>
          <t>0.570815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4b0f76445dfc40b3</t>
        </is>
      </c>
      <c r="B571" s="24" t="inlineStr">
        <is>
          <t>2026-09-08T10:03:42.233393Z</t>
        </is>
      </c>
      <c r="C571" s="24" t="inlineStr">
        <is>
          <t>2026-09-08T10:30Z</t>
        </is>
      </c>
      <c r="D571" s="24" t="inlineStr">
        <is>
          <t>1076-2026:183535</t>
        </is>
      </c>
      <c r="E571" s="24" t="inlineStr">
        <is>
          <t>TENNIS</t>
        </is>
      </c>
      <c r="F571" s="24" t="inlineStr">
        <is>
          <t>Rositsa Dencheva</t>
        </is>
      </c>
      <c r="G571" s="24" t="inlineStr">
        <is>
          <t>Ipek Oz</t>
        </is>
      </c>
      <c r="H571" s="24" t="inlineStr">
        <is>
          <t>moneyline</t>
        </is>
      </c>
      <c r="I571" s="24" t="inlineStr">
        <is>
          <t>away</t>
        </is>
      </c>
      <c r="J571" s="25" t="n"/>
      <c r="K571" s="24" t="inlineStr">
        <is>
          <t>polymarket_us</t>
        </is>
      </c>
      <c r="L571" s="26" t="n">
        <v>-257</v>
      </c>
      <c r="M571" s="27" t="n">
        <v>1.389105</v>
      </c>
      <c r="N571" s="28" t="n">
        <v>0.719888</v>
      </c>
      <c r="O571" s="28" t="n">
        <v>0.6264</v>
      </c>
      <c r="P571" s="28" t="n">
        <v>0.05</v>
      </c>
      <c r="Q571" s="28" t="n">
        <v>-0.093488</v>
      </c>
      <c r="R571" s="26" t="n">
        <v>0</v>
      </c>
      <c r="S571" s="29" t="n">
        <v>1</v>
      </c>
      <c r="T571" s="24" t="inlineStr">
        <is>
          <t>tennis-surface-elo-v1</t>
        </is>
      </c>
      <c r="U571" s="24" t="inlineStr">
        <is>
          <t>settled</t>
        </is>
      </c>
      <c r="V571" s="24" t="inlineStr">
        <is>
          <t>win</t>
        </is>
      </c>
      <c r="W571" s="26" t="n">
        <v>1</v>
      </c>
      <c r="X571" s="26" t="n">
        <v>0</v>
      </c>
      <c r="Y571" s="25" t="n"/>
      <c r="Z571" s="26" t="n">
        <v>-257</v>
      </c>
      <c r="AA571" s="28" t="n">
        <v>0.72</v>
      </c>
      <c r="AB571" s="28" t="n">
        <v>0.000112</v>
      </c>
      <c r="AC571" s="30" t="n">
        <v>0.3891</v>
      </c>
      <c r="AD571" s="24" t="inlineStr">
        <is>
          <t>2026-09-08T16:00:45.492818Z</t>
        </is>
      </c>
      <c r="AE571" s="31" t="inlineStr">
        <is>
          <t>Surface-blended Elo on Hard: Rositsa Dencheva p=0.626 vs Ipek Oz. Executable ask 0.7200 (aec-wta-ipeoz-rosden-2026-09-08).</t>
        </is>
      </c>
      <c r="AF571" s="31" t="inlineStr">
        <is>
          <t>Surface-blended Elo model; singles only, WTA+ATP market coverage, not yet locked-holdout qualified -- promoted by explicit operator directive, not genuine walk-forward validation.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PAPER_CALL_MODEL_UNVALIDATED</t>
        </is>
      </c>
      <c r="AP571" s="24" t="inlineStr">
        <is>
          <t>Rositsa Dencheva</t>
        </is>
      </c>
      <c r="AQ571" s="24" t="inlineStr">
        <is>
          <t>Rositsa Dencheva</t>
        </is>
      </c>
      <c r="AR571" s="24" t="inlineStr">
        <is>
          <t>Rositsa Dencheva</t>
        </is>
      </c>
      <c r="AS571" s="24" t="inlineStr">
        <is>
          <t>Ipek Oz</t>
        </is>
      </c>
      <c r="AT571" s="24" t="inlineStr">
        <is>
          <t>Ipek Oz</t>
        </is>
      </c>
      <c r="AU571" s="24" t="inlineStr">
        <is>
          <t>Ipek Oz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0ce66f49b381187fe6255a40ca2fdbfc155d5e36125ccf6d30fe81a72962eafa</t>
        </is>
      </c>
      <c r="BB571" s="24" t="inlineStr">
        <is>
          <t>surface_blended_elo</t>
        </is>
      </c>
      <c r="BC571" s="24" t="inlineStr">
        <is>
          <t>tennis-surface-elo-v1</t>
        </is>
      </c>
      <c r="BD571" s="24" t="inlineStr">
        <is>
          <t>0ce66f49b381187fe6255a40ca2fdbfc155d5e36125ccf6d30fe81a72962eafa</t>
        </is>
      </c>
      <c r="BE571" s="24" t="inlineStr">
        <is>
          <t>tennis-surface-elo-v1</t>
        </is>
      </c>
      <c r="BF571" s="24" t="inlineStr">
        <is>
          <t>1</t>
        </is>
      </c>
      <c r="BG571" s="24" t="inlineStr">
        <is>
          <t>0ce66f49b381187fe6255a40ca2fdbfc155d5e36125ccf6d30fe81a72962eafa</t>
        </is>
      </c>
      <c r="BH571" s="24" t="inlineStr">
        <is>
          <t>2026-09-08T04:33:39.581019Z</t>
        </is>
      </c>
      <c r="BI571" s="24" t="inlineStr">
        <is>
          <t>["same_event","same_team_same_day","same_league_same_day"]</t>
        </is>
      </c>
      <c r="BJ571" s="25" t="n"/>
      <c r="BK571" s="26" t="n">
        <v>-257</v>
      </c>
      <c r="BL571" s="27" t="n">
        <v>1.389105</v>
      </c>
      <c r="BM571" s="28" t="n">
        <v>0.719888</v>
      </c>
      <c r="BN571" s="28" t="n"/>
      <c r="BO571" s="28" t="n"/>
      <c r="BP571" s="25" t="n"/>
      <c r="BQ571" s="27" t="n">
        <v>1.389105</v>
      </c>
      <c r="BR571" s="28" t="n">
        <v>0.72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0.389105</v>
      </c>
      <c r="BZ571" s="24" t="inlineStr">
        <is>
          <t>2026-09-08T16:00:45.492818Z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False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inlineStr">
        <is>
          <t>3443374d102d09a4d23448bc88f7d2c1b19168842abab48cc7ef8c34e49465c9</t>
        </is>
      </c>
      <c r="DE571" s="24" t="inlineStr">
        <is>
          <t>/Users/vincentc9002/model-prediction/data/odds/tennis/2026-09-08/polymarket_snapshots.jsonl</t>
        </is>
      </c>
      <c r="DF571" s="24" t="inlineStr">
        <is>
          <t>719077:2026-09-08T04:33:39.581019Z</t>
        </is>
      </c>
      <c r="DG571" s="24" t="n"/>
      <c r="DH571" s="24" t="n"/>
      <c r="DI571" s="24" t="n"/>
      <c r="DJ571" s="24" t="inlineStr">
        <is>
          <t>0.719888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20e8b15aaf684f22</t>
        </is>
      </c>
      <c r="B572" s="24" t="inlineStr">
        <is>
          <t>2026-09-08T10:03:42.233393Z</t>
        </is>
      </c>
      <c r="C572" s="24" t="inlineStr">
        <is>
          <t>2026-09-08T11:30Z</t>
        </is>
      </c>
      <c r="D572" s="24" t="inlineStr">
        <is>
          <t>1076-2026:183552</t>
        </is>
      </c>
      <c r="E572" s="24" t="inlineStr">
        <is>
          <t>TENNIS</t>
        </is>
      </c>
      <c r="F572" s="24" t="inlineStr">
        <is>
          <t>Alicia Herrero Linana</t>
        </is>
      </c>
      <c r="G572" s="24" t="inlineStr">
        <is>
          <t>Nastasja Schunk</t>
        </is>
      </c>
      <c r="H572" s="24" t="inlineStr">
        <is>
          <t>moneyline</t>
        </is>
      </c>
      <c r="I572" s="24" t="inlineStr">
        <is>
          <t>away</t>
        </is>
      </c>
      <c r="J572" s="25" t="n"/>
      <c r="K572" s="24" t="inlineStr">
        <is>
          <t>polymarket_us</t>
        </is>
      </c>
      <c r="L572" s="26" t="n">
        <v>245</v>
      </c>
      <c r="M572" s="27" t="n">
        <v>3.45</v>
      </c>
      <c r="N572" s="28" t="n">
        <v>0.289855</v>
      </c>
      <c r="O572" s="28" t="n">
        <v>0.6059</v>
      </c>
      <c r="P572" s="28" t="n">
        <v>0.05</v>
      </c>
      <c r="Q572" s="28" t="n">
        <v>0.316045</v>
      </c>
      <c r="R572" s="26" t="n">
        <v>100</v>
      </c>
      <c r="S572" s="29" t="n">
        <v>2</v>
      </c>
      <c r="T572" s="24" t="inlineStr">
        <is>
          <t>tennis-surface-elo-v1</t>
        </is>
      </c>
      <c r="U572" s="24" t="inlineStr">
        <is>
          <t>settled</t>
        </is>
      </c>
      <c r="V572" s="24" t="inlineStr">
        <is>
          <t>win</t>
        </is>
      </c>
      <c r="W572" s="26" t="n">
        <v>1</v>
      </c>
      <c r="X572" s="26" t="n">
        <v>0</v>
      </c>
      <c r="Y572" s="25" t="n"/>
      <c r="Z572" s="26" t="n">
        <v>245</v>
      </c>
      <c r="AA572" s="28" t="n">
        <v>0.29</v>
      </c>
      <c r="AB572" s="28" t="n">
        <v>0.000145</v>
      </c>
      <c r="AC572" s="30" t="n">
        <v>4.9</v>
      </c>
      <c r="AD572" s="24" t="inlineStr">
        <is>
          <t>2026-09-08T22:10:14.921536Z</t>
        </is>
      </c>
      <c r="AE572" s="31" t="inlineStr">
        <is>
          <t>Surface-blended Elo on Hard: Alicia Herrero Linana p=0.606 vs Nastasja Schunk. Executable ask 0.2900 (aec-wta-nassch-alilin-2026-09-08).</t>
        </is>
      </c>
      <c r="AF572" s="31" t="inlineStr">
        <is>
          <t>Surface-blended Elo model; singles only, WTA+ATP market coverage, not yet locked-holdout qualified -- promoted by explicit operator directive, not genuine walk-forward validation.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model_qualified</t>
        </is>
      </c>
      <c r="AL572" s="26" t="n">
        <v>4</v>
      </c>
      <c r="AM572" s="24" t="inlineStr">
        <is>
          <t>QUALIFIED_SHADOW_CALL</t>
        </is>
      </c>
      <c r="AN572" s="24" t="inlineStr">
        <is>
          <t>CALL</t>
        </is>
      </c>
      <c r="AO572" s="24" t="inlineStr">
        <is>
          <t>QUALIFIED</t>
        </is>
      </c>
      <c r="AP572" s="24" t="inlineStr">
        <is>
          <t>Alicia Herrero Linana</t>
        </is>
      </c>
      <c r="AQ572" s="24" t="inlineStr">
        <is>
          <t>Alicia Herrero Linana</t>
        </is>
      </c>
      <c r="AR572" s="24" t="inlineStr">
        <is>
          <t>Alicia Herrero Linana</t>
        </is>
      </c>
      <c r="AS572" s="24" t="inlineStr">
        <is>
          <t>Nastasja Schunk</t>
        </is>
      </c>
      <c r="AT572" s="24" t="inlineStr">
        <is>
          <t>Nastasja Schunk</t>
        </is>
      </c>
      <c r="AU572" s="24" t="inlineStr">
        <is>
          <t>Nastasja Schunk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0ce66f49b381187fe6255a40ca2fdbfc155d5e36125ccf6d30fe81a72962eafa</t>
        </is>
      </c>
      <c r="BB572" s="24" t="inlineStr">
        <is>
          <t>surface_blended_elo</t>
        </is>
      </c>
      <c r="BC572" s="24" t="inlineStr">
        <is>
          <t>tennis-surface-elo-v1</t>
        </is>
      </c>
      <c r="BD572" s="24" t="inlineStr">
        <is>
          <t>0ce66f49b381187fe6255a40ca2fdbfc155d5e36125ccf6d30fe81a72962eafa</t>
        </is>
      </c>
      <c r="BE572" s="24" t="inlineStr">
        <is>
          <t>tennis-surface-elo-v1</t>
        </is>
      </c>
      <c r="BF572" s="24" t="inlineStr">
        <is>
          <t>1</t>
        </is>
      </c>
      <c r="BG572" s="24" t="inlineStr">
        <is>
          <t>0ce66f49b381187fe6255a40ca2fdbfc155d5e36125ccf6d30fe81a72962eafa</t>
        </is>
      </c>
      <c r="BH572" s="24" t="inlineStr">
        <is>
          <t>2026-09-08T04:33:39.590802Z</t>
        </is>
      </c>
      <c r="BI572" s="24" t="inlineStr">
        <is>
          <t>["same_event","same_team_same_day","same_league_same_day"]</t>
        </is>
      </c>
      <c r="BJ572" s="25" t="n"/>
      <c r="BK572" s="26" t="n">
        <v>245</v>
      </c>
      <c r="BL572" s="27" t="n">
        <v>3.45</v>
      </c>
      <c r="BM572" s="28" t="n">
        <v>0.289855</v>
      </c>
      <c r="BN572" s="28" t="n"/>
      <c r="BO572" s="28" t="n"/>
      <c r="BP572" s="25" t="n"/>
      <c r="BQ572" s="27" t="n">
        <v>3.45</v>
      </c>
      <c r="BR572" s="28" t="n">
        <v>0.29</v>
      </c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inlineStr">
        <is>
          <t>4bae7bcba2ef531c2b823ccc56473692280bf902b5daf166aa72b9aa210dcc23</t>
        </is>
      </c>
      <c r="DE572" s="24" t="inlineStr">
        <is>
          <t>/Users/vincentc9002/model-prediction/data/odds/tennis/2026-09-08/polymarket_snapshots.jsonl</t>
        </is>
      </c>
      <c r="DF572" s="24" t="inlineStr">
        <is>
          <t>718752:2026-09-08T04:33:39.590802Z</t>
        </is>
      </c>
      <c r="DG572" s="24" t="n"/>
      <c r="DH572" s="24" t="n"/>
      <c r="DI572" s="24" t="n"/>
      <c r="DJ572" s="24" t="inlineStr">
        <is>
          <t>0.289855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aca27bbce6424158</t>
        </is>
      </c>
      <c r="B573" s="24" t="inlineStr">
        <is>
          <t>2026-09-08T10:03:42.233393Z</t>
        </is>
      </c>
      <c r="C573" s="24" t="inlineStr">
        <is>
          <t>2026-09-08T11:30Z</t>
        </is>
      </c>
      <c r="D573" s="24" t="inlineStr">
        <is>
          <t>1076-2026:183544</t>
        </is>
      </c>
      <c r="E573" s="24" t="inlineStr">
        <is>
          <t>TENNIS</t>
        </is>
      </c>
      <c r="F573" s="24" t="inlineStr">
        <is>
          <t>Ane Mintegi Del Olmo</t>
        </is>
      </c>
      <c r="G573" s="24" t="inlineStr">
        <is>
          <t>Elena Pridankina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-163</v>
      </c>
      <c r="M573" s="27" t="n">
        <v>1.613497</v>
      </c>
      <c r="N573" s="28" t="n">
        <v>0.619772</v>
      </c>
      <c r="O573" s="28" t="n">
        <v>0.6363</v>
      </c>
      <c r="P573" s="28" t="n">
        <v>0.05</v>
      </c>
      <c r="Q573" s="28" t="n">
        <v>0.016528</v>
      </c>
      <c r="R573" s="26" t="n">
        <v>28</v>
      </c>
      <c r="S573" s="29" t="n">
        <v>1</v>
      </c>
      <c r="T573" s="24" t="inlineStr">
        <is>
          <t>tennis-surface-elo-v1</t>
        </is>
      </c>
      <c r="U573" s="24" t="inlineStr">
        <is>
          <t>settled</t>
        </is>
      </c>
      <c r="V573" s="24" t="inlineStr">
        <is>
          <t>loss</t>
        </is>
      </c>
      <c r="W573" s="26" t="n">
        <v>1</v>
      </c>
      <c r="X573" s="26" t="n">
        <v>0</v>
      </c>
      <c r="Y573" s="25" t="n"/>
      <c r="Z573" s="26" t="n">
        <v>-163</v>
      </c>
      <c r="AA573" s="28" t="n">
        <v>0.62</v>
      </c>
      <c r="AB573" s="28" t="n">
        <v>0.000228</v>
      </c>
      <c r="AC573" s="30" t="n">
        <v>-1</v>
      </c>
      <c r="AD573" s="24" t="inlineStr">
        <is>
          <t>2026-09-08T16:00:47.670411Z</t>
        </is>
      </c>
      <c r="AE573" s="31" t="inlineStr">
        <is>
          <t>Surface-blended Elo on Hard: Ane Mintegi Del Olmo p=0.364 vs Elena Pridankina. Executable ask 0.6200 (aec-wta-elepri-aneolm-2026-09-07).</t>
        </is>
      </c>
      <c r="AF573" s="31" t="inlineStr">
        <is>
          <t>Surface-blended Elo model; singles only, WTA+ATP market coverage, not yet locked-holdout qualified -- promoted by explicit operator directive, not genuine walk-forward validation.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PAPER_CALL_LOW_EDGE</t>
        </is>
      </c>
      <c r="AP573" s="24" t="inlineStr">
        <is>
          <t>Ane Mintegi Del Olmo</t>
        </is>
      </c>
      <c r="AQ573" s="24" t="inlineStr">
        <is>
          <t>Ane Mintegi Del Olmo</t>
        </is>
      </c>
      <c r="AR573" s="24" t="inlineStr">
        <is>
          <t>Ane Mintegi Del Olmo</t>
        </is>
      </c>
      <c r="AS573" s="24" t="inlineStr">
        <is>
          <t>Elena Pridankina</t>
        </is>
      </c>
      <c r="AT573" s="24" t="inlineStr">
        <is>
          <t>Elena Pridankina</t>
        </is>
      </c>
      <c r="AU573" s="24" t="inlineStr">
        <is>
          <t>Elena Pridankina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0ce66f49b381187fe6255a40ca2fdbfc155d5e36125ccf6d30fe81a72962eafa</t>
        </is>
      </c>
      <c r="BB573" s="24" t="inlineStr">
        <is>
          <t>surface_blended_elo</t>
        </is>
      </c>
      <c r="BC573" s="24" t="inlineStr">
        <is>
          <t>tennis-surface-elo-v1</t>
        </is>
      </c>
      <c r="BD573" s="24" t="inlineStr">
        <is>
          <t>0ce66f49b381187fe6255a40ca2fdbfc155d5e36125ccf6d30fe81a72962eafa</t>
        </is>
      </c>
      <c r="BE573" s="24" t="inlineStr">
        <is>
          <t>tennis-surface-elo-v1</t>
        </is>
      </c>
      <c r="BF573" s="24" t="inlineStr">
        <is>
          <t>1</t>
        </is>
      </c>
      <c r="BG573" s="24" t="inlineStr">
        <is>
          <t>0ce66f49b381187fe6255a40ca2fdbfc155d5e36125ccf6d30fe81a72962eafa</t>
        </is>
      </c>
      <c r="BH573" s="24" t="inlineStr">
        <is>
          <t>2026-09-08T04:33:39.579223Z</t>
        </is>
      </c>
      <c r="BI573" s="24" t="inlineStr">
        <is>
          <t>["same_event","same_team_same_day","same_league_same_day"]</t>
        </is>
      </c>
      <c r="BJ573" s="25" t="n"/>
      <c r="BK573" s="26" t="n">
        <v>-163</v>
      </c>
      <c r="BL573" s="27" t="n">
        <v>1.613497</v>
      </c>
      <c r="BM573" s="28" t="n">
        <v>0.619772</v>
      </c>
      <c r="BN573" s="28" t="n"/>
      <c r="BO573" s="28" t="n"/>
      <c r="BP573" s="25" t="n"/>
      <c r="BQ573" s="27" t="n">
        <v>1.613497</v>
      </c>
      <c r="BR573" s="28" t="n">
        <v>0.62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2026-09-08T16:00:47.670411Z</t>
        </is>
      </c>
      <c r="CA573" s="31" t="inlineStr">
        <is>
          <t>fixed one-unit hypothetical scoring; no real exposure or execution</t>
        </is>
      </c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inlineStr">
        <is>
          <t>4bb3c285189ee0e234c060eaead85eb76bfa2527cee3e9524c3c9f475eee28f6</t>
        </is>
      </c>
      <c r="DE573" s="24" t="inlineStr">
        <is>
          <t>/Users/vincentc9002/model-prediction/data/odds/tennis/2026-09-08/polymarket_snapshots.jsonl</t>
        </is>
      </c>
      <c r="DF573" s="24" t="inlineStr">
        <is>
          <t>707244:2026-09-08T04:33:39.579223Z</t>
        </is>
      </c>
      <c r="DG573" s="24" t="n"/>
      <c r="DH573" s="24" t="n"/>
      <c r="DI573" s="24" t="n"/>
      <c r="DJ573" s="24" t="inlineStr">
        <is>
          <t>0.619772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8ffdf21bd1c3453f</t>
        </is>
      </c>
      <c r="B574" s="24" t="inlineStr">
        <is>
          <t>2026-09-08T10:03:42.233393Z</t>
        </is>
      </c>
      <c r="C574" s="24" t="inlineStr">
        <is>
          <t>2026-09-08T13:00Z</t>
        </is>
      </c>
      <c r="D574" s="24" t="inlineStr">
        <is>
          <t>1076-2026:183533</t>
        </is>
      </c>
      <c r="E574" s="24" t="inlineStr">
        <is>
          <t>TENNIS</t>
        </is>
      </c>
      <c r="F574" s="24" t="inlineStr">
        <is>
          <t>Cagla Buyukakcay</t>
        </is>
      </c>
      <c r="G574" s="24" t="inlineStr">
        <is>
          <t>Yasmine Kabbaj</t>
        </is>
      </c>
      <c r="H574" s="24" t="inlineStr">
        <is>
          <t>moneyline</t>
        </is>
      </c>
      <c r="I574" s="24" t="inlineStr">
        <is>
          <t>home</t>
        </is>
      </c>
      <c r="J574" s="25" t="n"/>
      <c r="K574" s="24" t="inlineStr">
        <is>
          <t>polymarket_us</t>
        </is>
      </c>
      <c r="L574" s="26" t="n">
        <v>-317</v>
      </c>
      <c r="M574" s="27" t="n">
        <v>1.315457</v>
      </c>
      <c r="N574" s="28" t="n">
        <v>0.760192</v>
      </c>
      <c r="O574" s="28" t="n">
        <v>0.6731</v>
      </c>
      <c r="P574" s="28" t="n">
        <v>0.05</v>
      </c>
      <c r="Q574" s="28" t="n">
        <v>-0.087092</v>
      </c>
      <c r="R574" s="26" t="n">
        <v>0</v>
      </c>
      <c r="S574" s="29" t="n">
        <v>1</v>
      </c>
      <c r="T574" s="24" t="inlineStr">
        <is>
          <t>tennis-surface-elo-v1</t>
        </is>
      </c>
      <c r="U574" s="24" t="inlineStr">
        <is>
          <t>settled</t>
        </is>
      </c>
      <c r="V574" s="24" t="inlineStr">
        <is>
          <t>loss</t>
        </is>
      </c>
      <c r="W574" s="26" t="n">
        <v>1</v>
      </c>
      <c r="X574" s="26" t="n">
        <v>0</v>
      </c>
      <c r="Y574" s="25" t="n"/>
      <c r="Z574" s="26" t="n">
        <v>-317</v>
      </c>
      <c r="AA574" s="28" t="n">
        <v>0.76</v>
      </c>
      <c r="AB574" s="28" t="n">
        <v>-0.000192</v>
      </c>
      <c r="AC574" s="30" t="n">
        <v>-1</v>
      </c>
      <c r="AD574" s="24" t="inlineStr">
        <is>
          <t>2026-09-08T22:10:17.105761Z</t>
        </is>
      </c>
      <c r="AE574" s="31" t="inlineStr">
        <is>
          <t>Surface-blended Elo on Hard: Cagla Buyukakcay p=0.327 vs Yasmine Kabbaj. Executable ask 0.7600 (aec-wta-yaskab-cagbuy-2026-09-07).</t>
        </is>
      </c>
      <c r="AF574" s="31" t="inlineStr">
        <is>
          <t>Surface-blended Elo model; singles only, WTA+ATP market coverage, not yet locked-holdout qualified -- promoted by explicit operator directive, not genuine walk-forward validation.</t>
        </is>
      </c>
      <c r="AG574" s="24" t="inlineStr">
        <is>
          <t>review_required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PAPER_CALL_MODEL_UNVALIDATED</t>
        </is>
      </c>
      <c r="AP574" s="24" t="inlineStr">
        <is>
          <t>Cagla Buyukakcay</t>
        </is>
      </c>
      <c r="AQ574" s="24" t="inlineStr">
        <is>
          <t>Cagla Buyukakcay</t>
        </is>
      </c>
      <c r="AR574" s="24" t="inlineStr">
        <is>
          <t>Cagla Buyukakcay</t>
        </is>
      </c>
      <c r="AS574" s="24" t="inlineStr">
        <is>
          <t>Yasmine Kabbaj</t>
        </is>
      </c>
      <c r="AT574" s="24" t="inlineStr">
        <is>
          <t>Yasmine Kabbaj</t>
        </is>
      </c>
      <c r="AU574" s="24" t="inlineStr">
        <is>
          <t>Yasmine Kabbaj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0ce66f49b381187fe6255a40ca2fdbfc155d5e36125ccf6d30fe81a72962eafa</t>
        </is>
      </c>
      <c r="BB574" s="24" t="inlineStr">
        <is>
          <t>surface_blended_elo</t>
        </is>
      </c>
      <c r="BC574" s="24" t="inlineStr">
        <is>
          <t>tennis-surface-elo-v1</t>
        </is>
      </c>
      <c r="BD574" s="24" t="inlineStr">
        <is>
          <t>0ce66f49b381187fe6255a40ca2fdbfc155d5e36125ccf6d30fe81a72962eafa</t>
        </is>
      </c>
      <c r="BE574" s="24" t="inlineStr">
        <is>
          <t>tennis-surface-elo-v1</t>
        </is>
      </c>
      <c r="BF574" s="24" t="inlineStr">
        <is>
          <t>1</t>
        </is>
      </c>
      <c r="BG574" s="24" t="inlineStr">
        <is>
          <t>0ce66f49b381187fe6255a40ca2fdbfc155d5e36125ccf6d30fe81a72962eafa</t>
        </is>
      </c>
      <c r="BH574" s="24" t="inlineStr">
        <is>
          <t>2026-09-08T04:33:39.611595Z</t>
        </is>
      </c>
      <c r="BI574" s="24" t="inlineStr">
        <is>
          <t>["same_event","same_team_same_day","same_league_same_day"]</t>
        </is>
      </c>
      <c r="BJ574" s="25" t="n"/>
      <c r="BK574" s="26" t="n">
        <v>-317</v>
      </c>
      <c r="BL574" s="27" t="n">
        <v>1.315457</v>
      </c>
      <c r="BM574" s="28" t="n">
        <v>0.760192</v>
      </c>
      <c r="BN574" s="28" t="n"/>
      <c r="BO574" s="28" t="n"/>
      <c r="BP574" s="25" t="n"/>
      <c r="BQ574" s="27" t="n">
        <v>1.315457</v>
      </c>
      <c r="BR574" s="28" t="n">
        <v>0.76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-1</v>
      </c>
      <c r="BZ574" s="24" t="inlineStr">
        <is>
          <t>2026-09-08T22:10:17.105761Z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inlineStr">
        <is>
          <t>98f3a8c2fa76c4509669df39f898a32588d16e6ae7e9cf170e2224ca4f4936a7</t>
        </is>
      </c>
      <c r="DE574" s="24" t="inlineStr">
        <is>
          <t>/Users/vincentc9002/model-prediction/data/odds/tennis/2026-09-08/polymarket_snapshots.jsonl</t>
        </is>
      </c>
      <c r="DF574" s="24" t="inlineStr">
        <is>
          <t>707245:2026-09-08T04:33:39.611595Z</t>
        </is>
      </c>
      <c r="DG574" s="24" t="n"/>
      <c r="DH574" s="24" t="n"/>
      <c r="DI574" s="24" t="n"/>
      <c r="DJ574" s="24" t="inlineStr">
        <is>
          <t>0.760192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49958bcbba5b4ce0</t>
        </is>
      </c>
      <c r="B575" s="24" t="inlineStr">
        <is>
          <t>2026-09-08T16:16:04.467060Z</t>
        </is>
      </c>
      <c r="C575" s="24" t="inlineStr">
        <is>
          <t>2026-09-08T23:00Z</t>
        </is>
      </c>
      <c r="D575" s="24" t="inlineStr">
        <is>
          <t>189-2026:182535</t>
        </is>
      </c>
      <c r="E575" s="24" t="inlineStr">
        <is>
          <t>TENNIS</t>
        </is>
      </c>
      <c r="F575" s="24" t="inlineStr">
        <is>
          <t>Emma Navarro</t>
        </is>
      </c>
      <c r="G575" s="24" t="inlineStr">
        <is>
          <t>Jessica Pegula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polymarket_us</t>
        </is>
      </c>
      <c r="L575" s="26" t="n">
        <v>-355</v>
      </c>
      <c r="M575" s="27" t="n">
        <v>1.28169</v>
      </c>
      <c r="N575" s="28" t="n">
        <v>0.78022</v>
      </c>
      <c r="O575" s="28" t="n">
        <v>0.8196</v>
      </c>
      <c r="P575" s="28" t="n">
        <v>0.05</v>
      </c>
      <c r="Q575" s="28" t="n">
        <v>0.03938</v>
      </c>
      <c r="R575" s="26" t="n">
        <v>40</v>
      </c>
      <c r="S575" s="29" t="n">
        <v>1</v>
      </c>
      <c r="T575" s="24" t="inlineStr">
        <is>
          <t>tennis-surface-elo-v1</t>
        </is>
      </c>
      <c r="U575" s="24" t="inlineStr">
        <is>
          <t>settled</t>
        </is>
      </c>
      <c r="V575" s="24" t="inlineStr">
        <is>
          <t>win</t>
        </is>
      </c>
      <c r="W575" s="26" t="n">
        <v>0</v>
      </c>
      <c r="X575" s="26" t="n">
        <v>1</v>
      </c>
      <c r="Y575" s="25" t="n"/>
      <c r="Z575" s="26" t="n">
        <v>-355</v>
      </c>
      <c r="AA575" s="28" t="n">
        <v>0.78</v>
      </c>
      <c r="AB575" s="28" t="n">
        <v>-0.00022</v>
      </c>
      <c r="AC575" s="30" t="n">
        <v>0.2817</v>
      </c>
      <c r="AD575" s="24" t="inlineStr">
        <is>
          <t>2026-09-09T04:30:37.078136Z</t>
        </is>
      </c>
      <c r="AE575" s="31" t="inlineStr">
        <is>
          <t>Surface-blended Elo on Hard: Emma Navarro p=0.180 vs Jessica Pegula. Executable ask 0.7800 (aec-wta-jespeg-emmnav-2026-09-08).</t>
        </is>
      </c>
      <c r="AF575" s="31" t="inlineStr">
        <is>
          <t>Surface-blended Elo model; singles only, WTA+ATP market coverage, not yet locked-holdout qualified -- promoted by explicit operator directive, not genuine walk-forward validation.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Emma Navarro</t>
        </is>
      </c>
      <c r="AQ575" s="24" t="inlineStr">
        <is>
          <t>Emma Navarro</t>
        </is>
      </c>
      <c r="AR575" s="24" t="inlineStr">
        <is>
          <t>Emma Navarro</t>
        </is>
      </c>
      <c r="AS575" s="24" t="inlineStr">
        <is>
          <t>Jessica Pegula</t>
        </is>
      </c>
      <c r="AT575" s="24" t="inlineStr">
        <is>
          <t>Jessica Pegula</t>
        </is>
      </c>
      <c r="AU575" s="24" t="inlineStr">
        <is>
          <t>Jessica Pegula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0ce66f49b381187fe6255a40ca2fdbfc155d5e36125ccf6d30fe81a72962eafa</t>
        </is>
      </c>
      <c r="BB575" s="24" t="inlineStr">
        <is>
          <t>surface_blended_elo</t>
        </is>
      </c>
      <c r="BC575" s="24" t="inlineStr">
        <is>
          <t>tennis-surface-elo-v1</t>
        </is>
      </c>
      <c r="BD575" s="24" t="inlineStr">
        <is>
          <t>0ce66f49b381187fe6255a40ca2fdbfc155d5e36125ccf6d30fe81a72962eafa</t>
        </is>
      </c>
      <c r="BE575" s="24" t="inlineStr">
        <is>
          <t>tennis-surface-elo-v1</t>
        </is>
      </c>
      <c r="BF575" s="24" t="inlineStr">
        <is>
          <t>1</t>
        </is>
      </c>
      <c r="BG575" s="24" t="inlineStr">
        <is>
          <t>0ce66f49b381187fe6255a40ca2fdbfc155d5e36125ccf6d30fe81a72962eafa</t>
        </is>
      </c>
      <c r="BH575" s="24" t="inlineStr">
        <is>
          <t>2026-09-08T16:07:48.984438Z</t>
        </is>
      </c>
      <c r="BI575" s="24" t="inlineStr">
        <is>
          <t>["same_event","same_team_same_day","same_league_same_day"]</t>
        </is>
      </c>
      <c r="BJ575" s="25" t="n"/>
      <c r="BK575" s="26" t="n">
        <v>-355</v>
      </c>
      <c r="BL575" s="27" t="n">
        <v>1.28169</v>
      </c>
      <c r="BM575" s="28" t="n">
        <v>0.78022</v>
      </c>
      <c r="BN575" s="28" t="n"/>
      <c r="BO575" s="28" t="n"/>
      <c r="BP575" s="25" t="n"/>
      <c r="BQ575" s="27" t="n">
        <v>1.28169</v>
      </c>
      <c r="BR575" s="28" t="n">
        <v>0.78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0.28169</v>
      </c>
      <c r="BZ575" s="24" t="inlineStr">
        <is>
          <t>2026-09-09T04:30:37.078136Z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True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inlineStr">
        <is>
          <t>f135c2d17ba6c04b67fc473998809873146533a10cb85cc37f434f3907e736cd</t>
        </is>
      </c>
      <c r="DE575" s="24" t="inlineStr">
        <is>
          <t>/Users/vincentc9002/model-prediction/data/odds/tennis/2026-09-08/polymarket_snapshots.jsonl</t>
        </is>
      </c>
      <c r="DF575" s="24" t="inlineStr">
        <is>
          <t>714073:2026-09-08T16:07:48.984438Z</t>
        </is>
      </c>
      <c r="DG575" s="24" t="n"/>
      <c r="DH575" s="24" t="n"/>
      <c r="DI575" s="24" t="n"/>
      <c r="DJ575" s="24" t="inlineStr">
        <is>
          <t>0.78022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438aabdb92c84cc1</t>
        </is>
      </c>
      <c r="B576" s="24" t="inlineStr">
        <is>
          <t>2026-09-08T16:16:04.467060Z</t>
        </is>
      </c>
      <c r="C576" s="24" t="inlineStr">
        <is>
          <t>2026-09-08T16:30Z</t>
        </is>
      </c>
      <c r="D576" s="24" t="inlineStr">
        <is>
          <t>998-2026:183593</t>
        </is>
      </c>
      <c r="E576" s="24" t="inlineStr">
        <is>
          <t>TENNIS</t>
        </is>
      </c>
      <c r="F576" s="24" t="inlineStr">
        <is>
          <t>Jennifer Ruggeri</t>
        </is>
      </c>
      <c r="G576" s="24" t="inlineStr">
        <is>
          <t>Martina Trevisan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-233</v>
      </c>
      <c r="M576" s="27" t="n">
        <v>1.429185</v>
      </c>
      <c r="N576" s="28" t="n">
        <v>0.6997</v>
      </c>
      <c r="O576" s="28" t="n">
        <v>0.5239</v>
      </c>
      <c r="P576" s="28" t="n">
        <v>0.05</v>
      </c>
      <c r="Q576" s="28" t="n">
        <v>-0.1758</v>
      </c>
      <c r="R576" s="26" t="n">
        <v>0</v>
      </c>
      <c r="S576" s="29" t="n">
        <v>1</v>
      </c>
      <c r="T576" s="24" t="inlineStr">
        <is>
          <t>tennis-surface-elo-v1</t>
        </is>
      </c>
      <c r="U576" s="24" t="inlineStr">
        <is>
          <t>settled</t>
        </is>
      </c>
      <c r="V576" s="24" t="inlineStr">
        <is>
          <t>win</t>
        </is>
      </c>
      <c r="W576" s="26" t="n">
        <v>0</v>
      </c>
      <c r="X576" s="26" t="n">
        <v>1</v>
      </c>
      <c r="Y576" s="25" t="n"/>
      <c r="Z576" s="26" t="n">
        <v>-233</v>
      </c>
      <c r="AA576" s="28" t="n">
        <v>0.7</v>
      </c>
      <c r="AB576" s="28" t="n">
        <v>0.0003</v>
      </c>
      <c r="AC576" s="30" t="n">
        <v>0.4292</v>
      </c>
      <c r="AD576" s="24" t="inlineStr">
        <is>
          <t>2026-09-08T22:15:02.459840Z</t>
        </is>
      </c>
      <c r="AE576" s="31" t="inlineStr">
        <is>
          <t>Surface-blended Elo on Hard: Jennifer Ruggeri p=0.476 vs Martina Trevisan. Executable ask 0.7000 (aec-wta-martre-jenrug-2026-09-08).</t>
        </is>
      </c>
      <c r="AF576" s="31" t="inlineStr">
        <is>
          <t>Surface-blended Elo model; singles only, WTA+ATP market coverage, not yet locked-holdout qualified -- promoted by explicit operator directive, not genuine walk-forward validation.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paper_call</t>
        </is>
      </c>
      <c r="AL576" s="26" t="n">
        <v>4</v>
      </c>
      <c r="AM576" s="24" t="inlineStr">
        <is>
          <t>RESEARCH_OBSERVATION</t>
        </is>
      </c>
      <c r="AN576" s="24" t="inlineStr">
        <is>
          <t>CALL</t>
        </is>
      </c>
      <c r="AO576" s="24" t="inlineStr">
        <is>
          <t>PAPER_CALL_LOW_EDGE</t>
        </is>
      </c>
      <c r="AP576" s="24" t="inlineStr">
        <is>
          <t>Jennifer Ruggeri</t>
        </is>
      </c>
      <c r="AQ576" s="24" t="inlineStr">
        <is>
          <t>Jennifer Ruggeri</t>
        </is>
      </c>
      <c r="AR576" s="24" t="inlineStr">
        <is>
          <t>Jennifer Ruggeri</t>
        </is>
      </c>
      <c r="AS576" s="24" t="inlineStr">
        <is>
          <t>Martina Trevisan</t>
        </is>
      </c>
      <c r="AT576" s="24" t="inlineStr">
        <is>
          <t>Martina Trevisan</t>
        </is>
      </c>
      <c r="AU576" s="24" t="inlineStr">
        <is>
          <t>Martina Trevisan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0ce66f49b381187fe6255a40ca2fdbfc155d5e36125ccf6d30fe81a72962eafa</t>
        </is>
      </c>
      <c r="BB576" s="24" t="inlineStr">
        <is>
          <t>surface_blended_elo</t>
        </is>
      </c>
      <c r="BC576" s="24" t="inlineStr">
        <is>
          <t>tennis-surface-elo-v1</t>
        </is>
      </c>
      <c r="BD576" s="24" t="inlineStr">
        <is>
          <t>0ce66f49b381187fe6255a40ca2fdbfc155d5e36125ccf6d30fe81a72962eafa</t>
        </is>
      </c>
      <c r="BE576" s="24" t="inlineStr">
        <is>
          <t>tennis-surface-elo-v1</t>
        </is>
      </c>
      <c r="BF576" s="24" t="inlineStr">
        <is>
          <t>1</t>
        </is>
      </c>
      <c r="BG576" s="24" t="inlineStr">
        <is>
          <t>0ce66f49b381187fe6255a40ca2fdbfc155d5e36125ccf6d30fe81a72962eafa</t>
        </is>
      </c>
      <c r="BH576" s="24" t="inlineStr">
        <is>
          <t>2026-09-08T16:07:48.926829Z</t>
        </is>
      </c>
      <c r="BI576" s="24" t="inlineStr">
        <is>
          <t>["same_event","same_team_same_day","same_league_same_day"]</t>
        </is>
      </c>
      <c r="BJ576" s="25" t="n"/>
      <c r="BK576" s="26" t="n">
        <v>-233</v>
      </c>
      <c r="BL576" s="27" t="n">
        <v>1.429185</v>
      </c>
      <c r="BM576" s="28" t="n">
        <v>0.6997</v>
      </c>
      <c r="BN576" s="28" t="n"/>
      <c r="BO576" s="28" t="n"/>
      <c r="BP576" s="25" t="n"/>
      <c r="BQ576" s="27" t="n">
        <v>1.429185</v>
      </c>
      <c r="BR576" s="28" t="n">
        <v>0.7</v>
      </c>
      <c r="BS576" s="28" t="n"/>
      <c r="BT576" s="28" t="n"/>
      <c r="BU576" s="25" t="n"/>
      <c r="BV576" s="29" t="n"/>
      <c r="BW576" s="24" t="n"/>
      <c r="BX576" s="30" t="n">
        <v>1</v>
      </c>
      <c r="BY576" s="27" t="n">
        <v>0.429184</v>
      </c>
      <c r="BZ576" s="24" t="inlineStr">
        <is>
          <t>2026-09-08T22:15:02.459840Z</t>
        </is>
      </c>
      <c r="CA576" s="31" t="inlineStr">
        <is>
          <t>fixed one-unit hypothetical scoring; no real exposure or execution</t>
        </is>
      </c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False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inlineStr">
        <is>
          <t>3f0dd6d814c97d23ca7154155904c5fded7d2552e8716c4c1eee0a196937add5</t>
        </is>
      </c>
      <c r="DE576" s="24" t="inlineStr">
        <is>
          <t>/Users/vincentc9002/model-prediction/data/odds/tennis/2026-09-08/polymarket_snapshots.jsonl</t>
        </is>
      </c>
      <c r="DF576" s="24" t="inlineStr">
        <is>
          <t>718521:2026-09-08T16:07:48.926829Z</t>
        </is>
      </c>
      <c r="DG576" s="24" t="n"/>
      <c r="DH576" s="24" t="n"/>
      <c r="DI576" s="24" t="n"/>
      <c r="DJ576" s="24" t="inlineStr">
        <is>
          <t>0.6997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83136fd642b845d5</t>
        </is>
      </c>
      <c r="B577" s="24" t="inlineStr">
        <is>
          <t>2026-09-08T16:16:04.467060Z</t>
        </is>
      </c>
      <c r="C577" s="24" t="inlineStr">
        <is>
          <t>2026-09-08T18:30Z</t>
        </is>
      </c>
      <c r="D577" s="24" t="inlineStr">
        <is>
          <t>964-2026:183615</t>
        </is>
      </c>
      <c r="E577" s="24" t="inlineStr">
        <is>
          <t>TENNIS</t>
        </is>
      </c>
      <c r="F577" s="24" t="inlineStr">
        <is>
          <t>Anna Rogers</t>
        </is>
      </c>
      <c r="G577" s="24" t="inlineStr">
        <is>
          <t>Kaitlin Quevedo</t>
        </is>
      </c>
      <c r="H577" s="24" t="inlineStr">
        <is>
          <t>moneyline</t>
        </is>
      </c>
      <c r="I577" s="24" t="inlineStr">
        <is>
          <t>home</t>
        </is>
      </c>
      <c r="J577" s="25" t="n"/>
      <c r="K577" s="24" t="inlineStr">
        <is>
          <t>polymarket_us</t>
        </is>
      </c>
      <c r="L577" s="26" t="n">
        <v>-614</v>
      </c>
      <c r="M577" s="27" t="n">
        <v>1.162866</v>
      </c>
      <c r="N577" s="28" t="n">
        <v>0.859944</v>
      </c>
      <c r="O577" s="28" t="n">
        <v>0.6534</v>
      </c>
      <c r="P577" s="28" t="n">
        <v>0.05</v>
      </c>
      <c r="Q577" s="28" t="n">
        <v>-0.206544</v>
      </c>
      <c r="R577" s="26" t="n">
        <v>0</v>
      </c>
      <c r="S577" s="29" t="n">
        <v>1</v>
      </c>
      <c r="T577" s="24" t="inlineStr">
        <is>
          <t>tennis-surface-elo-v1</t>
        </is>
      </c>
      <c r="U577" s="24" t="inlineStr">
        <is>
          <t>settled</t>
        </is>
      </c>
      <c r="V577" s="24" t="inlineStr">
        <is>
          <t>win</t>
        </is>
      </c>
      <c r="W577" s="26" t="n">
        <v>0</v>
      </c>
      <c r="X577" s="26" t="n">
        <v>1</v>
      </c>
      <c r="Y577" s="25" t="n"/>
      <c r="Z577" s="26" t="n">
        <v>-614</v>
      </c>
      <c r="AA577" s="28" t="n">
        <v>0.86</v>
      </c>
      <c r="AB577" s="28" t="n">
        <v>5.6e-05</v>
      </c>
      <c r="AC577" s="30" t="n">
        <v>0.1629</v>
      </c>
      <c r="AD577" s="24" t="inlineStr">
        <is>
          <t>2026-09-08T22:15:04.779375Z</t>
        </is>
      </c>
      <c r="AE577" s="31" t="inlineStr">
        <is>
          <t>Surface-blended Elo on Hard: Anna Rogers p=0.347 vs Kaitlin Quevedo. Executable ask 0.8600 (aec-wta-kaique-annrog-2026-09-08).</t>
        </is>
      </c>
      <c r="AF577" s="31" t="inlineStr">
        <is>
          <t>Surface-blended Elo model; singles only, WTA+ATP market coverage, not yet locked-holdout qualified -- promoted by explicit operator directive, not genuine walk-forward validation.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paper_call</t>
        </is>
      </c>
      <c r="AL577" s="26" t="n">
        <v>4</v>
      </c>
      <c r="AM577" s="24" t="inlineStr">
        <is>
          <t>RESEARCH_OBSERVATION</t>
        </is>
      </c>
      <c r="AN577" s="24" t="inlineStr">
        <is>
          <t>CALL</t>
        </is>
      </c>
      <c r="AO577" s="24" t="inlineStr">
        <is>
          <t>PAPER_CALL_LOW_EDGE</t>
        </is>
      </c>
      <c r="AP577" s="24" t="inlineStr">
        <is>
          <t>Anna Rogers</t>
        </is>
      </c>
      <c r="AQ577" s="24" t="inlineStr">
        <is>
          <t>Anna Rogers</t>
        </is>
      </c>
      <c r="AR577" s="24" t="inlineStr">
        <is>
          <t>Anna Rogers</t>
        </is>
      </c>
      <c r="AS577" s="24" t="inlineStr">
        <is>
          <t>Kaitlin Quevedo</t>
        </is>
      </c>
      <c r="AT577" s="24" t="inlineStr">
        <is>
          <t>Kaitlin Quevedo</t>
        </is>
      </c>
      <c r="AU577" s="24" t="inlineStr">
        <is>
          <t>Kaitlin Quevedo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0ce66f49b381187fe6255a40ca2fdbfc155d5e36125ccf6d30fe81a72962eafa</t>
        </is>
      </c>
      <c r="BB577" s="24" t="inlineStr">
        <is>
          <t>surface_blended_elo</t>
        </is>
      </c>
      <c r="BC577" s="24" t="inlineStr">
        <is>
          <t>tennis-surface-elo-v1</t>
        </is>
      </c>
      <c r="BD577" s="24" t="inlineStr">
        <is>
          <t>0ce66f49b381187fe6255a40ca2fdbfc155d5e36125ccf6d30fe81a72962eafa</t>
        </is>
      </c>
      <c r="BE577" s="24" t="inlineStr">
        <is>
          <t>tennis-surface-elo-v1</t>
        </is>
      </c>
      <c r="BF577" s="24" t="inlineStr">
        <is>
          <t>1</t>
        </is>
      </c>
      <c r="BG577" s="24" t="inlineStr">
        <is>
          <t>0ce66f49b381187fe6255a40ca2fdbfc155d5e36125ccf6d30fe81a72962eafa</t>
        </is>
      </c>
      <c r="BH577" s="24" t="inlineStr">
        <is>
          <t>2026-09-08T16:07:48.923102Z</t>
        </is>
      </c>
      <c r="BI577" s="24" t="inlineStr">
        <is>
          <t>["same_event","same_team_same_day","same_league_same_day"]</t>
        </is>
      </c>
      <c r="BJ577" s="25" t="n"/>
      <c r="BK577" s="26" t="n">
        <v>-614</v>
      </c>
      <c r="BL577" s="27" t="n">
        <v>1.162866</v>
      </c>
      <c r="BM577" s="28" t="n">
        <v>0.859944</v>
      </c>
      <c r="BN577" s="28" t="n"/>
      <c r="BO577" s="28" t="n"/>
      <c r="BP577" s="25" t="n"/>
      <c r="BQ577" s="27" t="n">
        <v>1.162866</v>
      </c>
      <c r="BR577" s="28" t="n">
        <v>0.86</v>
      </c>
      <c r="BS577" s="28" t="n"/>
      <c r="BT577" s="28" t="n"/>
      <c r="BU577" s="25" t="n"/>
      <c r="BV577" s="29" t="n"/>
      <c r="BW577" s="24" t="n"/>
      <c r="BX577" s="30" t="n">
        <v>1</v>
      </c>
      <c r="BY577" s="27" t="n">
        <v>0.162866</v>
      </c>
      <c r="BZ577" s="24" t="inlineStr">
        <is>
          <t>2026-09-08T22:15:04.779375Z</t>
        </is>
      </c>
      <c r="CA577" s="31" t="inlineStr">
        <is>
          <t>fixed one-unit hypothetical scoring; no real exposure or execution</t>
        </is>
      </c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inlineStr">
        <is>
          <t>c1b94011302c114b9526bf41b230e32ae92866e6486af3dc7caa16d32140dec3</t>
        </is>
      </c>
      <c r="DE577" s="24" t="inlineStr">
        <is>
          <t>/Users/vincentc9002/model-prediction/data/odds/tennis/2026-09-08/polymarket_snapshots.jsonl</t>
        </is>
      </c>
      <c r="DF577" s="24" t="inlineStr">
        <is>
          <t>721137:2026-09-08T16:07:48.923102Z</t>
        </is>
      </c>
      <c r="DG577" s="24" t="n"/>
      <c r="DH577" s="24" t="n"/>
      <c r="DI577" s="24" t="n"/>
      <c r="DJ577" s="24" t="inlineStr">
        <is>
          <t>0.859944</t>
        </is>
      </c>
      <c r="DK577" s="24" t="n"/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8b5883fb4d2349e1</t>
        </is>
      </c>
      <c r="B578" s="24" t="inlineStr">
        <is>
          <t>2026-09-08T16:16:04.467060Z</t>
        </is>
      </c>
      <c r="C578" s="24" t="inlineStr">
        <is>
          <t>2026-09-08T18:30Z</t>
        </is>
      </c>
      <c r="D578" s="24" t="inlineStr">
        <is>
          <t>964-2026:183614</t>
        </is>
      </c>
      <c r="E578" s="24" t="inlineStr">
        <is>
          <t>TENNIS</t>
        </is>
      </c>
      <c r="F578" s="24" t="inlineStr">
        <is>
          <t>Claire Liu</t>
        </is>
      </c>
      <c r="G578" s="24" t="inlineStr">
        <is>
          <t>You Xiaodi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polymarket_us</t>
        </is>
      </c>
      <c r="L578" s="26" t="n">
        <v>-355</v>
      </c>
      <c r="M578" s="27" t="n">
        <v>1.28169</v>
      </c>
      <c r="N578" s="28" t="n">
        <v>0.78022</v>
      </c>
      <c r="O578" s="28" t="n">
        <v>0.6833</v>
      </c>
      <c r="P578" s="28" t="n">
        <v>0.05</v>
      </c>
      <c r="Q578" s="28" t="n">
        <v>-0.09692000000000001</v>
      </c>
      <c r="R578" s="26" t="n">
        <v>0</v>
      </c>
      <c r="S578" s="29" t="n">
        <v>1</v>
      </c>
      <c r="T578" s="24" t="inlineStr">
        <is>
          <t>tennis-surface-elo-v1</t>
        </is>
      </c>
      <c r="U578" s="24" t="inlineStr">
        <is>
          <t>settled</t>
        </is>
      </c>
      <c r="V578" s="24" t="inlineStr">
        <is>
          <t>win</t>
        </is>
      </c>
      <c r="W578" s="26" t="n">
        <v>1</v>
      </c>
      <c r="X578" s="26" t="n">
        <v>0</v>
      </c>
      <c r="Y578" s="25" t="n"/>
      <c r="Z578" s="26" t="n">
        <v>-355</v>
      </c>
      <c r="AA578" s="28" t="n">
        <v>0.78</v>
      </c>
      <c r="AB578" s="28" t="n">
        <v>-0.00022</v>
      </c>
      <c r="AC578" s="30" t="n">
        <v>0.2817</v>
      </c>
      <c r="AD578" s="24" t="inlineStr">
        <is>
          <t>2026-09-08T22:15:07.026405Z</t>
        </is>
      </c>
      <c r="AE578" s="31" t="inlineStr">
        <is>
          <t>Surface-blended Elo on Hard: Claire Liu p=0.683 vs You Xiaodi. Executable ask 0.7800 (aec-wta-xiayou-claliu-2026-09-08).</t>
        </is>
      </c>
      <c r="AF578" s="31" t="inlineStr">
        <is>
          <t>Surface-blended Elo model; singles only, WTA+ATP market coverage, not yet locked-holdout qualified -- promoted by explicit operator directive, not genuine walk-forward validation.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Claire Liu</t>
        </is>
      </c>
      <c r="AQ578" s="24" t="inlineStr">
        <is>
          <t>Claire Liu</t>
        </is>
      </c>
      <c r="AR578" s="24" t="inlineStr">
        <is>
          <t>Claire Liu</t>
        </is>
      </c>
      <c r="AS578" s="24" t="inlineStr">
        <is>
          <t>You Xiaodi</t>
        </is>
      </c>
      <c r="AT578" s="24" t="inlineStr">
        <is>
          <t>You Xiaodi</t>
        </is>
      </c>
      <c r="AU578" s="24" t="inlineStr">
        <is>
          <t>You Xiaodi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0ce66f49b381187fe6255a40ca2fdbfc155d5e36125ccf6d30fe81a72962eafa</t>
        </is>
      </c>
      <c r="BB578" s="24" t="inlineStr">
        <is>
          <t>surface_blended_elo</t>
        </is>
      </c>
      <c r="BC578" s="24" t="inlineStr">
        <is>
          <t>tennis-surface-elo-v1</t>
        </is>
      </c>
      <c r="BD578" s="24" t="inlineStr">
        <is>
          <t>0ce66f49b381187fe6255a40ca2fdbfc155d5e36125ccf6d30fe81a72962eafa</t>
        </is>
      </c>
      <c r="BE578" s="24" t="inlineStr">
        <is>
          <t>tennis-surface-elo-v1</t>
        </is>
      </c>
      <c r="BF578" s="24" t="inlineStr">
        <is>
          <t>1</t>
        </is>
      </c>
      <c r="BG578" s="24" t="inlineStr">
        <is>
          <t>0ce66f49b381187fe6255a40ca2fdbfc155d5e36125ccf6d30fe81a72962eafa</t>
        </is>
      </c>
      <c r="BH578" s="24" t="inlineStr">
        <is>
          <t>2026-09-08T16:07:48.924570Z</t>
        </is>
      </c>
      <c r="BI578" s="24" t="inlineStr">
        <is>
          <t>["same_event","same_team_same_day","same_league_same_day"]</t>
        </is>
      </c>
      <c r="BJ578" s="25" t="n"/>
      <c r="BK578" s="26" t="n">
        <v>-355</v>
      </c>
      <c r="BL578" s="27" t="n">
        <v>1.28169</v>
      </c>
      <c r="BM578" s="28" t="n">
        <v>0.78022</v>
      </c>
      <c r="BN578" s="28" t="n"/>
      <c r="BO578" s="28" t="n"/>
      <c r="BP578" s="25" t="n"/>
      <c r="BQ578" s="27" t="n">
        <v>1.28169</v>
      </c>
      <c r="BR578" s="28" t="n">
        <v>0.78</v>
      </c>
      <c r="BS578" s="28" t="n"/>
      <c r="BT578" s="28" t="n"/>
      <c r="BU578" s="25" t="n"/>
      <c r="BV578" s="29" t="n"/>
      <c r="BW578" s="24" t="n"/>
      <c r="BX578" s="30" t="n">
        <v>1</v>
      </c>
      <c r="BY578" s="27" t="n">
        <v>0.28169</v>
      </c>
      <c r="BZ578" s="24" t="inlineStr">
        <is>
          <t>2026-09-08T22:15:07.026405Z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inlineStr">
        <is>
          <t>6599a2d21adcb33c9ff5909cc1ba234de67b10bc0099dab42eb1ade5c270938e</t>
        </is>
      </c>
      <c r="DE578" s="24" t="inlineStr">
        <is>
          <t>/Users/vincentc9002/model-prediction/data/odds/tennis/2026-09-08/polymarket_snapshots.jsonl</t>
        </is>
      </c>
      <c r="DF578" s="24" t="inlineStr">
        <is>
          <t>713635:2026-09-08T16:07:48.924570Z</t>
        </is>
      </c>
      <c r="DG578" s="24" t="n"/>
      <c r="DH578" s="24" t="n"/>
      <c r="DI578" s="24" t="n"/>
      <c r="DJ578" s="24" t="inlineStr">
        <is>
          <t>0.78022</t>
        </is>
      </c>
      <c r="DK578" s="24" t="n"/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d3080c77445848e4</t>
        </is>
      </c>
      <c r="B579" s="24" t="inlineStr">
        <is>
          <t>2026-09-08T16:16:04.467060Z</t>
        </is>
      </c>
      <c r="C579" s="24" t="inlineStr">
        <is>
          <t>2026-09-08T18:30Z</t>
        </is>
      </c>
      <c r="D579" s="24" t="inlineStr">
        <is>
          <t>964-2026:183618</t>
        </is>
      </c>
      <c r="E579" s="24" t="inlineStr">
        <is>
          <t>TENNIS</t>
        </is>
      </c>
      <c r="F579" s="24" t="inlineStr">
        <is>
          <t>Carolina Alves</t>
        </is>
      </c>
      <c r="G579" s="24" t="inlineStr">
        <is>
          <t>Leolia Jeanjean</t>
        </is>
      </c>
      <c r="H579" s="24" t="inlineStr">
        <is>
          <t>moneyline</t>
        </is>
      </c>
      <c r="I579" s="24" t="inlineStr">
        <is>
          <t>home</t>
        </is>
      </c>
      <c r="J579" s="25" t="n"/>
      <c r="K579" s="24" t="inlineStr">
        <is>
          <t>polymarket_us</t>
        </is>
      </c>
      <c r="L579" s="26" t="n">
        <v>-733</v>
      </c>
      <c r="M579" s="27" t="n">
        <v>1.136426</v>
      </c>
      <c r="N579" s="28" t="n">
        <v>0.879952</v>
      </c>
      <c r="O579" s="28" t="n">
        <v>0.6995</v>
      </c>
      <c r="P579" s="28" t="n">
        <v>0.05</v>
      </c>
      <c r="Q579" s="28" t="n">
        <v>-0.180452</v>
      </c>
      <c r="R579" s="26" t="n">
        <v>0</v>
      </c>
      <c r="S579" s="29" t="n">
        <v>1</v>
      </c>
      <c r="T579" s="24" t="inlineStr">
        <is>
          <t>tennis-surface-elo-v1</t>
        </is>
      </c>
      <c r="U579" s="24" t="inlineStr">
        <is>
          <t>settled</t>
        </is>
      </c>
      <c r="V579" s="24" t="inlineStr">
        <is>
          <t>win</t>
        </is>
      </c>
      <c r="W579" s="26" t="n">
        <v>0</v>
      </c>
      <c r="X579" s="26" t="n">
        <v>1</v>
      </c>
      <c r="Y579" s="25" t="n"/>
      <c r="Z579" s="26" t="n">
        <v>-733</v>
      </c>
      <c r="AA579" s="28" t="n">
        <v>0.88</v>
      </c>
      <c r="AB579" s="28" t="n">
        <v>4.8e-05</v>
      </c>
      <c r="AC579" s="30" t="n">
        <v>0.1364</v>
      </c>
      <c r="AD579" s="24" t="inlineStr">
        <is>
          <t>2026-09-08T22:15:09.257610Z</t>
        </is>
      </c>
      <c r="AE579" s="31" t="inlineStr">
        <is>
          <t>Surface-blended Elo on Hard: Carolina Alves p=0.301 vs Leolia Jeanjean. Executable ask 0.8800 (aec-wta-leojea-caralv-2026-09-08).</t>
        </is>
      </c>
      <c r="AF579" s="31" t="inlineStr">
        <is>
          <t>Surface-blended Elo model; singles only, WTA+ATP market coverage, not yet locked-holdout qualified -- promoted by explicit operator directive, not genuine walk-forward validation.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paper_call</t>
        </is>
      </c>
      <c r="AL579" s="26" t="n">
        <v>4</v>
      </c>
      <c r="AM579" s="24" t="inlineStr">
        <is>
          <t>RESEARCH_OBSERVATION</t>
        </is>
      </c>
      <c r="AN579" s="24" t="inlineStr">
        <is>
          <t>CALL</t>
        </is>
      </c>
      <c r="AO579" s="24" t="inlineStr">
        <is>
          <t>PAPER_CALL_LOW_EDGE</t>
        </is>
      </c>
      <c r="AP579" s="24" t="inlineStr">
        <is>
          <t>Carolina Alves</t>
        </is>
      </c>
      <c r="AQ579" s="24" t="inlineStr">
        <is>
          <t>Carolina Alves</t>
        </is>
      </c>
      <c r="AR579" s="24" t="inlineStr">
        <is>
          <t>Carolina Alves</t>
        </is>
      </c>
      <c r="AS579" s="24" t="inlineStr">
        <is>
          <t>Leolia Jeanjean</t>
        </is>
      </c>
      <c r="AT579" s="24" t="inlineStr">
        <is>
          <t>Leolia Jeanjean</t>
        </is>
      </c>
      <c r="AU579" s="24" t="inlineStr">
        <is>
          <t>Leolia Jeanjean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0ce66f49b381187fe6255a40ca2fdbfc155d5e36125ccf6d30fe81a72962eafa</t>
        </is>
      </c>
      <c r="BB579" s="24" t="inlineStr">
        <is>
          <t>surface_blended_elo</t>
        </is>
      </c>
      <c r="BC579" s="24" t="inlineStr">
        <is>
          <t>tennis-surface-elo-v1</t>
        </is>
      </c>
      <c r="BD579" s="24" t="inlineStr">
        <is>
          <t>0ce66f49b381187fe6255a40ca2fdbfc155d5e36125ccf6d30fe81a72962eafa</t>
        </is>
      </c>
      <c r="BE579" s="24" t="inlineStr">
        <is>
          <t>tennis-surface-elo-v1</t>
        </is>
      </c>
      <c r="BF579" s="24" t="inlineStr">
        <is>
          <t>1</t>
        </is>
      </c>
      <c r="BG579" s="24" t="inlineStr">
        <is>
          <t>0ce66f49b381187fe6255a40ca2fdbfc155d5e36125ccf6d30fe81a72962eafa</t>
        </is>
      </c>
      <c r="BH579" s="24" t="inlineStr">
        <is>
          <t>2026-09-08T16:07:48.927589Z</t>
        </is>
      </c>
      <c r="BI579" s="24" t="inlineStr">
        <is>
          <t>["same_event","same_team_same_day","same_league_same_day"]</t>
        </is>
      </c>
      <c r="BJ579" s="25" t="n"/>
      <c r="BK579" s="26" t="n">
        <v>-733</v>
      </c>
      <c r="BL579" s="27" t="n">
        <v>1.136426</v>
      </c>
      <c r="BM579" s="28" t="n">
        <v>0.879952</v>
      </c>
      <c r="BN579" s="28" t="n"/>
      <c r="BO579" s="28" t="n"/>
      <c r="BP579" s="25" t="n"/>
      <c r="BQ579" s="27" t="n">
        <v>1.136426</v>
      </c>
      <c r="BR579" s="28" t="n">
        <v>0.88</v>
      </c>
      <c r="BS579" s="28" t="n"/>
      <c r="BT579" s="28" t="n"/>
      <c r="BU579" s="25" t="n"/>
      <c r="BV579" s="29" t="n"/>
      <c r="BW579" s="24" t="n"/>
      <c r="BX579" s="30" t="n">
        <v>1</v>
      </c>
      <c r="BY579" s="27" t="n">
        <v>0.136426</v>
      </c>
      <c r="BZ579" s="24" t="inlineStr">
        <is>
          <t>2026-09-08T22:15:09.257610Z</t>
        </is>
      </c>
      <c r="CA579" s="31" t="inlineStr">
        <is>
          <t>fixed one-unit hypothetical scoring; no real exposure or execution</t>
        </is>
      </c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False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inlineStr">
        <is>
          <t>610dc94aa990f6619c45241a082705b0619783d659cac15fc51aceaeb0079f23</t>
        </is>
      </c>
      <c r="DE579" s="24" t="inlineStr">
        <is>
          <t>/Users/vincentc9002/model-prediction/data/odds/tennis/2026-09-08/polymarket_snapshots.jsonl</t>
        </is>
      </c>
      <c r="DF579" s="24" t="inlineStr">
        <is>
          <t>721136:2026-09-08T16:07:48.927589Z</t>
        </is>
      </c>
      <c r="DG579" s="24" t="n"/>
      <c r="DH579" s="24" t="n"/>
      <c r="DI579" s="24" t="n"/>
      <c r="DJ579" s="24" t="inlineStr">
        <is>
          <t>0.879952</t>
        </is>
      </c>
      <c r="DK579" s="24" t="n"/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9844a7d6a9cd497c</t>
        </is>
      </c>
      <c r="B580" s="24" t="inlineStr">
        <is>
          <t>2026-09-08T16:16:04.467060Z</t>
        </is>
      </c>
      <c r="C580" s="24" t="inlineStr">
        <is>
          <t>2026-09-08T20:00Z</t>
        </is>
      </c>
      <c r="D580" s="24" t="inlineStr">
        <is>
          <t>964-2026:183625</t>
        </is>
      </c>
      <c r="E580" s="24" t="inlineStr">
        <is>
          <t>TENNIS</t>
        </is>
      </c>
      <c r="F580" s="24" t="inlineStr">
        <is>
          <t>Sara Sorribes Tormo</t>
        </is>
      </c>
      <c r="G580" s="24" t="inlineStr">
        <is>
          <t>Cadence Brace</t>
        </is>
      </c>
      <c r="H580" s="24" t="inlineStr">
        <is>
          <t>moneyline</t>
        </is>
      </c>
      <c r="I580" s="24" t="inlineStr">
        <is>
          <t>away</t>
        </is>
      </c>
      <c r="J580" s="25" t="n"/>
      <c r="K580" s="24" t="inlineStr">
        <is>
          <t>polymarket_us</t>
        </is>
      </c>
      <c r="L580" s="26" t="n">
        <v>-223</v>
      </c>
      <c r="M580" s="27" t="n">
        <v>1.44843</v>
      </c>
      <c r="N580" s="28" t="n">
        <v>0.690402</v>
      </c>
      <c r="O580" s="28" t="n">
        <v>0.6647</v>
      </c>
      <c r="P580" s="28" t="n">
        <v>0.05</v>
      </c>
      <c r="Q580" s="28" t="n">
        <v>-0.025702</v>
      </c>
      <c r="R580" s="26" t="n">
        <v>7</v>
      </c>
      <c r="S580" s="29" t="n">
        <v>1</v>
      </c>
      <c r="T580" s="24" t="inlineStr">
        <is>
          <t>tennis-surface-elo-v1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0</v>
      </c>
      <c r="Y580" s="25" t="n"/>
      <c r="Z580" s="26" t="n">
        <v>-223</v>
      </c>
      <c r="AA580" s="28" t="n">
        <v>0.6899999999999999</v>
      </c>
      <c r="AB580" s="28" t="n">
        <v>-0.000402</v>
      </c>
      <c r="AC580" s="30" t="n">
        <v>0.4484</v>
      </c>
      <c r="AD580" s="24" t="inlineStr">
        <is>
          <t>2026-09-09T04:30:38.167555Z</t>
        </is>
      </c>
      <c r="AE580" s="31" t="inlineStr">
        <is>
          <t>Surface-blended Elo on Hard: Sara Sorribes Tormo p=0.665 vs Cadence Brace. Executable ask 0.6900 (aec-wta-cadbra-sartor-2026-09-08).</t>
        </is>
      </c>
      <c r="AF580" s="31" t="inlineStr">
        <is>
          <t>Surface-blended Elo model; singles only, WTA+ATP market coverage, not yet locked-holdout qualified -- promoted by explicit operator directive, not genuine walk-forward validation.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Sara Sorribes Tormo</t>
        </is>
      </c>
      <c r="AQ580" s="24" t="inlineStr">
        <is>
          <t>Sara Sorribes Tormo</t>
        </is>
      </c>
      <c r="AR580" s="24" t="inlineStr">
        <is>
          <t>Sara Sorribes Tormo</t>
        </is>
      </c>
      <c r="AS580" s="24" t="inlineStr">
        <is>
          <t>Cadence Brace</t>
        </is>
      </c>
      <c r="AT580" s="24" t="inlineStr">
        <is>
          <t>Cadence Brace</t>
        </is>
      </c>
      <c r="AU580" s="24" t="inlineStr">
        <is>
          <t>Cadence Brace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0ce66f49b381187fe6255a40ca2fdbfc155d5e36125ccf6d30fe81a72962eafa</t>
        </is>
      </c>
      <c r="BB580" s="24" t="inlineStr">
        <is>
          <t>surface_blended_elo</t>
        </is>
      </c>
      <c r="BC580" s="24" t="inlineStr">
        <is>
          <t>tennis-surface-elo-v1</t>
        </is>
      </c>
      <c r="BD580" s="24" t="inlineStr">
        <is>
          <t>0ce66f49b381187fe6255a40ca2fdbfc155d5e36125ccf6d30fe81a72962eafa</t>
        </is>
      </c>
      <c r="BE580" s="24" t="inlineStr">
        <is>
          <t>tennis-surface-elo-v1</t>
        </is>
      </c>
      <c r="BF580" s="24" t="inlineStr">
        <is>
          <t>1</t>
        </is>
      </c>
      <c r="BG580" s="24" t="inlineStr">
        <is>
          <t>0ce66f49b381187fe6255a40ca2fdbfc155d5e36125ccf6d30fe81a72962eafa</t>
        </is>
      </c>
      <c r="BH580" s="24" t="inlineStr">
        <is>
          <t>2026-09-08T16:07:48.922363Z</t>
        </is>
      </c>
      <c r="BI580" s="24" t="inlineStr">
        <is>
          <t>["same_event","same_team_same_day","same_league_same_day"]</t>
        </is>
      </c>
      <c r="BJ580" s="25" t="n"/>
      <c r="BK580" s="26" t="n">
        <v>-223</v>
      </c>
      <c r="BL580" s="27" t="n">
        <v>1.44843</v>
      </c>
      <c r="BM580" s="28" t="n">
        <v>0.690402</v>
      </c>
      <c r="BN580" s="28" t="n"/>
      <c r="BO580" s="28" t="n"/>
      <c r="BP580" s="25" t="n"/>
      <c r="BQ580" s="27" t="n">
        <v>1.44843</v>
      </c>
      <c r="BR580" s="28" t="n">
        <v>0.6899999999999999</v>
      </c>
      <c r="BS580" s="28" t="n"/>
      <c r="BT580" s="28" t="n"/>
      <c r="BU580" s="25" t="n"/>
      <c r="BV580" s="29" t="n"/>
      <c r="BW580" s="24" t="n"/>
      <c r="BX580" s="30" t="n">
        <v>1</v>
      </c>
      <c r="BY580" s="27" t="n">
        <v>0.448431</v>
      </c>
      <c r="BZ580" s="24" t="inlineStr">
        <is>
          <t>2026-09-09T04:30:38.167555Z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inlineStr">
        <is>
          <t>bb84cefbe20d84f11029101592a5fbd60f2fd686ef8dddbbbc604daadcd99ead</t>
        </is>
      </c>
      <c r="DE580" s="24" t="inlineStr">
        <is>
          <t>/Users/vincentc9002/model-prediction/data/odds/tennis/2026-09-08/polymarket_snapshots.jsonl</t>
        </is>
      </c>
      <c r="DF580" s="24" t="inlineStr">
        <is>
          <t>713634:2026-09-08T16:07:48.922363Z</t>
        </is>
      </c>
      <c r="DG580" s="24" t="n"/>
      <c r="DH580" s="24" t="n"/>
      <c r="DI580" s="24" t="n"/>
      <c r="DJ580" s="24" t="inlineStr">
        <is>
          <t>0.690402</t>
        </is>
      </c>
      <c r="DK580" s="24" t="n"/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64a88f5fd30941ca</t>
        </is>
      </c>
      <c r="B581" s="24" t="inlineStr">
        <is>
          <t>2026-09-08T16:16:04.467060Z</t>
        </is>
      </c>
      <c r="C581" s="24" t="inlineStr">
        <is>
          <t>2026-09-08T20:00Z</t>
        </is>
      </c>
      <c r="D581" s="24" t="inlineStr">
        <is>
          <t>964-2026:183631</t>
        </is>
      </c>
      <c r="E581" s="24" t="inlineStr">
        <is>
          <t>TENNIS</t>
        </is>
      </c>
      <c r="F581" s="24" t="inlineStr">
        <is>
          <t>Nadia Podoroska</t>
        </is>
      </c>
      <c r="G581" s="24" t="inlineStr">
        <is>
          <t>Ena Koike</t>
        </is>
      </c>
      <c r="H581" s="24" t="inlineStr">
        <is>
          <t>moneyline</t>
        </is>
      </c>
      <c r="I581" s="24" t="inlineStr">
        <is>
          <t>away</t>
        </is>
      </c>
      <c r="J581" s="25" t="n"/>
      <c r="K581" s="24" t="inlineStr">
        <is>
          <t>polymarket_us</t>
        </is>
      </c>
      <c r="L581" s="26" t="n">
        <v>-233</v>
      </c>
      <c r="M581" s="27" t="n">
        <v>1.429185</v>
      </c>
      <c r="N581" s="28" t="n">
        <v>0.6997</v>
      </c>
      <c r="O581" s="28" t="n">
        <v>0.6022999999999999</v>
      </c>
      <c r="P581" s="28" t="n">
        <v>0.05</v>
      </c>
      <c r="Q581" s="28" t="n">
        <v>-0.0974</v>
      </c>
      <c r="R581" s="26" t="n">
        <v>0</v>
      </c>
      <c r="S581" s="29" t="n">
        <v>1</v>
      </c>
      <c r="T581" s="24" t="inlineStr">
        <is>
          <t>tennis-surface-elo-v1</t>
        </is>
      </c>
      <c r="U581" s="24" t="inlineStr">
        <is>
          <t>settled</t>
        </is>
      </c>
      <c r="V581" s="24" t="inlineStr">
        <is>
          <t>win</t>
        </is>
      </c>
      <c r="W581" s="26" t="n">
        <v>1</v>
      </c>
      <c r="X581" s="26" t="n">
        <v>0</v>
      </c>
      <c r="Y581" s="25" t="n"/>
      <c r="Z581" s="26" t="n">
        <v>-233</v>
      </c>
      <c r="AA581" s="28" t="n">
        <v>0.7</v>
      </c>
      <c r="AB581" s="28" t="n">
        <v>0.0003</v>
      </c>
      <c r="AC581" s="30" t="n">
        <v>0.4292</v>
      </c>
      <c r="AD581" s="24" t="inlineStr">
        <is>
          <t>2026-09-09T04:30:39.264687Z</t>
        </is>
      </c>
      <c r="AE581" s="31" t="inlineStr">
        <is>
          <t>Surface-blended Elo on Hard: Nadia Podoroska p=0.602 vs Ena Koike. Executable ask 0.7000 (aec-wta-enakoi-nadpod-2026-09-08).</t>
        </is>
      </c>
      <c r="AF581" s="31" t="inlineStr">
        <is>
          <t>Surface-blended Elo model; singles only, WTA+ATP market coverage, not yet locked-holdout qualified -- promoted by explicit operator directive, not genuine walk-forward validation.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PAPER_CALL_MODEL_UNVALIDATED</t>
        </is>
      </c>
      <c r="AP581" s="24" t="inlineStr">
        <is>
          <t>Nadia Podoroska</t>
        </is>
      </c>
      <c r="AQ581" s="24" t="inlineStr">
        <is>
          <t>Nadia Podoroska</t>
        </is>
      </c>
      <c r="AR581" s="24" t="inlineStr">
        <is>
          <t>Nadia Podoroska</t>
        </is>
      </c>
      <c r="AS581" s="24" t="inlineStr">
        <is>
          <t>Ena Koike</t>
        </is>
      </c>
      <c r="AT581" s="24" t="inlineStr">
        <is>
          <t>Ena Koike</t>
        </is>
      </c>
      <c r="AU581" s="24" t="inlineStr">
        <is>
          <t>Ena Koike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0ce66f49b381187fe6255a40ca2fdbfc155d5e36125ccf6d30fe81a72962eafa</t>
        </is>
      </c>
      <c r="BB581" s="24" t="inlineStr">
        <is>
          <t>surface_blended_elo</t>
        </is>
      </c>
      <c r="BC581" s="24" t="inlineStr">
        <is>
          <t>tennis-surface-elo-v1</t>
        </is>
      </c>
      <c r="BD581" s="24" t="inlineStr">
        <is>
          <t>0ce66f49b381187fe6255a40ca2fdbfc155d5e36125ccf6d30fe81a72962eafa</t>
        </is>
      </c>
      <c r="BE581" s="24" t="inlineStr">
        <is>
          <t>tennis-surface-elo-v1</t>
        </is>
      </c>
      <c r="BF581" s="24" t="inlineStr">
        <is>
          <t>1</t>
        </is>
      </c>
      <c r="BG581" s="24" t="inlineStr">
        <is>
          <t>0ce66f49b381187fe6255a40ca2fdbfc155d5e36125ccf6d30fe81a72962eafa</t>
        </is>
      </c>
      <c r="BH581" s="24" t="inlineStr">
        <is>
          <t>2026-09-08T16:07:48.956022Z</t>
        </is>
      </c>
      <c r="BI581" s="24" t="inlineStr">
        <is>
          <t>["same_event","same_team_same_day","same_league_same_day"]</t>
        </is>
      </c>
      <c r="BJ581" s="25" t="n"/>
      <c r="BK581" s="26" t="n">
        <v>-233</v>
      </c>
      <c r="BL581" s="27" t="n">
        <v>1.429185</v>
      </c>
      <c r="BM581" s="28" t="n">
        <v>0.6997</v>
      </c>
      <c r="BN581" s="28" t="n"/>
      <c r="BO581" s="28" t="n"/>
      <c r="BP581" s="25" t="n"/>
      <c r="BQ581" s="27" t="n">
        <v>1.429185</v>
      </c>
      <c r="BR581" s="28" t="n">
        <v>0.7</v>
      </c>
      <c r="BS581" s="28" t="n"/>
      <c r="BT581" s="28" t="n"/>
      <c r="BU581" s="25" t="n"/>
      <c r="BV581" s="29" t="n"/>
      <c r="BW581" s="24" t="n"/>
      <c r="BX581" s="30" t="n">
        <v>1</v>
      </c>
      <c r="BY581" s="27" t="n">
        <v>0.429184</v>
      </c>
      <c r="BZ581" s="24" t="inlineStr">
        <is>
          <t>2026-09-09T04:30:39.264687Z</t>
        </is>
      </c>
      <c r="CA581" s="31" t="inlineStr">
        <is>
          <t>fixed one-unit hypothetical scoring; no real exposure or execution</t>
        </is>
      </c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inlineStr">
        <is>
          <t>cd56e4f5603aba5d10bcd48ee64a640f993cbbce6d5fea359dc69b03d070e526</t>
        </is>
      </c>
      <c r="DE581" s="24" t="inlineStr">
        <is>
          <t>/Users/vincentc9002/model-prediction/data/odds/tennis/2026-09-08/polymarket_snapshots.jsonl</t>
        </is>
      </c>
      <c r="DF581" s="24" t="inlineStr">
        <is>
          <t>721140:2026-09-08T16:07:48.956022Z</t>
        </is>
      </c>
      <c r="DG581" s="24" t="n"/>
      <c r="DH581" s="24" t="n"/>
      <c r="DI581" s="24" t="n"/>
      <c r="DJ581" s="24" t="inlineStr">
        <is>
          <t>0.6997</t>
        </is>
      </c>
      <c r="DK581" s="24" t="n"/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43ab933ef47d460f</t>
        </is>
      </c>
      <c r="B582" s="24" t="inlineStr">
        <is>
          <t>2026-09-08T16:16:04.467060Z</t>
        </is>
      </c>
      <c r="C582" s="24" t="inlineStr">
        <is>
          <t>2026-09-08T20:00Z</t>
        </is>
      </c>
      <c r="D582" s="24" t="inlineStr">
        <is>
          <t>964-2026:183634</t>
        </is>
      </c>
      <c r="E582" s="24" t="inlineStr">
        <is>
          <t>TENNIS</t>
        </is>
      </c>
      <c r="F582" s="24" t="inlineStr">
        <is>
          <t>Elsa Jacquemot</t>
        </is>
      </c>
      <c r="G582" s="24" t="inlineStr">
        <is>
          <t>Emanuela Lares</t>
        </is>
      </c>
      <c r="H582" s="24" t="inlineStr">
        <is>
          <t>moneyline</t>
        </is>
      </c>
      <c r="I582" s="24" t="inlineStr">
        <is>
          <t>away</t>
        </is>
      </c>
      <c r="J582" s="25" t="n"/>
      <c r="K582" s="24" t="inlineStr">
        <is>
          <t>polymarket_us</t>
        </is>
      </c>
      <c r="L582" s="26" t="n">
        <v>-3233</v>
      </c>
      <c r="M582" s="27" t="n">
        <v>1.030931</v>
      </c>
      <c r="N582" s="28" t="n">
        <v>0.969997</v>
      </c>
      <c r="O582" s="28" t="n">
        <v>0.5248</v>
      </c>
      <c r="P582" s="28" t="n">
        <v>0.05</v>
      </c>
      <c r="Q582" s="28" t="n">
        <v>-0.445197</v>
      </c>
      <c r="R582" s="26" t="n">
        <v>0</v>
      </c>
      <c r="S582" s="29" t="n">
        <v>1</v>
      </c>
      <c r="T582" s="24" t="inlineStr">
        <is>
          <t>tennis-surface-elo-v1</t>
        </is>
      </c>
      <c r="U582" s="24" t="inlineStr">
        <is>
          <t>settled</t>
        </is>
      </c>
      <c r="V582" s="24" t="inlineStr">
        <is>
          <t>win</t>
        </is>
      </c>
      <c r="W582" s="26" t="n">
        <v>1</v>
      </c>
      <c r="X582" s="26" t="n">
        <v>0</v>
      </c>
      <c r="Y582" s="25" t="n"/>
      <c r="Z582" s="26" t="n">
        <v>-3233</v>
      </c>
      <c r="AA582" s="28" t="n">
        <v>0.97</v>
      </c>
      <c r="AB582" s="28" t="n">
        <v>3e-06</v>
      </c>
      <c r="AC582" s="30" t="n">
        <v>0.0309</v>
      </c>
      <c r="AD582" s="24" t="inlineStr">
        <is>
          <t>2026-09-08T22:15:11.461746Z</t>
        </is>
      </c>
      <c r="AE582" s="31" t="inlineStr">
        <is>
          <t>Surface-blended Elo on Hard: Elsa Jacquemot p=0.525 vs Emanuela Lares. Executable ask 0.9700 (aec-wta-emalar-elsjac-2026-09-08).</t>
        </is>
      </c>
      <c r="AF582" s="31" t="inlineStr">
        <is>
          <t>Surface-blended Elo model; singles only, WTA+ATP market coverage, not yet locked-holdout qualified -- promoted by explicit operator directive, not genuine walk-forward validation.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paper_call</t>
        </is>
      </c>
      <c r="AL582" s="26" t="n">
        <v>4</v>
      </c>
      <c r="AM582" s="24" t="inlineStr">
        <is>
          <t>RESEARCH_OBSERVATION</t>
        </is>
      </c>
      <c r="AN582" s="24" t="inlineStr">
        <is>
          <t>CALL</t>
        </is>
      </c>
      <c r="AO582" s="24" t="inlineStr">
        <is>
          <t>PAPER_CALL_MODEL_UNVALIDATED</t>
        </is>
      </c>
      <c r="AP582" s="24" t="inlineStr">
        <is>
          <t>Elsa Jacquemot</t>
        </is>
      </c>
      <c r="AQ582" s="24" t="inlineStr">
        <is>
          <t>Elsa Jacquemot</t>
        </is>
      </c>
      <c r="AR582" s="24" t="inlineStr">
        <is>
          <t>Elsa Jacquemot</t>
        </is>
      </c>
      <c r="AS582" s="24" t="inlineStr">
        <is>
          <t>Emanuela Lares</t>
        </is>
      </c>
      <c r="AT582" s="24" t="inlineStr">
        <is>
          <t>Emanuela Lares</t>
        </is>
      </c>
      <c r="AU582" s="24" t="inlineStr">
        <is>
          <t>Emanuela Lares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0ce66f49b381187fe6255a40ca2fdbfc155d5e36125ccf6d30fe81a72962eafa</t>
        </is>
      </c>
      <c r="BB582" s="24" t="inlineStr">
        <is>
          <t>surface_blended_elo</t>
        </is>
      </c>
      <c r="BC582" s="24" t="inlineStr">
        <is>
          <t>tennis-surface-elo-v1</t>
        </is>
      </c>
      <c r="BD582" s="24" t="inlineStr">
        <is>
          <t>0ce66f49b381187fe6255a40ca2fdbfc155d5e36125ccf6d30fe81a72962eafa</t>
        </is>
      </c>
      <c r="BE582" s="24" t="inlineStr">
        <is>
          <t>tennis-surface-elo-v1</t>
        </is>
      </c>
      <c r="BF582" s="24" t="inlineStr">
        <is>
          <t>1</t>
        </is>
      </c>
      <c r="BG582" s="24" t="inlineStr">
        <is>
          <t>0ce66f49b381187fe6255a40ca2fdbfc155d5e36125ccf6d30fe81a72962eafa</t>
        </is>
      </c>
      <c r="BH582" s="24" t="inlineStr">
        <is>
          <t>2026-09-08T16:07:48.943794Z</t>
        </is>
      </c>
      <c r="BI582" s="24" t="inlineStr">
        <is>
          <t>["same_event","same_team_same_day","same_league_same_day"]</t>
        </is>
      </c>
      <c r="BJ582" s="25" t="n"/>
      <c r="BK582" s="26" t="n">
        <v>-3233</v>
      </c>
      <c r="BL582" s="27" t="n">
        <v>1.030931</v>
      </c>
      <c r="BM582" s="28" t="n">
        <v>0.969997</v>
      </c>
      <c r="BN582" s="28" t="n"/>
      <c r="BO582" s="28" t="n"/>
      <c r="BP582" s="25" t="n"/>
      <c r="BQ582" s="27" t="n">
        <v>1.030931</v>
      </c>
      <c r="BR582" s="28" t="n">
        <v>0.97</v>
      </c>
      <c r="BS582" s="28" t="n"/>
      <c r="BT582" s="28" t="n"/>
      <c r="BU582" s="25" t="n"/>
      <c r="BV582" s="29" t="n"/>
      <c r="BW582" s="24" t="n"/>
      <c r="BX582" s="30" t="n">
        <v>1</v>
      </c>
      <c r="BY582" s="27" t="n">
        <v>0.030931</v>
      </c>
      <c r="BZ582" s="24" t="inlineStr">
        <is>
          <t>2026-09-08T22:15:11.461746Z</t>
        </is>
      </c>
      <c r="CA582" s="31" t="inlineStr">
        <is>
          <t>fixed one-unit hypothetical scoring; no real exposure or execution</t>
        </is>
      </c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inlineStr">
        <is>
          <t>cd32ffe65110557d25f22740e7ae17eeb6edf9bca4ccaa3d72b19fc4b896f869</t>
        </is>
      </c>
      <c r="DE582" s="24" t="inlineStr">
        <is>
          <t>/Users/vincentc9002/model-prediction/data/odds/tennis/2026-09-08/polymarket_snapshots.jsonl</t>
        </is>
      </c>
      <c r="DF582" s="24" t="inlineStr">
        <is>
          <t>721139:2026-09-08T16:07:48.943794Z</t>
        </is>
      </c>
      <c r="DG582" s="24" t="n"/>
      <c r="DH582" s="24" t="n"/>
      <c r="DI582" s="24" t="n"/>
      <c r="DJ582" s="24" t="inlineStr">
        <is>
          <t>0.969997</t>
        </is>
      </c>
      <c r="DK582" s="24" t="n"/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3b4e53bb3e8d4d1a</t>
        </is>
      </c>
      <c r="B583" s="24" t="inlineStr">
        <is>
          <t>2026-09-08T16:16:04.467060Z</t>
        </is>
      </c>
      <c r="C583" s="24" t="inlineStr">
        <is>
          <t>2026-09-08T21:30Z</t>
        </is>
      </c>
      <c r="D583" s="24" t="inlineStr">
        <is>
          <t>964-2026:183627</t>
        </is>
      </c>
      <c r="E583" s="24" t="inlineStr">
        <is>
          <t>TENNIS</t>
        </is>
      </c>
      <c r="F583" s="24" t="inlineStr">
        <is>
          <t>Julia Riera</t>
        </is>
      </c>
      <c r="G583" s="24" t="inlineStr">
        <is>
          <t>Dominika Salkova</t>
        </is>
      </c>
      <c r="H583" s="24" t="inlineStr">
        <is>
          <t>moneyline</t>
        </is>
      </c>
      <c r="I583" s="24" t="inlineStr">
        <is>
          <t>home</t>
        </is>
      </c>
      <c r="J583" s="25" t="n"/>
      <c r="K583" s="24" t="inlineStr">
        <is>
          <t>polymarket_us</t>
        </is>
      </c>
      <c r="L583" s="26" t="n">
        <v>-144</v>
      </c>
      <c r="M583" s="27" t="n">
        <v>1.694444</v>
      </c>
      <c r="N583" s="28" t="n">
        <v>0.590164</v>
      </c>
      <c r="O583" s="28" t="n">
        <v>0.5564</v>
      </c>
      <c r="P583" s="28" t="n">
        <v>0.05</v>
      </c>
      <c r="Q583" s="28" t="n">
        <v>-0.033764</v>
      </c>
      <c r="R583" s="26" t="n">
        <v>3</v>
      </c>
      <c r="S583" s="29" t="n">
        <v>1</v>
      </c>
      <c r="T583" s="24" t="inlineStr">
        <is>
          <t>tennis-surface-elo-v1</t>
        </is>
      </c>
      <c r="U583" s="24" t="inlineStr">
        <is>
          <t>settled</t>
        </is>
      </c>
      <c r="V583" s="24" t="inlineStr">
        <is>
          <t>loss</t>
        </is>
      </c>
      <c r="W583" s="26" t="n">
        <v>1</v>
      </c>
      <c r="X583" s="26" t="n">
        <v>0</v>
      </c>
      <c r="Y583" s="25" t="n"/>
      <c r="Z583" s="26" t="n">
        <v>-144</v>
      </c>
      <c r="AA583" s="28" t="n">
        <v>0.59</v>
      </c>
      <c r="AB583" s="28" t="n">
        <v>-0.000164</v>
      </c>
      <c r="AC583" s="30" t="n">
        <v>-1</v>
      </c>
      <c r="AD583" s="24" t="inlineStr">
        <is>
          <t>2026-09-09T04:30:40.360393Z</t>
        </is>
      </c>
      <c r="AE583" s="31" t="inlineStr">
        <is>
          <t>Surface-blended Elo on Hard: Julia Riera p=0.444 vs Dominika Salkova. Executable ask 0.5900 (aec-wta-domsal-julrie-2026-09-08).</t>
        </is>
      </c>
      <c r="AF583" s="31" t="inlineStr">
        <is>
          <t>Surface-blended Elo model; singles only, WTA+ATP market coverage, not yet locked-holdout qualified -- promoted by explicit operator directive, not genuine walk-forward validation.</t>
        </is>
      </c>
      <c r="AG583" s="24" t="inlineStr">
        <is>
          <t>review_required</t>
        </is>
      </c>
      <c r="AH583" s="24" t="n"/>
      <c r="AI583" s="31" t="n"/>
      <c r="AJ583" s="31" t="n"/>
      <c r="AK583" s="24" t="inlineStr">
        <is>
          <t>paper_call</t>
        </is>
      </c>
      <c r="AL583" s="26" t="n">
        <v>4</v>
      </c>
      <c r="AM583" s="24" t="inlineStr">
        <is>
          <t>RESEARCH_OBSERVATION</t>
        </is>
      </c>
      <c r="AN583" s="24" t="inlineStr">
        <is>
          <t>CALL</t>
        </is>
      </c>
      <c r="AO583" s="24" t="inlineStr">
        <is>
          <t>PAPER_CALL_LOW_EDGE</t>
        </is>
      </c>
      <c r="AP583" s="24" t="inlineStr">
        <is>
          <t>Julia Riera</t>
        </is>
      </c>
      <c r="AQ583" s="24" t="inlineStr">
        <is>
          <t>Julia Riera</t>
        </is>
      </c>
      <c r="AR583" s="24" t="inlineStr">
        <is>
          <t>Julia Riera</t>
        </is>
      </c>
      <c r="AS583" s="24" t="inlineStr">
        <is>
          <t>Dominika Salkova</t>
        </is>
      </c>
      <c r="AT583" s="24" t="inlineStr">
        <is>
          <t>Dominika Salkova</t>
        </is>
      </c>
      <c r="AU583" s="24" t="inlineStr">
        <is>
          <t>Dominika Salkova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0ce66f49b381187fe6255a40ca2fdbfc155d5e36125ccf6d30fe81a72962eafa</t>
        </is>
      </c>
      <c r="BB583" s="24" t="inlineStr">
        <is>
          <t>surface_blended_elo</t>
        </is>
      </c>
      <c r="BC583" s="24" t="inlineStr">
        <is>
          <t>tennis-surface-elo-v1</t>
        </is>
      </c>
      <c r="BD583" s="24" t="inlineStr">
        <is>
          <t>0ce66f49b381187fe6255a40ca2fdbfc155d5e36125ccf6d30fe81a72962eafa</t>
        </is>
      </c>
      <c r="BE583" s="24" t="inlineStr">
        <is>
          <t>tennis-surface-elo-v1</t>
        </is>
      </c>
      <c r="BF583" s="24" t="inlineStr">
        <is>
          <t>1</t>
        </is>
      </c>
      <c r="BG583" s="24" t="inlineStr">
        <is>
          <t>0ce66f49b381187fe6255a40ca2fdbfc155d5e36125ccf6d30fe81a72962eafa</t>
        </is>
      </c>
      <c r="BH583" s="24" t="inlineStr">
        <is>
          <t>2026-09-08T16:07:48.968419Z</t>
        </is>
      </c>
      <c r="BI583" s="24" t="inlineStr">
        <is>
          <t>["same_event","same_team_same_day","same_league_same_day"]</t>
        </is>
      </c>
      <c r="BJ583" s="25" t="n"/>
      <c r="BK583" s="26" t="n">
        <v>-144</v>
      </c>
      <c r="BL583" s="27" t="n">
        <v>1.694444</v>
      </c>
      <c r="BM583" s="28" t="n">
        <v>0.590164</v>
      </c>
      <c r="BN583" s="28" t="n"/>
      <c r="BO583" s="28" t="n"/>
      <c r="BP583" s="25" t="n"/>
      <c r="BQ583" s="27" t="n">
        <v>1.694444</v>
      </c>
      <c r="BR583" s="28" t="n">
        <v>0.59</v>
      </c>
      <c r="BS583" s="28" t="n"/>
      <c r="BT583" s="28" t="n"/>
      <c r="BU583" s="25" t="n"/>
      <c r="BV583" s="29" t="n"/>
      <c r="BW583" s="24" t="n"/>
      <c r="BX583" s="30" t="n">
        <v>1</v>
      </c>
      <c r="BY583" s="27" t="n">
        <v>-1</v>
      </c>
      <c r="BZ583" s="24" t="inlineStr">
        <is>
          <t>2026-09-09T04:30:40.360393Z</t>
        </is>
      </c>
      <c r="CA583" s="31" t="inlineStr">
        <is>
          <t>fixed one-unit hypothetical scoring; no real exposure or execution</t>
        </is>
      </c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False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inlineStr">
        <is>
          <t>e9c2095d9b991e7936607b0c75938c98a30030237e58eb8b5438096045ad0072</t>
        </is>
      </c>
      <c r="DE583" s="24" t="inlineStr">
        <is>
          <t>/Users/vincentc9002/model-prediction/data/odds/tennis/2026-09-08/polymarket_snapshots.jsonl</t>
        </is>
      </c>
      <c r="DF583" s="24" t="inlineStr">
        <is>
          <t>713636:2026-09-08T16:07:48.968419Z</t>
        </is>
      </c>
      <c r="DG583" s="24" t="n"/>
      <c r="DH583" s="24" t="n"/>
      <c r="DI583" s="24" t="n"/>
      <c r="DJ583" s="24" t="inlineStr">
        <is>
          <t>0.590164</t>
        </is>
      </c>
      <c r="DK583" s="24" t="n"/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7e958d61f5bd47e6</t>
        </is>
      </c>
      <c r="B584" s="24" t="inlineStr">
        <is>
          <t>2026-09-08T16:16:04.467060Z</t>
        </is>
      </c>
      <c r="C584" s="24" t="inlineStr">
        <is>
          <t>2026-09-08T23:00Z</t>
        </is>
      </c>
      <c r="D584" s="24" t="inlineStr">
        <is>
          <t>964-2026:183636</t>
        </is>
      </c>
      <c r="E584" s="24" t="inlineStr">
        <is>
          <t>TENNIS</t>
        </is>
      </c>
      <c r="F584" s="24" t="inlineStr">
        <is>
          <t>Mary Stoiana</t>
        </is>
      </c>
      <c r="G584" s="24" t="inlineStr">
        <is>
          <t>Jazmin Ortenzi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polymarket_us</t>
        </is>
      </c>
      <c r="L584" s="26" t="n">
        <v>-1329</v>
      </c>
      <c r="M584" s="27" t="n">
        <v>1.075245</v>
      </c>
      <c r="N584" s="28" t="n">
        <v>0.930021</v>
      </c>
      <c r="O584" s="28" t="n">
        <v>0.6245000000000001</v>
      </c>
      <c r="P584" s="28" t="n">
        <v>0.05</v>
      </c>
      <c r="Q584" s="28" t="n">
        <v>-0.305521</v>
      </c>
      <c r="R584" s="26" t="n">
        <v>0</v>
      </c>
      <c r="S584" s="29" t="n">
        <v>1</v>
      </c>
      <c r="T584" s="24" t="inlineStr">
        <is>
          <t>tennis-surface-elo-v1</t>
        </is>
      </c>
      <c r="U584" s="24" t="inlineStr">
        <is>
          <t>settled</t>
        </is>
      </c>
      <c r="V584" s="24" t="inlineStr">
        <is>
          <t>win</t>
        </is>
      </c>
      <c r="W584" s="26" t="n">
        <v>1</v>
      </c>
      <c r="X584" s="26" t="n">
        <v>0</v>
      </c>
      <c r="Y584" s="25" t="n"/>
      <c r="Z584" s="26" t="n">
        <v>-1329</v>
      </c>
      <c r="AA584" s="28" t="n">
        <v>0.93</v>
      </c>
      <c r="AB584" s="28" t="n">
        <v>-2.1e-05</v>
      </c>
      <c r="AC584" s="30" t="n">
        <v>0.0752</v>
      </c>
      <c r="AD584" s="24" t="inlineStr">
        <is>
          <t>2026-09-09T04:30:41.456679Z</t>
        </is>
      </c>
      <c r="AE584" s="31" t="inlineStr">
        <is>
          <t>Surface-blended Elo on Hard: Mary Stoiana p=0.624 vs Jazmin Ortenzi. Executable ask 0.9300 (aec-wta-jazort-marsto-2026-09-08).</t>
        </is>
      </c>
      <c r="AF584" s="31" t="inlineStr">
        <is>
          <t>Surface-blended Elo model; singles only, WTA+ATP market coverage, not yet locked-holdout qualified -- promoted by explicit operator directive, not genuine walk-forward validation.</t>
        </is>
      </c>
      <c r="AG584" s="24" t="inlineStr">
        <is>
          <t>not_applicable</t>
        </is>
      </c>
      <c r="AH584" s="24" t="n"/>
      <c r="AI584" s="31" t="n"/>
      <c r="AJ584" s="31" t="n"/>
      <c r="AK584" s="24" t="inlineStr">
        <is>
          <t>paper_call</t>
        </is>
      </c>
      <c r="AL584" s="26" t="n">
        <v>4</v>
      </c>
      <c r="AM584" s="24" t="inlineStr">
        <is>
          <t>RESEARCH_OBSERVATION</t>
        </is>
      </c>
      <c r="AN584" s="24" t="inlineStr">
        <is>
          <t>CALL</t>
        </is>
      </c>
      <c r="AO584" s="24" t="inlineStr">
        <is>
          <t>PAPER_CALL_LOW_EDGE</t>
        </is>
      </c>
      <c r="AP584" s="24" t="inlineStr">
        <is>
          <t>Mary Stoiana</t>
        </is>
      </c>
      <c r="AQ584" s="24" t="inlineStr">
        <is>
          <t>Mary Stoiana</t>
        </is>
      </c>
      <c r="AR584" s="24" t="inlineStr">
        <is>
          <t>Mary Stoiana</t>
        </is>
      </c>
      <c r="AS584" s="24" t="inlineStr">
        <is>
          <t>Jazmin Ortenzi</t>
        </is>
      </c>
      <c r="AT584" s="24" t="inlineStr">
        <is>
          <t>Jazmin Ortenzi</t>
        </is>
      </c>
      <c r="AU584" s="24" t="inlineStr">
        <is>
          <t>Jazmin Ortenzi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0ce66f49b381187fe6255a40ca2fdbfc155d5e36125ccf6d30fe81a72962eafa</t>
        </is>
      </c>
      <c r="BB584" s="24" t="inlineStr">
        <is>
          <t>surface_blended_elo</t>
        </is>
      </c>
      <c r="BC584" s="24" t="inlineStr">
        <is>
          <t>tennis-surface-elo-v1</t>
        </is>
      </c>
      <c r="BD584" s="24" t="inlineStr">
        <is>
          <t>0ce66f49b381187fe6255a40ca2fdbfc155d5e36125ccf6d30fe81a72962eafa</t>
        </is>
      </c>
      <c r="BE584" s="24" t="inlineStr">
        <is>
          <t>tennis-surface-elo-v1</t>
        </is>
      </c>
      <c r="BF584" s="24" t="inlineStr">
        <is>
          <t>1</t>
        </is>
      </c>
      <c r="BG584" s="24" t="inlineStr">
        <is>
          <t>0ce66f49b381187fe6255a40ca2fdbfc155d5e36125ccf6d30fe81a72962eafa</t>
        </is>
      </c>
      <c r="BH584" s="24" t="inlineStr">
        <is>
          <t>2026-09-08T16:07:48.960385Z</t>
        </is>
      </c>
      <c r="BI584" s="24" t="inlineStr">
        <is>
          <t>["same_event","same_team_same_day","same_league_same_day"]</t>
        </is>
      </c>
      <c r="BJ584" s="25" t="n"/>
      <c r="BK584" s="26" t="n">
        <v>-1329</v>
      </c>
      <c r="BL584" s="27" t="n">
        <v>1.075245</v>
      </c>
      <c r="BM584" s="28" t="n">
        <v>0.930021</v>
      </c>
      <c r="BN584" s="28" t="n"/>
      <c r="BO584" s="28" t="n"/>
      <c r="BP584" s="25" t="n"/>
      <c r="BQ584" s="27" t="n">
        <v>1.075245</v>
      </c>
      <c r="BR584" s="28" t="n">
        <v>0.93</v>
      </c>
      <c r="BS584" s="28" t="n"/>
      <c r="BT584" s="28" t="n"/>
      <c r="BU584" s="25" t="n"/>
      <c r="BV584" s="29" t="n"/>
      <c r="BW584" s="24" t="n"/>
      <c r="BX584" s="30" t="n">
        <v>1</v>
      </c>
      <c r="BY584" s="27" t="n">
        <v>0.07524500000000001</v>
      </c>
      <c r="BZ584" s="24" t="inlineStr">
        <is>
          <t>2026-09-09T04:30:41.456679Z</t>
        </is>
      </c>
      <c r="CA584" s="31" t="inlineStr">
        <is>
          <t>fixed one-unit hypothetical scoring; no real exposure or execution</t>
        </is>
      </c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False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inlineStr">
        <is>
          <t>e609948006ff27440bfe7f5d22e84189a3832c14f127befbf16678c2f4eeb186</t>
        </is>
      </c>
      <c r="DE584" s="24" t="inlineStr">
        <is>
          <t>/Users/vincentc9002/model-prediction/data/odds/tennis/2026-09-08/polymarket_snapshots.jsonl</t>
        </is>
      </c>
      <c r="DF584" s="24" t="inlineStr">
        <is>
          <t>713637:2026-09-08T16:07:48.960385Z</t>
        </is>
      </c>
      <c r="DG584" s="24" t="n"/>
      <c r="DH584" s="24" t="n"/>
      <c r="DI584" s="24" t="n"/>
      <c r="DJ584" s="24" t="inlineStr">
        <is>
          <t>0.930021</t>
        </is>
      </c>
      <c r="DK584" s="24" t="n"/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8193c2e007cd4843</t>
        </is>
      </c>
      <c r="B585" s="24" t="inlineStr">
        <is>
          <t>2026-09-08T16:16:04.467060Z</t>
        </is>
      </c>
      <c r="C585" s="24" t="inlineStr">
        <is>
          <t>2026-09-08T17:00Z</t>
        </is>
      </c>
      <c r="D585" s="24" t="inlineStr">
        <is>
          <t>189-2026:182777</t>
        </is>
      </c>
      <c r="E585" s="24" t="inlineStr">
        <is>
          <t>TENNIS</t>
        </is>
      </c>
      <c r="F585" s="24" t="inlineStr">
        <is>
          <t>Alex Michelsen</t>
        </is>
      </c>
      <c r="G585" s="24" t="inlineStr">
        <is>
          <t>Frances Tiafoe</t>
        </is>
      </c>
      <c r="H585" s="24" t="inlineStr">
        <is>
          <t>moneyline</t>
        </is>
      </c>
      <c r="I585" s="24" t="inlineStr">
        <is>
          <t>home</t>
        </is>
      </c>
      <c r="J585" s="25" t="n"/>
      <c r="K585" s="24" t="inlineStr">
        <is>
          <t>polymarket_us</t>
        </is>
      </c>
      <c r="L585" s="26" t="n">
        <v>-147</v>
      </c>
      <c r="M585" s="27" t="n">
        <v>1.680272</v>
      </c>
      <c r="N585" s="28" t="n">
        <v>0.5951419999999999</v>
      </c>
      <c r="O585" s="28" t="n">
        <v>0.6598000000000001</v>
      </c>
      <c r="P585" s="28" t="n">
        <v>0.05</v>
      </c>
      <c r="Q585" s="28" t="n">
        <v>0.06465799999999999</v>
      </c>
      <c r="R585" s="26" t="n">
        <v>52</v>
      </c>
      <c r="S585" s="29" t="n">
        <v>1</v>
      </c>
      <c r="T585" s="24" t="inlineStr">
        <is>
          <t>tennis-surface-elo-v1</t>
        </is>
      </c>
      <c r="U585" s="24" t="inlineStr">
        <is>
          <t>settled</t>
        </is>
      </c>
      <c r="V585" s="24" t="inlineStr">
        <is>
          <t>win</t>
        </is>
      </c>
      <c r="W585" s="26" t="n">
        <v>0</v>
      </c>
      <c r="X585" s="26" t="n">
        <v>1</v>
      </c>
      <c r="Y585" s="25" t="n"/>
      <c r="Z585" s="26" t="n">
        <v>-147</v>
      </c>
      <c r="AA585" s="28" t="n">
        <v>0.595</v>
      </c>
      <c r="AB585" s="28" t="n">
        <v>-0.000142</v>
      </c>
      <c r="AC585" s="30" t="n">
        <v>0.6803</v>
      </c>
      <c r="AD585" s="24" t="inlineStr">
        <is>
          <t>2026-09-09T04:30:42.563910Z</t>
        </is>
      </c>
      <c r="AE585" s="31" t="inlineStr">
        <is>
          <t>Surface-blended Elo on Hard: Alex Michelsen p=0.340 vs Frances Tiafoe. Executable ask 0.5950 (aec-atp-fratia-alemic-2026-09-07).</t>
        </is>
      </c>
      <c r="AF585" s="31" t="inlineStr">
        <is>
          <t>Surface-blended Elo model; singles only, WTA+ATP market coverage, not yet locked-holdout qualified -- promoted by explicit operator directive, not genuine walk-forward validation.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Alex Michelsen</t>
        </is>
      </c>
      <c r="AQ585" s="24" t="inlineStr">
        <is>
          <t>Alex Michelsen</t>
        </is>
      </c>
      <c r="AR585" s="24" t="inlineStr">
        <is>
          <t>Alex Michelsen</t>
        </is>
      </c>
      <c r="AS585" s="24" t="inlineStr">
        <is>
          <t>Frances Tiafoe</t>
        </is>
      </c>
      <c r="AT585" s="24" t="inlineStr">
        <is>
          <t>Frances Tiafoe</t>
        </is>
      </c>
      <c r="AU585" s="24" t="inlineStr">
        <is>
          <t>Frances Tiafoe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0ce66f49b381187fe6255a40ca2fdbfc155d5e36125ccf6d30fe81a72962eafa</t>
        </is>
      </c>
      <c r="BB585" s="24" t="inlineStr">
        <is>
          <t>surface_blended_elo</t>
        </is>
      </c>
      <c r="BC585" s="24" t="inlineStr">
        <is>
          <t>tennis-surface-elo-v1</t>
        </is>
      </c>
      <c r="BD585" s="24" t="inlineStr">
        <is>
          <t>0ce66f49b381187fe6255a40ca2fdbfc155d5e36125ccf6d30fe81a72962eafa</t>
        </is>
      </c>
      <c r="BE585" s="24" t="inlineStr">
        <is>
          <t>tennis-surface-elo-v1</t>
        </is>
      </c>
      <c r="BF585" s="24" t="inlineStr">
        <is>
          <t>1</t>
        </is>
      </c>
      <c r="BG585" s="24" t="inlineStr">
        <is>
          <t>0ce66f49b381187fe6255a40ca2fdbfc155d5e36125ccf6d30fe81a72962eafa</t>
        </is>
      </c>
      <c r="BH585" s="24" t="inlineStr">
        <is>
          <t>2026-09-08T16:07:49.125739Z</t>
        </is>
      </c>
      <c r="BI585" s="24" t="inlineStr">
        <is>
          <t>["same_event","same_team_same_day","same_league_same_day"]</t>
        </is>
      </c>
      <c r="BJ585" s="25" t="n"/>
      <c r="BK585" s="26" t="n">
        <v>-147</v>
      </c>
      <c r="BL585" s="27" t="n">
        <v>1.680272</v>
      </c>
      <c r="BM585" s="28" t="n">
        <v>0.5951419999999999</v>
      </c>
      <c r="BN585" s="28" t="n"/>
      <c r="BO585" s="28" t="n"/>
      <c r="BP585" s="25" t="n"/>
      <c r="BQ585" s="27" t="n">
        <v>1.680272</v>
      </c>
      <c r="BR585" s="28" t="n">
        <v>0.595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inlineStr">
        <is>
          <t>50f18cb75e75a51e2274d2575dcd2e3ad674b9eb053aa34738d95c1b0db32d03</t>
        </is>
      </c>
      <c r="DE585" s="24" t="inlineStr">
        <is>
          <t>/Users/vincentc9002/model-prediction/data/odds/tennis/2026-09-08/polymarket_snapshots.jsonl</t>
        </is>
      </c>
      <c r="DF585" s="24" t="inlineStr">
        <is>
          <t>713564:2026-09-08T16:07:49.125739Z</t>
        </is>
      </c>
      <c r="DG585" s="24" t="n"/>
      <c r="DH585" s="24" t="n"/>
      <c r="DI585" s="24" t="n"/>
      <c r="DJ585" s="24" t="inlineStr">
        <is>
          <t>0.595142</t>
        </is>
      </c>
      <c r="DK585" s="24" t="n"/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673415a270174550</t>
        </is>
      </c>
      <c r="B586" s="24" t="inlineStr">
        <is>
          <t>2026-09-08T23:35:19.759321Z</t>
        </is>
      </c>
      <c r="C586" s="24" t="inlineStr">
        <is>
          <t>2026-09-09T01:00Z</t>
        </is>
      </c>
      <c r="D586" s="24" t="inlineStr">
        <is>
          <t>189-2026:182780</t>
        </is>
      </c>
      <c r="E586" s="24" t="inlineStr">
        <is>
          <t>TENNIS</t>
        </is>
      </c>
      <c r="F586" s="24" t="inlineStr">
        <is>
          <t>Carlos Alcaraz</t>
        </is>
      </c>
      <c r="G586" s="24" t="inlineStr">
        <is>
          <t>Ben Shelton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polymarket_us</t>
        </is>
      </c>
      <c r="L586" s="26" t="n">
        <v>-335</v>
      </c>
      <c r="M586" s="27" t="n">
        <v>1.298507</v>
      </c>
      <c r="N586" s="28" t="n">
        <v>0.770115</v>
      </c>
      <c r="O586" s="28" t="n">
        <v>0.7026</v>
      </c>
      <c r="P586" s="28" t="n">
        <v>0.05</v>
      </c>
      <c r="Q586" s="28" t="n">
        <v>-0.06751500000000001</v>
      </c>
      <c r="R586" s="26" t="n">
        <v>0</v>
      </c>
      <c r="S586" s="29" t="n">
        <v>1</v>
      </c>
      <c r="T586" s="24" t="inlineStr">
        <is>
          <t>tennis-surface-elo-v1</t>
        </is>
      </c>
      <c r="U586" s="24" t="inlineStr">
        <is>
          <t>settled</t>
        </is>
      </c>
      <c r="V586" s="24" t="inlineStr">
        <is>
          <t>loss</t>
        </is>
      </c>
      <c r="W586" s="26" t="n">
        <v>0</v>
      </c>
      <c r="X586" s="26" t="n">
        <v>1</v>
      </c>
      <c r="Y586" s="25" t="n"/>
      <c r="Z586" s="26" t="n">
        <v>-335</v>
      </c>
      <c r="AA586" s="28" t="n">
        <v>0.77</v>
      </c>
      <c r="AB586" s="28" t="n">
        <v>-0.000115</v>
      </c>
      <c r="AC586" s="30" t="n">
        <v>-1</v>
      </c>
      <c r="AD586" s="24" t="inlineStr">
        <is>
          <t>2026-09-09T10:00:19.865784Z</t>
        </is>
      </c>
      <c r="AE586" s="31" t="inlineStr">
        <is>
          <t>Surface-blended Elo on Hard: Carlos Alcaraz p=0.703 vs Ben Shelton. Executable ask 0.7700 (aec-atp-benshe-caralc-2026-09-08).</t>
        </is>
      </c>
      <c r="AF586" s="31" t="inlineStr">
        <is>
          <t>Surface-blended Elo model; singles only, WTA+ATP market coverage, not yet locked-holdout qualified -- promoted by explicit operator directive, not genuine walk-forward validation.</t>
        </is>
      </c>
      <c r="AG586" s="24" t="inlineStr">
        <is>
          <t>review_required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Carlos Alcaraz</t>
        </is>
      </c>
      <c r="AQ586" s="24" t="inlineStr">
        <is>
          <t>Carlos Alcaraz</t>
        </is>
      </c>
      <c r="AR586" s="24" t="inlineStr">
        <is>
          <t>Carlos Alcaraz</t>
        </is>
      </c>
      <c r="AS586" s="24" t="inlineStr">
        <is>
          <t>Ben Shelton</t>
        </is>
      </c>
      <c r="AT586" s="24" t="inlineStr">
        <is>
          <t>Ben Shelton</t>
        </is>
      </c>
      <c r="AU586" s="24" t="inlineStr">
        <is>
          <t>Ben Shelton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b6a128fd8ef6dd41016b77e2e2fb0ca36bdb1ca1895b972980670c1571f8e21c</t>
        </is>
      </c>
      <c r="BB586" s="24" t="inlineStr">
        <is>
          <t>surface_blended_elo</t>
        </is>
      </c>
      <c r="BC586" s="24" t="inlineStr">
        <is>
          <t>tennis-surface-elo-v1</t>
        </is>
      </c>
      <c r="BD586" s="24" t="inlineStr">
        <is>
          <t>b6a128fd8ef6dd41016b77e2e2fb0ca36bdb1ca1895b972980670c1571f8e21c</t>
        </is>
      </c>
      <c r="BE586" s="24" t="inlineStr">
        <is>
          <t>tennis-surface-elo-v1</t>
        </is>
      </c>
      <c r="BF586" s="24" t="inlineStr">
        <is>
          <t>1</t>
        </is>
      </c>
      <c r="BG586" s="24" t="inlineStr">
        <is>
          <t>b6a128fd8ef6dd41016b77e2e2fb0ca36bdb1ca1895b972980670c1571f8e21c</t>
        </is>
      </c>
      <c r="BH586" s="24" t="inlineStr">
        <is>
          <t>2026-09-08T23:18:51.247097Z</t>
        </is>
      </c>
      <c r="BI586" s="24" t="inlineStr">
        <is>
          <t>["same_event","same_team_same_day","same_league_same_day"]</t>
        </is>
      </c>
      <c r="BJ586" s="25" t="n"/>
      <c r="BK586" s="26" t="n">
        <v>-335</v>
      </c>
      <c r="BL586" s="27" t="n">
        <v>1.298507</v>
      </c>
      <c r="BM586" s="28" t="n">
        <v>0.770115</v>
      </c>
      <c r="BN586" s="28" t="n"/>
      <c r="BO586" s="28" t="n"/>
      <c r="BP586" s="25" t="n"/>
      <c r="BQ586" s="27" t="n">
        <v>1.298507</v>
      </c>
      <c r="BR586" s="28" t="n">
        <v>0.77</v>
      </c>
      <c r="BS586" s="28" t="n"/>
      <c r="BT586" s="28" t="n"/>
      <c r="BU586" s="25" t="n"/>
      <c r="BV586" s="29" t="n"/>
      <c r="BW586" s="24" t="n"/>
      <c r="BX586" s="30" t="n">
        <v>1</v>
      </c>
      <c r="BY586" s="27" t="n">
        <v>-1</v>
      </c>
      <c r="BZ586" s="24" t="inlineStr">
        <is>
          <t>2026-09-09T10:00:19.865784Z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inlineStr">
        <is>
          <t>0335ac95f5f1b07d895286fd78b1c3c827f68db3f92f16861f19310aa84a7f61</t>
        </is>
      </c>
      <c r="DE586" s="24" t="inlineStr">
        <is>
          <t>/Users/vincentc9002/model-prediction/data/odds/tennis/2026-09-08/polymarket_snapshots.jsonl</t>
        </is>
      </c>
      <c r="DF586" s="24" t="inlineStr">
        <is>
          <t>713903:2026-09-08T23:18:51.247097Z</t>
        </is>
      </c>
      <c r="DG586" s="24" t="n"/>
      <c r="DH586" s="24" t="n"/>
      <c r="DI586" s="24" t="n"/>
      <c r="DJ586" s="24" t="inlineStr">
        <is>
          <t>0.770115</t>
        </is>
      </c>
      <c r="DK586" s="24" t="n"/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f348d03cfa9c4e60</t>
        </is>
      </c>
      <c r="B587" s="24" t="inlineStr">
        <is>
          <t>2026-09-09T04:34:23.608818Z</t>
        </is>
      </c>
      <c r="C587" s="24" t="inlineStr">
        <is>
          <t>2026-09-09T08:30Z</t>
        </is>
      </c>
      <c r="D587" s="24" t="inlineStr">
        <is>
          <t>1076-2026:183551</t>
        </is>
      </c>
      <c r="E587" s="24" t="inlineStr">
        <is>
          <t>TENNIS</t>
        </is>
      </c>
      <c r="F587" s="24" t="inlineStr">
        <is>
          <t>Aurora Zantedeschi</t>
        </is>
      </c>
      <c r="G587" s="24" t="inlineStr">
        <is>
          <t>Lina Gjorcheska</t>
        </is>
      </c>
      <c r="H587" s="24" t="inlineStr">
        <is>
          <t>moneyline</t>
        </is>
      </c>
      <c r="I587" s="24" t="inlineStr">
        <is>
          <t>away</t>
        </is>
      </c>
      <c r="J587" s="25" t="n"/>
      <c r="K587" s="24" t="inlineStr">
        <is>
          <t>polymarket_us</t>
        </is>
      </c>
      <c r="L587" s="26" t="n">
        <v>-127</v>
      </c>
      <c r="M587" s="27" t="n">
        <v>1.787402</v>
      </c>
      <c r="N587" s="28" t="n">
        <v>0.5594710000000001</v>
      </c>
      <c r="O587" s="28" t="n">
        <v>0.5437</v>
      </c>
      <c r="P587" s="28" t="n">
        <v>0.05</v>
      </c>
      <c r="Q587" s="28" t="n">
        <v>-0.015771</v>
      </c>
      <c r="R587" s="26" t="n">
        <v>12</v>
      </c>
      <c r="S587" s="29" t="n">
        <v>1</v>
      </c>
      <c r="T587" s="24" t="inlineStr">
        <is>
          <t>tennis-surface-elo-v1</t>
        </is>
      </c>
      <c r="U587" s="24" t="inlineStr">
        <is>
          <t>settled</t>
        </is>
      </c>
      <c r="V587" s="24" t="inlineStr">
        <is>
          <t>win</t>
        </is>
      </c>
      <c r="W587" s="26" t="n">
        <v>1</v>
      </c>
      <c r="X587" s="26" t="n">
        <v>0</v>
      </c>
      <c r="Y587" s="25" t="n"/>
      <c r="Z587" s="26" t="n">
        <v>-127</v>
      </c>
      <c r="AA587" s="28" t="n">
        <v>0.5600000000000001</v>
      </c>
      <c r="AB587" s="28" t="n">
        <v>0.000529</v>
      </c>
      <c r="AC587" s="30" t="n">
        <v>0.7874</v>
      </c>
      <c r="AD587" s="24" t="inlineStr">
        <is>
          <t>2026-09-09T16:00:13.012112Z</t>
        </is>
      </c>
      <c r="AE587" s="31" t="inlineStr">
        <is>
          <t>Surface-blended Elo on Hard: Aurora Zantedeschi p=0.544 vs Lina Gjorcheska. Executable ask 0.5600 (aec-wta-lingjo-aurzan-2026-09-09).</t>
        </is>
      </c>
      <c r="AF587" s="31" t="inlineStr">
        <is>
          <t>Surface-blended Elo model; singles only, WTA+ATP market coverage, not yet locked-holdout qualified -- promoted by explicit operator directive, not genuine walk-forward validation.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Aurora Zantedeschi</t>
        </is>
      </c>
      <c r="AQ587" s="24" t="inlineStr">
        <is>
          <t>Aurora Zantedeschi</t>
        </is>
      </c>
      <c r="AR587" s="24" t="inlineStr">
        <is>
          <t>Aurora Zantedeschi</t>
        </is>
      </c>
      <c r="AS587" s="24" t="inlineStr">
        <is>
          <t>Lina Gjorcheska</t>
        </is>
      </c>
      <c r="AT587" s="24" t="inlineStr">
        <is>
          <t>Lina Gjorcheska</t>
        </is>
      </c>
      <c r="AU587" s="24" t="inlineStr">
        <is>
          <t>Lina Gjorcheska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b6a128fd8ef6dd41016b77e2e2fb0ca36bdb1ca1895b972980670c1571f8e21c</t>
        </is>
      </c>
      <c r="BB587" s="24" t="inlineStr">
        <is>
          <t>surface_blended_elo</t>
        </is>
      </c>
      <c r="BC587" s="24" t="inlineStr">
        <is>
          <t>tennis-surface-elo-v1</t>
        </is>
      </c>
      <c r="BD587" s="24" t="inlineStr">
        <is>
          <t>b6a128fd8ef6dd41016b77e2e2fb0ca36bdb1ca1895b972980670c1571f8e21c</t>
        </is>
      </c>
      <c r="BE587" s="24" t="inlineStr">
        <is>
          <t>tennis-surface-elo-v1</t>
        </is>
      </c>
      <c r="BF587" s="24" t="inlineStr">
        <is>
          <t>1</t>
        </is>
      </c>
      <c r="BG587" s="24" t="inlineStr">
        <is>
          <t>b6a128fd8ef6dd41016b77e2e2fb0ca36bdb1ca1895b972980670c1571f8e21c</t>
        </is>
      </c>
      <c r="BH587" s="24" t="inlineStr">
        <is>
          <t>2026-09-09T04:33:41.049126Z</t>
        </is>
      </c>
      <c r="BI587" s="24" t="inlineStr">
        <is>
          <t>["same_event","same_team_same_day","same_league_same_day"]</t>
        </is>
      </c>
      <c r="BJ587" s="25" t="n"/>
      <c r="BK587" s="26" t="n">
        <v>-127</v>
      </c>
      <c r="BL587" s="27" t="n">
        <v>1.787402</v>
      </c>
      <c r="BM587" s="28" t="n">
        <v>0.5594710000000001</v>
      </c>
      <c r="BN587" s="28" t="n"/>
      <c r="BO587" s="28" t="n"/>
      <c r="BP587" s="25" t="n"/>
      <c r="BQ587" s="27" t="n">
        <v>1.787402</v>
      </c>
      <c r="BR587" s="28" t="n">
        <v>0.5600000000000001</v>
      </c>
      <c r="BS587" s="28" t="n"/>
      <c r="BT587" s="28" t="n"/>
      <c r="BU587" s="25" t="n"/>
      <c r="BV587" s="29" t="n"/>
      <c r="BW587" s="24" t="n"/>
      <c r="BX587" s="30" t="n">
        <v>1</v>
      </c>
      <c r="BY587" s="27" t="n">
        <v>0.787403</v>
      </c>
      <c r="BZ587" s="24" t="inlineStr">
        <is>
          <t>2026-09-09T16:00:13.012112Z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inlineStr">
        <is>
          <t>98fe2ebe817470e9123d8c6f91028471fceed89ea6043efebef09dfa080035e0</t>
        </is>
      </c>
      <c r="DE587" s="24" t="inlineStr">
        <is>
          <t>/Users/vincentc9002/model-prediction/data/odds/tennis/2026-09-09/polymarket_snapshots.jsonl</t>
        </is>
      </c>
      <c r="DF587" s="24" t="inlineStr">
        <is>
          <t>717292:2026-09-09T04:33:41.049126Z</t>
        </is>
      </c>
      <c r="DG587" s="24" t="n"/>
      <c r="DH587" s="24" t="n"/>
      <c r="DI587" s="24" t="n"/>
      <c r="DJ587" s="24" t="inlineStr">
        <is>
          <t>0.559471</t>
        </is>
      </c>
      <c r="DK587" s="24" t="n"/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96a3d923f1ec4d5b</t>
        </is>
      </c>
      <c r="B588" s="24" t="inlineStr">
        <is>
          <t>2026-09-09T04:34:23.608818Z</t>
        </is>
      </c>
      <c r="C588" s="24" t="inlineStr">
        <is>
          <t>2026-09-09T09:00Z</t>
        </is>
      </c>
      <c r="D588" s="24" t="inlineStr">
        <is>
          <t>1076-2026:183537</t>
        </is>
      </c>
      <c r="E588" s="24" t="inlineStr">
        <is>
          <t>TENNIS</t>
        </is>
      </c>
      <c r="F588" s="24" t="inlineStr">
        <is>
          <t>Elizara Yaneva</t>
        </is>
      </c>
      <c r="G588" s="24" t="inlineStr">
        <is>
          <t>Zhibek Kulambayeva</t>
        </is>
      </c>
      <c r="H588" s="24" t="inlineStr">
        <is>
          <t>moneyline</t>
        </is>
      </c>
      <c r="I588" s="24" t="inlineStr">
        <is>
          <t>home</t>
        </is>
      </c>
      <c r="J588" s="25" t="n"/>
      <c r="K588" s="24" t="inlineStr">
        <is>
          <t>polymarket_us</t>
        </is>
      </c>
      <c r="L588" s="26" t="n">
        <v>257</v>
      </c>
      <c r="M588" s="27" t="n">
        <v>3.57</v>
      </c>
      <c r="N588" s="28" t="n">
        <v>0.280112</v>
      </c>
      <c r="O588" s="28" t="n">
        <v>0.5465</v>
      </c>
      <c r="P588" s="28" t="n">
        <v>0.05</v>
      </c>
      <c r="Q588" s="28" t="n">
        <v>0.266388</v>
      </c>
      <c r="R588" s="26" t="n">
        <v>100</v>
      </c>
      <c r="S588" s="29" t="n">
        <v>2</v>
      </c>
      <c r="T588" s="24" t="inlineStr">
        <is>
          <t>tennis-surface-elo-v1</t>
        </is>
      </c>
      <c r="U588" s="24" t="inlineStr">
        <is>
          <t>settled</t>
        </is>
      </c>
      <c r="V588" s="24" t="inlineStr">
        <is>
          <t>loss</t>
        </is>
      </c>
      <c r="W588" s="26" t="n">
        <v>1</v>
      </c>
      <c r="X588" s="26" t="n">
        <v>0</v>
      </c>
      <c r="Y588" s="25" t="n"/>
      <c r="Z588" s="26" t="n">
        <v>257</v>
      </c>
      <c r="AA588" s="28" t="n">
        <v>0.28</v>
      </c>
      <c r="AB588" s="28" t="n">
        <v>-0.000112</v>
      </c>
      <c r="AC588" s="30" t="n">
        <v>-2</v>
      </c>
      <c r="AD588" s="24" t="inlineStr">
        <is>
          <t>2026-09-09T16:00:14.164269Z</t>
        </is>
      </c>
      <c r="AE588" s="31" t="inlineStr">
        <is>
          <t>Surface-blended Elo on Hard: Elizara Yaneva p=0.453 vs Zhibek Kulambayeva. Executable ask 0.2800 (aec-wta-zhikul-eliyan-2026-09-08).</t>
        </is>
      </c>
      <c r="AF588" s="31" t="inlineStr">
        <is>
          <t>Surface-blended Elo model; singles only, WTA+ATP market coverage, not yet locked-holdout qualified -- promoted by explicit operator directive, not genuine walk-forward validation.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Elizara Yaneva</t>
        </is>
      </c>
      <c r="AQ588" s="24" t="inlineStr">
        <is>
          <t>Elizara Yaneva</t>
        </is>
      </c>
      <c r="AR588" s="24" t="inlineStr">
        <is>
          <t>Elizara Yaneva</t>
        </is>
      </c>
      <c r="AS588" s="24" t="inlineStr">
        <is>
          <t>Zhibek Kulambayeva</t>
        </is>
      </c>
      <c r="AT588" s="24" t="inlineStr">
        <is>
          <t>Zhibek Kulambayeva</t>
        </is>
      </c>
      <c r="AU588" s="24" t="inlineStr">
        <is>
          <t>Zhibek Kulambayeva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b6a128fd8ef6dd41016b77e2e2fb0ca36bdb1ca1895b972980670c1571f8e21c</t>
        </is>
      </c>
      <c r="BB588" s="24" t="inlineStr">
        <is>
          <t>surface_blended_elo</t>
        </is>
      </c>
      <c r="BC588" s="24" t="inlineStr">
        <is>
          <t>tennis-surface-elo-v1</t>
        </is>
      </c>
      <c r="BD588" s="24" t="inlineStr">
        <is>
          <t>b6a128fd8ef6dd41016b77e2e2fb0ca36bdb1ca1895b972980670c1571f8e21c</t>
        </is>
      </c>
      <c r="BE588" s="24" t="inlineStr">
        <is>
          <t>tennis-surface-elo-v1</t>
        </is>
      </c>
      <c r="BF588" s="24" t="inlineStr">
        <is>
          <t>1</t>
        </is>
      </c>
      <c r="BG588" s="24" t="inlineStr">
        <is>
          <t>b6a128fd8ef6dd41016b77e2e2fb0ca36bdb1ca1895b972980670c1571f8e21c</t>
        </is>
      </c>
      <c r="BH588" s="24" t="inlineStr">
        <is>
          <t>2026-09-09T04:33:41.087455Z</t>
        </is>
      </c>
      <c r="BI588" s="24" t="inlineStr">
        <is>
          <t>["same_event","same_team_same_day","same_league_same_day"]</t>
        </is>
      </c>
      <c r="BJ588" s="25" t="n"/>
      <c r="BK588" s="26" t="n">
        <v>257</v>
      </c>
      <c r="BL588" s="27" t="n">
        <v>3.57</v>
      </c>
      <c r="BM588" s="28" t="n">
        <v>0.280112</v>
      </c>
      <c r="BN588" s="28" t="n"/>
      <c r="BO588" s="28" t="n"/>
      <c r="BP588" s="25" t="n"/>
      <c r="BQ588" s="27" t="n">
        <v>3.57</v>
      </c>
      <c r="BR588" s="28" t="n">
        <v>0.28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inlineStr">
        <is>
          <t>610bb9f70de6b1c6aa2e3467647b1f898f0f4a68dad09bf19ad1a825a7116a58</t>
        </is>
      </c>
      <c r="DE588" s="24" t="inlineStr">
        <is>
          <t>/Users/vincentc9002/model-prediction/data/odds/tennis/2026-09-09/polymarket_snapshots.jsonl</t>
        </is>
      </c>
      <c r="DF588" s="24" t="inlineStr">
        <is>
          <t>719215:2026-09-09T04:33:41.087455Z</t>
        </is>
      </c>
      <c r="DG588" s="24" t="n"/>
      <c r="DH588" s="24" t="n"/>
      <c r="DI588" s="24" t="n"/>
      <c r="DJ588" s="24" t="inlineStr">
        <is>
          <t>0.280112</t>
        </is>
      </c>
      <c r="DK588" s="24" t="n"/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971502201d6f4d9c</t>
        </is>
      </c>
      <c r="B589" s="24" t="inlineStr">
        <is>
          <t>2026-09-09T10:03:43.110101Z</t>
        </is>
      </c>
      <c r="C589" s="24" t="inlineStr">
        <is>
          <t>2026-09-09T15:30Z</t>
        </is>
      </c>
      <c r="D589" s="24" t="inlineStr">
        <is>
          <t>189-2026:182576</t>
        </is>
      </c>
      <c r="E589" s="24" t="inlineStr">
        <is>
          <t>TENNIS</t>
        </is>
      </c>
      <c r="F589" s="24" t="inlineStr">
        <is>
          <t>Elena Rybakina</t>
        </is>
      </c>
      <c r="G589" s="24" t="inlineStr">
        <is>
          <t>Zheng Qinwen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polymarket_us</t>
        </is>
      </c>
      <c r="L589" s="26" t="n">
        <v>-277</v>
      </c>
      <c r="M589" s="27" t="n">
        <v>1.361011</v>
      </c>
      <c r="N589" s="28" t="n">
        <v>0.734748</v>
      </c>
      <c r="O589" s="28" t="n">
        <v>0.7925</v>
      </c>
      <c r="P589" s="28" t="n">
        <v>0.05</v>
      </c>
      <c r="Q589" s="28" t="n">
        <v>0.057752</v>
      </c>
      <c r="R589" s="26" t="n">
        <v>49</v>
      </c>
      <c r="S589" s="29" t="n">
        <v>1</v>
      </c>
      <c r="T589" s="24" t="inlineStr">
        <is>
          <t>tennis-surface-elo-v1</t>
        </is>
      </c>
      <c r="U589" s="24" t="inlineStr">
        <is>
          <t>settled</t>
        </is>
      </c>
      <c r="V589" s="24" t="inlineStr">
        <is>
          <t>win</t>
        </is>
      </c>
      <c r="W589" s="26" t="n">
        <v>1</v>
      </c>
      <c r="X589" s="26" t="n">
        <v>0</v>
      </c>
      <c r="Y589" s="25" t="n"/>
      <c r="Z589" s="26" t="n">
        <v>-277</v>
      </c>
      <c r="AA589" s="28" t="n">
        <v>0.735</v>
      </c>
      <c r="AB589" s="28" t="n">
        <v>0.000252</v>
      </c>
      <c r="AC589" s="30" t="n">
        <v>0.361</v>
      </c>
      <c r="AD589" s="24" t="inlineStr">
        <is>
          <t>2026-09-09T22:00:15.752720Z</t>
        </is>
      </c>
      <c r="AE589" s="31" t="inlineStr">
        <is>
          <t>Surface-blended Elo on Hard: Elena Rybakina p=0.792 vs Zheng Qinwen. Executable ask 0.7350 (aec-wta-qinzhe-eleryb-2026-09-08).</t>
        </is>
      </c>
      <c r="AF589" s="31" t="inlineStr">
        <is>
          <t>Surface-blended Elo model; singles only, WTA+ATP market coverage, not yet locked-holdout qualified -- promoted by explicit operator directive, not genuine walk-forward validation.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Elena Rybakina</t>
        </is>
      </c>
      <c r="AQ589" s="24" t="inlineStr">
        <is>
          <t>Elena Rybakina</t>
        </is>
      </c>
      <c r="AR589" s="24" t="inlineStr">
        <is>
          <t>Elena Rybakina</t>
        </is>
      </c>
      <c r="AS589" s="24" t="inlineStr">
        <is>
          <t>Zheng Qinwen</t>
        </is>
      </c>
      <c r="AT589" s="24" t="inlineStr">
        <is>
          <t>Zheng Qinwen</t>
        </is>
      </c>
      <c r="AU589" s="24" t="inlineStr">
        <is>
          <t>Zheng Qinwen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b6a128fd8ef6dd41016b77e2e2fb0ca36bdb1ca1895b972980670c1571f8e21c</t>
        </is>
      </c>
      <c r="BB589" s="24" t="inlineStr">
        <is>
          <t>surface_blended_elo</t>
        </is>
      </c>
      <c r="BC589" s="24" t="inlineStr">
        <is>
          <t>tennis-surface-elo-v1</t>
        </is>
      </c>
      <c r="BD589" s="24" t="inlineStr">
        <is>
          <t>b6a128fd8ef6dd41016b77e2e2fb0ca36bdb1ca1895b972980670c1571f8e21c</t>
        </is>
      </c>
      <c r="BE589" s="24" t="inlineStr">
        <is>
          <t>tennis-surface-elo-v1</t>
        </is>
      </c>
      <c r="BF589" s="24" t="inlineStr">
        <is>
          <t>1</t>
        </is>
      </c>
      <c r="BG589" s="24" t="inlineStr">
        <is>
          <t>b6a128fd8ef6dd41016b77e2e2fb0ca36bdb1ca1895b972980670c1571f8e21c</t>
        </is>
      </c>
      <c r="BH589" s="24" t="inlineStr">
        <is>
          <t>2026-09-09T10:02:56.799564Z</t>
        </is>
      </c>
      <c r="BI589" s="24" t="inlineStr">
        <is>
          <t>["same_event","same_team_same_day","same_league_same_day"]</t>
        </is>
      </c>
      <c r="BJ589" s="25" t="n"/>
      <c r="BK589" s="26" t="n">
        <v>-277</v>
      </c>
      <c r="BL589" s="27" t="n">
        <v>1.361011</v>
      </c>
      <c r="BM589" s="28" t="n">
        <v>0.734748</v>
      </c>
      <c r="BN589" s="28" t="n"/>
      <c r="BO589" s="28" t="n"/>
      <c r="BP589" s="25" t="n"/>
      <c r="BQ589" s="27" t="n">
        <v>1.361011</v>
      </c>
      <c r="BR589" s="28" t="n">
        <v>0.735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inlineStr">
        <is>
          <t>d1bb796b1c4d643fd46d44f1eb6606acb4e754e71b4cecd702f3018be71f357a</t>
        </is>
      </c>
      <c r="DE589" s="24" t="inlineStr">
        <is>
          <t>/Users/vincentc9002/model-prediction/data/odds/tennis/2026-09-09/polymarket_snapshots.jsonl</t>
        </is>
      </c>
      <c r="DF589" s="24" t="inlineStr">
        <is>
          <t>721141:2026-09-09T10:02:56.799564Z</t>
        </is>
      </c>
      <c r="DG589" s="24" t="n"/>
      <c r="DH589" s="24" t="n"/>
      <c r="DI589" s="24" t="n"/>
      <c r="DJ589" s="24" t="inlineStr">
        <is>
          <t>0.734748</t>
        </is>
      </c>
      <c r="DK589" s="24" t="n"/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2880ede0ffaa486a</t>
        </is>
      </c>
      <c r="B590" s="24" t="inlineStr">
        <is>
          <t>2026-09-09T10:03:43.110101Z</t>
        </is>
      </c>
      <c r="C590" s="24" t="inlineStr">
        <is>
          <t>2026-09-09T12:00Z</t>
        </is>
      </c>
      <c r="D590" s="24" t="inlineStr">
        <is>
          <t>998-2026:183584</t>
        </is>
      </c>
      <c r="E590" s="24" t="inlineStr">
        <is>
          <t>TENNIS</t>
        </is>
      </c>
      <c r="F590" s="24" t="inlineStr">
        <is>
          <t>Clara Burel</t>
        </is>
      </c>
      <c r="G590" s="24" t="inlineStr">
        <is>
          <t>Tessa Johanna Brockmann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polymarket_us</t>
        </is>
      </c>
      <c r="L590" s="26" t="n">
        <v>-669</v>
      </c>
      <c r="M590" s="27" t="n">
        <v>1.149477</v>
      </c>
      <c r="N590" s="28" t="n">
        <v>0.869961</v>
      </c>
      <c r="O590" s="28" t="n">
        <v>0.5906</v>
      </c>
      <c r="P590" s="28" t="n">
        <v>0.05</v>
      </c>
      <c r="Q590" s="28" t="n">
        <v>-0.279361</v>
      </c>
      <c r="R590" s="26" t="n">
        <v>0</v>
      </c>
      <c r="S590" s="29" t="n">
        <v>1</v>
      </c>
      <c r="T590" s="24" t="inlineStr">
        <is>
          <t>tennis-surface-elo-v1</t>
        </is>
      </c>
      <c r="U590" s="24" t="inlineStr">
        <is>
          <t>settled</t>
        </is>
      </c>
      <c r="V590" s="24" t="inlineStr">
        <is>
          <t>win</t>
        </is>
      </c>
      <c r="W590" s="26" t="n">
        <v>1</v>
      </c>
      <c r="X590" s="26" t="n">
        <v>0</v>
      </c>
      <c r="Y590" s="25" t="n"/>
      <c r="Z590" s="26" t="n">
        <v>-669</v>
      </c>
      <c r="AA590" s="28" t="n">
        <v>0.87</v>
      </c>
      <c r="AB590" s="28" t="n">
        <v>3.9e-05</v>
      </c>
      <c r="AC590" s="30" t="n">
        <v>0.1495</v>
      </c>
      <c r="AD590" s="24" t="inlineStr">
        <is>
          <t>2026-09-09T16:00:15.297079Z</t>
        </is>
      </c>
      <c r="AE590" s="31" t="inlineStr">
        <is>
          <t>Surface-blended Elo on Hard: Clara Burel p=0.591 vs Tessa Johanna Brockmann. Executable ask 0.8700 (aec-wta-tesbro-clabur-2026-09-09).</t>
        </is>
      </c>
      <c r="AF590" s="31" t="inlineStr">
        <is>
          <t>Surface-blended Elo model; singles only, WTA+ATP market coverage, not yet locked-holdout qualified -- promoted by explicit operator directive, not genuine walk-forward validation.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Clara Burel</t>
        </is>
      </c>
      <c r="AQ590" s="24" t="inlineStr">
        <is>
          <t>Clara Burel</t>
        </is>
      </c>
      <c r="AR590" s="24" t="inlineStr">
        <is>
          <t>Clara Burel</t>
        </is>
      </c>
      <c r="AS590" s="24" t="inlineStr">
        <is>
          <t>Tessa Johanna Brockmann</t>
        </is>
      </c>
      <c r="AT590" s="24" t="inlineStr">
        <is>
          <t>Tessa Johanna Brockmann</t>
        </is>
      </c>
      <c r="AU590" s="24" t="inlineStr">
        <is>
          <t>Tessa Johanna Brockmann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b6a128fd8ef6dd41016b77e2e2fb0ca36bdb1ca1895b972980670c1571f8e21c</t>
        </is>
      </c>
      <c r="BB590" s="24" t="inlineStr">
        <is>
          <t>surface_blended_elo</t>
        </is>
      </c>
      <c r="BC590" s="24" t="inlineStr">
        <is>
          <t>tennis-surface-elo-v1</t>
        </is>
      </c>
      <c r="BD590" s="24" t="inlineStr">
        <is>
          <t>b6a128fd8ef6dd41016b77e2e2fb0ca36bdb1ca1895b972980670c1571f8e21c</t>
        </is>
      </c>
      <c r="BE590" s="24" t="inlineStr">
        <is>
          <t>tennis-surface-elo-v1</t>
        </is>
      </c>
      <c r="BF590" s="24" t="inlineStr">
        <is>
          <t>1</t>
        </is>
      </c>
      <c r="BG590" s="24" t="inlineStr">
        <is>
          <t>b6a128fd8ef6dd41016b77e2e2fb0ca36bdb1ca1895b972980670c1571f8e21c</t>
        </is>
      </c>
      <c r="BH590" s="24" t="inlineStr">
        <is>
          <t>2026-09-09T04:33:41.089101Z</t>
        </is>
      </c>
      <c r="BI590" s="24" t="inlineStr">
        <is>
          <t>["same_event","same_team_same_day","same_league_same_day"]</t>
        </is>
      </c>
      <c r="BJ590" s="25" t="n"/>
      <c r="BK590" s="26" t="n">
        <v>-669</v>
      </c>
      <c r="BL590" s="27" t="n">
        <v>1.149477</v>
      </c>
      <c r="BM590" s="28" t="n">
        <v>0.869961</v>
      </c>
      <c r="BN590" s="28" t="n"/>
      <c r="BO590" s="28" t="n"/>
      <c r="BP590" s="25" t="n"/>
      <c r="BQ590" s="27" t="n">
        <v>1.149477</v>
      </c>
      <c r="BR590" s="28" t="n">
        <v>0.87</v>
      </c>
      <c r="BS590" s="28" t="n"/>
      <c r="BT590" s="28" t="n"/>
      <c r="BU590" s="25" t="n"/>
      <c r="BV590" s="29" t="n"/>
      <c r="BW590" s="24" t="n"/>
      <c r="BX590" s="30" t="n">
        <v>1</v>
      </c>
      <c r="BY590" s="27" t="n">
        <v>0.149477</v>
      </c>
      <c r="BZ590" s="24" t="inlineStr">
        <is>
          <t>2026-09-09T16:00:15.297079Z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inlineStr">
        <is>
          <t>0fafe0ec7d9ff8ec3c05a0d25bdee1d59ff8d9ed3f6ec1b48acc31113520299f</t>
        </is>
      </c>
      <c r="DE590" s="24" t="inlineStr">
        <is>
          <t>/Users/vincentc9002/model-prediction/data/odds/tennis/2026-09-09/polymarket_snapshots.jsonl</t>
        </is>
      </c>
      <c r="DF590" s="24" t="inlineStr">
        <is>
          <t>736883:2026-09-09T04:33:41.089101Z</t>
        </is>
      </c>
      <c r="DG590" s="24" t="n"/>
      <c r="DH590" s="24" t="n"/>
      <c r="DI590" s="24" t="n"/>
      <c r="DJ590" s="24" t="inlineStr">
        <is>
          <t>0.869961</t>
        </is>
      </c>
      <c r="DK590" s="24" t="n"/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fe101338576b4405</t>
        </is>
      </c>
      <c r="B591" s="24" t="inlineStr">
        <is>
          <t>2026-09-09T10:03:43.110101Z</t>
        </is>
      </c>
      <c r="C591" s="24" t="inlineStr">
        <is>
          <t>2026-09-09T12:00Z</t>
        </is>
      </c>
      <c r="D591" s="24" t="inlineStr">
        <is>
          <t>998-2026:183596</t>
        </is>
      </c>
      <c r="E591" s="24" t="inlineStr">
        <is>
          <t>TENNIS</t>
        </is>
      </c>
      <c r="F591" s="24" t="inlineStr">
        <is>
          <t>Anastasiia Sobolieva</t>
        </is>
      </c>
      <c r="G591" s="24" t="inlineStr">
        <is>
          <t>Andrea Lazaro Garcia</t>
        </is>
      </c>
      <c r="H591" s="24" t="inlineStr">
        <is>
          <t>moneyline</t>
        </is>
      </c>
      <c r="I591" s="24" t="inlineStr">
        <is>
          <t>home</t>
        </is>
      </c>
      <c r="J591" s="25" t="n"/>
      <c r="K591" s="24" t="inlineStr">
        <is>
          <t>polymarket_us</t>
        </is>
      </c>
      <c r="L591" s="26" t="n">
        <v>-108</v>
      </c>
      <c r="M591" s="27" t="n">
        <v>1.925926</v>
      </c>
      <c r="N591" s="28" t="n">
        <v>0.519231</v>
      </c>
      <c r="O591" s="28" t="n">
        <v>0.6807</v>
      </c>
      <c r="P591" s="28" t="n">
        <v>0.05</v>
      </c>
      <c r="Q591" s="28" t="n">
        <v>0.161469</v>
      </c>
      <c r="R591" s="26" t="n">
        <v>100</v>
      </c>
      <c r="S591" s="29" t="n">
        <v>1.75</v>
      </c>
      <c r="T591" s="24" t="inlineStr">
        <is>
          <t>tennis-surface-elo-v1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0</v>
      </c>
      <c r="Y591" s="25" t="n"/>
      <c r="Z591" s="26" t="n">
        <v>-108</v>
      </c>
      <c r="AA591" s="28" t="n">
        <v>0.52</v>
      </c>
      <c r="AB591" s="28" t="n">
        <v>0.000769</v>
      </c>
      <c r="AC591" s="30" t="n">
        <v>-1.75</v>
      </c>
      <c r="AD591" s="24" t="inlineStr">
        <is>
          <t>2026-09-09T16:00:16.448575Z</t>
        </is>
      </c>
      <c r="AE591" s="31" t="inlineStr">
        <is>
          <t>Surface-blended Elo on Hard: Anastasiia Sobolieva p=0.319 vs Andrea Lazaro Garcia. Executable ask 0.5200 (aec-wta-andgar-anasob-2026-09-09).</t>
        </is>
      </c>
      <c r="AF591" s="31" t="inlineStr">
        <is>
          <t>Surface-blended Elo model; singles only, WTA+ATP market coverage, not yet locked-holdout qualified -- promoted by explicit operator directive, not genuine walk-forward validation.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Anastasiia Sobolieva</t>
        </is>
      </c>
      <c r="AQ591" s="24" t="inlineStr">
        <is>
          <t>Anastasiia Sobolieva</t>
        </is>
      </c>
      <c r="AR591" s="24" t="inlineStr">
        <is>
          <t>Anastasiia Sobolieva</t>
        </is>
      </c>
      <c r="AS591" s="24" t="inlineStr">
        <is>
          <t>Andrea Lazaro Garcia</t>
        </is>
      </c>
      <c r="AT591" s="24" t="inlineStr">
        <is>
          <t>Andrea Lazaro Garcia</t>
        </is>
      </c>
      <c r="AU591" s="24" t="inlineStr">
        <is>
          <t>Andrea Lazaro Garcia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b6a128fd8ef6dd41016b77e2e2fb0ca36bdb1ca1895b972980670c1571f8e21c</t>
        </is>
      </c>
      <c r="BB591" s="24" t="inlineStr">
        <is>
          <t>surface_blended_elo</t>
        </is>
      </c>
      <c r="BC591" s="24" t="inlineStr">
        <is>
          <t>tennis-surface-elo-v1</t>
        </is>
      </c>
      <c r="BD591" s="24" t="inlineStr">
        <is>
          <t>b6a128fd8ef6dd41016b77e2e2fb0ca36bdb1ca1895b972980670c1571f8e21c</t>
        </is>
      </c>
      <c r="BE591" s="24" t="inlineStr">
        <is>
          <t>tennis-surface-elo-v1</t>
        </is>
      </c>
      <c r="BF591" s="24" t="inlineStr">
        <is>
          <t>1</t>
        </is>
      </c>
      <c r="BG591" s="24" t="inlineStr">
        <is>
          <t>b6a128fd8ef6dd41016b77e2e2fb0ca36bdb1ca1895b972980670c1571f8e21c</t>
        </is>
      </c>
      <c r="BH591" s="24" t="inlineStr">
        <is>
          <t>2026-09-09T04:33:41.082472Z</t>
        </is>
      </c>
      <c r="BI591" s="24" t="inlineStr">
        <is>
          <t>["same_event","same_team_same_day","same_league_same_day"]</t>
        </is>
      </c>
      <c r="BJ591" s="25" t="n"/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>
        <v>1.925926</v>
      </c>
      <c r="BR591" s="28" t="n">
        <v>0.52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inlineStr">
        <is>
          <t>e109e891e76c696d23b14459fdc8877a5ea7ba6be4624bfe0f3badcdafa956a2</t>
        </is>
      </c>
      <c r="DE591" s="24" t="inlineStr">
        <is>
          <t>/Users/vincentc9002/model-prediction/data/odds/tennis/2026-09-09/polymarket_snapshots.jsonl</t>
        </is>
      </c>
      <c r="DF591" s="24" t="inlineStr">
        <is>
          <t>736705:2026-09-09T04:33:41.082472Z</t>
        </is>
      </c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da2d07f4eb5c4f4d</t>
        </is>
      </c>
      <c r="B592" s="24" t="inlineStr">
        <is>
          <t>2026-09-09T10:03:43.110101Z</t>
        </is>
      </c>
      <c r="C592" s="24" t="inlineStr">
        <is>
          <t>2026-09-09T13:30Z</t>
        </is>
      </c>
      <c r="D592" s="24" t="inlineStr">
        <is>
          <t>998-2026:183588</t>
        </is>
      </c>
      <c r="E592" s="24" t="inlineStr">
        <is>
          <t>TENNIS</t>
        </is>
      </c>
      <c r="F592" s="24" t="inlineStr">
        <is>
          <t>Dalma Galfi</t>
        </is>
      </c>
      <c r="G592" s="24" t="inlineStr">
        <is>
          <t>Nuria Brancaccio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polymarket_us</t>
        </is>
      </c>
      <c r="L592" s="26" t="n">
        <v>-104</v>
      </c>
      <c r="M592" s="27" t="n">
        <v>1.961538</v>
      </c>
      <c r="N592" s="28" t="n">
        <v>0.509804</v>
      </c>
      <c r="O592" s="28" t="n">
        <v>0.5106000000000001</v>
      </c>
      <c r="P592" s="28" t="n">
        <v>0.05</v>
      </c>
      <c r="Q592" s="28" t="n">
        <v>0.000796</v>
      </c>
      <c r="R592" s="26" t="n">
        <v>20</v>
      </c>
      <c r="S592" s="29" t="n">
        <v>1</v>
      </c>
      <c r="T592" s="24" t="inlineStr">
        <is>
          <t>tennis-surface-elo-v1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0</v>
      </c>
      <c r="Y592" s="25" t="n"/>
      <c r="Z592" s="26" t="n">
        <v>-104</v>
      </c>
      <c r="AA592" s="28" t="n">
        <v>0.51</v>
      </c>
      <c r="AB592" s="28" t="n">
        <v>0.000196</v>
      </c>
      <c r="AC592" s="30" t="n">
        <v>-1</v>
      </c>
      <c r="AD592" s="24" t="inlineStr">
        <is>
          <t>2026-09-09T22:00:18.178334Z</t>
        </is>
      </c>
      <c r="AE592" s="31" t="inlineStr">
        <is>
          <t>Surface-blended Elo on Hard: Dalma Galfi p=0.489 vs Nuria Brancaccio. Executable ask 0.5100 (aec-wta-nurbra-dalgal-2026-09-09).</t>
        </is>
      </c>
      <c r="AF592" s="31" t="inlineStr">
        <is>
          <t>Surface-blended Elo model; singles only, WTA+ATP market coverage, not yet locked-holdout qualified -- promoted by explicit operator directive, not genuine walk-forward validation.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paper_call</t>
        </is>
      </c>
      <c r="AL592" s="26" t="n">
        <v>4</v>
      </c>
      <c r="AM592" s="24" t="inlineStr">
        <is>
          <t>RESEARCH_OBSERVATION</t>
        </is>
      </c>
      <c r="AN592" s="24" t="inlineStr">
        <is>
          <t>CALL</t>
        </is>
      </c>
      <c r="AO592" s="24" t="inlineStr">
        <is>
          <t>PAPER_CALL_LOW_EDGE</t>
        </is>
      </c>
      <c r="AP592" s="24" t="inlineStr">
        <is>
          <t>Dalma Galfi</t>
        </is>
      </c>
      <c r="AQ592" s="24" t="inlineStr">
        <is>
          <t>Dalma Galfi</t>
        </is>
      </c>
      <c r="AR592" s="24" t="inlineStr">
        <is>
          <t>Dalma Galfi</t>
        </is>
      </c>
      <c r="AS592" s="24" t="inlineStr">
        <is>
          <t>Nuria Brancaccio</t>
        </is>
      </c>
      <c r="AT592" s="24" t="inlineStr">
        <is>
          <t>Nuria Brancaccio</t>
        </is>
      </c>
      <c r="AU592" s="24" t="inlineStr">
        <is>
          <t>Nuria Brancaccio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b6a128fd8ef6dd41016b77e2e2fb0ca36bdb1ca1895b972980670c1571f8e21c</t>
        </is>
      </c>
      <c r="BB592" s="24" t="inlineStr">
        <is>
          <t>surface_blended_elo</t>
        </is>
      </c>
      <c r="BC592" s="24" t="inlineStr">
        <is>
          <t>tennis-surface-elo-v1</t>
        </is>
      </c>
      <c r="BD592" s="24" t="inlineStr">
        <is>
          <t>b6a128fd8ef6dd41016b77e2e2fb0ca36bdb1ca1895b972980670c1571f8e21c</t>
        </is>
      </c>
      <c r="BE592" s="24" t="inlineStr">
        <is>
          <t>tennis-surface-elo-v1</t>
        </is>
      </c>
      <c r="BF592" s="24" t="inlineStr">
        <is>
          <t>1</t>
        </is>
      </c>
      <c r="BG592" s="24" t="inlineStr">
        <is>
          <t>b6a128fd8ef6dd41016b77e2e2fb0ca36bdb1ca1895b972980670c1571f8e21c</t>
        </is>
      </c>
      <c r="BH592" s="24" t="inlineStr">
        <is>
          <t>2026-09-09T04:33:39.147937Z</t>
        </is>
      </c>
      <c r="BI592" s="24" t="inlineStr">
        <is>
          <t>["same_event","same_team_same_day","same_league_same_day"]</t>
        </is>
      </c>
      <c r="BJ592" s="25" t="n"/>
      <c r="BK592" s="26" t="n">
        <v>-104</v>
      </c>
      <c r="BL592" s="27" t="n">
        <v>1.961538</v>
      </c>
      <c r="BM592" s="28" t="n">
        <v>0.509804</v>
      </c>
      <c r="BN592" s="28" t="n"/>
      <c r="BO592" s="28" t="n"/>
      <c r="BP592" s="25" t="n"/>
      <c r="BQ592" s="27" t="n">
        <v>1.961538</v>
      </c>
      <c r="BR592" s="28" t="n">
        <v>0.51</v>
      </c>
      <c r="BS592" s="28" t="n"/>
      <c r="BT592" s="28" t="n"/>
      <c r="BU592" s="25" t="n"/>
      <c r="BV592" s="29" t="n"/>
      <c r="BW592" s="24" t="n"/>
      <c r="BX592" s="30" t="n">
        <v>1</v>
      </c>
      <c r="BY592" s="27" t="n">
        <v>-1</v>
      </c>
      <c r="BZ592" s="24" t="inlineStr">
        <is>
          <t>2026-09-09T22:00:18.178334Z</t>
        </is>
      </c>
      <c r="CA592" s="31" t="inlineStr">
        <is>
          <t>fixed one-unit hypothetical scoring; no real exposure or execution</t>
        </is>
      </c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inlineStr">
        <is>
          <t>fd1919da5cc20f3be6fcc03eadde3632abedbbcabab44f398feaff57b8a4855a</t>
        </is>
      </c>
      <c r="DE592" s="24" t="inlineStr">
        <is>
          <t>/Users/vincentc9002/model-prediction/data/odds/tennis/2026-09-09/polymarket_snapshots.jsonl</t>
        </is>
      </c>
      <c r="DF592" s="24" t="inlineStr">
        <is>
          <t>737200:2026-09-09T04:33:39.147937Z</t>
        </is>
      </c>
      <c r="DG592" s="24" t="n"/>
      <c r="DH592" s="24" t="n"/>
      <c r="DI592" s="24" t="n"/>
      <c r="DJ592" s="24" t="inlineStr">
        <is>
          <t>0.509804</t>
        </is>
      </c>
      <c r="DK592" s="24" t="n"/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eaae02d1f0774495</t>
        </is>
      </c>
      <c r="B593" s="24" t="inlineStr">
        <is>
          <t>2026-09-09T10:03:43.110101Z</t>
        </is>
      </c>
      <c r="C593" s="24" t="inlineStr">
        <is>
          <t>2026-09-09T10:30Z</t>
        </is>
      </c>
      <c r="D593" s="24" t="inlineStr">
        <is>
          <t>1076-2026:183549</t>
        </is>
      </c>
      <c r="E593" s="24" t="inlineStr">
        <is>
          <t>TENNIS</t>
        </is>
      </c>
      <c r="F593" s="24" t="inlineStr">
        <is>
          <t>Leyre Romero Gormaz</t>
        </is>
      </c>
      <c r="G593" s="24" t="inlineStr">
        <is>
          <t>Alevtina Ibragimova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polymarket_us</t>
        </is>
      </c>
      <c r="L593" s="26" t="n">
        <v>-127</v>
      </c>
      <c r="M593" s="27" t="n">
        <v>1.787402</v>
      </c>
      <c r="N593" s="28" t="n">
        <v>0.5594710000000001</v>
      </c>
      <c r="O593" s="28" t="n">
        <v>0.5417999999999999</v>
      </c>
      <c r="P593" s="28" t="n">
        <v>0.05</v>
      </c>
      <c r="Q593" s="28" t="n">
        <v>-0.017671</v>
      </c>
      <c r="R593" s="26" t="n">
        <v>11</v>
      </c>
      <c r="S593" s="29" t="n">
        <v>1</v>
      </c>
      <c r="T593" s="24" t="inlineStr">
        <is>
          <t>tennis-surface-elo-v1</t>
        </is>
      </c>
      <c r="U593" s="24" t="inlineStr">
        <is>
          <t>settled</t>
        </is>
      </c>
      <c r="V593" s="24" t="inlineStr">
        <is>
          <t>loss</t>
        </is>
      </c>
      <c r="W593" s="26" t="n">
        <v>0</v>
      </c>
      <c r="X593" s="26" t="n">
        <v>1</v>
      </c>
      <c r="Y593" s="25" t="n"/>
      <c r="Z593" s="26" t="n">
        <v>-127</v>
      </c>
      <c r="AA593" s="28" t="n">
        <v>0.5600000000000001</v>
      </c>
      <c r="AB593" s="28" t="n">
        <v>0.000529</v>
      </c>
      <c r="AC593" s="30" t="n">
        <v>-1</v>
      </c>
      <c r="AD593" s="24" t="inlineStr">
        <is>
          <t>2026-09-09T16:00:17.542530Z</t>
        </is>
      </c>
      <c r="AE593" s="31" t="inlineStr">
        <is>
          <t>Surface-blended Elo on Hard: Leyre Romero Gormaz p=0.542 vs Alevtina Ibragimova. Executable ask 0.5600 (aec-wta-aleibr-leygor-2026-09-09).</t>
        </is>
      </c>
      <c r="AF593" s="31" t="inlineStr">
        <is>
          <t>Surface-blended Elo model; singles only, WTA+ATP market coverage, not yet locked-holdout qualified -- promoted by explicit operator directive, not genuine walk-forward validation.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Leyre Romero Gormaz</t>
        </is>
      </c>
      <c r="AQ593" s="24" t="inlineStr">
        <is>
          <t>Leyre Romero Gormaz</t>
        </is>
      </c>
      <c r="AR593" s="24" t="inlineStr">
        <is>
          <t>Leyre Romero Gormaz</t>
        </is>
      </c>
      <c r="AS593" s="24" t="inlineStr">
        <is>
          <t>Alevtina Ibragimova</t>
        </is>
      </c>
      <c r="AT593" s="24" t="inlineStr">
        <is>
          <t>Alevtina Ibragimova</t>
        </is>
      </c>
      <c r="AU593" s="24" t="inlineStr">
        <is>
          <t>Alevtina Ibragimova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b6a128fd8ef6dd41016b77e2e2fb0ca36bdb1ca1895b972980670c1571f8e21c</t>
        </is>
      </c>
      <c r="BB593" s="24" t="inlineStr">
        <is>
          <t>surface_blended_elo</t>
        </is>
      </c>
      <c r="BC593" s="24" t="inlineStr">
        <is>
          <t>tennis-surface-elo-v1</t>
        </is>
      </c>
      <c r="BD593" s="24" t="inlineStr">
        <is>
          <t>b6a128fd8ef6dd41016b77e2e2fb0ca36bdb1ca1895b972980670c1571f8e21c</t>
        </is>
      </c>
      <c r="BE593" s="24" t="inlineStr">
        <is>
          <t>tennis-surface-elo-v1</t>
        </is>
      </c>
      <c r="BF593" s="24" t="inlineStr">
        <is>
          <t>1</t>
        </is>
      </c>
      <c r="BG593" s="24" t="inlineStr">
        <is>
          <t>b6a128fd8ef6dd41016b77e2e2fb0ca36bdb1ca1895b972980670c1571f8e21c</t>
        </is>
      </c>
      <c r="BH593" s="24" t="inlineStr">
        <is>
          <t>2026-09-09T04:33:41.054371Z</t>
        </is>
      </c>
      <c r="BI593" s="24" t="inlineStr">
        <is>
          <t>["same_event","same_team_same_day","same_league_same_day"]</t>
        </is>
      </c>
      <c r="BJ593" s="25" t="n"/>
      <c r="BK593" s="26" t="n">
        <v>-127</v>
      </c>
      <c r="BL593" s="27" t="n">
        <v>1.787402</v>
      </c>
      <c r="BM593" s="28" t="n">
        <v>0.5594710000000001</v>
      </c>
      <c r="BN593" s="28" t="n"/>
      <c r="BO593" s="28" t="n"/>
      <c r="BP593" s="25" t="n"/>
      <c r="BQ593" s="27" t="n">
        <v>1.787402</v>
      </c>
      <c r="BR593" s="28" t="n">
        <v>0.5600000000000001</v>
      </c>
      <c r="BS593" s="28" t="n"/>
      <c r="BT593" s="28" t="n"/>
      <c r="BU593" s="25" t="n"/>
      <c r="BV593" s="29" t="n"/>
      <c r="BW593" s="24" t="n"/>
      <c r="BX593" s="30" t="n">
        <v>1</v>
      </c>
      <c r="BY593" s="27" t="n">
        <v>-1</v>
      </c>
      <c r="BZ593" s="24" t="inlineStr">
        <is>
          <t>2026-09-09T16:00:17.542530Z</t>
        </is>
      </c>
      <c r="CA593" s="31" t="inlineStr">
        <is>
          <t>fixed one-unit hypothetical scoring; no real exposure or execution</t>
        </is>
      </c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inlineStr">
        <is>
          <t>46202807c37e4abcbe37349a2c7905ea67d2df49bddc71cca4165786906a8108</t>
        </is>
      </c>
      <c r="DE593" s="24" t="inlineStr">
        <is>
          <t>/Users/vincentc9002/model-prediction/data/odds/tennis/2026-09-09/polymarket_snapshots.jsonl</t>
        </is>
      </c>
      <c r="DF593" s="24" t="inlineStr">
        <is>
          <t>735080:2026-09-09T04:33:41.054371Z</t>
        </is>
      </c>
      <c r="DG593" s="24" t="n"/>
      <c r="DH593" s="24" t="n"/>
      <c r="DI593" s="24" t="n"/>
      <c r="DJ593" s="24" t="inlineStr">
        <is>
          <t>0.559471</t>
        </is>
      </c>
      <c r="DK593" s="24" t="n"/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7f9e189781ce4d33</t>
        </is>
      </c>
      <c r="B594" s="24" t="inlineStr">
        <is>
          <t>2026-09-09T10:03:43.110101Z</t>
        </is>
      </c>
      <c r="C594" s="24" t="inlineStr">
        <is>
          <t>2026-09-09T11:00Z</t>
        </is>
      </c>
      <c r="D594" s="24" t="inlineStr">
        <is>
          <t>1076-2026:183539</t>
        </is>
      </c>
      <c r="E594" s="24" t="inlineStr">
        <is>
          <t>TENNIS</t>
        </is>
      </c>
      <c r="F594" s="24" t="inlineStr">
        <is>
          <t>Miriam Bulgaru</t>
        </is>
      </c>
      <c r="G594" s="24" t="inlineStr">
        <is>
          <t>Irene Burillo</t>
        </is>
      </c>
      <c r="H594" s="24" t="inlineStr">
        <is>
          <t>moneyline</t>
        </is>
      </c>
      <c r="I594" s="24" t="inlineStr">
        <is>
          <t>home</t>
        </is>
      </c>
      <c r="J594" s="25" t="n"/>
      <c r="K594" s="24" t="inlineStr">
        <is>
          <t>polymarket_us</t>
        </is>
      </c>
      <c r="L594" s="26" t="n">
        <v>-127</v>
      </c>
      <c r="M594" s="27" t="n">
        <v>1.787402</v>
      </c>
      <c r="N594" s="28" t="n">
        <v>0.5594710000000001</v>
      </c>
      <c r="O594" s="28" t="n">
        <v>0.5203</v>
      </c>
      <c r="P594" s="28" t="n">
        <v>0.05</v>
      </c>
      <c r="Q594" s="28" t="n">
        <v>-0.039171</v>
      </c>
      <c r="R594" s="26" t="n">
        <v>0</v>
      </c>
      <c r="S594" s="29" t="n">
        <v>1</v>
      </c>
      <c r="T594" s="24" t="inlineStr">
        <is>
          <t>tennis-surface-elo-v1</t>
        </is>
      </c>
      <c r="U594" s="24" t="inlineStr">
        <is>
          <t>settled</t>
        </is>
      </c>
      <c r="V594" s="24" t="inlineStr">
        <is>
          <t>win</t>
        </is>
      </c>
      <c r="W594" s="26" t="n">
        <v>0</v>
      </c>
      <c r="X594" s="26" t="n">
        <v>1</v>
      </c>
      <c r="Y594" s="25" t="n"/>
      <c r="Z594" s="26" t="n">
        <v>-127</v>
      </c>
      <c r="AA594" s="28" t="n">
        <v>0.5600000000000001</v>
      </c>
      <c r="AB594" s="28" t="n">
        <v>0.000529</v>
      </c>
      <c r="AC594" s="30" t="n">
        <v>0.7874</v>
      </c>
      <c r="AD594" s="24" t="inlineStr">
        <is>
          <t>2026-09-09T16:00:18.774067Z</t>
        </is>
      </c>
      <c r="AE594" s="31" t="inlineStr">
        <is>
          <t>Surface-blended Elo on Hard: Miriam Bulgaru p=0.480 vs Irene Burillo. Executable ask 0.5600 (aec-wta-ireesc-mirbul-2026-09-09).</t>
        </is>
      </c>
      <c r="AF594" s="31" t="inlineStr">
        <is>
          <t>Surface-blended Elo model; singles only, WTA+ATP market coverage, not yet locked-holdout qualified -- promoted by explicit operator directive, not genuine walk-forward validation.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paper_call</t>
        </is>
      </c>
      <c r="AL594" s="26" t="n">
        <v>4</v>
      </c>
      <c r="AM594" s="24" t="inlineStr">
        <is>
          <t>RESEARCH_OBSERVATION</t>
        </is>
      </c>
      <c r="AN594" s="24" t="inlineStr">
        <is>
          <t>CALL</t>
        </is>
      </c>
      <c r="AO594" s="24" t="inlineStr">
        <is>
          <t>PAPER_CALL_LOW_EDGE</t>
        </is>
      </c>
      <c r="AP594" s="24" t="inlineStr">
        <is>
          <t>Miriam Bulgaru</t>
        </is>
      </c>
      <c r="AQ594" s="24" t="inlineStr">
        <is>
          <t>Miriam Bulgaru</t>
        </is>
      </c>
      <c r="AR594" s="24" t="inlineStr">
        <is>
          <t>Miriam Bulgaru</t>
        </is>
      </c>
      <c r="AS594" s="24" t="inlineStr">
        <is>
          <t>Irene Burillo</t>
        </is>
      </c>
      <c r="AT594" s="24" t="inlineStr">
        <is>
          <t>Irene Burillo</t>
        </is>
      </c>
      <c r="AU594" s="24" t="inlineStr">
        <is>
          <t>Irene Burillo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b6a128fd8ef6dd41016b77e2e2fb0ca36bdb1ca1895b972980670c1571f8e21c</t>
        </is>
      </c>
      <c r="BB594" s="24" t="inlineStr">
        <is>
          <t>surface_blended_elo</t>
        </is>
      </c>
      <c r="BC594" s="24" t="inlineStr">
        <is>
          <t>tennis-surface-elo-v1</t>
        </is>
      </c>
      <c r="BD594" s="24" t="inlineStr">
        <is>
          <t>b6a128fd8ef6dd41016b77e2e2fb0ca36bdb1ca1895b972980670c1571f8e21c</t>
        </is>
      </c>
      <c r="BE594" s="24" t="inlineStr">
        <is>
          <t>tennis-surface-elo-v1</t>
        </is>
      </c>
      <c r="BF594" s="24" t="inlineStr">
        <is>
          <t>1</t>
        </is>
      </c>
      <c r="BG594" s="24" t="inlineStr">
        <is>
          <t>b6a128fd8ef6dd41016b77e2e2fb0ca36bdb1ca1895b972980670c1571f8e21c</t>
        </is>
      </c>
      <c r="BH594" s="24" t="inlineStr">
        <is>
          <t>2026-09-09T04:33:40.997807Z</t>
        </is>
      </c>
      <c r="BI594" s="24" t="inlineStr">
        <is>
          <t>["same_event","same_team_same_day","same_league_same_day"]</t>
        </is>
      </c>
      <c r="BJ594" s="25" t="n"/>
      <c r="BK594" s="26" t="n">
        <v>-127</v>
      </c>
      <c r="BL594" s="27" t="n">
        <v>1.787402</v>
      </c>
      <c r="BM594" s="28" t="n">
        <v>0.5594710000000001</v>
      </c>
      <c r="BN594" s="28" t="n"/>
      <c r="BO594" s="28" t="n"/>
      <c r="BP594" s="25" t="n"/>
      <c r="BQ594" s="27" t="n">
        <v>1.787402</v>
      </c>
      <c r="BR594" s="28" t="n">
        <v>0.5600000000000001</v>
      </c>
      <c r="BS594" s="28" t="n"/>
      <c r="BT594" s="28" t="n"/>
      <c r="BU594" s="25" t="n"/>
      <c r="BV594" s="29" t="n"/>
      <c r="BW594" s="24" t="n"/>
      <c r="BX594" s="30" t="n">
        <v>1</v>
      </c>
      <c r="BY594" s="27" t="n">
        <v>0.787403</v>
      </c>
      <c r="BZ594" s="24" t="inlineStr">
        <is>
          <t>2026-09-09T16:00:18.774067Z</t>
        </is>
      </c>
      <c r="CA594" s="31" t="inlineStr">
        <is>
          <t>fixed one-unit hypothetical scoring; no real exposure or execution</t>
        </is>
      </c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False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inlineStr">
        <is>
          <t>3cceb51c6c8d8f4fee4cc01e35b189516e445163a5c6f3f27dd36ac7e9e8e468</t>
        </is>
      </c>
      <c r="DE594" s="24" t="inlineStr">
        <is>
          <t>/Users/vincentc9002/model-prediction/data/odds/tennis/2026-09-09/polymarket_snapshots.jsonl</t>
        </is>
      </c>
      <c r="DF594" s="24" t="inlineStr">
        <is>
          <t>737710:2026-09-09T04:33:40.997807Z</t>
        </is>
      </c>
      <c r="DG594" s="24" t="n"/>
      <c r="DH594" s="24" t="n"/>
      <c r="DI594" s="24" t="n"/>
      <c r="DJ594" s="24" t="inlineStr">
        <is>
          <t>0.559471</t>
        </is>
      </c>
      <c r="DK594" s="24" t="n"/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8b437d87c8724d45</t>
        </is>
      </c>
      <c r="B595" s="24" t="inlineStr">
        <is>
          <t>2026-09-09T16:03:57.379970Z</t>
        </is>
      </c>
      <c r="C595" s="24" t="inlineStr">
        <is>
          <t>2026-09-09T16:30Z</t>
        </is>
      </c>
      <c r="D595" s="24" t="inlineStr">
        <is>
          <t>189-2026:182573</t>
        </is>
      </c>
      <c r="E595" s="24" t="inlineStr">
        <is>
          <t>TENNIS</t>
        </is>
      </c>
      <c r="F595" s="24" t="inlineStr">
        <is>
          <t>Coco Gauff</t>
        </is>
      </c>
      <c r="G595" s="24" t="inlineStr">
        <is>
          <t>Mirra Andreeva</t>
        </is>
      </c>
      <c r="H595" s="24" t="inlineStr">
        <is>
          <t>moneyline</t>
        </is>
      </c>
      <c r="I595" s="24" t="inlineStr">
        <is>
          <t>away</t>
        </is>
      </c>
      <c r="J595" s="25" t="n"/>
      <c r="K595" s="24" t="inlineStr">
        <is>
          <t>polymarket_us</t>
        </is>
      </c>
      <c r="L595" s="26" t="n">
        <v>-199</v>
      </c>
      <c r="M595" s="27" t="n">
        <v>1.502513</v>
      </c>
      <c r="N595" s="28" t="n">
        <v>0.665552</v>
      </c>
      <c r="O595" s="28" t="n">
        <v>0.6487000000000001</v>
      </c>
      <c r="P595" s="28" t="n">
        <v>0.05</v>
      </c>
      <c r="Q595" s="28" t="n">
        <v>-0.016852</v>
      </c>
      <c r="R595" s="26" t="n">
        <v>12</v>
      </c>
      <c r="S595" s="29" t="n">
        <v>1</v>
      </c>
      <c r="T595" s="24" t="inlineStr">
        <is>
          <t>tennis-surface-elo-v1</t>
        </is>
      </c>
      <c r="U595" s="24" t="inlineStr">
        <is>
          <t>settled</t>
        </is>
      </c>
      <c r="V595" s="24" t="inlineStr">
        <is>
          <t>win</t>
        </is>
      </c>
      <c r="W595" s="26" t="n">
        <v>1</v>
      </c>
      <c r="X595" s="26" t="n">
        <v>0</v>
      </c>
      <c r="Y595" s="25" t="n"/>
      <c r="Z595" s="26" t="n">
        <v>-199</v>
      </c>
      <c r="AA595" s="28" t="n">
        <v>0.665</v>
      </c>
      <c r="AB595" s="28" t="n">
        <v>-0.000552</v>
      </c>
      <c r="AC595" s="30" t="n">
        <v>0.5024999999999999</v>
      </c>
      <c r="AD595" s="24" t="inlineStr">
        <is>
          <t>2026-09-09T22:01:00.874364Z</t>
        </is>
      </c>
      <c r="AE595" s="31" t="inlineStr">
        <is>
          <t>Surface-blended Elo on Hard: Coco Gauff p=0.649 vs Mirra Andreeva. Executable ask 0.6650 (aec-wta-mirand-cocgau-2026-09-08).</t>
        </is>
      </c>
      <c r="AF595" s="31" t="inlineStr">
        <is>
          <t>Surface-blended Elo model; singles only, WTA+ATP market coverage, not yet locked-holdout qualified -- promoted by explicit operator directive, not genuine walk-forward validation.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Coco Gauff</t>
        </is>
      </c>
      <c r="AQ595" s="24" t="inlineStr">
        <is>
          <t>Coco Gauff</t>
        </is>
      </c>
      <c r="AR595" s="24" t="inlineStr">
        <is>
          <t>Coco Gauff</t>
        </is>
      </c>
      <c r="AS595" s="24" t="inlineStr">
        <is>
          <t>Mirra Andreeva</t>
        </is>
      </c>
      <c r="AT595" s="24" t="inlineStr">
        <is>
          <t>Mirra Andreeva</t>
        </is>
      </c>
      <c r="AU595" s="24" t="inlineStr">
        <is>
          <t>Mirra Andreeva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b6a128fd8ef6dd41016b77e2e2fb0ca36bdb1ca1895b972980670c1571f8e21c</t>
        </is>
      </c>
      <c r="BB595" s="24" t="inlineStr">
        <is>
          <t>surface_blended_elo</t>
        </is>
      </c>
      <c r="BC595" s="24" t="inlineStr">
        <is>
          <t>tennis-surface-elo-v1</t>
        </is>
      </c>
      <c r="BD595" s="24" t="inlineStr">
        <is>
          <t>b6a128fd8ef6dd41016b77e2e2fb0ca36bdb1ca1895b972980670c1571f8e21c</t>
        </is>
      </c>
      <c r="BE595" s="24" t="inlineStr">
        <is>
          <t>tennis-surface-elo-v1</t>
        </is>
      </c>
      <c r="BF595" s="24" t="inlineStr">
        <is>
          <t>1</t>
        </is>
      </c>
      <c r="BG595" s="24" t="inlineStr">
        <is>
          <t>b6a128fd8ef6dd41016b77e2e2fb0ca36bdb1ca1895b972980670c1571f8e21c</t>
        </is>
      </c>
      <c r="BH595" s="24" t="inlineStr">
        <is>
          <t>2026-09-09T16:03:12.229496Z</t>
        </is>
      </c>
      <c r="BI595" s="24" t="inlineStr">
        <is>
          <t>["same_event","same_team_same_day","same_league_same_day"]</t>
        </is>
      </c>
      <c r="BJ595" s="25" t="n"/>
      <c r="BK595" s="26" t="n">
        <v>-199</v>
      </c>
      <c r="BL595" s="27" t="n">
        <v>1.502513</v>
      </c>
      <c r="BM595" s="28" t="n">
        <v>0.665552</v>
      </c>
      <c r="BN595" s="28" t="n"/>
      <c r="BO595" s="28" t="n"/>
      <c r="BP595" s="25" t="n"/>
      <c r="BQ595" s="27" t="n">
        <v>1.502513</v>
      </c>
      <c r="BR595" s="28" t="n">
        <v>0.665</v>
      </c>
      <c r="BS595" s="28" t="n"/>
      <c r="BT595" s="28" t="n"/>
      <c r="BU595" s="25" t="n"/>
      <c r="BV595" s="29" t="n"/>
      <c r="BW595" s="24" t="n"/>
      <c r="BX595" s="30" t="n">
        <v>1</v>
      </c>
      <c r="BY595" s="27" t="n">
        <v>0.502512</v>
      </c>
      <c r="BZ595" s="24" t="inlineStr">
        <is>
          <t>2026-09-09T22:01:00.874364Z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inlineStr">
        <is>
          <t>749c7c20fdccc72f76b66666a3a48b234860f7049ed35627857e31e31a875a0a</t>
        </is>
      </c>
      <c r="DE595" s="24" t="inlineStr">
        <is>
          <t>/Users/vincentc9002/model-prediction/data/odds/tennis/2026-09-09/polymarket_snapshots.jsonl</t>
        </is>
      </c>
      <c r="DF595" s="24" t="inlineStr">
        <is>
          <t>722978:2026-09-09T16:03:12.229496Z</t>
        </is>
      </c>
      <c r="DG595" s="24" t="n"/>
      <c r="DH595" s="24" t="n"/>
      <c r="DI595" s="24" t="n"/>
      <c r="DJ595" s="24" t="inlineStr">
        <is>
          <t>0.665552</t>
        </is>
      </c>
      <c r="DK595" s="24" t="n"/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feface4f270f4b45</t>
        </is>
      </c>
      <c r="B596" s="24" t="inlineStr">
        <is>
          <t>2026-09-09T16:03:57.379970Z</t>
        </is>
      </c>
      <c r="C596" s="24" t="inlineStr">
        <is>
          <t>2026-09-09T16:30Z</t>
        </is>
      </c>
      <c r="D596" s="24" t="inlineStr">
        <is>
          <t>998-2026:183586</t>
        </is>
      </c>
      <c r="E596" s="24" t="inlineStr">
        <is>
          <t>TENNIS</t>
        </is>
      </c>
      <c r="F596" s="24" t="inlineStr">
        <is>
          <t>Noma Noha Akugue</t>
        </is>
      </c>
      <c r="G596" s="24" t="inlineStr">
        <is>
          <t>Alina Granwehr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polymarket_us</t>
        </is>
      </c>
      <c r="L596" s="26" t="n">
        <v>212</v>
      </c>
      <c r="M596" s="27" t="n">
        <v>3.12</v>
      </c>
      <c r="N596" s="28" t="n">
        <v>0.320513</v>
      </c>
      <c r="O596" s="28" t="n">
        <v>0.5504</v>
      </c>
      <c r="P596" s="28" t="n">
        <v>0.05</v>
      </c>
      <c r="Q596" s="28" t="n">
        <v>0.229887</v>
      </c>
      <c r="R596" s="26" t="n">
        <v>100</v>
      </c>
      <c r="S596" s="29" t="n">
        <v>2</v>
      </c>
      <c r="T596" s="24" t="inlineStr">
        <is>
          <t>tennis-surface-elo-v1</t>
        </is>
      </c>
      <c r="U596" s="24" t="inlineStr">
        <is>
          <t>settled</t>
        </is>
      </c>
      <c r="V596" s="24" t="inlineStr">
        <is>
          <t>loss</t>
        </is>
      </c>
      <c r="W596" s="26" t="n">
        <v>1</v>
      </c>
      <c r="X596" s="26" t="n">
        <v>0</v>
      </c>
      <c r="Y596" s="25" t="n"/>
      <c r="Z596" s="26" t="n">
        <v>212</v>
      </c>
      <c r="AA596" s="28" t="n">
        <v>0.32</v>
      </c>
      <c r="AB596" s="28" t="n">
        <v>-0.000513</v>
      </c>
      <c r="AC596" s="30" t="n">
        <v>-2</v>
      </c>
      <c r="AD596" s="24" t="inlineStr">
        <is>
          <t>2026-09-09T22:01:03.321031Z</t>
        </is>
      </c>
      <c r="AE596" s="31" t="inlineStr">
        <is>
          <t>Surface-blended Elo on Hard: Noma Noha Akugue p=0.450 vs Alina Granwehr. Executable ask 0.3200 (aec-wta-aligra-nomaku-2026-09-09).</t>
        </is>
      </c>
      <c r="AF596" s="31" t="inlineStr">
        <is>
          <t>Surface-blended Elo model; singles only, WTA+ATP market coverage, not yet locked-holdout qualified -- promoted by explicit operator directive, not genuine walk-forward validation.</t>
        </is>
      </c>
      <c r="AG596" s="24" t="inlineStr">
        <is>
          <t>review_required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PAPER_CALL_MODEL_UNVALIDATED</t>
        </is>
      </c>
      <c r="AP596" s="24" t="inlineStr">
        <is>
          <t>Noma Noha Akugue</t>
        </is>
      </c>
      <c r="AQ596" s="24" t="inlineStr">
        <is>
          <t>Noma Noha Akugue</t>
        </is>
      </c>
      <c r="AR596" s="24" t="inlineStr">
        <is>
          <t>Noma Noha Akugue</t>
        </is>
      </c>
      <c r="AS596" s="24" t="inlineStr">
        <is>
          <t>Alina Granwehr</t>
        </is>
      </c>
      <c r="AT596" s="24" t="inlineStr">
        <is>
          <t>Alina Granwehr</t>
        </is>
      </c>
      <c r="AU596" s="24" t="inlineStr">
        <is>
          <t>Alina Granwehr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b6a128fd8ef6dd41016b77e2e2fb0ca36bdb1ca1895b972980670c1571f8e21c</t>
        </is>
      </c>
      <c r="BB596" s="24" t="inlineStr">
        <is>
          <t>surface_blended_elo</t>
        </is>
      </c>
      <c r="BC596" s="24" t="inlineStr">
        <is>
          <t>tennis-surface-elo-v1</t>
        </is>
      </c>
      <c r="BD596" s="24" t="inlineStr">
        <is>
          <t>b6a128fd8ef6dd41016b77e2e2fb0ca36bdb1ca1895b972980670c1571f8e21c</t>
        </is>
      </c>
      <c r="BE596" s="24" t="inlineStr">
        <is>
          <t>tennis-surface-elo-v1</t>
        </is>
      </c>
      <c r="BF596" s="24" t="inlineStr">
        <is>
          <t>1</t>
        </is>
      </c>
      <c r="BG596" s="24" t="inlineStr">
        <is>
          <t>b6a128fd8ef6dd41016b77e2e2fb0ca36bdb1ca1895b972980670c1571f8e21c</t>
        </is>
      </c>
      <c r="BH596" s="24" t="inlineStr">
        <is>
          <t>2026-09-09T16:03:12.209935Z</t>
        </is>
      </c>
      <c r="BI596" s="24" t="inlineStr">
        <is>
          <t>["same_event","same_team_same_day","same_league_same_day"]</t>
        </is>
      </c>
      <c r="BJ596" s="25" t="n"/>
      <c r="BK596" s="26" t="n">
        <v>212</v>
      </c>
      <c r="BL596" s="27" t="n">
        <v>3.12</v>
      </c>
      <c r="BM596" s="28" t="n">
        <v>0.320513</v>
      </c>
      <c r="BN596" s="28" t="n"/>
      <c r="BO596" s="28" t="n"/>
      <c r="BP596" s="25" t="n"/>
      <c r="BQ596" s="27" t="n">
        <v>3.12</v>
      </c>
      <c r="BR596" s="28" t="n">
        <v>0.32</v>
      </c>
      <c r="BS596" s="28" t="n"/>
      <c r="BT596" s="28" t="n"/>
      <c r="BU596" s="25" t="n"/>
      <c r="BV596" s="29" t="n"/>
      <c r="BW596" s="24" t="n"/>
      <c r="BX596" s="30" t="n">
        <v>1</v>
      </c>
      <c r="BY596" s="27" t="n">
        <v>-1</v>
      </c>
      <c r="BZ596" s="24" t="inlineStr">
        <is>
          <t>2026-09-09T22:01:03.321031Z</t>
        </is>
      </c>
      <c r="CA596" s="31" t="inlineStr">
        <is>
          <t>fixed one-unit hypothetical scoring; no real exposure or execution</t>
        </is>
      </c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inlineStr">
        <is>
          <t>1c5c7d324184f52bb2d2cfd4a07faa5d72af57592e568d4d1cce2b141695e9d4</t>
        </is>
      </c>
      <c r="DE596" s="24" t="inlineStr">
        <is>
          <t>/Users/vincentc9002/model-prediction/data/odds/tennis/2026-09-09/polymarket_snapshots.jsonl</t>
        </is>
      </c>
      <c r="DF596" s="24" t="inlineStr">
        <is>
          <t>736613:2026-09-09T16:03:12.209935Z</t>
        </is>
      </c>
      <c r="DG596" s="24" t="n"/>
      <c r="DH596" s="24" t="n"/>
      <c r="DI596" s="24" t="n"/>
      <c r="DJ596" s="24" t="inlineStr">
        <is>
          <t>0.320513</t>
        </is>
      </c>
      <c r="DK596" s="24" t="n"/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53d7f14c9c7b4ae7</t>
        </is>
      </c>
      <c r="B597" s="24" t="inlineStr">
        <is>
          <t>2026-09-09T16:03:57.379970Z</t>
        </is>
      </c>
      <c r="C597" s="24" t="inlineStr">
        <is>
          <t>2026-09-09T18:30Z</t>
        </is>
      </c>
      <c r="D597" s="24" t="inlineStr">
        <is>
          <t>964-2026:183624</t>
        </is>
      </c>
      <c r="E597" s="24" t="inlineStr">
        <is>
          <t>TENNIS</t>
        </is>
      </c>
      <c r="F597" s="24" t="inlineStr">
        <is>
          <t>Julieta Pareja</t>
        </is>
      </c>
      <c r="G597" s="24" t="inlineStr">
        <is>
          <t>Leolia Jeanjean</t>
        </is>
      </c>
      <c r="H597" s="24" t="inlineStr">
        <is>
          <t>moneyline</t>
        </is>
      </c>
      <c r="I597" s="24" t="inlineStr">
        <is>
          <t>away</t>
        </is>
      </c>
      <c r="J597" s="25" t="n"/>
      <c r="K597" s="24" t="inlineStr">
        <is>
          <t>polymarket_us</t>
        </is>
      </c>
      <c r="L597" s="26" t="n">
        <v>-127</v>
      </c>
      <c r="M597" s="27" t="n">
        <v>1.787402</v>
      </c>
      <c r="N597" s="28" t="n">
        <v>0.5594710000000001</v>
      </c>
      <c r="O597" s="28" t="n">
        <v>0.5553</v>
      </c>
      <c r="P597" s="28" t="n">
        <v>0.05</v>
      </c>
      <c r="Q597" s="28" t="n">
        <v>-0.004171</v>
      </c>
      <c r="R597" s="26" t="n">
        <v>18</v>
      </c>
      <c r="S597" s="29" t="n">
        <v>1</v>
      </c>
      <c r="T597" s="24" t="inlineStr">
        <is>
          <t>tennis-surface-elo-v1</t>
        </is>
      </c>
      <c r="U597" s="24" t="inlineStr">
        <is>
          <t>settled</t>
        </is>
      </c>
      <c r="V597" s="24" t="inlineStr">
        <is>
          <t>loss</t>
        </is>
      </c>
      <c r="W597" s="26" t="n">
        <v>0</v>
      </c>
      <c r="X597" s="26" t="n">
        <v>1</v>
      </c>
      <c r="Y597" s="25" t="n"/>
      <c r="Z597" s="26" t="n">
        <v>-127</v>
      </c>
      <c r="AA597" s="28" t="n">
        <v>0.5600000000000001</v>
      </c>
      <c r="AB597" s="28" t="n">
        <v>0.000529</v>
      </c>
      <c r="AC597" s="30" t="n">
        <v>-1</v>
      </c>
      <c r="AD597" s="24" t="inlineStr">
        <is>
          <t>2026-09-10T04:30:25.984453Z</t>
        </is>
      </c>
      <c r="AE597" s="31" t="inlineStr">
        <is>
          <t>Surface-blended Elo on Hard: Julieta Pareja p=0.555 vs Leolia Jeanjean. Executable ask 0.5600 (aec-wta-leojea-julpar-2026-09-09).</t>
        </is>
      </c>
      <c r="AF597" s="31" t="inlineStr">
        <is>
          <t>Surface-blended Elo model; singles only, WTA+ATP market coverage, not yet locked-holdout qualified -- promoted by explicit operator directive, not genuine walk-forward validation.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Julieta Pareja</t>
        </is>
      </c>
      <c r="AQ597" s="24" t="inlineStr">
        <is>
          <t>Julieta Pareja</t>
        </is>
      </c>
      <c r="AR597" s="24" t="inlineStr">
        <is>
          <t>Julieta Pareja</t>
        </is>
      </c>
      <c r="AS597" s="24" t="inlineStr">
        <is>
          <t>Leolia Jeanjean</t>
        </is>
      </c>
      <c r="AT597" s="24" t="inlineStr">
        <is>
          <t>Leolia Jeanjean</t>
        </is>
      </c>
      <c r="AU597" s="24" t="inlineStr">
        <is>
          <t>Leolia Jeanjean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b6a128fd8ef6dd41016b77e2e2fb0ca36bdb1ca1895b972980670c1571f8e21c</t>
        </is>
      </c>
      <c r="BB597" s="24" t="inlineStr">
        <is>
          <t>surface_blended_elo</t>
        </is>
      </c>
      <c r="BC597" s="24" t="inlineStr">
        <is>
          <t>tennis-surface-elo-v1</t>
        </is>
      </c>
      <c r="BD597" s="24" t="inlineStr">
        <is>
          <t>b6a128fd8ef6dd41016b77e2e2fb0ca36bdb1ca1895b972980670c1571f8e21c</t>
        </is>
      </c>
      <c r="BE597" s="24" t="inlineStr">
        <is>
          <t>tennis-surface-elo-v1</t>
        </is>
      </c>
      <c r="BF597" s="24" t="inlineStr">
        <is>
          <t>1</t>
        </is>
      </c>
      <c r="BG597" s="24" t="inlineStr">
        <is>
          <t>b6a128fd8ef6dd41016b77e2e2fb0ca36bdb1ca1895b972980670c1571f8e21c</t>
        </is>
      </c>
      <c r="BH597" s="24" t="inlineStr">
        <is>
          <t>2026-09-09T16:03:12.274090Z</t>
        </is>
      </c>
      <c r="BI597" s="24" t="inlineStr">
        <is>
          <t>["same_event","same_team_same_day","same_league_same_day"]</t>
        </is>
      </c>
      <c r="BJ597" s="25" t="n"/>
      <c r="BK597" s="26" t="n">
        <v>-127</v>
      </c>
      <c r="BL597" s="27" t="n">
        <v>1.787402</v>
      </c>
      <c r="BM597" s="28" t="n">
        <v>0.5594710000000001</v>
      </c>
      <c r="BN597" s="28" t="n"/>
      <c r="BO597" s="28" t="n"/>
      <c r="BP597" s="25" t="n"/>
      <c r="BQ597" s="27" t="n">
        <v>1.787402</v>
      </c>
      <c r="BR597" s="28" t="n">
        <v>0.5600000000000001</v>
      </c>
      <c r="BS597" s="28" t="n"/>
      <c r="BT597" s="28" t="n"/>
      <c r="BU597" s="25" t="n"/>
      <c r="BV597" s="29" t="n"/>
      <c r="BW597" s="24" t="n"/>
      <c r="BX597" s="30" t="n">
        <v>1</v>
      </c>
      <c r="BY597" s="27" t="n">
        <v>-1</v>
      </c>
      <c r="BZ597" s="24" t="inlineStr">
        <is>
          <t>2026-09-10T04:30:25.984453Z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False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inlineStr">
        <is>
          <t>c7ff7765ced9ec382913c4ac01b12006c15977135d6b79c31af4582e0c733d17</t>
        </is>
      </c>
      <c r="DE597" s="24" t="inlineStr">
        <is>
          <t>/Users/vincentc9002/model-prediction/data/odds/tennis/2026-09-09/polymarket_snapshots.jsonl</t>
        </is>
      </c>
      <c r="DF597" s="24" t="inlineStr">
        <is>
          <t>742896:2026-09-09T16:03:12.274090Z</t>
        </is>
      </c>
      <c r="DG597" s="24" t="n"/>
      <c r="DH597" s="24" t="n"/>
      <c r="DI597" s="24" t="n"/>
      <c r="DJ597" s="24" t="inlineStr">
        <is>
          <t>0.559471</t>
        </is>
      </c>
      <c r="DK597" s="24" t="n"/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7bd065f39e5f4f14</t>
        </is>
      </c>
      <c r="B598" s="24" t="inlineStr">
        <is>
          <t>2026-09-09T16:03:57.379970Z</t>
        </is>
      </c>
      <c r="C598" s="24" t="inlineStr">
        <is>
          <t>2026-09-09T18:30Z</t>
        </is>
      </c>
      <c r="D598" s="24" t="inlineStr">
        <is>
          <t>964-2026:183633</t>
        </is>
      </c>
      <c r="E598" s="24" t="inlineStr">
        <is>
          <t>TENNIS</t>
        </is>
      </c>
      <c r="F598" s="24" t="inlineStr">
        <is>
          <t>Anastasia Tikhonova</t>
        </is>
      </c>
      <c r="G598" s="24" t="inlineStr">
        <is>
          <t>Nao Hibino</t>
        </is>
      </c>
      <c r="H598" s="24" t="inlineStr">
        <is>
          <t>moneyline</t>
        </is>
      </c>
      <c r="I598" s="24" t="inlineStr">
        <is>
          <t>home</t>
        </is>
      </c>
      <c r="J598" s="25" t="n"/>
      <c r="K598" s="24" t="inlineStr">
        <is>
          <t>polymarket_us</t>
        </is>
      </c>
      <c r="L598" s="26" t="n">
        <v>-257</v>
      </c>
      <c r="M598" s="27" t="n">
        <v>1.389105</v>
      </c>
      <c r="N598" s="28" t="n">
        <v>0.719888</v>
      </c>
      <c r="O598" s="28" t="n">
        <v>0.547</v>
      </c>
      <c r="P598" s="28" t="n">
        <v>0.05</v>
      </c>
      <c r="Q598" s="28" t="n">
        <v>-0.172888</v>
      </c>
      <c r="R598" s="26" t="n">
        <v>0</v>
      </c>
      <c r="S598" s="29" t="n">
        <v>1</v>
      </c>
      <c r="T598" s="24" t="inlineStr">
        <is>
          <t>tennis-surface-elo-v1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</v>
      </c>
      <c r="X598" s="26" t="n">
        <v>0</v>
      </c>
      <c r="Y598" s="25" t="n"/>
      <c r="Z598" s="26" t="n">
        <v>-257</v>
      </c>
      <c r="AA598" s="28" t="n">
        <v>0.72</v>
      </c>
      <c r="AB598" s="28" t="n">
        <v>0.000112</v>
      </c>
      <c r="AC598" s="30" t="n">
        <v>-1</v>
      </c>
      <c r="AD598" s="24" t="inlineStr">
        <is>
          <t>2026-09-09T22:01:05.651143Z</t>
        </is>
      </c>
      <c r="AE598" s="31" t="inlineStr">
        <is>
          <t>Surface-blended Elo on Hard: Anastasia Tikhonova p=0.453 vs Nao Hibino. Executable ask 0.7200 (aec-wta-naohib-anatik-2026-09-09).</t>
        </is>
      </c>
      <c r="AF598" s="31" t="inlineStr">
        <is>
          <t>Surface-blended Elo model; singles only, WTA+ATP market coverage, not yet locked-holdout qualified -- promoted by explicit operator directive, not genuine walk-forward validation.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Anastasia Tikhonova</t>
        </is>
      </c>
      <c r="AQ598" s="24" t="inlineStr">
        <is>
          <t>Anastasia Tikhonova</t>
        </is>
      </c>
      <c r="AR598" s="24" t="inlineStr">
        <is>
          <t>Anastasia Tikhonova</t>
        </is>
      </c>
      <c r="AS598" s="24" t="inlineStr">
        <is>
          <t>Nao Hibino</t>
        </is>
      </c>
      <c r="AT598" s="24" t="inlineStr">
        <is>
          <t>Nao Hibino</t>
        </is>
      </c>
      <c r="AU598" s="24" t="inlineStr">
        <is>
          <t>Nao Hibino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b6a128fd8ef6dd41016b77e2e2fb0ca36bdb1ca1895b972980670c1571f8e21c</t>
        </is>
      </c>
      <c r="BB598" s="24" t="inlineStr">
        <is>
          <t>surface_blended_elo</t>
        </is>
      </c>
      <c r="BC598" s="24" t="inlineStr">
        <is>
          <t>tennis-surface-elo-v1</t>
        </is>
      </c>
      <c r="BD598" s="24" t="inlineStr">
        <is>
          <t>b6a128fd8ef6dd41016b77e2e2fb0ca36bdb1ca1895b972980670c1571f8e21c</t>
        </is>
      </c>
      <c r="BE598" s="24" t="inlineStr">
        <is>
          <t>tennis-surface-elo-v1</t>
        </is>
      </c>
      <c r="BF598" s="24" t="inlineStr">
        <is>
          <t>1</t>
        </is>
      </c>
      <c r="BG598" s="24" t="inlineStr">
        <is>
          <t>b6a128fd8ef6dd41016b77e2e2fb0ca36bdb1ca1895b972980670c1571f8e21c</t>
        </is>
      </c>
      <c r="BH598" s="24" t="inlineStr">
        <is>
          <t>2026-09-09T16:03:12.386306Z</t>
        </is>
      </c>
      <c r="BI598" s="24" t="inlineStr">
        <is>
          <t>["same_event","same_team_same_day","same_league_same_day"]</t>
        </is>
      </c>
      <c r="BJ598" s="25" t="n"/>
      <c r="BK598" s="26" t="n">
        <v>-257</v>
      </c>
      <c r="BL598" s="27" t="n">
        <v>1.389105</v>
      </c>
      <c r="BM598" s="28" t="n">
        <v>0.719888</v>
      </c>
      <c r="BN598" s="28" t="n"/>
      <c r="BO598" s="28" t="n"/>
      <c r="BP598" s="25" t="n"/>
      <c r="BQ598" s="27" t="n">
        <v>1.389105</v>
      </c>
      <c r="BR598" s="28" t="n">
        <v>0.72</v>
      </c>
      <c r="BS598" s="28" t="n"/>
      <c r="BT598" s="28" t="n"/>
      <c r="BU598" s="25" t="n"/>
      <c r="BV598" s="29" t="n"/>
      <c r="BW598" s="24" t="n"/>
      <c r="BX598" s="30" t="n">
        <v>1</v>
      </c>
      <c r="BY598" s="27" t="n">
        <v>-1</v>
      </c>
      <c r="BZ598" s="24" t="inlineStr">
        <is>
          <t>2026-09-09T22:01:05.651143Z</t>
        </is>
      </c>
      <c r="CA598" s="31" t="inlineStr">
        <is>
          <t>fixed one-unit hypothetical scoring; no real exposure or execution</t>
        </is>
      </c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inlineStr">
        <is>
          <t>8a1d717d32147ddc99d15b44d97a599e887a485e46c98bcbf4d3369d50657a85</t>
        </is>
      </c>
      <c r="DE598" s="24" t="inlineStr">
        <is>
          <t>/Users/vincentc9002/model-prediction/data/odds/tennis/2026-09-09/polymarket_snapshots.jsonl</t>
        </is>
      </c>
      <c r="DF598" s="24" t="inlineStr">
        <is>
          <t>723713:2026-09-09T16:03:12.386306Z</t>
        </is>
      </c>
      <c r="DG598" s="24" t="n"/>
      <c r="DH598" s="24" t="n"/>
      <c r="DI598" s="24" t="n"/>
      <c r="DJ598" s="24" t="inlineStr">
        <is>
          <t>0.719888</t>
        </is>
      </c>
      <c r="DK598" s="24" t="n"/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a07bf168843048b7</t>
        </is>
      </c>
      <c r="B599" s="24" t="inlineStr">
        <is>
          <t>2026-09-09T16:03:57.379970Z</t>
        </is>
      </c>
      <c r="C599" s="24" t="inlineStr">
        <is>
          <t>2026-09-09T18:30Z</t>
        </is>
      </c>
      <c r="D599" s="24" t="inlineStr">
        <is>
          <t>964-2026:183621</t>
        </is>
      </c>
      <c r="E599" s="24" t="inlineStr">
        <is>
          <t>TENNIS</t>
        </is>
      </c>
      <c r="F599" s="24" t="inlineStr">
        <is>
          <t>Claire Liu</t>
        </is>
      </c>
      <c r="G599" s="24" t="inlineStr">
        <is>
          <t>Varvara Lepchenko</t>
        </is>
      </c>
      <c r="H599" s="24" t="inlineStr">
        <is>
          <t>moneyline</t>
        </is>
      </c>
      <c r="I599" s="24" t="inlineStr">
        <is>
          <t>away</t>
        </is>
      </c>
      <c r="J599" s="25" t="n"/>
      <c r="K599" s="24" t="inlineStr">
        <is>
          <t>polymarket_us</t>
        </is>
      </c>
      <c r="L599" s="26" t="n">
        <v>-335</v>
      </c>
      <c r="M599" s="27" t="n">
        <v>1.298507</v>
      </c>
      <c r="N599" s="28" t="n">
        <v>0.770115</v>
      </c>
      <c r="O599" s="28" t="n">
        <v>0.6086</v>
      </c>
      <c r="P599" s="28" t="n">
        <v>0.05</v>
      </c>
      <c r="Q599" s="28" t="n">
        <v>-0.161515</v>
      </c>
      <c r="R599" s="26" t="n">
        <v>0</v>
      </c>
      <c r="S599" s="29" t="n">
        <v>1</v>
      </c>
      <c r="T599" s="24" t="inlineStr">
        <is>
          <t>tennis-surface-elo-v1</t>
        </is>
      </c>
      <c r="U599" s="24" t="inlineStr">
        <is>
          <t>settled</t>
        </is>
      </c>
      <c r="V599" s="24" t="inlineStr">
        <is>
          <t>win</t>
        </is>
      </c>
      <c r="W599" s="26" t="n">
        <v>1</v>
      </c>
      <c r="X599" s="26" t="n">
        <v>0</v>
      </c>
      <c r="Y599" s="25" t="n"/>
      <c r="Z599" s="26" t="n">
        <v>-335</v>
      </c>
      <c r="AA599" s="28" t="n">
        <v>0.77</v>
      </c>
      <c r="AB599" s="28" t="n">
        <v>-0.000115</v>
      </c>
      <c r="AC599" s="30" t="n">
        <v>0.2985</v>
      </c>
      <c r="AD599" s="24" t="inlineStr">
        <is>
          <t>2026-09-09T22:01:07.942429Z</t>
        </is>
      </c>
      <c r="AE599" s="31" t="inlineStr">
        <is>
          <t>Surface-blended Elo on Hard: Claire Liu p=0.609 vs Varvara Lepchenko. Executable ask 0.7700 (aec-wta-varlep-claliu-2026-09-09).</t>
        </is>
      </c>
      <c r="AF599" s="31" t="inlineStr">
        <is>
          <t>Surface-blended Elo model; singles only, WTA+ATP market coverage, not yet locked-holdout qualified -- promoted by explicit operator directive, not genuine walk-forward validation.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Claire Liu</t>
        </is>
      </c>
      <c r="AQ599" s="24" t="inlineStr">
        <is>
          <t>Claire Liu</t>
        </is>
      </c>
      <c r="AR599" s="24" t="inlineStr">
        <is>
          <t>Claire Liu</t>
        </is>
      </c>
      <c r="AS599" s="24" t="inlineStr">
        <is>
          <t>Varvara Lepchenko</t>
        </is>
      </c>
      <c r="AT599" s="24" t="inlineStr">
        <is>
          <t>Varvara Lepchenko</t>
        </is>
      </c>
      <c r="AU599" s="24" t="inlineStr">
        <is>
          <t>Varvara Lepchenko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b6a128fd8ef6dd41016b77e2e2fb0ca36bdb1ca1895b972980670c1571f8e21c</t>
        </is>
      </c>
      <c r="BB599" s="24" t="inlineStr">
        <is>
          <t>surface_blended_elo</t>
        </is>
      </c>
      <c r="BC599" s="24" t="inlineStr">
        <is>
          <t>tennis-surface-elo-v1</t>
        </is>
      </c>
      <c r="BD599" s="24" t="inlineStr">
        <is>
          <t>b6a128fd8ef6dd41016b77e2e2fb0ca36bdb1ca1895b972980670c1571f8e21c</t>
        </is>
      </c>
      <c r="BE599" s="24" t="inlineStr">
        <is>
          <t>tennis-surface-elo-v1</t>
        </is>
      </c>
      <c r="BF599" s="24" t="inlineStr">
        <is>
          <t>1</t>
        </is>
      </c>
      <c r="BG599" s="24" t="inlineStr">
        <is>
          <t>b6a128fd8ef6dd41016b77e2e2fb0ca36bdb1ca1895b972980670c1571f8e21c</t>
        </is>
      </c>
      <c r="BH599" s="24" t="inlineStr">
        <is>
          <t>2026-09-09T16:03:12.265997Z</t>
        </is>
      </c>
      <c r="BI599" s="24" t="inlineStr">
        <is>
          <t>["same_event","same_team_same_day","same_league_same_day"]</t>
        </is>
      </c>
      <c r="BJ599" s="25" t="n"/>
      <c r="BK599" s="26" t="n">
        <v>-335</v>
      </c>
      <c r="BL599" s="27" t="n">
        <v>1.298507</v>
      </c>
      <c r="BM599" s="28" t="n">
        <v>0.770115</v>
      </c>
      <c r="BN599" s="28" t="n"/>
      <c r="BO599" s="28" t="n"/>
      <c r="BP599" s="25" t="n"/>
      <c r="BQ599" s="27" t="n">
        <v>1.298507</v>
      </c>
      <c r="BR599" s="28" t="n">
        <v>0.77</v>
      </c>
      <c r="BS599" s="28" t="n"/>
      <c r="BT599" s="28" t="n"/>
      <c r="BU599" s="25" t="n"/>
      <c r="BV599" s="29" t="n"/>
      <c r="BW599" s="24" t="n"/>
      <c r="BX599" s="30" t="n">
        <v>1</v>
      </c>
      <c r="BY599" s="27" t="n">
        <v>0.298507</v>
      </c>
      <c r="BZ599" s="24" t="inlineStr">
        <is>
          <t>2026-09-09T22:01:07.942429Z</t>
        </is>
      </c>
      <c r="CA599" s="31" t="inlineStr">
        <is>
          <t>fixed one-unit hypothetical scoring; no real exposure or execution</t>
        </is>
      </c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inlineStr">
        <is>
          <t>a1f475c809832699e04360b02bd858d167c6f87c661a19a8b4bef7a095ad3637</t>
        </is>
      </c>
      <c r="DE599" s="24" t="inlineStr">
        <is>
          <t>/Users/vincentc9002/model-prediction/data/odds/tennis/2026-09-09/polymarket_snapshots.jsonl</t>
        </is>
      </c>
      <c r="DF599" s="24" t="inlineStr">
        <is>
          <t>742894:2026-09-09T16:03:12.265997Z</t>
        </is>
      </c>
      <c r="DG599" s="24" t="n"/>
      <c r="DH599" s="24" t="n"/>
      <c r="DI599" s="24" t="n"/>
      <c r="DJ599" s="24" t="inlineStr">
        <is>
          <t>0.770115</t>
        </is>
      </c>
      <c r="DK599" s="24" t="n"/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e378f7e9d7a44418</t>
        </is>
      </c>
      <c r="B600" s="24" t="inlineStr">
        <is>
          <t>2026-09-09T16:03:57.379970Z</t>
        </is>
      </c>
      <c r="C600" s="24" t="inlineStr">
        <is>
          <t>2026-09-09T20:00Z</t>
        </is>
      </c>
      <c r="D600" s="24" t="inlineStr">
        <is>
          <t>964-2026:183626</t>
        </is>
      </c>
      <c r="E600" s="24" t="inlineStr">
        <is>
          <t>TENNIS</t>
        </is>
      </c>
      <c r="F600" s="24" t="inlineStr">
        <is>
          <t>Carol Young Suh Lee</t>
        </is>
      </c>
      <c r="G600" s="24" t="inlineStr">
        <is>
          <t>Emiliana Arango</t>
        </is>
      </c>
      <c r="H600" s="24" t="inlineStr">
        <is>
          <t>moneyline</t>
        </is>
      </c>
      <c r="I600" s="24" t="inlineStr">
        <is>
          <t>away</t>
        </is>
      </c>
      <c r="J600" s="25" t="n"/>
      <c r="K600" s="24" t="inlineStr">
        <is>
          <t>polymarket_us</t>
        </is>
      </c>
      <c r="L600" s="26" t="n">
        <v>-133</v>
      </c>
      <c r="M600" s="27" t="n">
        <v>1.75188</v>
      </c>
      <c r="N600" s="28" t="n">
        <v>0.570815</v>
      </c>
      <c r="O600" s="28" t="n">
        <v>0.5259</v>
      </c>
      <c r="P600" s="28" t="n">
        <v>0.05</v>
      </c>
      <c r="Q600" s="28" t="n">
        <v>-0.044915</v>
      </c>
      <c r="R600" s="26" t="n">
        <v>0</v>
      </c>
      <c r="S600" s="29" t="n">
        <v>1</v>
      </c>
      <c r="T600" s="24" t="inlineStr">
        <is>
          <t>tennis-surface-elo-v1</t>
        </is>
      </c>
      <c r="U600" s="24" t="inlineStr">
        <is>
          <t>settled</t>
        </is>
      </c>
      <c r="V600" s="24" t="inlineStr">
        <is>
          <t>win</t>
        </is>
      </c>
      <c r="W600" s="26" t="n">
        <v>1</v>
      </c>
      <c r="X600" s="26" t="n">
        <v>0</v>
      </c>
      <c r="Y600" s="25" t="n"/>
      <c r="Z600" s="26" t="n">
        <v>-133</v>
      </c>
      <c r="AA600" s="28" t="n">
        <v>0.57</v>
      </c>
      <c r="AB600" s="28" t="n">
        <v>-0.000815</v>
      </c>
      <c r="AC600" s="30" t="n">
        <v>0.7519</v>
      </c>
      <c r="AD600" s="24" t="inlineStr">
        <is>
          <t>2026-09-10T04:30:27.432326Z</t>
        </is>
      </c>
      <c r="AE600" s="31" t="inlineStr">
        <is>
          <t>Surface-blended Elo on Hard: Carol Young Suh Lee p=0.526 vs Emiliana Arango. Executable ask 0.5700 (aec-wta-emiara-carlee-2026-09-09).</t>
        </is>
      </c>
      <c r="AF600" s="31" t="inlineStr">
        <is>
          <t>Surface-blended Elo model; singles only, WTA+ATP market coverage, not yet locked-holdout qualified -- promoted by explicit operator directive, not genuine walk-forward validation.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Carol Young Suh Lee</t>
        </is>
      </c>
      <c r="AQ600" s="24" t="inlineStr">
        <is>
          <t>Carol Young Suh Lee</t>
        </is>
      </c>
      <c r="AR600" s="24" t="inlineStr">
        <is>
          <t>Carol Young Suh Lee</t>
        </is>
      </c>
      <c r="AS600" s="24" t="inlineStr">
        <is>
          <t>Emiliana Arango</t>
        </is>
      </c>
      <c r="AT600" s="24" t="inlineStr">
        <is>
          <t>Emiliana Arango</t>
        </is>
      </c>
      <c r="AU600" s="24" t="inlineStr">
        <is>
          <t>Emiliana Arango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b6a128fd8ef6dd41016b77e2e2fb0ca36bdb1ca1895b972980670c1571f8e21c</t>
        </is>
      </c>
      <c r="BB600" s="24" t="inlineStr">
        <is>
          <t>surface_blended_elo</t>
        </is>
      </c>
      <c r="BC600" s="24" t="inlineStr">
        <is>
          <t>tennis-surface-elo-v1</t>
        </is>
      </c>
      <c r="BD600" s="24" t="inlineStr">
        <is>
          <t>b6a128fd8ef6dd41016b77e2e2fb0ca36bdb1ca1895b972980670c1571f8e21c</t>
        </is>
      </c>
      <c r="BE600" s="24" t="inlineStr">
        <is>
          <t>tennis-surface-elo-v1</t>
        </is>
      </c>
      <c r="BF600" s="24" t="inlineStr">
        <is>
          <t>1</t>
        </is>
      </c>
      <c r="BG600" s="24" t="inlineStr">
        <is>
          <t>b6a128fd8ef6dd41016b77e2e2fb0ca36bdb1ca1895b972980670c1571f8e21c</t>
        </is>
      </c>
      <c r="BH600" s="24" t="inlineStr">
        <is>
          <t>2026-09-09T16:03:12.314911Z</t>
        </is>
      </c>
      <c r="BI600" s="24" t="inlineStr">
        <is>
          <t>["same_event","same_team_same_day","same_league_same_day"]</t>
        </is>
      </c>
      <c r="BJ600" s="25" t="n"/>
      <c r="BK600" s="26" t="n">
        <v>-133</v>
      </c>
      <c r="BL600" s="27" t="n">
        <v>1.75188</v>
      </c>
      <c r="BM600" s="28" t="n">
        <v>0.570815</v>
      </c>
      <c r="BN600" s="28" t="n"/>
      <c r="BO600" s="28" t="n"/>
      <c r="BP600" s="25" t="n"/>
      <c r="BQ600" s="27" t="n">
        <v>1.75188</v>
      </c>
      <c r="BR600" s="28" t="n">
        <v>0.57</v>
      </c>
      <c r="BS600" s="28" t="n"/>
      <c r="BT600" s="28" t="n"/>
      <c r="BU600" s="25" t="n"/>
      <c r="BV600" s="29" t="n"/>
      <c r="BW600" s="24" t="n"/>
      <c r="BX600" s="30" t="n">
        <v>1</v>
      </c>
      <c r="BY600" s="27" t="n">
        <v>0.751881</v>
      </c>
      <c r="BZ600" s="24" t="inlineStr">
        <is>
          <t>2026-09-10T04:30:27.432326Z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inlineStr">
        <is>
          <t>9f2d147510e540023650dd83fdc8d53265fa418a7ae72ef9bf3813e6e3f3664b</t>
        </is>
      </c>
      <c r="DE600" s="24" t="inlineStr">
        <is>
          <t>/Users/vincentc9002/model-prediction/data/odds/tennis/2026-09-09/polymarket_snapshots.jsonl</t>
        </is>
      </c>
      <c r="DF600" s="24" t="inlineStr">
        <is>
          <t>744898:2026-09-09T16:03:12.314911Z</t>
        </is>
      </c>
      <c r="DG600" s="24" t="n"/>
      <c r="DH600" s="24" t="n"/>
      <c r="DI600" s="24" t="n"/>
      <c r="DJ600" s="24" t="inlineStr">
        <is>
          <t>0.570815</t>
        </is>
      </c>
      <c r="DK600" s="24" t="n"/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904ca62e34d2421a</t>
        </is>
      </c>
      <c r="B601" s="24" t="inlineStr">
        <is>
          <t>2026-09-09T16:03:57.379970Z</t>
        </is>
      </c>
      <c r="C601" s="24" t="inlineStr">
        <is>
          <t>2026-09-09T20:00Z</t>
        </is>
      </c>
      <c r="D601" s="24" t="inlineStr">
        <is>
          <t>964-2026:183622</t>
        </is>
      </c>
      <c r="E601" s="24" t="inlineStr">
        <is>
          <t>TENNIS</t>
        </is>
      </c>
      <c r="F601" s="24" t="inlineStr">
        <is>
          <t>Sara Sorribes Tormo</t>
        </is>
      </c>
      <c r="G601" s="24" t="inlineStr">
        <is>
          <t>Kaitlin Quevedo</t>
        </is>
      </c>
      <c r="H601" s="24" t="inlineStr">
        <is>
          <t>moneyline</t>
        </is>
      </c>
      <c r="I601" s="24" t="inlineStr">
        <is>
          <t>away</t>
        </is>
      </c>
      <c r="J601" s="25" t="n"/>
      <c r="K601" s="24" t="inlineStr">
        <is>
          <t>polymarket_us</t>
        </is>
      </c>
      <c r="L601" s="26" t="n">
        <v>122</v>
      </c>
      <c r="M601" s="27" t="n">
        <v>2.22</v>
      </c>
      <c r="N601" s="28" t="n">
        <v>0.45045</v>
      </c>
      <c r="O601" s="28" t="n">
        <v>0.5011</v>
      </c>
      <c r="P601" s="28" t="n">
        <v>0.05</v>
      </c>
      <c r="Q601" s="28" t="n">
        <v>0.05065</v>
      </c>
      <c r="R601" s="26" t="n">
        <v>45</v>
      </c>
      <c r="S601" s="29" t="n">
        <v>1</v>
      </c>
      <c r="T601" s="24" t="inlineStr">
        <is>
          <t>tennis-surface-elo-v1</t>
        </is>
      </c>
      <c r="U601" s="24" t="inlineStr">
        <is>
          <t>settled</t>
        </is>
      </c>
      <c r="V601" s="24" t="inlineStr">
        <is>
          <t>loss</t>
        </is>
      </c>
      <c r="W601" s="26" t="n">
        <v>0</v>
      </c>
      <c r="X601" s="26" t="n">
        <v>1</v>
      </c>
      <c r="Y601" s="25" t="n"/>
      <c r="Z601" s="26" t="n">
        <v>122</v>
      </c>
      <c r="AA601" s="28" t="n">
        <v>0.45</v>
      </c>
      <c r="AB601" s="28" t="n">
        <v>-0.00045</v>
      </c>
      <c r="AC601" s="30" t="n">
        <v>-1</v>
      </c>
      <c r="AD601" s="24" t="inlineStr">
        <is>
          <t>2026-09-10T04:30:28.918854Z</t>
        </is>
      </c>
      <c r="AE601" s="31" t="inlineStr">
        <is>
          <t>Surface-blended Elo on Hard: Sara Sorribes Tormo p=0.501 vs Kaitlin Quevedo. Executable ask 0.4500 (aec-wta-kaique-sartor-2026-09-09).</t>
        </is>
      </c>
      <c r="AF601" s="31" t="inlineStr">
        <is>
          <t>Surface-blended Elo model; singles only, WTA+ATP market coverage, not yet locked-holdout qualified -- promoted by explicit operator directive, not genuine walk-forward validation.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paper_call</t>
        </is>
      </c>
      <c r="AL601" s="26" t="n">
        <v>4</v>
      </c>
      <c r="AM601" s="24" t="inlineStr">
        <is>
          <t>RESEARCH_OBSERVATION</t>
        </is>
      </c>
      <c r="AN601" s="24" t="inlineStr">
        <is>
          <t>CALL</t>
        </is>
      </c>
      <c r="AO601" s="24" t="inlineStr">
        <is>
          <t>PAPER_CALL_LOW_EDGE</t>
        </is>
      </c>
      <c r="AP601" s="24" t="inlineStr">
        <is>
          <t>Sara Sorribes Tormo</t>
        </is>
      </c>
      <c r="AQ601" s="24" t="inlineStr">
        <is>
          <t>Sara Sorribes Tormo</t>
        </is>
      </c>
      <c r="AR601" s="24" t="inlineStr">
        <is>
          <t>Sara Sorribes Tormo</t>
        </is>
      </c>
      <c r="AS601" s="24" t="inlineStr">
        <is>
          <t>Kaitlin Quevedo</t>
        </is>
      </c>
      <c r="AT601" s="24" t="inlineStr">
        <is>
          <t>Kaitlin Quevedo</t>
        </is>
      </c>
      <c r="AU601" s="24" t="inlineStr">
        <is>
          <t>Kaitlin Quevedo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b6a128fd8ef6dd41016b77e2e2fb0ca36bdb1ca1895b972980670c1571f8e21c</t>
        </is>
      </c>
      <c r="BB601" s="24" t="inlineStr">
        <is>
          <t>surface_blended_elo</t>
        </is>
      </c>
      <c r="BC601" s="24" t="inlineStr">
        <is>
          <t>tennis-surface-elo-v1</t>
        </is>
      </c>
      <c r="BD601" s="24" t="inlineStr">
        <is>
          <t>b6a128fd8ef6dd41016b77e2e2fb0ca36bdb1ca1895b972980670c1571f8e21c</t>
        </is>
      </c>
      <c r="BE601" s="24" t="inlineStr">
        <is>
          <t>tennis-surface-elo-v1</t>
        </is>
      </c>
      <c r="BF601" s="24" t="inlineStr">
        <is>
          <t>1</t>
        </is>
      </c>
      <c r="BG601" s="24" t="inlineStr">
        <is>
          <t>b6a128fd8ef6dd41016b77e2e2fb0ca36bdb1ca1895b972980670c1571f8e21c</t>
        </is>
      </c>
      <c r="BH601" s="24" t="inlineStr">
        <is>
          <t>2026-09-09T16:03:12.302915Z</t>
        </is>
      </c>
      <c r="BI601" s="24" t="inlineStr">
        <is>
          <t>["same_event","same_team_same_day","same_league_same_day"]</t>
        </is>
      </c>
      <c r="BJ601" s="25" t="n"/>
      <c r="BK601" s="26" t="n">
        <v>122</v>
      </c>
      <c r="BL601" s="27" t="n">
        <v>2.22</v>
      </c>
      <c r="BM601" s="28" t="n">
        <v>0.45045</v>
      </c>
      <c r="BN601" s="28" t="n"/>
      <c r="BO601" s="28" t="n"/>
      <c r="BP601" s="25" t="n"/>
      <c r="BQ601" s="27" t="n">
        <v>2.22</v>
      </c>
      <c r="BR601" s="28" t="n">
        <v>0.45</v>
      </c>
      <c r="BS601" s="28" t="n"/>
      <c r="BT601" s="28" t="n"/>
      <c r="BU601" s="25" t="n"/>
      <c r="BV601" s="29" t="n"/>
      <c r="BW601" s="24" t="n"/>
      <c r="BX601" s="30" t="n">
        <v>1</v>
      </c>
      <c r="BY601" s="27" t="n">
        <v>-1</v>
      </c>
      <c r="BZ601" s="24" t="inlineStr">
        <is>
          <t>2026-09-10T04:30:28.918854Z</t>
        </is>
      </c>
      <c r="CA601" s="31" t="inlineStr">
        <is>
          <t>fixed one-unit hypothetical scoring; no real exposure or execution</t>
        </is>
      </c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inlineStr">
        <is>
          <t>5ac0a854f9cea9df20f8cb088c7a517e2a035c6a72eadc916de09eb73a3fc9f7</t>
        </is>
      </c>
      <c r="DE601" s="24" t="inlineStr">
        <is>
          <t>/Users/vincentc9002/model-prediction/data/odds/tennis/2026-09-09/polymarket_snapshots.jsonl</t>
        </is>
      </c>
      <c r="DF601" s="24" t="inlineStr">
        <is>
          <t>743873:2026-09-09T16:03:12.302915Z</t>
        </is>
      </c>
      <c r="DG601" s="24" t="n"/>
      <c r="DH601" s="24" t="n"/>
      <c r="DI601" s="24" t="n"/>
      <c r="DJ601" s="24" t="inlineStr">
        <is>
          <t>0.45045</t>
        </is>
      </c>
      <c r="DK601" s="24" t="n"/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795a88c7f20847fd</t>
        </is>
      </c>
      <c r="B602" s="24" t="inlineStr">
        <is>
          <t>2026-09-09T16:03:57.379970Z</t>
        </is>
      </c>
      <c r="C602" s="24" t="inlineStr">
        <is>
          <t>2026-09-09T20:00Z</t>
        </is>
      </c>
      <c r="D602" s="24" t="inlineStr">
        <is>
          <t>964-2026:183635</t>
        </is>
      </c>
      <c r="E602" s="24" t="inlineStr">
        <is>
          <t>TENNIS</t>
        </is>
      </c>
      <c r="F602" s="24" t="inlineStr">
        <is>
          <t>Elsa Jacquemot</t>
        </is>
      </c>
      <c r="G602" s="24" t="inlineStr">
        <is>
          <t>Kayla Day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polymarket_us</t>
        </is>
      </c>
      <c r="L602" s="26" t="n">
        <v>-245</v>
      </c>
      <c r="M602" s="27" t="n">
        <v>1.408163</v>
      </c>
      <c r="N602" s="28" t="n">
        <v>0.710145</v>
      </c>
      <c r="O602" s="28" t="n">
        <v>0.5804</v>
      </c>
      <c r="P602" s="28" t="n">
        <v>0.05</v>
      </c>
      <c r="Q602" s="28" t="n">
        <v>-0.129745</v>
      </c>
      <c r="R602" s="26" t="n">
        <v>0</v>
      </c>
      <c r="S602" s="29" t="n">
        <v>1</v>
      </c>
      <c r="T602" s="24" t="inlineStr">
        <is>
          <t>tennis-surface-elo-v1</t>
        </is>
      </c>
      <c r="U602" s="24" t="inlineStr">
        <is>
          <t>settled</t>
        </is>
      </c>
      <c r="V602" s="24" t="inlineStr">
        <is>
          <t>loss</t>
        </is>
      </c>
      <c r="W602" s="26" t="n">
        <v>1</v>
      </c>
      <c r="X602" s="26" t="n">
        <v>0</v>
      </c>
      <c r="Y602" s="25" t="n"/>
      <c r="Z602" s="26" t="n">
        <v>-245</v>
      </c>
      <c r="AA602" s="28" t="n">
        <v>0.71</v>
      </c>
      <c r="AB602" s="28" t="n">
        <v>-0.000145</v>
      </c>
      <c r="AC602" s="30" t="n">
        <v>-1</v>
      </c>
      <c r="AD602" s="24" t="inlineStr">
        <is>
          <t>2026-09-10T04:30:30.109172Z</t>
        </is>
      </c>
      <c r="AE602" s="31" t="inlineStr">
        <is>
          <t>Surface-blended Elo on Hard: Elsa Jacquemot p=0.420 vs Kayla Day. Executable ask 0.7100 (aec-wta-kayday-elsjac-2026-09-09).</t>
        </is>
      </c>
      <c r="AF602" s="31" t="inlineStr">
        <is>
          <t>Surface-blended Elo model; singles only, WTA+ATP market coverage, not yet locked-holdout qualified -- promoted by explicit operator directive, not genuine walk-forward validation.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Elsa Jacquemot</t>
        </is>
      </c>
      <c r="AQ602" s="24" t="inlineStr">
        <is>
          <t>Elsa Jacquemot</t>
        </is>
      </c>
      <c r="AR602" s="24" t="inlineStr">
        <is>
          <t>Elsa Jacquemot</t>
        </is>
      </c>
      <c r="AS602" s="24" t="inlineStr">
        <is>
          <t>Kayla Day</t>
        </is>
      </c>
      <c r="AT602" s="24" t="inlineStr">
        <is>
          <t>Kayla Day</t>
        </is>
      </c>
      <c r="AU602" s="24" t="inlineStr">
        <is>
          <t>Kayla Day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b6a128fd8ef6dd41016b77e2e2fb0ca36bdb1ca1895b972980670c1571f8e21c</t>
        </is>
      </c>
      <c r="BB602" s="24" t="inlineStr">
        <is>
          <t>surface_blended_elo</t>
        </is>
      </c>
      <c r="BC602" s="24" t="inlineStr">
        <is>
          <t>tennis-surface-elo-v1</t>
        </is>
      </c>
      <c r="BD602" s="24" t="inlineStr">
        <is>
          <t>b6a128fd8ef6dd41016b77e2e2fb0ca36bdb1ca1895b972980670c1571f8e21c</t>
        </is>
      </c>
      <c r="BE602" s="24" t="inlineStr">
        <is>
          <t>tennis-surface-elo-v1</t>
        </is>
      </c>
      <c r="BF602" s="24" t="inlineStr">
        <is>
          <t>1</t>
        </is>
      </c>
      <c r="BG602" s="24" t="inlineStr">
        <is>
          <t>b6a128fd8ef6dd41016b77e2e2fb0ca36bdb1ca1895b972980670c1571f8e21c</t>
        </is>
      </c>
      <c r="BH602" s="24" t="inlineStr">
        <is>
          <t>2026-09-09T16:03:12.295121Z</t>
        </is>
      </c>
      <c r="BI602" s="24" t="inlineStr">
        <is>
          <t>["same_event","same_team_same_day","same_league_same_day"]</t>
        </is>
      </c>
      <c r="BJ602" s="25" t="n"/>
      <c r="BK602" s="26" t="n">
        <v>-245</v>
      </c>
      <c r="BL602" s="27" t="n">
        <v>1.408163</v>
      </c>
      <c r="BM602" s="28" t="n">
        <v>0.710145</v>
      </c>
      <c r="BN602" s="28" t="n"/>
      <c r="BO602" s="28" t="n"/>
      <c r="BP602" s="25" t="n"/>
      <c r="BQ602" s="27" t="n">
        <v>1.408163</v>
      </c>
      <c r="BR602" s="28" t="n">
        <v>0.71</v>
      </c>
      <c r="BS602" s="28" t="n"/>
      <c r="BT602" s="28" t="n"/>
      <c r="BU602" s="25" t="n"/>
      <c r="BV602" s="29" t="n"/>
      <c r="BW602" s="24" t="n"/>
      <c r="BX602" s="30" t="n">
        <v>1</v>
      </c>
      <c r="BY602" s="27" t="n">
        <v>-1</v>
      </c>
      <c r="BZ602" s="24" t="inlineStr">
        <is>
          <t>2026-09-10T04:30:30.109172Z</t>
        </is>
      </c>
      <c r="CA602" s="31" t="inlineStr">
        <is>
          <t>fixed one-unit hypothetical scoring; no real exposure or execution</t>
        </is>
      </c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inlineStr">
        <is>
          <t>6684e7551c75e7bbe6ef64c6d89fdce3dacfa6993dc1a529f8d0c81228f81739</t>
        </is>
      </c>
      <c r="DE602" s="24" t="inlineStr">
        <is>
          <t>/Users/vincentc9002/model-prediction/data/odds/tennis/2026-09-09/polymarket_snapshots.jsonl</t>
        </is>
      </c>
      <c r="DF602" s="24" t="inlineStr">
        <is>
          <t>743200:2026-09-09T16:03:12.295121Z</t>
        </is>
      </c>
      <c r="DG602" s="24" t="n"/>
      <c r="DH602" s="24" t="n"/>
      <c r="DI602" s="24" t="n"/>
      <c r="DJ602" s="24" t="inlineStr">
        <is>
          <t>0.710145</t>
        </is>
      </c>
      <c r="DK602" s="24" t="n"/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21fe5e0dc2cc4b12</t>
        </is>
      </c>
      <c r="B603" s="24" t="inlineStr">
        <is>
          <t>2026-09-09T16:03:57.379970Z</t>
        </is>
      </c>
      <c r="C603" s="24" t="inlineStr">
        <is>
          <t>2026-09-09T21:30Z</t>
        </is>
      </c>
      <c r="D603" s="24" t="inlineStr">
        <is>
          <t>964-2026:183628</t>
        </is>
      </c>
      <c r="E603" s="24" t="inlineStr">
        <is>
          <t>TENNIS</t>
        </is>
      </c>
      <c r="F603" s="24" t="inlineStr">
        <is>
          <t>Anna Blinkova</t>
        </is>
      </c>
      <c r="G603" s="24" t="inlineStr">
        <is>
          <t>Nadia Podoroska</t>
        </is>
      </c>
      <c r="H603" s="24" t="inlineStr">
        <is>
          <t>moneyline</t>
        </is>
      </c>
      <c r="I603" s="24" t="inlineStr">
        <is>
          <t>away</t>
        </is>
      </c>
      <c r="J603" s="25" t="n"/>
      <c r="K603" s="24" t="inlineStr">
        <is>
          <t>polymarket_us</t>
        </is>
      </c>
      <c r="L603" s="26" t="n">
        <v>-203</v>
      </c>
      <c r="M603" s="27" t="n">
        <v>1.492611</v>
      </c>
      <c r="N603" s="28" t="n">
        <v>0.669967</v>
      </c>
      <c r="O603" s="28" t="n">
        <v>0.5596</v>
      </c>
      <c r="P603" s="28" t="n">
        <v>0.05</v>
      </c>
      <c r="Q603" s="28" t="n">
        <v>-0.110367</v>
      </c>
      <c r="R603" s="26" t="n">
        <v>0</v>
      </c>
      <c r="S603" s="29" t="n">
        <v>1</v>
      </c>
      <c r="T603" s="24" t="inlineStr">
        <is>
          <t>tennis-surface-elo-v1</t>
        </is>
      </c>
      <c r="U603" s="24" t="inlineStr">
        <is>
          <t>settled</t>
        </is>
      </c>
      <c r="V603" s="24" t="inlineStr">
        <is>
          <t>win</t>
        </is>
      </c>
      <c r="W603" s="26" t="n">
        <v>1</v>
      </c>
      <c r="X603" s="26" t="n">
        <v>0</v>
      </c>
      <c r="Y603" s="25" t="n"/>
      <c r="Z603" s="26" t="n">
        <v>-203</v>
      </c>
      <c r="AA603" s="28" t="n">
        <v>0.67</v>
      </c>
      <c r="AB603" s="28" t="n">
        <v>3.3e-05</v>
      </c>
      <c r="AC603" s="30" t="n">
        <v>0.4926</v>
      </c>
      <c r="AD603" s="24" t="inlineStr">
        <is>
          <t>2026-09-10T04:30:31.333702Z</t>
        </is>
      </c>
      <c r="AE603" s="31" t="inlineStr">
        <is>
          <t>Surface-blended Elo on Hard: Anna Blinkova p=0.560 vs Nadia Podoroska. Executable ask 0.6700 (aec-wta-nadpod-annbli-2026-09-09).</t>
        </is>
      </c>
      <c r="AF603" s="31" t="inlineStr">
        <is>
          <t>Surface-blended Elo model; singles only, WTA+ATP market coverage, not yet locked-holdout qualified -- promoted by explicit operator directive, not genuine walk-forward validation.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Anna Blinkova</t>
        </is>
      </c>
      <c r="AQ603" s="24" t="inlineStr">
        <is>
          <t>Anna Blinkova</t>
        </is>
      </c>
      <c r="AR603" s="24" t="inlineStr">
        <is>
          <t>Anna Blinkova</t>
        </is>
      </c>
      <c r="AS603" s="24" t="inlineStr">
        <is>
          <t>Nadia Podoroska</t>
        </is>
      </c>
      <c r="AT603" s="24" t="inlineStr">
        <is>
          <t>Nadia Podoroska</t>
        </is>
      </c>
      <c r="AU603" s="24" t="inlineStr">
        <is>
          <t>Nadia Podoroska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b6a128fd8ef6dd41016b77e2e2fb0ca36bdb1ca1895b972980670c1571f8e21c</t>
        </is>
      </c>
      <c r="BB603" s="24" t="inlineStr">
        <is>
          <t>surface_blended_elo</t>
        </is>
      </c>
      <c r="BC603" s="24" t="inlineStr">
        <is>
          <t>tennis-surface-elo-v1</t>
        </is>
      </c>
      <c r="BD603" s="24" t="inlineStr">
        <is>
          <t>b6a128fd8ef6dd41016b77e2e2fb0ca36bdb1ca1895b972980670c1571f8e21c</t>
        </is>
      </c>
      <c r="BE603" s="24" t="inlineStr">
        <is>
          <t>tennis-surface-elo-v1</t>
        </is>
      </c>
      <c r="BF603" s="24" t="inlineStr">
        <is>
          <t>1</t>
        </is>
      </c>
      <c r="BG603" s="24" t="inlineStr">
        <is>
          <t>b6a128fd8ef6dd41016b77e2e2fb0ca36bdb1ca1895b972980670c1571f8e21c</t>
        </is>
      </c>
      <c r="BH603" s="24" t="inlineStr">
        <is>
          <t>2026-09-09T16:03:12.349735Z</t>
        </is>
      </c>
      <c r="BI603" s="24" t="inlineStr">
        <is>
          <t>["same_event","same_team_same_day","same_league_same_day"]</t>
        </is>
      </c>
      <c r="BJ603" s="25" t="n"/>
      <c r="BK603" s="26" t="n">
        <v>-203</v>
      </c>
      <c r="BL603" s="27" t="n">
        <v>1.492611</v>
      </c>
      <c r="BM603" s="28" t="n">
        <v>0.669967</v>
      </c>
      <c r="BN603" s="28" t="n"/>
      <c r="BO603" s="28" t="n"/>
      <c r="BP603" s="25" t="n"/>
      <c r="BQ603" s="27" t="n">
        <v>1.492611</v>
      </c>
      <c r="BR603" s="28" t="n">
        <v>0.67</v>
      </c>
      <c r="BS603" s="28" t="n"/>
      <c r="BT603" s="28" t="n"/>
      <c r="BU603" s="25" t="n"/>
      <c r="BV603" s="29" t="n"/>
      <c r="BW603" s="24" t="n"/>
      <c r="BX603" s="30" t="n">
        <v>1</v>
      </c>
      <c r="BY603" s="27" t="n">
        <v>0.492611</v>
      </c>
      <c r="BZ603" s="24" t="inlineStr">
        <is>
          <t>2026-09-10T04:30:31.333702Z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inlineStr">
        <is>
          <t>85c2b3a5311df8af60bfe0f64677d6f99b1a81540180cadfcaeee982356232ac</t>
        </is>
      </c>
      <c r="DE603" s="24" t="inlineStr">
        <is>
          <t>/Users/vincentc9002/model-prediction/data/odds/tennis/2026-09-09/polymarket_snapshots.jsonl</t>
        </is>
      </c>
      <c r="DF603" s="24" t="inlineStr">
        <is>
          <t>743762:2026-09-09T16:03:12.349735Z</t>
        </is>
      </c>
      <c r="DG603" s="24" t="n"/>
      <c r="DH603" s="24" t="n"/>
      <c r="DI603" s="24" t="n"/>
      <c r="DJ603" s="24" t="inlineStr">
        <is>
          <t>0.669967</t>
        </is>
      </c>
      <c r="DK603" s="24" t="n"/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978a32e8122e470b</t>
        </is>
      </c>
      <c r="B604" s="24" t="inlineStr">
        <is>
          <t>2026-09-09T16:03:57.379970Z</t>
        </is>
      </c>
      <c r="C604" s="24" t="inlineStr">
        <is>
          <t>2026-09-09T21:30Z</t>
        </is>
      </c>
      <c r="D604" s="24" t="inlineStr">
        <is>
          <t>964-2026:183630</t>
        </is>
      </c>
      <c r="E604" s="24" t="inlineStr">
        <is>
          <t>TENNIS</t>
        </is>
      </c>
      <c r="F604" s="24" t="inlineStr">
        <is>
          <t>Mary Stoiana</t>
        </is>
      </c>
      <c r="G604" s="24" t="inlineStr">
        <is>
          <t>Julia Riera</t>
        </is>
      </c>
      <c r="H604" s="24" t="inlineStr">
        <is>
          <t>moneyline</t>
        </is>
      </c>
      <c r="I604" s="24" t="inlineStr">
        <is>
          <t>away</t>
        </is>
      </c>
      <c r="J604" s="25" t="n"/>
      <c r="K604" s="24" t="inlineStr">
        <is>
          <t>polymarket_us</t>
        </is>
      </c>
      <c r="L604" s="26" t="n">
        <v>-223</v>
      </c>
      <c r="M604" s="27" t="n">
        <v>1.44843</v>
      </c>
      <c r="N604" s="28" t="n">
        <v>0.690402</v>
      </c>
      <c r="O604" s="28" t="n">
        <v>0.6531</v>
      </c>
      <c r="P604" s="28" t="n">
        <v>0.05</v>
      </c>
      <c r="Q604" s="28" t="n">
        <v>-0.037302</v>
      </c>
      <c r="R604" s="26" t="n">
        <v>1</v>
      </c>
      <c r="S604" s="29" t="n">
        <v>1</v>
      </c>
      <c r="T604" s="24" t="inlineStr">
        <is>
          <t>tennis-surface-elo-v1</t>
        </is>
      </c>
      <c r="U604" s="24" t="inlineStr">
        <is>
          <t>settled</t>
        </is>
      </c>
      <c r="V604" s="24" t="inlineStr">
        <is>
          <t>loss</t>
        </is>
      </c>
      <c r="W604" s="26" t="n">
        <v>0</v>
      </c>
      <c r="X604" s="26" t="n">
        <v>1</v>
      </c>
      <c r="Y604" s="25" t="n"/>
      <c r="Z604" s="26" t="n">
        <v>-223</v>
      </c>
      <c r="AA604" s="28" t="n">
        <v>0.6899999999999999</v>
      </c>
      <c r="AB604" s="28" t="n">
        <v>-0.000402</v>
      </c>
      <c r="AC604" s="30" t="n">
        <v>-1</v>
      </c>
      <c r="AD604" s="24" t="inlineStr">
        <is>
          <t>2026-09-10T04:30:32.603067Z</t>
        </is>
      </c>
      <c r="AE604" s="31" t="inlineStr">
        <is>
          <t>Surface-blended Elo on Hard: Mary Stoiana p=0.653 vs Julia Riera. Executable ask 0.6900 (aec-wta-julrie-marsto-2026-09-09).</t>
        </is>
      </c>
      <c r="AF604" s="31" t="inlineStr">
        <is>
          <t>Surface-blended Elo model; singles only, WTA+ATP market coverage, not yet locked-holdout qualified -- promoted by explicit operator directive, not genuine walk-forward validation.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Mary Stoiana</t>
        </is>
      </c>
      <c r="AQ604" s="24" t="inlineStr">
        <is>
          <t>Mary Stoiana</t>
        </is>
      </c>
      <c r="AR604" s="24" t="inlineStr">
        <is>
          <t>Mary Stoiana</t>
        </is>
      </c>
      <c r="AS604" s="24" t="inlineStr">
        <is>
          <t>Julia Riera</t>
        </is>
      </c>
      <c r="AT604" s="24" t="inlineStr">
        <is>
          <t>Julia Riera</t>
        </is>
      </c>
      <c r="AU604" s="24" t="inlineStr">
        <is>
          <t>Julia Riera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b6a128fd8ef6dd41016b77e2e2fb0ca36bdb1ca1895b972980670c1571f8e21c</t>
        </is>
      </c>
      <c r="BB604" s="24" t="inlineStr">
        <is>
          <t>surface_blended_elo</t>
        </is>
      </c>
      <c r="BC604" s="24" t="inlineStr">
        <is>
          <t>tennis-surface-elo-v1</t>
        </is>
      </c>
      <c r="BD604" s="24" t="inlineStr">
        <is>
          <t>b6a128fd8ef6dd41016b77e2e2fb0ca36bdb1ca1895b972980670c1571f8e21c</t>
        </is>
      </c>
      <c r="BE604" s="24" t="inlineStr">
        <is>
          <t>tennis-surface-elo-v1</t>
        </is>
      </c>
      <c r="BF604" s="24" t="inlineStr">
        <is>
          <t>1</t>
        </is>
      </c>
      <c r="BG604" s="24" t="inlineStr">
        <is>
          <t>b6a128fd8ef6dd41016b77e2e2fb0ca36bdb1ca1895b972980670c1571f8e21c</t>
        </is>
      </c>
      <c r="BH604" s="24" t="inlineStr">
        <is>
          <t>2026-09-09T16:03:12.291546Z</t>
        </is>
      </c>
      <c r="BI604" s="24" t="inlineStr">
        <is>
          <t>["same_event","same_team_same_day","same_league_same_day"]</t>
        </is>
      </c>
      <c r="BJ604" s="25" t="n"/>
      <c r="BK604" s="26" t="n">
        <v>-223</v>
      </c>
      <c r="BL604" s="27" t="n">
        <v>1.44843</v>
      </c>
      <c r="BM604" s="28" t="n">
        <v>0.690402</v>
      </c>
      <c r="BN604" s="28" t="n"/>
      <c r="BO604" s="28" t="n"/>
      <c r="BP604" s="25" t="n"/>
      <c r="BQ604" s="27" t="n">
        <v>1.44843</v>
      </c>
      <c r="BR604" s="28" t="n">
        <v>0.6899999999999999</v>
      </c>
      <c r="BS604" s="28" t="n"/>
      <c r="BT604" s="28" t="n"/>
      <c r="BU604" s="25" t="n"/>
      <c r="BV604" s="29" t="n"/>
      <c r="BW604" s="24" t="n"/>
      <c r="BX604" s="30" t="n">
        <v>1</v>
      </c>
      <c r="BY604" s="27" t="n">
        <v>-1</v>
      </c>
      <c r="BZ604" s="24" t="inlineStr">
        <is>
          <t>2026-09-10T04:30:32.603067Z</t>
        </is>
      </c>
      <c r="CA604" s="31" t="inlineStr">
        <is>
          <t>fixed one-unit hypothetical scoring; no real exposure or execution</t>
        </is>
      </c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inlineStr">
        <is>
          <t>ad7cdbc5a6efea91f67a80dd6fb92df9f514f415117b3d879fbad64b1f1f057e</t>
        </is>
      </c>
      <c r="DE604" s="24" t="inlineStr">
        <is>
          <t>/Users/vincentc9002/model-prediction/data/odds/tennis/2026-09-09/polymarket_snapshots.jsonl</t>
        </is>
      </c>
      <c r="DF604" s="24" t="inlineStr">
        <is>
          <t>745925:2026-09-09T16:03:12.291546Z</t>
        </is>
      </c>
      <c r="DG604" s="24" t="n"/>
      <c r="DH604" s="24" t="n"/>
      <c r="DI604" s="24" t="n"/>
      <c r="DJ604" s="24" t="inlineStr">
        <is>
          <t>0.690402</t>
        </is>
      </c>
      <c r="DK604" s="24" t="n"/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4d8e0bfd480e4048</t>
        </is>
      </c>
      <c r="B605" s="24" t="inlineStr">
        <is>
          <t>2026-09-09T16:03:57.379970Z</t>
        </is>
      </c>
      <c r="C605" s="24" t="inlineStr">
        <is>
          <t>2026-09-09T18:00Z</t>
        </is>
      </c>
      <c r="D605" s="24" t="inlineStr">
        <is>
          <t>189-2026:182770</t>
        </is>
      </c>
      <c r="E605" s="24" t="inlineStr">
        <is>
          <t>TENNIS</t>
        </is>
      </c>
      <c r="F605" s="24" t="inlineStr">
        <is>
          <t>Alexander Blockx</t>
        </is>
      </c>
      <c r="G605" s="24" t="inlineStr">
        <is>
          <t>Karen Khachanov</t>
        </is>
      </c>
      <c r="H605" s="24" t="inlineStr">
        <is>
          <t>moneyline</t>
        </is>
      </c>
      <c r="I605" s="24" t="inlineStr">
        <is>
          <t>away</t>
        </is>
      </c>
      <c r="J605" s="25" t="n"/>
      <c r="K605" s="24" t="inlineStr">
        <is>
          <t>polymarket_us</t>
        </is>
      </c>
      <c r="L605" s="26" t="n">
        <v>153</v>
      </c>
      <c r="M605" s="27" t="n">
        <v>2.53</v>
      </c>
      <c r="N605" s="28" t="n">
        <v>0.395257</v>
      </c>
      <c r="O605" s="28" t="n">
        <v>0.5326</v>
      </c>
      <c r="P605" s="28" t="n">
        <v>0.05</v>
      </c>
      <c r="Q605" s="28" t="n">
        <v>0.137343</v>
      </c>
      <c r="R605" s="26" t="n">
        <v>89</v>
      </c>
      <c r="S605" s="29" t="n">
        <v>1.5</v>
      </c>
      <c r="T605" s="24" t="inlineStr">
        <is>
          <t>tennis-surface-elo-v1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1</v>
      </c>
      <c r="Y605" s="25" t="n"/>
      <c r="Z605" s="26" t="n">
        <v>153</v>
      </c>
      <c r="AA605" s="28" t="n">
        <v>0.395</v>
      </c>
      <c r="AB605" s="28" t="n">
        <v>-0.000257</v>
      </c>
      <c r="AC605" s="30" t="n">
        <v>-1.5</v>
      </c>
      <c r="AD605" s="24" t="inlineStr">
        <is>
          <t>2026-09-10T04:30:33.789027Z</t>
        </is>
      </c>
      <c r="AE605" s="31" t="inlineStr">
        <is>
          <t>Surface-blended Elo on Hard: Alexander Blockx p=0.533 vs Karen Khachanov. Executable ask 0.3950 (aec-atp-karkha-aleblo-2026-09-08).</t>
        </is>
      </c>
      <c r="AF605" s="31" t="inlineStr">
        <is>
          <t>Surface-blended Elo model; singles only, WTA+ATP market coverage, not yet locked-holdout qualified -- promoted by explicit operator directive, not genuine walk-forward validation.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Alexander Blockx</t>
        </is>
      </c>
      <c r="AQ605" s="24" t="inlineStr">
        <is>
          <t>Alexander Blockx</t>
        </is>
      </c>
      <c r="AR605" s="24" t="inlineStr">
        <is>
          <t>Alexander Blockx</t>
        </is>
      </c>
      <c r="AS605" s="24" t="inlineStr">
        <is>
          <t>Karen Khachanov</t>
        </is>
      </c>
      <c r="AT605" s="24" t="inlineStr">
        <is>
          <t>Karen Khachanov</t>
        </is>
      </c>
      <c r="AU605" s="24" t="inlineStr">
        <is>
          <t>Karen Khachanov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b6a128fd8ef6dd41016b77e2e2fb0ca36bdb1ca1895b972980670c1571f8e21c</t>
        </is>
      </c>
      <c r="BB605" s="24" t="inlineStr">
        <is>
          <t>surface_blended_elo</t>
        </is>
      </c>
      <c r="BC605" s="24" t="inlineStr">
        <is>
          <t>tennis-surface-elo-v1</t>
        </is>
      </c>
      <c r="BD605" s="24" t="inlineStr">
        <is>
          <t>b6a128fd8ef6dd41016b77e2e2fb0ca36bdb1ca1895b972980670c1571f8e21c</t>
        </is>
      </c>
      <c r="BE605" s="24" t="inlineStr">
        <is>
          <t>tennis-surface-elo-v1</t>
        </is>
      </c>
      <c r="BF605" s="24" t="inlineStr">
        <is>
          <t>1</t>
        </is>
      </c>
      <c r="BG605" s="24" t="inlineStr">
        <is>
          <t>b6a128fd8ef6dd41016b77e2e2fb0ca36bdb1ca1895b972980670c1571f8e21c</t>
        </is>
      </c>
      <c r="BH605" s="24" t="inlineStr">
        <is>
          <t>2026-09-09T16:03:12.382805Z</t>
        </is>
      </c>
      <c r="BI605" s="24" t="inlineStr">
        <is>
          <t>["same_event","same_team_same_day","same_league_same_day"]</t>
        </is>
      </c>
      <c r="BJ605" s="25" t="n"/>
      <c r="BK605" s="26" t="n">
        <v>153</v>
      </c>
      <c r="BL605" s="27" t="n">
        <v>2.53</v>
      </c>
      <c r="BM605" s="28" t="n">
        <v>0.395257</v>
      </c>
      <c r="BN605" s="28" t="n"/>
      <c r="BO605" s="28" t="n"/>
      <c r="BP605" s="25" t="n"/>
      <c r="BQ605" s="27" t="n">
        <v>2.53</v>
      </c>
      <c r="BR605" s="28" t="n">
        <v>0.395</v>
      </c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2026-09-10T04:30:33.789027Z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inlineStr">
        <is>
          <t>60a1a1a7b5ca892a543f2ade6c62a8bae1b60a7ad045d4a90cc1608158c25a08</t>
        </is>
      </c>
      <c r="DE605" s="24" t="inlineStr">
        <is>
          <t>/Users/vincentc9002/model-prediction/data/odds/tennis/2026-09-09/polymarket_snapshots.jsonl</t>
        </is>
      </c>
      <c r="DF605" s="24" t="inlineStr">
        <is>
          <t>724674:2026-09-09T16:03:12.382805Z</t>
        </is>
      </c>
      <c r="DG605" s="24" t="n"/>
      <c r="DH605" s="24" t="n"/>
      <c r="DI605" s="24" t="n"/>
      <c r="DJ605" s="24" t="inlineStr">
        <is>
          <t>0.395257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d8796b1a825940e7</t>
        </is>
      </c>
      <c r="B606" s="24" t="inlineStr">
        <is>
          <t>2026-09-09T22:06:23.318827Z</t>
        </is>
      </c>
      <c r="C606" s="24" t="inlineStr">
        <is>
          <t>2026-09-09T23:30Z</t>
        </is>
      </c>
      <c r="D606" s="24" t="inlineStr">
        <is>
          <t>189-2026:182772</t>
        </is>
      </c>
      <c r="E606" s="24" t="inlineStr">
        <is>
          <t>TENNIS</t>
        </is>
      </c>
      <c r="F606" s="24" t="inlineStr">
        <is>
          <t>Botic Van De Zandschulp</t>
        </is>
      </c>
      <c r="G606" s="24" t="inlineStr">
        <is>
          <t>Alexander Zverev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polymarket_us</t>
        </is>
      </c>
      <c r="L606" s="26" t="n">
        <v>-669</v>
      </c>
      <c r="M606" s="27" t="n">
        <v>1.149477</v>
      </c>
      <c r="N606" s="28" t="n">
        <v>0.869961</v>
      </c>
      <c r="O606" s="28" t="n">
        <v>0.7615</v>
      </c>
      <c r="P606" s="28" t="n">
        <v>0.05</v>
      </c>
      <c r="Q606" s="28" t="n">
        <v>-0.108461</v>
      </c>
      <c r="R606" s="26" t="n">
        <v>0</v>
      </c>
      <c r="S606" s="29" t="n">
        <v>1</v>
      </c>
      <c r="T606" s="24" t="inlineStr">
        <is>
          <t>tennis-surface-elo-v1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1</v>
      </c>
      <c r="Y606" s="25" t="n"/>
      <c r="Z606" s="26" t="n">
        <v>-669</v>
      </c>
      <c r="AA606" s="28" t="n">
        <v>0.87</v>
      </c>
      <c r="AB606" s="28" t="n">
        <v>3.9e-05</v>
      </c>
      <c r="AC606" s="30" t="n">
        <v>0.1495</v>
      </c>
      <c r="AD606" s="24" t="inlineStr">
        <is>
          <t>2026-09-10T04:31:40.452552Z</t>
        </is>
      </c>
      <c r="AE606" s="31" t="inlineStr">
        <is>
          <t>Surface-blended Elo on Hard: Botic Van De Zandschulp p=0.238 vs Alexander Zverev. Executable ask 0.8700 (aec-atp-alezve-botzan-2026-09-08).</t>
        </is>
      </c>
      <c r="AF606" s="31" t="inlineStr">
        <is>
          <t>Surface-blended Elo model; singles only, WTA+ATP market coverage, not yet locked-holdout qualified -- promoted by explicit operator directive, not genuine walk-forward validation.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Botic Van De Zandschulp</t>
        </is>
      </c>
      <c r="AQ606" s="24" t="inlineStr">
        <is>
          <t>Botic Van De Zandschulp</t>
        </is>
      </c>
      <c r="AR606" s="24" t="inlineStr">
        <is>
          <t>Botic Van De Zandschulp</t>
        </is>
      </c>
      <c r="AS606" s="24" t="inlineStr">
        <is>
          <t>Alexander Zverev</t>
        </is>
      </c>
      <c r="AT606" s="24" t="inlineStr">
        <is>
          <t>Alexander Zverev</t>
        </is>
      </c>
      <c r="AU606" s="24" t="inlineStr">
        <is>
          <t>Alexander Zverev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b6a128fd8ef6dd41016b77e2e2fb0ca36bdb1ca1895b972980670c1571f8e21c</t>
        </is>
      </c>
      <c r="BB606" s="24" t="inlineStr">
        <is>
          <t>surface_blended_elo</t>
        </is>
      </c>
      <c r="BC606" s="24" t="inlineStr">
        <is>
          <t>tennis-surface-elo-v1</t>
        </is>
      </c>
      <c r="BD606" s="24" t="inlineStr">
        <is>
          <t>b6a128fd8ef6dd41016b77e2e2fb0ca36bdb1ca1895b972980670c1571f8e21c</t>
        </is>
      </c>
      <c r="BE606" s="24" t="inlineStr">
        <is>
          <t>tennis-surface-elo-v1</t>
        </is>
      </c>
      <c r="BF606" s="24" t="inlineStr">
        <is>
          <t>1</t>
        </is>
      </c>
      <c r="BG606" s="24" t="inlineStr">
        <is>
          <t>b6a128fd8ef6dd41016b77e2e2fb0ca36bdb1ca1895b972980670c1571f8e21c</t>
        </is>
      </c>
      <c r="BH606" s="24" t="inlineStr">
        <is>
          <t>2026-09-09T22:05:11.909825Z</t>
        </is>
      </c>
      <c r="BI606" s="24" t="inlineStr">
        <is>
          <t>["same_event","same_team_same_day","same_league_same_day"]</t>
        </is>
      </c>
      <c r="BJ606" s="25" t="n"/>
      <c r="BK606" s="26" t="n">
        <v>-669</v>
      </c>
      <c r="BL606" s="27" t="n">
        <v>1.149477</v>
      </c>
      <c r="BM606" s="28" t="n">
        <v>0.869961</v>
      </c>
      <c r="BN606" s="28" t="n"/>
      <c r="BO606" s="28" t="n"/>
      <c r="BP606" s="25" t="n"/>
      <c r="BQ606" s="27" t="n">
        <v>1.149477</v>
      </c>
      <c r="BR606" s="28" t="n">
        <v>0.87</v>
      </c>
      <c r="BS606" s="28" t="n"/>
      <c r="BT606" s="28" t="n"/>
      <c r="BU606" s="25" t="n"/>
      <c r="BV606" s="29" t="n"/>
      <c r="BW606" s="24" t="n"/>
      <c r="BX606" s="30" t="n">
        <v>1</v>
      </c>
      <c r="BY606" s="27" t="n">
        <v>0.149477</v>
      </c>
      <c r="BZ606" s="24" t="inlineStr">
        <is>
          <t>2026-09-10T04:31:40.452552Z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inlineStr">
        <is>
          <t>36e69a8e3eae61133046d3645d547e13d60f51bde87934773af0a06b25f4dae3</t>
        </is>
      </c>
      <c r="DE606" s="24" t="inlineStr">
        <is>
          <t>/Users/vincentc9002/model-prediction/data/odds/tennis/2026-09-09/polymarket_snapshots.jsonl</t>
        </is>
      </c>
      <c r="DF606" s="24" t="inlineStr">
        <is>
          <t>730544:2026-09-09T22:05:11.909825Z</t>
        </is>
      </c>
      <c r="DG606" s="24" t="n"/>
      <c r="DH606" s="24" t="n"/>
      <c r="DI606" s="24" t="n"/>
      <c r="DJ606" s="24" t="inlineStr">
        <is>
          <t>0.869961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b18c19653a104530</t>
        </is>
      </c>
      <c r="B607" s="24" t="inlineStr">
        <is>
          <t>2026-09-10T04:35:23.589248Z</t>
        </is>
      </c>
      <c r="C607" s="24" t="inlineStr">
        <is>
          <t>2026-09-10T09:30Z</t>
        </is>
      </c>
      <c r="D607" s="24" t="inlineStr">
        <is>
          <t>998-2026:183598</t>
        </is>
      </c>
      <c r="E607" s="24" t="inlineStr">
        <is>
          <t>TENNIS</t>
        </is>
      </c>
      <c r="F607" s="24" t="inlineStr">
        <is>
          <t>Lucie Havlickova</t>
        </is>
      </c>
      <c r="G607" s="24" t="inlineStr">
        <is>
          <t>Lucija Ciric Bagaric</t>
        </is>
      </c>
      <c r="H607" s="24" t="inlineStr">
        <is>
          <t>moneyline</t>
        </is>
      </c>
      <c r="I607" s="24" t="inlineStr">
        <is>
          <t>away</t>
        </is>
      </c>
      <c r="J607" s="25" t="n"/>
      <c r="K607" s="24" t="inlineStr">
        <is>
          <t>polymarket_us</t>
        </is>
      </c>
      <c r="L607" s="26" t="n">
        <v>-194</v>
      </c>
      <c r="M607" s="27" t="n">
        <v>1.515464</v>
      </c>
      <c r="N607" s="28" t="n">
        <v>0.659864</v>
      </c>
      <c r="O607" s="28" t="n">
        <v>0.5848</v>
      </c>
      <c r="P607" s="28" t="n">
        <v>0.05</v>
      </c>
      <c r="Q607" s="28" t="n">
        <v>-0.07506400000000001</v>
      </c>
      <c r="R607" s="26" t="n">
        <v>0</v>
      </c>
      <c r="S607" s="29" t="n">
        <v>1</v>
      </c>
      <c r="T607" s="24" t="inlineStr">
        <is>
          <t>tennis-surface-elo-v1</t>
        </is>
      </c>
      <c r="U607" s="24" t="inlineStr">
        <is>
          <t>settled</t>
        </is>
      </c>
      <c r="V607" s="24" t="inlineStr">
        <is>
          <t>win</t>
        </is>
      </c>
      <c r="W607" s="26" t="n">
        <v>1</v>
      </c>
      <c r="X607" s="26" t="n">
        <v>0</v>
      </c>
      <c r="Y607" s="25" t="n"/>
      <c r="Z607" s="26" t="n">
        <v>-194</v>
      </c>
      <c r="AA607" s="28" t="n">
        <v>0.66</v>
      </c>
      <c r="AB607" s="28" t="n">
        <v>0.000136</v>
      </c>
      <c r="AC607" s="30" t="n">
        <v>0.5155</v>
      </c>
      <c r="AD607" s="24" t="inlineStr">
        <is>
          <t>2026-09-10T10:00:21.934622Z</t>
        </is>
      </c>
      <c r="AE607" s="31" t="inlineStr">
        <is>
          <t>Surface-blended Elo on Hard: Lucie Havlickova p=0.585 vs Lucija Ciric Bagaric. Executable ask 0.6600 (aec-wta-lucbag-luchav-2026-09-09).</t>
        </is>
      </c>
      <c r="AF607" s="31" t="inlineStr">
        <is>
          <t>Surface-blended Elo model; singles only, WTA+ATP market coverage, not yet locked-holdout qualified -- promoted by explicit operator directive, not genuine walk-forward validation.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PAPER_CALL_LOW_EDGE</t>
        </is>
      </c>
      <c r="AP607" s="24" t="inlineStr">
        <is>
          <t>Lucie Havlickova</t>
        </is>
      </c>
      <c r="AQ607" s="24" t="inlineStr">
        <is>
          <t>Lucie Havlickova</t>
        </is>
      </c>
      <c r="AR607" s="24" t="inlineStr">
        <is>
          <t>Lucie Havlickova</t>
        </is>
      </c>
      <c r="AS607" s="24" t="inlineStr">
        <is>
          <t>Lucija Ciric Bagaric</t>
        </is>
      </c>
      <c r="AT607" s="24" t="inlineStr">
        <is>
          <t>Lucija Ciric Bagaric</t>
        </is>
      </c>
      <c r="AU607" s="24" t="inlineStr">
        <is>
          <t>Lucija Ciric Bagaric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6c67e999d2a03612e30f4032c8e5e77e8becfbc79e05f4c8993e726b90d34d54</t>
        </is>
      </c>
      <c r="BB607" s="24" t="inlineStr">
        <is>
          <t>surface_blended_elo</t>
        </is>
      </c>
      <c r="BC607" s="24" t="inlineStr">
        <is>
          <t>tennis-surface-elo-v1</t>
        </is>
      </c>
      <c r="BD607" s="24" t="inlineStr">
        <is>
          <t>6c67e999d2a03612e30f4032c8e5e77e8becfbc79e05f4c8993e726b90d34d54</t>
        </is>
      </c>
      <c r="BE607" s="24" t="inlineStr">
        <is>
          <t>tennis-surface-elo-v1</t>
        </is>
      </c>
      <c r="BF607" s="24" t="inlineStr">
        <is>
          <t>1</t>
        </is>
      </c>
      <c r="BG607" s="24" t="inlineStr">
        <is>
          <t>6c67e999d2a03612e30f4032c8e5e77e8becfbc79e05f4c8993e726b90d34d54</t>
        </is>
      </c>
      <c r="BH607" s="24" t="inlineStr">
        <is>
          <t>2026-09-10T04:34:47.034669Z</t>
        </is>
      </c>
      <c r="BI607" s="24" t="inlineStr">
        <is>
          <t>["same_event","same_team_same_day","same_league_same_day"]</t>
        </is>
      </c>
      <c r="BJ607" s="25" t="n"/>
      <c r="BK607" s="26" t="n">
        <v>-194</v>
      </c>
      <c r="BL607" s="27" t="n">
        <v>1.515464</v>
      </c>
      <c r="BM607" s="28" t="n">
        <v>0.659864</v>
      </c>
      <c r="BN607" s="28" t="n"/>
      <c r="BO607" s="28" t="n"/>
      <c r="BP607" s="25" t="n"/>
      <c r="BQ607" s="27" t="n">
        <v>1.515464</v>
      </c>
      <c r="BR607" s="28" t="n">
        <v>0.66</v>
      </c>
      <c r="BS607" s="28" t="n"/>
      <c r="BT607" s="28" t="n"/>
      <c r="BU607" s="25" t="n"/>
      <c r="BV607" s="29" t="n"/>
      <c r="BW607" s="24" t="n"/>
      <c r="BX607" s="30" t="n">
        <v>1</v>
      </c>
      <c r="BY607" s="27" t="n">
        <v>0.515464</v>
      </c>
      <c r="BZ607" s="24" t="inlineStr">
        <is>
          <t>2026-09-10T10:00:21.934622Z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False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inlineStr">
        <is>
          <t>0c3f91e141323682489ebc2fba3499dd716de3e84a3b6a892c24be79ad4e4ad4</t>
        </is>
      </c>
      <c r="DE607" s="24" t="inlineStr">
        <is>
          <t>/Users/vincentc9002/model-prediction/data/odds/tennis/2026-09-10/polymarket_snapshots.jsonl</t>
        </is>
      </c>
      <c r="DF607" s="24" t="inlineStr">
        <is>
          <t>736880:2026-09-10T04:34:47.034669Z</t>
        </is>
      </c>
      <c r="DG607" s="24" t="n"/>
      <c r="DH607" s="24" t="n"/>
      <c r="DI607" s="24" t="n"/>
      <c r="DJ607" s="24" t="inlineStr">
        <is>
          <t>0.659864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"6c67e999d2a03612e30f4032c8e5e77e8becfbc79e05f4c8993e726b90d34d54", "away_team": "Lucie Havlickova", "event_id": "998-2026:183598", "event_start_utc": "2026-09-10T09:30Z", "features": {"elo_p1_surface": 1553.9, "elo_p2_surface": 1489.2, "expected_games_p1": 13.41, "expected_games_p2": 10.27, "expected_total_games": 23.68, "history_matches": 15929, "min_player_matches": 18, "surface": "Hard"}, "historical_source_observation_times_verified": false, "home_team": "Lucija Ciric Bagaric", "inference_inputs": {"code_sha256": {"features/elo_ratings.py": "8525faf022a6343c452286dbfeb17dbb043744c6bdabbe448b6b371216da439b", "models/tennis.py": "6c67e999d2a03612e30f4032c8e5e77e8becfbc79e05f4c8993e726b90d34d54"}, "overall_ratings": [1537.4271079759503, 1479.9929975401396], "players": ["Lucie Havlickova", "Lucija Ciric Bagaric"], "sport": "TENNIS", "surface": "Hard", "surface_counts": [16, 29], "surface_ratings": [1553.8665210185306, 1489.2244070020645]}, "market_type": "moneyline", "model_version": "tennis-surface-elo-v1", "observed_at_utc": "2026-09-10T04:35:22.694718+00:00", "probabilities": {"away": 0.5848, "home": 0.4152}, "replay_scope": "Exact full-precision serving state and rounding; upstream historical observation times are not certified.", "schema": "coded-moneyline-replay-v1", "snapshot_hash": "23e077092f5a37eb21553a383836e5566e2d0913c6c708a3b21186f48d564577", "sport": "TENNIS"}</t>
        </is>
      </c>
    </row>
    <row r="608" ht="36" customHeight="1">
      <c r="A608" s="24" t="inlineStr">
        <is>
          <t>790f606806884860</t>
        </is>
      </c>
      <c r="B608" s="24" t="inlineStr">
        <is>
          <t>2026-09-10T04:35:23.589248Z</t>
        </is>
      </c>
      <c r="C608" s="24" t="inlineStr">
        <is>
          <t>2026-09-10T09:00Z</t>
        </is>
      </c>
      <c r="D608" s="24" t="inlineStr">
        <is>
          <t>1076-2026:183543</t>
        </is>
      </c>
      <c r="E608" s="24" t="inlineStr">
        <is>
          <t>TENNIS</t>
        </is>
      </c>
      <c r="F608" s="24" t="inlineStr">
        <is>
          <t>Rositsa Dencheva</t>
        </is>
      </c>
      <c r="G608" s="24" t="inlineStr">
        <is>
          <t>Francesca Jones</t>
        </is>
      </c>
      <c r="H608" s="24" t="inlineStr">
        <is>
          <t>moneyline</t>
        </is>
      </c>
      <c r="I608" s="24" t="inlineStr">
        <is>
          <t>home</t>
        </is>
      </c>
      <c r="J608" s="25" t="n"/>
      <c r="K608" s="24" t="inlineStr">
        <is>
          <t>polymarket_us</t>
        </is>
      </c>
      <c r="L608" s="26" t="n">
        <v>-213</v>
      </c>
      <c r="M608" s="27" t="n">
        <v>1.469484</v>
      </c>
      <c r="N608" s="28" t="n">
        <v>0.680511</v>
      </c>
      <c r="O608" s="28" t="n">
        <v>0.6915</v>
      </c>
      <c r="P608" s="28" t="n">
        <v>0.05</v>
      </c>
      <c r="Q608" s="28" t="n">
        <v>0.010989</v>
      </c>
      <c r="R608" s="26" t="n">
        <v>25</v>
      </c>
      <c r="S608" s="29" t="n">
        <v>1</v>
      </c>
      <c r="T608" s="24" t="inlineStr">
        <is>
          <t>tennis-surface-elo-v1</t>
        </is>
      </c>
      <c r="U608" s="24" t="inlineStr">
        <is>
          <t>settled</t>
        </is>
      </c>
      <c r="V608" s="24" t="inlineStr">
        <is>
          <t>loss</t>
        </is>
      </c>
      <c r="W608" s="26" t="n">
        <v>1</v>
      </c>
      <c r="X608" s="26" t="n">
        <v>0</v>
      </c>
      <c r="Y608" s="25" t="n"/>
      <c r="Z608" s="26" t="n">
        <v>-213</v>
      </c>
      <c r="AA608" s="28" t="n">
        <v>0.68</v>
      </c>
      <c r="AB608" s="28" t="n">
        <v>-0.000511</v>
      </c>
      <c r="AC608" s="30" t="n">
        <v>-1</v>
      </c>
      <c r="AD608" s="24" t="inlineStr">
        <is>
          <t>2026-09-10T22:00:14.221809Z</t>
        </is>
      </c>
      <c r="AE608" s="31" t="inlineStr">
        <is>
          <t>Surface-blended Elo on Hard: Rositsa Dencheva p=0.308 vs Francesca Jones. Executable ask 0.6800 (aec-wta-frajon-rosden-2026-09-09).</t>
        </is>
      </c>
      <c r="AF608" s="31" t="inlineStr">
        <is>
          <t>Surface-blended Elo model; singles only, WTA+ATP market coverage, not yet locked-holdout qualified -- promoted by explicit operator directive, not genuine walk-forward validation.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Rositsa Dencheva</t>
        </is>
      </c>
      <c r="AQ608" s="24" t="inlineStr">
        <is>
          <t>Rositsa Dencheva</t>
        </is>
      </c>
      <c r="AR608" s="24" t="inlineStr">
        <is>
          <t>Rositsa Dencheva</t>
        </is>
      </c>
      <c r="AS608" s="24" t="inlineStr">
        <is>
          <t>Francesca Jones</t>
        </is>
      </c>
      <c r="AT608" s="24" t="inlineStr">
        <is>
          <t>Francesca Jones</t>
        </is>
      </c>
      <c r="AU608" s="24" t="inlineStr">
        <is>
          <t>Francesca Jones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6c67e999d2a03612e30f4032c8e5e77e8becfbc79e05f4c8993e726b90d34d54</t>
        </is>
      </c>
      <c r="BB608" s="24" t="inlineStr">
        <is>
          <t>surface_blended_elo</t>
        </is>
      </c>
      <c r="BC608" s="24" t="inlineStr">
        <is>
          <t>tennis-surface-elo-v1</t>
        </is>
      </c>
      <c r="BD608" s="24" t="inlineStr">
        <is>
          <t>6c67e999d2a03612e30f4032c8e5e77e8becfbc79e05f4c8993e726b90d34d54</t>
        </is>
      </c>
      <c r="BE608" s="24" t="inlineStr">
        <is>
          <t>tennis-surface-elo-v1</t>
        </is>
      </c>
      <c r="BF608" s="24" t="inlineStr">
        <is>
          <t>1</t>
        </is>
      </c>
      <c r="BG608" s="24" t="inlineStr">
        <is>
          <t>6c67e999d2a03612e30f4032c8e5e77e8becfbc79e05f4c8993e726b90d34d54</t>
        </is>
      </c>
      <c r="BH608" s="24" t="inlineStr">
        <is>
          <t>2026-09-10T04:34:47.047109Z</t>
        </is>
      </c>
      <c r="BI608" s="24" t="inlineStr">
        <is>
          <t>["same_event","same_team_same_day","same_league_same_day"]</t>
        </is>
      </c>
      <c r="BJ608" s="25" t="n"/>
      <c r="BK608" s="26" t="n">
        <v>-213</v>
      </c>
      <c r="BL608" s="27" t="n">
        <v>1.469484</v>
      </c>
      <c r="BM608" s="28" t="n">
        <v>0.680511</v>
      </c>
      <c r="BN608" s="28" t="n"/>
      <c r="BO608" s="28" t="n"/>
      <c r="BP608" s="25" t="n"/>
      <c r="BQ608" s="27" t="n">
        <v>1.469484</v>
      </c>
      <c r="BR608" s="28" t="n">
        <v>0.68</v>
      </c>
      <c r="BS608" s="28" t="n"/>
      <c r="BT608" s="28" t="n"/>
      <c r="BU608" s="25" t="n"/>
      <c r="BV608" s="29" t="n"/>
      <c r="BW608" s="24" t="n"/>
      <c r="BX608" s="30" t="n">
        <v>1</v>
      </c>
      <c r="BY608" s="27" t="n">
        <v>-1</v>
      </c>
      <c r="BZ608" s="24" t="inlineStr">
        <is>
          <t>2026-09-10T22:00:14.221809Z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inlineStr">
        <is>
          <t>b0af136226d57d769361bb7c5905b733f2aaea08614af86963573a2126a7b237</t>
        </is>
      </c>
      <c r="DE608" s="24" t="inlineStr">
        <is>
          <t>/Users/vincentc9002/model-prediction/data/odds/tennis/2026-09-10/polymarket_snapshots.jsonl</t>
        </is>
      </c>
      <c r="DF608" s="24" t="inlineStr">
        <is>
          <t>737362:2026-09-10T04:34:47.047109Z</t>
        </is>
      </c>
      <c r="DG608" s="24" t="n"/>
      <c r="DH608" s="24" t="n"/>
      <c r="DI608" s="24" t="n"/>
      <c r="DJ608" s="24" t="inlineStr">
        <is>
          <t>0.680511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"6c67e999d2a03612e30f4032c8e5e77e8becfbc79e05f4c8993e726b90d34d54", "away_team": "Rositsa Dencheva", "event_id": "1076-2026:183543", "event_start_utc": "2026-09-10T09:00Z", "features": {"elo_p1_surface": 1543.4, "elo_p2_surface": 1686.2, "expected_games_p1": 8.0, "expected_games_p2": 13.11, "expected_total_games": 21.11, "history_matches": 15929, "min_player_matches": 3, "surface": "Hard"}, "historical_source_observation_times_verified": false, "home_team": "Francesca Jones", "inference_inputs": {"code_sha256": {"features/elo_ratings.py": "8525faf022a6343c452286dbfeb17dbb043744c6bdabbe448b6b371216da439b", "models/tennis.py": "6c67e999d2a03612e30f4032c8e5e77e8becfbc79e05f4c8993e726b90d34d54"}, "overall_ratings": [1543.1625513880028, 1675.7030787645601], "players": ["Rositsa Dencheva", "Francesca Jones"], "sport": "TENNIS", "surface": "Hard", "surface_counts": [3, 99], "surface_ratings": [1543.4016515161225, 1686.19263545032]}, "market_type": "moneyline", "model_version": "tennis-surface-elo-v1", "observed_at_utc": "2026-09-10T04:35:22.694718+00:00", "probabilities": {"away": 0.3085, "home": 0.6915}, "replay_scope": "Exact full-precision serving state and rounding; upstream historical observation times are not certified.", "schema": "coded-moneyline-replay-v1", "snapshot_hash": "3479b0419448dc5ec65e6c07d3bfff375b0bd05000497878d25f7c37ee596f15", "sport": "TENNIS"}</t>
        </is>
      </c>
    </row>
    <row r="609" ht="36" customHeight="1">
      <c r="A609" s="24" t="inlineStr">
        <is>
          <t>c75a466efbb94d9d</t>
        </is>
      </c>
      <c r="B609" s="24" t="inlineStr">
        <is>
          <t>2026-09-10T10:04:02.517521Z</t>
        </is>
      </c>
      <c r="C609" s="24" t="inlineStr">
        <is>
          <t>2026-09-10T10:30Z</t>
        </is>
      </c>
      <c r="D609" s="24" t="inlineStr">
        <is>
          <t>998-2026:183599</t>
        </is>
      </c>
      <c r="E609" s="24" t="inlineStr">
        <is>
          <t>TENNIS</t>
        </is>
      </c>
      <c r="F609" s="24" t="inlineStr">
        <is>
          <t>Barbora Palicova</t>
        </is>
      </c>
      <c r="G609" s="24" t="inlineStr">
        <is>
          <t>Fiona Ferro</t>
        </is>
      </c>
      <c r="H609" s="24" t="inlineStr">
        <is>
          <t>moneyline</t>
        </is>
      </c>
      <c r="I609" s="24" t="inlineStr">
        <is>
          <t>home</t>
        </is>
      </c>
      <c r="J609" s="25" t="n"/>
      <c r="K609" s="24" t="inlineStr">
        <is>
          <t>polymarket_us</t>
        </is>
      </c>
      <c r="L609" s="26" t="n">
        <v>-178</v>
      </c>
      <c r="M609" s="27" t="n">
        <v>1.561798</v>
      </c>
      <c r="N609" s="28" t="n">
        <v>0.640288</v>
      </c>
      <c r="O609" s="28" t="n">
        <v>0.7649</v>
      </c>
      <c r="P609" s="28" t="n">
        <v>0.05</v>
      </c>
      <c r="Q609" s="28" t="n">
        <v>0.124612</v>
      </c>
      <c r="R609" s="26" t="n">
        <v>82</v>
      </c>
      <c r="S609" s="29" t="n">
        <v>1.5</v>
      </c>
      <c r="T609" s="24" t="inlineStr">
        <is>
          <t>tennis-surface-elo-v1</t>
        </is>
      </c>
      <c r="U609" s="24" t="inlineStr">
        <is>
          <t>settled</t>
        </is>
      </c>
      <c r="V609" s="24" t="inlineStr">
        <is>
          <t>win</t>
        </is>
      </c>
      <c r="W609" s="26" t="n">
        <v>0</v>
      </c>
      <c r="X609" s="26" t="n">
        <v>1</v>
      </c>
      <c r="Y609" s="25" t="n"/>
      <c r="Z609" s="26" t="n">
        <v>-178</v>
      </c>
      <c r="AA609" s="28" t="n">
        <v>0.64</v>
      </c>
      <c r="AB609" s="28" t="n">
        <v>-0.000288</v>
      </c>
      <c r="AC609" s="30" t="n">
        <v>0.8427</v>
      </c>
      <c r="AD609" s="24" t="inlineStr">
        <is>
          <t>2026-09-10T22:00:15.523399Z</t>
        </is>
      </c>
      <c r="AE609" s="31" t="inlineStr">
        <is>
          <t>Surface-blended Elo on Hard: Barbora Palicova p=0.235 vs Fiona Ferro. Executable ask 0.6400 (aec-wta-fiofer-barpal-2026-09-09).</t>
        </is>
      </c>
      <c r="AF609" s="31" t="inlineStr">
        <is>
          <t>Surface-blended Elo model; singles only, WTA+ATP market coverage, not yet locked-holdout qualified -- promoted by explicit operator directive, not genuine walk-forward validation.</t>
        </is>
      </c>
      <c r="AG609" s="24" t="inlineStr">
        <is>
          <t>not_applicable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Barbora Palicova</t>
        </is>
      </c>
      <c r="AQ609" s="24" t="inlineStr">
        <is>
          <t>Barbora Palicova</t>
        </is>
      </c>
      <c r="AR609" s="24" t="inlineStr">
        <is>
          <t>Barbora Palicova</t>
        </is>
      </c>
      <c r="AS609" s="24" t="inlineStr">
        <is>
          <t>Fiona Ferro</t>
        </is>
      </c>
      <c r="AT609" s="24" t="inlineStr">
        <is>
          <t>Fiona Ferro</t>
        </is>
      </c>
      <c r="AU609" s="24" t="inlineStr">
        <is>
          <t>Fiona Ferro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6c67e999d2a03612e30f4032c8e5e77e8becfbc79e05f4c8993e726b90d34d54</t>
        </is>
      </c>
      <c r="BB609" s="24" t="inlineStr">
        <is>
          <t>surface_blended_elo</t>
        </is>
      </c>
      <c r="BC609" s="24" t="inlineStr">
        <is>
          <t>tennis-surface-elo-v1</t>
        </is>
      </c>
      <c r="BD609" s="24" t="inlineStr">
        <is>
          <t>6c67e999d2a03612e30f4032c8e5e77e8becfbc79e05f4c8993e726b90d34d54</t>
        </is>
      </c>
      <c r="BE609" s="24" t="inlineStr">
        <is>
          <t>tennis-surface-elo-v1</t>
        </is>
      </c>
      <c r="BF609" s="24" t="inlineStr">
        <is>
          <t>1</t>
        </is>
      </c>
      <c r="BG609" s="24" t="inlineStr">
        <is>
          <t>6c67e999d2a03612e30f4032c8e5e77e8becfbc79e05f4c8993e726b90d34d54</t>
        </is>
      </c>
      <c r="BH609" s="24" t="inlineStr">
        <is>
          <t>2026-09-10T10:03:31.764875Z</t>
        </is>
      </c>
      <c r="BI609" s="24" t="inlineStr">
        <is>
          <t>["same_event","same_team_same_day","same_league_same_day"]</t>
        </is>
      </c>
      <c r="BJ609" s="25" t="n"/>
      <c r="BK609" s="26" t="n">
        <v>-178</v>
      </c>
      <c r="BL609" s="27" t="n">
        <v>1.561798</v>
      </c>
      <c r="BM609" s="28" t="n">
        <v>0.640288</v>
      </c>
      <c r="BN609" s="28" t="n"/>
      <c r="BO609" s="28" t="n"/>
      <c r="BP609" s="25" t="n"/>
      <c r="BQ609" s="27" t="n">
        <v>1.561798</v>
      </c>
      <c r="BR609" s="28" t="n">
        <v>0.64</v>
      </c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inlineStr">
        <is>
          <t>9a9a40c9ca980374d2b7eb1cadeba0e7e1f2f577306d2bcf635378ecc59d4216</t>
        </is>
      </c>
      <c r="DE609" s="24" t="inlineStr">
        <is>
          <t>/Users/vincentc9002/model-prediction/data/odds/tennis/2026-09-10/polymarket_snapshots.jsonl</t>
        </is>
      </c>
      <c r="DF609" s="24" t="inlineStr">
        <is>
          <t>738056:2026-09-10T10:03:31.764875Z</t>
        </is>
      </c>
      <c r="DG609" s="24" t="n"/>
      <c r="DH609" s="24" t="n"/>
      <c r="DI609" s="24" t="n"/>
      <c r="DJ609" s="24" t="inlineStr">
        <is>
          <t>0.640288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"6c67e999d2a03612e30f4032c8e5e77e8becfbc79e05f4c8993e726b90d34d54", "away_team": "Barbora Palicova", "event_id": "998-2026:183599", "event_start_utc": "2026-09-10T10:30Z", "features": {"elo_p1_surface": 1413.9, "elo_p2_surface": 1622.5, "expected_games_p1": 6.08, "expected_games_p2": 12.65, "expected_total_games": 18.73, "history_matches": 15929, "min_player_matches": 45,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[1394.1957104918383, 1585.811193962918], "players": ["Barbora Palicova", "Fiona Ferro"], "sport": "TENNIS", "surface": "Hard", "surface_counts": [40, 67], "surface_ratings": [1413.8560102992917, 1622.499853152198]}, "market_type": "moneyline", "model_version": "tennis-surface-elo-v1", "observed_at_utc": "2026-09-10T10:04:01.069743+00:00", "probabilities": {"away": 0.2351, "home": 0.7649}, "replay_scope": "Exact full-precision serving state and rounding; upstream historical observation times are not certified.", "schema": "coded-moneyline-replay-v1", "snapshot_hash": "b937ee6e495ec53b36a25a0755b90a8ed9872798d566c19e92c9168a42afc45b", "sport": "TENNIS"}</t>
        </is>
      </c>
    </row>
    <row r="610" ht="36" customHeight="1">
      <c r="A610" s="24" t="inlineStr">
        <is>
          <t>5576c65d59ec4b79</t>
        </is>
      </c>
      <c r="B610" s="24" t="inlineStr">
        <is>
          <t>2026-09-10T10:04:02.517521Z</t>
        </is>
      </c>
      <c r="C610" s="24" t="inlineStr">
        <is>
          <t>2026-09-10T10:30Z</t>
        </is>
      </c>
      <c r="D610" s="24" t="inlineStr">
        <is>
          <t>1076-2026:183541</t>
        </is>
      </c>
      <c r="E610" s="24" t="inlineStr">
        <is>
          <t>TENNIS</t>
        </is>
      </c>
      <c r="F610" s="24" t="inlineStr">
        <is>
          <t>Eva Vedder</t>
        </is>
      </c>
      <c r="G610" s="24" t="inlineStr">
        <is>
          <t>Maria Lourdes Carle</t>
        </is>
      </c>
      <c r="H610" s="24" t="inlineStr">
        <is>
          <t>moneyline</t>
        </is>
      </c>
      <c r="I610" s="24" t="inlineStr">
        <is>
          <t>home</t>
        </is>
      </c>
      <c r="J610" s="25" t="n"/>
      <c r="K610" s="24" t="inlineStr">
        <is>
          <t>polymarket_us</t>
        </is>
      </c>
      <c r="L610" s="26" t="n">
        <v>-113</v>
      </c>
      <c r="M610" s="27" t="n">
        <v>1.884956</v>
      </c>
      <c r="N610" s="28" t="n">
        <v>0.530516</v>
      </c>
      <c r="O610" s="28" t="n">
        <v>0.5557</v>
      </c>
      <c r="P610" s="28" t="n">
        <v>0.05</v>
      </c>
      <c r="Q610" s="28" t="n">
        <v>0.025184</v>
      </c>
      <c r="R610" s="26" t="n">
        <v>33</v>
      </c>
      <c r="S610" s="29" t="n">
        <v>1</v>
      </c>
      <c r="T610" s="24" t="inlineStr">
        <is>
          <t>tennis-surface-elo-v1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1</v>
      </c>
      <c r="Y610" s="25" t="n"/>
      <c r="Z610" s="26" t="n">
        <v>-113</v>
      </c>
      <c r="AA610" s="28" t="n">
        <v>0.53</v>
      </c>
      <c r="AB610" s="28" t="n">
        <v>-0.000516</v>
      </c>
      <c r="AC610" s="30" t="n">
        <v>0.885</v>
      </c>
      <c r="AD610" s="24" t="inlineStr">
        <is>
          <t>2026-09-10T22:00:16.688724Z</t>
        </is>
      </c>
      <c r="AE610" s="31" t="inlineStr">
        <is>
          <t>Surface-blended Elo on Hard: Eva Vedder p=0.444 vs Maria Lourdes Carle. Executable ask 0.5300 (aec-wta-marcar-evaved-2026-09-09).</t>
        </is>
      </c>
      <c r="AF610" s="31" t="inlineStr">
        <is>
          <t>Surface-blended Elo model; singles only, WTA+ATP market coverage, not yet locked-holdout qualified -- promoted by explicit operator directive, not genuine walk-forward validation.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Eva Vedder</t>
        </is>
      </c>
      <c r="AQ610" s="24" t="inlineStr">
        <is>
          <t>Eva Vedder</t>
        </is>
      </c>
      <c r="AR610" s="24" t="inlineStr">
        <is>
          <t>Eva Vedder</t>
        </is>
      </c>
      <c r="AS610" s="24" t="inlineStr">
        <is>
          <t>Maria Lourdes Carle</t>
        </is>
      </c>
      <c r="AT610" s="24" t="inlineStr">
        <is>
          <t>Maria Lourdes Carle</t>
        </is>
      </c>
      <c r="AU610" s="24" t="inlineStr">
        <is>
          <t>Maria Lourdes Carle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6c67e999d2a03612e30f4032c8e5e77e8becfbc79e05f4c8993e726b90d34d54</t>
        </is>
      </c>
      <c r="BB610" s="24" t="inlineStr">
        <is>
          <t>surface_blended_elo</t>
        </is>
      </c>
      <c r="BC610" s="24" t="inlineStr">
        <is>
          <t>tennis-surface-elo-v1</t>
        </is>
      </c>
      <c r="BD610" s="24" t="inlineStr">
        <is>
          <t>6c67e999d2a03612e30f4032c8e5e77e8becfbc79e05f4c8993e726b90d34d54</t>
        </is>
      </c>
      <c r="BE610" s="24" t="inlineStr">
        <is>
          <t>tennis-surface-elo-v1</t>
        </is>
      </c>
      <c r="BF610" s="24" t="inlineStr">
        <is>
          <t>1</t>
        </is>
      </c>
      <c r="BG610" s="24" t="inlineStr">
        <is>
          <t>6c67e999d2a03612e30f4032c8e5e77e8becfbc79e05f4c8993e726b90d34d54</t>
        </is>
      </c>
      <c r="BH610" s="24" t="inlineStr">
        <is>
          <t>2026-09-10T10:03:31.758617Z</t>
        </is>
      </c>
      <c r="BI610" s="24" t="inlineStr">
        <is>
          <t>["same_event","same_team_same_day","same_league_same_day"]</t>
        </is>
      </c>
      <c r="BJ610" s="25" t="n"/>
      <c r="BK610" s="26" t="n">
        <v>-113</v>
      </c>
      <c r="BL610" s="27" t="n">
        <v>1.884956</v>
      </c>
      <c r="BM610" s="28" t="n">
        <v>0.530516</v>
      </c>
      <c r="BN610" s="28" t="n"/>
      <c r="BO610" s="28" t="n"/>
      <c r="BP610" s="25" t="n"/>
      <c r="BQ610" s="27" t="n">
        <v>1.884956</v>
      </c>
      <c r="BR610" s="28" t="n">
        <v>0.53</v>
      </c>
      <c r="BS610" s="28" t="n"/>
      <c r="BT610" s="28" t="n"/>
      <c r="BU610" s="25" t="n"/>
      <c r="BV610" s="29" t="n"/>
      <c r="BW610" s="24" t="n"/>
      <c r="BX610" s="30" t="n">
        <v>1</v>
      </c>
      <c r="BY610" s="27" t="n">
        <v>0.884957</v>
      </c>
      <c r="BZ610" s="24" t="inlineStr">
        <is>
          <t>2026-09-10T22:00:16.688724Z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inlineStr">
        <is>
          <t>614e84bafaf0a786ccc8f211b9d51cdfa9208b8555a3f815909134aff7104102</t>
        </is>
      </c>
      <c r="DE610" s="24" t="inlineStr">
        <is>
          <t>/Users/vincentc9002/model-prediction/data/odds/tennis/2026-09-10/polymarket_snapshots.jsonl</t>
        </is>
      </c>
      <c r="DF610" s="24" t="inlineStr">
        <is>
          <t>736609:2026-09-10T10:03:31.758617Z</t>
        </is>
      </c>
      <c r="DG610" s="24" t="n"/>
      <c r="DH610" s="24" t="n"/>
      <c r="DI610" s="24" t="n"/>
      <c r="DJ610" s="24" t="inlineStr">
        <is>
          <t>0.530516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"6c67e999d2a03612e30f4032c8e5e77e8becfbc79e05f4c8993e726b90d34d54", "away_team": "Eva Vedder", "event_id": "1076-2026:183541", "event_start_utc": "2026-09-10T10:30Z", "features": {"elo_p1_surface": 1450.7, "elo_p2_surface": 1477.7, "expected_games_p1": 11.87, "expected_games_p2": 12.77, "expected_total_games": 24.65, "history_matches": 15929, "min_player_matches": 41, "surface": "Hard"}, "historical_source_observation_times_verified": false, "home_team": "Maria Lourdes Carle", "inference_inputs": {"code_sha256": {"features/elo_ratings.py": "8525faf022a6343c452286dbfeb17dbb043744c6bdabbe448b6b371216da439b", "models/tennis.py": "6c67e999d2a03612e30f4032c8e5e77e8becfbc79e05f4c8993e726b90d34d54"}, "overall_ratings": [1460.6547763808853, 1538.8195407407452], "players": ["Eva Vedder", "Maria Lourdes Carle"], "sport": "TENNIS", "surface": "Hard", "surface_counts": [36, 102], "surface_ratings": [1450.6752186875603, 1477.6628720079104]}, "market_type": "moneyline", "model_version": "tennis-surface-elo-v1", "observed_at_utc": "2026-09-10T10:04:01.069743+00:00", "probabilities": {"away": 0.4443, "home": 0.5557}, "replay_scope": "Exact full-precision serving state and rounding; upstream historical observation times are not certified.", "schema": "coded-moneyline-replay-v1", "snapshot_hash": "b6d7dce59585a59cd735f95336065de613a58ff08ee91a148813773207f054f8", "sport": "TENNIS"}</t>
        </is>
      </c>
    </row>
    <row r="611" ht="36" customHeight="1">
      <c r="A611" s="24" t="inlineStr">
        <is>
          <t>6e1f224db4a440ed</t>
        </is>
      </c>
      <c r="B611" s="24" t="inlineStr">
        <is>
          <t>2026-09-10T10:04:02.517521Z</t>
        </is>
      </c>
      <c r="C611" s="24" t="inlineStr">
        <is>
          <t>2026-09-10T12:00Z</t>
        </is>
      </c>
      <c r="D611" s="24" t="inlineStr">
        <is>
          <t>1076-2026:183547</t>
        </is>
      </c>
      <c r="E611" s="24" t="inlineStr">
        <is>
          <t>TENNIS</t>
        </is>
      </c>
      <c r="F611" s="24" t="inlineStr">
        <is>
          <t>Alicia Herrero Linana</t>
        </is>
      </c>
      <c r="G611" s="24" t="inlineStr">
        <is>
          <t>Ane Mintegi Del Olmo</t>
        </is>
      </c>
      <c r="H611" s="24" t="inlineStr">
        <is>
          <t>moneyline</t>
        </is>
      </c>
      <c r="I611" s="24" t="inlineStr">
        <is>
          <t>away</t>
        </is>
      </c>
      <c r="J611" s="25" t="n"/>
      <c r="K611" s="24" t="inlineStr">
        <is>
          <t>polymarket_us</t>
        </is>
      </c>
      <c r="L611" s="26" t="n">
        <v>144</v>
      </c>
      <c r="M611" s="27" t="n">
        <v>2.44</v>
      </c>
      <c r="N611" s="28" t="n">
        <v>0.409836</v>
      </c>
      <c r="O611" s="28" t="n">
        <v>0.5449000000000001</v>
      </c>
      <c r="P611" s="28" t="n">
        <v>0.05</v>
      </c>
      <c r="Q611" s="28" t="n">
        <v>0.135064</v>
      </c>
      <c r="R611" s="26" t="n">
        <v>88</v>
      </c>
      <c r="S611" s="29" t="n">
        <v>1.5</v>
      </c>
      <c r="T611" s="24" t="inlineStr">
        <is>
          <t>tennis-surface-elo-v1</t>
        </is>
      </c>
      <c r="U611" s="24" t="inlineStr">
        <is>
          <t>settled</t>
        </is>
      </c>
      <c r="V611" s="24" t="inlineStr">
        <is>
          <t>win</t>
        </is>
      </c>
      <c r="W611" s="26" t="n">
        <v>1</v>
      </c>
      <c r="X611" s="26" t="n">
        <v>0</v>
      </c>
      <c r="Y611" s="25" t="n"/>
      <c r="Z611" s="26" t="n">
        <v>144</v>
      </c>
      <c r="AA611" s="28" t="n">
        <v>0.41</v>
      </c>
      <c r="AB611" s="28" t="n">
        <v>0.000164</v>
      </c>
      <c r="AC611" s="30" t="n">
        <v>2.16</v>
      </c>
      <c r="AD611" s="24" t="inlineStr">
        <is>
          <t>2026-09-10T22:00:17.851529Z</t>
        </is>
      </c>
      <c r="AE611" s="31" t="inlineStr">
        <is>
          <t>Surface-blended Elo on Hard: Alicia Herrero Linana p=0.545 vs Ane Mintegi Del Olmo. Executable ask 0.4100 (aec-wta-aneolm-alilin-2026-09-09).</t>
        </is>
      </c>
      <c r="AF611" s="31" t="inlineStr">
        <is>
          <t>Surface-blended Elo model; singles only, WTA+ATP market coverage, not yet locked-holdout qualified -- promoted by explicit operator directive, not genuine walk-forward validation.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model_qualified</t>
        </is>
      </c>
      <c r="AL611" s="26" t="n">
        <v>4</v>
      </c>
      <c r="AM611" s="24" t="inlineStr">
        <is>
          <t>QUALIFIED_SHADOW_CALL</t>
        </is>
      </c>
      <c r="AN611" s="24" t="inlineStr">
        <is>
          <t>CALL</t>
        </is>
      </c>
      <c r="AO611" s="24" t="inlineStr">
        <is>
          <t>QUALIFIED</t>
        </is>
      </c>
      <c r="AP611" s="24" t="inlineStr">
        <is>
          <t>Alicia Herrero Linana</t>
        </is>
      </c>
      <c r="AQ611" s="24" t="inlineStr">
        <is>
          <t>Alicia Herrero Linana</t>
        </is>
      </c>
      <c r="AR611" s="24" t="inlineStr">
        <is>
          <t>Alicia Herrero Linana</t>
        </is>
      </c>
      <c r="AS611" s="24" t="inlineStr">
        <is>
          <t>Ane Mintegi Del Olmo</t>
        </is>
      </c>
      <c r="AT611" s="24" t="inlineStr">
        <is>
          <t>Ane Mintegi Del Olmo</t>
        </is>
      </c>
      <c r="AU611" s="24" t="inlineStr">
        <is>
          <t>Ane Mintegi Del Olmo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6c67e999d2a03612e30f4032c8e5e77e8becfbc79e05f4c8993e726b90d34d54</t>
        </is>
      </c>
      <c r="BB611" s="24" t="inlineStr">
        <is>
          <t>surface_blended_elo</t>
        </is>
      </c>
      <c r="BC611" s="24" t="inlineStr">
        <is>
          <t>tennis-surface-elo-v1</t>
        </is>
      </c>
      <c r="BD611" s="24" t="inlineStr">
        <is>
          <t>6c67e999d2a03612e30f4032c8e5e77e8becfbc79e05f4c8993e726b90d34d54</t>
        </is>
      </c>
      <c r="BE611" s="24" t="inlineStr">
        <is>
          <t>tennis-surface-elo-v1</t>
        </is>
      </c>
      <c r="BF611" s="24" t="inlineStr">
        <is>
          <t>1</t>
        </is>
      </c>
      <c r="BG611" s="24" t="inlineStr">
        <is>
          <t>6c67e999d2a03612e30f4032c8e5e77e8becfbc79e05f4c8993e726b90d34d54</t>
        </is>
      </c>
      <c r="BH611" s="24" t="inlineStr">
        <is>
          <t>2026-09-10T10:03:31.772737Z</t>
        </is>
      </c>
      <c r="BI611" s="24" t="inlineStr">
        <is>
          <t>["same_event","same_team_same_day","same_league_same_day"]</t>
        </is>
      </c>
      <c r="BJ611" s="25" t="n"/>
      <c r="BK611" s="26" t="n">
        <v>144</v>
      </c>
      <c r="BL611" s="27" t="n">
        <v>2.44</v>
      </c>
      <c r="BM611" s="28" t="n">
        <v>0.409836</v>
      </c>
      <c r="BN611" s="28" t="n"/>
      <c r="BO611" s="28" t="n"/>
      <c r="BP611" s="25" t="n"/>
      <c r="BQ611" s="27" t="n">
        <v>2.44</v>
      </c>
      <c r="BR611" s="28" t="n">
        <v>0.41</v>
      </c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inlineStr">
        <is>
          <t>9c251881d2f4d4b5397f3d7b87720ddc607dcddbdcce3336dc68b75f619a22dc</t>
        </is>
      </c>
      <c r="DE611" s="24" t="inlineStr">
        <is>
          <t>/Users/vincentc9002/model-prediction/data/odds/tennis/2026-09-10/polymarket_snapshots.jsonl</t>
        </is>
      </c>
      <c r="DF611" s="24" t="inlineStr">
        <is>
          <t>738238:2026-09-10T10:03:31.772737Z</t>
        </is>
      </c>
      <c r="DG611" s="24" t="n"/>
      <c r="DH611" s="24" t="n"/>
      <c r="DI611" s="24" t="n"/>
      <c r="DJ611" s="24" t="inlineStr">
        <is>
          <t>0.409836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"6c67e999d2a03612e30f4032c8e5e77e8becfbc79e05f4c8993e726b90d34d54", "away_team": "Alicia Herrero Linana", "event_id": "1076-2026:183547", "event_start_utc": "2026-09-10T12:00Z", "features": {"elo_p1_surface": 1550.3, "elo_p2_surface": 1502.3, "expected_games_p1": 13.3, "expected_games_p2": 10.84, "expected_total_games": 24.13, "history_matches": 15929, "min_player_matches": 19, "surface": "Hard"}, "historical_source_observation_times_verified": false, "home_team": "Ane Mintegi Del Olmo", "inference_inputs": {"code_sha256": {"features/elo_ratings.py": "8525faf022a6343c452286dbfeb17dbb043744c6bdabbe448b6b371216da439b", "models/tennis.py": "6c67e999d2a03612e30f4032c8e5e77e8becfbc79e05f4c8993e726b90d34d54"}, "overall_ratings": [1550.2481247782293, 1529.0649241885365], "players": ["Alicia Herrero Linana", "Ane Mintegi Del Olmo"], "sport": "TENNIS", "surface": "Hard", "surface_counts": [32, 12], "surface_ratings": [1550.2559788279593, 1502.2548496106735]}, "market_type": "moneyline", "model_version": "tennis-surface-elo-v1", "observed_at_utc": "2026-09-10T10:04:01.069743+00:00", "probabilities": {"away": 0.5449, "home": 0.4551}, "replay_scope": "Exact full-precision serving state and rounding; upstream historical observation times are not certified.", "schema": "coded-moneyline-replay-v1", "snapshot_hash": "d7ccb30d4959f843d591b7f4c7926327973e485f731d58f30b94ecde0fafd04a", "sport": "TENNIS"}</t>
        </is>
      </c>
    </row>
    <row r="612" ht="36" customHeight="1">
      <c r="A612" s="24" t="inlineStr">
        <is>
          <t>d54aa7fbc3684012</t>
        </is>
      </c>
      <c r="B612" s="24" t="inlineStr">
        <is>
          <t>2026-09-10T22:04:01.715036Z</t>
        </is>
      </c>
      <c r="C612" s="24" t="inlineStr">
        <is>
          <t>2026-09-10T23:00Z</t>
        </is>
      </c>
      <c r="D612" s="24" t="inlineStr">
        <is>
          <t>189-2026:182553</t>
        </is>
      </c>
      <c r="E612" s="24" t="inlineStr">
        <is>
          <t>TENNIS</t>
        </is>
      </c>
      <c r="F612" s="24" t="inlineStr">
        <is>
          <t>Jessica Pegula</t>
        </is>
      </c>
      <c r="G612" s="24" t="inlineStr">
        <is>
          <t>Aryna Sabalenka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polymarket_us</t>
        </is>
      </c>
      <c r="L612" s="26" t="n">
        <v>-186</v>
      </c>
      <c r="M612" s="27" t="n">
        <v>1.537634</v>
      </c>
      <c r="N612" s="28" t="n">
        <v>0.65035</v>
      </c>
      <c r="O612" s="28" t="n">
        <v>0.5407999999999999</v>
      </c>
      <c r="P612" s="28" t="n">
        <v>0.05</v>
      </c>
      <c r="Q612" s="28" t="n">
        <v>-0.10955</v>
      </c>
      <c r="R612" s="26" t="n">
        <v>0</v>
      </c>
      <c r="S612" s="29" t="n">
        <v>1</v>
      </c>
      <c r="T612" s="24" t="inlineStr">
        <is>
          <t>tennis-surface-elo-v1</t>
        </is>
      </c>
      <c r="U612" s="24" t="inlineStr">
        <is>
          <t>settled</t>
        </is>
      </c>
      <c r="V612" s="24" t="inlineStr">
        <is>
          <t>win</t>
        </is>
      </c>
      <c r="W612" s="26" t="n">
        <v>0</v>
      </c>
      <c r="X612" s="26" t="n">
        <v>1</v>
      </c>
      <c r="Y612" s="25" t="n"/>
      <c r="Z612" s="26" t="n">
        <v>-186</v>
      </c>
      <c r="AA612" s="28" t="n">
        <v>0.65</v>
      </c>
      <c r="AB612" s="28" t="n">
        <v>-0.00035</v>
      </c>
      <c r="AC612" s="30" t="n">
        <v>0.5376</v>
      </c>
      <c r="AD612" s="24" t="inlineStr">
        <is>
          <t>2026-09-11T04:30:20.823806Z</t>
        </is>
      </c>
      <c r="AE612" s="31" t="inlineStr">
        <is>
          <t>Surface-blended Elo on Hard: Jessica Pegula p=0.459 vs Aryna Sabalenka. Executable ask 0.6500 (aec-wta-arysab-jespeg-2026-09-10).</t>
        </is>
      </c>
      <c r="AF612" s="31" t="inlineStr">
        <is>
          <t>Surface-blended Elo model; singles only, WTA+ATP market coverage, not yet locked-holdout qualified -- promoted by explicit operator directive, not genuine walk-forward validation.</t>
        </is>
      </c>
      <c r="AG612" s="24" t="inlineStr">
        <is>
          <t>not_applicable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Jessica Pegula</t>
        </is>
      </c>
      <c r="AQ612" s="24" t="inlineStr">
        <is>
          <t>Jessica Pegula</t>
        </is>
      </c>
      <c r="AR612" s="24" t="inlineStr">
        <is>
          <t>Jessica Pegula</t>
        </is>
      </c>
      <c r="AS612" s="24" t="inlineStr">
        <is>
          <t>Aryna Sabalenka</t>
        </is>
      </c>
      <c r="AT612" s="24" t="inlineStr">
        <is>
          <t>Aryna Sabalenka</t>
        </is>
      </c>
      <c r="AU612" s="24" t="inlineStr">
        <is>
          <t>Aryna Sabalenka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6c67e999d2a03612e30f4032c8e5e77e8becfbc79e05f4c8993e726b90d34d54</t>
        </is>
      </c>
      <c r="BB612" s="24" t="inlineStr">
        <is>
          <t>surface_blended_elo</t>
        </is>
      </c>
      <c r="BC612" s="24" t="inlineStr">
        <is>
          <t>tennis-surface-elo-v1</t>
        </is>
      </c>
      <c r="BD612" s="24" t="inlineStr">
        <is>
          <t>6c67e999d2a03612e30f4032c8e5e77e8becfbc79e05f4c8993e726b90d34d54</t>
        </is>
      </c>
      <c r="BE612" s="24" t="inlineStr">
        <is>
          <t>tennis-surface-elo-v1</t>
        </is>
      </c>
      <c r="BF612" s="24" t="inlineStr">
        <is>
          <t>1</t>
        </is>
      </c>
      <c r="BG612" s="24" t="inlineStr">
        <is>
          <t>6c67e999d2a03612e30f4032c8e5e77e8becfbc79e05f4c8993e726b90d34d54</t>
        </is>
      </c>
      <c r="BH612" s="24" t="inlineStr">
        <is>
          <t>2026-09-10T22:03:47.676008Z</t>
        </is>
      </c>
      <c r="BI612" s="24" t="inlineStr">
        <is>
          <t>["same_event","same_team_same_day","same_league_same_day"]</t>
        </is>
      </c>
      <c r="BJ612" s="25" t="n"/>
      <c r="BK612" s="26" t="n">
        <v>-186</v>
      </c>
      <c r="BL612" s="27" t="n">
        <v>1.537634</v>
      </c>
      <c r="BM612" s="28" t="n">
        <v>0.65035</v>
      </c>
      <c r="BN612" s="28" t="n"/>
      <c r="BO612" s="28" t="n"/>
      <c r="BP612" s="25" t="n"/>
      <c r="BQ612" s="27" t="n">
        <v>1.537634</v>
      </c>
      <c r="BR612" s="28" t="n">
        <v>0.65</v>
      </c>
      <c r="BS612" s="28" t="n"/>
      <c r="BT612" s="28" t="n"/>
      <c r="BU612" s="25" t="n"/>
      <c r="BV612" s="29" t="n"/>
      <c r="BW612" s="24" t="n"/>
      <c r="BX612" s="30" t="n">
        <v>1</v>
      </c>
      <c r="BY612" s="27" t="n">
        <v>0.5376339999999999</v>
      </c>
      <c r="BZ612" s="24" t="inlineStr">
        <is>
          <t>2026-09-11T04:30:20.823806Z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False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inlineStr">
        <is>
          <t>ddaf952abfea6cd12d81f5060c856f98d1dac965c54a3224c647104834c6f1a3</t>
        </is>
      </c>
      <c r="DE612" s="24" t="inlineStr">
        <is>
          <t>/Users/vincentc9002/model-prediction/data/odds/tennis/2026-09-10/polymarket_snapshots.jsonl</t>
        </is>
      </c>
      <c r="DF612" s="24" t="inlineStr">
        <is>
          <t>746193:2026-09-10T22:03:47.676008Z</t>
        </is>
      </c>
      <c r="DG612" s="24" t="n"/>
      <c r="DH612" s="24" t="n"/>
      <c r="DI612" s="24" t="n"/>
      <c r="DJ612" s="24" t="inlineStr">
        <is>
          <t>0.65035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"6c67e999d2a03612e30f4032c8e5e77e8becfbc79e05f4c8993e726b90d34d54", "away_team": "Jessica Pegula", "event_id": "189-2026:182553", "event_start_utc": "2026-09-10T23:00Z", "features": {"elo_p1_surface": 2021.7, "elo_p2_surface": 2058.9, "expected_games_p1": 11.57, "expected_games_p2": 12.93, "expected_total_games": 24.5, "history_matches": 15929, "min_player_matches": 182,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[2025.6391105912262, 2025.0644309970698], "players": ["Jessica Pegula", "Aryna Sabalenka"], "sport": "TENNIS", "surface": "Hard", "surface_counts": [149, 137], "surface_ratings": [2021.6719728201033, 2058.9047499949875]}, "market_type": "moneyline", "model_version": "tennis-surface-elo-v1", "observed_at_utc": "2026-09-10T22:04:00.628565+00:00", "probabilities": {"away": 0.4592, "home": 0.5408}, "replay_scope": "Exact full-precision serving state and rounding; upstream historical observation times are not certified.", "schema": "coded-moneyline-replay-v1", "snapshot_hash": "dd7fb9c210a147f668f949741b3632348b356357291fa00e949a4904b1cf3f73", "sport": "TENNIS"}</t>
        </is>
      </c>
    </row>
    <row r="613" ht="36" customHeight="1">
      <c r="A613" s="24" t="inlineStr">
        <is>
          <t>491216063d34418c</t>
        </is>
      </c>
      <c r="B613" s="24" t="inlineStr">
        <is>
          <t>2026-09-10T22:04:01.715036Z</t>
        </is>
      </c>
      <c r="C613" s="24" t="inlineStr">
        <is>
          <t>2026-09-11T00:30Z</t>
        </is>
      </c>
      <c r="D613" s="24" t="inlineStr">
        <is>
          <t>189-2026:182551</t>
        </is>
      </c>
      <c r="E613" s="24" t="inlineStr">
        <is>
          <t>TENNIS</t>
        </is>
      </c>
      <c r="F613" s="24" t="inlineStr">
        <is>
          <t>Elena Rybakina</t>
        </is>
      </c>
      <c r="G613" s="24" t="inlineStr">
        <is>
          <t>Coco Gauff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polymarket_us</t>
        </is>
      </c>
      <c r="L613" s="26" t="n">
        <v>-108</v>
      </c>
      <c r="M613" s="27" t="n">
        <v>1.925926</v>
      </c>
      <c r="N613" s="28" t="n">
        <v>0.519231</v>
      </c>
      <c r="O613" s="28" t="n">
        <v>0.5779</v>
      </c>
      <c r="P613" s="28" t="n">
        <v>0.05</v>
      </c>
      <c r="Q613" s="28" t="n">
        <v>0.058669</v>
      </c>
      <c r="R613" s="26" t="n">
        <v>49</v>
      </c>
      <c r="S613" s="29" t="n">
        <v>1</v>
      </c>
      <c r="T613" s="24" t="inlineStr">
        <is>
          <t>tennis-surface-elo-v1</t>
        </is>
      </c>
      <c r="U613" s="24" t="inlineStr">
        <is>
          <t>settled</t>
        </is>
      </c>
      <c r="V613" s="24" t="inlineStr">
        <is>
          <t>win</t>
        </is>
      </c>
      <c r="W613" s="26" t="n">
        <v>1</v>
      </c>
      <c r="X613" s="26" t="n">
        <v>0</v>
      </c>
      <c r="Y613" s="25" t="n"/>
      <c r="Z613" s="26" t="n">
        <v>-108</v>
      </c>
      <c r="AA613" s="28" t="n">
        <v>0.52</v>
      </c>
      <c r="AB613" s="28" t="n">
        <v>0.000769</v>
      </c>
      <c r="AC613" s="30" t="n">
        <v>0.9258999999999999</v>
      </c>
      <c r="AD613" s="24" t="inlineStr">
        <is>
          <t>2026-09-11T04:30:21.910084Z</t>
        </is>
      </c>
      <c r="AE613" s="31" t="inlineStr">
        <is>
          <t>Surface-blended Elo on Hard: Elena Rybakina p=0.578 vs Coco Gauff. Executable ask 0.5200 (aec-wta-cocgau-eleryb-2026-09-10).</t>
        </is>
      </c>
      <c r="AF613" s="31" t="inlineStr">
        <is>
          <t>Surface-blended Elo model; singles only, WTA+ATP market coverage, not yet locked-holdout qualified -- promoted by explicit operator directive, not genuine walk-forward validation.</t>
        </is>
      </c>
      <c r="AG613" s="24" t="inlineStr">
        <is>
          <t>not_applicable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Elena Rybakina</t>
        </is>
      </c>
      <c r="AQ613" s="24" t="inlineStr">
        <is>
          <t>Elena Rybakina</t>
        </is>
      </c>
      <c r="AR613" s="24" t="inlineStr">
        <is>
          <t>Elena Rybakina</t>
        </is>
      </c>
      <c r="AS613" s="24" t="inlineStr">
        <is>
          <t>Coco Gauff</t>
        </is>
      </c>
      <c r="AT613" s="24" t="inlineStr">
        <is>
          <t>Coco Gauff</t>
        </is>
      </c>
      <c r="AU613" s="24" t="inlineStr">
        <is>
          <t>Coco Gauff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6c67e999d2a03612e30f4032c8e5e77e8becfbc79e05f4c8993e726b90d34d54</t>
        </is>
      </c>
      <c r="BB613" s="24" t="inlineStr">
        <is>
          <t>surface_blended_elo</t>
        </is>
      </c>
      <c r="BC613" s="24" t="inlineStr">
        <is>
          <t>tennis-surface-elo-v1</t>
        </is>
      </c>
      <c r="BD613" s="24" t="inlineStr">
        <is>
          <t>6c67e999d2a03612e30f4032c8e5e77e8becfbc79e05f4c8993e726b90d34d54</t>
        </is>
      </c>
      <c r="BE613" s="24" t="inlineStr">
        <is>
          <t>tennis-surface-elo-v1</t>
        </is>
      </c>
      <c r="BF613" s="24" t="inlineStr">
        <is>
          <t>1</t>
        </is>
      </c>
      <c r="BG613" s="24" t="inlineStr">
        <is>
          <t>6c67e999d2a03612e30f4032c8e5e77e8becfbc79e05f4c8993e726b90d34d54</t>
        </is>
      </c>
      <c r="BH613" s="24" t="inlineStr">
        <is>
          <t>2026-09-10T22:03:47.800089Z</t>
        </is>
      </c>
      <c r="BI613" s="24" t="inlineStr">
        <is>
          <t>["same_event","same_team_same_day","same_league_same_day"]</t>
        </is>
      </c>
      <c r="BJ613" s="25" t="n"/>
      <c r="BK613" s="26" t="n">
        <v>-108</v>
      </c>
      <c r="BL613" s="27" t="n">
        <v>1.925926</v>
      </c>
      <c r="BM613" s="28" t="n">
        <v>0.519231</v>
      </c>
      <c r="BN613" s="28" t="n"/>
      <c r="BO613" s="28" t="n"/>
      <c r="BP613" s="25" t="n"/>
      <c r="BQ613" s="27" t="n">
        <v>1.925926</v>
      </c>
      <c r="BR613" s="28" t="n">
        <v>0.52</v>
      </c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inlineStr">
        <is>
          <t>bbb82d53e939435ba7171c2294465993083c4950164d3cf9fe56137b8403014c</t>
        </is>
      </c>
      <c r="DE613" s="24" t="inlineStr">
        <is>
          <t>/Users/vincentc9002/model-prediction/data/odds/tennis/2026-09-10/polymarket_snapshots.jsonl</t>
        </is>
      </c>
      <c r="DF613" s="24" t="inlineStr">
        <is>
          <t>776067:2026-09-10T22:03:47.800089Z</t>
        </is>
      </c>
      <c r="DG613" s="24" t="n"/>
      <c r="DH613" s="24" t="n"/>
      <c r="DI613" s="24" t="n"/>
      <c r="DJ613" s="24" t="inlineStr">
        <is>
          <t>0.519231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"6c67e999d2a03612e30f4032c8e5e77e8becfbc79e05f4c8993e726b90d34d54", "away_team": "Elena Rybakina", "event_id": "189-2026:182551", "event_start_utc": "2026-09-11T00:30Z", "features": {"elo_p1_surface": 2043.4, "elo_p2_surface": 1967.2, "expected_games_p1": 13.45, "expected_games_p2": 9.86, "expected_total_games": 23.31, "history_matches": 15929, "min_player_matches": 185,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[2013.1032683809258, 2027.850770509601], "players": ["Elena Rybakina", "Coco Gauff"], "sport": "TENNIS", "surface": "Hard", "surface_counts": [141, 124], "surface_ratings": [2043.4156286210805, 1967.1852369565322]}, "market_type": "moneyline", "model_version": "tennis-surface-elo-v1", "observed_at_utc": "2026-09-10T22:04:00.628565+00:00", "probabilities": {"away": 0.5779, "home": 0.4221}, "replay_scope": "Exact full-precision serving state and rounding; upstream historical observation times are not certified.", "schema": "coded-moneyline-replay-v1", "snapshot_hash": "26b7ed7528b2f08e58b16e115d0c19a3f2a9d27646543d9eb4d3b74b3f093422", "sport": "TENNIS"}</t>
        </is>
      </c>
    </row>
    <row r="614" ht="36" customHeight="1">
      <c r="A614" s="24" t="inlineStr">
        <is>
          <t>8239a2ce92244a67</t>
        </is>
      </c>
      <c r="B614" s="24" t="inlineStr">
        <is>
          <t>2026-09-10T22:04:01.715036Z</t>
        </is>
      </c>
      <c r="C614" s="24" t="inlineStr">
        <is>
          <t>2026-09-10T23:30Z</t>
        </is>
      </c>
      <c r="D614" s="24" t="inlineStr">
        <is>
          <t>964-2026:183643</t>
        </is>
      </c>
      <c r="E614" s="24" t="inlineStr">
        <is>
          <t>TENNIS</t>
        </is>
      </c>
      <c r="F614" s="24" t="inlineStr">
        <is>
          <t>Anna Blinkova</t>
        </is>
      </c>
      <c r="G614" s="24" t="inlineStr">
        <is>
          <t>Julia Riera</t>
        </is>
      </c>
      <c r="H614" s="24" t="inlineStr">
        <is>
          <t>moneyline</t>
        </is>
      </c>
      <c r="I614" s="24" t="inlineStr">
        <is>
          <t>away</t>
        </is>
      </c>
      <c r="J614" s="25" t="n"/>
      <c r="K614" s="24" t="inlineStr">
        <is>
          <t>polymarket_us</t>
        </is>
      </c>
      <c r="L614" s="26" t="n">
        <v>-203</v>
      </c>
      <c r="M614" s="27" t="n">
        <v>1.492611</v>
      </c>
      <c r="N614" s="28" t="n">
        <v>0.669967</v>
      </c>
      <c r="O614" s="28" t="n">
        <v>0.5753</v>
      </c>
      <c r="P614" s="28" t="n">
        <v>0.05</v>
      </c>
      <c r="Q614" s="28" t="n">
        <v>-0.094667</v>
      </c>
      <c r="R614" s="26" t="n">
        <v>0</v>
      </c>
      <c r="S614" s="29" t="n">
        <v>1</v>
      </c>
      <c r="T614" s="24" t="inlineStr">
        <is>
          <t>tennis-surface-elo-v1</t>
        </is>
      </c>
      <c r="U614" s="24" t="inlineStr">
        <is>
          <t>settled</t>
        </is>
      </c>
      <c r="V614" s="24" t="inlineStr">
        <is>
          <t>win</t>
        </is>
      </c>
      <c r="W614" s="26" t="n">
        <v>1</v>
      </c>
      <c r="X614" s="26" t="n">
        <v>0</v>
      </c>
      <c r="Y614" s="25" t="n"/>
      <c r="Z614" s="26" t="n">
        <v>-203</v>
      </c>
      <c r="AA614" s="28" t="n">
        <v>0.67</v>
      </c>
      <c r="AB614" s="28" t="n">
        <v>3.3e-05</v>
      </c>
      <c r="AC614" s="30" t="n">
        <v>0.4926</v>
      </c>
      <c r="AD614" s="24" t="inlineStr">
        <is>
          <t>2026-09-11T04:30:22.999383Z</t>
        </is>
      </c>
      <c r="AE614" s="31" t="inlineStr">
        <is>
          <t>Surface-blended Elo on Hard: Anna Blinkova p=0.575 vs Julia Riera. Executable ask 0.6700 (aec-wta-julrie-annbli-2026-09-11).</t>
        </is>
      </c>
      <c r="AF614" s="31" t="inlineStr">
        <is>
          <t>Surface-blended Elo model; singles only, WTA+ATP market coverage, not yet locked-holdout qualified -- promoted by explicit operator directive, not genuine walk-forward validation.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Anna Blinkova</t>
        </is>
      </c>
      <c r="AQ614" s="24" t="inlineStr">
        <is>
          <t>Anna Blinkova</t>
        </is>
      </c>
      <c r="AR614" s="24" t="inlineStr">
        <is>
          <t>Anna Blinkova</t>
        </is>
      </c>
      <c r="AS614" s="24" t="inlineStr">
        <is>
          <t>Julia Riera</t>
        </is>
      </c>
      <c r="AT614" s="24" t="inlineStr">
        <is>
          <t>Julia Riera</t>
        </is>
      </c>
      <c r="AU614" s="24" t="inlineStr">
        <is>
          <t>Julia Riera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6c67e999d2a03612e30f4032c8e5e77e8becfbc79e05f4c8993e726b90d34d54</t>
        </is>
      </c>
      <c r="BB614" s="24" t="inlineStr">
        <is>
          <t>surface_blended_elo</t>
        </is>
      </c>
      <c r="BC614" s="24" t="inlineStr">
        <is>
          <t>tennis-surface-elo-v1</t>
        </is>
      </c>
      <c r="BD614" s="24" t="inlineStr">
        <is>
          <t>6c67e999d2a03612e30f4032c8e5e77e8becfbc79e05f4c8993e726b90d34d54</t>
        </is>
      </c>
      <c r="BE614" s="24" t="inlineStr">
        <is>
          <t>tennis-surface-elo-v1</t>
        </is>
      </c>
      <c r="BF614" s="24" t="inlineStr">
        <is>
          <t>1</t>
        </is>
      </c>
      <c r="BG614" s="24" t="inlineStr">
        <is>
          <t>6c67e999d2a03612e30f4032c8e5e77e8becfbc79e05f4c8993e726b90d34d54</t>
        </is>
      </c>
      <c r="BH614" s="24" t="inlineStr">
        <is>
          <t>2026-09-10T22:03:47.840367Z</t>
        </is>
      </c>
      <c r="BI614" s="24" t="inlineStr">
        <is>
          <t>["same_event","same_team_same_day","same_league_same_day"]</t>
        </is>
      </c>
      <c r="BJ614" s="25" t="n"/>
      <c r="BK614" s="26" t="n">
        <v>-203</v>
      </c>
      <c r="BL614" s="27" t="n">
        <v>1.492611</v>
      </c>
      <c r="BM614" s="28" t="n">
        <v>0.669967</v>
      </c>
      <c r="BN614" s="28" t="n"/>
      <c r="BO614" s="28" t="n"/>
      <c r="BP614" s="25" t="n"/>
      <c r="BQ614" s="27" t="n">
        <v>1.492611</v>
      </c>
      <c r="BR614" s="28" t="n">
        <v>0.67</v>
      </c>
      <c r="BS614" s="28" t="n"/>
      <c r="BT614" s="28" t="n"/>
      <c r="BU614" s="25" t="n"/>
      <c r="BV614" s="29" t="n"/>
      <c r="BW614" s="24" t="n"/>
      <c r="BX614" s="30" t="n">
        <v>1</v>
      </c>
      <c r="BY614" s="27" t="n">
        <v>0.492611</v>
      </c>
      <c r="BZ614" s="24" t="inlineStr">
        <is>
          <t>2026-09-11T04:30:22.999383Z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inlineStr">
        <is>
          <t>fa5b2b3bbbbe10faea1846455e7202f54096867cfc5aba76465fa58b7f64e01d</t>
        </is>
      </c>
      <c r="DE614" s="24" t="inlineStr">
        <is>
          <t>/Users/vincentc9002/model-prediction/data/odds/tennis/2026-09-10/polymarket_snapshots.jsonl</t>
        </is>
      </c>
      <c r="DF614" s="24" t="inlineStr">
        <is>
          <t>778621:2026-09-10T22:03:47.840367Z</t>
        </is>
      </c>
      <c r="DG614" s="24" t="n"/>
      <c r="DH614" s="24" t="n"/>
      <c r="DI614" s="24" t="n"/>
      <c r="DJ614" s="24" t="inlineStr">
        <is>
          <t>0.669967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"6c67e999d2a03612e30f4032c8e5e77e8becfbc79e05f4c8993e726b90d34d54", "away_team": "Anna Blinkova", "event_id": "964-2026:183643", "event_start_utc": "2026-09-10T23:30Z", "features": {"elo_p1_surface": 1585.4, "elo_p2_surface": 1528.4, "expected_games_p1": 13.37, "expected_games_p2": 10.53, "expected_total_games": 23.9, "history_matches": 15929, "min_player_matches": 97, "surface": "Hard"}, "historical_source_observation_times_verified": false, "home_team": "Julia Riera", "inference_inputs": {"code_sha256": {"features/elo_ratings.py": "8525faf022a6343c452286dbfeb17dbb043744c6bdabbe448b6b371216da439b", "models/tennis.py": "6c67e999d2a03612e30f4032c8e5e77e8becfbc79e05f4c8993e726b90d34d54"}, "overall_ratings": [1592.768370064525, 1549.5793005522032], "players": ["Anna Blinkova", "Julia Riera"], "sport": "TENNIS", "surface": "Hard", "surface_counts": [125, 78], "surface_ratings": [1585.399557786971, 1528.403152682584]}, "market_type": "moneyline", "model_version": "tennis-surface-elo-v1", "observed_at_utc": "2026-09-10T22:04:00.628565+00:00", "probabilities": {"away": 0.5753, "home": 0.4247}, "replay_scope": "Exact full-precision serving state and rounding; upstream historical observation times are not certified.", "schema": "coded-moneyline-replay-v1", "snapshot_hash": "17c9a1484c46d5e3cbb1439ba077da7b3c80dc9240bcd61e5196cedbb9c0b7e1", "sport": "TENNIS"}</t>
        </is>
      </c>
    </row>
    <row r="615" ht="36" customHeight="1">
      <c r="A615" s="24" t="inlineStr">
        <is>
          <t>a5bfbd902d464d36</t>
        </is>
      </c>
      <c r="B615" s="24" t="inlineStr">
        <is>
          <t>2026-09-11T04:33:30.097079Z</t>
        </is>
      </c>
      <c r="C615" s="24" t="inlineStr">
        <is>
          <t>2026-09-11T10:00Z</t>
        </is>
      </c>
      <c r="D615" s="24" t="inlineStr">
        <is>
          <t>998-2026:183602</t>
        </is>
      </c>
      <c r="E615" s="24" t="inlineStr">
        <is>
          <t>TENNIS</t>
        </is>
      </c>
      <c r="F615" s="24" t="inlineStr">
        <is>
          <t>Noma Noha Akugue</t>
        </is>
      </c>
      <c r="G615" s="24" t="inlineStr">
        <is>
          <t>Anastasiia Sobolieva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polymarket_us</t>
        </is>
      </c>
      <c r="L615" s="26" t="n">
        <v>138</v>
      </c>
      <c r="M615" s="27" t="n">
        <v>2.38</v>
      </c>
      <c r="N615" s="28" t="n">
        <v>0.420168</v>
      </c>
      <c r="O615" s="28" t="n">
        <v>0.5619</v>
      </c>
      <c r="P615" s="28" t="n">
        <v>0.05</v>
      </c>
      <c r="Q615" s="28" t="n">
        <v>0.141732</v>
      </c>
      <c r="R615" s="26" t="n">
        <v>91</v>
      </c>
      <c r="S615" s="29" t="n">
        <v>1.5</v>
      </c>
      <c r="T615" s="24" t="inlineStr">
        <is>
          <t>tennis-surface-elo-v1</t>
        </is>
      </c>
      <c r="U615" s="24" t="inlineStr">
        <is>
          <t>settled</t>
        </is>
      </c>
      <c r="V615" s="24" t="inlineStr">
        <is>
          <t>win</t>
        </is>
      </c>
      <c r="W615" s="26" t="n">
        <v>1</v>
      </c>
      <c r="X615" s="26" t="n">
        <v>0</v>
      </c>
      <c r="Y615" s="25" t="n"/>
      <c r="Z615" s="26" t="n">
        <v>138</v>
      </c>
      <c r="AA615" s="28" t="n">
        <v>0.42</v>
      </c>
      <c r="AB615" s="28" t="n">
        <v>-0.000168</v>
      </c>
      <c r="AC615" s="30" t="n">
        <v>2.07</v>
      </c>
      <c r="AD615" s="24" t="inlineStr">
        <is>
          <t>2026-09-11T16:00:14.103122Z</t>
        </is>
      </c>
      <c r="AE615" s="31" t="inlineStr">
        <is>
          <t>Surface-blended Elo on Hard: Noma Noha Akugue p=0.562 vs Anastasiia Sobolieva. Executable ask 0.4200 (aec-wta-anasob-nomaku-2026-09-11).</t>
        </is>
      </c>
      <c r="AF615" s="31" t="inlineStr">
        <is>
          <t>Surface-blended Elo model; singles only, WTA+ATP market coverage, not yet locked-holdout qualified -- promoted by explicit operator directive, not genuine walk-forward validation.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model_qualified</t>
        </is>
      </c>
      <c r="AL615" s="26" t="n">
        <v>4</v>
      </c>
      <c r="AM615" s="24" t="inlineStr">
        <is>
          <t>QUALIFIED_SHADOW_CALL</t>
        </is>
      </c>
      <c r="AN615" s="24" t="inlineStr">
        <is>
          <t>CALL</t>
        </is>
      </c>
      <c r="AO615" s="24" t="inlineStr">
        <is>
          <t>QUALIFIED</t>
        </is>
      </c>
      <c r="AP615" s="24" t="inlineStr">
        <is>
          <t>Noma Noha Akugue</t>
        </is>
      </c>
      <c r="AQ615" s="24" t="inlineStr">
        <is>
          <t>Noma Noha Akugue</t>
        </is>
      </c>
      <c r="AR615" s="24" t="inlineStr">
        <is>
          <t>Noma Noha Akugue</t>
        </is>
      </c>
      <c r="AS615" s="24" t="inlineStr">
        <is>
          <t>Anastasiia Sobolieva</t>
        </is>
      </c>
      <c r="AT615" s="24" t="inlineStr">
        <is>
          <t>Anastasiia Sobolieva</t>
        </is>
      </c>
      <c r="AU615" s="24" t="inlineStr">
        <is>
          <t>Anastasiia Sobolieva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6c67e999d2a03612e30f4032c8e5e77e8becfbc79e05f4c8993e726b90d34d54</t>
        </is>
      </c>
      <c r="BB615" s="24" t="inlineStr">
        <is>
          <t>surface_blended_elo</t>
        </is>
      </c>
      <c r="BC615" s="24" t="inlineStr">
        <is>
          <t>tennis-surface-elo-v1</t>
        </is>
      </c>
      <c r="BD615" s="24" t="inlineStr">
        <is>
          <t>6c67e999d2a03612e30f4032c8e5e77e8becfbc79e05f4c8993e726b90d34d54</t>
        </is>
      </c>
      <c r="BE615" s="24" t="inlineStr">
        <is>
          <t>tennis-surface-elo-v1</t>
        </is>
      </c>
      <c r="BF615" s="24" t="inlineStr">
        <is>
          <t>1</t>
        </is>
      </c>
      <c r="BG615" s="24" t="inlineStr">
        <is>
          <t>6c67e999d2a03612e30f4032c8e5e77e8becfbc79e05f4c8993e726b90d34d54</t>
        </is>
      </c>
      <c r="BH615" s="24" t="inlineStr">
        <is>
          <t>2026-09-11T04:32:47.251878Z</t>
        </is>
      </c>
      <c r="BI615" s="24" t="inlineStr">
        <is>
          <t>["same_event","same_team_same_day","same_league_same_day"]</t>
        </is>
      </c>
      <c r="BJ615" s="25" t="n"/>
      <c r="BK615" s="26" t="n">
        <v>138</v>
      </c>
      <c r="BL615" s="27" t="n">
        <v>2.38</v>
      </c>
      <c r="BM615" s="28" t="n">
        <v>0.420168</v>
      </c>
      <c r="BN615" s="28" t="n"/>
      <c r="BO615" s="28" t="n"/>
      <c r="BP615" s="25" t="n"/>
      <c r="BQ615" s="27" t="n">
        <v>2.38</v>
      </c>
      <c r="BR615" s="28" t="n">
        <v>0.42</v>
      </c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inlineStr">
        <is>
          <t>3efe9110e079e3480fb70d51a8d1b052e5c3e11d05966d1b0c0d0ba3301b9efd</t>
        </is>
      </c>
      <c r="DE615" s="24" t="inlineStr">
        <is>
          <t>/Users/vincentc9002/model-prediction/data/odds/tennis/2026-09-11/polymarket_snapshots.jsonl</t>
        </is>
      </c>
      <c r="DF615" s="24" t="inlineStr">
        <is>
          <t>773342:2026-09-11T04:32:47.251878Z</t>
        </is>
      </c>
      <c r="DG615" s="24" t="n"/>
      <c r="DH615" s="24" t="n"/>
      <c r="DI615" s="24" t="n"/>
      <c r="DJ615" s="24" t="inlineStr">
        <is>
          <t>0.420168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"6c67e999d2a03612e30f4032c8e5e77e8becfbc79e05f4c8993e726b90d34d54", "away_team": "Noma Noha Akugue", "event_id": "998-2026:183602", "event_start_utc": "2026-09-11T10:00Z", "features": {"elo_p1_surface": 1498.9, "elo_p2_surface": 1433.6, "expected_games_p1": 13.41, "expected_games_p2": 10.25, "expected_total_games": 23.66, "history_matches": 15943, "min_player_matches": 53, "surface": "Hard"}, "historical_source_observation_times_verified": false, "home_team": "Anastasiia Sobolieva", "inference_inputs": {"code_sha256": {"features/elo_ratings.py": "8525faf022a6343c452286dbfeb17dbb043744c6bdabbe448b6b371216da439b", "models/tennis.py": "6c67e999d2a03612e30f4032c8e5e77e8becfbc79e05f4c8993e726b90d34d54"}, "overall_ratings": [1504.1497329336, 1494.5789763187586], "players": ["Noma Noha Akugue", "Anastasiia Sobolieva"], "sport": "TENNIS", "surface": "Hard", "surface_counts": [58, 38], "surface_ratings": [1498.9233949628147, 1433.6048125862403]}, "market_type": "moneyline", "model_version": "tennis-surface-elo-v1", "observed_at_utc": "2026-09-11T04:33:29.348049+00:00", "probabilities": {"away": 0.5619, "home": 0.4381}, "replay_scope": "Exact full-precision serving state and rounding; upstream historical observation times are not certified.", "schema": "coded-moneyline-replay-v1", "snapshot_hash": "9dd11d7e41da42a0ebd99480523649fefe5105d275f7e48a8338c29ba5deb5b7", "sport": "TENNIS"}</t>
        </is>
      </c>
    </row>
    <row r="616" ht="36" customHeight="1">
      <c r="A616" s="24" t="inlineStr">
        <is>
          <t>c31e32cc3b3e44b2</t>
        </is>
      </c>
      <c r="B616" s="24" t="inlineStr">
        <is>
          <t>2026-09-11T10:03:25.639391Z</t>
        </is>
      </c>
      <c r="C616" s="24" t="inlineStr">
        <is>
          <t>2026-09-11T12:30Z</t>
        </is>
      </c>
      <c r="D616" s="24" t="inlineStr">
        <is>
          <t>998-2026:183603</t>
        </is>
      </c>
      <c r="E616" s="24" t="inlineStr">
        <is>
          <t>TENNIS</t>
        </is>
      </c>
      <c r="F616" s="24" t="inlineStr">
        <is>
          <t>Lucie Havlickova</t>
        </is>
      </c>
      <c r="G616" s="24" t="inlineStr">
        <is>
          <t>Fiona Ferro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polymarket_us</t>
        </is>
      </c>
      <c r="L616" s="26" t="n">
        <v>-203</v>
      </c>
      <c r="M616" s="27" t="n">
        <v>1.492611</v>
      </c>
      <c r="N616" s="28" t="n">
        <v>0.669967</v>
      </c>
      <c r="O616" s="28" t="n">
        <v>0.5867</v>
      </c>
      <c r="P616" s="28" t="n">
        <v>0.05</v>
      </c>
      <c r="Q616" s="28" t="n">
        <v>-0.08326699999999999</v>
      </c>
      <c r="R616" s="26" t="n">
        <v>0</v>
      </c>
      <c r="S616" s="29" t="n">
        <v>1</v>
      </c>
      <c r="T616" s="24" t="inlineStr">
        <is>
          <t>tennis-surface-elo-v1</t>
        </is>
      </c>
      <c r="U616" s="24" t="inlineStr">
        <is>
          <t>settled</t>
        </is>
      </c>
      <c r="V616" s="24" t="inlineStr">
        <is>
          <t>win</t>
        </is>
      </c>
      <c r="W616" s="26" t="n">
        <v>0</v>
      </c>
      <c r="X616" s="26" t="n">
        <v>1</v>
      </c>
      <c r="Y616" s="25" t="n"/>
      <c r="Z616" s="26" t="n">
        <v>-203</v>
      </c>
      <c r="AA616" s="28" t="n">
        <v>0.67</v>
      </c>
      <c r="AB616" s="28" t="n">
        <v>3.3e-05</v>
      </c>
      <c r="AC616" s="30" t="n">
        <v>0.4926</v>
      </c>
      <c r="AD616" s="24" t="inlineStr">
        <is>
          <t>2026-09-11T16:00:15.296636Z</t>
        </is>
      </c>
      <c r="AE616" s="31" t="inlineStr">
        <is>
          <t>Surface-blended Elo on Hard: Lucie Havlickova p=0.413 vs Fiona Ferro. Executable ask 0.6700 (aec-wta-fiofer-luchav-2026-09-11).</t>
        </is>
      </c>
      <c r="AF616" s="31" t="inlineStr">
        <is>
          <t>Surface-blended Elo model; singles only, WTA+ATP market coverage, not yet locked-holdout qualified -- promoted by explicit operator directive, not genuine walk-forward validation.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PAPER_CALL_LOW_EDGE</t>
        </is>
      </c>
      <c r="AP616" s="24" t="inlineStr">
        <is>
          <t>Lucie Havlickova</t>
        </is>
      </c>
      <c r="AQ616" s="24" t="inlineStr">
        <is>
          <t>Lucie Havlickova</t>
        </is>
      </c>
      <c r="AR616" s="24" t="inlineStr">
        <is>
          <t>Lucie Havlickova</t>
        </is>
      </c>
      <c r="AS616" s="24" t="inlineStr">
        <is>
          <t>Fiona Ferro</t>
        </is>
      </c>
      <c r="AT616" s="24" t="inlineStr">
        <is>
          <t>Fiona Ferro</t>
        </is>
      </c>
      <c r="AU616" s="24" t="inlineStr">
        <is>
          <t>Fiona Ferro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6c67e999d2a03612e30f4032c8e5e77e8becfbc79e05f4c8993e726b90d34d54</t>
        </is>
      </c>
      <c r="BB616" s="24" t="inlineStr">
        <is>
          <t>surface_blended_elo</t>
        </is>
      </c>
      <c r="BC616" s="24" t="inlineStr">
        <is>
          <t>tennis-surface-elo-v1</t>
        </is>
      </c>
      <c r="BD616" s="24" t="inlineStr">
        <is>
          <t>6c67e999d2a03612e30f4032c8e5e77e8becfbc79e05f4c8993e726b90d34d54</t>
        </is>
      </c>
      <c r="BE616" s="24" t="inlineStr">
        <is>
          <t>tennis-surface-elo-v1</t>
        </is>
      </c>
      <c r="BF616" s="24" t="inlineStr">
        <is>
          <t>1</t>
        </is>
      </c>
      <c r="BG616" s="24" t="inlineStr">
        <is>
          <t>6c67e999d2a03612e30f4032c8e5e77e8becfbc79e05f4c8993e726b90d34d54</t>
        </is>
      </c>
      <c r="BH616" s="24" t="inlineStr">
        <is>
          <t>2026-09-11T04:32:49.123977Z</t>
        </is>
      </c>
      <c r="BI616" s="24" t="inlineStr">
        <is>
          <t>["same_event","same_team_same_day","same_league_same_day"]</t>
        </is>
      </c>
      <c r="BJ616" s="25" t="n"/>
      <c r="BK616" s="26" t="n">
        <v>-203</v>
      </c>
      <c r="BL616" s="27" t="n">
        <v>1.492611</v>
      </c>
      <c r="BM616" s="28" t="n">
        <v>0.669967</v>
      </c>
      <c r="BN616" s="28" t="n"/>
      <c r="BO616" s="28" t="n"/>
      <c r="BP616" s="25" t="n"/>
      <c r="BQ616" s="27" t="n">
        <v>1.492611</v>
      </c>
      <c r="BR616" s="28" t="n">
        <v>0.67</v>
      </c>
      <c r="BS616" s="28" t="n"/>
      <c r="BT616" s="28" t="n"/>
      <c r="BU616" s="25" t="n"/>
      <c r="BV616" s="29" t="n"/>
      <c r="BW616" s="24" t="n"/>
      <c r="BX616" s="30" t="n">
        <v>1</v>
      </c>
      <c r="BY616" s="27" t="n">
        <v>0.492611</v>
      </c>
      <c r="BZ616" s="24" t="inlineStr">
        <is>
          <t>2026-09-11T16:00:15.296636Z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inlineStr">
        <is>
          <t>666779079f06c789313e7727bb50d191faa30eeb58cfc51646794bda687e71d2</t>
        </is>
      </c>
      <c r="DE616" s="24" t="inlineStr">
        <is>
          <t>/Users/vincentc9002/model-prediction/data/odds/tennis/2026-09-11/polymarket_snapshots.jsonl</t>
        </is>
      </c>
      <c r="DF616" s="24" t="inlineStr">
        <is>
          <t>780725:2026-09-11T04:32:49.123977Z</t>
        </is>
      </c>
      <c r="DG616" s="24" t="n"/>
      <c r="DH616" s="24" t="n"/>
      <c r="DI616" s="24" t="n"/>
      <c r="DJ616" s="24" t="inlineStr">
        <is>
          <t>0.669967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"6c67e999d2a03612e30f4032c8e5e77e8becfbc79e05f4c8993e726b90d34d54", "away_team": "Lucie Havlickova", "event_id": "998-2026:183603", "event_start_utc": "2026-09-11T12:30Z", "features": {"elo_p1_surface": 1566.9, "elo_p2_surface": 1629.9, "expected_games_p1": 10.75, "expected_games_p2": 13.19, "expected_total_games": 23.94, "history_matches": 15943, "min_player_matches": 19, "surface": "Hard"}, "historical_source_observation_times_verified": false, "home_team": "Fiona Ferro", "inference_inputs": {"code_sha256": {"features/elo_ratings.py": "8525faf022a6343c452286dbfeb17dbb043744c6bdabbe448b6b371216da439b", "models/tennis.py": "6c67e999d2a03612e30f4032c8e5e77e8becfbc79e05f4c8993e726b90d34d54"}, "overall_ratings": [1550.8060016776801, 1593.7847326078888], "players": ["Lucie Havlickova", "Fiona Ferro"], "sport": "TENNIS", "surface": "Hard", "surface_counts": [17, 68], "surface_ratings": [1566.9235222663192, 1629.9010816349978]}, "market_type": "moneyline", "model_version": "tennis-surface-elo-v1", "observed_at_utc": "2026-09-11T10:03:24.594878+00:00", "probabilities": {"away": 0.4133, "home": 0.5867}, "replay_scope": "Exact full-precision serving state and rounding; upstream historical observation times are not certified.", "schema": "coded-moneyline-replay-v1", "snapshot_hash": "438b7b25e6e59dbca5cb2986cfa0d197e3cc3e43b0d4f648aaa1d7c67bd4fd21", "sport": "TENNIS"}</t>
        </is>
      </c>
    </row>
    <row r="617" ht="36" customHeight="1">
      <c r="A617" s="24" t="inlineStr">
        <is>
          <t>7d188b458bad43e1</t>
        </is>
      </c>
      <c r="B617" s="24" t="inlineStr">
        <is>
          <t>2026-09-11T10:03:25.639391Z</t>
        </is>
      </c>
      <c r="C617" s="24" t="inlineStr">
        <is>
          <t>2026-09-11T16:00Z</t>
        </is>
      </c>
      <c r="D617" s="24" t="inlineStr">
        <is>
          <t>998-2026:183600</t>
        </is>
      </c>
      <c r="E617" s="24" t="inlineStr">
        <is>
          <t>TENNIS</t>
        </is>
      </c>
      <c r="F617" s="24" t="inlineStr">
        <is>
          <t>Dalma Galfi</t>
        </is>
      </c>
      <c r="G617" s="24" t="inlineStr">
        <is>
          <t>Simona Waltert</t>
        </is>
      </c>
      <c r="H617" s="24" t="inlineStr">
        <is>
          <t>moneyline</t>
        </is>
      </c>
      <c r="I617" s="24" t="inlineStr">
        <is>
          <t>home</t>
        </is>
      </c>
      <c r="J617" s="25" t="n"/>
      <c r="K617" s="24" t="inlineStr">
        <is>
          <t>polymarket_us</t>
        </is>
      </c>
      <c r="L617" s="26" t="n">
        <v>-156</v>
      </c>
      <c r="M617" s="27" t="n">
        <v>1.641026</v>
      </c>
      <c r="N617" s="28" t="n">
        <v>0.609375</v>
      </c>
      <c r="O617" s="28" t="n">
        <v>0.6112</v>
      </c>
      <c r="P617" s="28" t="n">
        <v>0.05</v>
      </c>
      <c r="Q617" s="28" t="n">
        <v>0.001825</v>
      </c>
      <c r="R617" s="26" t="n">
        <v>21</v>
      </c>
      <c r="S617" s="29" t="n">
        <v>1</v>
      </c>
      <c r="T617" s="24" t="inlineStr">
        <is>
          <t>tennis-surface-elo-v1</t>
        </is>
      </c>
      <c r="U617" s="24" t="inlineStr">
        <is>
          <t>settled</t>
        </is>
      </c>
      <c r="V617" s="24" t="inlineStr">
        <is>
          <t>loss</t>
        </is>
      </c>
      <c r="W617" s="26" t="n">
        <v>1</v>
      </c>
      <c r="X617" s="26" t="n">
        <v>0</v>
      </c>
      <c r="Y617" s="25" t="n"/>
      <c r="Z617" s="26" t="n">
        <v>-156</v>
      </c>
      <c r="AA617" s="28" t="n">
        <v>0.61</v>
      </c>
      <c r="AB617" s="28" t="n">
        <v>0.000625</v>
      </c>
      <c r="AC617" s="30" t="n">
        <v>-1</v>
      </c>
      <c r="AD617" s="24" t="inlineStr">
        <is>
          <t>2026-09-11T22:00:13.610499Z</t>
        </is>
      </c>
      <c r="AE617" s="31" t="inlineStr">
        <is>
          <t>Surface-blended Elo on Hard: Dalma Galfi p=0.389 vs Simona Waltert. Executable ask 0.6100 (aec-wta-simwal-dalgal-2026-09-11).</t>
        </is>
      </c>
      <c r="AF617" s="31" t="inlineStr">
        <is>
          <t>Surface-blended Elo model; singles only, WTA+ATP market coverage, not yet locked-holdout qualified -- promoted by explicit operator directive, not genuine walk-forward validation.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PAPER_CALL_LOW_EDGE</t>
        </is>
      </c>
      <c r="AP617" s="24" t="inlineStr">
        <is>
          <t>Dalma Galfi</t>
        </is>
      </c>
      <c r="AQ617" s="24" t="inlineStr">
        <is>
          <t>Dalma Galfi</t>
        </is>
      </c>
      <c r="AR617" s="24" t="inlineStr">
        <is>
          <t>Dalma Galfi</t>
        </is>
      </c>
      <c r="AS617" s="24" t="inlineStr">
        <is>
          <t>Simona Waltert</t>
        </is>
      </c>
      <c r="AT617" s="24" t="inlineStr">
        <is>
          <t>Simona Waltert</t>
        </is>
      </c>
      <c r="AU617" s="24" t="inlineStr">
        <is>
          <t>Simona Waltert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6c67e999d2a03612e30f4032c8e5e77e8becfbc79e05f4c8993e726b90d34d54</t>
        </is>
      </c>
      <c r="BB617" s="24" t="inlineStr">
        <is>
          <t>surface_blended_elo</t>
        </is>
      </c>
      <c r="BC617" s="24" t="inlineStr">
        <is>
          <t>tennis-surface-elo-v1</t>
        </is>
      </c>
      <c r="BD617" s="24" t="inlineStr">
        <is>
          <t>6c67e999d2a03612e30f4032c8e5e77e8becfbc79e05f4c8993e726b90d34d54</t>
        </is>
      </c>
      <c r="BE617" s="24" t="inlineStr">
        <is>
          <t>tennis-surface-elo-v1</t>
        </is>
      </c>
      <c r="BF617" s="24" t="inlineStr">
        <is>
          <t>1</t>
        </is>
      </c>
      <c r="BG617" s="24" t="inlineStr">
        <is>
          <t>6c67e999d2a03612e30f4032c8e5e77e8becfbc79e05f4c8993e726b90d34d54</t>
        </is>
      </c>
      <c r="BH617" s="24" t="inlineStr">
        <is>
          <t>2026-09-11T04:32:47.296126Z</t>
        </is>
      </c>
      <c r="BI617" s="24" t="inlineStr">
        <is>
          <t>["same_event","same_team_same_day","same_league_same_day"]</t>
        </is>
      </c>
      <c r="BJ617" s="25" t="n"/>
      <c r="BK617" s="26" t="n">
        <v>-156</v>
      </c>
      <c r="BL617" s="27" t="n">
        <v>1.641026</v>
      </c>
      <c r="BM617" s="28" t="n">
        <v>0.609375</v>
      </c>
      <c r="BN617" s="28" t="n"/>
      <c r="BO617" s="28" t="n"/>
      <c r="BP617" s="25" t="n"/>
      <c r="BQ617" s="27" t="n">
        <v>1.641026</v>
      </c>
      <c r="BR617" s="28" t="n">
        <v>0.61</v>
      </c>
      <c r="BS617" s="28" t="n"/>
      <c r="BT617" s="28" t="n"/>
      <c r="BU617" s="25" t="n"/>
      <c r="BV617" s="29" t="n"/>
      <c r="BW617" s="24" t="n"/>
      <c r="BX617" s="30" t="n">
        <v>1</v>
      </c>
      <c r="BY617" s="27" t="n">
        <v>-1</v>
      </c>
      <c r="BZ617" s="24" t="inlineStr">
        <is>
          <t>2026-09-11T22:00:13.610499Z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inlineStr">
        <is>
          <t>644b62df9d310487c2b06730e575744f1f4b3f02ddfb744d8adadc4855630181</t>
        </is>
      </c>
      <c r="DE617" s="24" t="inlineStr">
        <is>
          <t>/Users/vincentc9002/model-prediction/data/odds/tennis/2026-09-11/polymarket_snapshots.jsonl</t>
        </is>
      </c>
      <c r="DF617" s="24" t="inlineStr">
        <is>
          <t>784175:2026-09-11T04:32:47.296126Z</t>
        </is>
      </c>
      <c r="DG617" s="24" t="n"/>
      <c r="DH617" s="24" t="n"/>
      <c r="DI617" s="24" t="n"/>
      <c r="DJ617" s="24" t="inlineStr">
        <is>
          <t>0.609375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"6c67e999d2a03612e30f4032c8e5e77e8becfbc79e05f4c8993e726b90d34d54", "away_team": "Dalma Galfi", "event_id": "998-2026:183600", "event_start_utc": "2026-09-11T16:00Z", "features": {"elo_p1_surface": 1520.6, "elo_p2_surface": 1605.4, "expected_games_p1": 10.0, "expected_games_p2": 13.28, "expected_total_games": 23.28, "history_matches": 15943, "min_player_matches": 134, "surface": "Hard"}, "historical_source_observation_times_verified": false, "home_team": "Simona Waltert", "inference_inputs": {"code_sha256": {"features/elo_ratings.py": "8525faf022a6343c452286dbfeb17dbb043744c6bdabbe448b6b371216da439b", "models/tennis.py": "6c67e999d2a03612e30f4032c8e5e77e8becfbc79e05f4c8993e726b90d34d54"}, "overall_ratings": [1537.9008342276231, 1598.3265731319943], "players": ["Dalma Galfi", "Simona Waltert"], "sport": "TENNIS", "surface": "Hard", "surface_counts": [103, 108], "surface_ratings": [1520.5793491156305, 1605.390139497699]}, "market_type": "moneyline", "model_version": "tennis-surface-elo-v1", "observed_at_utc": "2026-09-11T10:03:24.594878+00:00", "probabilities": {"away": 0.3888, "home": 0.6112}, "replay_scope": "Exact full-precision serving state and rounding; upstream historical observation times are not certified.", "schema": "coded-moneyline-replay-v1", "snapshot_hash": "3d5a143f7b12b1e5cf393a314047a3ca1f36b69b97dff9081721cbdffd6ed8a7", "sport": "TENNIS"}</t>
        </is>
      </c>
    </row>
    <row r="618" ht="36" customHeight="1">
      <c r="A618" s="24" t="inlineStr">
        <is>
          <t>a7aac187e0c845ef</t>
        </is>
      </c>
      <c r="B618" s="24" t="inlineStr">
        <is>
          <t>2026-09-11T10:03:25.639391Z</t>
        </is>
      </c>
      <c r="C618" s="24" t="inlineStr">
        <is>
          <t>2026-09-11T11:00Z</t>
        </is>
      </c>
      <c r="D618" s="24" t="inlineStr">
        <is>
          <t>1076-2026:183556</t>
        </is>
      </c>
      <c r="E618" s="24" t="inlineStr">
        <is>
          <t>TENNIS</t>
        </is>
      </c>
      <c r="F618" s="24" t="inlineStr">
        <is>
          <t>Maria Lourdes Carle</t>
        </is>
      </c>
      <c r="G618" s="24" t="inlineStr">
        <is>
          <t>Rositsa Dencheva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polymarket_us</t>
        </is>
      </c>
      <c r="L618" s="26" t="n">
        <v>-150</v>
      </c>
      <c r="M618" s="27" t="n">
        <v>1.666667</v>
      </c>
      <c r="N618" s="28" t="n">
        <v>0.6</v>
      </c>
      <c r="O618" s="28" t="n">
        <v>0.582</v>
      </c>
      <c r="P618" s="28" t="n">
        <v>0.05</v>
      </c>
      <c r="Q618" s="28" t="n">
        <v>-0.018</v>
      </c>
      <c r="R618" s="26" t="n">
        <v>11</v>
      </c>
      <c r="S618" s="29" t="n">
        <v>1</v>
      </c>
      <c r="T618" s="24" t="inlineStr">
        <is>
          <t>tennis-surface-elo-v1</t>
        </is>
      </c>
      <c r="U618" s="24" t="inlineStr">
        <is>
          <t>settled</t>
        </is>
      </c>
      <c r="V618" s="24" t="inlineStr">
        <is>
          <t>win</t>
        </is>
      </c>
      <c r="W618" s="26" t="n">
        <v>0</v>
      </c>
      <c r="X618" s="26" t="n">
        <v>1</v>
      </c>
      <c r="Y618" s="25" t="n"/>
      <c r="Z618" s="26" t="n">
        <v>-150</v>
      </c>
      <c r="AA618" s="28" t="n">
        <v>0.6</v>
      </c>
      <c r="AB618" s="28" t="n">
        <v>0</v>
      </c>
      <c r="AC618" s="30" t="n">
        <v>0.6667</v>
      </c>
      <c r="AD618" s="24" t="inlineStr">
        <is>
          <t>2026-09-11T16:00:16.372813Z</t>
        </is>
      </c>
      <c r="AE618" s="31" t="inlineStr">
        <is>
          <t>Surface-blended Elo on Hard: Maria Lourdes Carle p=0.418 vs Rositsa Dencheva. Executable ask 0.6000 (aec-wta-rosden-marcar-2026-09-11).</t>
        </is>
      </c>
      <c r="AF618" s="31" t="inlineStr">
        <is>
          <t>Surface-blended Elo model; singles only, WTA+ATP market coverage, not yet locked-holdout qualified -- promoted by explicit operator directive, not genuine walk-forward validation.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Maria Lourdes Carle</t>
        </is>
      </c>
      <c r="AQ618" s="24" t="inlineStr">
        <is>
          <t>Maria Lourdes Carle</t>
        </is>
      </c>
      <c r="AR618" s="24" t="inlineStr">
        <is>
          <t>Maria Lourdes Carle</t>
        </is>
      </c>
      <c r="AS618" s="24" t="inlineStr">
        <is>
          <t>Rositsa Dencheva</t>
        </is>
      </c>
      <c r="AT618" s="24" t="inlineStr">
        <is>
          <t>Rositsa Dencheva</t>
        </is>
      </c>
      <c r="AU618" s="24" t="inlineStr">
        <is>
          <t>Rositsa Dencheva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6c67e999d2a03612e30f4032c8e5e77e8becfbc79e05f4c8993e726b90d34d54</t>
        </is>
      </c>
      <c r="BB618" s="24" t="inlineStr">
        <is>
          <t>surface_blended_elo</t>
        </is>
      </c>
      <c r="BC618" s="24" t="inlineStr">
        <is>
          <t>tennis-surface-elo-v1</t>
        </is>
      </c>
      <c r="BD618" s="24" t="inlineStr">
        <is>
          <t>6c67e999d2a03612e30f4032c8e5e77e8becfbc79e05f4c8993e726b90d34d54</t>
        </is>
      </c>
      <c r="BE618" s="24" t="inlineStr">
        <is>
          <t>tennis-surface-elo-v1</t>
        </is>
      </c>
      <c r="BF618" s="24" t="inlineStr">
        <is>
          <t>1</t>
        </is>
      </c>
      <c r="BG618" s="24" t="inlineStr">
        <is>
          <t>6c67e999d2a03612e30f4032c8e5e77e8becfbc79e05f4c8993e726b90d34d54</t>
        </is>
      </c>
      <c r="BH618" s="24" t="inlineStr">
        <is>
          <t>2026-09-11T04:32:47.263740Z</t>
        </is>
      </c>
      <c r="BI618" s="24" t="inlineStr">
        <is>
          <t>["same_event","same_team_same_day","same_league_same_day"]</t>
        </is>
      </c>
      <c r="BJ618" s="25" t="n"/>
      <c r="BK618" s="26" t="n">
        <v>-150</v>
      </c>
      <c r="BL618" s="27" t="n">
        <v>1.666667</v>
      </c>
      <c r="BM618" s="28" t="n">
        <v>0.6</v>
      </c>
      <c r="BN618" s="28" t="n"/>
      <c r="BO618" s="28" t="n"/>
      <c r="BP618" s="25" t="n"/>
      <c r="BQ618" s="27" t="n">
        <v>1.666667</v>
      </c>
      <c r="BR618" s="28" t="n">
        <v>0.6</v>
      </c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0.666667</v>
      </c>
      <c r="BZ618" s="24" t="inlineStr">
        <is>
          <t>2026-09-11T16:00:16.372813Z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inlineStr">
        <is>
          <t>d30c9e012ec1921393f3c2a196981eac12b54be97731b0c39234cd23989bd819</t>
        </is>
      </c>
      <c r="DE618" s="24" t="inlineStr">
        <is>
          <t>/Users/vincentc9002/model-prediction/data/odds/tennis/2026-09-11/polymarket_snapshots.jsonl</t>
        </is>
      </c>
      <c r="DF618" s="24" t="inlineStr">
        <is>
          <t>780879:2026-09-11T04:32:47.263740Z</t>
        </is>
      </c>
      <c r="DG618" s="24" t="n"/>
      <c r="DH618" s="24" t="n"/>
      <c r="DI618" s="24" t="n"/>
      <c r="DJ618" s="24" t="inlineStr">
        <is>
          <t>0.6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"6c67e999d2a03612e30f4032c8e5e77e8becfbc79e05f4c8993e726b90d34d54", "away_team": "Maria Lourdes Carle", "event_id": "1076-2026:183556", "event_start_utc": "2026-09-11T11:00Z", "features": {"elo_p1_surface": 1492.4, "elo_p2_surface": 1565.6, "expected_games_p1": 10.4, "expected_games_p2": 13.25, "expected_total_games": 23.65, "history_matches": 15943, "min_player_matches": 4,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[1551.279446246409, 1564.9864565267167], "players": ["Maria Lourdes Carle", "Rositsa Dencheva"], "sport": "TENNIS", "surface": "Hard", "surface_counts": [103, 4], "surface_ratings": [1492.422538229228, 1565.6305975542034]}, "market_type": "moneyline", "model_version": "tennis-surface-elo-v1", "observed_at_utc": "2026-09-11T10:03:24.594878+00:00", "probabilities": {"away": 0.418, "home": 0.582}, "replay_scope": "Exact full-precision serving state and rounding; upstream historical observation times are not certified.", "schema": "coded-moneyline-replay-v1", "snapshot_hash": "bdf97174f6ec67a221e3bb1098cfde7932c44e520c0b3e86b5a67f25af7e1536", "sport": "TENNIS"}</t>
        </is>
      </c>
    </row>
    <row r="619" ht="36" customHeight="1">
      <c r="A619" s="24" t="inlineStr">
        <is>
          <t>a55271f1beea4b87</t>
        </is>
      </c>
      <c r="B619" s="24" t="inlineStr">
        <is>
          <t>2026-09-11T10:03:25.639391Z</t>
        </is>
      </c>
      <c r="C619" s="24" t="inlineStr">
        <is>
          <t>2026-09-11T11:00Z</t>
        </is>
      </c>
      <c r="D619" s="24" t="inlineStr">
        <is>
          <t>1076-2026:183555</t>
        </is>
      </c>
      <c r="E619" s="24" t="inlineStr">
        <is>
          <t>TENNIS</t>
        </is>
      </c>
      <c r="F619" s="24" t="inlineStr">
        <is>
          <t>Elizara Yaneva</t>
        </is>
      </c>
      <c r="G619" s="24" t="inlineStr">
        <is>
          <t>Irene Burillo</t>
        </is>
      </c>
      <c r="H619" s="24" t="inlineStr">
        <is>
          <t>moneyline</t>
        </is>
      </c>
      <c r="I619" s="24" t="inlineStr">
        <is>
          <t>away</t>
        </is>
      </c>
      <c r="J619" s="25" t="n"/>
      <c r="K619" s="24" t="inlineStr">
        <is>
          <t>polymarket_us</t>
        </is>
      </c>
      <c r="L619" s="26" t="n">
        <v>-170</v>
      </c>
      <c r="M619" s="27" t="n">
        <v>1.588235</v>
      </c>
      <c r="N619" s="28" t="n">
        <v>0.62963</v>
      </c>
      <c r="O619" s="28" t="n">
        <v>0.5591</v>
      </c>
      <c r="P619" s="28" t="n">
        <v>0.05</v>
      </c>
      <c r="Q619" s="28" t="n">
        <v>-0.07053</v>
      </c>
      <c r="R619" s="26" t="n">
        <v>0</v>
      </c>
      <c r="S619" s="29" t="n">
        <v>1</v>
      </c>
      <c r="T619" s="24" t="inlineStr">
        <is>
          <t>tennis-surface-elo-v1</t>
        </is>
      </c>
      <c r="U619" s="24" t="inlineStr">
        <is>
          <t>settled</t>
        </is>
      </c>
      <c r="V619" s="24" t="inlineStr">
        <is>
          <t>loss</t>
        </is>
      </c>
      <c r="W619" s="26" t="n">
        <v>0</v>
      </c>
      <c r="X619" s="26" t="n">
        <v>1</v>
      </c>
      <c r="Y619" s="25" t="n"/>
      <c r="Z619" s="26" t="n">
        <v>-170</v>
      </c>
      <c r="AA619" s="28" t="n">
        <v>0.63</v>
      </c>
      <c r="AB619" s="28" t="n">
        <v>0.00037</v>
      </c>
      <c r="AC619" s="30" t="n">
        <v>-1</v>
      </c>
      <c r="AD619" s="24" t="inlineStr">
        <is>
          <t>2026-09-11T16:00:17.453256Z</t>
        </is>
      </c>
      <c r="AE619" s="31" t="inlineStr">
        <is>
          <t>Surface-blended Elo on Hard: Elizara Yaneva p=0.559 vs Irene Burillo. Executable ask 0.6300 (aec-wta-ireesc-eliyan-2026-09-10).</t>
        </is>
      </c>
      <c r="AF619" s="31" t="inlineStr">
        <is>
          <t>Surface-blended Elo model; singles only, WTA+ATP market coverage, not yet locked-holdout qualified -- promoted by explicit operator directive, not genuine walk-forward validation.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Elizara Yaneva</t>
        </is>
      </c>
      <c r="AQ619" s="24" t="inlineStr">
        <is>
          <t>Elizara Yaneva</t>
        </is>
      </c>
      <c r="AR619" s="24" t="inlineStr">
        <is>
          <t>Elizara Yaneva</t>
        </is>
      </c>
      <c r="AS619" s="24" t="inlineStr">
        <is>
          <t>Irene Burillo</t>
        </is>
      </c>
      <c r="AT619" s="24" t="inlineStr">
        <is>
          <t>Irene Burillo</t>
        </is>
      </c>
      <c r="AU619" s="24" t="inlineStr">
        <is>
          <t>Irene Burillo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6c67e999d2a03612e30f4032c8e5e77e8becfbc79e05f4c8993e726b90d34d54</t>
        </is>
      </c>
      <c r="BB619" s="24" t="inlineStr">
        <is>
          <t>surface_blended_elo</t>
        </is>
      </c>
      <c r="BC619" s="24" t="inlineStr">
        <is>
          <t>tennis-surface-elo-v1</t>
        </is>
      </c>
      <c r="BD619" s="24" t="inlineStr">
        <is>
          <t>6c67e999d2a03612e30f4032c8e5e77e8becfbc79e05f4c8993e726b90d34d54</t>
        </is>
      </c>
      <c r="BE619" s="24" t="inlineStr">
        <is>
          <t>tennis-surface-elo-v1</t>
        </is>
      </c>
      <c r="BF619" s="24" t="inlineStr">
        <is>
          <t>1</t>
        </is>
      </c>
      <c r="BG619" s="24" t="inlineStr">
        <is>
          <t>6c67e999d2a03612e30f4032c8e5e77e8becfbc79e05f4c8993e726b90d34d54</t>
        </is>
      </c>
      <c r="BH619" s="24" t="inlineStr">
        <is>
          <t>2026-09-11T04:32:47.267248Z</t>
        </is>
      </c>
      <c r="BI619" s="24" t="inlineStr">
        <is>
          <t>["same_event","same_team_same_day","same_league_same_day"]</t>
        </is>
      </c>
      <c r="BJ619" s="25" t="n"/>
      <c r="BK619" s="26" t="n">
        <v>-170</v>
      </c>
      <c r="BL619" s="27" t="n">
        <v>1.588235</v>
      </c>
      <c r="BM619" s="28" t="n">
        <v>0.62963</v>
      </c>
      <c r="BN619" s="28" t="n"/>
      <c r="BO619" s="28" t="n"/>
      <c r="BP619" s="25" t="n"/>
      <c r="BQ619" s="27" t="n">
        <v>1.588235</v>
      </c>
      <c r="BR619" s="28" t="n">
        <v>0.63</v>
      </c>
      <c r="BS619" s="28" t="n"/>
      <c r="BT619" s="28" t="n"/>
      <c r="BU619" s="25" t="n"/>
      <c r="BV619" s="29" t="n"/>
      <c r="BW619" s="24" t="n"/>
      <c r="BX619" s="30" t="n">
        <v>1</v>
      </c>
      <c r="BY619" s="27" t="n">
        <v>-1</v>
      </c>
      <c r="BZ619" s="24" t="inlineStr">
        <is>
          <t>2026-09-11T16:00:17.453256Z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inlineStr">
        <is>
          <t>c7dd5fde4c0d49448f52ca17f491d137beda21707e3d9e6eb44b93f12fa875da</t>
        </is>
      </c>
      <c r="DE619" s="24" t="inlineStr">
        <is>
          <t>/Users/vincentc9002/model-prediction/data/odds/tennis/2026-09-11/polymarket_snapshots.jsonl</t>
        </is>
      </c>
      <c r="DF619" s="24" t="inlineStr">
        <is>
          <t>770311:2026-09-11T04:32:47.267248Z</t>
        </is>
      </c>
      <c r="DG619" s="24" t="n"/>
      <c r="DH619" s="24" t="n"/>
      <c r="DI619" s="24" t="n"/>
      <c r="DJ619" s="24" t="inlineStr">
        <is>
          <t>0.62963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"6c67e999d2a03612e30f4032c8e5e77e8becfbc79e05f4c8993e726b90d34d54", "away_team": "Elizara Yaneva", "event_id": "1076-2026:183555", "event_start_utc": "2026-09-11T11:00Z", "features": {"elo_p1_surface": 1489.4, "elo_p2_surface": 1468.4, "expected_games_p1": 12.96, "expected_games_p2": 11.68, "expected_total_games": 24.63, "history_matches": 15943, "min_player_matches": 18, "surface": "Hard"}, "historical_source_observation_times_verified": false, "home_team": "Irene Burillo", "inference_inputs": {"code_sha256": {"features/elo_ratings.py": "8525faf022a6343c452286dbfeb17dbb043744c6bdabbe448b6b371216da439b", "models/tennis.py": "6c67e999d2a03612e30f4032c8e5e77e8becfbc79e05f4c8993e726b90d34d54"}, "overall_ratings": [1509.006787802884, 1448.475295089207], "players": ["Elizara Yaneva", "Irene Burillo"], "sport": "TENNIS", "surface": "Hard", "surface_counts": [11, 39], "surface_ratings": [1489.3935775417094, 1468.4119381660576]}, "market_type": "moneyline", "model_version": "tennis-surface-elo-v1", "observed_at_utc": "2026-09-11T10:03:24.594878+00:00", "probabilities": {"away": 0.5591, "home": 0.4409}, "replay_scope": "Exact full-precision serving state and rounding; upstream historical observation times are not certified.", "schema": "coded-moneyline-replay-v1", "snapshot_hash": "cb713d5945f6debd69e50322fec5d6f2ecced04a53fd5babec32b9829b02399f", "sport": "TENNIS"}</t>
        </is>
      </c>
    </row>
    <row r="620" ht="36" customHeight="1">
      <c r="A620" s="24" t="inlineStr">
        <is>
          <t>22875f1876834ce2</t>
        </is>
      </c>
      <c r="B620" s="24" t="inlineStr">
        <is>
          <t>2026-09-11T10:03:25.639391Z</t>
        </is>
      </c>
      <c r="C620" s="24" t="inlineStr">
        <is>
          <t>2026-09-11T12:30Z</t>
        </is>
      </c>
      <c r="D620" s="24" t="inlineStr">
        <is>
          <t>1076-2026:183554</t>
        </is>
      </c>
      <c r="E620" s="24" t="inlineStr">
        <is>
          <t>TENNIS</t>
        </is>
      </c>
      <c r="F620" s="24" t="inlineStr">
        <is>
          <t>Alevtina Ibragimova</t>
        </is>
      </c>
      <c r="G620" s="24" t="inlineStr">
        <is>
          <t>Aurora Zantedeschi</t>
        </is>
      </c>
      <c r="H620" s="24" t="inlineStr">
        <is>
          <t>moneyline</t>
        </is>
      </c>
      <c r="I620" s="24" t="inlineStr">
        <is>
          <t>away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0.6333</v>
      </c>
      <c r="P620" s="28" t="n">
        <v>0.05</v>
      </c>
      <c r="Q620" s="28" t="n">
        <v>0.013528</v>
      </c>
      <c r="R620" s="26" t="n">
        <v>27</v>
      </c>
      <c r="S620" s="29" t="n">
        <v>1</v>
      </c>
      <c r="T620" s="24" t="inlineStr">
        <is>
          <t>tennis-surface-elo-v1</t>
        </is>
      </c>
      <c r="U620" s="24" t="inlineStr">
        <is>
          <t>settled</t>
        </is>
      </c>
      <c r="V620" s="24" t="inlineStr">
        <is>
          <t>win</t>
        </is>
      </c>
      <c r="W620" s="26" t="n">
        <v>1</v>
      </c>
      <c r="X620" s="26" t="n">
        <v>0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0.6135</v>
      </c>
      <c r="AD620" s="24" t="inlineStr">
        <is>
          <t>2026-09-11T16:00:18.583153Z</t>
        </is>
      </c>
      <c r="AE620" s="31" t="inlineStr">
        <is>
          <t>Surface-blended Elo on Hard: Alevtina Ibragimova p=0.633 vs Aurora Zantedeschi. Executable ask 0.6200 (aec-wta-aurzan-aleibr-2026-09-11).</t>
        </is>
      </c>
      <c r="AF620" s="31" t="inlineStr">
        <is>
          <t>Surface-blended Elo model; singles only, WTA+ATP market coverage, not yet locked-holdout qualified -- promoted by explicit operator directive, not genuine walk-forward validation.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PAPER_CALL_LOW_EDGE</t>
        </is>
      </c>
      <c r="AP620" s="24" t="inlineStr">
        <is>
          <t>Alevtina Ibragimova</t>
        </is>
      </c>
      <c r="AQ620" s="24" t="inlineStr">
        <is>
          <t>Alevtina Ibragimova</t>
        </is>
      </c>
      <c r="AR620" s="24" t="inlineStr">
        <is>
          <t>Alevtina Ibragimova</t>
        </is>
      </c>
      <c r="AS620" s="24" t="inlineStr">
        <is>
          <t>Aurora Zantedeschi</t>
        </is>
      </c>
      <c r="AT620" s="24" t="inlineStr">
        <is>
          <t>Aurora Zantedeschi</t>
        </is>
      </c>
      <c r="AU620" s="24" t="inlineStr">
        <is>
          <t>Aurora Zantedeschi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6c67e999d2a03612e30f4032c8e5e77e8becfbc79e05f4c8993e726b90d34d54</t>
        </is>
      </c>
      <c r="BB620" s="24" t="inlineStr">
        <is>
          <t>surface_blended_elo</t>
        </is>
      </c>
      <c r="BC620" s="24" t="inlineStr">
        <is>
          <t>tennis-surface-elo-v1</t>
        </is>
      </c>
      <c r="BD620" s="24" t="inlineStr">
        <is>
          <t>6c67e999d2a03612e30f4032c8e5e77e8becfbc79e05f4c8993e726b90d34d54</t>
        </is>
      </c>
      <c r="BE620" s="24" t="inlineStr">
        <is>
          <t>tennis-surface-elo-v1</t>
        </is>
      </c>
      <c r="BF620" s="24" t="inlineStr">
        <is>
          <t>1</t>
        </is>
      </c>
      <c r="BG620" s="24" t="inlineStr">
        <is>
          <t>6c67e999d2a03612e30f4032c8e5e77e8becfbc79e05f4c8993e726b90d34d54</t>
        </is>
      </c>
      <c r="BH620" s="24" t="inlineStr">
        <is>
          <t>2026-09-11T04:32:47.268166Z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/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0.613497</v>
      </c>
      <c r="BZ620" s="24" t="inlineStr">
        <is>
          <t>2026-09-11T16:00:18.583153Z</t>
        </is>
      </c>
      <c r="CA620" s="31" t="inlineStr">
        <is>
          <t>fixed one-unit hypothetical scoring; no real exposure or execution</t>
        </is>
      </c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inlineStr">
        <is>
          <t>a3bce6b201f85db97997d25a2981b33ba56c0433015169f9d5838d4bb41ec85b</t>
        </is>
      </c>
      <c r="DE620" s="24" t="inlineStr">
        <is>
          <t>/Users/vincentc9002/model-prediction/data/odds/tennis/2026-09-11/polymarket_snapshots.jsonl</t>
        </is>
      </c>
      <c r="DF620" s="24" t="inlineStr">
        <is>
          <t>769702:2026-09-11T04:32:47.268166Z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"6c67e999d2a03612e30f4032c8e5e77e8becfbc79e05f4c8993e726b90d34d54", "away_team": "Alevtina Ibragimova", "event_id": "1076-2026:183554", "event_start_utc": "2026-09-11T12:30Z", "features": {"elo_p1_surface": 1585.4, "elo_p2_surface": 1490.3, "expected_games_p1": 13.45, "expected_games_p2": 9.18, "expected_total_games": 22.63, "history_matches": 15943, "min_player_matches": 21, "surface": "Hard"}, "historical_source_observation_times_verified": false, "home_team": "Aurora Zantedeschi", "inference_inputs": {"code_sha256": {"features/elo_ratings.py": "8525faf022a6343c452286dbfeb17dbb043744c6bdabbe448b6b371216da439b", "models/tennis.py": "6c67e999d2a03612e30f4032c8e5e77e8becfbc79e05f4c8993e726b90d34d54"}, "overall_ratings": [1580.132148214361, 1486.7883736871465], "players": ["Alevtina Ibragimova", "Aurora Zantedeschi"], "sport": "TENNIS", "surface": "Hard", "surface_counts": [38, 18], "surface_ratings": [1585.4223232482318, 1490.2977321451083]}, "market_type": "moneyline", "model_version": "tennis-surface-elo-v1", "observed_at_utc": "2026-09-11T10:03:24.594878+00:00", "probabilities": {"away": 0.6333, "home": 0.3667}, "replay_scope": "Exact full-precision serving state and rounding; upstream historical observation times are not certified.", "schema": "coded-moneyline-replay-v1", "snapshot_hash": "4edd7a45457113cc01dfebcb4ed33633ab21d430e957ae892b8407e5ca62c7d3", "sport": "TENNIS"}</t>
        </is>
      </c>
    </row>
    <row r="621" ht="36" customHeight="1">
      <c r="A621" s="24" t="inlineStr">
        <is>
          <t>a80205febb9e42ab</t>
        </is>
      </c>
      <c r="B621" s="24" t="inlineStr">
        <is>
          <t>2026-09-11T10:03:25.639391Z</t>
        </is>
      </c>
      <c r="C621" s="24" t="inlineStr">
        <is>
          <t>2026-09-11T16:00Z</t>
        </is>
      </c>
      <c r="D621" s="24" t="inlineStr">
        <is>
          <t>1076-2026:183557</t>
        </is>
      </c>
      <c r="E621" s="24" t="inlineStr">
        <is>
          <t>TENNIS</t>
        </is>
      </c>
      <c r="F621" s="24" t="inlineStr">
        <is>
          <t>Eva Bennemann</t>
        </is>
      </c>
      <c r="G621" s="24" t="inlineStr">
        <is>
          <t>Alicia Herrero Linana</t>
        </is>
      </c>
      <c r="H621" s="24" t="inlineStr">
        <is>
          <t>moneyline</t>
        </is>
      </c>
      <c r="I621" s="24" t="inlineStr">
        <is>
          <t>home</t>
        </is>
      </c>
      <c r="J621" s="25" t="n"/>
      <c r="K621" s="24" t="inlineStr">
        <is>
          <t>polymarket_us</t>
        </is>
      </c>
      <c r="L621" s="26" t="n">
        <v>-133</v>
      </c>
      <c r="M621" s="27" t="n">
        <v>1.75188</v>
      </c>
      <c r="N621" s="28" t="n">
        <v>0.570815</v>
      </c>
      <c r="O621" s="28" t="n">
        <v>0.5589</v>
      </c>
      <c r="P621" s="28" t="n">
        <v>0.05</v>
      </c>
      <c r="Q621" s="28" t="n">
        <v>-0.011915</v>
      </c>
      <c r="R621" s="26" t="n">
        <v>14</v>
      </c>
      <c r="S621" s="29" t="n">
        <v>1</v>
      </c>
      <c r="T621" s="24" t="inlineStr">
        <is>
          <t>tennis-surface-elo-v1</t>
        </is>
      </c>
      <c r="U621" s="24" t="inlineStr">
        <is>
          <t>settled</t>
        </is>
      </c>
      <c r="V621" s="24" t="inlineStr">
        <is>
          <t>win</t>
        </is>
      </c>
      <c r="W621" s="26" t="n">
        <v>0</v>
      </c>
      <c r="X621" s="26" t="n">
        <v>1</v>
      </c>
      <c r="Y621" s="25" t="n"/>
      <c r="Z621" s="26" t="n">
        <v>-133</v>
      </c>
      <c r="AA621" s="28" t="n">
        <v>0.57</v>
      </c>
      <c r="AB621" s="28" t="n">
        <v>-0.000815</v>
      </c>
      <c r="AC621" s="30" t="n">
        <v>0.7519</v>
      </c>
      <c r="AD621" s="24" t="inlineStr">
        <is>
          <t>2026-09-11T22:00:14.789922Z</t>
        </is>
      </c>
      <c r="AE621" s="31" t="inlineStr">
        <is>
          <t>Surface-blended Elo on Hard: Eva Bennemann p=0.441 vs Alicia Herrero Linana. Executable ask 0.5700 (aec-wta-alilin-evaben-2026-09-11).</t>
        </is>
      </c>
      <c r="AF621" s="31" t="inlineStr">
        <is>
          <t>Surface-blended Elo model; singles only, WTA+ATP market coverage, not yet locked-holdout qualified -- promoted by explicit operator directive, not genuine walk-forward validation.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PAPER_CALL_MODEL_UNVALIDATED</t>
        </is>
      </c>
      <c r="AP621" s="24" t="inlineStr">
        <is>
          <t>Eva Bennemann</t>
        </is>
      </c>
      <c r="AQ621" s="24" t="inlineStr">
        <is>
          <t>Eva Bennemann</t>
        </is>
      </c>
      <c r="AR621" s="24" t="inlineStr">
        <is>
          <t>Eva Bennemann</t>
        </is>
      </c>
      <c r="AS621" s="24" t="inlineStr">
        <is>
          <t>Alicia Herrero Linana</t>
        </is>
      </c>
      <c r="AT621" s="24" t="inlineStr">
        <is>
          <t>Alicia Herrero Linana</t>
        </is>
      </c>
      <c r="AU621" s="24" t="inlineStr">
        <is>
          <t>Alicia Herrero Linana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6c67e999d2a03612e30f4032c8e5e77e8becfbc79e05f4c8993e726b90d34d54</t>
        </is>
      </c>
      <c r="BB621" s="24" t="inlineStr">
        <is>
          <t>surface_blended_elo</t>
        </is>
      </c>
      <c r="BC621" s="24" t="inlineStr">
        <is>
          <t>tennis-surface-elo-v1</t>
        </is>
      </c>
      <c r="BD621" s="24" t="inlineStr">
        <is>
          <t>6c67e999d2a03612e30f4032c8e5e77e8becfbc79e05f4c8993e726b90d34d54</t>
        </is>
      </c>
      <c r="BE621" s="24" t="inlineStr">
        <is>
          <t>tennis-surface-elo-v1</t>
        </is>
      </c>
      <c r="BF621" s="24" t="inlineStr">
        <is>
          <t>1</t>
        </is>
      </c>
      <c r="BG621" s="24" t="inlineStr">
        <is>
          <t>6c67e999d2a03612e30f4032c8e5e77e8becfbc79e05f4c8993e726b90d34d54</t>
        </is>
      </c>
      <c r="BH621" s="24" t="inlineStr">
        <is>
          <t>2026-09-11T04:32:47.308002Z</t>
        </is>
      </c>
      <c r="BI621" s="24" t="inlineStr">
        <is>
          <t>["same_event","same_team_same_day","same_league_same_day"]</t>
        </is>
      </c>
      <c r="BJ621" s="25" t="n"/>
      <c r="BK621" s="26" t="n">
        <v>-133</v>
      </c>
      <c r="BL621" s="27" t="n">
        <v>1.75188</v>
      </c>
      <c r="BM621" s="28" t="n">
        <v>0.570815</v>
      </c>
      <c r="BN621" s="28" t="n"/>
      <c r="BO621" s="28" t="n"/>
      <c r="BP621" s="25" t="n"/>
      <c r="BQ621" s="27" t="n">
        <v>1.75188</v>
      </c>
      <c r="BR621" s="28" t="n">
        <v>0.57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0.751881</v>
      </c>
      <c r="BZ621" s="24" t="inlineStr">
        <is>
          <t>2026-09-11T22:00:14.789922Z</t>
        </is>
      </c>
      <c r="CA621" s="31" t="inlineStr">
        <is>
          <t>fixed one-unit hypothetical scoring; no real exposure or execution</t>
        </is>
      </c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inlineStr">
        <is>
          <t>b91ca451d399af3e9edb23258531e2115e761b1ede8f4e6274d0e34d03f8a049</t>
        </is>
      </c>
      <c r="DE621" s="24" t="inlineStr">
        <is>
          <t>/Users/vincentc9002/model-prediction/data/odds/tennis/2026-09-11/polymarket_snapshots.jsonl</t>
        </is>
      </c>
      <c r="DF621" s="24" t="inlineStr">
        <is>
          <t>782099:2026-09-11T04:32:47.308002Z</t>
        </is>
      </c>
      <c r="DG621" s="24" t="n"/>
      <c r="DH621" s="24" t="n"/>
      <c r="DI621" s="24" t="n"/>
      <c r="DJ621" s="24" t="inlineStr">
        <is>
          <t>0.570815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"6c67e999d2a03612e30f4032c8e5e77e8becfbc79e05f4c8993e726b90d34d54", "away_team": "Eva Bennemann", "event_id": "1076-2026:183557", "event_start_utc": "2026-09-11T16:00Z", "features": {"elo_p1_surface": 1524.3, "elo_p2_surface": 1564.1, "expected_games_p1": 11.5, "expected_games_p2": 12.96, "expected_total_games": 24.46, "history_matches": 15943, "min_player_matches": 5,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[1523.193278274246, 1565.273809334728], "players": ["Eva Bennemann", "Alicia Herrero Linana"], "sport": "TENNIS", "surface": "Hard", "surface_counts": [5, 33], "surface_ratings": [1524.2947589059738, 1564.059403265393]}, "market_type": "moneyline", "model_version": "tennis-surface-elo-v1", "observed_at_utc": "2026-09-11T10:03:24.594878+00:00", "probabilities": {"away": 0.4411, "home": 0.5589}, "replay_scope": "Exact full-precision serving state and rounding; upstream historical observation times are not certified.", "schema": "coded-moneyline-replay-v1", "snapshot_hash": "8ccae3ff03162175ace51b2e253660da63a1531cce527b802ce7a26862c67ec2", "sport": "TENNIS"}</t>
        </is>
      </c>
    </row>
    <row r="622" ht="36" customHeight="1">
      <c r="A622" s="24" t="inlineStr">
        <is>
          <t>5d9f75afb1a64a92</t>
        </is>
      </c>
      <c r="B622" s="24" t="inlineStr">
        <is>
          <t>2026-09-11T16:04:37.133259Z</t>
        </is>
      </c>
      <c r="C622" s="24" t="inlineStr">
        <is>
          <t>2026-09-11T21:00Z</t>
        </is>
      </c>
      <c r="D622" s="24" t="inlineStr">
        <is>
          <t>964-2026:183642</t>
        </is>
      </c>
      <c r="E622" s="24" t="inlineStr">
        <is>
          <t>TENNIS</t>
        </is>
      </c>
      <c r="F622" s="24" t="inlineStr">
        <is>
          <t>Claire Liu</t>
        </is>
      </c>
      <c r="G622" s="24" t="inlineStr">
        <is>
          <t>Leolia Jeanjean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polymarket_us</t>
        </is>
      </c>
      <c r="L622" s="26" t="n">
        <v>-150</v>
      </c>
      <c r="M622" s="27" t="n">
        <v>1.666667</v>
      </c>
      <c r="N622" s="28" t="n">
        <v>0.6</v>
      </c>
      <c r="O622" s="28" t="n">
        <v>0.5207000000000001</v>
      </c>
      <c r="P622" s="28" t="n">
        <v>0.05</v>
      </c>
      <c r="Q622" s="28" t="n">
        <v>-0.0793</v>
      </c>
      <c r="R622" s="26" t="n">
        <v>0</v>
      </c>
      <c r="S622" s="29" t="n">
        <v>1</v>
      </c>
      <c r="T622" s="24" t="inlineStr">
        <is>
          <t>tennis-surface-elo-v1</t>
        </is>
      </c>
      <c r="U622" s="24" t="inlineStr">
        <is>
          <t>settled</t>
        </is>
      </c>
      <c r="V622" s="24" t="inlineStr">
        <is>
          <t>win</t>
        </is>
      </c>
      <c r="W622" s="26" t="n">
        <v>1</v>
      </c>
      <c r="X622" s="26" t="n">
        <v>0</v>
      </c>
      <c r="Y622" s="25" t="n"/>
      <c r="Z622" s="26" t="n">
        <v>-150</v>
      </c>
      <c r="AA622" s="28" t="n">
        <v>0.6</v>
      </c>
      <c r="AB622" s="28" t="n">
        <v>0</v>
      </c>
      <c r="AC622" s="30" t="n">
        <v>0.6667</v>
      </c>
      <c r="AD622" s="24" t="inlineStr">
        <is>
          <t>2026-09-12T04:30:12.309056Z</t>
        </is>
      </c>
      <c r="AE622" s="31" t="inlineStr">
        <is>
          <t>Surface-blended Elo on Hard: Claire Liu p=0.521 vs Leolia Jeanjean. Executable ask 0.6000 (aec-wta-leojea-claliu-2026-09-12).</t>
        </is>
      </c>
      <c r="AF622" s="31" t="inlineStr">
        <is>
          <t>Surface-blended Elo model; singles only, WTA+ATP market coverage, not yet locked-holdout qualified -- promoted by explicit operator directive, not genuine walk-forward validation.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PAPER_CALL_LOW_EDGE</t>
        </is>
      </c>
      <c r="AP622" s="24" t="inlineStr">
        <is>
          <t>Claire Liu</t>
        </is>
      </c>
      <c r="AQ622" s="24" t="inlineStr">
        <is>
          <t>Claire Liu</t>
        </is>
      </c>
      <c r="AR622" s="24" t="inlineStr">
        <is>
          <t>Claire Liu</t>
        </is>
      </c>
      <c r="AS622" s="24" t="inlineStr">
        <is>
          <t>Leolia Jeanjean</t>
        </is>
      </c>
      <c r="AT622" s="24" t="inlineStr">
        <is>
          <t>Leolia Jeanjean</t>
        </is>
      </c>
      <c r="AU622" s="24" t="inlineStr">
        <is>
          <t>Leolia Jeanjean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6c67e999d2a03612e30f4032c8e5e77e8becfbc79e05f4c8993e726b90d34d54</t>
        </is>
      </c>
      <c r="BB622" s="24" t="inlineStr">
        <is>
          <t>surface_blended_elo</t>
        </is>
      </c>
      <c r="BC622" s="24" t="inlineStr">
        <is>
          <t>tennis-surface-elo-v1</t>
        </is>
      </c>
      <c r="BD622" s="24" t="inlineStr">
        <is>
          <t>6c67e999d2a03612e30f4032c8e5e77e8becfbc79e05f4c8993e726b90d34d54</t>
        </is>
      </c>
      <c r="BE622" s="24" t="inlineStr">
        <is>
          <t>tennis-surface-elo-v1</t>
        </is>
      </c>
      <c r="BF622" s="24" t="inlineStr">
        <is>
          <t>1</t>
        </is>
      </c>
      <c r="BG622" s="24" t="inlineStr">
        <is>
          <t>6c67e999d2a03612e30f4032c8e5e77e8becfbc79e05f4c8993e726b90d34d54</t>
        </is>
      </c>
      <c r="BH622" s="24" t="inlineStr">
        <is>
          <t>2026-09-11T16:03:40.114814Z</t>
        </is>
      </c>
      <c r="BI622" s="24" t="inlineStr">
        <is>
          <t>["same_event","same_team_same_day","same_league_same_day"]</t>
        </is>
      </c>
      <c r="BJ622" s="25" t="n"/>
      <c r="BK622" s="26" t="n">
        <v>-150</v>
      </c>
      <c r="BL622" s="27" t="n">
        <v>1.666667</v>
      </c>
      <c r="BM622" s="28" t="n">
        <v>0.6</v>
      </c>
      <c r="BN622" s="28" t="n"/>
      <c r="BO622" s="28" t="n"/>
      <c r="BP622" s="25" t="n"/>
      <c r="BQ622" s="27" t="n">
        <v>1.666667</v>
      </c>
      <c r="BR622" s="28" t="n">
        <v>0.6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0.666667</v>
      </c>
      <c r="BZ622" s="24" t="inlineStr">
        <is>
          <t>2026-09-12T04:30:12.309056Z</t>
        </is>
      </c>
      <c r="CA622" s="31" t="inlineStr">
        <is>
          <t>fixed one-unit hypothetical scoring; no real exposure or execution</t>
        </is>
      </c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False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inlineStr">
        <is>
          <t>2c3ffa47cd1dabfde2c7546199efea2180276c4bf1345fa599c2ad98b5c3e41c</t>
        </is>
      </c>
      <c r="DE622" s="24" t="inlineStr">
        <is>
          <t>/Users/vincentc9002/model-prediction/data/odds/tennis/2026-09-11/polymarket_snapshots.jsonl</t>
        </is>
      </c>
      <c r="DF622" s="24" t="inlineStr">
        <is>
          <t>785074:2026-09-11T16:03:40.114814Z</t>
        </is>
      </c>
      <c r="DG622" s="24" t="n"/>
      <c r="DH622" s="24" t="n"/>
      <c r="DI622" s="24" t="n"/>
      <c r="DJ622" s="24" t="inlineStr">
        <is>
          <t>0.6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"6c67e999d2a03612e30f4032c8e5e77e8becfbc79e05f4c8993e726b90d34d54", "away_team": "Claire Liu", "event_id": "964-2026:183642", "event_start_utc": "2026-09-11T21:00Z", "features": {"elo_p1_surface": 1576.4, "elo_p2_surface": 1567.0, "expected_games_p1": 12.75, "expected_games_p2": 11.99, "expected_total_games": 24.74, "history_matches": 15943, "min_player_matches": 78,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[1644.867348059163, 1628.116007816164], "players": ["Claire Liu", "Leolia Jeanjean"], "sport": "TENNIS", "surface": "Hard", "surface_counts": [65, 96], "surface_ratings": [1576.3739005555574, 1566.9798394581487]}, "market_type": "moneyline", "model_version": "tennis-surface-elo-v1", "observed_at_utc": "2026-09-11T16:04:36.029463+00:00", "probabilities": {"away": 0.5207, "home": 0.4793}, "replay_scope": "Exact full-precision serving state and rounding; upstream historical observation times are not certified.", "schema": "coded-moneyline-replay-v1", "snapshot_hash": "3648cec814afbe347e75fccc72bdf244b67bff0cd7bd2485c290ec49cf36b582", "sport": "TENNIS"}</t>
        </is>
      </c>
    </row>
    <row r="623" ht="36" customHeight="1">
      <c r="A623" s="24" t="inlineStr">
        <is>
          <t>be9e551e28654caf</t>
        </is>
      </c>
      <c r="B623" s="24" t="inlineStr">
        <is>
          <t>2026-09-11T16:04:37.133259Z</t>
        </is>
      </c>
      <c r="C623" s="24" t="inlineStr">
        <is>
          <t>2026-09-11T19:00Z</t>
        </is>
      </c>
      <c r="D623" s="24" t="inlineStr">
        <is>
          <t>189-2026:182768</t>
        </is>
      </c>
      <c r="E623" s="24" t="inlineStr">
        <is>
          <t>TENNIS</t>
        </is>
      </c>
      <c r="F623" s="24" t="inlineStr">
        <is>
          <t>Karen Khachanov</t>
        </is>
      </c>
      <c r="G623" s="24" t="inlineStr">
        <is>
          <t>Alexander Zverev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-400</v>
      </c>
      <c r="M623" s="27" t="n">
        <v>1.25</v>
      </c>
      <c r="N623" s="28" t="n">
        <v>0.8</v>
      </c>
      <c r="O623" s="28" t="n">
        <v>0.7856</v>
      </c>
      <c r="P623" s="28" t="n">
        <v>0.05</v>
      </c>
      <c r="Q623" s="28" t="n">
        <v>-0.0144</v>
      </c>
      <c r="R623" s="26" t="n">
        <v>13</v>
      </c>
      <c r="S623" s="29" t="n">
        <v>1</v>
      </c>
      <c r="T623" s="24" t="inlineStr">
        <is>
          <t>tennis-surface-elo-v1</t>
        </is>
      </c>
      <c r="U623" s="24" t="inlineStr">
        <is>
          <t>settled</t>
        </is>
      </c>
      <c r="V623" s="24" t="inlineStr">
        <is>
          <t>win</t>
        </is>
      </c>
      <c r="W623" s="26" t="n">
        <v>0</v>
      </c>
      <c r="X623" s="26" t="n">
        <v>1</v>
      </c>
      <c r="Y623" s="25" t="n"/>
      <c r="Z623" s="26" t="n">
        <v>-400</v>
      </c>
      <c r="AA623" s="28" t="n">
        <v>0.8</v>
      </c>
      <c r="AB623" s="28" t="n">
        <v>0</v>
      </c>
      <c r="AC623" s="30" t="n">
        <v>0.25</v>
      </c>
      <c r="AD623" s="24" t="inlineStr">
        <is>
          <t>2026-09-12T04:30:13.467114Z</t>
        </is>
      </c>
      <c r="AE623" s="31" t="inlineStr">
        <is>
          <t>Surface-blended Elo on Hard: Karen Khachanov p=0.214 vs Alexander Zverev. Executable ask 0.8000 (aec-atp-alezve-karkha-2026-09-11).</t>
        </is>
      </c>
      <c r="AF623" s="31" t="inlineStr">
        <is>
          <t>Surface-blended Elo model; singles only, WTA+ATP market coverage, not yet locked-holdout qualified -- promoted by explicit operator directive, not genuine walk-forward validation.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Karen Khachanov</t>
        </is>
      </c>
      <c r="AQ623" s="24" t="inlineStr">
        <is>
          <t>Karen Khachanov</t>
        </is>
      </c>
      <c r="AR623" s="24" t="inlineStr">
        <is>
          <t>Karen Khachanov</t>
        </is>
      </c>
      <c r="AS623" s="24" t="inlineStr">
        <is>
          <t>Alexander Zverev</t>
        </is>
      </c>
      <c r="AT623" s="24" t="inlineStr">
        <is>
          <t>Alexander Zverev</t>
        </is>
      </c>
      <c r="AU623" s="24" t="inlineStr">
        <is>
          <t>Alexander Zverev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6c67e999d2a03612e30f4032c8e5e77e8becfbc79e05f4c8993e726b90d34d54</t>
        </is>
      </c>
      <c r="BB623" s="24" t="inlineStr">
        <is>
          <t>surface_blended_elo</t>
        </is>
      </c>
      <c r="BC623" s="24" t="inlineStr">
        <is>
          <t>tennis-surface-elo-v1</t>
        </is>
      </c>
      <c r="BD623" s="24" t="inlineStr">
        <is>
          <t>6c67e999d2a03612e30f4032c8e5e77e8becfbc79e05f4c8993e726b90d34d54</t>
        </is>
      </c>
      <c r="BE623" s="24" t="inlineStr">
        <is>
          <t>tennis-surface-elo-v1</t>
        </is>
      </c>
      <c r="BF623" s="24" t="inlineStr">
        <is>
          <t>1</t>
        </is>
      </c>
      <c r="BG623" s="24" t="inlineStr">
        <is>
          <t>6c67e999d2a03612e30f4032c8e5e77e8becfbc79e05f4c8993e726b90d34d54</t>
        </is>
      </c>
      <c r="BH623" s="24" t="inlineStr">
        <is>
          <t>2026-09-11T16:03:40.199088Z</t>
        </is>
      </c>
      <c r="BI623" s="24" t="inlineStr">
        <is>
          <t>["same_event","same_team_same_day","same_league_same_day"]</t>
        </is>
      </c>
      <c r="BJ623" s="25" t="n"/>
      <c r="BK623" s="26" t="n">
        <v>-400</v>
      </c>
      <c r="BL623" s="27" t="n">
        <v>1.25</v>
      </c>
      <c r="BM623" s="28" t="n">
        <v>0.8</v>
      </c>
      <c r="BN623" s="28" t="n"/>
      <c r="BO623" s="28" t="n"/>
      <c r="BP623" s="25" t="n"/>
      <c r="BQ623" s="27" t="n">
        <v>1.25</v>
      </c>
      <c r="BR623" s="28" t="n">
        <v>0.8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0.25</v>
      </c>
      <c r="BZ623" s="24" t="inlineStr">
        <is>
          <t>2026-09-12T04:30:13.467114Z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inlineStr">
        <is>
          <t>64c721a7bf13a30b0a7192c61e4848ba1862fae29634d5ede6c8a19af320593a</t>
        </is>
      </c>
      <c r="DE623" s="24" t="inlineStr">
        <is>
          <t>/Users/vincentc9002/model-prediction/data/odds/tennis/2026-09-11/polymarket_snapshots.jsonl</t>
        </is>
      </c>
      <c r="DF623" s="24" t="inlineStr">
        <is>
          <t>778144:2026-09-11T16:03:40.199088Z</t>
        </is>
      </c>
      <c r="DG623" s="24" t="n"/>
      <c r="DH623" s="24" t="n"/>
      <c r="DI623" s="24" t="n"/>
      <c r="DJ623" s="24" t="inlineStr">
        <is>
          <t>0.8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"6c67e999d2a03612e30f4032c8e5e77e8becfbc79e05f4c8993e726b90d34d54", "away_team": "Karen Khachanov", "event_id": "189-2026:182768", "event_start_utc": "2026-09-11T19:00Z", "features": {"elo_p1_surface": 1656.6, "elo_p2_surface": 1871.6, "expected_games_p1": 6.82, "expected_games_p2": 12.74, "expected_total_games": 19.57, "history_matches": 11207, "min_player_matches": 153,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[1686.263671585594, 1950.7185212922], "players": ["Karen Khachanov", "Alexander Zverev"], "sport": "TENNIS", "surface": "Hard", "surface_counts": [98, 140], "surface_ratings": [1656.6436231893624, 1871.647279322375]}, "market_type": "moneyline", "model_version": "tennis-surface-elo-v1", "observed_at_utc": "2026-09-11T16:04:36.029463+00:00", "probabilities": {"away": 0.2144, "home": 0.7856}, "replay_scope": "Exact full-precision serving state and rounding; upstream historical observation times are not certified.", "schema": "coded-moneyline-replay-v1", "snapshot_hash": "949b8a16562eaa3ca23525c5d7448ca7fe9d120065087c27a207dc119f56c469", "sport": "TENNIS"}</t>
        </is>
      </c>
    </row>
    <row r="624" ht="36" customHeight="1">
      <c r="A624" s="24" t="inlineStr">
        <is>
          <t>dd87485b8be04660</t>
        </is>
      </c>
      <c r="B624" s="24" t="inlineStr">
        <is>
          <t>2026-09-11T22:03:44.963351Z</t>
        </is>
      </c>
      <c r="C624" s="24" t="inlineStr">
        <is>
          <t>2026-09-11T22:30Z</t>
        </is>
      </c>
      <c r="D624" s="24" t="inlineStr">
        <is>
          <t>964-2026:183641</t>
        </is>
      </c>
      <c r="E624" s="24" t="inlineStr">
        <is>
          <t>TENNIS</t>
        </is>
      </c>
      <c r="F624" s="24" t="inlineStr">
        <is>
          <t>Anna Blinkova</t>
        </is>
      </c>
      <c r="G624" s="24" t="inlineStr">
        <is>
          <t>Elsa Jacquemot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-203</v>
      </c>
      <c r="M624" s="27" t="n">
        <v>1.492611</v>
      </c>
      <c r="N624" s="28" t="n">
        <v>0.669967</v>
      </c>
      <c r="O624" s="28" t="n">
        <v>0.6217</v>
      </c>
      <c r="P624" s="28" t="n">
        <v>0.05</v>
      </c>
      <c r="Q624" s="28" t="n">
        <v>-0.048267</v>
      </c>
      <c r="R624" s="26" t="n">
        <v>0</v>
      </c>
      <c r="S624" s="29" t="n">
        <v>1</v>
      </c>
      <c r="T624" s="24" t="inlineStr">
        <is>
          <t>tennis-surface-elo-v1</t>
        </is>
      </c>
      <c r="U624" s="24" t="inlineStr">
        <is>
          <t>settled</t>
        </is>
      </c>
      <c r="V624" s="24" t="inlineStr">
        <is>
          <t>win</t>
        </is>
      </c>
      <c r="W624" s="26" t="n">
        <v>1</v>
      </c>
      <c r="X624" s="26" t="n">
        <v>0</v>
      </c>
      <c r="Y624" s="25" t="n"/>
      <c r="Z624" s="26" t="n">
        <v>-203</v>
      </c>
      <c r="AA624" s="28" t="n">
        <v>0.67</v>
      </c>
      <c r="AB624" s="28" t="n">
        <v>3.3e-05</v>
      </c>
      <c r="AC624" s="30" t="n">
        <v>0.4926</v>
      </c>
      <c r="AD624" s="24" t="inlineStr">
        <is>
          <t>2026-09-12T04:30:58.382250Z</t>
        </is>
      </c>
      <c r="AE624" s="31" t="inlineStr">
        <is>
          <t>Surface-blended Elo on Hard: Anna Blinkova p=0.622 vs Elsa Jacquemot. Executable ask 0.6700 (aec-wta-elsjac-annbli-2026-09-12).</t>
        </is>
      </c>
      <c r="AF624" s="31" t="inlineStr">
        <is>
          <t>Surface-blended Elo model; singles only, WTA+ATP market coverage, not yet locked-holdout qualified -- promoted by explicit operator directive, not genuine walk-forward validation.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Anna Blinkova</t>
        </is>
      </c>
      <c r="AQ624" s="24" t="inlineStr">
        <is>
          <t>Anna Blinkova</t>
        </is>
      </c>
      <c r="AR624" s="24" t="inlineStr">
        <is>
          <t>Anna Blinkova</t>
        </is>
      </c>
      <c r="AS624" s="24" t="inlineStr">
        <is>
          <t>Elsa Jacquemot</t>
        </is>
      </c>
      <c r="AT624" s="24" t="inlineStr">
        <is>
          <t>Elsa Jacquemot</t>
        </is>
      </c>
      <c r="AU624" s="24" t="inlineStr">
        <is>
          <t>Elsa Jacquemot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6c67e999d2a03612e30f4032c8e5e77e8becfbc79e05f4c8993e726b90d34d54</t>
        </is>
      </c>
      <c r="BB624" s="24" t="inlineStr">
        <is>
          <t>surface_blended_elo</t>
        </is>
      </c>
      <c r="BC624" s="24" t="inlineStr">
        <is>
          <t>tennis-surface-elo-v1</t>
        </is>
      </c>
      <c r="BD624" s="24" t="inlineStr">
        <is>
          <t>6c67e999d2a03612e30f4032c8e5e77e8becfbc79e05f4c8993e726b90d34d54</t>
        </is>
      </c>
      <c r="BE624" s="24" t="inlineStr">
        <is>
          <t>tennis-surface-elo-v1</t>
        </is>
      </c>
      <c r="BF624" s="24" t="inlineStr">
        <is>
          <t>1</t>
        </is>
      </c>
      <c r="BG624" s="24" t="inlineStr">
        <is>
          <t>6c67e999d2a03612e30f4032c8e5e77e8becfbc79e05f4c8993e726b90d34d54</t>
        </is>
      </c>
      <c r="BH624" s="24" t="inlineStr">
        <is>
          <t>2026-09-11T22:03:02.812076Z</t>
        </is>
      </c>
      <c r="BI624" s="24" t="inlineStr">
        <is>
          <t>["same_event","same_team_same_day","same_league_same_day"]</t>
        </is>
      </c>
      <c r="BJ624" s="25" t="n"/>
      <c r="BK624" s="26" t="n">
        <v>-203</v>
      </c>
      <c r="BL624" s="27" t="n">
        <v>1.492611</v>
      </c>
      <c r="BM624" s="28" t="n">
        <v>0.669967</v>
      </c>
      <c r="BN624" s="28" t="n"/>
      <c r="BO624" s="28" t="n"/>
      <c r="BP624" s="25" t="n"/>
      <c r="BQ624" s="27" t="n">
        <v>1.492611</v>
      </c>
      <c r="BR624" s="28" t="n">
        <v>0.67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0.492611</v>
      </c>
      <c r="BZ624" s="24" t="inlineStr">
        <is>
          <t>2026-09-12T04:30:58.382250Z</t>
        </is>
      </c>
      <c r="CA624" s="31" t="inlineStr">
        <is>
          <t>fixed one-unit hypothetical scoring; no real exposure or execution</t>
        </is>
      </c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False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inlineStr">
        <is>
          <t>a4e4d2e927064cc4069d3f4cfbee4c41a6a52265ce046d0c3aed28e771ecd165</t>
        </is>
      </c>
      <c r="DE624" s="24" t="inlineStr">
        <is>
          <t>/Users/vincentc9002/model-prediction/data/odds/tennis/2026-09-11/polymarket_snapshots.jsonl</t>
        </is>
      </c>
      <c r="DF624" s="24" t="inlineStr">
        <is>
          <t>785339:2026-09-11T22:03:02.812076Z</t>
        </is>
      </c>
      <c r="DG624" s="24" t="n"/>
      <c r="DH624" s="24" t="n"/>
      <c r="DI624" s="24" t="n"/>
      <c r="DJ624" s="24" t="inlineStr">
        <is>
          <t>0.669967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"6c67e999d2a03612e30f4032c8e5e77e8becfbc79e05f4c8993e726b90d34d54", "away_team": "Anna Blinkova", "event_id": "964-2026:183641", "event_start_utc": "2026-09-11T22:30Z", "features": {"elo_p1_surface": 1598.8, "elo_p2_surface": 1510.5, "expected_games_p1": 13.46, "expected_games_p2": 9.43, "expected_total_games": 22.88, "history_matches": 15943, "min_player_matches": 141,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[1606.7896216389527, 1526.2207621009723], "players": ["Anna Blinkova", "Elsa Jacquemot"], "sport": "TENNIS", "surface": "Hard", "surface_counts": [126, 115], "surface_ratings": [1598.7980716533739, 1510.5098042003547]}, "market_type": "moneyline", "model_version": "tennis-surface-elo-v1", "observed_at_utc": "2026-09-11T22:03:43.461720+00:00", "probabilities": {"away": 0.6217, "home": 0.3783}, "replay_scope": "Exact full-precision serving state and rounding; upstream historical observation times are not certified.", "schema": "coded-moneyline-replay-v1", "snapshot_hash": "efd8c58772b2997d258f8bea5a65ad582da8bcab3e2c9e3162709f1ac5b4c4ae", "sport": "TENNIS"}</t>
        </is>
      </c>
    </row>
    <row r="625" ht="36" customHeight="1">
      <c r="A625" s="24" t="inlineStr">
        <is>
          <t>9482364dc051426b</t>
        </is>
      </c>
      <c r="B625" s="24" t="inlineStr">
        <is>
          <t>2026-09-11T22:03:44.963351Z</t>
        </is>
      </c>
      <c r="C625" s="24" t="inlineStr">
        <is>
          <t>2026-09-11T23:00Z</t>
        </is>
      </c>
      <c r="D625" s="24" t="inlineStr">
        <is>
          <t>189-2026:182766</t>
        </is>
      </c>
      <c r="E625" s="24" t="inlineStr">
        <is>
          <t>TENNIS</t>
        </is>
      </c>
      <c r="F625" s="24" t="inlineStr">
        <is>
          <t>Ben Shelton</t>
        </is>
      </c>
      <c r="G625" s="24" t="inlineStr">
        <is>
          <t>Frances Tiafoe</t>
        </is>
      </c>
      <c r="H625" s="24" t="inlineStr">
        <is>
          <t>moneyline</t>
        </is>
      </c>
      <c r="I625" s="24" t="inlineStr">
        <is>
          <t>away</t>
        </is>
      </c>
      <c r="J625" s="25" t="n"/>
      <c r="K625" s="24" t="inlineStr">
        <is>
          <t>polymarket_us</t>
        </is>
      </c>
      <c r="L625" s="26" t="n">
        <v>-264</v>
      </c>
      <c r="M625" s="27" t="n">
        <v>1.378788</v>
      </c>
      <c r="N625" s="28" t="n">
        <v>0.725275</v>
      </c>
      <c r="O625" s="28" t="n">
        <v>0.5581</v>
      </c>
      <c r="P625" s="28" t="n">
        <v>0.05</v>
      </c>
      <c r="Q625" s="28" t="n">
        <v>-0.167175</v>
      </c>
      <c r="R625" s="26" t="n">
        <v>0</v>
      </c>
      <c r="S625" s="29" t="n">
        <v>1</v>
      </c>
      <c r="T625" s="24" t="inlineStr">
        <is>
          <t>tennis-surface-elo-v1</t>
        </is>
      </c>
      <c r="U625" s="24" t="inlineStr">
        <is>
          <t>settled</t>
        </is>
      </c>
      <c r="V625" s="24" t="inlineStr">
        <is>
          <t>win</t>
        </is>
      </c>
      <c r="W625" s="26" t="n">
        <v>1</v>
      </c>
      <c r="X625" s="26" t="n">
        <v>0</v>
      </c>
      <c r="Y625" s="25" t="n"/>
      <c r="Z625" s="26" t="n">
        <v>-264</v>
      </c>
      <c r="AA625" s="28" t="n">
        <v>0.725</v>
      </c>
      <c r="AB625" s="28" t="n">
        <v>-0.000275</v>
      </c>
      <c r="AC625" s="30" t="n">
        <v>0.3788</v>
      </c>
      <c r="AD625" s="24" t="inlineStr">
        <is>
          <t>2026-09-12T04:30:59.491416Z</t>
        </is>
      </c>
      <c r="AE625" s="31" t="inlineStr">
        <is>
          <t>Surface-blended Elo on Hard: Ben Shelton p=0.558 vs Frances Tiafoe. Executable ask 0.7250 (aec-atp-fratia-benshe-2026-09-10).</t>
        </is>
      </c>
      <c r="AF625" s="31" t="inlineStr">
        <is>
          <t>Surface-blended Elo model; singles only, WTA+ATP market coverage, not yet locked-holdout qualified -- promoted by explicit operator directive, not genuine walk-forward validation.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PAPER_CALL_LOW_EDGE</t>
        </is>
      </c>
      <c r="AP625" s="24" t="inlineStr">
        <is>
          <t>Ben Shelton</t>
        </is>
      </c>
      <c r="AQ625" s="24" t="inlineStr">
        <is>
          <t>Ben Shelton</t>
        </is>
      </c>
      <c r="AR625" s="24" t="inlineStr">
        <is>
          <t>Ben Shelton</t>
        </is>
      </c>
      <c r="AS625" s="24" t="inlineStr">
        <is>
          <t>Frances Tiafoe</t>
        </is>
      </c>
      <c r="AT625" s="24" t="inlineStr">
        <is>
          <t>Frances Tiafoe</t>
        </is>
      </c>
      <c r="AU625" s="24" t="inlineStr">
        <is>
          <t>Frances Tiafoe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6c67e999d2a03612e30f4032c8e5e77e8becfbc79e05f4c8993e726b90d34d54</t>
        </is>
      </c>
      <c r="BB625" s="24" t="inlineStr">
        <is>
          <t>surface_blended_elo</t>
        </is>
      </c>
      <c r="BC625" s="24" t="inlineStr">
        <is>
          <t>tennis-surface-elo-v1</t>
        </is>
      </c>
      <c r="BD625" s="24" t="inlineStr">
        <is>
          <t>6c67e999d2a03612e30f4032c8e5e77e8becfbc79e05f4c8993e726b90d34d54</t>
        </is>
      </c>
      <c r="BE625" s="24" t="inlineStr">
        <is>
          <t>tennis-surface-elo-v1</t>
        </is>
      </c>
      <c r="BF625" s="24" t="inlineStr">
        <is>
          <t>1</t>
        </is>
      </c>
      <c r="BG625" s="24" t="inlineStr">
        <is>
          <t>6c67e999d2a03612e30f4032c8e5e77e8becfbc79e05f4c8993e726b90d34d54</t>
        </is>
      </c>
      <c r="BH625" s="24" t="inlineStr">
        <is>
          <t>2026-09-11T22:03:03.689180Z</t>
        </is>
      </c>
      <c r="BI625" s="24" t="inlineStr">
        <is>
          <t>["same_event","same_team_same_day","same_league_same_day"]</t>
        </is>
      </c>
      <c r="BJ625" s="25" t="n"/>
      <c r="BK625" s="26" t="n">
        <v>-264</v>
      </c>
      <c r="BL625" s="27" t="n">
        <v>1.378788</v>
      </c>
      <c r="BM625" s="28" t="n">
        <v>0.725275</v>
      </c>
      <c r="BN625" s="28" t="n"/>
      <c r="BO625" s="28" t="n"/>
      <c r="BP625" s="25" t="n"/>
      <c r="BQ625" s="27" t="n">
        <v>1.378788</v>
      </c>
      <c r="BR625" s="28" t="n">
        <v>0.725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0.378787</v>
      </c>
      <c r="BZ625" s="24" t="inlineStr">
        <is>
          <t>2026-09-12T04:30:59.491416Z</t>
        </is>
      </c>
      <c r="CA625" s="31" t="inlineStr">
        <is>
          <t>fixed one-unit hypothetical scoring; no real exposure or execution</t>
        </is>
      </c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False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inlineStr">
        <is>
          <t>351a0dc521966561b8aee9d473c2986ac29c6e0cedd01300423f20de9448ff44</t>
        </is>
      </c>
      <c r="DE625" s="24" t="inlineStr">
        <is>
          <t>/Users/vincentc9002/model-prediction/data/odds/tennis/2026-09-11/polymarket_snapshots.jsonl</t>
        </is>
      </c>
      <c r="DF625" s="24" t="inlineStr">
        <is>
          <t>767400:2026-09-11T22:03:03.689180Z</t>
        </is>
      </c>
      <c r="DG625" s="24" t="n"/>
      <c r="DH625" s="24" t="n"/>
      <c r="DI625" s="24" t="n"/>
      <c r="DJ625" s="24" t="inlineStr">
        <is>
          <t>0.725275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"6c67e999d2a03612e30f4032c8e5e77e8becfbc79e05f4c8993e726b90d34d54", "away_team": "Ben Shelton", "event_id": "189-2026:182766", "event_start_utc": "2026-09-11T23:00Z", "features": {"elo_p1_surface": 1898.0, "elo_p2_surface": 1837.4, "expected_games_p1": 13.69, "expected_games_p2": 10.91, "expected_total_games": 24.6, "history_matches": 11207, "min_player_matches": 160, "surface": "Hard"}, "historical_source_observation_times_verified": false, "home_team": "Frances Tiafoe", "inference_inputs": {"code_sha256": {"features/elo_ratings.py": "8525faf022a6343c452286dbfeb17dbb043744c6bdabbe448b6b371216da439b", "models/tennis.py": "6c67e999d2a03612e30f4032c8e5e77e8becfbc79e05f4c8993e726b90d34d54"}, "overall_ratings": [1855.3572549455819, 1878.798006010687], "players": ["Ben Shelton", "Frances Tiafoe"], "sport": "TENNIS", "surface": "Hard", "surface_counts": [139, 121], "surface_ratings": [1898.0354871387524, 1837.433869603098]}, "market_type": "moneyline", "model_version": "tennis-surface-elo-v1", "observed_at_utc": "2026-09-11T22:03:43.461720+00:00", "probabilities": {"away": 0.5581, "home": 0.4419}, "replay_scope": "Exact full-precision serving state and rounding; upstream historical observation times are not certified.", "schema": "coded-moneyline-replay-v1", "snapshot_hash": "d964988dcc7bd39589bd1e3be9e600b5e2ddfede90d850e25968ce3ab418a9e8", "sport": "TENNIS"}</t>
        </is>
      </c>
    </row>
    <row r="626" ht="36" customHeight="1">
      <c r="A626" s="24" t="inlineStr">
        <is>
          <t>0976cd2584094a3e</t>
        </is>
      </c>
      <c r="B626" s="24" t="inlineStr">
        <is>
          <t>2026-09-12T04:37:33.303202Z</t>
        </is>
      </c>
      <c r="C626" s="24" t="inlineStr">
        <is>
          <t>2026-09-12T10:00Z</t>
        </is>
      </c>
      <c r="D626" s="24" t="inlineStr">
        <is>
          <t>1076-2026:183559</t>
        </is>
      </c>
      <c r="E626" s="24" t="inlineStr">
        <is>
          <t>TENNIS</t>
        </is>
      </c>
      <c r="F626" s="24" t="inlineStr">
        <is>
          <t>Irene Burillo</t>
        </is>
      </c>
      <c r="G626" s="24" t="inlineStr">
        <is>
          <t>Rositsa Dencheva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-257</v>
      </c>
      <c r="M626" s="27" t="n">
        <v>1.389105</v>
      </c>
      <c r="N626" s="28" t="n">
        <v>0.719888</v>
      </c>
      <c r="O626" s="28" t="n">
        <v>0.642</v>
      </c>
      <c r="P626" s="28" t="n">
        <v>0.05</v>
      </c>
      <c r="Q626" s="28" t="n">
        <v>-0.077888</v>
      </c>
      <c r="R626" s="26" t="n">
        <v>0</v>
      </c>
      <c r="S626" s="29" t="n">
        <v>1</v>
      </c>
      <c r="T626" s="24" t="inlineStr">
        <is>
          <t>tennis-surface-elo-v1</t>
        </is>
      </c>
      <c r="U626" s="24" t="inlineStr">
        <is>
          <t>settled</t>
        </is>
      </c>
      <c r="V626" s="24" t="inlineStr">
        <is>
          <t>win</t>
        </is>
      </c>
      <c r="W626" s="26" t="n">
        <v>0</v>
      </c>
      <c r="X626" s="26" t="n">
        <v>1</v>
      </c>
      <c r="Y626" s="25" t="n"/>
      <c r="Z626" s="26" t="n">
        <v>-257</v>
      </c>
      <c r="AA626" s="28" t="n">
        <v>0.72</v>
      </c>
      <c r="AB626" s="28" t="n">
        <v>0.000112</v>
      </c>
      <c r="AC626" s="30" t="n">
        <v>0.3891</v>
      </c>
      <c r="AD626" s="24" t="inlineStr">
        <is>
          <t>2026-09-12T16:00:14.130077Z</t>
        </is>
      </c>
      <c r="AE626" s="31" t="inlineStr">
        <is>
          <t>Surface-blended Elo on Hard: Irene Burillo p=0.358 vs Rositsa Dencheva. Executable ask 0.7200 (aec-wta-rosden-ireesc-2026-09-12).</t>
        </is>
      </c>
      <c r="AF626" s="31" t="inlineStr">
        <is>
          <t>Surface-blended Elo model; singles only, WTA+ATP market coverage, not yet locked-holdout qualified -- promoted by explicit operator directive, not genuine walk-forward validation.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PAPER_CALL_MODEL_UNVALIDATED</t>
        </is>
      </c>
      <c r="AP626" s="24" t="inlineStr">
        <is>
          <t>Irene Burillo</t>
        </is>
      </c>
      <c r="AQ626" s="24" t="inlineStr">
        <is>
          <t>Irene Burillo</t>
        </is>
      </c>
      <c r="AR626" s="24" t="inlineStr">
        <is>
          <t>Irene Burillo</t>
        </is>
      </c>
      <c r="AS626" s="24" t="inlineStr">
        <is>
          <t>Rositsa Dencheva</t>
        </is>
      </c>
      <c r="AT626" s="24" t="inlineStr">
        <is>
          <t>Rositsa Dencheva</t>
        </is>
      </c>
      <c r="AU626" s="24" t="inlineStr">
        <is>
          <t>Rositsa Dencheva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6c67e999d2a03612e30f4032c8e5e77e8becfbc79e05f4c8993e726b90d34d54</t>
        </is>
      </c>
      <c r="BB626" s="24" t="inlineStr">
        <is>
          <t>surface_blended_elo</t>
        </is>
      </c>
      <c r="BC626" s="24" t="inlineStr">
        <is>
          <t>tennis-surface-elo-v1</t>
        </is>
      </c>
      <c r="BD626" s="24" t="inlineStr">
        <is>
          <t>6c67e999d2a03612e30f4032c8e5e77e8becfbc79e05f4c8993e726b90d34d54</t>
        </is>
      </c>
      <c r="BE626" s="24" t="inlineStr">
        <is>
          <t>tennis-surface-elo-v1</t>
        </is>
      </c>
      <c r="BF626" s="24" t="inlineStr">
        <is>
          <t>1</t>
        </is>
      </c>
      <c r="BG626" s="24" t="inlineStr">
        <is>
          <t>6c67e999d2a03612e30f4032c8e5e77e8becfbc79e05f4c8993e726b90d34d54</t>
        </is>
      </c>
      <c r="BH626" s="24" t="inlineStr">
        <is>
          <t>2026-09-12T04:36:17.812748Z</t>
        </is>
      </c>
      <c r="BI626" s="24" t="inlineStr">
        <is>
          <t>["same_event","same_team_same_day","same_league_same_day"]</t>
        </is>
      </c>
      <c r="BJ626" s="25" t="n"/>
      <c r="BK626" s="26" t="n">
        <v>-257</v>
      </c>
      <c r="BL626" s="27" t="n">
        <v>1.389105</v>
      </c>
      <c r="BM626" s="28" t="n">
        <v>0.719888</v>
      </c>
      <c r="BN626" s="28" t="n"/>
      <c r="BO626" s="28" t="n"/>
      <c r="BP626" s="25" t="n"/>
      <c r="BQ626" s="27" t="n">
        <v>1.389105</v>
      </c>
      <c r="BR626" s="28" t="n">
        <v>0.72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0.389105</v>
      </c>
      <c r="BZ626" s="24" t="inlineStr">
        <is>
          <t>2026-09-12T16:00:14.130077Z</t>
        </is>
      </c>
      <c r="CA626" s="31" t="inlineStr">
        <is>
          <t>fixed one-unit hypothetical scoring; no real exposure or execution</t>
        </is>
      </c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inlineStr">
        <is>
          <t>31abf30e0bf664d838f53e1faa2662b1b63b4842f248978fe5b39aae961340b1</t>
        </is>
      </c>
      <c r="DE626" s="24" t="inlineStr">
        <is>
          <t>/Users/vincentc9002/model-prediction/data/odds/tennis/2026-09-12/polymarket_snapshots.jsonl</t>
        </is>
      </c>
      <c r="DF626" s="24" t="inlineStr">
        <is>
          <t>790661:2026-09-12T04:36:17.812748Z</t>
        </is>
      </c>
      <c r="DG626" s="24" t="n"/>
      <c r="DH626" s="24" t="n"/>
      <c r="DI626" s="24" t="n"/>
      <c r="DJ626" s="24" t="inlineStr">
        <is>
          <t>0.719888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"6c67e999d2a03612e30f4032c8e5e77e8becfbc79e05f4c8993e726b90d34d54", "away_team": "Irene Burillo", "event_id": "1076-2026:183559", "event_start_utc": "2026-09-12T10:00Z", "features": {"elo_p1_surface": 1485.4, "elo_p2_surface": 1578.3, "expected_games_p1": 9.71, "expected_games_p2": 13.29, "expected_total_games": 23.0, "history_matches": 15953, "min_player_matches": 5, "surface": "Hard"}, "historical_source_observation_times_verified": false, "home_team": "Rositsa Dencheva", "inference_inputs": {"code_sha256": {"features/elo_ratings.py": "8525faf022a6343c452286dbfeb17dbb043744c6bdabbe448b6b371216da439b", "models/tennis.py": "6c67e999d2a03612e30f4032c8e5e77e8becfbc79e05f4c8993e726b90d34d54"}, "overall_ratings": [1467.2350070336176, 1580.355552666662], "players": ["Irene Burillo", "Rositsa Dencheva"], "sport": "TENNIS", "surface": "Hard", "surface_counts": [40, 5], "surface_ratings": [1485.3770054670263, 1578.3082658587898]}, "market_type": "moneyline", "model_version": "tennis-surface-elo-v1", "observed_at_utc": "2026-09-12T04:37:31.050393+00:00", "probabilities": {"away": 0.358, "home": 0.642}, "replay_scope": "Exact full-precision serving state and rounding; upstream historical observation times are not certified.", "schema": "coded-moneyline-replay-v1", "snapshot_hash": "67bca8db2046b7a81765d07199dc8b536c17ec60aca7265700ec1e17f97f43f3", "sport": "TENNIS"}</t>
        </is>
      </c>
    </row>
    <row r="627" ht="36" customHeight="1">
      <c r="A627" s="24" t="inlineStr">
        <is>
          <t>910eff7166ed4a5f</t>
        </is>
      </c>
      <c r="B627" s="24" t="inlineStr">
        <is>
          <t>2026-09-12T10:07:04.732639Z</t>
        </is>
      </c>
      <c r="C627" s="24" t="inlineStr">
        <is>
          <t>2026-09-12T14:00Z</t>
        </is>
      </c>
      <c r="D627" s="24" t="inlineStr">
        <is>
          <t>998-2026:183605</t>
        </is>
      </c>
      <c r="E627" s="24" t="inlineStr">
        <is>
          <t>TENNIS</t>
        </is>
      </c>
      <c r="F627" s="24" t="inlineStr">
        <is>
          <t>Fiona Ferro</t>
        </is>
      </c>
      <c r="G627" s="24" t="inlineStr">
        <is>
          <t>Dalma Galfi</t>
        </is>
      </c>
      <c r="H627" s="24" t="inlineStr">
        <is>
          <t>moneyline</t>
        </is>
      </c>
      <c r="I627" s="24" t="inlineStr">
        <is>
          <t>away</t>
        </is>
      </c>
      <c r="J627" s="25" t="n"/>
      <c r="K627" s="24" t="inlineStr">
        <is>
          <t>polymarket_us</t>
        </is>
      </c>
      <c r="L627" s="26" t="n">
        <v>-150</v>
      </c>
      <c r="M627" s="27" t="n">
        <v>1.666667</v>
      </c>
      <c r="N627" s="28" t="n">
        <v>0.6</v>
      </c>
      <c r="O627" s="28" t="n">
        <v>0.6238</v>
      </c>
      <c r="P627" s="28" t="n">
        <v>0.05</v>
      </c>
      <c r="Q627" s="28" t="n">
        <v>0.0238</v>
      </c>
      <c r="R627" s="26" t="n">
        <v>32</v>
      </c>
      <c r="S627" s="29" t="n">
        <v>1</v>
      </c>
      <c r="T627" s="24" t="inlineStr">
        <is>
          <t>tennis-surface-elo-v1</t>
        </is>
      </c>
      <c r="U627" s="24" t="inlineStr">
        <is>
          <t>settled</t>
        </is>
      </c>
      <c r="V627" s="24" t="inlineStr">
        <is>
          <t>win</t>
        </is>
      </c>
      <c r="W627" s="26" t="n">
        <v>1</v>
      </c>
      <c r="X627" s="26" t="n">
        <v>0</v>
      </c>
      <c r="Y627" s="25" t="n"/>
      <c r="Z627" s="26" t="n">
        <v>-150</v>
      </c>
      <c r="AA627" s="28" t="n">
        <v>0.6</v>
      </c>
      <c r="AB627" s="28" t="n">
        <v>0</v>
      </c>
      <c r="AC627" s="30" t="n">
        <v>0.6667</v>
      </c>
      <c r="AD627" s="24" t="inlineStr">
        <is>
          <t>2026-09-12T22:00:35.006806Z</t>
        </is>
      </c>
      <c r="AE627" s="31" t="inlineStr">
        <is>
          <t>Surface-blended Elo on Hard: Fiona Ferro p=0.624 vs Dalma Galfi. Executable ask 0.6000 (aec-wta-dalgal-fiofer-2026-09-12).</t>
        </is>
      </c>
      <c r="AF627" s="31" t="inlineStr">
        <is>
          <t>Surface-blended Elo model; singles only, WTA+ATP market coverage, not yet locked-holdout qualified -- promoted by explicit operator directive, not genuine walk-forward validation.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Fiona Ferro</t>
        </is>
      </c>
      <c r="AQ627" s="24" t="inlineStr">
        <is>
          <t>Fiona Ferro</t>
        </is>
      </c>
      <c r="AR627" s="24" t="inlineStr">
        <is>
          <t>Fiona Ferro</t>
        </is>
      </c>
      <c r="AS627" s="24" t="inlineStr">
        <is>
          <t>Dalma Galfi</t>
        </is>
      </c>
      <c r="AT627" s="24" t="inlineStr">
        <is>
          <t>Dalma Galfi</t>
        </is>
      </c>
      <c r="AU627" s="24" t="inlineStr">
        <is>
          <t>Dalma Galfi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6c67e999d2a03612e30f4032c8e5e77e8becfbc79e05f4c8993e726b90d34d54</t>
        </is>
      </c>
      <c r="BB627" s="24" t="inlineStr">
        <is>
          <t>surface_blended_elo</t>
        </is>
      </c>
      <c r="BC627" s="24" t="inlineStr">
        <is>
          <t>tennis-surface-elo-v1</t>
        </is>
      </c>
      <c r="BD627" s="24" t="inlineStr">
        <is>
          <t>6c67e999d2a03612e30f4032c8e5e77e8becfbc79e05f4c8993e726b90d34d54</t>
        </is>
      </c>
      <c r="BE627" s="24" t="inlineStr">
        <is>
          <t>tennis-surface-elo-v1</t>
        </is>
      </c>
      <c r="BF627" s="24" t="inlineStr">
        <is>
          <t>1</t>
        </is>
      </c>
      <c r="BG627" s="24" t="inlineStr">
        <is>
          <t>6c67e999d2a03612e30f4032c8e5e77e8becfbc79e05f4c8993e726b90d34d54</t>
        </is>
      </c>
      <c r="BH627" s="24" t="inlineStr">
        <is>
          <t>2026-09-12T10:05:55.627786Z</t>
        </is>
      </c>
      <c r="BI627" s="24" t="inlineStr">
        <is>
          <t>["same_event","same_team_same_day","same_league_same_day"]</t>
        </is>
      </c>
      <c r="BJ627" s="25" t="n"/>
      <c r="BK627" s="26" t="n">
        <v>-150</v>
      </c>
      <c r="BL627" s="27" t="n">
        <v>1.666667</v>
      </c>
      <c r="BM627" s="28" t="n">
        <v>0.6</v>
      </c>
      <c r="BN627" s="28" t="n"/>
      <c r="BO627" s="28" t="n"/>
      <c r="BP627" s="25" t="n"/>
      <c r="BQ627" s="27" t="n">
        <v>1.666667</v>
      </c>
      <c r="BR627" s="28" t="n">
        <v>0.6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0.666667</v>
      </c>
      <c r="BZ627" s="24" t="inlineStr">
        <is>
          <t>2026-09-12T22:00:35.006806Z</t>
        </is>
      </c>
      <c r="CA627" s="31" t="inlineStr">
        <is>
          <t>fixed one-unit hypothetical scoring; no real exposure or execution</t>
        </is>
      </c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inlineStr">
        <is>
          <t>4e7a8884d420207d7a6e544c33a18861032b7cda0f2f07fdf0e5d56d4e179282</t>
        </is>
      </c>
      <c r="DE627" s="24" t="inlineStr">
        <is>
          <t>/Users/vincentc9002/model-prediction/data/odds/tennis/2026-09-12/polymarket_snapshots.jsonl</t>
        </is>
      </c>
      <c r="DF627" s="24" t="inlineStr">
        <is>
          <t>792708:2026-09-12T10:05:55.627786Z</t>
        </is>
      </c>
      <c r="DG627" s="24" t="n"/>
      <c r="DH627" s="24" t="n"/>
      <c r="DI627" s="24" t="n"/>
      <c r="DJ627" s="24" t="inlineStr">
        <is>
          <t>0.6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"6c67e999d2a03612e30f4032c8e5e77e8becfbc79e05f4c8993e726b90d34d54", "away_team": "Fiona Ferro", "event_id": "998-2026:183605", "event_start_utc": "2026-09-12T14:00Z", "features": {"elo_p1_surface": 1643.0, "elo_p2_surface": 1540.4, "expected_games_p1": 13.43, "expected_games_p2": 8.91, "expected_total_games": 22.34, "history_matches": 15953, "min_player_matches": 80, "surface": "Hard"}, "historical_source_observation_times_verified": false, "home_team": "Dalma Galfi", "inference_inputs": {"code_sha256": {"features/elo_ratings.py": "8525faf022a6343c452286dbfeb17dbb043744c6bdabbe448b6b371216da439b", "models/tennis.py": "6c67e999d2a03612e30f4032c8e5e77e8becfbc79e05f4c8993e726b90d34d54"}, "overall_ratings": [1607.8155231935998, 1556.655820668132], "players": ["Fiona Ferro", "Dalma Galfi"], "sport": "TENNIS", "surface": "Hard", "surface_counts": [69, 104], "surface_ratings": [1643.032209727342, 1540.409259510885]}, "market_type": "moneyline", "model_version": "tennis-surface-elo-v1", "observed_at_utc": "2026-09-12T10:07:01.269630+00:00", "probabilities": {"away": 0.6238, "home": 0.3762}, "replay_scope": "Exact full-precision serving state and rounding; upstream historical observation times are not certified.", "schema": "coded-moneyline-replay-v1", "snapshot_hash": "85dd24908b3b13d5df5ed24187ac9b7d6dc757c48fbdc64c47fe35743dd2db1f", "sport": "TENNIS"}</t>
        </is>
      </c>
    </row>
    <row r="628" ht="36" customHeight="1">
      <c r="A628" s="24" t="inlineStr">
        <is>
          <t>9cff535581894804</t>
        </is>
      </c>
      <c r="B628" s="24" t="inlineStr">
        <is>
          <t>2026-09-12T10:07:04.732639Z</t>
        </is>
      </c>
      <c r="C628" s="24" t="inlineStr">
        <is>
          <t>2026-09-12T11:30Z</t>
        </is>
      </c>
      <c r="D628" s="24" t="inlineStr">
        <is>
          <t>1076-2026:183558</t>
        </is>
      </c>
      <c r="E628" s="24" t="inlineStr">
        <is>
          <t>TENNIS</t>
        </is>
      </c>
      <c r="F628" s="24" t="inlineStr">
        <is>
          <t>Alicia Herrero Linana</t>
        </is>
      </c>
      <c r="G628" s="24" t="inlineStr">
        <is>
          <t>Alevtina Ibragimova</t>
        </is>
      </c>
      <c r="H628" s="24" t="inlineStr">
        <is>
          <t>moneyline</t>
        </is>
      </c>
      <c r="I628" s="24" t="inlineStr">
        <is>
          <t>home</t>
        </is>
      </c>
      <c r="J628" s="25" t="n"/>
      <c r="K628" s="24" t="inlineStr">
        <is>
          <t>polymarket_us</t>
        </is>
      </c>
      <c r="L628" s="26" t="n">
        <v>-163</v>
      </c>
      <c r="M628" s="27" t="n">
        <v>1.613497</v>
      </c>
      <c r="N628" s="28" t="n">
        <v>0.619772</v>
      </c>
      <c r="O628" s="28" t="n">
        <v>0.5236</v>
      </c>
      <c r="P628" s="28" t="n">
        <v>0.05</v>
      </c>
      <c r="Q628" s="28" t="n">
        <v>-0.09617199999999999</v>
      </c>
      <c r="R628" s="26" t="n">
        <v>0</v>
      </c>
      <c r="S628" s="29" t="n">
        <v>1</v>
      </c>
      <c r="T628" s="24" t="inlineStr">
        <is>
          <t>tennis-surface-elo-v1</t>
        </is>
      </c>
      <c r="U628" s="24" t="inlineStr">
        <is>
          <t>settled</t>
        </is>
      </c>
      <c r="V628" s="24" t="inlineStr">
        <is>
          <t>win</t>
        </is>
      </c>
      <c r="W628" s="26" t="n">
        <v>0</v>
      </c>
      <c r="X628" s="26" t="n">
        <v>1</v>
      </c>
      <c r="Y628" s="25" t="n"/>
      <c r="Z628" s="26" t="n">
        <v>-163</v>
      </c>
      <c r="AA628" s="28" t="n">
        <v>0.62</v>
      </c>
      <c r="AB628" s="28" t="n">
        <v>0.000228</v>
      </c>
      <c r="AC628" s="30" t="n">
        <v>0.6135</v>
      </c>
      <c r="AD628" s="24" t="inlineStr">
        <is>
          <t>2026-09-12T16:00:28.835156Z</t>
        </is>
      </c>
      <c r="AE628" s="31" t="inlineStr">
        <is>
          <t>Surface-blended Elo on Hard: Alicia Herrero Linana p=0.476 vs Alevtina Ibragimova. Executable ask 0.6200 (aec-wta-aleibr-alilin-2026-09-12).</t>
        </is>
      </c>
      <c r="AF628" s="31" t="inlineStr">
        <is>
          <t>Surface-blended Elo model; singles only, WTA+ATP market coverage, not yet locked-holdout qualified -- promoted by explicit operator directive, not genuine walk-forward validation.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PAPER_CALL_LOW_EDGE</t>
        </is>
      </c>
      <c r="AP628" s="24" t="inlineStr">
        <is>
          <t>Alicia Herrero Linana</t>
        </is>
      </c>
      <c r="AQ628" s="24" t="inlineStr">
        <is>
          <t>Alicia Herrero Linana</t>
        </is>
      </c>
      <c r="AR628" s="24" t="inlineStr">
        <is>
          <t>Alicia Herrero Linana</t>
        </is>
      </c>
      <c r="AS628" s="24" t="inlineStr">
        <is>
          <t>Alevtina Ibragimova</t>
        </is>
      </c>
      <c r="AT628" s="24" t="inlineStr">
        <is>
          <t>Alevtina Ibragimova</t>
        </is>
      </c>
      <c r="AU628" s="24" t="inlineStr">
        <is>
          <t>Alevtina Ibragimova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6c67e999d2a03612e30f4032c8e5e77e8becfbc79e05f4c8993e726b90d34d54</t>
        </is>
      </c>
      <c r="BB628" s="24" t="inlineStr">
        <is>
          <t>surface_blended_elo</t>
        </is>
      </c>
      <c r="BC628" s="24" t="inlineStr">
        <is>
          <t>tennis-surface-elo-v1</t>
        </is>
      </c>
      <c r="BD628" s="24" t="inlineStr">
        <is>
          <t>6c67e999d2a03612e30f4032c8e5e77e8becfbc79e05f4c8993e726b90d34d54</t>
        </is>
      </c>
      <c r="BE628" s="24" t="inlineStr">
        <is>
          <t>tennis-surface-elo-v1</t>
        </is>
      </c>
      <c r="BF628" s="24" t="inlineStr">
        <is>
          <t>1</t>
        </is>
      </c>
      <c r="BG628" s="24" t="inlineStr">
        <is>
          <t>6c67e999d2a03612e30f4032c8e5e77e8becfbc79e05f4c8993e726b90d34d54</t>
        </is>
      </c>
      <c r="BH628" s="24" t="inlineStr">
        <is>
          <t>2026-09-12T10:05:54.597411Z</t>
        </is>
      </c>
      <c r="BI628" s="24" t="inlineStr">
        <is>
          <t>["same_event","same_team_same_day","same_league_same_day"]</t>
        </is>
      </c>
      <c r="BJ628" s="25" t="n"/>
      <c r="BK628" s="26" t="n">
        <v>-163</v>
      </c>
      <c r="BL628" s="27" t="n">
        <v>1.613497</v>
      </c>
      <c r="BM628" s="28" t="n">
        <v>0.619772</v>
      </c>
      <c r="BN628" s="28" t="n"/>
      <c r="BO628" s="28" t="n"/>
      <c r="BP628" s="25" t="n"/>
      <c r="BQ628" s="27" t="n">
        <v>1.613497</v>
      </c>
      <c r="BR628" s="28" t="n">
        <v>0.62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0.613497</v>
      </c>
      <c r="BZ628" s="24" t="inlineStr">
        <is>
          <t>2026-09-12T16:00:28.835156Z</t>
        </is>
      </c>
      <c r="CA628" s="31" t="inlineStr">
        <is>
          <t>fixed one-unit hypothetical scoring; no real exposure or execution</t>
        </is>
      </c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False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inlineStr">
        <is>
          <t>97979f90c09e81635d325d9c1a99a653ce7676f3b6bcf306a9eab722611b86f3</t>
        </is>
      </c>
      <c r="DE628" s="24" t="inlineStr">
        <is>
          <t>/Users/vincentc9002/model-prediction/data/odds/tennis/2026-09-12/polymarket_snapshots.jsonl</t>
        </is>
      </c>
      <c r="DF628" s="24" t="inlineStr">
        <is>
          <t>792709:2026-09-12T10:05:54.597411Z</t>
        </is>
      </c>
      <c r="DG628" s="24" t="n"/>
      <c r="DH628" s="24" t="n"/>
      <c r="DI628" s="24" t="n"/>
      <c r="DJ628" s="24" t="inlineStr">
        <is>
          <t>0.619772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"6c67e999d2a03612e30f4032c8e5e77e8becfbc79e05f4c8993e726b90d34d54", "away_team": "Alicia Herrero Linana", "event_id": "1076-2026:183558", "event_start_utc": "2026-09-12T11:30Z", "features": {"elo_p1_surface": 1578.2, "elo_p2_surface": 1597.1, "expected_games_p1": 12.09, "expected_games_p2": 12.63, "expected_total_games": 24.73, "history_matches": 15953, "min_player_matches": 34, "surface": "Hard"}, "historical_source_observation_times_verified": false, "home_team": "Alevtina Ibragimova", "inference_inputs": {"code_sha256": {"features/elo_ratings.py": "8525faf022a6343c452286dbfeb17dbb043744c6bdabbe448b6b371216da439b", "models/tennis.py": "6c67e999d2a03612e30f4032c8e5e77e8becfbc79e05f4c8993e726b90d34d54"}, "overall_ratings": [1579.345349868238, 1591.9340336566186], "players": ["Alicia Herrero Linana", "Alevtina Ibragimova"], "sport": "TENNIS", "surface": "Hard", "surface_counts": [34, 39], "surface_ratings": [1578.2361279398115, 1597.1479481883687]}, "market_type": "moneyline", "model_version": "tennis-surface-elo-v1", "observed_at_utc": "2026-09-12T10:07:01.269630+00:00", "probabilities": {"away": 0.4764, "home": 0.5236}, "replay_scope": "Exact full-precision serving state and rounding; upstream historical observation times are not certified.", "schema": "coded-moneyline-replay-v1", "snapshot_hash": "39f52f51e3f73517987309556e8466c846b20987684e501f9f3a0452d28039d9", "sport": "TENNIS"}</t>
        </is>
      </c>
    </row>
    <row r="629" ht="36" customHeight="1">
      <c r="A629" s="24" t="inlineStr">
        <is>
          <t>e3697acb4f3b4b6b</t>
        </is>
      </c>
      <c r="B629" s="24" t="inlineStr">
        <is>
          <t>2026-09-12T10:07:04.732639Z</t>
        </is>
      </c>
      <c r="C629" s="24" t="inlineStr">
        <is>
          <t>2026-09-12T13:00Z</t>
        </is>
      </c>
      <c r="D629" s="24" t="inlineStr">
        <is>
          <t>1005-2026:185901</t>
        </is>
      </c>
      <c r="E629" s="24" t="inlineStr">
        <is>
          <t>TENNIS</t>
        </is>
      </c>
      <c r="F629" s="24" t="inlineStr">
        <is>
          <t>Lizette Cabrera</t>
        </is>
      </c>
      <c r="G629" s="24" t="inlineStr">
        <is>
          <t>Victoria Bosio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-223</v>
      </c>
      <c r="M629" s="27" t="n">
        <v>1.44843</v>
      </c>
      <c r="N629" s="28" t="n">
        <v>0.690402</v>
      </c>
      <c r="O629" s="28" t="n">
        <v>0.5098</v>
      </c>
      <c r="P629" s="28" t="n">
        <v>0.05</v>
      </c>
      <c r="Q629" s="28" t="n">
        <v>-0.180602</v>
      </c>
      <c r="R629" s="26" t="n">
        <v>0</v>
      </c>
      <c r="S629" s="29" t="n">
        <v>1</v>
      </c>
      <c r="T629" s="24" t="inlineStr">
        <is>
          <t>tennis-surface-elo-v1</t>
        </is>
      </c>
      <c r="U629" s="24" t="inlineStr">
        <is>
          <t>settled</t>
        </is>
      </c>
      <c r="V629" s="24" t="inlineStr">
        <is>
          <t>loss</t>
        </is>
      </c>
      <c r="W629" s="26" t="n">
        <v>0</v>
      </c>
      <c r="X629" s="26" t="n">
        <v>1</v>
      </c>
      <c r="Y629" s="25" t="n"/>
      <c r="Z629" s="26" t="n">
        <v>-223</v>
      </c>
      <c r="AA629" s="28" t="n">
        <v>0.6899999999999999</v>
      </c>
      <c r="AB629" s="28" t="n">
        <v>-0.000402</v>
      </c>
      <c r="AC629" s="30" t="n">
        <v>-1</v>
      </c>
      <c r="AD629" s="24" t="inlineStr">
        <is>
          <t>2026-09-13T04:30:14.231833Z</t>
        </is>
      </c>
      <c r="AE629" s="31" t="inlineStr">
        <is>
          <t>Surface-blended Elo on Hard: Lizette Cabrera p=0.510 vs Victoria Bosio. Executable ask 0.6900 (aec-wta-vicbos-lizcab-2026-09-12).</t>
        </is>
      </c>
      <c r="AF629" s="31" t="inlineStr">
        <is>
          <t>Surface-blended Elo model; singles only, WTA+ATP market coverage, not yet locked-holdout qualified -- promoted by explicit operator directive, not genuine walk-forward validation.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Lizette Cabrera</t>
        </is>
      </c>
      <c r="AQ629" s="24" t="inlineStr">
        <is>
          <t>Lizette Cabrera</t>
        </is>
      </c>
      <c r="AR629" s="24" t="inlineStr">
        <is>
          <t>Lizette Cabrera</t>
        </is>
      </c>
      <c r="AS629" s="24" t="inlineStr">
        <is>
          <t>Victoria Bosio</t>
        </is>
      </c>
      <c r="AT629" s="24" t="inlineStr">
        <is>
          <t>Victoria Bosio</t>
        </is>
      </c>
      <c r="AU629" s="24" t="inlineStr">
        <is>
          <t>Victoria Bosio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6c67e999d2a03612e30f4032c8e5e77e8becfbc79e05f4c8993e726b90d34d54</t>
        </is>
      </c>
      <c r="BB629" s="24" t="inlineStr">
        <is>
          <t>surface_blended_elo</t>
        </is>
      </c>
      <c r="BC629" s="24" t="inlineStr">
        <is>
          <t>tennis-surface-elo-v1</t>
        </is>
      </c>
      <c r="BD629" s="24" t="inlineStr">
        <is>
          <t>6c67e999d2a03612e30f4032c8e5e77e8becfbc79e05f4c8993e726b90d34d54</t>
        </is>
      </c>
      <c r="BE629" s="24" t="inlineStr">
        <is>
          <t>tennis-surface-elo-v1</t>
        </is>
      </c>
      <c r="BF629" s="24" t="inlineStr">
        <is>
          <t>1</t>
        </is>
      </c>
      <c r="BG629" s="24" t="inlineStr">
        <is>
          <t>6c67e999d2a03612e30f4032c8e5e77e8becfbc79e05f4c8993e726b90d34d54</t>
        </is>
      </c>
      <c r="BH629" s="24" t="inlineStr">
        <is>
          <t>2026-09-12T10:05:55.592859Z</t>
        </is>
      </c>
      <c r="BI629" s="24" t="inlineStr">
        <is>
          <t>["same_event","same_team_same_day","same_league_same_day"]</t>
        </is>
      </c>
      <c r="BJ629" s="25" t="n"/>
      <c r="BK629" s="26" t="n">
        <v>-223</v>
      </c>
      <c r="BL629" s="27" t="n">
        <v>1.44843</v>
      </c>
      <c r="BM629" s="28" t="n">
        <v>0.690402</v>
      </c>
      <c r="BN629" s="28" t="n"/>
      <c r="BO629" s="28" t="n"/>
      <c r="BP629" s="25" t="n"/>
      <c r="BQ629" s="27" t="n">
        <v>1.44843</v>
      </c>
      <c r="BR629" s="28" t="n">
        <v>0.6899999999999999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2026-09-13T04:30:14.231833Z</t>
        </is>
      </c>
      <c r="CA629" s="31" t="inlineStr">
        <is>
          <t>fixed one-unit hypothetical scoring; no real exposure or execution</t>
        </is>
      </c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False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inlineStr">
        <is>
          <t>e8ce73b42844d0f8127e8379398036a7f49a339ee6f49656f8c70f3b031b549a</t>
        </is>
      </c>
      <c r="DE629" s="24" t="inlineStr">
        <is>
          <t>/Users/vincentc9002/model-prediction/data/odds/tennis/2026-09-12/polymarket_snapshots.jsonl</t>
        </is>
      </c>
      <c r="DF629" s="24" t="inlineStr">
        <is>
          <t>796933:2026-09-12T10:05:55.592859Z</t>
        </is>
      </c>
      <c r="DG629" s="24" t="n"/>
      <c r="DH629" s="24" t="n"/>
      <c r="DI629" s="24" t="n"/>
      <c r="DJ629" s="24" t="inlineStr">
        <is>
          <t>0.690402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"6c67e999d2a03612e30f4032c8e5e77e8becfbc79e05f4c8993e726b90d34d54", "away_team": "Lizette Cabrera", "event_id": "1005-2026:185901", "event_start_utc": "2026-09-12T13:00Z", "features": {"elo_p1_surface": 1486.7, "elo_p2_surface": 1479.3, "expected_games_p1": 12.71, "expected_games_p2": 12.05, "expected_total_games": 24.76, "history_matches": 15953, "min_player_matches": 16, "surface": "Hard"}, "historical_source_observation_times_verified": false, "home_team": "Victoria Bosio", "inference_inputs": {"code_sha256": {"features/elo_ratings.py": "8525faf022a6343c452286dbfeb17dbb043744c6bdabbe448b6b371216da439b", "models/tennis.py": "6c67e999d2a03612e30f4032c8e5e77e8becfbc79e05f4c8993e726b90d34d54"}, "overall_ratings": [1482.5018267681332, 1476.6472135317176], "players": ["Lizette Cabrera", "Victoria Bosio"], "sport": "TENNIS", "surface": "Hard", "surface_counts": [19, 14], "surface_ratings": [1486.7452967002444, 1479.3063572131964]}, "market_type": "moneyline", "model_version": "tennis-surface-elo-v1", "observed_at_utc": "2026-09-12T10:07:01.269630+00:00", "probabilities": {"away": 0.5098, "home": 0.4902}, "replay_scope": "Exact full-precision serving state and rounding; upstream historical observation times are not certified.", "schema": "coded-moneyline-replay-v1", "snapshot_hash": "2e6010a6d5e0dd0606aa6547989e8292a5284b770b5d85be6906f6120e1a4987", "sport": "TENNIS"}</t>
        </is>
      </c>
    </row>
    <row r="630" ht="36" customHeight="1">
      <c r="A630" s="24" t="inlineStr">
        <is>
          <t>86241faef7174805</t>
        </is>
      </c>
      <c r="B630" s="24" t="inlineStr">
        <is>
          <t>2026-09-12T10:07:04.732639Z</t>
        </is>
      </c>
      <c r="C630" s="24" t="inlineStr">
        <is>
          <t>2026-09-12T13:00Z</t>
        </is>
      </c>
      <c r="D630" s="24" t="inlineStr">
        <is>
          <t>1005-2026:185900</t>
        </is>
      </c>
      <c r="E630" s="24" t="inlineStr">
        <is>
          <t>TENNIS</t>
        </is>
      </c>
      <c r="F630" s="24" t="inlineStr">
        <is>
          <t>Luiza Fullana</t>
        </is>
      </c>
      <c r="G630" s="24" t="inlineStr">
        <is>
          <t>You Xiaodi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270</v>
      </c>
      <c r="M630" s="27" t="n">
        <v>3.7</v>
      </c>
      <c r="N630" s="28" t="n">
        <v>0.27027</v>
      </c>
      <c r="O630" s="28" t="n">
        <v>0.5365</v>
      </c>
      <c r="P630" s="28" t="n">
        <v>0.05</v>
      </c>
      <c r="Q630" s="28" t="n">
        <v>0.26623</v>
      </c>
      <c r="R630" s="26" t="n">
        <v>100</v>
      </c>
      <c r="S630" s="29" t="n">
        <v>2</v>
      </c>
      <c r="T630" s="24" t="inlineStr">
        <is>
          <t>tennis-surface-elo-v1</t>
        </is>
      </c>
      <c r="U630" s="24" t="inlineStr">
        <is>
          <t>settled</t>
        </is>
      </c>
      <c r="V630" s="24" t="inlineStr">
        <is>
          <t>loss</t>
        </is>
      </c>
      <c r="W630" s="26" t="n">
        <v>0</v>
      </c>
      <c r="X630" s="26" t="n">
        <v>1</v>
      </c>
      <c r="Y630" s="25" t="n"/>
      <c r="Z630" s="26" t="n">
        <v>270</v>
      </c>
      <c r="AA630" s="28" t="n">
        <v>0.27</v>
      </c>
      <c r="AB630" s="28" t="n">
        <v>-0.00027</v>
      </c>
      <c r="AC630" s="30" t="n">
        <v>-2</v>
      </c>
      <c r="AD630" s="24" t="inlineStr">
        <is>
          <t>2026-09-12T22:00:36.151247Z</t>
        </is>
      </c>
      <c r="AE630" s="31" t="inlineStr">
        <is>
          <t>Surface-blended Elo on Hard: Luiza Fullana p=0.536 vs You Xiaodi. Executable ask 0.2700 (aec-wta-xiayou-luiful-2026-09-12).</t>
        </is>
      </c>
      <c r="AF630" s="31" t="inlineStr">
        <is>
          <t>Surface-blended Elo model; singles only, WTA+ATP market coverage, not yet locked-holdout qualified -- promoted by explicit operator directive, not genuine walk-forward validation.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PAPER_CALL_MODEL_UNVALIDATED</t>
        </is>
      </c>
      <c r="AP630" s="24" t="inlineStr">
        <is>
          <t>Luiza Fullana</t>
        </is>
      </c>
      <c r="AQ630" s="24" t="inlineStr">
        <is>
          <t>Luiza Fullana</t>
        </is>
      </c>
      <c r="AR630" s="24" t="inlineStr">
        <is>
          <t>Luiza Fullana</t>
        </is>
      </c>
      <c r="AS630" s="24" t="inlineStr">
        <is>
          <t>You Xiaodi</t>
        </is>
      </c>
      <c r="AT630" s="24" t="inlineStr">
        <is>
          <t>You Xiaodi</t>
        </is>
      </c>
      <c r="AU630" s="24" t="inlineStr">
        <is>
          <t>You Xiaodi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6c67e999d2a03612e30f4032c8e5e77e8becfbc79e05f4c8993e726b90d34d54</t>
        </is>
      </c>
      <c r="BB630" s="24" t="inlineStr">
        <is>
          <t>surface_blended_elo</t>
        </is>
      </c>
      <c r="BC630" s="24" t="inlineStr">
        <is>
          <t>tennis-surface-elo-v1</t>
        </is>
      </c>
      <c r="BD630" s="24" t="inlineStr">
        <is>
          <t>6c67e999d2a03612e30f4032c8e5e77e8becfbc79e05f4c8993e726b90d34d54</t>
        </is>
      </c>
      <c r="BE630" s="24" t="inlineStr">
        <is>
          <t>tennis-surface-elo-v1</t>
        </is>
      </c>
      <c r="BF630" s="24" t="inlineStr">
        <is>
          <t>1</t>
        </is>
      </c>
      <c r="BG630" s="24" t="inlineStr">
        <is>
          <t>6c67e999d2a03612e30f4032c8e5e77e8becfbc79e05f4c8993e726b90d34d54</t>
        </is>
      </c>
      <c r="BH630" s="24" t="inlineStr">
        <is>
          <t>2026-09-12T10:05:55.443953Z</t>
        </is>
      </c>
      <c r="BI630" s="24" t="inlineStr">
        <is>
          <t>["same_event","same_team_same_day","same_league_same_day"]</t>
        </is>
      </c>
      <c r="BJ630" s="25" t="n"/>
      <c r="BK630" s="26" t="n">
        <v>270</v>
      </c>
      <c r="BL630" s="27" t="n">
        <v>3.7</v>
      </c>
      <c r="BM630" s="28" t="n">
        <v>0.27027</v>
      </c>
      <c r="BN630" s="28" t="n"/>
      <c r="BO630" s="28" t="n"/>
      <c r="BP630" s="25" t="n"/>
      <c r="BQ630" s="27" t="n">
        <v>3.7</v>
      </c>
      <c r="BR630" s="28" t="n">
        <v>0.27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-1</v>
      </c>
      <c r="BZ630" s="24" t="inlineStr">
        <is>
          <t>2026-09-12T22:00:36.151247Z</t>
        </is>
      </c>
      <c r="CA630" s="31" t="inlineStr">
        <is>
          <t>fixed one-unit hypothetical scoring; no real exposure or execution</t>
        </is>
      </c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inlineStr">
        <is>
          <t>5043efff25d765febcee89ed7dc5e0d2aec41f0db6c8a796db7d6093b904c396</t>
        </is>
      </c>
      <c r="DE630" s="24" t="inlineStr">
        <is>
          <t>/Users/vincentc9002/model-prediction/data/odds/tennis/2026-09-12/polymarket_snapshots.jsonl</t>
        </is>
      </c>
      <c r="DF630" s="24" t="inlineStr">
        <is>
          <t>798450:2026-09-12T10:05:55.443953Z</t>
        </is>
      </c>
      <c r="DG630" s="24" t="n"/>
      <c r="DH630" s="24" t="n"/>
      <c r="DI630" s="24" t="n"/>
      <c r="DJ630" s="24" t="inlineStr">
        <is>
          <t>0.27027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"6c67e999d2a03612e30f4032c8e5e77e8becfbc79e05f4c8993e726b90d34d54", "away_team": "Luiza Fullana", "event_id": "1005-2026:185900", "event_start_utc": "2026-09-12T13:00Z", "features": {"elo_p1_surface": 1440.6, "elo_p2_surface": 1428.2, "expected_games_p1": 12.81, "expected_games_p2": 11.92, "expected_total_games": 24.72, "history_matches": 15953, "min_player_matches": 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[1440.1312979300726, 1391.0183615736667], "players": ["Luiza Fullana", "You Xiaodi"], "sport": "TENNIS", "surface": "Hard", "surface_counts": [4, 46], "surface_ratings": [1440.5546376277346, 1428.1531926203722]}, "market_type": "moneyline", "model_version": "tennis-surface-elo-v1", "observed_at_utc": "2026-09-12T10:07:01.269630+00:00", "probabilities": {"away": 0.5365, "home": 0.4635}, "replay_scope": "Exact full-precision serving state and rounding; upstream historical observation times are not certified.", "schema": "coded-moneyline-replay-v1", "snapshot_hash": "547160fcf714d93627846a61d34cc8a4789fa78d1e88e67395c301388eb98385", "sport": "TENNIS"}</t>
        </is>
      </c>
    </row>
    <row r="631" ht="36" customHeight="1">
      <c r="A631" s="24" t="inlineStr">
        <is>
          <t>6f6ed397363c4f77</t>
        </is>
      </c>
      <c r="B631" s="24" t="inlineStr">
        <is>
          <t>2026-09-12T10:07:04.732639Z</t>
        </is>
      </c>
      <c r="C631" s="24" t="inlineStr">
        <is>
          <t>2026-09-12T14:30Z</t>
        </is>
      </c>
      <c r="D631" s="24" t="inlineStr">
        <is>
          <t>1005-2026:185896</t>
        </is>
      </c>
      <c r="E631" s="24" t="inlineStr">
        <is>
          <t>TENNIS</t>
        </is>
      </c>
      <c r="F631" s="24" t="inlineStr">
        <is>
          <t>Victoria Rodriguez</t>
        </is>
      </c>
      <c r="G631" s="24" t="inlineStr">
        <is>
          <t>Hayu Kinoshita</t>
        </is>
      </c>
      <c r="H631" s="24" t="inlineStr">
        <is>
          <t>moneyline</t>
        </is>
      </c>
      <c r="I631" s="24" t="inlineStr">
        <is>
          <t>home</t>
        </is>
      </c>
      <c r="J631" s="25" t="n"/>
      <c r="K631" s="24" t="inlineStr">
        <is>
          <t>polymarket_us</t>
        </is>
      </c>
      <c r="L631" s="26" t="n">
        <v>-456</v>
      </c>
      <c r="M631" s="27" t="n">
        <v>1.219298</v>
      </c>
      <c r="N631" s="28" t="n">
        <v>0.820144</v>
      </c>
      <c r="O631" s="28" t="n">
        <v>0.5747</v>
      </c>
      <c r="P631" s="28" t="n">
        <v>0.05</v>
      </c>
      <c r="Q631" s="28" t="n">
        <v>-0.245444</v>
      </c>
      <c r="R631" s="26" t="n">
        <v>0</v>
      </c>
      <c r="S631" s="29" t="n">
        <v>1</v>
      </c>
      <c r="T631" s="24" t="inlineStr">
        <is>
          <t>tennis-surface-elo-v1</t>
        </is>
      </c>
      <c r="U631" s="24" t="inlineStr">
        <is>
          <t>settled</t>
        </is>
      </c>
      <c r="V631" s="24" t="inlineStr">
        <is>
          <t>win</t>
        </is>
      </c>
      <c r="W631" s="26" t="n">
        <v>0</v>
      </c>
      <c r="X631" s="26" t="n">
        <v>1</v>
      </c>
      <c r="Y631" s="25" t="n"/>
      <c r="Z631" s="26" t="n">
        <v>-456</v>
      </c>
      <c r="AA631" s="28" t="n">
        <v>0.82</v>
      </c>
      <c r="AB631" s="28" t="n">
        <v>-0.000144</v>
      </c>
      <c r="AC631" s="30" t="n">
        <v>0.2193</v>
      </c>
      <c r="AD631" s="24" t="inlineStr">
        <is>
          <t>2026-09-13T04:30:15.402612Z</t>
        </is>
      </c>
      <c r="AE631" s="31" t="inlineStr">
        <is>
          <t>Surface-blended Elo on Hard: Victoria Rodriguez p=0.425 vs Hayu Kinoshita. Executable ask 0.8200 (aec-wta-haykin-vicrod-2026-09-12).</t>
        </is>
      </c>
      <c r="AF631" s="31" t="inlineStr">
        <is>
          <t>Surface-blended Elo model; singles only, WTA+ATP market coverage, not yet locked-holdout qualified -- promoted by explicit operator directive, not genuine walk-forward validation.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PAPER_CALL_MODEL_UNVALIDATED</t>
        </is>
      </c>
      <c r="AP631" s="24" t="inlineStr">
        <is>
          <t>Victoria Rodriguez</t>
        </is>
      </c>
      <c r="AQ631" s="24" t="inlineStr">
        <is>
          <t>Victoria Rodriguez</t>
        </is>
      </c>
      <c r="AR631" s="24" t="inlineStr">
        <is>
          <t>Victoria Rodriguez</t>
        </is>
      </c>
      <c r="AS631" s="24" t="inlineStr">
        <is>
          <t>Hayu Kinoshita</t>
        </is>
      </c>
      <c r="AT631" s="24" t="inlineStr">
        <is>
          <t>Hayu Kinoshita</t>
        </is>
      </c>
      <c r="AU631" s="24" t="inlineStr">
        <is>
          <t>Hayu Kinoshita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6c67e999d2a03612e30f4032c8e5e77e8becfbc79e05f4c8993e726b90d34d54</t>
        </is>
      </c>
      <c r="BB631" s="24" t="inlineStr">
        <is>
          <t>surface_blended_elo</t>
        </is>
      </c>
      <c r="BC631" s="24" t="inlineStr">
        <is>
          <t>tennis-surface-elo-v1</t>
        </is>
      </c>
      <c r="BD631" s="24" t="inlineStr">
        <is>
          <t>6c67e999d2a03612e30f4032c8e5e77e8becfbc79e05f4c8993e726b90d34d54</t>
        </is>
      </c>
      <c r="BE631" s="24" t="inlineStr">
        <is>
          <t>tennis-surface-elo-v1</t>
        </is>
      </c>
      <c r="BF631" s="24" t="inlineStr">
        <is>
          <t>1</t>
        </is>
      </c>
      <c r="BG631" s="24" t="inlineStr">
        <is>
          <t>6c67e999d2a03612e30f4032c8e5e77e8becfbc79e05f4c8993e726b90d34d54</t>
        </is>
      </c>
      <c r="BH631" s="24" t="inlineStr">
        <is>
          <t>2026-09-12T10:05:55.831108Z</t>
        </is>
      </c>
      <c r="BI631" s="24" t="inlineStr">
        <is>
          <t>["same_event","same_team_same_day","same_league_same_day"]</t>
        </is>
      </c>
      <c r="BJ631" s="25" t="n"/>
      <c r="BK631" s="26" t="n">
        <v>-456</v>
      </c>
      <c r="BL631" s="27" t="n">
        <v>1.219298</v>
      </c>
      <c r="BM631" s="28" t="n">
        <v>0.820144</v>
      </c>
      <c r="BN631" s="28" t="n"/>
      <c r="BO631" s="28" t="n"/>
      <c r="BP631" s="25" t="n"/>
      <c r="BQ631" s="27" t="n">
        <v>1.219298</v>
      </c>
      <c r="BR631" s="28" t="n">
        <v>0.82</v>
      </c>
      <c r="BS631" s="28" t="n"/>
      <c r="BT631" s="28" t="n"/>
      <c r="BU631" s="25" t="n"/>
      <c r="BV631" s="29" t="n"/>
      <c r="BW631" s="24" t="n"/>
      <c r="BX631" s="30" t="n">
        <v>1</v>
      </c>
      <c r="BY631" s="27" t="n">
        <v>0.219298</v>
      </c>
      <c r="BZ631" s="24" t="inlineStr">
        <is>
          <t>2026-09-13T04:30:15.402612Z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False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inlineStr">
        <is>
          <t>d90b7c2d8732496b0a42dd321f59114361c1bb27cdc274bbddd260d7b3abbf84</t>
        </is>
      </c>
      <c r="DE631" s="24" t="inlineStr">
        <is>
          <t>/Users/vincentc9002/model-prediction/data/odds/tennis/2026-09-12/polymarket_snapshots.jsonl</t>
        </is>
      </c>
      <c r="DF631" s="24" t="inlineStr">
        <is>
          <t>796935:2026-09-12T10:05:55.831108Z</t>
        </is>
      </c>
      <c r="DG631" s="24" t="n"/>
      <c r="DH631" s="24" t="n"/>
      <c r="DI631" s="24" t="n"/>
      <c r="DJ631" s="24" t="inlineStr">
        <is>
          <t>0.820144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"6c67e999d2a03612e30f4032c8e5e77e8becfbc79e05f4c8993e726b90d34d54", "away_team": "Victoria Rodriguez", "event_id": "1005-2026:185896", "event_start_utc": "2026-09-12T14:30Z", "features": {"elo_p1_surface": 1412.3, "elo_p2_surface": 1463.7, "expected_games_p1": 11.13, "expected_games_p2": 13.09, "expected_total_games": 24.23, "history_matches": 15953, "min_player_matches": 9,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[1410.0900677464758, 1463.4465200704108], "players": ["Victoria Rodriguez", "Hayu Kinoshita"], "sport": "TENNIS", "surface": "Hard", "surface_counts": [22, 7], "surface_ratings": [1412.2916782093926, 1463.6951099669275]}, "market_type": "moneyline", "model_version": "tennis-surface-elo-v1", "observed_at_utc": "2026-09-12T10:07:01.269630+00:00", "probabilities": {"away": 0.4253, "home": 0.5747}, "replay_scope": "Exact full-precision serving state and rounding; upstream historical observation times are not certified.", "schema": "coded-moneyline-replay-v1", "snapshot_hash": "c721149e4d40a53adada8e6e7fd03b57b928fa9520600614cdd6ab44fb965ab3", "sport": "TENNIS"}</t>
        </is>
      </c>
    </row>
    <row r="632" ht="36" customHeight="1">
      <c r="A632" s="24" t="inlineStr">
        <is>
          <t>575a27c7811942ab</t>
        </is>
      </c>
      <c r="B632" s="24" t="inlineStr">
        <is>
          <t>2026-09-12T10:07:04.732639Z</t>
        </is>
      </c>
      <c r="C632" s="24" t="inlineStr">
        <is>
          <t>2026-09-12T14:30Z</t>
        </is>
      </c>
      <c r="D632" s="24" t="inlineStr">
        <is>
          <t>1005-2026:185897</t>
        </is>
      </c>
      <c r="E632" s="24" t="inlineStr">
        <is>
          <t>TENNIS</t>
        </is>
      </c>
      <c r="F632" s="24" t="inlineStr">
        <is>
          <t>Cadence Brace</t>
        </is>
      </c>
      <c r="G632" s="24" t="inlineStr">
        <is>
          <t>Ana Candiotto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polymarket_us</t>
        </is>
      </c>
      <c r="L632" s="26" t="n">
        <v>-1150</v>
      </c>
      <c r="M632" s="27" t="n">
        <v>1.086957</v>
      </c>
      <c r="N632" s="28" t="n">
        <v>0.92</v>
      </c>
      <c r="O632" s="28" t="n">
        <v>0.5185</v>
      </c>
      <c r="P632" s="28" t="n">
        <v>0.05</v>
      </c>
      <c r="Q632" s="28" t="n">
        <v>-0.4015</v>
      </c>
      <c r="R632" s="26" t="n">
        <v>0</v>
      </c>
      <c r="S632" s="29" t="n">
        <v>1</v>
      </c>
      <c r="T632" s="24" t="inlineStr">
        <is>
          <t>tennis-surface-elo-v1</t>
        </is>
      </c>
      <c r="U632" s="24" t="inlineStr">
        <is>
          <t>settled</t>
        </is>
      </c>
      <c r="V632" s="24" t="inlineStr">
        <is>
          <t>win</t>
        </is>
      </c>
      <c r="W632" s="26" t="n">
        <v>1</v>
      </c>
      <c r="X632" s="26" t="n">
        <v>0</v>
      </c>
      <c r="Y632" s="25" t="n"/>
      <c r="Z632" s="26" t="n">
        <v>-1150</v>
      </c>
      <c r="AA632" s="28" t="n">
        <v>0.92</v>
      </c>
      <c r="AB632" s="28" t="n">
        <v>0</v>
      </c>
      <c r="AC632" s="30" t="n">
        <v>0.08699999999999999</v>
      </c>
      <c r="AD632" s="24" t="inlineStr">
        <is>
          <t>2026-09-13T04:30:16.487777Z</t>
        </is>
      </c>
      <c r="AE632" s="31" t="inlineStr">
        <is>
          <t>Surface-blended Elo on Hard: Cadence Brace p=0.519 vs Ana Candiotto. Executable ask 0.9200 (aec-wta-anacan-cadbra-2026-09-12).</t>
        </is>
      </c>
      <c r="AF632" s="31" t="inlineStr">
        <is>
          <t>Surface-blended Elo model; singles only, WTA+ATP market coverage, not yet locked-holdout qualified -- promoted by explicit operator directive, not genuine walk-forward validation.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PAPER_CALL_MODEL_UNVALIDATED</t>
        </is>
      </c>
      <c r="AP632" s="24" t="inlineStr">
        <is>
          <t>Cadence Brace</t>
        </is>
      </c>
      <c r="AQ632" s="24" t="inlineStr">
        <is>
          <t>Cadence Brace</t>
        </is>
      </c>
      <c r="AR632" s="24" t="inlineStr">
        <is>
          <t>Cadence Brace</t>
        </is>
      </c>
      <c r="AS632" s="24" t="inlineStr">
        <is>
          <t>Ana Candiotto</t>
        </is>
      </c>
      <c r="AT632" s="24" t="inlineStr">
        <is>
          <t>Ana Candiotto</t>
        </is>
      </c>
      <c r="AU632" s="24" t="inlineStr">
        <is>
          <t>Ana Candiotto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6c67e999d2a03612e30f4032c8e5e77e8becfbc79e05f4c8993e726b90d34d54</t>
        </is>
      </c>
      <c r="BB632" s="24" t="inlineStr">
        <is>
          <t>surface_blended_elo</t>
        </is>
      </c>
      <c r="BC632" s="24" t="inlineStr">
        <is>
          <t>tennis-surface-elo-v1</t>
        </is>
      </c>
      <c r="BD632" s="24" t="inlineStr">
        <is>
          <t>6c67e999d2a03612e30f4032c8e5e77e8becfbc79e05f4c8993e726b90d34d54</t>
        </is>
      </c>
      <c r="BE632" s="24" t="inlineStr">
        <is>
          <t>tennis-surface-elo-v1</t>
        </is>
      </c>
      <c r="BF632" s="24" t="inlineStr">
        <is>
          <t>1</t>
        </is>
      </c>
      <c r="BG632" s="24" t="inlineStr">
        <is>
          <t>6c67e999d2a03612e30f4032c8e5e77e8becfbc79e05f4c8993e726b90d34d54</t>
        </is>
      </c>
      <c r="BH632" s="24" t="inlineStr">
        <is>
          <t>2026-09-12T10:05:55.686687Z</t>
        </is>
      </c>
      <c r="BI632" s="24" t="inlineStr">
        <is>
          <t>["same_event","same_team_same_day","same_league_same_day"]</t>
        </is>
      </c>
      <c r="BJ632" s="25" t="n"/>
      <c r="BK632" s="26" t="n">
        <v>-1150</v>
      </c>
      <c r="BL632" s="27" t="n">
        <v>1.086957</v>
      </c>
      <c r="BM632" s="28" t="n">
        <v>0.92</v>
      </c>
      <c r="BN632" s="28" t="n"/>
      <c r="BO632" s="28" t="n"/>
      <c r="BP632" s="25" t="n"/>
      <c r="BQ632" s="27" t="n">
        <v>1.086957</v>
      </c>
      <c r="BR632" s="28" t="n">
        <v>0.92</v>
      </c>
      <c r="BS632" s="28" t="n"/>
      <c r="BT632" s="28" t="n"/>
      <c r="BU632" s="25" t="n"/>
      <c r="BV632" s="29" t="n"/>
      <c r="BW632" s="24" t="n"/>
      <c r="BX632" s="30" t="n">
        <v>1</v>
      </c>
      <c r="BY632" s="27" t="n">
        <v>0.08695700000000001</v>
      </c>
      <c r="BZ632" s="24" t="inlineStr">
        <is>
          <t>2026-09-13T04:30:16.487777Z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inlineStr">
        <is>
          <t>416648d628d814ce17c8f0a68c883210ac745cb4342ad3c0931e3d856826cc91</t>
        </is>
      </c>
      <c r="DE632" s="24" t="inlineStr">
        <is>
          <t>/Users/vincentc9002/model-prediction/data/odds/tennis/2026-09-12/polymarket_snapshots.jsonl</t>
        </is>
      </c>
      <c r="DF632" s="24" t="inlineStr">
        <is>
          <t>798452:2026-09-12T10:05:55.686687Z</t>
        </is>
      </c>
      <c r="DG632" s="24" t="n"/>
      <c r="DH632" s="24" t="n"/>
      <c r="DI632" s="24" t="n"/>
      <c r="DJ632" s="24" t="inlineStr">
        <is>
          <t>0.92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"6c67e999d2a03612e30f4032c8e5e77e8becfbc79e05f4c8993e726b90d34d54", "away_team": "Cadence Brace", "event_id": "1005-2026:185897", "event_start_utc": "2026-09-12T14:30Z", "features": {"elo_p1_surface": 1455.1, "elo_p2_surface": 1429.8, "expected_games_p1": 13.02, "expected_games_p2": 11.55, "expected_total_games": 24.58, "history_matches": 15953, "min_player_matches": 9, "surface": "Hard"}, "historical_source_observation_times_verified": false, "home_team": "Ana Candiotto", "inference_inputs": {"code_sha256": {"features/elo_ratings.py": "8525faf022a6343c452286dbfeb17dbb043744c6bdabbe448b6b371216da439b", "models/tennis.py": "6c67e999d2a03612e30f4032c8e5e77e8becfbc79e05f4c8993e726b90d34d54"}, "overall_ratings": [1428.041643088004, 1427.631376033667], "players": ["Cadence Brace", "Ana Candiotto"], "sport": "TENNIS", "surface": "Hard", "surface_counts": [20, 9], "surface_ratings": [1455.1489323271219, 1429.8460876699048]}, "market_type": "moneyline", "model_version": "tennis-surface-elo-v1", "observed_at_utc": "2026-09-12T10:07:01.269630+00:00", "probabilities": {"away": 0.5185, "home": 0.4815}, "replay_scope": "Exact full-precision serving state and rounding; upstream historical observation times are not certified.", "schema": "coded-moneyline-replay-v1", "snapshot_hash": "1d95d33d68d02f100bc2ea69063e8faf938657385a73ef5ee803326a39ae38fc", "sport": "TENNIS"}</t>
        </is>
      </c>
    </row>
    <row r="633" ht="36" customHeight="1">
      <c r="A633" s="24" t="inlineStr">
        <is>
          <t>1a8313435add41ab</t>
        </is>
      </c>
      <c r="B633" s="24" t="inlineStr">
        <is>
          <t>2026-09-12T10:07:04.732639Z</t>
        </is>
      </c>
      <c r="C633" s="24" t="inlineStr">
        <is>
          <t>2026-09-12T16:00Z</t>
        </is>
      </c>
      <c r="D633" s="24" t="inlineStr">
        <is>
          <t>1005-2026:185895</t>
        </is>
      </c>
      <c r="E633" s="24" t="inlineStr">
        <is>
          <t>TENNIS</t>
        </is>
      </c>
      <c r="F633" s="24" t="inlineStr">
        <is>
          <t>Anastasia Tikhonova</t>
        </is>
      </c>
      <c r="G633" s="24" t="inlineStr">
        <is>
          <t>Alana Smith</t>
        </is>
      </c>
      <c r="H633" s="24" t="inlineStr">
        <is>
          <t>moneyline</t>
        </is>
      </c>
      <c r="I633" s="24" t="inlineStr">
        <is>
          <t>home</t>
        </is>
      </c>
      <c r="J633" s="25" t="n"/>
      <c r="K633" s="24" t="inlineStr">
        <is>
          <t>polymarket_us</t>
        </is>
      </c>
      <c r="L633" s="26" t="n">
        <v>156</v>
      </c>
      <c r="M633" s="27" t="n">
        <v>2.56</v>
      </c>
      <c r="N633" s="28" t="n">
        <v>0.390625</v>
      </c>
      <c r="O633" s="28" t="n">
        <v>0.5377999999999999</v>
      </c>
      <c r="P633" s="28" t="n">
        <v>0.05</v>
      </c>
      <c r="Q633" s="28" t="n">
        <v>0.147175</v>
      </c>
      <c r="R633" s="26" t="n">
        <v>94</v>
      </c>
      <c r="S633" s="29" t="n">
        <v>1.75</v>
      </c>
      <c r="T633" s="24" t="inlineStr">
        <is>
          <t>tennis-surface-elo-v1</t>
        </is>
      </c>
      <c r="U633" s="24" t="inlineStr">
        <is>
          <t>settled</t>
        </is>
      </c>
      <c r="V633" s="24" t="inlineStr">
        <is>
          <t>loss</t>
        </is>
      </c>
      <c r="W633" s="26" t="n">
        <v>1</v>
      </c>
      <c r="X633" s="26" t="n">
        <v>0</v>
      </c>
      <c r="Y633" s="25" t="n"/>
      <c r="Z633" s="26" t="n">
        <v>156</v>
      </c>
      <c r="AA633" s="28" t="n">
        <v>0.39</v>
      </c>
      <c r="AB633" s="28" t="n">
        <v>-0.000625</v>
      </c>
      <c r="AC633" s="30" t="n">
        <v>-1.75</v>
      </c>
      <c r="AD633" s="24" t="inlineStr">
        <is>
          <t>2026-09-13T04:30:17.573921Z</t>
        </is>
      </c>
      <c r="AE633" s="31" t="inlineStr">
        <is>
          <t>Surface-blended Elo on Hard: Anastasia Tikhonova p=0.462 vs Alana Smith. Executable ask 0.3900 (aec-wta-alasmi-anatik-2026-09-12).</t>
        </is>
      </c>
      <c r="AF633" s="31" t="inlineStr">
        <is>
          <t>Surface-blended Elo model; singles only, WTA+ATP market coverage, not yet locked-holdout qualified -- promoted by explicit operator directive, not genuine walk-forward validation.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Anastasia Tikhonova</t>
        </is>
      </c>
      <c r="AQ633" s="24" t="inlineStr">
        <is>
          <t>Anastasia Tikhonova</t>
        </is>
      </c>
      <c r="AR633" s="24" t="inlineStr">
        <is>
          <t>Anastasia Tikhonova</t>
        </is>
      </c>
      <c r="AS633" s="24" t="inlineStr">
        <is>
          <t>Alana Smith</t>
        </is>
      </c>
      <c r="AT633" s="24" t="inlineStr">
        <is>
          <t>Alana Smith</t>
        </is>
      </c>
      <c r="AU633" s="24" t="inlineStr">
        <is>
          <t>Alana Smith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6c67e999d2a03612e30f4032c8e5e77e8becfbc79e05f4c8993e726b90d34d54</t>
        </is>
      </c>
      <c r="BB633" s="24" t="inlineStr">
        <is>
          <t>surface_blended_elo</t>
        </is>
      </c>
      <c r="BC633" s="24" t="inlineStr">
        <is>
          <t>tennis-surface-elo-v1</t>
        </is>
      </c>
      <c r="BD633" s="24" t="inlineStr">
        <is>
          <t>6c67e999d2a03612e30f4032c8e5e77e8becfbc79e05f4c8993e726b90d34d54</t>
        </is>
      </c>
      <c r="BE633" s="24" t="inlineStr">
        <is>
          <t>tennis-surface-elo-v1</t>
        </is>
      </c>
      <c r="BF633" s="24" t="inlineStr">
        <is>
          <t>1</t>
        </is>
      </c>
      <c r="BG633" s="24" t="inlineStr">
        <is>
          <t>6c67e999d2a03612e30f4032c8e5e77e8becfbc79e05f4c8993e726b90d34d54</t>
        </is>
      </c>
      <c r="BH633" s="24" t="inlineStr">
        <is>
          <t>2026-09-12T10:05:56.905575Z</t>
        </is>
      </c>
      <c r="BI633" s="24" t="inlineStr">
        <is>
          <t>["same_event","same_team_same_day","same_league_same_day"]</t>
        </is>
      </c>
      <c r="BJ633" s="25" t="n"/>
      <c r="BK633" s="26" t="n">
        <v>156</v>
      </c>
      <c r="BL633" s="27" t="n">
        <v>2.56</v>
      </c>
      <c r="BM633" s="28" t="n">
        <v>0.390625</v>
      </c>
      <c r="BN633" s="28" t="n"/>
      <c r="BO633" s="28" t="n"/>
      <c r="BP633" s="25" t="n"/>
      <c r="BQ633" s="27" t="n">
        <v>2.56</v>
      </c>
      <c r="BR633" s="28" t="n">
        <v>0.39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inlineStr">
        <is>
          <t>16b977a8de00b7980b51370d9a81ee78a54667a6911f5c05c104a5355146f43d</t>
        </is>
      </c>
      <c r="DE633" s="24" t="inlineStr">
        <is>
          <t>/Users/vincentc9002/model-prediction/data/odds/tennis/2026-09-12/polymarket_snapshots.jsonl</t>
        </is>
      </c>
      <c r="DF633" s="24" t="inlineStr">
        <is>
          <t>796936:2026-09-12T10:05:56.905575Z</t>
        </is>
      </c>
      <c r="DG633" s="24" t="n"/>
      <c r="DH633" s="24" t="n"/>
      <c r="DI633" s="24" t="n"/>
      <c r="DJ633" s="24" t="inlineStr">
        <is>
          <t>0.390625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"6c67e999d2a03612e30f4032c8e5e77e8becfbc79e05f4c8993e726b90d34d54", "away_team": "Anastasia Tikhonova", "event_id": "1005-2026:185895", "event_start_utc": "2026-09-12T16:00Z", "features": {"elo_p1_surface": 1443.2, "elo_p2_surface": 1469.8, "expected_games_p1": 11.89, "expected_games_p2": 12.77, "expected_total_games": 24.65, "history_matches": 15953, "min_player_matches": 29, "surface": "Hard"}, "historical_source_observation_times_verified": false, "home_team": "Alana Smith", "inference_inputs": {"code_sha256": {"features/elo_ratings.py": "8525faf022a6343c452286dbfeb17dbb043744c6bdabbe448b6b371216da439b", "models/tennis.py": "6c67e999d2a03612e30f4032c8e5e77e8becfbc79e05f4c8993e726b90d34d54"}, "overall_ratings": [1442.9035319456725, 1468.9517452065184], "players": ["Anastasia Tikhonova", "Alana Smith"], "sport": "TENNIS", "surface": "Hard", "surface_counts": [39, 29], "surface_ratings": [1443.2377011037931, 1469.7623831400285]}, "market_type": "moneyline", "model_version": "tennis-surface-elo-v1", "observed_at_utc": "2026-09-12T10:07:01.269630+00:00", "probabilities": {"away": 0.4622, "home": 0.5378}, "replay_scope": "Exact full-precision serving state and rounding; upstream historical observation times are not certified.", "schema": "coded-moneyline-replay-v1", "snapshot_hash": "e1d974b988d61489ec8508d68e50e44df167466730608c86a4edde755772bd44", "sport": "TENNIS"}</t>
        </is>
      </c>
    </row>
    <row r="634" ht="36" customHeight="1">
      <c r="A634" s="24" t="inlineStr">
        <is>
          <t>51107cbe6b494eb9</t>
        </is>
      </c>
      <c r="B634" s="24" t="inlineStr">
        <is>
          <t>2026-09-12T10:07:04.732639Z</t>
        </is>
      </c>
      <c r="C634" s="24" t="inlineStr">
        <is>
          <t>2026-09-12T16:00Z</t>
        </is>
      </c>
      <c r="D634" s="24" t="inlineStr">
        <is>
          <t>1005-2026:185894</t>
        </is>
      </c>
      <c r="E634" s="24" t="inlineStr">
        <is>
          <t>TENNIS</t>
        </is>
      </c>
      <c r="F634" s="24" t="inlineStr">
        <is>
          <t>Fernanda Labrana</t>
        </is>
      </c>
      <c r="G634" s="24" t="inlineStr">
        <is>
          <t>Whitney Osuigwe</t>
        </is>
      </c>
      <c r="H634" s="24" t="inlineStr">
        <is>
          <t>moneyline</t>
        </is>
      </c>
      <c r="I634" s="24" t="inlineStr">
        <is>
          <t>home</t>
        </is>
      </c>
      <c r="J634" s="25" t="n"/>
      <c r="K634" s="24" t="inlineStr">
        <is>
          <t>polymarket_us</t>
        </is>
      </c>
      <c r="L634" s="26" t="n">
        <v>-900</v>
      </c>
      <c r="M634" s="27" t="n">
        <v>1.111111</v>
      </c>
      <c r="N634" s="28" t="n">
        <v>0.9</v>
      </c>
      <c r="O634" s="28" t="n">
        <v>0.5824</v>
      </c>
      <c r="P634" s="28" t="n">
        <v>0.05</v>
      </c>
      <c r="Q634" s="28" t="n">
        <v>-0.3176</v>
      </c>
      <c r="R634" s="26" t="n">
        <v>0</v>
      </c>
      <c r="S634" s="29" t="n">
        <v>1</v>
      </c>
      <c r="T634" s="24" t="inlineStr">
        <is>
          <t>tennis-surface-elo-v1</t>
        </is>
      </c>
      <c r="U634" s="24" t="inlineStr">
        <is>
          <t>settled</t>
        </is>
      </c>
      <c r="V634" s="24" t="inlineStr">
        <is>
          <t>win</t>
        </is>
      </c>
      <c r="W634" s="26" t="n">
        <v>0</v>
      </c>
      <c r="X634" s="26" t="n">
        <v>1</v>
      </c>
      <c r="Y634" s="25" t="n"/>
      <c r="Z634" s="26" t="n">
        <v>-900</v>
      </c>
      <c r="AA634" s="28" t="n">
        <v>0.9</v>
      </c>
      <c r="AB634" s="28" t="n">
        <v>0</v>
      </c>
      <c r="AC634" s="30" t="n">
        <v>0.1111</v>
      </c>
      <c r="AD634" s="24" t="inlineStr">
        <is>
          <t>2026-09-13T04:30:18.711368Z</t>
        </is>
      </c>
      <c r="AE634" s="31" t="inlineStr">
        <is>
          <t>Surface-blended Elo on Hard: Fernanda Labrana p=0.418 vs Whitney Osuigwe. Executable ask 0.9000 (aec-wta-whiosu-ferlab-2026-09-12).</t>
        </is>
      </c>
      <c r="AF634" s="31" t="inlineStr">
        <is>
          <t>Surface-blended Elo model; singles only, WTA+ATP market coverage, not yet locked-holdout qualified -- promoted by explicit operator directive, not genuine walk-forward validation.</t>
        </is>
      </c>
      <c r="AG634" s="24" t="inlineStr">
        <is>
          <t>not_applicable</t>
        </is>
      </c>
      <c r="AH634" s="24" t="n"/>
      <c r="AI634" s="31" t="n"/>
      <c r="AJ634" s="31" t="n"/>
      <c r="AK634" s="24" t="inlineStr">
        <is>
          <t>paper_call</t>
        </is>
      </c>
      <c r="AL634" s="26" t="n">
        <v>4</v>
      </c>
      <c r="AM634" s="24" t="inlineStr">
        <is>
          <t>RESEARCH_OBSERVATION</t>
        </is>
      </c>
      <c r="AN634" s="24" t="inlineStr">
        <is>
          <t>CALL</t>
        </is>
      </c>
      <c r="AO634" s="24" t="inlineStr">
        <is>
          <t>PAPER_CALL_MODEL_UNVALIDATED</t>
        </is>
      </c>
      <c r="AP634" s="24" t="inlineStr">
        <is>
          <t>Fernanda Labrana</t>
        </is>
      </c>
      <c r="AQ634" s="24" t="inlineStr">
        <is>
          <t>Fernanda Labrana</t>
        </is>
      </c>
      <c r="AR634" s="24" t="inlineStr">
        <is>
          <t>Fernanda Labrana</t>
        </is>
      </c>
      <c r="AS634" s="24" t="inlineStr">
        <is>
          <t>Whitney Osuigwe</t>
        </is>
      </c>
      <c r="AT634" s="24" t="inlineStr">
        <is>
          <t>Whitney Osuigwe</t>
        </is>
      </c>
      <c r="AU634" s="24" t="inlineStr">
        <is>
          <t>Whitney Osuigwe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6c67e999d2a03612e30f4032c8e5e77e8becfbc79e05f4c8993e726b90d34d54</t>
        </is>
      </c>
      <c r="BB634" s="24" t="inlineStr">
        <is>
          <t>surface_blended_elo</t>
        </is>
      </c>
      <c r="BC634" s="24" t="inlineStr">
        <is>
          <t>tennis-surface-elo-v1</t>
        </is>
      </c>
      <c r="BD634" s="24" t="inlineStr">
        <is>
          <t>6c67e999d2a03612e30f4032c8e5e77e8becfbc79e05f4c8993e726b90d34d54</t>
        </is>
      </c>
      <c r="BE634" s="24" t="inlineStr">
        <is>
          <t>tennis-surface-elo-v1</t>
        </is>
      </c>
      <c r="BF634" s="24" t="inlineStr">
        <is>
          <t>1</t>
        </is>
      </c>
      <c r="BG634" s="24" t="inlineStr">
        <is>
          <t>6c67e999d2a03612e30f4032c8e5e77e8becfbc79e05f4c8993e726b90d34d54</t>
        </is>
      </c>
      <c r="BH634" s="24" t="inlineStr">
        <is>
          <t>2026-09-12T10:05:56.718362Z</t>
        </is>
      </c>
      <c r="BI634" s="24" t="inlineStr">
        <is>
          <t>["same_event","same_team_same_day","same_league_same_day"]</t>
        </is>
      </c>
      <c r="BJ634" s="25" t="n"/>
      <c r="BK634" s="26" t="n">
        <v>-900</v>
      </c>
      <c r="BL634" s="27" t="n">
        <v>1.111111</v>
      </c>
      <c r="BM634" s="28" t="n">
        <v>0.9</v>
      </c>
      <c r="BN634" s="28" t="n"/>
      <c r="BO634" s="28" t="n"/>
      <c r="BP634" s="25" t="n"/>
      <c r="BQ634" s="27" t="n">
        <v>1.111111</v>
      </c>
      <c r="BR634" s="28" t="n">
        <v>0.9</v>
      </c>
      <c r="BS634" s="28" t="n"/>
      <c r="BT634" s="28" t="n"/>
      <c r="BU634" s="25" t="n"/>
      <c r="BV634" s="29" t="n"/>
      <c r="BW634" s="24" t="n"/>
      <c r="BX634" s="30" t="n">
        <v>1</v>
      </c>
      <c r="BY634" s="27" t="n">
        <v>0.111111</v>
      </c>
      <c r="BZ634" s="24" t="inlineStr">
        <is>
          <t>2026-09-13T04:30:18.711368Z</t>
        </is>
      </c>
      <c r="CA634" s="31" t="inlineStr">
        <is>
          <t>fixed one-unit hypothetical scoring; no real exposure or execution</t>
        </is>
      </c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False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inlineStr">
        <is>
          <t>708b3737f165452599355a0ebd7461f52415a4a5baa3d3925c67ad3ec51b0929</t>
        </is>
      </c>
      <c r="DE634" s="24" t="inlineStr">
        <is>
          <t>/Users/vincentc9002/model-prediction/data/odds/tennis/2026-09-12/polymarket_snapshots.jsonl</t>
        </is>
      </c>
      <c r="DF634" s="24" t="inlineStr">
        <is>
          <t>798454:2026-09-12T10:05:56.718362Z</t>
        </is>
      </c>
      <c r="DG634" s="24" t="n"/>
      <c r="DH634" s="24" t="n"/>
      <c r="DI634" s="24" t="n"/>
      <c r="DJ634" s="24" t="inlineStr">
        <is>
          <t>0.9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"6c67e999d2a03612e30f4032c8e5e77e8becfbc79e05f4c8993e726b90d34d54", "away_team": "Fernanda Labrana", "event_id": "1005-2026:185894", "event_start_utc": "2026-09-12T16:00Z", "features": {"elo_p1_surface": 1438.0, "elo_p2_surface": 1508.3, "expected_games_p1": 10.5, "expected_games_p2": 13.23, "expected_total_games": 23.73, "history_matches": 15953, "min_player_matches": 6, "surface": "Hard"}, "historical_source_observation_times_verified": false, "home_team": "Whitney Osuigwe", "inference_inputs": {"code_sha256": {"features/elo_ratings.py": "8525faf022a6343c452286dbfeb17dbb043744c6bdabbe448b6b371216da439b", "models/tennis.py": "6c67e999d2a03612e30f4032c8e5e77e8becfbc79e05f4c8993e726b90d34d54"}, "overall_ratings": [1438.904759230865, 1474.0834938805292], "players": ["Fernanda Labrana", "Whitney Osuigwe"], "sport": "TENNIS", "surface": "Hard", "surface_counts": [6, 50], "surface_ratings": [1437.9803072823886, 1508.315935728694]}, "market_type": "moneyline", "model_version": "tennis-surface-elo-v1", "observed_at_utc": "2026-09-12T10:07:01.269630+00:00", "probabilities": {"away": 0.4176, "home": 0.5824}, "replay_scope": "Exact full-precision serving state and rounding; upstream historical observation times are not certified.", "schema": "coded-moneyline-replay-v1", "snapshot_hash": "1cdfebf458c43c0a90f64f3c2c1c2fbb62db3ba669f218a5c849f45d46bb35ed", "sport": "TENNIS"}</t>
        </is>
      </c>
    </row>
    <row r="635" ht="36" customHeight="1">
      <c r="A635" s="24" t="inlineStr">
        <is>
          <t>6418a6025ef446cd</t>
        </is>
      </c>
      <c r="B635" s="24" t="inlineStr">
        <is>
          <t>2026-09-12T16:07:29.828938Z</t>
        </is>
      </c>
      <c r="C635" s="24" t="inlineStr">
        <is>
          <t>2026-09-12T20:00Z</t>
        </is>
      </c>
      <c r="D635" s="24" t="inlineStr">
        <is>
          <t>189-2026:182589</t>
        </is>
      </c>
      <c r="E635" s="24" t="inlineStr">
        <is>
          <t>TENNIS</t>
        </is>
      </c>
      <c r="F635" s="24" t="inlineStr">
        <is>
          <t>Elena Rybakina</t>
        </is>
      </c>
      <c r="G635" s="24" t="inlineStr">
        <is>
          <t>Aryna Sabalenka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polymarket_us</t>
        </is>
      </c>
      <c r="L635" s="26" t="n">
        <v>-138</v>
      </c>
      <c r="M635" s="27" t="n">
        <v>1.724638</v>
      </c>
      <c r="N635" s="28" t="n">
        <v>0.579832</v>
      </c>
      <c r="O635" s="28" t="n">
        <v>0.5227000000000001</v>
      </c>
      <c r="P635" s="28" t="n">
        <v>0.05</v>
      </c>
      <c r="Q635" s="28" t="n">
        <v>-0.057132</v>
      </c>
      <c r="R635" s="26" t="n">
        <v>0</v>
      </c>
      <c r="S635" s="29" t="n">
        <v>1</v>
      </c>
      <c r="T635" s="24" t="inlineStr">
        <is>
          <t>tennis-surface-elo-v1</t>
        </is>
      </c>
      <c r="U635" s="24" t="inlineStr">
        <is>
          <t>settled</t>
        </is>
      </c>
      <c r="V635" s="24" t="inlineStr">
        <is>
          <t>loss</t>
        </is>
      </c>
      <c r="W635" s="26" t="n">
        <v>1</v>
      </c>
      <c r="X635" s="26" t="n">
        <v>0</v>
      </c>
      <c r="Y635" s="25" t="n"/>
      <c r="Z635" s="26" t="n">
        <v>-138</v>
      </c>
      <c r="AA635" s="28" t="n">
        <v>0.58</v>
      </c>
      <c r="AB635" s="28" t="n">
        <v>0.000168</v>
      </c>
      <c r="AC635" s="30" t="n">
        <v>-1</v>
      </c>
      <c r="AD635" s="24" t="inlineStr">
        <is>
          <t>2026-09-13T04:31:18.977820Z</t>
        </is>
      </c>
      <c r="AE635" s="31" t="inlineStr">
        <is>
          <t>Surface-blended Elo on Hard: Elena Rybakina p=0.477 vs Aryna Sabalenka. Executable ask 0.5800 (aec-wta-arysab-eleryb-2026-09-12).</t>
        </is>
      </c>
      <c r="AF635" s="31" t="inlineStr">
        <is>
          <t>Surface-blended Elo model; singles only, WTA+ATP market coverage, not yet locked-holdout qualified -- promoted by explicit operator directive, not genuine walk-forward validation.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Elena Rybakina</t>
        </is>
      </c>
      <c r="AQ635" s="24" t="inlineStr">
        <is>
          <t>Elena Rybakina</t>
        </is>
      </c>
      <c r="AR635" s="24" t="inlineStr">
        <is>
          <t>Elena Rybakina</t>
        </is>
      </c>
      <c r="AS635" s="24" t="inlineStr">
        <is>
          <t>Aryna Sabalenka</t>
        </is>
      </c>
      <c r="AT635" s="24" t="inlineStr">
        <is>
          <t>Aryna Sabalenka</t>
        </is>
      </c>
      <c r="AU635" s="24" t="inlineStr">
        <is>
          <t>Aryna Sabalenka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6c67e999d2a03612e30f4032c8e5e77e8becfbc79e05f4c8993e726b90d34d54</t>
        </is>
      </c>
      <c r="BB635" s="24" t="inlineStr">
        <is>
          <t>surface_blended_elo</t>
        </is>
      </c>
      <c r="BC635" s="24" t="inlineStr">
        <is>
          <t>tennis-surface-elo-v1</t>
        </is>
      </c>
      <c r="BD635" s="24" t="inlineStr">
        <is>
          <t>6c67e999d2a03612e30f4032c8e5e77e8becfbc79e05f4c8993e726b90d34d54</t>
        </is>
      </c>
      <c r="BE635" s="24" t="inlineStr">
        <is>
          <t>tennis-surface-elo-v1</t>
        </is>
      </c>
      <c r="BF635" s="24" t="inlineStr">
        <is>
          <t>1</t>
        </is>
      </c>
      <c r="BG635" s="24" t="inlineStr">
        <is>
          <t>6c67e999d2a03612e30f4032c8e5e77e8becfbc79e05f4c8993e726b90d34d54</t>
        </is>
      </c>
      <c r="BH635" s="24" t="inlineStr">
        <is>
          <t>2026-09-12T16:06:18.383229Z</t>
        </is>
      </c>
      <c r="BI635" s="24" t="inlineStr">
        <is>
          <t>["same_event","same_team_same_day","same_league_same_day"]</t>
        </is>
      </c>
      <c r="BJ635" s="25" t="n"/>
      <c r="BK635" s="26" t="n">
        <v>-138</v>
      </c>
      <c r="BL635" s="27" t="n">
        <v>1.724638</v>
      </c>
      <c r="BM635" s="28" t="n">
        <v>0.579832</v>
      </c>
      <c r="BN635" s="28" t="n"/>
      <c r="BO635" s="28" t="n"/>
      <c r="BP635" s="25" t="n"/>
      <c r="BQ635" s="27" t="n">
        <v>1.724638</v>
      </c>
      <c r="BR635" s="28" t="n">
        <v>0.58</v>
      </c>
      <c r="BS635" s="28" t="n"/>
      <c r="BT635" s="28" t="n"/>
      <c r="BU635" s="25" t="n"/>
      <c r="BV635" s="29" t="n"/>
      <c r="BW635" s="24" t="n"/>
      <c r="BX635" s="30" t="n">
        <v>1</v>
      </c>
      <c r="BY635" s="27" t="n">
        <v>-1</v>
      </c>
      <c r="BZ635" s="24" t="inlineStr">
        <is>
          <t>2026-09-13T04:31:18.977820Z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inlineStr">
        <is>
          <t>90c03f25db1409bed70ca68d4324d1e37e095f31579acca3609b170723a4b0b8</t>
        </is>
      </c>
      <c r="DE635" s="24" t="inlineStr">
        <is>
          <t>/Users/vincentc9002/model-prediction/data/odds/tennis/2026-09-12/polymarket_snapshots.jsonl</t>
        </is>
      </c>
      <c r="DF635" s="24" t="inlineStr">
        <is>
          <t>785769:2026-09-12T16:06:18.383229Z</t>
        </is>
      </c>
      <c r="DG635" s="24" t="n"/>
      <c r="DH635" s="24" t="n"/>
      <c r="DI635" s="24" t="n"/>
      <c r="DJ635" s="24" t="inlineStr">
        <is>
          <t>0.579832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"6c67e999d2a03612e30f4032c8e5e77e8becfbc79e05f4c8993e726b90d34d54", "away_team": "Elena Rybakina", "event_id": "189-2026:182589", "event_start_utc": "2026-09-12T20:00Z", "features": {"elo_p1_surface": 2056.0, "elo_p2_surface": 2073.2, "expected_games_p1": 12.14, "expected_games_p2": 12.6, "expected_total_games": 24.74, "history_matches": 15953, "min_player_matches": 187, "surface": "Hard"}, "historical_source_observation_times_verified": false, "home_team": "Aryna Sabalenka", "inference_inputs": {"code_sha256": {"features/elo_ratings.py": "8525faf022a6343c452286dbfeb17dbb043744c6bdabbe448b6b371216da439b", "models/tennis.py": "6c67e999d2a03612e30f4032c8e5e77e8becfbc79e05f4c8993e726b90d34d54"}, "overall_ratings": [2029.782008366977, 2041.0908959462695], "players": ["Elena Rybakina", "Aryna Sabalenka"], "sport": "TENNIS", "surface": "Hard", "surface_counts": [142, 138], "surface_ratings": [2055.9603580014177, 2073.1966509801864]}, "market_type": "moneyline", "model_version": "tennis-surface-elo-v1", "observed_at_utc": "2026-09-12T16:07:25.930483+00:00", "probabilities": {"away": 0.4773, "home": 0.5227}, "replay_scope": "Exact full-precision serving state and rounding; upstream historical observation times are not certified.", "schema": "coded-moneyline-replay-v1", "snapshot_hash": "4e1e5118ebb22dead91563873793a9c0083e68b855ce6bfa817e47f9abc13593", "sport": "TENNIS"}</t>
        </is>
      </c>
    </row>
    <row r="636" ht="36" customHeight="1">
      <c r="A636" s="24" t="inlineStr">
        <is>
          <t>824348e58c10408e</t>
        </is>
      </c>
      <c r="B636" s="24" t="inlineStr">
        <is>
          <t>2026-09-12T16:07:29.828938Z</t>
        </is>
      </c>
      <c r="C636" s="24" t="inlineStr">
        <is>
          <t>2026-09-12T21:30Z</t>
        </is>
      </c>
      <c r="D636" s="24" t="inlineStr">
        <is>
          <t>964-2026:183644</t>
        </is>
      </c>
      <c r="E636" s="24" t="inlineStr">
        <is>
          <t>TENNIS</t>
        </is>
      </c>
      <c r="F636" s="24" t="inlineStr">
        <is>
          <t>Anna Blinkova</t>
        </is>
      </c>
      <c r="G636" s="24" t="inlineStr">
        <is>
          <t>Claire Liu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polymarket_us</t>
        </is>
      </c>
      <c r="L636" s="26" t="n">
        <v>-122</v>
      </c>
      <c r="M636" s="27" t="n">
        <v>1.819672</v>
      </c>
      <c r="N636" s="28" t="n">
        <v>0.54955</v>
      </c>
      <c r="O636" s="28" t="n">
        <v>0.5001</v>
      </c>
      <c r="P636" s="28" t="n">
        <v>0.05</v>
      </c>
      <c r="Q636" s="28" t="n">
        <v>-0.04945</v>
      </c>
      <c r="R636" s="26" t="n">
        <v>0</v>
      </c>
      <c r="S636" s="29" t="n">
        <v>1</v>
      </c>
      <c r="T636" s="24" t="inlineStr">
        <is>
          <t>tennis-surface-elo-v1</t>
        </is>
      </c>
      <c r="U636" s="24" t="inlineStr">
        <is>
          <t>settled</t>
        </is>
      </c>
      <c r="V636" s="24" t="inlineStr">
        <is>
          <t>win</t>
        </is>
      </c>
      <c r="W636" s="26" t="n">
        <v>0</v>
      </c>
      <c r="X636" s="26" t="n">
        <v>1</v>
      </c>
      <c r="Y636" s="25" t="n"/>
      <c r="Z636" s="26" t="n">
        <v>-122</v>
      </c>
      <c r="AA636" s="28" t="n">
        <v>0.55</v>
      </c>
      <c r="AB636" s="28" t="n">
        <v>0.00045</v>
      </c>
      <c r="AC636" s="30" t="n">
        <v>0.8197</v>
      </c>
      <c r="AD636" s="24" t="inlineStr">
        <is>
          <t>2026-09-13T04:31:20.131696Z</t>
        </is>
      </c>
      <c r="AE636" s="31" t="inlineStr">
        <is>
          <t>Surface-blended Elo on Hard: Anna Blinkova p=0.500 vs Claire Liu. Executable ask 0.5500 (aec-wta-claliu-annbli-2026-09-13).</t>
        </is>
      </c>
      <c r="AF636" s="31" t="inlineStr">
        <is>
          <t>Surface-blended Elo model; singles only, WTA+ATP market coverage, not yet locked-holdout qualified -- promoted by explicit operator directive, not genuine walk-forward validation.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paper_call</t>
        </is>
      </c>
      <c r="AL636" s="26" t="n">
        <v>4</v>
      </c>
      <c r="AM636" s="24" t="inlineStr">
        <is>
          <t>RESEARCH_OBSERVATION</t>
        </is>
      </c>
      <c r="AN636" s="24" t="inlineStr">
        <is>
          <t>CALL</t>
        </is>
      </c>
      <c r="AO636" s="24" t="inlineStr">
        <is>
          <t>PAPER_CALL_LOW_EDGE</t>
        </is>
      </c>
      <c r="AP636" s="24" t="inlineStr">
        <is>
          <t>Anna Blinkova</t>
        </is>
      </c>
      <c r="AQ636" s="24" t="inlineStr">
        <is>
          <t>Anna Blinkova</t>
        </is>
      </c>
      <c r="AR636" s="24" t="inlineStr">
        <is>
          <t>Anna Blinkova</t>
        </is>
      </c>
      <c r="AS636" s="24" t="inlineStr">
        <is>
          <t>Claire Liu</t>
        </is>
      </c>
      <c r="AT636" s="24" t="inlineStr">
        <is>
          <t>Claire Liu</t>
        </is>
      </c>
      <c r="AU636" s="24" t="inlineStr">
        <is>
          <t>Claire Liu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6c67e999d2a03612e30f4032c8e5e77e8becfbc79e05f4c8993e726b90d34d54</t>
        </is>
      </c>
      <c r="BB636" s="24" t="inlineStr">
        <is>
          <t>surface_blended_elo</t>
        </is>
      </c>
      <c r="BC636" s="24" t="inlineStr">
        <is>
          <t>tennis-surface-elo-v1</t>
        </is>
      </c>
      <c r="BD636" s="24" t="inlineStr">
        <is>
          <t>6c67e999d2a03612e30f4032c8e5e77e8becfbc79e05f4c8993e726b90d34d54</t>
        </is>
      </c>
      <c r="BE636" s="24" t="inlineStr">
        <is>
          <t>tennis-surface-elo-v1</t>
        </is>
      </c>
      <c r="BF636" s="24" t="inlineStr">
        <is>
          <t>1</t>
        </is>
      </c>
      <c r="BG636" s="24" t="inlineStr">
        <is>
          <t>6c67e999d2a03612e30f4032c8e5e77e8becfbc79e05f4c8993e726b90d34d54</t>
        </is>
      </c>
      <c r="BH636" s="24" t="inlineStr">
        <is>
          <t>2026-09-12T16:06:18.463756Z</t>
        </is>
      </c>
      <c r="BI636" s="24" t="inlineStr">
        <is>
          <t>["same_event","same_team_same_day","same_league_same_day"]</t>
        </is>
      </c>
      <c r="BJ636" s="25" t="n"/>
      <c r="BK636" s="26" t="n">
        <v>-122</v>
      </c>
      <c r="BL636" s="27" t="n">
        <v>1.819672</v>
      </c>
      <c r="BM636" s="28" t="n">
        <v>0.54955</v>
      </c>
      <c r="BN636" s="28" t="n"/>
      <c r="BO636" s="28" t="n"/>
      <c r="BP636" s="25" t="n"/>
      <c r="BQ636" s="27" t="n">
        <v>1.819672</v>
      </c>
      <c r="BR636" s="28" t="n">
        <v>0.55</v>
      </c>
      <c r="BS636" s="28" t="n"/>
      <c r="BT636" s="28" t="n"/>
      <c r="BU636" s="25" t="n"/>
      <c r="BV636" s="29" t="n"/>
      <c r="BW636" s="24" t="n"/>
      <c r="BX636" s="30" t="n">
        <v>1</v>
      </c>
      <c r="BY636" s="27" t="n">
        <v>0.819671</v>
      </c>
      <c r="BZ636" s="24" t="inlineStr">
        <is>
          <t>2026-09-13T04:31:20.131696Z</t>
        </is>
      </c>
      <c r="CA636" s="31" t="inlineStr">
        <is>
          <t>fixed one-unit hypothetical scoring; no real exposure or execution</t>
        </is>
      </c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inlineStr">
        <is>
          <t>eda7f947bdf6588d0d12c7070fc18d9fcaad30e54d7f1dc13c17308592543535</t>
        </is>
      </c>
      <c r="DE636" s="24" t="inlineStr">
        <is>
          <t>/Users/vincentc9002/model-prediction/data/odds/tennis/2026-09-12/polymarket_snapshots.jsonl</t>
        </is>
      </c>
      <c r="DF636" s="24" t="inlineStr">
        <is>
          <t>799251:2026-09-12T16:06:18.463756Z</t>
        </is>
      </c>
      <c r="DG636" s="24" t="n"/>
      <c r="DH636" s="24" t="n"/>
      <c r="DI636" s="24" t="n"/>
      <c r="DJ636" s="24" t="inlineStr">
        <is>
          <t>0.54955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"6c67e999d2a03612e30f4032c8e5e77e8becfbc79e05f4c8993e726b90d34d54", "away_team": "Anna Blinkova", "event_id": "964-2026:183644", "event_start_utc": "2026-09-12T21:30Z", "features": {"elo_p1_surface": 1610.8, "elo_p2_surface": 1591.9, "expected_games_p1": 12.92, "expected_games_p2": 11.74, "expected_total_games": 24.66, "history_matches": 15953, "min_player_matches": 79, "surface": "Hard"}, "historical_source_observation_times_verified": false, "home_team": "Claire Liu", "inference_inputs": {"code_sha256": {"features/elo_ratings.py": "8525faf022a6343c452286dbfeb17dbb043744c6bdabbe448b6b371216da439b", "models/tennis.py": "6c67e999d2a03612e30f4032c8e5e77e8becfbc79e05f4c8993e726b90d34d54"}, "overall_ratings": [1619.1443969490738, 1660.096517534023], "players": ["Anna Blinkova", "Claire Liu"], "sport": "TENNIS", "surface": "Hard", "surface_counts": [127, 66], "surface_ratings": [1610.8175592382256, 1591.941393446973]}, "market_type": "moneyline", "model_version": "tennis-surface-elo-v1", "observed_at_utc": "2026-09-12T16:07:25.930483+00:00", "probabilities": {"away": 0.4999, "home": 0.5001}, "replay_scope": "Exact full-precision serving state and rounding; upstream historical observation times are not certified.", "schema": "coded-moneyline-replay-v1", "snapshot_hash": "5340b31578bbd0861ee011111c3cb7a15cd9433f07343b07b786c04c435a2b53", "sport": "TENNIS"}</t>
        </is>
      </c>
    </row>
    <row r="637" ht="36" customHeight="1">
      <c r="A637" s="24" t="inlineStr">
        <is>
          <t>b29aa1e95137491d</t>
        </is>
      </c>
      <c r="B637" s="24" t="inlineStr">
        <is>
          <t>2026-09-12T16:07:29.828938Z</t>
        </is>
      </c>
      <c r="C637" s="24" t="inlineStr">
        <is>
          <t>2026-09-12T17:30Z</t>
        </is>
      </c>
      <c r="D637" s="24" t="inlineStr">
        <is>
          <t>887-2026:185910</t>
        </is>
      </c>
      <c r="E637" s="24" t="inlineStr">
        <is>
          <t>TENNIS</t>
        </is>
      </c>
      <c r="F637" s="24" t="inlineStr">
        <is>
          <t>Caroline Dolehide</t>
        </is>
      </c>
      <c r="G637" s="24" t="inlineStr">
        <is>
          <t>Mimi Xu</t>
        </is>
      </c>
      <c r="H637" s="24" t="inlineStr">
        <is>
          <t>moneyline</t>
        </is>
      </c>
      <c r="I637" s="24" t="inlineStr">
        <is>
          <t>away</t>
        </is>
      </c>
      <c r="J637" s="25" t="n"/>
      <c r="K637" s="24" t="inlineStr">
        <is>
          <t>polymarket_us</t>
        </is>
      </c>
      <c r="L637" s="26" t="n">
        <v>-335</v>
      </c>
      <c r="M637" s="27" t="n">
        <v>1.298507</v>
      </c>
      <c r="N637" s="28" t="n">
        <v>0.770115</v>
      </c>
      <c r="O637" s="28" t="n">
        <v>0.6233</v>
      </c>
      <c r="P637" s="28" t="n">
        <v>0.05</v>
      </c>
      <c r="Q637" s="28" t="n">
        <v>-0.146815</v>
      </c>
      <c r="R637" s="26" t="n">
        <v>0</v>
      </c>
      <c r="S637" s="29" t="n">
        <v>1</v>
      </c>
      <c r="T637" s="24" t="inlineStr">
        <is>
          <t>tennis-surface-elo-v1</t>
        </is>
      </c>
      <c r="U637" s="24" t="inlineStr">
        <is>
          <t>settled</t>
        </is>
      </c>
      <c r="V637" s="24" t="inlineStr">
        <is>
          <t>win</t>
        </is>
      </c>
      <c r="W637" s="26" t="n">
        <v>1</v>
      </c>
      <c r="X637" s="26" t="n">
        <v>0</v>
      </c>
      <c r="Y637" s="25" t="n"/>
      <c r="Z637" s="26" t="n">
        <v>-335</v>
      </c>
      <c r="AA637" s="28" t="n">
        <v>0.77</v>
      </c>
      <c r="AB637" s="28" t="n">
        <v>-0.000115</v>
      </c>
      <c r="AC637" s="30" t="n">
        <v>0.2985</v>
      </c>
      <c r="AD637" s="24" t="inlineStr">
        <is>
          <t>2026-09-12T22:01:06.177817Z</t>
        </is>
      </c>
      <c r="AE637" s="31" t="inlineStr">
        <is>
          <t>Surface-blended Elo on Hard: Caroline Dolehide p=0.623 vs Mimi Xu. Executable ask 0.7700 (aec-wta-mimxu-cardol-2026-09-12).</t>
        </is>
      </c>
      <c r="AF637" s="31" t="inlineStr">
        <is>
          <t>Surface-blended Elo model; singles only, WTA+ATP market coverage, not yet locked-holdout qualified -- promoted by explicit operator directive, not genuine walk-forward validation.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paper_call</t>
        </is>
      </c>
      <c r="AL637" s="26" t="n">
        <v>4</v>
      </c>
      <c r="AM637" s="24" t="inlineStr">
        <is>
          <t>RESEARCH_OBSERVATION</t>
        </is>
      </c>
      <c r="AN637" s="24" t="inlineStr">
        <is>
          <t>CALL</t>
        </is>
      </c>
      <c r="AO637" s="24" t="inlineStr">
        <is>
          <t>PAPER_CALL_LOW_EDGE</t>
        </is>
      </c>
      <c r="AP637" s="24" t="inlineStr">
        <is>
          <t>Caroline Dolehide</t>
        </is>
      </c>
      <c r="AQ637" s="24" t="inlineStr">
        <is>
          <t>Caroline Dolehide</t>
        </is>
      </c>
      <c r="AR637" s="24" t="inlineStr">
        <is>
          <t>Caroline Dolehide</t>
        </is>
      </c>
      <c r="AS637" s="24" t="inlineStr">
        <is>
          <t>Mimi Xu</t>
        </is>
      </c>
      <c r="AT637" s="24" t="inlineStr">
        <is>
          <t>Mimi Xu</t>
        </is>
      </c>
      <c r="AU637" s="24" t="inlineStr">
        <is>
          <t>Mimi Xu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6c67e999d2a03612e30f4032c8e5e77e8becfbc79e05f4c8993e726b90d34d54</t>
        </is>
      </c>
      <c r="BB637" s="24" t="inlineStr">
        <is>
          <t>surface_blended_elo</t>
        </is>
      </c>
      <c r="BC637" s="24" t="inlineStr">
        <is>
          <t>tennis-surface-elo-v1</t>
        </is>
      </c>
      <c r="BD637" s="24" t="inlineStr">
        <is>
          <t>6c67e999d2a03612e30f4032c8e5e77e8becfbc79e05f4c8993e726b90d34d54</t>
        </is>
      </c>
      <c r="BE637" s="24" t="inlineStr">
        <is>
          <t>tennis-surface-elo-v1</t>
        </is>
      </c>
      <c r="BF637" s="24" t="inlineStr">
        <is>
          <t>1</t>
        </is>
      </c>
      <c r="BG637" s="24" t="inlineStr">
        <is>
          <t>6c67e999d2a03612e30f4032c8e5e77e8becfbc79e05f4c8993e726b90d34d54</t>
        </is>
      </c>
      <c r="BH637" s="24" t="inlineStr">
        <is>
          <t>2026-09-12T16:06:17.414839Z</t>
        </is>
      </c>
      <c r="BI637" s="24" t="inlineStr">
        <is>
          <t>["same_event","same_team_same_day","same_league_same_day"]</t>
        </is>
      </c>
      <c r="BJ637" s="25" t="n"/>
      <c r="BK637" s="26" t="n">
        <v>-335</v>
      </c>
      <c r="BL637" s="27" t="n">
        <v>1.298507</v>
      </c>
      <c r="BM637" s="28" t="n">
        <v>0.770115</v>
      </c>
      <c r="BN637" s="28" t="n"/>
      <c r="BO637" s="28" t="n"/>
      <c r="BP637" s="25" t="n"/>
      <c r="BQ637" s="27" t="n">
        <v>1.298507</v>
      </c>
      <c r="BR637" s="28" t="n">
        <v>0.77</v>
      </c>
      <c r="BS637" s="28" t="n"/>
      <c r="BT637" s="28" t="n"/>
      <c r="BU637" s="25" t="n"/>
      <c r="BV637" s="29" t="n"/>
      <c r="BW637" s="24" t="n"/>
      <c r="BX637" s="30" t="n">
        <v>1</v>
      </c>
      <c r="BY637" s="27" t="n">
        <v>0.298507</v>
      </c>
      <c r="BZ637" s="24" t="inlineStr">
        <is>
          <t>2026-09-12T22:01:06.177817Z</t>
        </is>
      </c>
      <c r="CA637" s="31" t="inlineStr">
        <is>
          <t>fixed one-unit hypothetical scoring; no real exposure or execution</t>
        </is>
      </c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False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inlineStr">
        <is>
          <t>1f4c63678948a6a7904dfa652a1805fdec7be5f5af99a95bd72270b13b347453</t>
        </is>
      </c>
      <c r="DE637" s="24" t="inlineStr">
        <is>
          <t>/Users/vincentc9002/model-prediction/data/odds/tennis/2026-09-12/polymarket_snapshots.jsonl</t>
        </is>
      </c>
      <c r="DF637" s="24" t="inlineStr">
        <is>
          <t>800261:2026-09-12T16:06:17.414839Z</t>
        </is>
      </c>
      <c r="DG637" s="24" t="n"/>
      <c r="DH637" s="24" t="n"/>
      <c r="DI637" s="24" t="n"/>
      <c r="DJ637" s="24" t="inlineStr">
        <is>
          <t>0.770115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"6c67e999d2a03612e30f4032c8e5e77e8becfbc79e05f4c8993e726b90d34d54", "away_team": "Caroline Dolehide", "event_id": "887-2026:185910", "event_start_utc": "2026-09-12T17:30Z", "features": {"elo_p1_surface": 1495.4, "elo_p2_surface": 1433.8, "expected_games_p1": 13.39, "expected_games_p2": 10.37, "expected_total_games": 23.77, "history_matches": 15953, "min_player_matches": 19, "surface": "Hard"}, "historical_source_observation_times_verified": false, "home_team": "Mimi Xu", "inference_inputs": {"code_sha256": {"features/elo_ratings.py": "8525faf022a6343c452286dbfeb17dbb043744c6bdabbe448b6b371216da439b", "models/tennis.py": "6c67e999d2a03612e30f4032c8e5e77e8becfbc79e05f4c8993e726b90d34d54"}, "overall_ratings": [1501.1074679209003, 1401.730728568086], "players": ["Caroline Dolehide", "Mimi Xu"], "sport": "TENNIS", "surface": "Hard", "surface_counts": [84, 6], "surface_ratings": [1495.384291789353, 1433.7544306121256]}, "market_type": "moneyline", "model_version": "tennis-surface-elo-v1", "observed_at_utc": "2026-09-12T16:07:25.930483+00:00", "probabilities": {"away": 0.6233, "home": 0.3767}, "replay_scope": "Exact full-precision serving state and rounding; upstream historical observation times are not certified.", "schema": "coded-moneyline-replay-v1", "snapshot_hash": "56b517c1fd26a926e56d104473167bc626c21519d79d2e5e6f8230342ea46f19", "sport": "TENNIS"}</t>
        </is>
      </c>
    </row>
    <row r="638" ht="36" customHeight="1">
      <c r="A638" s="24" t="inlineStr">
        <is>
          <t>c36cfe4cd47c4216</t>
        </is>
      </c>
      <c r="B638" s="24" t="inlineStr">
        <is>
          <t>2026-09-12T16:07:29.828938Z</t>
        </is>
      </c>
      <c r="C638" s="24" t="inlineStr">
        <is>
          <t>2026-09-12T17:30Z</t>
        </is>
      </c>
      <c r="D638" s="24" t="inlineStr">
        <is>
          <t>887-2026:185907</t>
        </is>
      </c>
      <c r="E638" s="24" t="inlineStr">
        <is>
          <t>TENNIS</t>
        </is>
      </c>
      <c r="F638" s="24" t="inlineStr">
        <is>
          <t>Ena Koike</t>
        </is>
      </c>
      <c r="G638" s="24" t="inlineStr">
        <is>
          <t>Sara Sorribes Tormo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polymarket_us</t>
        </is>
      </c>
      <c r="L638" s="26" t="n">
        <v>-335</v>
      </c>
      <c r="M638" s="27" t="n">
        <v>1.298507</v>
      </c>
      <c r="N638" s="28" t="n">
        <v>0.770115</v>
      </c>
      <c r="O638" s="28" t="n">
        <v>0.6818</v>
      </c>
      <c r="P638" s="28" t="n">
        <v>0.05</v>
      </c>
      <c r="Q638" s="28" t="n">
        <v>-0.088315</v>
      </c>
      <c r="R638" s="26" t="n">
        <v>0</v>
      </c>
      <c r="S638" s="29" t="n">
        <v>1</v>
      </c>
      <c r="T638" s="24" t="inlineStr">
        <is>
          <t>tennis-surface-elo-v1</t>
        </is>
      </c>
      <c r="U638" s="24" t="inlineStr">
        <is>
          <t>settled</t>
        </is>
      </c>
      <c r="V638" s="24" t="inlineStr">
        <is>
          <t>win</t>
        </is>
      </c>
      <c r="W638" s="26" t="n">
        <v>0</v>
      </c>
      <c r="X638" s="26" t="n">
        <v>1</v>
      </c>
      <c r="Y638" s="25" t="n"/>
      <c r="Z638" s="26" t="n">
        <v>-335</v>
      </c>
      <c r="AA638" s="28" t="n">
        <v>0.77</v>
      </c>
      <c r="AB638" s="28" t="n">
        <v>-0.000115</v>
      </c>
      <c r="AC638" s="30" t="n">
        <v>0.2985</v>
      </c>
      <c r="AD638" s="24" t="inlineStr">
        <is>
          <t>2026-09-12T22:01:07.386386Z</t>
        </is>
      </c>
      <c r="AE638" s="31" t="inlineStr">
        <is>
          <t>Surface-blended Elo on Hard: Ena Koike p=0.318 vs Sara Sorribes Tormo. Executable ask 0.7700 (aec-wta-sartor-enakoi-2026-09-12).</t>
        </is>
      </c>
      <c r="AF638" s="31" t="inlineStr">
        <is>
          <t>Surface-blended Elo model; singles only, WTA+ATP market coverage, not yet locked-holdout qualified -- promoted by explicit operator directive, not genuine walk-forward validation.</t>
        </is>
      </c>
      <c r="AG638" s="24" t="inlineStr">
        <is>
          <t>not_applicable</t>
        </is>
      </c>
      <c r="AH638" s="24" t="n"/>
      <c r="AI638" s="31" t="n"/>
      <c r="AJ638" s="31" t="n"/>
      <c r="AK638" s="24" t="inlineStr">
        <is>
          <t>paper_call</t>
        </is>
      </c>
      <c r="AL638" s="26" t="n">
        <v>4</v>
      </c>
      <c r="AM638" s="24" t="inlineStr">
        <is>
          <t>RESEARCH_OBSERVATION</t>
        </is>
      </c>
      <c r="AN638" s="24" t="inlineStr">
        <is>
          <t>CALL</t>
        </is>
      </c>
      <c r="AO638" s="24" t="inlineStr">
        <is>
          <t>PAPER_CALL_MODEL_UNVALIDATED</t>
        </is>
      </c>
      <c r="AP638" s="24" t="inlineStr">
        <is>
          <t>Ena Koike</t>
        </is>
      </c>
      <c r="AQ638" s="24" t="inlineStr">
        <is>
          <t>Ena Koike</t>
        </is>
      </c>
      <c r="AR638" s="24" t="inlineStr">
        <is>
          <t>Ena Koike</t>
        </is>
      </c>
      <c r="AS638" s="24" t="inlineStr">
        <is>
          <t>Sara Sorribes Tormo</t>
        </is>
      </c>
      <c r="AT638" s="24" t="inlineStr">
        <is>
          <t>Sara Sorribes Tormo</t>
        </is>
      </c>
      <c r="AU638" s="24" t="inlineStr">
        <is>
          <t>Sara Sorribes Tormo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6c67e999d2a03612e30f4032c8e5e77e8becfbc79e05f4c8993e726b90d34d54</t>
        </is>
      </c>
      <c r="BB638" s="24" t="inlineStr">
        <is>
          <t>surface_blended_elo</t>
        </is>
      </c>
      <c r="BC638" s="24" t="inlineStr">
        <is>
          <t>tennis-surface-elo-v1</t>
        </is>
      </c>
      <c r="BD638" s="24" t="inlineStr">
        <is>
          <t>6c67e999d2a03612e30f4032c8e5e77e8becfbc79e05f4c8993e726b90d34d54</t>
        </is>
      </c>
      <c r="BE638" s="24" t="inlineStr">
        <is>
          <t>tennis-surface-elo-v1</t>
        </is>
      </c>
      <c r="BF638" s="24" t="inlineStr">
        <is>
          <t>1</t>
        </is>
      </c>
      <c r="BG638" s="24" t="inlineStr">
        <is>
          <t>6c67e999d2a03612e30f4032c8e5e77e8becfbc79e05f4c8993e726b90d34d54</t>
        </is>
      </c>
      <c r="BH638" s="24" t="inlineStr">
        <is>
          <t>2026-09-12T16:06:17.489940Z</t>
        </is>
      </c>
      <c r="BI638" s="24" t="inlineStr">
        <is>
          <t>["same_event","same_team_same_day","same_league_same_day"]</t>
        </is>
      </c>
      <c r="BJ638" s="25" t="n"/>
      <c r="BK638" s="26" t="n">
        <v>-335</v>
      </c>
      <c r="BL638" s="27" t="n">
        <v>1.298507</v>
      </c>
      <c r="BM638" s="28" t="n">
        <v>0.770115</v>
      </c>
      <c r="BN638" s="28" t="n"/>
      <c r="BO638" s="28" t="n"/>
      <c r="BP638" s="25" t="n"/>
      <c r="BQ638" s="27" t="n">
        <v>1.298507</v>
      </c>
      <c r="BR638" s="28" t="n">
        <v>0.77</v>
      </c>
      <c r="BS638" s="28" t="n"/>
      <c r="BT638" s="28" t="n"/>
      <c r="BU638" s="25" t="n"/>
      <c r="BV638" s="29" t="n"/>
      <c r="BW638" s="24" t="n"/>
      <c r="BX638" s="30" t="n">
        <v>1</v>
      </c>
      <c r="BY638" s="27" t="n">
        <v>0.298507</v>
      </c>
      <c r="BZ638" s="24" t="inlineStr">
        <is>
          <t>2026-09-12T22:01:07.386386Z</t>
        </is>
      </c>
      <c r="CA638" s="31" t="inlineStr">
        <is>
          <t>fixed one-unit hypothetical scoring; no real exposure or execution</t>
        </is>
      </c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False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inlineStr">
        <is>
          <t>c10ba8025ecd833bf9469fff34007c7df6e056551b21d6c4298b0a79ecc8f5f7</t>
        </is>
      </c>
      <c r="DE638" s="24" t="inlineStr">
        <is>
          <t>/Users/vincentc9002/model-prediction/data/odds/tennis/2026-09-12/polymarket_snapshots.jsonl</t>
        </is>
      </c>
      <c r="DF638" s="24" t="inlineStr">
        <is>
          <t>800260:2026-09-12T16:06:17.489940Z</t>
        </is>
      </c>
      <c r="DG638" s="24" t="n"/>
      <c r="DH638" s="24" t="n"/>
      <c r="DI638" s="24" t="n"/>
      <c r="DJ638" s="24" t="inlineStr">
        <is>
          <t>0.770115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"6c67e999d2a03612e30f4032c8e5e77e8becfbc79e05f4c8993e726b90d34d54", "away_team": "Ena Koike", "event_id": "887-2026:185907", "event_start_utc": "2026-09-12T17:30Z", "features": {"elo_p1_surface": 1432.2, "elo_p2_surface": 1570.4, "expected_games_p1": 8.15, "expected_games_p2": 13.14, "expected_total_games": 21.29, "history_matches": 15953, "min_player_matches": 8, "surface": "Hard"}, "historical_source_observation_times_verified": false, "home_team": "Sara Sorribes Tormo", "inference_inputs": {"code_sha256": {"features/elo_ratings.py": "8525faf022a6343c452286dbfeb17dbb043744c6bdabbe448b6b371216da439b", "models/tennis.py": "6c67e999d2a03612e30f4032c8e5e77e8becfbc79e05f4c8993e726b90d34d54"}, "overall_ratings": [1433.7702611350662, 1553.946476215625], "players": ["Ena Koike", "Sara Sorribes Tormo"], "sport": "TENNIS", "surface": "Hard", "surface_counts": [8, 79], "surface_ratings": [1432.201340197414, 1570.3784283524044]}, "market_type": "moneyline", "model_version": "tennis-surface-elo-v1", "observed_at_utc": "2026-09-12T16:07:25.930483+00:00", "probabilities": {"away": 0.3182, "home": 0.6818}, "replay_scope": "Exact full-precision serving state and rounding; upstream historical observation times are not certified.", "schema": "coded-moneyline-replay-v1", "snapshot_hash": "2424da571be88cd12be7b52495ea5086c9be4135f5caa62cc68d9197629ac55a", "sport": "TENNIS"}</t>
        </is>
      </c>
    </row>
    <row r="639" ht="36" customHeight="1">
      <c r="A639" s="24" t="inlineStr">
        <is>
          <t>fd329c5228884799</t>
        </is>
      </c>
      <c r="B639" s="24" t="inlineStr">
        <is>
          <t>2026-09-12T16:07:29.828938Z</t>
        </is>
      </c>
      <c r="C639" s="24" t="inlineStr">
        <is>
          <t>2026-09-12T19:00Z</t>
        </is>
      </c>
      <c r="D639" s="24" t="inlineStr">
        <is>
          <t>887-2026:185913</t>
        </is>
      </c>
      <c r="E639" s="24" t="inlineStr">
        <is>
          <t>TENNIS</t>
        </is>
      </c>
      <c r="F639" s="24" t="inlineStr">
        <is>
          <t>Katarina Zavatska</t>
        </is>
      </c>
      <c r="G639" s="24" t="inlineStr">
        <is>
          <t>Lea Ma</t>
        </is>
      </c>
      <c r="H639" s="24" t="inlineStr">
        <is>
          <t>moneyline</t>
        </is>
      </c>
      <c r="I639" s="24" t="inlineStr">
        <is>
          <t>home</t>
        </is>
      </c>
      <c r="J639" s="25" t="n"/>
      <c r="K639" s="24" t="inlineStr">
        <is>
          <t>polymarket_us</t>
        </is>
      </c>
      <c r="L639" s="26" t="n">
        <v>127</v>
      </c>
      <c r="M639" s="27" t="n">
        <v>2.27</v>
      </c>
      <c r="N639" s="28" t="n">
        <v>0.440529</v>
      </c>
      <c r="O639" s="28" t="n">
        <v>0.5077</v>
      </c>
      <c r="P639" s="28" t="n">
        <v>0.05</v>
      </c>
      <c r="Q639" s="28" t="n">
        <v>0.06717099999999999</v>
      </c>
      <c r="R639" s="26" t="n">
        <v>54</v>
      </c>
      <c r="S639" s="29" t="n">
        <v>1</v>
      </c>
      <c r="T639" s="24" t="inlineStr">
        <is>
          <t>tennis-surface-elo-v1</t>
        </is>
      </c>
      <c r="U639" s="24" t="inlineStr">
        <is>
          <t>settled</t>
        </is>
      </c>
      <c r="V639" s="24" t="inlineStr">
        <is>
          <t>win</t>
        </is>
      </c>
      <c r="W639" s="26" t="n">
        <v>0</v>
      </c>
      <c r="X639" s="26" t="n">
        <v>1</v>
      </c>
      <c r="Y639" s="25" t="n"/>
      <c r="Z639" s="26" t="n">
        <v>127</v>
      </c>
      <c r="AA639" s="28" t="n">
        <v>0.44</v>
      </c>
      <c r="AB639" s="28" t="n">
        <v>-0.000529</v>
      </c>
      <c r="AC639" s="30" t="n">
        <v>1.27</v>
      </c>
      <c r="AD639" s="24" t="inlineStr">
        <is>
          <t>2026-09-12T22:01:08.666918Z</t>
        </is>
      </c>
      <c r="AE639" s="31" t="inlineStr">
        <is>
          <t>Surface-blended Elo on Hard: Katarina Zavatska p=0.492 vs Lea Ma. Executable ask 0.4400 (aec-wta-leama-katzav-2026-09-12).</t>
        </is>
      </c>
      <c r="AF639" s="31" t="inlineStr">
        <is>
          <t>Surface-blended Elo model; singles only, WTA+ATP market coverage, not yet locked-holdout qualified -- promoted by explicit operator directive, not genuine walk-forward validation.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Katarina Zavatska</t>
        </is>
      </c>
      <c r="AQ639" s="24" t="inlineStr">
        <is>
          <t>Katarina Zavatska</t>
        </is>
      </c>
      <c r="AR639" s="24" t="inlineStr">
        <is>
          <t>Katarina Zavatska</t>
        </is>
      </c>
      <c r="AS639" s="24" t="inlineStr">
        <is>
          <t>Lea Ma</t>
        </is>
      </c>
      <c r="AT639" s="24" t="inlineStr">
        <is>
          <t>Lea Ma</t>
        </is>
      </c>
      <c r="AU639" s="24" t="inlineStr">
        <is>
          <t>Lea Ma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6c67e999d2a03612e30f4032c8e5e77e8becfbc79e05f4c8993e726b90d34d54</t>
        </is>
      </c>
      <c r="BB639" s="24" t="inlineStr">
        <is>
          <t>surface_blended_elo</t>
        </is>
      </c>
      <c r="BC639" s="24" t="inlineStr">
        <is>
          <t>tennis-surface-elo-v1</t>
        </is>
      </c>
      <c r="BD639" s="24" t="inlineStr">
        <is>
          <t>6c67e999d2a03612e30f4032c8e5e77e8becfbc79e05f4c8993e726b90d34d54</t>
        </is>
      </c>
      <c r="BE639" s="24" t="inlineStr">
        <is>
          <t>tennis-surface-elo-v1</t>
        </is>
      </c>
      <c r="BF639" s="24" t="inlineStr">
        <is>
          <t>1</t>
        </is>
      </c>
      <c r="BG639" s="24" t="inlineStr">
        <is>
          <t>6c67e999d2a03612e30f4032c8e5e77e8becfbc79e05f4c8993e726b90d34d54</t>
        </is>
      </c>
      <c r="BH639" s="24" t="inlineStr">
        <is>
          <t>2026-09-12T16:06:17.599948Z</t>
        </is>
      </c>
      <c r="BI639" s="24" t="inlineStr">
        <is>
          <t>["same_event","same_team_same_day","same_league_same_day"]</t>
        </is>
      </c>
      <c r="BJ639" s="25" t="n"/>
      <c r="BK639" s="26" t="n">
        <v>127</v>
      </c>
      <c r="BL639" s="27" t="n">
        <v>2.27</v>
      </c>
      <c r="BM639" s="28" t="n">
        <v>0.440529</v>
      </c>
      <c r="BN639" s="28" t="n"/>
      <c r="BO639" s="28" t="n"/>
      <c r="BP639" s="25" t="n"/>
      <c r="BQ639" s="27" t="n">
        <v>2.27</v>
      </c>
      <c r="BR639" s="28" t="n">
        <v>0.44</v>
      </c>
      <c r="BS639" s="28" t="n"/>
      <c r="BT639" s="28" t="n"/>
      <c r="BU639" s="25" t="n"/>
      <c r="BV639" s="29" t="n"/>
      <c r="BW639" s="24" t="n"/>
      <c r="BX639" s="30" t="n">
        <v>1</v>
      </c>
      <c r="BY639" s="27" t="n">
        <v>1.269998</v>
      </c>
      <c r="BZ639" s="24" t="inlineStr">
        <is>
          <t>2026-09-12T22:01:08.666918Z</t>
        </is>
      </c>
      <c r="CA639" s="31" t="inlineStr">
        <is>
          <t>fixed one-unit hypothetical scoring; no real exposure or execution</t>
        </is>
      </c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inlineStr">
        <is>
          <t>2802e7dcc9599098f6025238dddabcdbd0b89f22f758051d95fe201139848ce9</t>
        </is>
      </c>
      <c r="DE639" s="24" t="inlineStr">
        <is>
          <t>/Users/vincentc9002/model-prediction/data/odds/tennis/2026-09-12/polymarket_snapshots.jsonl</t>
        </is>
      </c>
      <c r="DF639" s="24" t="inlineStr">
        <is>
          <t>800263:2026-09-12T16:06:17.599948Z</t>
        </is>
      </c>
      <c r="DG639" s="24" t="n"/>
      <c r="DH639" s="24" t="n"/>
      <c r="DI639" s="24" t="n"/>
      <c r="DJ639" s="24" t="inlineStr">
        <is>
          <t>0.440529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"6c67e999d2a03612e30f4032c8e5e77e8becfbc79e05f4c8993e726b90d34d54", "away_team": "Katarina Zavatska", "event_id": "887-2026:185913", "event_start_utc": "2026-09-12T19:00Z", "features": {"elo_p1_surface": 1471.6, "elo_p2_surface": 1480.5, "expected_games_p1": 12.35, "expected_games_p2": 12.43, "expected_total_games": 24.78, "history_matches": 15953, "min_player_matches": 15, "surface": "Hard"}, "historical_source_observation_times_verified": false, "home_team": "Lea Ma", "inference_inputs": {"code_sha256": {"features/elo_ratings.py": "8525faf022a6343c452286dbfeb17dbb043744c6bdabbe448b6b371216da439b", "models/tennis.py": "6c67e999d2a03612e30f4032c8e5e77e8becfbc79e05f4c8993e726b90d34d54"}, "overall_ratings": [1485.1469042208428, 1482.6114096139904], "players": ["Katarina Zavatska", "Lea Ma"], "sport": "TENNIS", "surface": "Hard", "surface_counts": [48, 15], "surface_ratings": [1471.600405370784, 1480.526312463609]}, "market_type": "moneyline", "model_version": "tennis-surface-elo-v1", "observed_at_utc": "2026-09-12T16:07:25.930483+00:00", "probabilities": {"away": 0.4923, "home": 0.5077}, "replay_scope": "Exact full-precision serving state and rounding; upstream historical observation times are not certified.", "schema": "coded-moneyline-replay-v1", "snapshot_hash": "8ce2ac0879ed4b9f05ba6564ec7abfd3497af074bdc531274024e4cba3511879", "sport": "TENNIS"}</t>
        </is>
      </c>
    </row>
    <row r="640" ht="36" customHeight="1">
      <c r="A640" s="24" t="inlineStr">
        <is>
          <t>60234e9b769b465b</t>
        </is>
      </c>
      <c r="B640" s="24" t="inlineStr">
        <is>
          <t>2026-09-12T16:07:29.828938Z</t>
        </is>
      </c>
      <c r="C640" s="24" t="inlineStr">
        <is>
          <t>2026-09-12T19:00Z</t>
        </is>
      </c>
      <c r="D640" s="24" t="inlineStr">
        <is>
          <t>887-2026:185911</t>
        </is>
      </c>
      <c r="E640" s="24" t="inlineStr">
        <is>
          <t>TENNIS</t>
        </is>
      </c>
      <c r="F640" s="24" t="inlineStr">
        <is>
          <t>Ana Sofia Sanchez</t>
        </is>
      </c>
      <c r="G640" s="24" t="inlineStr">
        <is>
          <t>Iryna Shymanovich</t>
        </is>
      </c>
      <c r="H640" s="24" t="inlineStr">
        <is>
          <t>moneyline</t>
        </is>
      </c>
      <c r="I640" s="24" t="inlineStr">
        <is>
          <t>home</t>
        </is>
      </c>
      <c r="J640" s="25" t="n"/>
      <c r="K640" s="24" t="inlineStr">
        <is>
          <t>polymarket_us</t>
        </is>
      </c>
      <c r="L640" s="26" t="n">
        <v>-245</v>
      </c>
      <c r="M640" s="27" t="n">
        <v>1.408163</v>
      </c>
      <c r="N640" s="28" t="n">
        <v>0.710145</v>
      </c>
      <c r="O640" s="28" t="n">
        <v>0.7371</v>
      </c>
      <c r="P640" s="28" t="n">
        <v>0.05</v>
      </c>
      <c r="Q640" s="28" t="n">
        <v>0.026955</v>
      </c>
      <c r="R640" s="26" t="n">
        <v>33</v>
      </c>
      <c r="S640" s="29" t="n">
        <v>1</v>
      </c>
      <c r="T640" s="24" t="inlineStr">
        <is>
          <t>tennis-surface-elo-v1</t>
        </is>
      </c>
      <c r="U640" s="24" t="inlineStr">
        <is>
          <t>settled</t>
        </is>
      </c>
      <c r="V640" s="24" t="inlineStr">
        <is>
          <t>win</t>
        </is>
      </c>
      <c r="W640" s="26" t="n">
        <v>0</v>
      </c>
      <c r="X640" s="26" t="n">
        <v>1</v>
      </c>
      <c r="Y640" s="25" t="n"/>
      <c r="Z640" s="26" t="n">
        <v>-245</v>
      </c>
      <c r="AA640" s="28" t="n">
        <v>0.71</v>
      </c>
      <c r="AB640" s="28" t="n">
        <v>-0.000145</v>
      </c>
      <c r="AC640" s="30" t="n">
        <v>0.4082</v>
      </c>
      <c r="AD640" s="24" t="inlineStr">
        <is>
          <t>2026-09-12T22:01:09.844065Z</t>
        </is>
      </c>
      <c r="AE640" s="31" t="inlineStr">
        <is>
          <t>Surface-blended Elo on Hard: Ana Sofia Sanchez p=0.263 vs Iryna Shymanovich. Executable ask 0.7100 (aec-wta-iryshy-anasan-2026-09-12).</t>
        </is>
      </c>
      <c r="AF640" s="31" t="inlineStr">
        <is>
          <t>Surface-blended Elo model; singles only, WTA+ATP market coverage, not yet locked-holdout qualified -- promoted by explicit operator directive, not genuine walk-forward validation.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paper_call</t>
        </is>
      </c>
      <c r="AL640" s="26" t="n">
        <v>4</v>
      </c>
      <c r="AM640" s="24" t="inlineStr">
        <is>
          <t>RESEARCH_OBSERVATION</t>
        </is>
      </c>
      <c r="AN640" s="24" t="inlineStr">
        <is>
          <t>CALL</t>
        </is>
      </c>
      <c r="AO640" s="24" t="inlineStr">
        <is>
          <t>PAPER_CALL_LOW_EDGE</t>
        </is>
      </c>
      <c r="AP640" s="24" t="inlineStr">
        <is>
          <t>Ana Sofia Sanchez</t>
        </is>
      </c>
      <c r="AQ640" s="24" t="inlineStr">
        <is>
          <t>Ana Sofia Sanchez</t>
        </is>
      </c>
      <c r="AR640" s="24" t="inlineStr">
        <is>
          <t>Ana Sofia Sanchez</t>
        </is>
      </c>
      <c r="AS640" s="24" t="inlineStr">
        <is>
          <t>Iryna Shymanovich</t>
        </is>
      </c>
      <c r="AT640" s="24" t="inlineStr">
        <is>
          <t>Iryna Shymanovich</t>
        </is>
      </c>
      <c r="AU640" s="24" t="inlineStr">
        <is>
          <t>Iryna Shymanovich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6c67e999d2a03612e30f4032c8e5e77e8becfbc79e05f4c8993e726b90d34d54</t>
        </is>
      </c>
      <c r="BB640" s="24" t="inlineStr">
        <is>
          <t>surface_blended_elo</t>
        </is>
      </c>
      <c r="BC640" s="24" t="inlineStr">
        <is>
          <t>tennis-surface-elo-v1</t>
        </is>
      </c>
      <c r="BD640" s="24" t="inlineStr">
        <is>
          <t>6c67e999d2a03612e30f4032c8e5e77e8becfbc79e05f4c8993e726b90d34d54</t>
        </is>
      </c>
      <c r="BE640" s="24" t="inlineStr">
        <is>
          <t>tennis-surface-elo-v1</t>
        </is>
      </c>
      <c r="BF640" s="24" t="inlineStr">
        <is>
          <t>1</t>
        </is>
      </c>
      <c r="BG640" s="24" t="inlineStr">
        <is>
          <t>6c67e999d2a03612e30f4032c8e5e77e8becfbc79e05f4c8993e726b90d34d54</t>
        </is>
      </c>
      <c r="BH640" s="24" t="inlineStr">
        <is>
          <t>2026-09-12T16:06:17.679937Z</t>
        </is>
      </c>
      <c r="BI640" s="24" t="inlineStr">
        <is>
          <t>["same_event","same_team_same_day","same_league_same_day"]</t>
        </is>
      </c>
      <c r="BJ640" s="25" t="n"/>
      <c r="BK640" s="26" t="n">
        <v>-245</v>
      </c>
      <c r="BL640" s="27" t="n">
        <v>1.408163</v>
      </c>
      <c r="BM640" s="28" t="n">
        <v>0.710145</v>
      </c>
      <c r="BN640" s="28" t="n"/>
      <c r="BO640" s="28" t="n"/>
      <c r="BP640" s="25" t="n"/>
      <c r="BQ640" s="27" t="n">
        <v>1.408163</v>
      </c>
      <c r="BR640" s="28" t="n">
        <v>0.71</v>
      </c>
      <c r="BS640" s="28" t="n"/>
      <c r="BT640" s="28" t="n"/>
      <c r="BU640" s="25" t="n"/>
      <c r="BV640" s="29" t="n"/>
      <c r="BW640" s="24" t="n"/>
      <c r="BX640" s="30" t="n">
        <v>1</v>
      </c>
      <c r="BY640" s="27" t="n">
        <v>0.408163</v>
      </c>
      <c r="BZ640" s="24" t="inlineStr">
        <is>
          <t>2026-09-12T22:01:09.844065Z</t>
        </is>
      </c>
      <c r="CA640" s="31" t="inlineStr">
        <is>
          <t>fixed one-unit hypothetical scoring; no real exposure or execution</t>
        </is>
      </c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inlineStr">
        <is>
          <t>0270dc602cf2bb762225103ae9f39209f92991dae07900ab1bcc3260fe426585</t>
        </is>
      </c>
      <c r="DE640" s="24" t="inlineStr">
        <is>
          <t>/Users/vincentc9002/model-prediction/data/odds/tennis/2026-09-12/polymarket_snapshots.jsonl</t>
        </is>
      </c>
      <c r="DF640" s="24" t="inlineStr">
        <is>
          <t>800262:2026-09-12T16:06:17.679937Z</t>
        </is>
      </c>
      <c r="DG640" s="24" t="n"/>
      <c r="DH640" s="24" t="n"/>
      <c r="DI640" s="24" t="n"/>
      <c r="DJ640" s="24" t="inlineStr">
        <is>
          <t>0.710145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"6c67e999d2a03612e30f4032c8e5e77e8becfbc79e05f4c8993e726b90d34d54", "away_team": "Ana Sofia Sanchez", "event_id": "887-2026:185911", "event_start_utc": "2026-09-12T19:00Z", "features": {"elo_p1_surface": 1370.6, "elo_p2_surface": 1538.1, "expected_games_p1": 7.22, "expected_games_p2": 12.94, "expected_total_games": 20.17, "history_matches": 15953, "min_player_matches": 22, "surface": "Hard"}, "historical_source_observation_times_verified": false, "home_team": "Iryna Shymanovich", "inference_inputs": {"code_sha256": {"features/elo_ratings.py": "8525faf022a6343c452286dbfeb17dbb043744c6bdabbe448b6b371216da439b", "models/tennis.py": "6c67e999d2a03612e30f4032c8e5e77e8becfbc79e05f4c8993e726b90d34d54"}, "overall_ratings": [1357.1486718630927, 1554.6868987099213], "players": ["Ana Sofia Sanchez", "Iryna Shymanovich"], "sport": "TENNIS", "surface": "Hard", "surface_counts": [21, 77], "surface_ratings": [1370.5566241907504, 1538.0608699597988]}, "market_type": "moneyline", "model_version": "tennis-surface-elo-v1", "observed_at_utc": "2026-09-12T16:07:25.930483+00:00", "probabilities": {"away": 0.2629, "home": 0.7371}, "replay_scope": "Exact full-precision serving state and rounding; upstream historical observation times are not certified.", "schema": "coded-moneyline-replay-v1", "snapshot_hash": "1524fbe7daefe7a676869d6e2c896e27fdf22db37dd5ecb1a58af058fe94d1fb", "sport": "TENNIS"}</t>
        </is>
      </c>
    </row>
    <row r="641" ht="36" customHeight="1">
      <c r="A641" s="24" t="inlineStr">
        <is>
          <t>0d4badc670924c54</t>
        </is>
      </c>
      <c r="B641" s="24" t="inlineStr">
        <is>
          <t>2026-09-13T10:26:30.899798Z</t>
        </is>
      </c>
      <c r="C641" s="24" t="inlineStr">
        <is>
          <t>2026-09-13T15:00Z</t>
        </is>
      </c>
      <c r="D641" s="24" t="inlineStr">
        <is>
          <t>1005-2026:185902</t>
        </is>
      </c>
      <c r="E641" s="24" t="inlineStr">
        <is>
          <t>TENNIS</t>
        </is>
      </c>
      <c r="F641" s="24" t="inlineStr">
        <is>
          <t>Victoria Bosio</t>
        </is>
      </c>
      <c r="G641" s="24" t="inlineStr">
        <is>
          <t>You Xiaodi</t>
        </is>
      </c>
      <c r="H641" s="24" t="inlineStr">
        <is>
          <t>moneyline</t>
        </is>
      </c>
      <c r="I641" s="24" t="inlineStr">
        <is>
          <t>away</t>
        </is>
      </c>
      <c r="J641" s="25" t="n"/>
      <c r="K641" s="24" t="inlineStr">
        <is>
          <t>polymarket_us</t>
        </is>
      </c>
      <c r="L641" s="26" t="n">
        <v>317</v>
      </c>
      <c r="M641" s="27" t="n">
        <v>4.17</v>
      </c>
      <c r="N641" s="28" t="n">
        <v>0.239808</v>
      </c>
      <c r="O641" s="28" t="n">
        <v>0.5881999999999999</v>
      </c>
      <c r="P641" s="28" t="n">
        <v>0.05</v>
      </c>
      <c r="Q641" s="28" t="n">
        <v>0.348392</v>
      </c>
      <c r="R641" s="26" t="n">
        <v>100</v>
      </c>
      <c r="S641" s="29" t="n">
        <v>2</v>
      </c>
      <c r="T641" s="24" t="inlineStr">
        <is>
          <t>tennis-surface-elo-v1</t>
        </is>
      </c>
      <c r="U641" s="24" t="inlineStr">
        <is>
          <t>settled</t>
        </is>
      </c>
      <c r="V641" s="24" t="inlineStr">
        <is>
          <t>loss</t>
        </is>
      </c>
      <c r="W641" s="26" t="n">
        <v>0</v>
      </c>
      <c r="X641" s="26" t="n">
        <v>1</v>
      </c>
      <c r="Y641" s="25" t="n"/>
      <c r="Z641" s="26" t="n">
        <v>317</v>
      </c>
      <c r="AA641" s="28" t="n">
        <v>0.24</v>
      </c>
      <c r="AB641" s="28" t="n">
        <v>0.000192</v>
      </c>
      <c r="AC641" s="30" t="n">
        <v>-2</v>
      </c>
      <c r="AD641" s="24" t="inlineStr">
        <is>
          <t>2026-09-13T22:00:21.588118Z</t>
        </is>
      </c>
      <c r="AE641" s="31" t="inlineStr">
        <is>
          <t>Surface-blended Elo on Hard: Victoria Bosio p=0.588 vs You Xiaodi. Executable ask 0.2400 (aec-wta-xiayou-vicbos-2026-09-13).</t>
        </is>
      </c>
      <c r="AF641" s="31" t="inlineStr">
        <is>
          <t>Surface-blended Elo model; singles only, WTA+ATP market coverage, not yet locked-holdout qualified -- promoted by explicit operator directive, not genuine walk-forward validation.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Victoria Bosio</t>
        </is>
      </c>
      <c r="AQ641" s="24" t="inlineStr">
        <is>
          <t>Victoria Bosio</t>
        </is>
      </c>
      <c r="AR641" s="24" t="inlineStr">
        <is>
          <t>Victoria Bosio</t>
        </is>
      </c>
      <c r="AS641" s="24" t="inlineStr">
        <is>
          <t>You Xiaodi</t>
        </is>
      </c>
      <c r="AT641" s="24" t="inlineStr">
        <is>
          <t>You Xiaodi</t>
        </is>
      </c>
      <c r="AU641" s="24" t="inlineStr">
        <is>
          <t>You Xiaodi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6c67e999d2a03612e30f4032c8e5e77e8becfbc79e05f4c8993e726b90d34d54</t>
        </is>
      </c>
      <c r="BB641" s="24" t="inlineStr">
        <is>
          <t>surface_blended_elo</t>
        </is>
      </c>
      <c r="BC641" s="24" t="inlineStr">
        <is>
          <t>tennis-surface-elo-v1</t>
        </is>
      </c>
      <c r="BD641" s="24" t="inlineStr">
        <is>
          <t>6c67e999d2a03612e30f4032c8e5e77e8becfbc79e05f4c8993e726b90d34d54</t>
        </is>
      </c>
      <c r="BE641" s="24" t="inlineStr">
        <is>
          <t>tennis-surface-elo-v1</t>
        </is>
      </c>
      <c r="BF641" s="24" t="inlineStr">
        <is>
          <t>1</t>
        </is>
      </c>
      <c r="BG641" s="24" t="inlineStr">
        <is>
          <t>6c67e999d2a03612e30f4032c8e5e77e8becfbc79e05f4c8993e726b90d34d54</t>
        </is>
      </c>
      <c r="BH641" s="24" t="inlineStr">
        <is>
          <t>2026-09-13T10:23:41.111107Z</t>
        </is>
      </c>
      <c r="BI641" s="24" t="inlineStr">
        <is>
          <t>["same_event","same_team_same_day","same_league_same_day"]</t>
        </is>
      </c>
      <c r="BJ641" s="25" t="n"/>
      <c r="BK641" s="26" t="n">
        <v>317</v>
      </c>
      <c r="BL641" s="27" t="n">
        <v>4.17</v>
      </c>
      <c r="BM641" s="28" t="n">
        <v>0.239808</v>
      </c>
      <c r="BN641" s="28" t="n"/>
      <c r="BO641" s="28" t="n"/>
      <c r="BP641" s="25" t="n"/>
      <c r="BQ641" s="27" t="n">
        <v>4.17</v>
      </c>
      <c r="BR641" s="28" t="n">
        <v>0.24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inlineStr">
        <is>
          <t>e4d70a0d66dccd90f4046ad3858c652d245e1f0e9f9dc49fedeaec58b95c8515</t>
        </is>
      </c>
      <c r="DE641" s="24" t="inlineStr">
        <is>
          <t>/Users/vincentc9002/model-prediction/data/odds/tennis/2026-09-13/polymarket_snapshots.jsonl</t>
        </is>
      </c>
      <c r="DF641" s="24" t="inlineStr">
        <is>
          <t>818434:2026-09-13T10:23:41.111107Z</t>
        </is>
      </c>
      <c r="DG641" s="24" t="n"/>
      <c r="DH641" s="24" t="n"/>
      <c r="DI641" s="24" t="n"/>
      <c r="DJ641" s="24" t="inlineStr">
        <is>
          <t>0.239808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"6c67e999d2a03612e30f4032c8e5e77e8becfbc79e05f4c8993e726b90d34d54", "away_team": "Victoria Bosio", "event_id": "1005-2026:185902", "event_start_utc": "2026-09-13T15:00Z", "features": {"elo_p1_surface": 1495.6, "elo_p2_surface": 1444.7, "expected_games_p1": 13.32, "expected_games_p2": 10.74, "expected_total_games": 24.06, "history_matches": 15974, "min_player_matches": 17,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[1492.9168029184839, 1409.2651505156166], "players": ["Victoria Bosio", "You Xiaodi"], "sport": "TENNIS", "surface": "Hard", "surface_counts": [15, 47], "surface_ratings": [1495.6488806971424, 1444.7240578468145]}, "market_type": "moneyline", "model_version": "tennis-surface-elo-v1", "observed_at_utc": "2026-09-13T10:26:29.599046+00:00", "probabilities": {"away": 0.5882, "home": 0.4118}, "replay_scope": "Exact full-precision serving state and rounding; upstream historical observation times are not certified.", "schema": "coded-moneyline-replay-v1", "snapshot_hash": "9f07dd84e7cef7bd35ac67a36ca8e263474785fd524b3dfa4f06da523c68251a", "sport": "TENNIS"}</t>
        </is>
      </c>
    </row>
    <row r="642" ht="36" customHeight="1">
      <c r="A642" s="24" t="inlineStr">
        <is>
          <t>c9f14d2af76f4c01</t>
        </is>
      </c>
      <c r="B642" s="24" t="inlineStr">
        <is>
          <t>2026-09-13T16:24:42.153489Z</t>
        </is>
      </c>
      <c r="C642" s="24" t="inlineStr">
        <is>
          <t>2026-09-13T19:00Z</t>
        </is>
      </c>
      <c r="D642" s="24" t="inlineStr">
        <is>
          <t>887-2026:183797</t>
        </is>
      </c>
      <c r="E642" s="24" t="inlineStr">
        <is>
          <t>TENNIS</t>
        </is>
      </c>
      <c r="F642" s="24" t="inlineStr">
        <is>
          <t>Emiliana Arango</t>
        </is>
      </c>
      <c r="G642" s="24" t="inlineStr">
        <is>
          <t>Peyton Stearns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polymarket_us</t>
        </is>
      </c>
      <c r="L642" s="26" t="n">
        <v>-213</v>
      </c>
      <c r="M642" s="27" t="n">
        <v>1.469484</v>
      </c>
      <c r="N642" s="28" t="n">
        <v>0.680511</v>
      </c>
      <c r="O642" s="28" t="n">
        <v>0.5988</v>
      </c>
      <c r="P642" s="28" t="n">
        <v>0.05</v>
      </c>
      <c r="Q642" s="28" t="n">
        <v>-0.08171100000000001</v>
      </c>
      <c r="R642" s="26" t="n">
        <v>0</v>
      </c>
      <c r="S642" s="29" t="n">
        <v>1</v>
      </c>
      <c r="T642" s="24" t="inlineStr">
        <is>
          <t>tennis-surface-elo-v1</t>
        </is>
      </c>
      <c r="U642" s="24" t="inlineStr">
        <is>
          <t>settled</t>
        </is>
      </c>
      <c r="V642" s="24" t="inlineStr">
        <is>
          <t>win</t>
        </is>
      </c>
      <c r="W642" s="26" t="n">
        <v>0</v>
      </c>
      <c r="X642" s="26" t="n">
        <v>1</v>
      </c>
      <c r="Y642" s="25" t="n"/>
      <c r="Z642" s="26" t="n">
        <v>-213</v>
      </c>
      <c r="AA642" s="28" t="n">
        <v>0.68</v>
      </c>
      <c r="AB642" s="28" t="n">
        <v>-0.000511</v>
      </c>
      <c r="AC642" s="30" t="n">
        <v>0.4695</v>
      </c>
      <c r="AD642" s="24" t="inlineStr">
        <is>
          <t>2026-09-13T22:01:03.686112Z</t>
        </is>
      </c>
      <c r="AE642" s="31" t="inlineStr">
        <is>
          <t>Surface-blended Elo on Hard: Emiliana Arango p=0.401 vs Peyton Stearns. Executable ask 0.6800 (aec-wta-peyste-emiara-2026-09-13).</t>
        </is>
      </c>
      <c r="AF642" s="31" t="inlineStr">
        <is>
          <t>Surface-blended Elo model; singles only, WTA+ATP market coverage, not yet locked-holdout qualified -- promoted by explicit operator directive, not genuine walk-forward validation.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Emiliana Arango</t>
        </is>
      </c>
      <c r="AQ642" s="24" t="inlineStr">
        <is>
          <t>Emiliana Arango</t>
        </is>
      </c>
      <c r="AR642" s="24" t="inlineStr">
        <is>
          <t>Emiliana Arango</t>
        </is>
      </c>
      <c r="AS642" s="24" t="inlineStr">
        <is>
          <t>Peyton Stearns</t>
        </is>
      </c>
      <c r="AT642" s="24" t="inlineStr">
        <is>
          <t>Peyton Stearns</t>
        </is>
      </c>
      <c r="AU642" s="24" t="inlineStr">
        <is>
          <t>Peyton Stearns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6c67e999d2a03612e30f4032c8e5e77e8becfbc79e05f4c8993e726b90d34d54</t>
        </is>
      </c>
      <c r="BB642" s="24" t="inlineStr">
        <is>
          <t>surface_blended_elo</t>
        </is>
      </c>
      <c r="BC642" s="24" t="inlineStr">
        <is>
          <t>tennis-surface-elo-v1</t>
        </is>
      </c>
      <c r="BD642" s="24" t="inlineStr">
        <is>
          <t>6c67e999d2a03612e30f4032c8e5e77e8becfbc79e05f4c8993e726b90d34d54</t>
        </is>
      </c>
      <c r="BE642" s="24" t="inlineStr">
        <is>
          <t>tennis-surface-elo-v1</t>
        </is>
      </c>
      <c r="BF642" s="24" t="inlineStr">
        <is>
          <t>1</t>
        </is>
      </c>
      <c r="BG642" s="24" t="inlineStr">
        <is>
          <t>6c67e999d2a03612e30f4032c8e5e77e8becfbc79e05f4c8993e726b90d34d54</t>
        </is>
      </c>
      <c r="BH642" s="24" t="inlineStr">
        <is>
          <t>2026-09-13T16:23:02.056826Z</t>
        </is>
      </c>
      <c r="BI642" s="24" t="inlineStr">
        <is>
          <t>["same_event","same_team_same_day","same_league_same_day"]</t>
        </is>
      </c>
      <c r="BJ642" s="25" t="n"/>
      <c r="BK642" s="26" t="n">
        <v>-213</v>
      </c>
      <c r="BL642" s="27" t="n">
        <v>1.469484</v>
      </c>
      <c r="BM642" s="28" t="n">
        <v>0.680511</v>
      </c>
      <c r="BN642" s="28" t="n"/>
      <c r="BO642" s="28" t="n"/>
      <c r="BP642" s="25" t="n"/>
      <c r="BQ642" s="27" t="n">
        <v>1.469484</v>
      </c>
      <c r="BR642" s="28" t="n">
        <v>0.68</v>
      </c>
      <c r="BS642" s="28" t="n"/>
      <c r="BT642" s="28" t="n"/>
      <c r="BU642" s="25" t="n"/>
      <c r="BV642" s="29" t="n"/>
      <c r="BW642" s="24" t="n"/>
      <c r="BX642" s="30" t="n">
        <v>1</v>
      </c>
      <c r="BY642" s="27" t="n">
        <v>0.469484</v>
      </c>
      <c r="BZ642" s="24" t="inlineStr">
        <is>
          <t>2026-09-13T22:01:03.686112Z</t>
        </is>
      </c>
      <c r="CA642" s="31" t="inlineStr">
        <is>
          <t>fixed one-unit hypothetical scoring; no real exposure or execution</t>
        </is>
      </c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inlineStr">
        <is>
          <t>e6896b021a01e1792853e283b44a0d6331366758100f00f3a94f9362e0d99ed6</t>
        </is>
      </c>
      <c r="DE642" s="24" t="inlineStr">
        <is>
          <t>/Users/vincentc9002/model-prediction/data/odds/tennis/2026-09-13/polymarket_snapshots.jsonl</t>
        </is>
      </c>
      <c r="DF642" s="24" t="inlineStr">
        <is>
          <t>803725:2026-09-13T16:23:02.056826Z</t>
        </is>
      </c>
      <c r="DG642" s="24" t="n"/>
      <c r="DH642" s="24" t="n"/>
      <c r="DI642" s="24" t="n"/>
      <c r="DJ642" s="24" t="inlineStr">
        <is>
          <t>0.680511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"6c67e999d2a03612e30f4032c8e5e77e8becfbc79e05f4c8993e726b90d34d54", "away_team": "Emiliana Arango", "event_id": "887-2026:183797", "event_start_utc": "2026-09-13T19:00Z", "features": {"elo_p1_surface": 1510.5, "elo_p2_surface": 1573.8, "expected_games_p1": 10.74, "expected_games_p2": 13.19, "expected_total_games": 23.93, "history_matches": 15974, "min_player_matches": 126,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[1516.5316864087097, 1602.782224918941], "players": ["Emiliana Arango", "Peyton Stearns"], "sport": "TENNIS", "surface": "Hard", "surface_counts": [114, 94], "surface_ratings": [1510.5312776286594, 1573.8406564582726]}, "market_type": "moneyline", "model_version": "tennis-surface-elo-v1", "observed_at_utc": "2026-09-13T16:24:40.603836+00:00", "probabilities": {"away": 0.4012, "home": 0.5988}, "replay_scope": "Exact full-precision serving state and rounding; upstream historical observation times are not certified.", "schema": "coded-moneyline-replay-v1", "snapshot_hash": "01c67fdd45da406ffaab98c2b0a0fd7785a0a83529cfc9b5b86a1c3fe1a88532", "sport": "TENNIS"}</t>
        </is>
      </c>
    </row>
    <row r="643" ht="36" customHeight="1">
      <c r="A643" s="24" t="inlineStr">
        <is>
          <t>21116ca785054def</t>
        </is>
      </c>
      <c r="B643" s="24" t="inlineStr">
        <is>
          <t>2026-09-13T16:24:42.153489Z</t>
        </is>
      </c>
      <c r="C643" s="24" t="inlineStr">
        <is>
          <t>2026-09-13T19:30Z</t>
        </is>
      </c>
      <c r="D643" s="24" t="inlineStr">
        <is>
          <t>1005-2026:185903</t>
        </is>
      </c>
      <c r="E643" s="24" t="inlineStr">
        <is>
          <t>TENNIS</t>
        </is>
      </c>
      <c r="F643" s="24" t="inlineStr">
        <is>
          <t>Cadence Brace</t>
        </is>
      </c>
      <c r="G643" s="24" t="inlineStr">
        <is>
          <t>Hayu Kinoshita</t>
        </is>
      </c>
      <c r="H643" s="24" t="inlineStr">
        <is>
          <t>moneyline</t>
        </is>
      </c>
      <c r="I643" s="24" t="inlineStr">
        <is>
          <t>home</t>
        </is>
      </c>
      <c r="J643" s="25" t="n"/>
      <c r="K643" s="24" t="inlineStr">
        <is>
          <t>polymarket_us</t>
        </is>
      </c>
      <c r="L643" s="26" t="n">
        <v>104</v>
      </c>
      <c r="M643" s="27" t="n">
        <v>2.04</v>
      </c>
      <c r="N643" s="28" t="n">
        <v>0.490196</v>
      </c>
      <c r="O643" s="28" t="n">
        <v>0.5291</v>
      </c>
      <c r="P643" s="28" t="n">
        <v>0.05</v>
      </c>
      <c r="Q643" s="28" t="n">
        <v>0.038904</v>
      </c>
      <c r="R643" s="26" t="n">
        <v>39</v>
      </c>
      <c r="S643" s="29" t="n">
        <v>1</v>
      </c>
      <c r="T643" s="24" t="inlineStr">
        <is>
          <t>tennis-surface-elo-v1</t>
        </is>
      </c>
      <c r="U643" s="24" t="inlineStr">
        <is>
          <t>settled</t>
        </is>
      </c>
      <c r="V643" s="24" t="inlineStr">
        <is>
          <t>loss</t>
        </is>
      </c>
      <c r="W643" s="26" t="n">
        <v>1</v>
      </c>
      <c r="X643" s="26" t="n">
        <v>0</v>
      </c>
      <c r="Y643" s="25" t="n"/>
      <c r="Z643" s="26" t="n">
        <v>104</v>
      </c>
      <c r="AA643" s="28" t="n">
        <v>0.49</v>
      </c>
      <c r="AB643" s="28" t="n">
        <v>-0.000196</v>
      </c>
      <c r="AC643" s="30" t="n">
        <v>-1</v>
      </c>
      <c r="AD643" s="24" t="inlineStr">
        <is>
          <t>2026-09-14T04:33:16.261130Z</t>
        </is>
      </c>
      <c r="AE643" s="31" t="inlineStr">
        <is>
          <t>Surface-blended Elo on Hard: Cadence Brace p=0.471 vs Hayu Kinoshita. Executable ask 0.4900 (aec-wta-haykin-cadbra-2026-09-13).</t>
        </is>
      </c>
      <c r="AF643" s="31" t="inlineStr">
        <is>
          <t>Surface-blended Elo model; singles only, WTA+ATP market coverage, not yet locked-holdout qualified -- promoted by explicit operator directive, not genuine walk-forward validation.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Cadence Brace</t>
        </is>
      </c>
      <c r="AQ643" s="24" t="inlineStr">
        <is>
          <t>Cadence Brace</t>
        </is>
      </c>
      <c r="AR643" s="24" t="inlineStr">
        <is>
          <t>Cadence Brace</t>
        </is>
      </c>
      <c r="AS643" s="24" t="inlineStr">
        <is>
          <t>Hayu Kinoshita</t>
        </is>
      </c>
      <c r="AT643" s="24" t="inlineStr">
        <is>
          <t>Hayu Kinoshita</t>
        </is>
      </c>
      <c r="AU643" s="24" t="inlineStr">
        <is>
          <t>Hayu Kinoshita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6c67e999d2a03612e30f4032c8e5e77e8becfbc79e05f4c8993e726b90d34d54</t>
        </is>
      </c>
      <c r="BB643" s="24" t="inlineStr">
        <is>
          <t>surface_blended_elo</t>
        </is>
      </c>
      <c r="BC643" s="24" t="inlineStr">
        <is>
          <t>tennis-surface-elo-v1</t>
        </is>
      </c>
      <c r="BD643" s="24" t="inlineStr">
        <is>
          <t>6c67e999d2a03612e30f4032c8e5e77e8becfbc79e05f4c8993e726b90d34d54</t>
        </is>
      </c>
      <c r="BE643" s="24" t="inlineStr">
        <is>
          <t>tennis-surface-elo-v1</t>
        </is>
      </c>
      <c r="BF643" s="24" t="inlineStr">
        <is>
          <t>1</t>
        </is>
      </c>
      <c r="BG643" s="24" t="inlineStr">
        <is>
          <t>6c67e999d2a03612e30f4032c8e5e77e8becfbc79e05f4c8993e726b90d34d54</t>
        </is>
      </c>
      <c r="BH643" s="24" t="inlineStr">
        <is>
          <t>2026-09-13T10:23:49.136366Z</t>
        </is>
      </c>
      <c r="BI643" s="24" t="inlineStr">
        <is>
          <t>["same_event","same_team_same_day","same_league_same_day"]</t>
        </is>
      </c>
      <c r="BJ643" s="25" t="n"/>
      <c r="BK643" s="26" t="n">
        <v>104</v>
      </c>
      <c r="BL643" s="27" t="n">
        <v>2.04</v>
      </c>
      <c r="BM643" s="28" t="n">
        <v>0.490196</v>
      </c>
      <c r="BN643" s="28" t="n"/>
      <c r="BO643" s="28" t="n"/>
      <c r="BP643" s="25" t="n"/>
      <c r="BQ643" s="27" t="n">
        <v>2.04</v>
      </c>
      <c r="BR643" s="28" t="n">
        <v>0.49</v>
      </c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2026-09-14T04:33:16.261130Z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inlineStr">
        <is>
          <t>273922a9be9a7bac9bd6df815674047617a113570a9a6757c0b3723188ed3ba6</t>
        </is>
      </c>
      <c r="DE643" s="24" t="inlineStr">
        <is>
          <t>/Users/vincentc9002/model-prediction/data/odds/tennis/2026-09-13/polymarket_snapshots.jsonl</t>
        </is>
      </c>
      <c r="DF643" s="24" t="inlineStr">
        <is>
          <t>820901:2026-09-13T10:23:49.136366Z</t>
        </is>
      </c>
      <c r="DG643" s="24" t="n"/>
      <c r="DH643" s="24" t="n"/>
      <c r="DI643" s="24" t="n"/>
      <c r="DJ643" s="24" t="inlineStr">
        <is>
          <t>0.490196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"6c67e999d2a03612e30f4032c8e5e77e8becfbc79e05f4c8993e726b90d34d54", "away_team": "Cadence Brace", "event_id": "1005-2026:185903", "event_start_utc": "2026-09-13T19:30Z", "features": {"elo_p1_surface": 1470.0, "elo_p2_surface": 1477.3, "expected_games_p1": 12.39, "expected_games_p2": 12.4, "expected_total_games": 24.78, "history_matches": 15974, "min_player_matches": 10, "surface": "Hard"}, "historical_source_observation_times_verified": false, "home_team": "Hayu Kinoshita", "inference_inputs": {"code_sha256": {"features/elo_ratings.py": "8525faf022a6343c452286dbfeb17dbb043744c6bdabbe448b6b371216da439b", "models/tennis.py": "6c67e999d2a03612e30f4032c8e5e77e8becfbc79e05f4c8993e726b90d34d54"}, "overall_ratings": [1444.0227496007165, 1477.0085009940553], "players": ["Cadence Brace", "Hayu Kinoshita"], "sport": "TENNIS", "surface": "Hard", "surface_counts": [21, 8], "surface_ratings": [1469.9857489866215, 1477.3450169274192]}, "market_type": "moneyline", "model_version": "tennis-surface-elo-v1", "observed_at_utc": "2026-09-13T16:24:40.603836+00:00", "probabilities": {"away": 0.4709, "home": 0.5291}, "replay_scope": "Exact full-precision serving state and rounding; upstream historical observation times are not certified.", "schema": "coded-moneyline-replay-v1", "snapshot_hash": "240154fc1c9cf735121b2662f7dffe7fd8d6023900dc0a09fc1b23d20dc7778f", "sport": "TENNIS"}</t>
        </is>
      </c>
    </row>
    <row r="644" ht="36" customHeight="1">
      <c r="A644" s="24" t="inlineStr">
        <is>
          <t>4f197df70b85486d</t>
        </is>
      </c>
      <c r="B644" s="24" t="inlineStr">
        <is>
          <t>2026-09-13T16:24:42.153489Z</t>
        </is>
      </c>
      <c r="C644" s="24" t="inlineStr">
        <is>
          <t>2026-09-13T18:00Z</t>
        </is>
      </c>
      <c r="D644" s="24" t="inlineStr">
        <is>
          <t>189-2026:182677</t>
        </is>
      </c>
      <c r="E644" s="24" t="inlineStr">
        <is>
          <t>TENNIS</t>
        </is>
      </c>
      <c r="F644" s="24" t="inlineStr">
        <is>
          <t>Ben Shelton</t>
        </is>
      </c>
      <c r="G644" s="24" t="inlineStr">
        <is>
          <t>Alexander Zverev</t>
        </is>
      </c>
      <c r="H644" s="24" t="inlineStr">
        <is>
          <t>moneyline</t>
        </is>
      </c>
      <c r="I644" s="24" t="inlineStr">
        <is>
          <t>away</t>
        </is>
      </c>
      <c r="J644" s="25" t="n"/>
      <c r="K644" s="24" t="inlineStr">
        <is>
          <t>polymarket_us</t>
        </is>
      </c>
      <c r="L644" s="26" t="n">
        <v>133</v>
      </c>
      <c r="M644" s="27" t="n">
        <v>2.33</v>
      </c>
      <c r="N644" s="28" t="n">
        <v>0.429185</v>
      </c>
      <c r="O644" s="28" t="n">
        <v>0.5078</v>
      </c>
      <c r="P644" s="28" t="n">
        <v>0.05</v>
      </c>
      <c r="Q644" s="28" t="n">
        <v>0.078615</v>
      </c>
      <c r="R644" s="26" t="n">
        <v>59</v>
      </c>
      <c r="S644" s="29" t="n">
        <v>1.25</v>
      </c>
      <c r="T644" s="24" t="inlineStr">
        <is>
          <t>tennis-surface-elo-v1</t>
        </is>
      </c>
      <c r="U644" s="24" t="inlineStr">
        <is>
          <t>settled</t>
        </is>
      </c>
      <c r="V644" s="24" t="inlineStr">
        <is>
          <t>loss</t>
        </is>
      </c>
      <c r="W644" s="26" t="n">
        <v>0</v>
      </c>
      <c r="X644" s="26" t="n">
        <v>1</v>
      </c>
      <c r="Y644" s="25" t="n"/>
      <c r="Z644" s="26" t="n">
        <v>133</v>
      </c>
      <c r="AA644" s="28" t="n">
        <v>0.43</v>
      </c>
      <c r="AB644" s="28" t="n">
        <v>0.000815</v>
      </c>
      <c r="AC644" s="30" t="n">
        <v>-1.25</v>
      </c>
      <c r="AD644" s="24" t="inlineStr">
        <is>
          <t>2026-09-13T22:01:04.861307Z</t>
        </is>
      </c>
      <c r="AE644" s="31" t="inlineStr">
        <is>
          <t>Surface-blended Elo on Hard: Ben Shelton p=0.508 vs Alexander Zverev. Executable ask 0.4300 (aec-atp-alezve-benshe-2026-09-13).</t>
        </is>
      </c>
      <c r="AF644" s="31" t="inlineStr">
        <is>
          <t>Surface-blended Elo model; singles only, WTA+ATP market coverage, not yet locked-holdout qualified -- promoted by explicit operator directive, not genuine walk-forward validation.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Ben Shelton</t>
        </is>
      </c>
      <c r="AQ644" s="24" t="inlineStr">
        <is>
          <t>Ben Shelton</t>
        </is>
      </c>
      <c r="AR644" s="24" t="inlineStr">
        <is>
          <t>Ben Shelton</t>
        </is>
      </c>
      <c r="AS644" s="24" t="inlineStr">
        <is>
          <t>Alexander Zverev</t>
        </is>
      </c>
      <c r="AT644" s="24" t="inlineStr">
        <is>
          <t>Alexander Zverev</t>
        </is>
      </c>
      <c r="AU644" s="24" t="inlineStr">
        <is>
          <t>Alexander Zverev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6c67e999d2a03612e30f4032c8e5e77e8becfbc79e05f4c8993e726b90d34d54</t>
        </is>
      </c>
      <c r="BB644" s="24" t="inlineStr">
        <is>
          <t>surface_blended_elo</t>
        </is>
      </c>
      <c r="BC644" s="24" t="inlineStr">
        <is>
          <t>tennis-surface-elo-v1</t>
        </is>
      </c>
      <c r="BD644" s="24" t="inlineStr">
        <is>
          <t>6c67e999d2a03612e30f4032c8e5e77e8becfbc79e05f4c8993e726b90d34d54</t>
        </is>
      </c>
      <c r="BE644" s="24" t="inlineStr">
        <is>
          <t>tennis-surface-elo-v1</t>
        </is>
      </c>
      <c r="BF644" s="24" t="inlineStr">
        <is>
          <t>1</t>
        </is>
      </c>
      <c r="BG644" s="24" t="inlineStr">
        <is>
          <t>6c67e999d2a03612e30f4032c8e5e77e8becfbc79e05f4c8993e726b90d34d54</t>
        </is>
      </c>
      <c r="BH644" s="24" t="inlineStr">
        <is>
          <t>2026-09-13T04:57:41.624986Z</t>
        </is>
      </c>
      <c r="BI644" s="24" t="inlineStr">
        <is>
          <t>["same_event","same_team_same_day","same_league_same_day"]</t>
        </is>
      </c>
      <c r="BJ644" s="25" t="n"/>
      <c r="BK644" s="26" t="n">
        <v>133</v>
      </c>
      <c r="BL644" s="27" t="n">
        <v>2.33</v>
      </c>
      <c r="BM644" s="28" t="n">
        <v>0.429185</v>
      </c>
      <c r="BN644" s="28" t="n"/>
      <c r="BO644" s="28" t="n"/>
      <c r="BP644" s="25" t="n"/>
      <c r="BQ644" s="27" t="n">
        <v>2.33</v>
      </c>
      <c r="BR644" s="28" t="n">
        <v>0.43</v>
      </c>
      <c r="BS644" s="28" t="n"/>
      <c r="BT644" s="28" t="n"/>
      <c r="BU644" s="25" t="n"/>
      <c r="BV644" s="29" t="n"/>
      <c r="BW644" s="24" t="n"/>
      <c r="BX644" s="30" t="n">
        <v>1</v>
      </c>
      <c r="BY644" s="27" t="n">
        <v>-1</v>
      </c>
      <c r="BZ644" s="24" t="inlineStr">
        <is>
          <t>2026-09-13T22:01:04.861307Z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inlineStr">
        <is>
          <t>72afe3aa0ac7f3c523074b50f31ef6102e5d73ab0af330f729db0aa994eb4b5b</t>
        </is>
      </c>
      <c r="DE644" s="24" t="inlineStr">
        <is>
          <t>/Users/vincentc9002/model-prediction/data/odds/tennis/2026-09-13/polymarket_snapshots.jsonl</t>
        </is>
      </c>
      <c r="DF644" s="24" t="inlineStr">
        <is>
          <t>800258:2026-09-13T04:57:41.624986Z</t>
        </is>
      </c>
      <c r="DG644" s="24" t="n"/>
      <c r="DH644" s="24" t="n"/>
      <c r="DI644" s="24" t="n"/>
      <c r="DJ644" s="24" t="inlineStr">
        <is>
          <t>0.429185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"6c67e999d2a03612e30f4032c8e5e77e8becfbc79e05f4c8993e726b90d34d54", "away_team": "Ben Shelton", "event_id": "189-2026:182677", "event_start_utc": "2026-09-13T18:00Z", "features": {"elo_p1_surface": 1911.3, "elo_p2_surface": 1878.8, "expected_games_p1": 13.49, "expected_games_p2": 11.76, "expected_total_games": 25.25, "history_matches": 11209, "min_player_matches": 178, "surface": "Hard"}, "historical_source_observation_times_verified": false, "home_team": "Alexander Zverev", "inference_inputs": {"code_sha256": {"features/elo_ratings.py": "8525faf022a6343c452286dbfeb17dbb043744c6bdabbe448b6b371216da439b", "models/tennis.py": "6c67e999d2a03612e30f4032c8e5e77e8becfbc79e05f4c8993e726b90d34d54"}, "overall_ratings": [1872.4351064903906, 1956.4503447136242], "players": ["Ben Shelton", "Alexander Zverev"], "sport": "TENNIS", "surface": "Hard", "surface_counts": [140, 141], "surface_ratings": [1911.2726420098716, 1878.8422702400292]}, "market_type": "moneyline", "model_version": "tennis-surface-elo-v1", "observed_at_utc": "2026-09-13T16:24:40.603836+00:00", "probabilities": {"away": 0.5078, "home": 0.4922}, "replay_scope": "Exact full-precision serving state and rounding; upstream historical observation times are not certified.", "schema": "coded-moneyline-replay-v1", "snapshot_hash": "b361f929e45d1e8ae12488b8b7e41c4590f549a56d853c00f70b527f5722778b", "sport": "TENNIS"}</t>
        </is>
      </c>
    </row>
    <row r="645" ht="36" customHeight="1">
      <c r="A645" s="24" t="inlineStr">
        <is>
          <t>b8a308eb33cb4136</t>
        </is>
      </c>
      <c r="B645" s="24" t="inlineStr">
        <is>
          <t>2026-09-14T10:05:53.728077Z</t>
        </is>
      </c>
      <c r="C645" s="24" t="inlineStr">
        <is>
          <t>2026-09-14T16:00Z</t>
        </is>
      </c>
      <c r="D645" s="24" t="inlineStr">
        <is>
          <t>871-2026:183749</t>
        </is>
      </c>
      <c r="E645" s="24" t="inlineStr">
        <is>
          <t>TENNIS</t>
        </is>
      </c>
      <c r="F645" s="24" t="inlineStr">
        <is>
          <t>Veronika Erjavec</t>
        </is>
      </c>
      <c r="G645" s="24" t="inlineStr">
        <is>
          <t>Francesca Curmi</t>
        </is>
      </c>
      <c r="H645" s="24" t="inlineStr">
        <is>
          <t>moneyline</t>
        </is>
      </c>
      <c r="I645" s="24" t="inlineStr">
        <is>
          <t>away</t>
        </is>
      </c>
      <c r="J645" s="25" t="n"/>
      <c r="K645" s="24" t="inlineStr">
        <is>
          <t>polymarket_us</t>
        </is>
      </c>
      <c r="L645" s="26" t="n">
        <v>-186</v>
      </c>
      <c r="M645" s="27" t="n">
        <v>1.537634</v>
      </c>
      <c r="N645" s="28" t="n">
        <v>0.65035</v>
      </c>
      <c r="O645" s="28" t="n">
        <v>0.5823</v>
      </c>
      <c r="P645" s="28" t="n">
        <v>0.05</v>
      </c>
      <c r="Q645" s="28" t="n">
        <v>-0.06805</v>
      </c>
      <c r="R645" s="26" t="n">
        <v>0</v>
      </c>
      <c r="S645" s="29" t="n">
        <v>1</v>
      </c>
      <c r="T645" s="24" t="inlineStr">
        <is>
          <t>tennis-surface-elo-v1</t>
        </is>
      </c>
      <c r="U645" s="24" t="inlineStr">
        <is>
          <t>settled</t>
        </is>
      </c>
      <c r="V645" s="24" t="inlineStr">
        <is>
          <t>loss</t>
        </is>
      </c>
      <c r="W645" s="26" t="n">
        <v>0</v>
      </c>
      <c r="X645" s="26" t="n">
        <v>1</v>
      </c>
      <c r="Y645" s="25" t="n"/>
      <c r="Z645" s="26" t="n">
        <v>-186</v>
      </c>
      <c r="AA645" s="28" t="n">
        <v>0.65</v>
      </c>
      <c r="AB645" s="28" t="n">
        <v>-0.00035</v>
      </c>
      <c r="AC645" s="30" t="n">
        <v>-1</v>
      </c>
      <c r="AD645" s="24" t="inlineStr">
        <is>
          <t>2026-09-14T22:00:15.340286Z</t>
        </is>
      </c>
      <c r="AE645" s="31" t="inlineStr">
        <is>
          <t>Surface-blended Elo on Hard: Veronika Erjavec p=0.582 vs Francesca Curmi. Executable ask 0.6500 (aec-wta-fracur-vererj-2026-09-14).</t>
        </is>
      </c>
      <c r="AF645" s="31" t="inlineStr">
        <is>
          <t>Surface-blended Elo model; singles only, WTA+ATP market coverage, not yet locked-holdout qualified -- promoted by explicit operator directive, not genuine walk-forward validation.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Veronika Erjavec</t>
        </is>
      </c>
      <c r="AQ645" s="24" t="inlineStr">
        <is>
          <t>Veronika Erjavec</t>
        </is>
      </c>
      <c r="AR645" s="24" t="inlineStr">
        <is>
          <t>Veronika Erjavec</t>
        </is>
      </c>
      <c r="AS645" s="24" t="inlineStr">
        <is>
          <t>Francesca Curmi</t>
        </is>
      </c>
      <c r="AT645" s="24" t="inlineStr">
        <is>
          <t>Francesca Curmi</t>
        </is>
      </c>
      <c r="AU645" s="24" t="inlineStr">
        <is>
          <t>Francesca Curmi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6c67e999d2a03612e30f4032c8e5e77e8becfbc79e05f4c8993e726b90d34d54</t>
        </is>
      </c>
      <c r="BB645" s="24" t="inlineStr">
        <is>
          <t>surface_blended_elo</t>
        </is>
      </c>
      <c r="BC645" s="24" t="inlineStr">
        <is>
          <t>tennis-surface-elo-v1</t>
        </is>
      </c>
      <c r="BD645" s="24" t="inlineStr">
        <is>
          <t>6c67e999d2a03612e30f4032c8e5e77e8becfbc79e05f4c8993e726b90d34d54</t>
        </is>
      </c>
      <c r="BE645" s="24" t="inlineStr">
        <is>
          <t>tennis-surface-elo-v1</t>
        </is>
      </c>
      <c r="BF645" s="24" t="inlineStr">
        <is>
          <t>1</t>
        </is>
      </c>
      <c r="BG645" s="24" t="inlineStr">
        <is>
          <t>6c67e999d2a03612e30f4032c8e5e77e8becfbc79e05f4c8993e726b90d34d54</t>
        </is>
      </c>
      <c r="BH645" s="24" t="inlineStr">
        <is>
          <t>2026-09-14T04:47:37.566818Z</t>
        </is>
      </c>
      <c r="BI645" s="24" t="inlineStr">
        <is>
          <t>["same_event","same_team_same_day","same_league_same_day"]</t>
        </is>
      </c>
      <c r="BJ645" s="25" t="n"/>
      <c r="BK645" s="26" t="n">
        <v>-186</v>
      </c>
      <c r="BL645" s="27" t="n">
        <v>1.537634</v>
      </c>
      <c r="BM645" s="28" t="n">
        <v>0.65035</v>
      </c>
      <c r="BN645" s="28" t="n"/>
      <c r="BO645" s="28" t="n"/>
      <c r="BP645" s="25" t="n"/>
      <c r="BQ645" s="27" t="n">
        <v>1.537634</v>
      </c>
      <c r="BR645" s="28" t="n">
        <v>0.65</v>
      </c>
      <c r="BS645" s="28" t="n"/>
      <c r="BT645" s="28" t="n"/>
      <c r="BU645" s="25" t="n"/>
      <c r="BV645" s="29" t="n"/>
      <c r="BW645" s="24" t="n"/>
      <c r="BX645" s="30" t="n">
        <v>1</v>
      </c>
      <c r="BY645" s="27" t="n">
        <v>-1</v>
      </c>
      <c r="BZ645" s="24" t="inlineStr">
        <is>
          <t>2026-09-14T22:00:15.340286Z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False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inlineStr">
        <is>
          <t>8a0191d2cea144974d01e1479626a02ab3a5f32c7859b9f23ce2908b11362fb1</t>
        </is>
      </c>
      <c r="DE645" s="24" t="inlineStr">
        <is>
          <t>/Users/vincentc9002/model-prediction/data/odds/tennis/2026-09-14/polymarket_snapshots.jsonl</t>
        </is>
      </c>
      <c r="DF645" s="24" t="inlineStr">
        <is>
          <t>839405:2026-09-14T04:47:37.566818Z</t>
        </is>
      </c>
      <c r="DG645" s="24" t="n"/>
      <c r="DH645" s="24" t="n"/>
      <c r="DI645" s="24" t="n"/>
      <c r="DJ645" s="24" t="inlineStr">
        <is>
          <t>0.65035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"6c67e999d2a03612e30f4032c8e5e77e8becfbc79e05f4c8993e726b90d34d54", "away_team": "Veronika Erjavec", "event_id": "871-2026:183749", "event_start_utc": "2026-09-14T16:00Z", "features": {"elo_p1_surface": 1579.7, "elo_p2_surface": 1509.3, "expected_games_p1": 13.43, "expected_games_p2": 10.07, "expected_total_games": 23.5, "history_matches": 16003, "min_player_matches": 16, "surface": "Hard"}, "historical_source_observation_times_verified": false, "home_team": "Francesca Curmi", "inference_inputs": {"code_sha256": {"features/elo_ratings.py": "8525faf022a6343c452286dbfeb17dbb043744c6bdabbe448b6b371216da439b", "models/tennis.py": "6c67e999d2a03612e30f4032c8e5e77e8becfbc79e05f4c8993e726b90d34d54"}, "overall_ratings": [1532.7738019504604, 1509.8826597712975], "players": ["Veronika Erjavec", "Francesca Curmi"], "sport": "TENNIS", "surface": "Hard", "surface_counts": [98, 16], "surface_ratings": [1579.6909492992716, 1509.3255338924705]}, "market_type": "moneyline", "model_version": "tennis-surface-elo-v1", "observed_at_utc": "2026-09-14T10:05:52.520466+00:00", "probabilities": {"away": 0.5823, "home": 0.4177}, "replay_scope": "Exact full-precision serving state and rounding; upstream historical observation times are not certified.", "schema": "coded-moneyline-replay-v1", "snapshot_hash": "67695903c4a2b8b22b71798dd7500aa43130b6606de46c6355a0b8ca257df50b", "sport": "TENNIS"}</t>
        </is>
      </c>
    </row>
    <row r="646" ht="36" customHeight="1">
      <c r="A646" s="24" t="inlineStr">
        <is>
          <t>310e73f8b2754e20</t>
        </is>
      </c>
      <c r="B646" s="24" t="inlineStr">
        <is>
          <t>2026-09-14T16:13:42.433436Z</t>
        </is>
      </c>
      <c r="C646" s="24" t="inlineStr">
        <is>
          <t>2026-09-14T19:30Z</t>
        </is>
      </c>
      <c r="D646" s="24" t="inlineStr">
        <is>
          <t>887-2026:183794</t>
        </is>
      </c>
      <c r="E646" s="24" t="inlineStr">
        <is>
          <t>TENNIS</t>
        </is>
      </c>
      <c r="F646" s="24" t="inlineStr">
        <is>
          <t>Taylor Townsend</t>
        </is>
      </c>
      <c r="G646" s="24" t="inlineStr">
        <is>
          <t>Tatjana Maria</t>
        </is>
      </c>
      <c r="H646" s="24" t="inlineStr">
        <is>
          <t>moneyline</t>
        </is>
      </c>
      <c r="I646" s="24" t="inlineStr">
        <is>
          <t>away</t>
        </is>
      </c>
      <c r="J646" s="25" t="n"/>
      <c r="K646" s="24" t="inlineStr">
        <is>
          <t>polymarket_us</t>
        </is>
      </c>
      <c r="L646" s="26" t="n">
        <v>-245</v>
      </c>
      <c r="M646" s="27" t="n">
        <v>1.408163</v>
      </c>
      <c r="N646" s="28" t="n">
        <v>0.710145</v>
      </c>
      <c r="O646" s="28" t="n">
        <v>0.6459</v>
      </c>
      <c r="P646" s="28" t="n">
        <v>0.05</v>
      </c>
      <c r="Q646" s="28" t="n">
        <v>-0.064245</v>
      </c>
      <c r="R646" s="26" t="n">
        <v>0</v>
      </c>
      <c r="S646" s="29" t="n">
        <v>1</v>
      </c>
      <c r="T646" s="24" t="inlineStr">
        <is>
          <t>tennis-surface-elo-v1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0</v>
      </c>
      <c r="Y646" s="25" t="n"/>
      <c r="Z646" s="26" t="n">
        <v>-245</v>
      </c>
      <c r="AA646" s="28" t="n">
        <v>0.71</v>
      </c>
      <c r="AB646" s="28" t="n">
        <v>-0.000145</v>
      </c>
      <c r="AC646" s="30" t="n">
        <v>0.4082</v>
      </c>
      <c r="AD646" s="24" t="inlineStr">
        <is>
          <t>2026-09-15T01:09:02.767895Z</t>
        </is>
      </c>
      <c r="AE646" s="31" t="inlineStr">
        <is>
          <t>Surface-blended Elo on Hard: Taylor Townsend p=0.646 vs Tatjana Maria. Executable ask 0.7100 (aec-wta-tatmar-taytow-2026-09-13).</t>
        </is>
      </c>
      <c r="AF646" s="31" t="inlineStr">
        <is>
          <t>Surface-blended Elo model; singles only, WTA+ATP market coverage, not yet locked-holdout qualified -- promoted by explicit operator directive, not genuine walk-forward validation.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paper_call</t>
        </is>
      </c>
      <c r="AL646" s="26" t="n">
        <v>4</v>
      </c>
      <c r="AM646" s="24" t="inlineStr">
        <is>
          <t>RESEARCH_OBSERVATION</t>
        </is>
      </c>
      <c r="AN646" s="24" t="inlineStr">
        <is>
          <t>CALL</t>
        </is>
      </c>
      <c r="AO646" s="24" t="inlineStr">
        <is>
          <t>PAPER_CALL_LOW_EDGE</t>
        </is>
      </c>
      <c r="AP646" s="24" t="inlineStr">
        <is>
          <t>Taylor Townsend</t>
        </is>
      </c>
      <c r="AQ646" s="24" t="inlineStr">
        <is>
          <t>Taylor Townsend</t>
        </is>
      </c>
      <c r="AR646" s="24" t="inlineStr">
        <is>
          <t>Taylor Townsend</t>
        </is>
      </c>
      <c r="AS646" s="24" t="inlineStr">
        <is>
          <t>Tatjana Maria</t>
        </is>
      </c>
      <c r="AT646" s="24" t="inlineStr">
        <is>
          <t>Tatjana Maria</t>
        </is>
      </c>
      <c r="AU646" s="24" t="inlineStr">
        <is>
          <t>Tatjana Maria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6c67e999d2a03612e30f4032c8e5e77e8becfbc79e05f4c8993e726b90d34d54</t>
        </is>
      </c>
      <c r="BB646" s="24" t="inlineStr">
        <is>
          <t>surface_blended_elo</t>
        </is>
      </c>
      <c r="BC646" s="24" t="inlineStr">
        <is>
          <t>tennis-surface-elo-v1</t>
        </is>
      </c>
      <c r="BD646" s="24" t="inlineStr">
        <is>
          <t>6c67e999d2a03612e30f4032c8e5e77e8becfbc79e05f4c8993e726b90d34d54</t>
        </is>
      </c>
      <c r="BE646" s="24" t="inlineStr">
        <is>
          <t>tennis-surface-elo-v1</t>
        </is>
      </c>
      <c r="BF646" s="24" t="inlineStr">
        <is>
          <t>1</t>
        </is>
      </c>
      <c r="BG646" s="24" t="inlineStr">
        <is>
          <t>6c67e999d2a03612e30f4032c8e5e77e8becfbc79e05f4c8993e726b90d34d54</t>
        </is>
      </c>
      <c r="BH646" s="24" t="inlineStr">
        <is>
          <t>2026-09-14T04:47:49.091474Z</t>
        </is>
      </c>
      <c r="BI646" s="24" t="inlineStr">
        <is>
          <t>["same_event","same_team_same_day","same_league_same_day"]</t>
        </is>
      </c>
      <c r="BJ646" s="25" t="n"/>
      <c r="BK646" s="26" t="n">
        <v>-245</v>
      </c>
      <c r="BL646" s="27" t="n">
        <v>1.408163</v>
      </c>
      <c r="BM646" s="28" t="n">
        <v>0.710145</v>
      </c>
      <c r="BN646" s="28" t="n"/>
      <c r="BO646" s="28" t="n"/>
      <c r="BP646" s="25" t="n"/>
      <c r="BQ646" s="27" t="n">
        <v>1.408163</v>
      </c>
      <c r="BR646" s="28" t="n">
        <v>0.71</v>
      </c>
      <c r="BS646" s="28" t="n"/>
      <c r="BT646" s="28" t="n"/>
      <c r="BU646" s="25" t="n"/>
      <c r="BV646" s="29" t="n"/>
      <c r="BW646" s="24" t="n"/>
      <c r="BX646" s="30" t="n">
        <v>1</v>
      </c>
      <c r="BY646" s="27" t="n">
        <v>0.408163</v>
      </c>
      <c r="BZ646" s="24" t="inlineStr">
        <is>
          <t>2026-09-15T01:09:02.767895Z</t>
        </is>
      </c>
      <c r="CA646" s="31" t="inlineStr">
        <is>
          <t>fixed one-unit hypothetical scoring; no real exposure or execution</t>
        </is>
      </c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False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inlineStr">
        <is>
          <t>2f21c73af5308da217a92f3093c03f8028c739523f3dbb16f9367d5b77b048d6</t>
        </is>
      </c>
      <c r="DE646" s="24" t="inlineStr">
        <is>
          <t>/Users/vincentc9002/model-prediction/data/odds/tennis/2026-09-14/polymarket_snapshots.jsonl</t>
        </is>
      </c>
      <c r="DF646" s="24" t="inlineStr">
        <is>
          <t>803722:2026-09-14T04:47:49.091474Z</t>
        </is>
      </c>
      <c r="DG646" s="24" t="n"/>
      <c r="DH646" s="24" t="n"/>
      <c r="DI646" s="24" t="n"/>
      <c r="DJ646" s="24" t="inlineStr">
        <is>
          <t>0.710145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"6c67e999d2a03612e30f4032c8e5e77e8becfbc79e05f4c8993e726b90d34d54", "away_team": "Taylor Townsend", "event_id": "887-2026:183794", "event_start_utc": "2026-09-14T19:30Z", "features": {"elo_p1_surface": 1745.1, "elo_p2_surface": 1623.8, "expected_games_p1": 13.35, "expected_games_p2": 8.26, "expected_total_games": 21.6, "history_matches": 16003, "min_player_matches": 108, "surface": "Hard"}, "historical_source_observation_times_verified": false, "home_team": "Tatjana Maria", "inference_inputs": {"code_sha256": {"features/elo_ratings.py": "8525faf022a6343c452286dbfeb17dbb043744c6bdabbe448b6b371216da439b", "models/tennis.py": "6c67e999d2a03612e30f4032c8e5e77e8becfbc79e05f4c8993e726b90d34d54"}, "overall_ratings": [1755.030564959922, 1707.1935585216268], "players": ["Taylor Townsend", "Tatjana Maria"], "sport": "TENNIS", "surface": "Hard", "surface_counts": [89, 136], "surface_ratings": [1745.0790741344986, 1623.8244054637382]}, "market_type": "moneyline", "model_version": "tennis-surface-elo-v1", "observed_at_utc": "2026-09-14T16:13:40.605349+00:00", "probabilities": {"away": 0.6459, "home": 0.3541}, "replay_scope": "Exact full-precision serving state and rounding; upstream historical observation times are not certified.", "schema": "coded-moneyline-replay-v1", "snapshot_hash": "d53ab2a7635c66cf43bca614424a05c055ab451a5bbfeafeed5ee48d54fda855", "sport": "TENNIS"}</t>
        </is>
      </c>
    </row>
    <row r="647" ht="36" customHeight="1">
      <c r="A647" s="24" t="inlineStr">
        <is>
          <t>cfe7afb63b044b9a</t>
        </is>
      </c>
      <c r="B647" s="24" t="inlineStr">
        <is>
          <t>2026-09-14T16:13:42.433436Z</t>
        </is>
      </c>
      <c r="C647" s="24" t="inlineStr">
        <is>
          <t>2026-09-14T20:30Z</t>
        </is>
      </c>
      <c r="D647" s="24" t="inlineStr">
        <is>
          <t>887-2026:183793</t>
        </is>
      </c>
      <c r="E647" s="24" t="inlineStr">
        <is>
          <t>TENNIS</t>
        </is>
      </c>
      <c r="F647" s="24" t="inlineStr">
        <is>
          <t>Caroline Dolehide</t>
        </is>
      </c>
      <c r="G647" s="24" t="inlineStr">
        <is>
          <t>Renata Zarazua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polymarket_us</t>
        </is>
      </c>
      <c r="L647" s="26" t="n">
        <v>-122</v>
      </c>
      <c r="M647" s="27" t="n">
        <v>1.819672</v>
      </c>
      <c r="N647" s="28" t="n">
        <v>0.54955</v>
      </c>
      <c r="O647" s="28" t="n">
        <v>0.57</v>
      </c>
      <c r="P647" s="28" t="n">
        <v>0.05</v>
      </c>
      <c r="Q647" s="28" t="n">
        <v>0.02045</v>
      </c>
      <c r="R647" s="26" t="n">
        <v>30</v>
      </c>
      <c r="S647" s="29" t="n">
        <v>1</v>
      </c>
      <c r="T647" s="24" t="inlineStr">
        <is>
          <t>tennis-surface-elo-v1</t>
        </is>
      </c>
      <c r="U647" s="24" t="inlineStr">
        <is>
          <t>settled</t>
        </is>
      </c>
      <c r="V647" s="24" t="inlineStr">
        <is>
          <t>win</t>
        </is>
      </c>
      <c r="W647" s="26" t="n">
        <v>1</v>
      </c>
      <c r="X647" s="26" t="n">
        <v>0</v>
      </c>
      <c r="Y647" s="25" t="n"/>
      <c r="Z647" s="26" t="n">
        <v>-122</v>
      </c>
      <c r="AA647" s="28" t="n">
        <v>0.55</v>
      </c>
      <c r="AB647" s="28" t="n">
        <v>0.00045</v>
      </c>
      <c r="AC647" s="30" t="n">
        <v>0.8197</v>
      </c>
      <c r="AD647" s="24" t="inlineStr">
        <is>
          <t>2026-09-14T23:02:45.384844Z</t>
        </is>
      </c>
      <c r="AE647" s="31" t="inlineStr">
        <is>
          <t>Surface-blended Elo on Hard: Caroline Dolehide p=0.570 vs Renata Zarazua. Executable ask 0.5500 (aec-wta-renzar-cardol-2026-09-14).</t>
        </is>
      </c>
      <c r="AF647" s="31" t="inlineStr">
        <is>
          <t>Surface-blended Elo model; singles only, WTA+ATP market coverage, not yet locked-holdout qualified -- promoted by explicit operator directive, not genuine walk-forward validation.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Caroline Dolehide</t>
        </is>
      </c>
      <c r="AQ647" s="24" t="inlineStr">
        <is>
          <t>Caroline Dolehide</t>
        </is>
      </c>
      <c r="AR647" s="24" t="inlineStr">
        <is>
          <t>Caroline Dolehide</t>
        </is>
      </c>
      <c r="AS647" s="24" t="inlineStr">
        <is>
          <t>Renata Zarazua</t>
        </is>
      </c>
      <c r="AT647" s="24" t="inlineStr">
        <is>
          <t>Renata Zarazua</t>
        </is>
      </c>
      <c r="AU647" s="24" t="inlineStr">
        <is>
          <t>Renata Zarazua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6c67e999d2a03612e30f4032c8e5e77e8becfbc79e05f4c8993e726b90d34d54</t>
        </is>
      </c>
      <c r="BB647" s="24" t="inlineStr">
        <is>
          <t>surface_blended_elo</t>
        </is>
      </c>
      <c r="BC647" s="24" t="inlineStr">
        <is>
          <t>tennis-surface-elo-v1</t>
        </is>
      </c>
      <c r="BD647" s="24" t="inlineStr">
        <is>
          <t>6c67e999d2a03612e30f4032c8e5e77e8becfbc79e05f4c8993e726b90d34d54</t>
        </is>
      </c>
      <c r="BE647" s="24" t="inlineStr">
        <is>
          <t>tennis-surface-elo-v1</t>
        </is>
      </c>
      <c r="BF647" s="24" t="inlineStr">
        <is>
          <t>1</t>
        </is>
      </c>
      <c r="BG647" s="24" t="inlineStr">
        <is>
          <t>6c67e999d2a03612e30f4032c8e5e77e8becfbc79e05f4c8993e726b90d34d54</t>
        </is>
      </c>
      <c r="BH647" s="24" t="inlineStr">
        <is>
          <t>2026-09-14T16:10:23.975919Z</t>
        </is>
      </c>
      <c r="BI647" s="24" t="inlineStr">
        <is>
          <t>["same_event","same_team_same_day","same_league_same_day"]</t>
        </is>
      </c>
      <c r="BJ647" s="25" t="n"/>
      <c r="BK647" s="26" t="n">
        <v>-122</v>
      </c>
      <c r="BL647" s="27" t="n">
        <v>1.819672</v>
      </c>
      <c r="BM647" s="28" t="n">
        <v>0.54955</v>
      </c>
      <c r="BN647" s="28" t="n"/>
      <c r="BO647" s="28" t="n"/>
      <c r="BP647" s="25" t="n"/>
      <c r="BQ647" s="27" t="n">
        <v>1.819672</v>
      </c>
      <c r="BR647" s="28" t="n">
        <v>0.55</v>
      </c>
      <c r="BS647" s="28" t="n"/>
      <c r="BT647" s="28" t="n"/>
      <c r="BU647" s="25" t="n"/>
      <c r="BV647" s="29" t="n"/>
      <c r="BW647" s="24" t="n"/>
      <c r="BX647" s="30" t="n">
        <v>1</v>
      </c>
      <c r="BY647" s="27" t="n">
        <v>0.819671</v>
      </c>
      <c r="BZ647" s="24" t="inlineStr">
        <is>
          <t>2026-09-14T23:02:45.384844Z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True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inlineStr">
        <is>
          <t>c65e157e6ba65c19cb56cf72f5d5b20467016f65be0336b1a0252826fc46e4e7</t>
        </is>
      </c>
      <c r="DE647" s="24" t="inlineStr">
        <is>
          <t>/Users/vincentc9002/model-prediction/data/odds/tennis/2026-09-14/polymarket_snapshots.jsonl</t>
        </is>
      </c>
      <c r="DF647" s="24" t="inlineStr">
        <is>
          <t>845820:2026-09-14T16:10:23.975919Z</t>
        </is>
      </c>
      <c r="DG647" s="24" t="n"/>
      <c r="DH647" s="24" t="n"/>
      <c r="DI647" s="24" t="n"/>
      <c r="DJ647" s="24" t="inlineStr">
        <is>
          <t>0.54955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"6c67e999d2a03612e30f4032c8e5e77e8becfbc79e05f4c8993e726b90d34d54", "away_team": "Caroline Dolehide", "event_id": "887-2026:183793", "event_start_utc": "2026-09-14T20:30Z", "features": {"elo_p1_surface": 1527.8, "elo_p2_surface": 1477.1, "expected_games_p1": 13.32, "expected_games_p2": 10.75, "expected_total_games": 24.07, "history_matches": 16003, "min_player_matches": 112,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[1531.027509099816, 1487.7551781448828], "players": ["Caroline Dolehide", "Renata Zarazua"], "sport": "TENNIS", "surface": "Hard", "surface_counts": [86, 112], "surface_ratings": [1527.8337823307736, 1477.0857579047388]}, "market_type": "moneyline", "model_version": "tennis-surface-elo-v1", "observed_at_utc": "2026-09-14T16:13:40.605349+00:00", "probabilities": {"away": 0.57, "home": 0.43}, "replay_scope": "Exact full-precision serving state and rounding; upstream historical observation times are not certified.", "schema": "coded-moneyline-replay-v1", "snapshot_hash": "4d86151cef46df6bfec76c8bc1d21a0e7c55c882498cfe2e57536d065d7bd286", "sport": "TENNIS"}</t>
        </is>
      </c>
    </row>
    <row r="648" ht="36" customHeight="1">
      <c r="A648" s="24" t="inlineStr">
        <is>
          <t>63d0b703c3224847</t>
        </is>
      </c>
      <c r="B648" s="24" t="inlineStr">
        <is>
          <t>2026-09-14T16:13:42.433436Z</t>
        </is>
      </c>
      <c r="C648" s="24" t="inlineStr">
        <is>
          <t>2026-09-14T17:00Z</t>
        </is>
      </c>
      <c r="D648" s="24" t="inlineStr">
        <is>
          <t>1005-2026:183840</t>
        </is>
      </c>
      <c r="E648" s="24" t="inlineStr">
        <is>
          <t>TENNIS</t>
        </is>
      </c>
      <c r="F648" s="24" t="inlineStr">
        <is>
          <t>Solana Sierra</t>
        </is>
      </c>
      <c r="G648" s="24" t="inlineStr">
        <is>
          <t>Cadence Brace</t>
        </is>
      </c>
      <c r="H648" s="24" t="inlineStr">
        <is>
          <t>moneyline</t>
        </is>
      </c>
      <c r="I648" s="24" t="inlineStr">
        <is>
          <t>away</t>
        </is>
      </c>
      <c r="J648" s="25" t="n"/>
      <c r="K648" s="24" t="inlineStr">
        <is>
          <t>polymarket_us</t>
        </is>
      </c>
      <c r="L648" s="26" t="n">
        <v>-178</v>
      </c>
      <c r="M648" s="27" t="n">
        <v>1.561798</v>
      </c>
      <c r="N648" s="28" t="n">
        <v>0.640288</v>
      </c>
      <c r="O648" s="28" t="n">
        <v>0.5988</v>
      </c>
      <c r="P648" s="28" t="n">
        <v>0.05</v>
      </c>
      <c r="Q648" s="28" t="n">
        <v>-0.041488</v>
      </c>
      <c r="R648" s="26" t="n">
        <v>0</v>
      </c>
      <c r="S648" s="29" t="n">
        <v>1</v>
      </c>
      <c r="T648" s="24" t="inlineStr">
        <is>
          <t>tennis-surface-elo-v1</t>
        </is>
      </c>
      <c r="U648" s="24" t="inlineStr">
        <is>
          <t>settled</t>
        </is>
      </c>
      <c r="V648" s="24" t="inlineStr">
        <is>
          <t>win</t>
        </is>
      </c>
      <c r="W648" s="26" t="n">
        <v>1</v>
      </c>
      <c r="X648" s="26" t="n">
        <v>0</v>
      </c>
      <c r="Y648" s="25" t="n"/>
      <c r="Z648" s="26" t="n">
        <v>-178</v>
      </c>
      <c r="AA648" s="28" t="n">
        <v>0.64</v>
      </c>
      <c r="AB648" s="28" t="n">
        <v>-0.000288</v>
      </c>
      <c r="AC648" s="30" t="n">
        <v>0.5618</v>
      </c>
      <c r="AD648" s="24" t="inlineStr">
        <is>
          <t>2026-09-17T04:30:14.963533Z</t>
        </is>
      </c>
      <c r="AE648" s="31" t="inlineStr">
        <is>
          <t>Surface-blended Elo on Hard: Solana Sierra p=0.599 vs Cadence Brace. Executable ask 0.6400 (aec-wta-cadbra-solsie-2026-09-14).</t>
        </is>
      </c>
      <c r="AF648" s="31" t="inlineStr">
        <is>
          <t>Surface-blended Elo model; singles only, WTA+ATP market coverage, not yet locked-holdout qualified -- promoted by explicit operator directive, not genuine walk-forward validation.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Solana Sierra</t>
        </is>
      </c>
      <c r="AQ648" s="24" t="inlineStr">
        <is>
          <t>Solana Sierra</t>
        </is>
      </c>
      <c r="AR648" s="24" t="inlineStr">
        <is>
          <t>Solana Sierra</t>
        </is>
      </c>
      <c r="AS648" s="24" t="inlineStr">
        <is>
          <t>Cadence Brace</t>
        </is>
      </c>
      <c r="AT648" s="24" t="inlineStr">
        <is>
          <t>Cadence Brace</t>
        </is>
      </c>
      <c r="AU648" s="24" t="inlineStr">
        <is>
          <t>Cadence Brace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6c67e999d2a03612e30f4032c8e5e77e8becfbc79e05f4c8993e726b90d34d54</t>
        </is>
      </c>
      <c r="BB648" s="24" t="inlineStr">
        <is>
          <t>surface_blended_elo</t>
        </is>
      </c>
      <c r="BC648" s="24" t="inlineStr">
        <is>
          <t>tennis-surface-elo-v1</t>
        </is>
      </c>
      <c r="BD648" s="24" t="inlineStr">
        <is>
          <t>6c67e999d2a03612e30f4032c8e5e77e8becfbc79e05f4c8993e726b90d34d54</t>
        </is>
      </c>
      <c r="BE648" s="24" t="inlineStr">
        <is>
          <t>tennis-surface-elo-v1</t>
        </is>
      </c>
      <c r="BF648" s="24" t="inlineStr">
        <is>
          <t>1</t>
        </is>
      </c>
      <c r="BG648" s="24" t="inlineStr">
        <is>
          <t>6c67e999d2a03612e30f4032c8e5e77e8becfbc79e05f4c8993e726b90d34d54</t>
        </is>
      </c>
      <c r="BH648" s="24" t="inlineStr">
        <is>
          <t>2026-09-14T16:09:51.519746Z</t>
        </is>
      </c>
      <c r="BI648" s="24" t="inlineStr">
        <is>
          <t>["same_event","same_team_same_day","same_league_same_day"]</t>
        </is>
      </c>
      <c r="BJ648" s="25" t="n"/>
      <c r="BK648" s="26" t="n">
        <v>-178</v>
      </c>
      <c r="BL648" s="27" t="n">
        <v>1.561798</v>
      </c>
      <c r="BM648" s="28" t="n">
        <v>0.640288</v>
      </c>
      <c r="BN648" s="28" t="n"/>
      <c r="BO648" s="28" t="n"/>
      <c r="BP648" s="25" t="n"/>
      <c r="BQ648" s="27" t="n">
        <v>1.561798</v>
      </c>
      <c r="BR648" s="28" t="n">
        <v>0.64</v>
      </c>
      <c r="BS648" s="28" t="n"/>
      <c r="BT648" s="28" t="n"/>
      <c r="BU648" s="25" t="n"/>
      <c r="BV648" s="29" t="n"/>
      <c r="BW648" s="24" t="n"/>
      <c r="BX648" s="30" t="n">
        <v>1</v>
      </c>
      <c r="BY648" s="27" t="n">
        <v>0.561797</v>
      </c>
      <c r="BZ648" s="24" t="inlineStr">
        <is>
          <t>2026-09-17T04:30:14.963533Z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inlineStr">
        <is>
          <t>6e4979201d66d7ce841cba28780644ba87f82535555102ea499c28f3c0f6dc21</t>
        </is>
      </c>
      <c r="DE648" s="24" t="inlineStr">
        <is>
          <t>/Users/vincentc9002/model-prediction/data/odds/tennis/2026-09-14/polymarket_snapshots.jsonl</t>
        </is>
      </c>
      <c r="DF648" s="24" t="inlineStr">
        <is>
          <t>845817:2026-09-14T16:09:51.519746Z</t>
        </is>
      </c>
      <c r="DG648" s="24" t="n"/>
      <c r="DH648" s="24" t="n"/>
      <c r="DI648" s="24" t="n"/>
      <c r="DJ648" s="24" t="inlineStr">
        <is>
          <t>0.640288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"6c67e999d2a03612e30f4032c8e5e77e8becfbc79e05f4c8993e726b90d34d54", "away_team": "Solana Sierra", "event_id": "1005-2026:183840", "event_start_utc": "2026-09-14T17:00Z", "features": {"elo_p1_surface": 1507.8, "elo_p2_surface": 1486.3, "expected_games_p1": 12.96, "expected_games_p2": 11.66, "expected_total_games": 24.63, "history_matches": 16003, "min_player_matches": 24, "surface": "Hard"}, "historical_source_observation_times_verified": false, "home_team": "Cadence Brace", "inference_inputs": {"code_sha256": {"features/elo_ratings.py": "8525faf022a6343c452286dbfeb17dbb043744c6bdabbe448b6b371216da439b", "models/tennis.py": "6c67e999d2a03612e30f4032c8e5e77e8becfbc79e05f4c8993e726b90d34d54"}, "overall_ratings": [1628.037681884181, 1461.5372518873196], "players": ["Solana Sierra", "Cadence Brace"], "sport": "TENNIS", "surface": "Hard", "surface_counts": [71, 22], "surface_ratings": [1507.8046545157897, 1486.3246051238061]}, "market_type": "moneyline", "model_version": "tennis-surface-elo-v1", "observed_at_utc": "2026-09-14T16:13:40.605349+00:00", "probabilities": {"away": 0.5988, "home": 0.4012}, "replay_scope": "Exact full-precision serving state and rounding; upstream historical observation times are not certified.", "schema": "coded-moneyline-replay-v1", "snapshot_hash": "c1cdf86256ff80bf6ade31202ef9a99a7de0664a3ff595ed66fa8f8651a06531", "sport": "TENNIS"}</t>
        </is>
      </c>
    </row>
    <row r="649" ht="36" customHeight="1">
      <c r="A649" s="24" t="inlineStr">
        <is>
          <t>d7963055acf14ec3</t>
        </is>
      </c>
      <c r="B649" s="24" t="inlineStr">
        <is>
          <t>2026-09-14T16:13:42.433436Z</t>
        </is>
      </c>
      <c r="C649" s="24" t="inlineStr">
        <is>
          <t>2026-09-14T22:00Z</t>
        </is>
      </c>
      <c r="D649" s="24" t="inlineStr">
        <is>
          <t>1005-2026:183846</t>
        </is>
      </c>
      <c r="E649" s="24" t="inlineStr">
        <is>
          <t>TENNIS</t>
        </is>
      </c>
      <c r="F649" s="24" t="inlineStr">
        <is>
          <t>Carolina Alves</t>
        </is>
      </c>
      <c r="G649" s="24" t="inlineStr">
        <is>
          <t>Suzan Lamens</t>
        </is>
      </c>
      <c r="H649" s="24" t="inlineStr">
        <is>
          <t>moneyline</t>
        </is>
      </c>
      <c r="I649" s="24" t="inlineStr">
        <is>
          <t>home</t>
        </is>
      </c>
      <c r="J649" s="25" t="n"/>
      <c r="K649" s="24" t="inlineStr">
        <is>
          <t>polymarket_us</t>
        </is>
      </c>
      <c r="L649" s="26" t="n">
        <v>-488</v>
      </c>
      <c r="M649" s="27" t="n">
        <v>1.204918</v>
      </c>
      <c r="N649" s="28" t="n">
        <v>0.829932</v>
      </c>
      <c r="O649" s="28" t="n">
        <v>0.6643</v>
      </c>
      <c r="P649" s="28" t="n">
        <v>0.05</v>
      </c>
      <c r="Q649" s="28" t="n">
        <v>-0.165632</v>
      </c>
      <c r="R649" s="26" t="n">
        <v>0</v>
      </c>
      <c r="S649" s="29" t="n">
        <v>1</v>
      </c>
      <c r="T649" s="24" t="inlineStr">
        <is>
          <t>tennis-surface-elo-v1</t>
        </is>
      </c>
      <c r="U649" s="24" t="inlineStr">
        <is>
          <t>settled</t>
        </is>
      </c>
      <c r="V649" s="24" t="inlineStr">
        <is>
          <t>win</t>
        </is>
      </c>
      <c r="W649" s="26" t="n">
        <v>0</v>
      </c>
      <c r="X649" s="26" t="n">
        <v>1</v>
      </c>
      <c r="Y649" s="25" t="n"/>
      <c r="Z649" s="26" t="n">
        <v>-488</v>
      </c>
      <c r="AA649" s="28" t="n">
        <v>0.83</v>
      </c>
      <c r="AB649" s="28" t="n">
        <v>6.8e-05</v>
      </c>
      <c r="AC649" s="30" t="n">
        <v>0.2049</v>
      </c>
      <c r="AD649" s="24" t="inlineStr">
        <is>
          <t>2026-09-17T04:30:17.829609Z</t>
        </is>
      </c>
      <c r="AE649" s="31" t="inlineStr">
        <is>
          <t>Surface-blended Elo on Hard: Carolina Alves p=0.336 vs Suzan Lamens. Executable ask 0.8300 (aec-wta-suzlam-caralv-2026-09-14).</t>
        </is>
      </c>
      <c r="AF649" s="31" t="inlineStr">
        <is>
          <t>Surface-blended Elo model; singles only, WTA+ATP market coverage, not yet locked-holdout qualified -- promoted by explicit operator directive, not genuine walk-forward validation.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Carolina Alves</t>
        </is>
      </c>
      <c r="AQ649" s="24" t="inlineStr">
        <is>
          <t>Carolina Alves</t>
        </is>
      </c>
      <c r="AR649" s="24" t="inlineStr">
        <is>
          <t>Carolina Alves</t>
        </is>
      </c>
      <c r="AS649" s="24" t="inlineStr">
        <is>
          <t>Suzan Lamens</t>
        </is>
      </c>
      <c r="AT649" s="24" t="inlineStr">
        <is>
          <t>Suzan Lamens</t>
        </is>
      </c>
      <c r="AU649" s="24" t="inlineStr">
        <is>
          <t>Suzan Lamens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6c67e999d2a03612e30f4032c8e5e77e8becfbc79e05f4c8993e726b90d34d54</t>
        </is>
      </c>
      <c r="BB649" s="24" t="inlineStr">
        <is>
          <t>surface_blended_elo</t>
        </is>
      </c>
      <c r="BC649" s="24" t="inlineStr">
        <is>
          <t>tennis-surface-elo-v1</t>
        </is>
      </c>
      <c r="BD649" s="24" t="inlineStr">
        <is>
          <t>6c67e999d2a03612e30f4032c8e5e77e8becfbc79e05f4c8993e726b90d34d54</t>
        </is>
      </c>
      <c r="BE649" s="24" t="inlineStr">
        <is>
          <t>tennis-surface-elo-v1</t>
        </is>
      </c>
      <c r="BF649" s="24" t="inlineStr">
        <is>
          <t>1</t>
        </is>
      </c>
      <c r="BG649" s="24" t="inlineStr">
        <is>
          <t>6c67e999d2a03612e30f4032c8e5e77e8becfbc79e05f4c8993e726b90d34d54</t>
        </is>
      </c>
      <c r="BH649" s="24" t="inlineStr">
        <is>
          <t>2026-09-14T16:10:35.054330Z</t>
        </is>
      </c>
      <c r="BI649" s="24" t="inlineStr">
        <is>
          <t>["same_event","same_team_same_day","same_league_same_day"]</t>
        </is>
      </c>
      <c r="BJ649" s="25" t="n"/>
      <c r="BK649" s="26" t="n">
        <v>-488</v>
      </c>
      <c r="BL649" s="27" t="n">
        <v>1.204918</v>
      </c>
      <c r="BM649" s="28" t="n">
        <v>0.829932</v>
      </c>
      <c r="BN649" s="28" t="n"/>
      <c r="BO649" s="28" t="n"/>
      <c r="BP649" s="25" t="n"/>
      <c r="BQ649" s="27" t="n">
        <v>1.204918</v>
      </c>
      <c r="BR649" s="28" t="n">
        <v>0.83</v>
      </c>
      <c r="BS649" s="28" t="n"/>
      <c r="BT649" s="28" t="n"/>
      <c r="BU649" s="25" t="n"/>
      <c r="BV649" s="29" t="n"/>
      <c r="BW649" s="24" t="n"/>
      <c r="BX649" s="30" t="n">
        <v>1</v>
      </c>
      <c r="BY649" s="27" t="n">
        <v>0.204918</v>
      </c>
      <c r="BZ649" s="24" t="inlineStr">
        <is>
          <t>2026-09-17T04:30:17.829609Z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False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inlineStr">
        <is>
          <t>c7c73f067f8e94d87468fe5976eda010f0059ce9f4cf485d75bd0a4be8f3e6bc</t>
        </is>
      </c>
      <c r="DE649" s="24" t="inlineStr">
        <is>
          <t>/Users/vincentc9002/model-prediction/data/odds/tennis/2026-09-14/polymarket_snapshots.jsonl</t>
        </is>
      </c>
      <c r="DF649" s="24" t="inlineStr">
        <is>
          <t>825080:2026-09-14T16:10:35.054330Z</t>
        </is>
      </c>
      <c r="DG649" s="24" t="n"/>
      <c r="DH649" s="24" t="n"/>
      <c r="DI649" s="24" t="n"/>
      <c r="DJ649" s="24" t="inlineStr">
        <is>
          <t>0.829932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"6c67e999d2a03612e30f4032c8e5e77e8becfbc79e05f4c8993e726b90d34d54", "away_team": "Carolina Alves", "event_id": "1005-2026:183846", "event_start_utc": "2026-09-14T22:00Z", "features": {"elo_p1_surface": 1382.8, "elo_p2_surface": 1497.3, "expected_games_p1": 8.96, "expected_games_p2": 13.25, "expected_total_games": 22.21, "history_matches": 16003, "min_player_matches": 31, "surface": "Hard"}, "historical_source_observation_times_verified": false, "home_team": "Suzan Lamens", "inference_inputs": {"code_sha256": {"features/elo_ratings.py": "8525faf022a6343c452286dbfeb17dbb043744c6bdabbe448b6b371216da439b", "models/tennis.py": "6c67e999d2a03612e30f4032c8e5e77e8becfbc79e05f4c8993e726b90d34d54"}, "overall_ratings": [1385.598198860933, 1518.629841494976], "players": ["Carolina Alves", "Suzan Lamens"], "sport": "TENNIS", "surface": "Hard", "surface_counts": [31, 116], "surface_ratings": [1382.7996432897605, 1497.3050451344106]}, "market_type": "moneyline", "model_version": "tennis-surface-elo-v1", "observed_at_utc": "2026-09-14T16:13:40.605349+00:00", "probabilities": {"away": 0.3357, "home": 0.6643}, "replay_scope": "Exact full-precision serving state and rounding; upstream historical observation times are not certified.", "schema": "coded-moneyline-replay-v1", "snapshot_hash": "8c48fe956e2104ce484530f67579192fc1347abbf70622948986a06791ab2e4a", "sport": "TENNIS"}</t>
        </is>
      </c>
    </row>
    <row r="650" ht="36" customHeight="1">
      <c r="A650" s="24" t="inlineStr">
        <is>
          <t>a8ad8397f6ba402f</t>
        </is>
      </c>
      <c r="B650" s="24" t="inlineStr">
        <is>
          <t>2026-09-14T22:42:47.829795Z</t>
        </is>
      </c>
      <c r="C650" s="24" t="inlineStr">
        <is>
          <t>2026-09-14T23:00Z</t>
        </is>
      </c>
      <c r="D650" s="24" t="inlineStr">
        <is>
          <t>887-2026:183791</t>
        </is>
      </c>
      <c r="E650" s="24" t="inlineStr">
        <is>
          <t>TENNIS</t>
        </is>
      </c>
      <c r="F650" s="24" t="inlineStr">
        <is>
          <t>Iryna Shymanovich</t>
        </is>
      </c>
      <c r="G650" s="24" t="inlineStr">
        <is>
          <t>Zeynep Sonmez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polymarket_us</t>
        </is>
      </c>
      <c r="L650" s="26" t="n">
        <v>-245</v>
      </c>
      <c r="M650" s="27" t="n">
        <v>1.408163</v>
      </c>
      <c r="N650" s="28" t="n">
        <v>0.710145</v>
      </c>
      <c r="O650" s="28" t="n">
        <v>0.6375999999999999</v>
      </c>
      <c r="P650" s="28" t="n">
        <v>0.05</v>
      </c>
      <c r="Q650" s="28" t="n">
        <v>-0.072545</v>
      </c>
      <c r="R650" s="26" t="n">
        <v>0</v>
      </c>
      <c r="S650" s="29" t="n">
        <v>1</v>
      </c>
      <c r="T650" s="24" t="inlineStr">
        <is>
          <t>tennis-surface-elo-v1</t>
        </is>
      </c>
      <c r="U650" s="24" t="inlineStr">
        <is>
          <t>settled</t>
        </is>
      </c>
      <c r="V650" s="24" t="inlineStr">
        <is>
          <t>win</t>
        </is>
      </c>
      <c r="W650" s="26" t="n">
        <v>0</v>
      </c>
      <c r="X650" s="26" t="n">
        <v>1</v>
      </c>
      <c r="Y650" s="25" t="n"/>
      <c r="Z650" s="26" t="n">
        <v>-245</v>
      </c>
      <c r="AA650" s="28" t="n">
        <v>0.71</v>
      </c>
      <c r="AB650" s="28" t="n">
        <v>-0.000145</v>
      </c>
      <c r="AC650" s="30" t="n">
        <v>0.4082</v>
      </c>
      <c r="AD650" s="24" t="inlineStr">
        <is>
          <t>2026-09-15T01:09:10.546853Z</t>
        </is>
      </c>
      <c r="AE650" s="31" t="inlineStr">
        <is>
          <t>Surface-blended Elo on Hard: Iryna Shymanovich p=0.362 vs Zeynep Sonmez. Executable ask 0.7100 (aec-wta-zeyson-iryshy-2026-09-14).</t>
        </is>
      </c>
      <c r="AF650" s="31" t="inlineStr">
        <is>
          <t>Surface-blended Elo model; singles only, WTA+ATP market coverage, not yet locked-holdout qualified -- promoted by explicit operator directive, not genuine walk-forward validation.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paper_call</t>
        </is>
      </c>
      <c r="AL650" s="26" t="n">
        <v>4</v>
      </c>
      <c r="AM650" s="24" t="inlineStr">
        <is>
          <t>RESEARCH_OBSERVATION</t>
        </is>
      </c>
      <c r="AN650" s="24" t="inlineStr">
        <is>
          <t>CALL</t>
        </is>
      </c>
      <c r="AO650" s="24" t="inlineStr">
        <is>
          <t>PAPER_CALL_LOW_EDGE</t>
        </is>
      </c>
      <c r="AP650" s="24" t="inlineStr">
        <is>
          <t>Iryna Shymanovich</t>
        </is>
      </c>
      <c r="AQ650" s="24" t="inlineStr">
        <is>
          <t>Iryna Shymanovich</t>
        </is>
      </c>
      <c r="AR650" s="24" t="inlineStr">
        <is>
          <t>Iryna Shymanovich</t>
        </is>
      </c>
      <c r="AS650" s="24" t="inlineStr">
        <is>
          <t>Zeynep Sonmez</t>
        </is>
      </c>
      <c r="AT650" s="24" t="inlineStr">
        <is>
          <t>Zeynep Sonmez</t>
        </is>
      </c>
      <c r="AU650" s="24" t="inlineStr">
        <is>
          <t>Zeynep Sonmez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6c67e999d2a03612e30f4032c8e5e77e8becfbc79e05f4c8993e726b90d34d54</t>
        </is>
      </c>
      <c r="BB650" s="24" t="inlineStr">
        <is>
          <t>surface_blended_elo</t>
        </is>
      </c>
      <c r="BC650" s="24" t="inlineStr">
        <is>
          <t>tennis-surface-elo-v1</t>
        </is>
      </c>
      <c r="BD650" s="24" t="inlineStr">
        <is>
          <t>6c67e999d2a03612e30f4032c8e5e77e8becfbc79e05f4c8993e726b90d34d54</t>
        </is>
      </c>
      <c r="BE650" s="24" t="inlineStr">
        <is>
          <t>tennis-surface-elo-v1</t>
        </is>
      </c>
      <c r="BF650" s="24" t="inlineStr">
        <is>
          <t>1</t>
        </is>
      </c>
      <c r="BG650" s="24" t="inlineStr">
        <is>
          <t>6c67e999d2a03612e30f4032c8e5e77e8becfbc79e05f4c8993e726b90d34d54</t>
        </is>
      </c>
      <c r="BH650" s="24" t="inlineStr">
        <is>
          <t>2026-09-14T22:38:42.463483Z</t>
        </is>
      </c>
      <c r="BI650" s="24" t="inlineStr">
        <is>
          <t>["same_event","same_team_same_day","same_league_same_day"]</t>
        </is>
      </c>
      <c r="BJ650" s="25" t="n"/>
      <c r="BK650" s="26" t="n">
        <v>-245</v>
      </c>
      <c r="BL650" s="27" t="n">
        <v>1.408163</v>
      </c>
      <c r="BM650" s="28" t="n">
        <v>0.710145</v>
      </c>
      <c r="BN650" s="28" t="n"/>
      <c r="BO650" s="28" t="n"/>
      <c r="BP650" s="25" t="n"/>
      <c r="BQ650" s="27" t="n">
        <v>1.408163</v>
      </c>
      <c r="BR650" s="28" t="n">
        <v>0.71</v>
      </c>
      <c r="BS650" s="28" t="n"/>
      <c r="BT650" s="28" t="n"/>
      <c r="BU650" s="25" t="n"/>
      <c r="BV650" s="29" t="n"/>
      <c r="BW650" s="24" t="n"/>
      <c r="BX650" s="30" t="n">
        <v>1</v>
      </c>
      <c r="BY650" s="27" t="n">
        <v>0.408163</v>
      </c>
      <c r="BZ650" s="24" t="inlineStr">
        <is>
          <t>2026-09-15T01:09:10.546853Z</t>
        </is>
      </c>
      <c r="CA650" s="31" t="inlineStr">
        <is>
          <t>fixed one-unit hypothetical scoring; no real exposure or execution</t>
        </is>
      </c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False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inlineStr">
        <is>
          <t>eb91c18a3289e1e75eb3840d2e06d921770db46cd810e2b7b4f3a6a9add907e0</t>
        </is>
      </c>
      <c r="DE650" s="24" t="inlineStr">
        <is>
          <t>/Users/vincentc9002/model-prediction/data/odds/tennis/2026-09-14/polymarket_snapshots.jsonl</t>
        </is>
      </c>
      <c r="DF650" s="24" t="inlineStr">
        <is>
          <t>845822:2026-09-14T22:38:42.463483Z</t>
        </is>
      </c>
      <c r="DG650" s="24" t="n"/>
      <c r="DH650" s="24" t="n"/>
      <c r="DI650" s="24" t="n"/>
      <c r="DJ650" s="24" t="inlineStr">
        <is>
          <t>0.710145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"6c67e999d2a03612e30f4032c8e5e77e8becfbc79e05f4c8993e726b90d34d54", "away_team": "Iryna Shymanovich", "event_id": "887-2026:183791", "event_start_utc": "2026-09-14T23:00Z", "features": {"elo_p1_surface": 1560.6, "elo_p2_surface": 1651.6, "expected_games_p1": 9.78, "expected_games_p2": 13.29, "expected_total_games": 23.07, "history_matches": 16003, "min_player_matches": 89,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[1575.5556833455341, 1696.122775047302], "players": ["Iryna Shymanovich", "Zeynep Sonmez"], "sport": "TENNIS", "surface": "Hard", "surface_counts": [79, 106], "surface_ratings": [1560.5719551172544, 1651.5953509493304]}, "market_type": "moneyline", "model_version": "tennis-surface-elo-v1", "observed_at_utc": "2026-09-14T22:42:44.688489+00:00", "probabilities": {"away": 0.3624, "home": 0.6376}, "replay_scope": "Exact full-precision serving state and rounding; upstream historical observation times are not certified.", "schema": "coded-moneyline-replay-v1", "snapshot_hash": "13af3f996d05ff6ccf9b67c16c50d96626f5777162dae5102c6bc9858b1d80ad", "sport": "TENNIS"}</t>
        </is>
      </c>
    </row>
    <row r="651" ht="36" customHeight="1">
      <c r="A651" s="24" t="inlineStr">
        <is>
          <t>3eb3ff9a1dd040ad</t>
        </is>
      </c>
      <c r="B651" s="24" t="inlineStr">
        <is>
          <t>2026-09-15T00:16:40.442222Z</t>
        </is>
      </c>
      <c r="C651" s="24" t="inlineStr">
        <is>
          <t>2026-09-15T00:30Z</t>
        </is>
      </c>
      <c r="D651" s="24" t="inlineStr">
        <is>
          <t>887-2026:183790</t>
        </is>
      </c>
      <c r="E651" s="24" t="inlineStr">
        <is>
          <t>TENNIS</t>
        </is>
      </c>
      <c r="F651" s="24" t="inlineStr">
        <is>
          <t>Liudmila Samsonova</t>
        </is>
      </c>
      <c r="G651" s="24" t="inlineStr">
        <is>
          <t>Elsa Jacquemot</t>
        </is>
      </c>
      <c r="H651" s="24" t="inlineStr">
        <is>
          <t>moneyline</t>
        </is>
      </c>
      <c r="I651" s="24" t="inlineStr">
        <is>
          <t>away</t>
        </is>
      </c>
      <c r="J651" s="25" t="n"/>
      <c r="K651" s="24" t="inlineStr">
        <is>
          <t>polymarket_us</t>
        </is>
      </c>
      <c r="L651" s="26" t="n">
        <v>-456</v>
      </c>
      <c r="M651" s="27" t="n">
        <v>1.219298</v>
      </c>
      <c r="N651" s="28" t="n">
        <v>0.820144</v>
      </c>
      <c r="O651" s="28" t="n">
        <v>0.6526</v>
      </c>
      <c r="P651" s="28" t="n">
        <v>0.05</v>
      </c>
      <c r="Q651" s="28" t="n">
        <v>-0.167544</v>
      </c>
      <c r="R651" s="26" t="n">
        <v>0</v>
      </c>
      <c r="S651" s="29" t="n">
        <v>1</v>
      </c>
      <c r="T651" s="24" t="inlineStr">
        <is>
          <t>tennis-surface-elo-v1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0</v>
      </c>
      <c r="Y651" s="25" t="n"/>
      <c r="Z651" s="26" t="n">
        <v>-456</v>
      </c>
      <c r="AA651" s="28" t="n">
        <v>0.82</v>
      </c>
      <c r="AB651" s="28" t="n">
        <v>-0.000144</v>
      </c>
      <c r="AC651" s="30" t="n">
        <v>0.2193</v>
      </c>
      <c r="AD651" s="24" t="inlineStr">
        <is>
          <t>2026-09-15T04:30:43.624846Z</t>
        </is>
      </c>
      <c r="AE651" s="31" t="inlineStr">
        <is>
          <t>Surface-blended Elo on Hard: Liudmila Samsonova p=0.653 vs Elsa Jacquemot. Executable ask 0.8200 (aec-wta-elsjac-liusam-2026-09-13).</t>
        </is>
      </c>
      <c r="AF651" s="31" t="inlineStr">
        <is>
          <t>Surface-blended Elo model; singles only, WTA+ATP market coverage, not yet locked-holdout qualified -- promoted by explicit operator directive, not genuine walk-forward validation.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paper_call</t>
        </is>
      </c>
      <c r="AL651" s="26" t="n">
        <v>4</v>
      </c>
      <c r="AM651" s="24" t="inlineStr">
        <is>
          <t>RESEARCH_OBSERVATION</t>
        </is>
      </c>
      <c r="AN651" s="24" t="inlineStr">
        <is>
          <t>CALL</t>
        </is>
      </c>
      <c r="AO651" s="24" t="inlineStr">
        <is>
          <t>PAPER_CALL_LOW_EDGE</t>
        </is>
      </c>
      <c r="AP651" s="24" t="inlineStr">
        <is>
          <t>Liudmila Samsonova</t>
        </is>
      </c>
      <c r="AQ651" s="24" t="inlineStr">
        <is>
          <t>Liudmila Samsonova</t>
        </is>
      </c>
      <c r="AR651" s="24" t="inlineStr">
        <is>
          <t>Liudmila Samsonova</t>
        </is>
      </c>
      <c r="AS651" s="24" t="inlineStr">
        <is>
          <t>Elsa Jacquemot</t>
        </is>
      </c>
      <c r="AT651" s="24" t="inlineStr">
        <is>
          <t>Elsa Jacquemot</t>
        </is>
      </c>
      <c r="AU651" s="24" t="inlineStr">
        <is>
          <t>Elsa Jacquemot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6c67e999d2a03612e30f4032c8e5e77e8becfbc79e05f4c8993e726b90d34d54</t>
        </is>
      </c>
      <c r="BB651" s="24" t="inlineStr">
        <is>
          <t>surface_blended_elo</t>
        </is>
      </c>
      <c r="BC651" s="24" t="inlineStr">
        <is>
          <t>tennis-surface-elo-v1</t>
        </is>
      </c>
      <c r="BD651" s="24" t="inlineStr">
        <is>
          <t>6c67e999d2a03612e30f4032c8e5e77e8becfbc79e05f4c8993e726b90d34d54</t>
        </is>
      </c>
      <c r="BE651" s="24" t="inlineStr">
        <is>
          <t>tennis-surface-elo-v1</t>
        </is>
      </c>
      <c r="BF651" s="24" t="inlineStr">
        <is>
          <t>1</t>
        </is>
      </c>
      <c r="BG651" s="24" t="inlineStr">
        <is>
          <t>6c67e999d2a03612e30f4032c8e5e77e8becfbc79e05f4c8993e726b90d34d54</t>
        </is>
      </c>
      <c r="BH651" s="24" t="inlineStr">
        <is>
          <t>2026-09-14T22:27:56.210847Z</t>
        </is>
      </c>
      <c r="BI651" s="24" t="inlineStr">
        <is>
          <t>["same_event","same_team_same_day","same_league_same_day"]</t>
        </is>
      </c>
      <c r="BJ651" s="25" t="n"/>
      <c r="BK651" s="26" t="n">
        <v>-456</v>
      </c>
      <c r="BL651" s="27" t="n">
        <v>1.219298</v>
      </c>
      <c r="BM651" s="28" t="n">
        <v>0.820144</v>
      </c>
      <c r="BN651" s="28" t="n"/>
      <c r="BO651" s="28" t="n"/>
      <c r="BP651" s="25" t="n"/>
      <c r="BQ651" s="27" t="n">
        <v>1.219298</v>
      </c>
      <c r="BR651" s="28" t="n">
        <v>0.82</v>
      </c>
      <c r="BS651" s="28" t="n"/>
      <c r="BT651" s="28" t="n"/>
      <c r="BU651" s="25" t="n"/>
      <c r="BV651" s="29" t="n"/>
      <c r="BW651" s="24" t="n"/>
      <c r="BX651" s="30" t="n">
        <v>1</v>
      </c>
      <c r="BY651" s="27" t="n">
        <v>0.219298</v>
      </c>
      <c r="BZ651" s="24" t="inlineStr">
        <is>
          <t>2026-09-15T04:30:43.624846Z</t>
        </is>
      </c>
      <c r="CA651" s="31" t="inlineStr">
        <is>
          <t>fixed one-unit hypothetical scoring; no real exposure or execution</t>
        </is>
      </c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False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inlineStr">
        <is>
          <t>c9b7ea81afd86a3aaf1d39fc1eba1f86b9bcd12988cd05a38b56f793382d1e9e</t>
        </is>
      </c>
      <c r="DE651" s="24" t="inlineStr">
        <is>
          <t>/Users/vincentc9002/model-prediction/data/odds/tennis/2026-09-14/polymarket_snapshots.jsonl</t>
        </is>
      </c>
      <c r="DF651" s="24" t="inlineStr">
        <is>
          <t>803724:2026-09-14T22:27:56.210847Z</t>
        </is>
      </c>
      <c r="DG651" s="24" t="n"/>
      <c r="DH651" s="24" t="n"/>
      <c r="DI651" s="24" t="n"/>
      <c r="DJ651" s="24" t="inlineStr">
        <is>
          <t>0.820144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"6c67e999d2a03612e30f4032c8e5e77e8becfbc79e05f4c8993e726b90d34d54", "away_team": "Liudmila Samsonova", "event_id": "887-2026:183790", "event_start_utc": "2026-09-15T00:30Z", "features": {"elo_p1_surface": 1598.5, "elo_p2_surface": 1498.5, "expected_games_p1": 13.44, "expected_games_p2": 9.01, "expected_total_games": 22.44, "history_matches": 16003, "min_player_matches": 138, "surface": "Hard"}, "historical_source_observation_times_verified": false, "home_team": "Elsa Jacquemot", "inference_inputs": {"code_sha256": {"features/elo_ratings.py": "8525faf022a6343c452286dbfeb17dbb043744c6bdabbe448b6b371216da439b", "models/tennis.py": "6c67e999d2a03612e30f4032c8e5e77e8becfbc79e05f4c8993e726b90d34d54"}, "overall_ratings": [1650.2211799835259, 1513.8659867908511], "players": ["Liudmila Samsonova", "Elsa Jacquemot"], "sport": "TENNIS", "surface": "Hard", "surface_counts": [103, 116], "surface_ratings": [1598.4774866990167, 1498.490316615503]}, "market_type": "moneyline", "model_version": "tennis-surface-elo-v1", "observed_at_utc": "2026-09-15T00:16:38.773235+00:00", "probabilities": {"away": 0.6526, "home": 0.3474}, "replay_scope": "Exact full-precision serving state and rounding; upstream historical observation times are not certified.", "schema": "coded-moneyline-replay-v1", "snapshot_hash": "936bb75fb7d8233252403a86f12968cc63ae189bb7c80290b54d22fb0a89d9cb", "sport": "TENNIS"}</t>
        </is>
      </c>
    </row>
    <row r="652" ht="36" customHeight="1">
      <c r="A652" s="24" t="inlineStr">
        <is>
          <t>bf4a6f7a28b445cd</t>
        </is>
      </c>
      <c r="B652" s="24" t="inlineStr">
        <is>
          <t>2026-09-15T10:08:54.021826Z</t>
        </is>
      </c>
      <c r="C652" s="24" t="inlineStr">
        <is>
          <t>2026-09-15T13:30Z</t>
        </is>
      </c>
      <c r="D652" s="24" t="inlineStr">
        <is>
          <t>1005-2026:183834</t>
        </is>
      </c>
      <c r="E652" s="24" t="inlineStr">
        <is>
          <t>TENNIS</t>
        </is>
      </c>
      <c r="F652" s="24" t="inlineStr">
        <is>
          <t>Victoria Luiza Barros</t>
        </is>
      </c>
      <c r="G652" s="24" t="inlineStr">
        <is>
          <t>Teodora Kostovic</t>
        </is>
      </c>
      <c r="H652" s="24" t="inlineStr">
        <is>
          <t>moneyline</t>
        </is>
      </c>
      <c r="I652" s="24" t="inlineStr">
        <is>
          <t>home</t>
        </is>
      </c>
      <c r="J652" s="25" t="n"/>
      <c r="K652" s="24" t="inlineStr">
        <is>
          <t>polymarket_us</t>
        </is>
      </c>
      <c r="L652" s="26" t="n">
        <v>-376</v>
      </c>
      <c r="M652" s="27" t="n">
        <v>1.265957</v>
      </c>
      <c r="N652" s="28" t="n">
        <v>0.789916</v>
      </c>
      <c r="O652" s="28" t="n">
        <v>0.5469000000000001</v>
      </c>
      <c r="P652" s="28" t="n">
        <v>0.05</v>
      </c>
      <c r="Q652" s="28" t="n">
        <v>-0.243016</v>
      </c>
      <c r="R652" s="26" t="n">
        <v>0</v>
      </c>
      <c r="S652" s="29" t="n">
        <v>1</v>
      </c>
      <c r="T652" s="24" t="inlineStr">
        <is>
          <t>tennis-surface-elo-v1</t>
        </is>
      </c>
      <c r="U652" s="24" t="inlineStr">
        <is>
          <t>settled</t>
        </is>
      </c>
      <c r="V652" s="24" t="inlineStr">
        <is>
          <t>win</t>
        </is>
      </c>
      <c r="W652" s="26" t="n">
        <v>0</v>
      </c>
      <c r="X652" s="26" t="n">
        <v>1</v>
      </c>
      <c r="Y652" s="25" t="n"/>
      <c r="Z652" s="26" t="n">
        <v>-376</v>
      </c>
      <c r="AA652" s="28" t="n">
        <v>0.79</v>
      </c>
      <c r="AB652" s="28" t="n">
        <v>8.4e-05</v>
      </c>
      <c r="AC652" s="30" t="n">
        <v>0.266</v>
      </c>
      <c r="AD652" s="24" t="inlineStr">
        <is>
          <t>2026-09-15T16:02:59.089316Z</t>
        </is>
      </c>
      <c r="AE652" s="31" t="inlineStr">
        <is>
          <t>Surface-blended Elo on Hard: Victoria Luiza Barros p=0.453 vs Teodora Kostovic. Executable ask 0.7900 (aec-wta-teokos-vicbar-2026-09-14).</t>
        </is>
      </c>
      <c r="AF652" s="31" t="inlineStr">
        <is>
          <t>Surface-blended Elo model; singles only, WTA+ATP market coverage, not yet locked-holdout qualified -- promoted by explicit operator directive, not genuine walk-forward validation.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PAPER_CALL_MODEL_UNVALIDATED</t>
        </is>
      </c>
      <c r="AP652" s="24" t="inlineStr">
        <is>
          <t>Victoria Luiza Barros</t>
        </is>
      </c>
      <c r="AQ652" s="24" t="inlineStr">
        <is>
          <t>Victoria Luiza Barros</t>
        </is>
      </c>
      <c r="AR652" s="24" t="inlineStr">
        <is>
          <t>Victoria Luiza Barros</t>
        </is>
      </c>
      <c r="AS652" s="24" t="inlineStr">
        <is>
          <t>Teodora Kostovic</t>
        </is>
      </c>
      <c r="AT652" s="24" t="inlineStr">
        <is>
          <t>Teodora Kostovic</t>
        </is>
      </c>
      <c r="AU652" s="24" t="inlineStr">
        <is>
          <t>Teodora Kostovic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6c67e999d2a03612e30f4032c8e5e77e8becfbc79e05f4c8993e726b90d34d54</t>
        </is>
      </c>
      <c r="BB652" s="24" t="inlineStr">
        <is>
          <t>surface_blended_elo</t>
        </is>
      </c>
      <c r="BC652" s="24" t="inlineStr">
        <is>
          <t>tennis-surface-elo-v1</t>
        </is>
      </c>
      <c r="BD652" s="24" t="inlineStr">
        <is>
          <t>6c67e999d2a03612e30f4032c8e5e77e8becfbc79e05f4c8993e726b90d34d54</t>
        </is>
      </c>
      <c r="BE652" s="24" t="inlineStr">
        <is>
          <t>tennis-surface-elo-v1</t>
        </is>
      </c>
      <c r="BF652" s="24" t="inlineStr">
        <is>
          <t>1</t>
        </is>
      </c>
      <c r="BG652" s="24" t="inlineStr">
        <is>
          <t>6c67e999d2a03612e30f4032c8e5e77e8becfbc79e05f4c8993e726b90d34d54</t>
        </is>
      </c>
      <c r="BH652" s="24" t="inlineStr">
        <is>
          <t>2026-09-15T04:35:22.329050Z</t>
        </is>
      </c>
      <c r="BI652" s="24" t="inlineStr">
        <is>
          <t>["same_event","same_team_same_day","same_league_same_day"]</t>
        </is>
      </c>
      <c r="BJ652" s="25" t="n"/>
      <c r="BK652" s="26" t="n">
        <v>-376</v>
      </c>
      <c r="BL652" s="27" t="n">
        <v>1.265957</v>
      </c>
      <c r="BM652" s="28" t="n">
        <v>0.789916</v>
      </c>
      <c r="BN652" s="28" t="n"/>
      <c r="BO652" s="28" t="n"/>
      <c r="BP652" s="25" t="n"/>
      <c r="BQ652" s="27" t="n">
        <v>1.265957</v>
      </c>
      <c r="BR652" s="28" t="n">
        <v>0.79</v>
      </c>
      <c r="BS652" s="28" t="n"/>
      <c r="BT652" s="28" t="n"/>
      <c r="BU652" s="25" t="n"/>
      <c r="BV652" s="29" t="n"/>
      <c r="BW652" s="24" t="n"/>
      <c r="BX652" s="30" t="n">
        <v>1</v>
      </c>
      <c r="BY652" s="27" t="n">
        <v>0.265957</v>
      </c>
      <c r="BZ652" s="24" t="inlineStr">
        <is>
          <t>2026-09-15T16:02:59.089316Z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False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inlineStr">
        <is>
          <t>00d2dee190908d759d1b400cb88ce85641e39f8db8a5eacf386ef5306e8fd25b</t>
        </is>
      </c>
      <c r="DE652" s="24" t="inlineStr">
        <is>
          <t>/Users/vincentc9002/model-prediction/data/odds/tennis/2026-09-15/polymarket_snapshots.jsonl</t>
        </is>
      </c>
      <c r="DF652" s="24" t="inlineStr">
        <is>
          <t>825071:2026-09-15T04:35:22.329050Z</t>
        </is>
      </c>
      <c r="DG652" s="24" t="n"/>
      <c r="DH652" s="24" t="n"/>
      <c r="DI652" s="24" t="n"/>
      <c r="DJ652" s="24" t="inlineStr">
        <is>
          <t>0.789916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"6c67e999d2a03612e30f4032c8e5e77e8becfbc79e05f4c8993e726b90d34d54", "away_team": "Victoria Luiza Barros", "event_id": "1005-2026:183834", "event_start_utc": "2026-09-15T13:30Z", "features": {"elo_p1_surface": 1483.0, "elo_p2_surface": 1489.3, "expected_games_p1": 12.41, "expected_games_p2": 12.38, "expected_total_games": 24.78, "history_matches": 16038, "min_player_matches": 1,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[1482.2899305075362, 1550.3279460051037], "players": ["Victoria Luiza Barros", "Teodora Kostovic"], "sport": "TENNIS", "surface": "Hard", "surface_counts": [1, 32], "surface_ratings": [1482.9512711565956, 1489.3384568050483]}, "market_type": "moneyline", "model_version": "tennis-surface-elo-v1", "observed_at_utc": "2026-09-15T10:08:52.800265+00:00", "probabilities": {"away": 0.4531, "home": 0.5469}, "replay_scope": "Exact full-precision serving state and rounding; upstream historical observation times are not certified.", "schema": "coded-moneyline-replay-v1", "snapshot_hash": "5b7d8a4918db33dc042046a7c2d2cf003a2582fb293b589edddf131948b27868", "sport": "TENNIS"}</t>
        </is>
      </c>
    </row>
    <row r="653" ht="36" customHeight="1">
      <c r="A653" s="24" t="inlineStr">
        <is>
          <t>0f04504cd0694060</t>
        </is>
      </c>
      <c r="B653" s="24" t="inlineStr">
        <is>
          <t>2026-09-15T10:08:54.021826Z</t>
        </is>
      </c>
      <c r="C653" s="24" t="inlineStr">
        <is>
          <t>2026-09-15T15:00Z</t>
        </is>
      </c>
      <c r="D653" s="24" t="inlineStr">
        <is>
          <t>1005-2026:183849</t>
        </is>
      </c>
      <c r="E653" s="24" t="inlineStr">
        <is>
          <t>TENNIS</t>
        </is>
      </c>
      <c r="F653" s="24" t="inlineStr">
        <is>
          <t>Alina Charaeva</t>
        </is>
      </c>
      <c r="G653" s="24" t="inlineStr">
        <is>
          <t>You Xiaodi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polymarket_us</t>
        </is>
      </c>
      <c r="L653" s="26" t="n">
        <v>-233</v>
      </c>
      <c r="M653" s="27" t="n">
        <v>1.429185</v>
      </c>
      <c r="N653" s="28" t="n">
        <v>0.6997</v>
      </c>
      <c r="O653" s="28" t="n">
        <v>0.7295</v>
      </c>
      <c r="P653" s="28" t="n">
        <v>0.05</v>
      </c>
      <c r="Q653" s="28" t="n">
        <v>0.0298</v>
      </c>
      <c r="R653" s="26" t="n">
        <v>35</v>
      </c>
      <c r="S653" s="29" t="n">
        <v>1</v>
      </c>
      <c r="T653" s="24" t="inlineStr">
        <is>
          <t>tennis-surface-elo-v1</t>
        </is>
      </c>
      <c r="U653" s="24" t="inlineStr">
        <is>
          <t>settled</t>
        </is>
      </c>
      <c r="V653" s="24" t="inlineStr">
        <is>
          <t>win</t>
        </is>
      </c>
      <c r="W653" s="26" t="n">
        <v>1</v>
      </c>
      <c r="X653" s="26" t="n">
        <v>0</v>
      </c>
      <c r="Y653" s="25" t="n"/>
      <c r="Z653" s="26" t="n">
        <v>-233</v>
      </c>
      <c r="AA653" s="28" t="n">
        <v>0.7</v>
      </c>
      <c r="AB653" s="28" t="n">
        <v>0.0003</v>
      </c>
      <c r="AC653" s="30" t="n">
        <v>0.4292</v>
      </c>
      <c r="AD653" s="24" t="inlineStr">
        <is>
          <t>2026-09-17T04:30:20.979788Z</t>
        </is>
      </c>
      <c r="AE653" s="31" t="inlineStr">
        <is>
          <t>Surface-blended Elo on Hard: Alina Charaeva p=0.729 vs You Xiaodi. Executable ask 0.7000 (aec-wta-xiayou-alicha-2026-09-14).</t>
        </is>
      </c>
      <c r="AF653" s="31" t="inlineStr">
        <is>
          <t>Surface-blended Elo model; singles only, WTA+ATP market coverage, not yet locked-holdout qualified -- promoted by explicit operator directive, not genuine walk-forward validation.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Alina Charaeva</t>
        </is>
      </c>
      <c r="AQ653" s="24" t="inlineStr">
        <is>
          <t>Alina Charaeva</t>
        </is>
      </c>
      <c r="AR653" s="24" t="inlineStr">
        <is>
          <t>Alina Charaeva</t>
        </is>
      </c>
      <c r="AS653" s="24" t="inlineStr">
        <is>
          <t>You Xiaodi</t>
        </is>
      </c>
      <c r="AT653" s="24" t="inlineStr">
        <is>
          <t>You Xiaodi</t>
        </is>
      </c>
      <c r="AU653" s="24" t="inlineStr">
        <is>
          <t>You Xiaodi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6c67e999d2a03612e30f4032c8e5e77e8becfbc79e05f4c8993e726b90d34d54</t>
        </is>
      </c>
      <c r="BB653" s="24" t="inlineStr">
        <is>
          <t>surface_blended_elo</t>
        </is>
      </c>
      <c r="BC653" s="24" t="inlineStr">
        <is>
          <t>tennis-surface-elo-v1</t>
        </is>
      </c>
      <c r="BD653" s="24" t="inlineStr">
        <is>
          <t>6c67e999d2a03612e30f4032c8e5e77e8becfbc79e05f4c8993e726b90d34d54</t>
        </is>
      </c>
      <c r="BE653" s="24" t="inlineStr">
        <is>
          <t>tennis-surface-elo-v1</t>
        </is>
      </c>
      <c r="BF653" s="24" t="inlineStr">
        <is>
          <t>1</t>
        </is>
      </c>
      <c r="BG653" s="24" t="inlineStr">
        <is>
          <t>6c67e999d2a03612e30f4032c8e5e77e8becfbc79e05f4c8993e726b90d34d54</t>
        </is>
      </c>
      <c r="BH653" s="24" t="inlineStr">
        <is>
          <t>2026-09-15T04:35:33.085714Z</t>
        </is>
      </c>
      <c r="BI653" s="24" t="inlineStr">
        <is>
          <t>["same_event","same_team_same_day","same_league_same_day"]</t>
        </is>
      </c>
      <c r="BJ653" s="25" t="n"/>
      <c r="BK653" s="26" t="n">
        <v>-233</v>
      </c>
      <c r="BL653" s="27" t="n">
        <v>1.429185</v>
      </c>
      <c r="BM653" s="28" t="n">
        <v>0.6997</v>
      </c>
      <c r="BN653" s="28" t="n"/>
      <c r="BO653" s="28" t="n"/>
      <c r="BP653" s="25" t="n"/>
      <c r="BQ653" s="27" t="n">
        <v>1.429185</v>
      </c>
      <c r="BR653" s="28" t="n">
        <v>0.7</v>
      </c>
      <c r="BS653" s="28" t="n"/>
      <c r="BT653" s="28" t="n"/>
      <c r="BU653" s="25" t="n"/>
      <c r="BV653" s="29" t="n"/>
      <c r="BW653" s="24" t="n"/>
      <c r="BX653" s="30" t="n">
        <v>1</v>
      </c>
      <c r="BY653" s="27" t="n">
        <v>0.429184</v>
      </c>
      <c r="BZ653" s="24" t="inlineStr">
        <is>
          <t>2026-09-17T04:30:20.979788Z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inlineStr">
        <is>
          <t>0a8fe34bb0f22f25bfd903fce4b1b5dd6389b60f04e2df7671e65d1d5003ba2c</t>
        </is>
      </c>
      <c r="DE653" s="24" t="inlineStr">
        <is>
          <t>/Users/vincentc9002/model-prediction/data/odds/tennis/2026-09-15/polymarket_snapshots.jsonl</t>
        </is>
      </c>
      <c r="DF653" s="24" t="inlineStr">
        <is>
          <t>845816:2026-09-15T04:35:33.085714Z</t>
        </is>
      </c>
      <c r="DG653" s="24" t="n"/>
      <c r="DH653" s="24" t="n"/>
      <c r="DI653" s="24" t="n"/>
      <c r="DJ653" s="24" t="inlineStr">
        <is>
          <t>0.6997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"6c67e999d2a03612e30f4032c8e5e77e8becfbc79e05f4c8993e726b90d34d54", "away_team": "Alina Charaeva", "event_id": "1005-2026:183849", "event_start_utc": "2026-09-15T15:00Z", "features": {"elo_p1_surface": 1617.8, "elo_p2_surface": 1463.1, "expected_games_p1": 13.12, "expected_games_p2": 7.14, "expected_total_games": 20.26, "history_matches": 16038, "min_player_matches": 54, "surface": "Hard"}, "historical_source_observation_times_verified": false, "home_team": "You Xiaodi", "inference_inputs": {"code_sha256": {"features/elo_ratings.py": "8525faf022a6343c452286dbfeb17dbb043744c6bdabbe448b6b371216da439b", "models/tennis.py": "6c67e999d2a03612e30f4032c8e5e77e8becfbc79e05f4c8993e726b90d34d54"}, "overall_ratings": [1637.5075171200124, 1429.0446991697745], "players": ["Alina Charaeva", "You Xiaodi"], "sport": "TENNIS", "surface": "Hard", "surface_counts": [80, 48], "surface_ratings": [1617.7544179219058, 1463.0525812876388]}, "market_type": "moneyline", "model_version": "tennis-surface-elo-v1", "observed_at_utc": "2026-09-15T10:08:52.800265+00:00", "probabilities": {"away": 0.7295, "home": 0.2706}, "replay_scope": "Exact full-precision serving state and rounding; upstream historical observation times are not certified.", "schema": "coded-moneyline-replay-v1", "snapshot_hash": "7ff97785fb372753a6c7d8db046db38a2d5154da9f4d5cda69285099be0f96e7", "sport": "TENNIS"}</t>
        </is>
      </c>
    </row>
    <row r="654" ht="36" customHeight="1">
      <c r="A654" s="24" t="inlineStr">
        <is>
          <t>1379e48fc6b54528</t>
        </is>
      </c>
      <c r="B654" s="24" t="inlineStr">
        <is>
          <t>2026-09-15T10:08:54.021826Z</t>
        </is>
      </c>
      <c r="C654" s="24" t="inlineStr">
        <is>
          <t>2026-09-15T12:30Z</t>
        </is>
      </c>
      <c r="D654" s="24" t="inlineStr">
        <is>
          <t>871-2026:183751</t>
        </is>
      </c>
      <c r="E654" s="24" t="inlineStr">
        <is>
          <t>TENNIS</t>
        </is>
      </c>
      <c r="F654" s="24" t="inlineStr">
        <is>
          <t>Martina Trevisan</t>
        </is>
      </c>
      <c r="G654" s="24" t="inlineStr">
        <is>
          <t>Leyre Romero Gormaz</t>
        </is>
      </c>
      <c r="H654" s="24" t="inlineStr">
        <is>
          <t>moneyline</t>
        </is>
      </c>
      <c r="I654" s="24" t="inlineStr">
        <is>
          <t>home</t>
        </is>
      </c>
      <c r="J654" s="25" t="n"/>
      <c r="K654" s="24" t="inlineStr">
        <is>
          <t>polymarket_us</t>
        </is>
      </c>
      <c r="L654" s="26" t="n">
        <v>-104</v>
      </c>
      <c r="M654" s="27" t="n">
        <v>1.961538</v>
      </c>
      <c r="N654" s="28" t="n">
        <v>0.509804</v>
      </c>
      <c r="O654" s="28" t="n">
        <v>0.6415</v>
      </c>
      <c r="P654" s="28" t="n">
        <v>0.05</v>
      </c>
      <c r="Q654" s="28" t="n">
        <v>0.131696</v>
      </c>
      <c r="R654" s="26" t="n">
        <v>86</v>
      </c>
      <c r="S654" s="29" t="n">
        <v>1.5</v>
      </c>
      <c r="T654" s="24" t="inlineStr">
        <is>
          <t>tennis-surface-elo-v1</t>
        </is>
      </c>
      <c r="U654" s="24" t="inlineStr">
        <is>
          <t>settled</t>
        </is>
      </c>
      <c r="V654" s="24" t="inlineStr">
        <is>
          <t>loss</t>
        </is>
      </c>
      <c r="W654" s="26" t="n">
        <v>1</v>
      </c>
      <c r="X654" s="26" t="n">
        <v>0</v>
      </c>
      <c r="Y654" s="25" t="n"/>
      <c r="Z654" s="26" t="n">
        <v>-104</v>
      </c>
      <c r="AA654" s="28" t="n">
        <v>0.51</v>
      </c>
      <c r="AB654" s="28" t="n">
        <v>0.000196</v>
      </c>
      <c r="AC654" s="30" t="n">
        <v>-1.5</v>
      </c>
      <c r="AD654" s="24" t="inlineStr">
        <is>
          <t>2026-09-15T22:07:08.419667Z</t>
        </is>
      </c>
      <c r="AE654" s="31" t="inlineStr">
        <is>
          <t>Surface-blended Elo on Hard: Martina Trevisan p=0.359 vs Leyre Romero Gormaz. Executable ask 0.5100 (aec-wta-leygor-martre-2026-09-14).</t>
        </is>
      </c>
      <c r="AF654" s="31" t="inlineStr">
        <is>
          <t>Surface-blended Elo model; singles only, WTA+ATP market coverage, not yet locked-holdout qualified -- promoted by explicit operator directive, not genuine walk-forward validation.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Martina Trevisan</t>
        </is>
      </c>
      <c r="AQ654" s="24" t="inlineStr">
        <is>
          <t>Martina Trevisan</t>
        </is>
      </c>
      <c r="AR654" s="24" t="inlineStr">
        <is>
          <t>Martina Trevisan</t>
        </is>
      </c>
      <c r="AS654" s="24" t="inlineStr">
        <is>
          <t>Leyre Romero Gormaz</t>
        </is>
      </c>
      <c r="AT654" s="24" t="inlineStr">
        <is>
          <t>Leyre Romero Gormaz</t>
        </is>
      </c>
      <c r="AU654" s="24" t="inlineStr">
        <is>
          <t>Leyre Romero Gormaz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6c67e999d2a03612e30f4032c8e5e77e8becfbc79e05f4c8993e726b90d34d54</t>
        </is>
      </c>
      <c r="BB654" s="24" t="inlineStr">
        <is>
          <t>surface_blended_elo</t>
        </is>
      </c>
      <c r="BC654" s="24" t="inlineStr">
        <is>
          <t>tennis-surface-elo-v1</t>
        </is>
      </c>
      <c r="BD654" s="24" t="inlineStr">
        <is>
          <t>6c67e999d2a03612e30f4032c8e5e77e8becfbc79e05f4c8993e726b90d34d54</t>
        </is>
      </c>
      <c r="BE654" s="24" t="inlineStr">
        <is>
          <t>tennis-surface-elo-v1</t>
        </is>
      </c>
      <c r="BF654" s="24" t="inlineStr">
        <is>
          <t>1</t>
        </is>
      </c>
      <c r="BG654" s="24" t="inlineStr">
        <is>
          <t>6c67e999d2a03612e30f4032c8e5e77e8becfbc79e05f4c8993e726b90d34d54</t>
        </is>
      </c>
      <c r="BH654" s="24" t="inlineStr">
        <is>
          <t>2026-09-15T10:05:00.596076Z</t>
        </is>
      </c>
      <c r="BI654" s="24" t="inlineStr">
        <is>
          <t>["same_event","same_team_same_day","same_league_same_day"]</t>
        </is>
      </c>
      <c r="BJ654" s="25" t="n"/>
      <c r="BK654" s="26" t="n">
        <v>-104</v>
      </c>
      <c r="BL654" s="27" t="n">
        <v>1.961538</v>
      </c>
      <c r="BM654" s="28" t="n">
        <v>0.509804</v>
      </c>
      <c r="BN654" s="28" t="n"/>
      <c r="BO654" s="28" t="n"/>
      <c r="BP654" s="25" t="n"/>
      <c r="BQ654" s="27" t="n">
        <v>1.961538</v>
      </c>
      <c r="BR654" s="28" t="n">
        <v>0.51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inlineStr">
        <is>
          <t>a86a597bfe19d43e18e5ea1ae8e37ac0efb4bb292ee8e06cff912b1b494e4557</t>
        </is>
      </c>
      <c r="DE654" s="24" t="inlineStr">
        <is>
          <t>/Users/vincentc9002/model-prediction/data/odds/tennis/2026-09-15/polymarket_snapshots.jsonl</t>
        </is>
      </c>
      <c r="DF654" s="24" t="inlineStr">
        <is>
          <t>839398:2026-09-15T10:05:00.596076Z</t>
        </is>
      </c>
      <c r="DG654" s="24" t="n"/>
      <c r="DH654" s="24" t="n"/>
      <c r="DI654" s="24" t="n"/>
      <c r="DJ654" s="24" t="inlineStr">
        <is>
          <t>0.509804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"6c67e999d2a03612e30f4032c8e5e77e8becfbc79e05f4c8993e726b90d34d54", "away_team": "Martina Trevisan", "event_id": "871-2026:183751", "event_start_utc": "2026-09-15T12:30Z", "features": {"elo_p1_surface": 1481.2, "elo_p2_surface": 1582.5, "expected_games_p1": 9.42, "expected_games_p2": 13.28, "expected_total_games": 22.7, "history_matches": 16038, "min_player_matches": 85, "surface": "Hard"}, "historical_source_observation_times_verified": false, "home_team": "Leyre Romero Gormaz", "inference_inputs": {"code_sha256": {"features/elo_ratings.py": "8525faf022a6343c452286dbfeb17dbb043744c6bdabbe448b6b371216da439b", "models/tennis.py": "6c67e999d2a03612e30f4032c8e5e77e8becfbc79e05f4c8993e726b90d34d54"}, "overall_ratings": [1466.259387052144, 1565.823080818931], "players": ["Martina Trevisan", "Leyre Romero Gormaz"], "sport": "TENNIS", "surface": "Hard", "surface_counts": [74, 87], "surface_ratings": [1481.196373907871, 1582.466900914177]}, "market_type": "moneyline", "model_version": "tennis-surface-elo-v1", "observed_at_utc": "2026-09-15T10:08:52.800265+00:00", "probabilities": {"away": 0.3585, "home": 0.6415}, "replay_scope": "Exact full-precision serving state and rounding; upstream historical observation times are not certified.", "schema": "coded-moneyline-replay-v1", "snapshot_hash": "a1cd39f699f4440cbf758ad86e45f7c04776398366c46f9c6b4914fbdd8becd9", "sport": "TENNIS"}</t>
        </is>
      </c>
    </row>
    <row r="655" ht="36" customHeight="1">
      <c r="A655" s="24" t="inlineStr">
        <is>
          <t>1a90de00f937486b</t>
        </is>
      </c>
      <c r="B655" s="24" t="inlineStr">
        <is>
          <t>2026-09-15T10:08:54.021826Z</t>
        </is>
      </c>
      <c r="C655" s="24" t="inlineStr">
        <is>
          <t>2026-09-15T11:00Z</t>
        </is>
      </c>
      <c r="D655" s="24" t="inlineStr">
        <is>
          <t>786-2026:183653</t>
        </is>
      </c>
      <c r="E655" s="24" t="inlineStr">
        <is>
          <t>TENNIS</t>
        </is>
      </c>
      <c r="F655" s="24" t="inlineStr">
        <is>
          <t>Vivian Wolff</t>
        </is>
      </c>
      <c r="G655" s="24" t="inlineStr">
        <is>
          <t>Alice Tubello</t>
        </is>
      </c>
      <c r="H655" s="24" t="inlineStr">
        <is>
          <t>moneyline</t>
        </is>
      </c>
      <c r="I655" s="24" t="inlineStr">
        <is>
          <t>away</t>
        </is>
      </c>
      <c r="J655" s="25" t="n"/>
      <c r="K655" s="24" t="inlineStr">
        <is>
          <t>polymarket_us</t>
        </is>
      </c>
      <c r="L655" s="26" t="n">
        <v>203</v>
      </c>
      <c r="M655" s="27" t="n">
        <v>3.03</v>
      </c>
      <c r="N655" s="28" t="n">
        <v>0.330033</v>
      </c>
      <c r="O655" s="28" t="n">
        <v>0.5375</v>
      </c>
      <c r="P655" s="28" t="n">
        <v>0.05</v>
      </c>
      <c r="Q655" s="28" t="n">
        <v>0.207467</v>
      </c>
      <c r="R655" s="26" t="n">
        <v>100</v>
      </c>
      <c r="S655" s="29" t="n">
        <v>2</v>
      </c>
      <c r="T655" s="24" t="inlineStr">
        <is>
          <t>tennis-surface-elo-v1</t>
        </is>
      </c>
      <c r="U655" s="24" t="inlineStr">
        <is>
          <t>settled</t>
        </is>
      </c>
      <c r="V655" s="24" t="inlineStr">
        <is>
          <t>loss</t>
        </is>
      </c>
      <c r="W655" s="26" t="n">
        <v>0</v>
      </c>
      <c r="X655" s="26" t="n">
        <v>1</v>
      </c>
      <c r="Y655" s="25" t="n"/>
      <c r="Z655" s="26" t="n">
        <v>203</v>
      </c>
      <c r="AA655" s="28" t="n">
        <v>0.33</v>
      </c>
      <c r="AB655" s="28" t="n">
        <v>-3.3e-05</v>
      </c>
      <c r="AC655" s="30" t="n">
        <v>-2</v>
      </c>
      <c r="AD655" s="24" t="inlineStr">
        <is>
          <t>2026-09-15T16:03:01.621460Z</t>
        </is>
      </c>
      <c r="AE655" s="31" t="inlineStr">
        <is>
          <t>Surface-blended Elo on Hard: Vivian Wolff p=0.537 vs Alice Tubello. Executable ask 0.3300 (aec-wta-alitub-vivwol-2026-09-15).</t>
        </is>
      </c>
      <c r="AF655" s="31" t="inlineStr">
        <is>
          <t>Surface-blended Elo model; singles only, WTA+ATP market coverage, not yet locked-holdout qualified -- promoted by explicit operator directive, not genuine walk-forward validation.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Vivian Wolff</t>
        </is>
      </c>
      <c r="AQ655" s="24" t="inlineStr">
        <is>
          <t>Vivian Wolff</t>
        </is>
      </c>
      <c r="AR655" s="24" t="inlineStr">
        <is>
          <t>Vivian Wolff</t>
        </is>
      </c>
      <c r="AS655" s="24" t="inlineStr">
        <is>
          <t>Alice Tubello</t>
        </is>
      </c>
      <c r="AT655" s="24" t="inlineStr">
        <is>
          <t>Alice Tubello</t>
        </is>
      </c>
      <c r="AU655" s="24" t="inlineStr">
        <is>
          <t>Alice Tubello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6c67e999d2a03612e30f4032c8e5e77e8becfbc79e05f4c8993e726b90d34d54</t>
        </is>
      </c>
      <c r="BB655" s="24" t="inlineStr">
        <is>
          <t>surface_blended_elo</t>
        </is>
      </c>
      <c r="BC655" s="24" t="inlineStr">
        <is>
          <t>tennis-surface-elo-v1</t>
        </is>
      </c>
      <c r="BD655" s="24" t="inlineStr">
        <is>
          <t>6c67e999d2a03612e30f4032c8e5e77e8becfbc79e05f4c8993e726b90d34d54</t>
        </is>
      </c>
      <c r="BE655" s="24" t="inlineStr">
        <is>
          <t>tennis-surface-elo-v1</t>
        </is>
      </c>
      <c r="BF655" s="24" t="inlineStr">
        <is>
          <t>1</t>
        </is>
      </c>
      <c r="BG655" s="24" t="inlineStr">
        <is>
          <t>6c67e999d2a03612e30f4032c8e5e77e8becfbc79e05f4c8993e726b90d34d54</t>
        </is>
      </c>
      <c r="BH655" s="24" t="inlineStr">
        <is>
          <t>2026-09-15T10:05:00.583331Z</t>
        </is>
      </c>
      <c r="BI655" s="24" t="inlineStr">
        <is>
          <t>["same_event","same_team_same_day","same_league_same_day"]</t>
        </is>
      </c>
      <c r="BJ655" s="25" t="n"/>
      <c r="BK655" s="26" t="n">
        <v>203</v>
      </c>
      <c r="BL655" s="27" t="n">
        <v>3.03</v>
      </c>
      <c r="BM655" s="28" t="n">
        <v>0.330033</v>
      </c>
      <c r="BN655" s="28" t="n"/>
      <c r="BO655" s="28" t="n"/>
      <c r="BP655" s="25" t="n"/>
      <c r="BQ655" s="27" t="n">
        <v>3.03</v>
      </c>
      <c r="BR655" s="28" t="n">
        <v>0.33</v>
      </c>
      <c r="BS655" s="28" t="n"/>
      <c r="BT655" s="28" t="n"/>
      <c r="BU655" s="25" t="n"/>
      <c r="BV655" s="29" t="n"/>
      <c r="BW655" s="24" t="n"/>
      <c r="BX655" s="30" t="n">
        <v>1</v>
      </c>
      <c r="BY655" s="27" t="n">
        <v>-1</v>
      </c>
      <c r="BZ655" s="24" t="inlineStr">
        <is>
          <t>2026-09-15T16:03:01.621460Z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inlineStr">
        <is>
          <t>2e0fa4f36188d2cb7f909a692b3bccf29b901a3d8872f7727716f1a02346d054</t>
        </is>
      </c>
      <c r="DE655" s="24" t="inlineStr">
        <is>
          <t>/Users/vincentc9002/model-prediction/data/odds/tennis/2026-09-15/polymarket_snapshots.jsonl</t>
        </is>
      </c>
      <c r="DF655" s="24" t="inlineStr">
        <is>
          <t>842556:2026-09-15T10:05:00.583331Z</t>
        </is>
      </c>
      <c r="DG655" s="24" t="n"/>
      <c r="DH655" s="24" t="n"/>
      <c r="DI655" s="24" t="n"/>
      <c r="DJ655" s="24" t="inlineStr">
        <is>
          <t>0.330033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"6c67e999d2a03612e30f4032c8e5e77e8becfbc79e05f4c8993e726b90d34d54", "away_team": "Vivian Wolff", "event_id": "786-2026:183653", "event_start_utc": "2026-09-15T11:00Z", "features": {"elo_p1_surface": 1456.8, "elo_p2_surface": 1435.5, "expected_games_p1": 12.96, "expected_games_p2": 11.67, "expected_total_games": 24.63, "history_matches": 16038, "min_player_matches": 5,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[1456.2030746232472, 1426.3477488050155], "players": ["Vivian Wolff", "Alice Tubello"], "sport": "TENNIS", "surface": "Hard", "surface_counts": [5, 15], "surface_ratings": [1456.7635151170855, 1435.4670345069849]}, "market_type": "moneyline", "model_version": "tennis-surface-elo-v1", "observed_at_utc": "2026-09-15T10:08:52.800265+00:00", "probabilities": {"away": 0.5375, "home": 0.4625}, "replay_scope": "Exact full-precision serving state and rounding; upstream historical observation times are not certified.", "schema": "coded-moneyline-replay-v1", "snapshot_hash": "f9c7c6bea3076f2571c6eab4f9a2510b6fb88ed38ead22f16b2d72e8ea010def", "sport": "TENNIS"}</t>
        </is>
      </c>
    </row>
    <row r="656" ht="36" customHeight="1">
      <c r="A656" s="24" t="inlineStr">
        <is>
          <t>4c2f4fd7ed89444c</t>
        </is>
      </c>
      <c r="B656" s="24" t="inlineStr">
        <is>
          <t>2026-09-15T10:08:54.021826Z</t>
        </is>
      </c>
      <c r="C656" s="24" t="inlineStr">
        <is>
          <t>2026-09-15T11:00Z</t>
        </is>
      </c>
      <c r="D656" s="24" t="inlineStr">
        <is>
          <t>786-2026:183662</t>
        </is>
      </c>
      <c r="E656" s="24" t="inlineStr">
        <is>
          <t>TENNIS</t>
        </is>
      </c>
      <c r="F656" s="24" t="inlineStr">
        <is>
          <t>Kristina Novak</t>
        </is>
      </c>
      <c r="G656" s="24" t="inlineStr">
        <is>
          <t>Weronika Falkowska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polymarket_us</t>
        </is>
      </c>
      <c r="L656" s="26" t="n">
        <v>900</v>
      </c>
      <c r="M656" s="27" t="n">
        <v>10</v>
      </c>
      <c r="N656" s="28" t="n">
        <v>0.1</v>
      </c>
      <c r="O656" s="28" t="n">
        <v>0.5208</v>
      </c>
      <c r="P656" s="28" t="n">
        <v>0.05</v>
      </c>
      <c r="Q656" s="28" t="n">
        <v>0.4208</v>
      </c>
      <c r="R656" s="26" t="n">
        <v>100</v>
      </c>
      <c r="S656" s="29" t="n">
        <v>2</v>
      </c>
      <c r="T656" s="24" t="inlineStr">
        <is>
          <t>tennis-surface-elo-v1</t>
        </is>
      </c>
      <c r="U656" s="24" t="inlineStr">
        <is>
          <t>settled</t>
        </is>
      </c>
      <c r="V656" s="24" t="inlineStr">
        <is>
          <t>loss</t>
        </is>
      </c>
      <c r="W656" s="26" t="n">
        <v>0</v>
      </c>
      <c r="X656" s="26" t="n">
        <v>1</v>
      </c>
      <c r="Y656" s="25" t="n"/>
      <c r="Z656" s="26" t="n">
        <v>900</v>
      </c>
      <c r="AA656" s="28" t="n">
        <v>0.1</v>
      </c>
      <c r="AB656" s="28" t="n">
        <v>0</v>
      </c>
      <c r="AC656" s="30" t="n">
        <v>-2</v>
      </c>
      <c r="AD656" s="24" t="inlineStr">
        <is>
          <t>2026-09-15T16:03:04.029497Z</t>
        </is>
      </c>
      <c r="AE656" s="31" t="inlineStr">
        <is>
          <t>Surface-blended Elo on Hard: Kristina Novak p=0.521 vs Weronika Falkowska. Executable ask 0.1000 (aec-wta-werfal-krinov-2026-09-15).</t>
        </is>
      </c>
      <c r="AF656" s="31" t="inlineStr">
        <is>
          <t>Surface-blended Elo model; singles only, WTA+ATP market coverage, not yet locked-holdout qualified -- promoted by explicit operator directive, not genuine walk-forward validation.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Kristina Novak</t>
        </is>
      </c>
      <c r="AQ656" s="24" t="inlineStr">
        <is>
          <t>Kristina Novak</t>
        </is>
      </c>
      <c r="AR656" s="24" t="inlineStr">
        <is>
          <t>Kristina Novak</t>
        </is>
      </c>
      <c r="AS656" s="24" t="inlineStr">
        <is>
          <t>Weronika Falkowska</t>
        </is>
      </c>
      <c r="AT656" s="24" t="inlineStr">
        <is>
          <t>Weronika Falkowska</t>
        </is>
      </c>
      <c r="AU656" s="24" t="inlineStr">
        <is>
          <t>Weronika Falkowska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6c67e999d2a03612e30f4032c8e5e77e8becfbc79e05f4c8993e726b90d34d54</t>
        </is>
      </c>
      <c r="BB656" s="24" t="inlineStr">
        <is>
          <t>surface_blended_elo</t>
        </is>
      </c>
      <c r="BC656" s="24" t="inlineStr">
        <is>
          <t>tennis-surface-elo-v1</t>
        </is>
      </c>
      <c r="BD656" s="24" t="inlineStr">
        <is>
          <t>6c67e999d2a03612e30f4032c8e5e77e8becfbc79e05f4c8993e726b90d34d54</t>
        </is>
      </c>
      <c r="BE656" s="24" t="inlineStr">
        <is>
          <t>tennis-surface-elo-v1</t>
        </is>
      </c>
      <c r="BF656" s="24" t="inlineStr">
        <is>
          <t>1</t>
        </is>
      </c>
      <c r="BG656" s="24" t="inlineStr">
        <is>
          <t>6c67e999d2a03612e30f4032c8e5e77e8becfbc79e05f4c8993e726b90d34d54</t>
        </is>
      </c>
      <c r="BH656" s="24" t="inlineStr">
        <is>
          <t>2026-09-15T10:05:00.465975Z</t>
        </is>
      </c>
      <c r="BI656" s="24" t="inlineStr">
        <is>
          <t>["same_event","same_team_same_day","same_league_same_day"]</t>
        </is>
      </c>
      <c r="BJ656" s="25" t="n"/>
      <c r="BK656" s="26" t="n">
        <v>900</v>
      </c>
      <c r="BL656" s="27" t="n">
        <v>10</v>
      </c>
      <c r="BM656" s="28" t="n">
        <v>0.1</v>
      </c>
      <c r="BN656" s="28" t="n"/>
      <c r="BO656" s="28" t="n"/>
      <c r="BP656" s="25" t="n"/>
      <c r="BQ656" s="27" t="n">
        <v>10</v>
      </c>
      <c r="BR656" s="28" t="n">
        <v>0.1</v>
      </c>
      <c r="BS656" s="28" t="n"/>
      <c r="BT656" s="28" t="n"/>
      <c r="BU656" s="25" t="n"/>
      <c r="BV656" s="29" t="n"/>
      <c r="BW656" s="24" t="n"/>
      <c r="BX656" s="30" t="n">
        <v>1</v>
      </c>
      <c r="BY656" s="27" t="n">
        <v>-1</v>
      </c>
      <c r="BZ656" s="24" t="inlineStr">
        <is>
          <t>2026-09-15T16:03:04.029497Z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inlineStr">
        <is>
          <t>d8cbb02a11a8766a49284215f46e1fb806a695af0017a4b391a96597aa081419</t>
        </is>
      </c>
      <c r="DE656" s="24" t="inlineStr">
        <is>
          <t>/Users/vincentc9002/model-prediction/data/odds/tennis/2026-09-15/polymarket_snapshots.jsonl</t>
        </is>
      </c>
      <c r="DF656" s="24" t="inlineStr">
        <is>
          <t>844367:2026-09-15T10:05:00.465975Z</t>
        </is>
      </c>
      <c r="DG656" s="24" t="n"/>
      <c r="DH656" s="24" t="n"/>
      <c r="DI656" s="24" t="n"/>
      <c r="DJ656" s="24" t="inlineStr">
        <is>
          <t>0.1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"6c67e999d2a03612e30f4032c8e5e77e8becfbc79e05f4c8993e726b90d34d54", "away_team": "Kristina Novak", "event_id": "786-2026:183662", "event_start_utc": "2026-09-15T11:00Z", "features": {"elo_p1_surface": 1488.6, "elo_p2_surface": 1475.9, "expected_games_p1": 12.81, "expected_games_p2": 11.91, "expected_total_games": 24.72, "history_matches": 16038, "min_player_matches": 6, "surface": "Hard"}, "historical_source_observation_times_verified": false, "home_team": "Weronika Falkowska", "inference_inputs": {"code_sha256": {"features/elo_ratings.py": "8525faf022a6343c452286dbfeb17dbb043744c6bdabbe448b6b371216da439b", "models/tennis.py": "6c67e999d2a03612e30f4032c8e5e77e8becfbc79e05f4c8993e726b90d34d54"}, "overall_ratings": [1488.5912057209136, 1472.8766434430145], "players": ["Kristina Novak", "Weronika Falkowska"], "sport": "TENNIS", "surface": "Hard", "surface_counts": [6, 14], "surface_ratings": [1488.5861049738137, 1475.8744055859727]}, "market_type": "moneyline", "model_version": "tennis-surface-elo-v1", "observed_at_utc": "2026-09-15T10:08:52.800265+00:00", "probabilities": {"away": 0.5208, "home": 0.4792}, "replay_scope": "Exact full-precision serving state and rounding; upstream historical observation times are not certified.", "schema": "coded-moneyline-replay-v1", "snapshot_hash": "4de9f0d26e6dbc5b31d92a41e0615990cfc6c53d3f731ec14920807ceb724db1", "sport": "TENNIS"}</t>
        </is>
      </c>
    </row>
    <row r="657" ht="36" customHeight="1">
      <c r="A657" s="24" t="inlineStr">
        <is>
          <t>7ffd9a05262e407b</t>
        </is>
      </c>
      <c r="B657" s="24" t="inlineStr">
        <is>
          <t>2026-09-15T16:12:41.118758Z</t>
        </is>
      </c>
      <c r="C657" s="24" t="inlineStr">
        <is>
          <t>2026-09-15T19:00Z</t>
        </is>
      </c>
      <c r="D657" s="24" t="inlineStr">
        <is>
          <t>887-2026:183802</t>
        </is>
      </c>
      <c r="E657" s="24" t="inlineStr">
        <is>
          <t>TENNIS</t>
        </is>
      </c>
      <c r="F657" s="24" t="inlineStr">
        <is>
          <t>Panna Udvardy</t>
        </is>
      </c>
      <c r="G657" s="24" t="inlineStr">
        <is>
          <t>Cristina Bucsa</t>
        </is>
      </c>
      <c r="H657" s="24" t="inlineStr">
        <is>
          <t>moneyline</t>
        </is>
      </c>
      <c r="I657" s="24" t="inlineStr">
        <is>
          <t>home</t>
        </is>
      </c>
      <c r="J657" s="25" t="n"/>
      <c r="K657" s="24" t="inlineStr">
        <is>
          <t>polymarket_us</t>
        </is>
      </c>
      <c r="L657" s="26" t="n">
        <v>-233</v>
      </c>
      <c r="M657" s="27" t="n">
        <v>1.429185</v>
      </c>
      <c r="N657" s="28" t="n">
        <v>0.6997</v>
      </c>
      <c r="O657" s="28" t="n">
        <v>0.5486</v>
      </c>
      <c r="P657" s="28" t="n">
        <v>0.05</v>
      </c>
      <c r="Q657" s="28" t="n">
        <v>-0.1511</v>
      </c>
      <c r="R657" s="26" t="n">
        <v>0</v>
      </c>
      <c r="S657" s="29" t="n">
        <v>1</v>
      </c>
      <c r="T657" s="24" t="inlineStr">
        <is>
          <t>tennis-surface-elo-v1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1</v>
      </c>
      <c r="Y657" s="25" t="n"/>
      <c r="Z657" s="26" t="n">
        <v>-233</v>
      </c>
      <c r="AA657" s="28" t="n">
        <v>0.7</v>
      </c>
      <c r="AB657" s="28" t="n">
        <v>0.0003</v>
      </c>
      <c r="AC657" s="30" t="n">
        <v>0.4292</v>
      </c>
      <c r="AD657" s="24" t="inlineStr">
        <is>
          <t>2026-09-15T22:07:16.119596Z</t>
        </is>
      </c>
      <c r="AE657" s="31" t="inlineStr">
        <is>
          <t>Surface-blended Elo on Hard: Panna Udvardy p=0.451 vs Cristina Bucsa. Executable ask 0.7000 (aec-wta-cribuc-panudv-2026-09-15).</t>
        </is>
      </c>
      <c r="AF657" s="31" t="inlineStr">
        <is>
          <t>Surface-blended Elo model; singles only, WTA+ATP market coverage, not yet locked-holdout qualified -- promoted by explicit operator directive, not genuine walk-forward validation.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PAPER_CALL_LOW_EDGE</t>
        </is>
      </c>
      <c r="AP657" s="24" t="inlineStr">
        <is>
          <t>Panna Udvardy</t>
        </is>
      </c>
      <c r="AQ657" s="24" t="inlineStr">
        <is>
          <t>Panna Udvardy</t>
        </is>
      </c>
      <c r="AR657" s="24" t="inlineStr">
        <is>
          <t>Panna Udvardy</t>
        </is>
      </c>
      <c r="AS657" s="24" t="inlineStr">
        <is>
          <t>Cristina Bucsa</t>
        </is>
      </c>
      <c r="AT657" s="24" t="inlineStr">
        <is>
          <t>Cristina Bucsa</t>
        </is>
      </c>
      <c r="AU657" s="24" t="inlineStr">
        <is>
          <t>Cristina Bucsa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6c67e999d2a03612e30f4032c8e5e77e8becfbc79e05f4c8993e726b90d34d54</t>
        </is>
      </c>
      <c r="BB657" s="24" t="inlineStr">
        <is>
          <t>surface_blended_elo</t>
        </is>
      </c>
      <c r="BC657" s="24" t="inlineStr">
        <is>
          <t>tennis-surface-elo-v1</t>
        </is>
      </c>
      <c r="BD657" s="24" t="inlineStr">
        <is>
          <t>6c67e999d2a03612e30f4032c8e5e77e8becfbc79e05f4c8993e726b90d34d54</t>
        </is>
      </c>
      <c r="BE657" s="24" t="inlineStr">
        <is>
          <t>tennis-surface-elo-v1</t>
        </is>
      </c>
      <c r="BF657" s="24" t="inlineStr">
        <is>
          <t>1</t>
        </is>
      </c>
      <c r="BG657" s="24" t="inlineStr">
        <is>
          <t>6c67e999d2a03612e30f4032c8e5e77e8becfbc79e05f4c8993e726b90d34d54</t>
        </is>
      </c>
      <c r="BH657" s="24" t="inlineStr">
        <is>
          <t>2026-09-15T04:36:17.126332Z</t>
        </is>
      </c>
      <c r="BI657" s="24" t="inlineStr">
        <is>
          <t>["same_event","same_team_same_day","same_league_same_day"]</t>
        </is>
      </c>
      <c r="BJ657" s="25" t="n"/>
      <c r="BK657" s="26" t="n">
        <v>-233</v>
      </c>
      <c r="BL657" s="27" t="n">
        <v>1.429185</v>
      </c>
      <c r="BM657" s="28" t="n">
        <v>0.6997</v>
      </c>
      <c r="BN657" s="28" t="n"/>
      <c r="BO657" s="28" t="n"/>
      <c r="BP657" s="25" t="n"/>
      <c r="BQ657" s="27" t="n">
        <v>1.429185</v>
      </c>
      <c r="BR657" s="28" t="n">
        <v>0.7</v>
      </c>
      <c r="BS657" s="28" t="n"/>
      <c r="BT657" s="28" t="n"/>
      <c r="BU657" s="25" t="n"/>
      <c r="BV657" s="29" t="n"/>
      <c r="BW657" s="24" t="n"/>
      <c r="BX657" s="30" t="n">
        <v>1</v>
      </c>
      <c r="BY657" s="27" t="n">
        <v>0.429184</v>
      </c>
      <c r="BZ657" s="24" t="inlineStr">
        <is>
          <t>2026-09-15T22:07:16.119596Z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inlineStr">
        <is>
          <t>61b925a4dd8a558c3843df9e1858a4faf1a1556f478023ad72f4b6e2f0b56a63</t>
        </is>
      </c>
      <c r="DE657" s="24" t="inlineStr">
        <is>
          <t>/Users/vincentc9002/model-prediction/data/odds/tennis/2026-09-15/polymarket_snapshots.jsonl</t>
        </is>
      </c>
      <c r="DF657" s="24" t="inlineStr">
        <is>
          <t>845661:2026-09-15T04:36:17.126332Z</t>
        </is>
      </c>
      <c r="DG657" s="24" t="n"/>
      <c r="DH657" s="24" t="n"/>
      <c r="DI657" s="24" t="n"/>
      <c r="DJ657" s="24" t="inlineStr">
        <is>
          <t>0.6997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"6c67e999d2a03612e30f4032c8e5e77e8becfbc79e05f4c8993e726b90d34d54", "away_team": "Panna Udvardy", "event_id": "887-2026:183802", "event_start_utc": "2026-09-15T19:00Z", "features": {"elo_p1_surface": 1628.9, "elo_p2_surface": 1664.8, "expected_games_p1": 11.62, "expected_games_p2": 12.91, "expected_total_games": 24.52, "history_matches": 16038, "min_player_matches": 137, "surface": "Hard"}, "historical_source_observation_times_verified": false, "home_team": "Cristina Bucsa", "inference_inputs": {"code_sha256": {"features/elo_ratings.py": "8525faf022a6343c452286dbfeb17dbb043744c6bdabbe448b6b371216da439b", "models/tennis.py": "6c67e999d2a03612e30f4032c8e5e77e8becfbc79e05f4c8993e726b90d34d54"}, "overall_ratings": [1623.1218289284327, 1650.6705295357524], "players": ["Panna Udvardy", "Cristina Bucsa"], "sport": "TENNIS", "surface": "Hard", "surface_counts": [106, 120], "surface_ratings": [1628.9003468029575, 1664.7793166011118]}, "market_type": "moneyline", "model_version": "tennis-surface-elo-v1", "observed_at_utc": "2026-09-15T16:12:39.118624+00:00", "probabilities": {"away": 0.4514, "home": 0.5486}, "replay_scope": "Exact full-precision serving state and rounding; upstream historical observation times are not certified.", "schema": "coded-moneyline-replay-v1", "snapshot_hash": "38d66bc39caa9a20b3d4bbd6b06e384e9458a9892b56c792b578339c753cfd53", "sport": "TENNIS"}</t>
        </is>
      </c>
    </row>
    <row r="658" ht="36" customHeight="1">
      <c r="A658" s="24" t="inlineStr">
        <is>
          <t>0d5a5108a2b1432f</t>
        </is>
      </c>
      <c r="B658" s="24" t="inlineStr">
        <is>
          <t>2026-09-15T16:12:41.118758Z</t>
        </is>
      </c>
      <c r="C658" s="24" t="inlineStr">
        <is>
          <t>2026-09-15T20:30Z</t>
        </is>
      </c>
      <c r="D658" s="24" t="inlineStr">
        <is>
          <t>887-2026:183801</t>
        </is>
      </c>
      <c r="E658" s="24" t="inlineStr">
        <is>
          <t>TENNIS</t>
        </is>
      </c>
      <c r="F658" s="24" t="inlineStr">
        <is>
          <t>Sara Bejlek</t>
        </is>
      </c>
      <c r="G658" s="24" t="inlineStr">
        <is>
          <t>Alycia Parks</t>
        </is>
      </c>
      <c r="H658" s="24" t="inlineStr">
        <is>
          <t>moneyline</t>
        </is>
      </c>
      <c r="I658" s="24" t="inlineStr">
        <is>
          <t>away</t>
        </is>
      </c>
      <c r="J658" s="25" t="n"/>
      <c r="K658" s="24" t="inlineStr">
        <is>
          <t>polymarket_us</t>
        </is>
      </c>
      <c r="L658" s="26" t="n">
        <v>-335</v>
      </c>
      <c r="M658" s="27" t="n">
        <v>1.298507</v>
      </c>
      <c r="N658" s="28" t="n">
        <v>0.770115</v>
      </c>
      <c r="O658" s="28" t="n">
        <v>0.7065</v>
      </c>
      <c r="P658" s="28" t="n">
        <v>0.05</v>
      </c>
      <c r="Q658" s="28" t="n">
        <v>-0.063615</v>
      </c>
      <c r="R658" s="26" t="n">
        <v>0</v>
      </c>
      <c r="S658" s="29" t="n">
        <v>1</v>
      </c>
      <c r="T658" s="24" t="inlineStr">
        <is>
          <t>tennis-surface-elo-v1</t>
        </is>
      </c>
      <c r="U658" s="24" t="inlineStr">
        <is>
          <t>settled</t>
        </is>
      </c>
      <c r="V658" s="24" t="inlineStr">
        <is>
          <t>win</t>
        </is>
      </c>
      <c r="W658" s="26" t="n">
        <v>1</v>
      </c>
      <c r="X658" s="26" t="n">
        <v>0</v>
      </c>
      <c r="Y658" s="25" t="n"/>
      <c r="Z658" s="26" t="n">
        <v>-335</v>
      </c>
      <c r="AA658" s="28" t="n">
        <v>0.77</v>
      </c>
      <c r="AB658" s="28" t="n">
        <v>-0.000115</v>
      </c>
      <c r="AC658" s="30" t="n">
        <v>0.2985</v>
      </c>
      <c r="AD658" s="24" t="inlineStr">
        <is>
          <t>2026-09-16T04:40:26.383486Z</t>
        </is>
      </c>
      <c r="AE658" s="31" t="inlineStr">
        <is>
          <t>Surface-blended Elo on Hard: Sara Bejlek p=0.707 vs Alycia Parks. Executable ask 0.7700 (aec-wta-alypar-sarbej-2026-09-15).</t>
        </is>
      </c>
      <c r="AF658" s="31" t="inlineStr">
        <is>
          <t>Surface-blended Elo model; singles only, WTA+ATP market coverage, not yet locked-holdout qualified -- promoted by explicit operator directive, not genuine walk-forward validation.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PAPER_CALL_LOW_EDGE</t>
        </is>
      </c>
      <c r="AP658" s="24" t="inlineStr">
        <is>
          <t>Sara Bejlek</t>
        </is>
      </c>
      <c r="AQ658" s="24" t="inlineStr">
        <is>
          <t>Sara Bejlek</t>
        </is>
      </c>
      <c r="AR658" s="24" t="inlineStr">
        <is>
          <t>Sara Bejlek</t>
        </is>
      </c>
      <c r="AS658" s="24" t="inlineStr">
        <is>
          <t>Alycia Parks</t>
        </is>
      </c>
      <c r="AT658" s="24" t="inlineStr">
        <is>
          <t>Alycia Parks</t>
        </is>
      </c>
      <c r="AU658" s="24" t="inlineStr">
        <is>
          <t>Alycia Parks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6c67e999d2a03612e30f4032c8e5e77e8becfbc79e05f4c8993e726b90d34d54</t>
        </is>
      </c>
      <c r="BB658" s="24" t="inlineStr">
        <is>
          <t>surface_blended_elo</t>
        </is>
      </c>
      <c r="BC658" s="24" t="inlineStr">
        <is>
          <t>tennis-surface-elo-v1</t>
        </is>
      </c>
      <c r="BD658" s="24" t="inlineStr">
        <is>
          <t>6c67e999d2a03612e30f4032c8e5e77e8becfbc79e05f4c8993e726b90d34d54</t>
        </is>
      </c>
      <c r="BE658" s="24" t="inlineStr">
        <is>
          <t>tennis-surface-elo-v1</t>
        </is>
      </c>
      <c r="BF658" s="24" t="inlineStr">
        <is>
          <t>1</t>
        </is>
      </c>
      <c r="BG658" s="24" t="inlineStr">
        <is>
          <t>6c67e999d2a03612e30f4032c8e5e77e8becfbc79e05f4c8993e726b90d34d54</t>
        </is>
      </c>
      <c r="BH658" s="24" t="inlineStr">
        <is>
          <t>2026-09-15T04:36:39.399033Z</t>
        </is>
      </c>
      <c r="BI658" s="24" t="inlineStr">
        <is>
          <t>["same_event","same_team_same_day","same_league_same_day"]</t>
        </is>
      </c>
      <c r="BJ658" s="25" t="n"/>
      <c r="BK658" s="26" t="n">
        <v>-335</v>
      </c>
      <c r="BL658" s="27" t="n">
        <v>1.298507</v>
      </c>
      <c r="BM658" s="28" t="n">
        <v>0.770115</v>
      </c>
      <c r="BN658" s="28" t="n"/>
      <c r="BO658" s="28" t="n"/>
      <c r="BP658" s="25" t="n"/>
      <c r="BQ658" s="27" t="n">
        <v>1.298507</v>
      </c>
      <c r="BR658" s="28" t="n">
        <v>0.77</v>
      </c>
      <c r="BS658" s="28" t="n"/>
      <c r="BT658" s="28" t="n"/>
      <c r="BU658" s="25" t="n"/>
      <c r="BV658" s="29" t="n"/>
      <c r="BW658" s="24" t="n"/>
      <c r="BX658" s="30" t="n">
        <v>1</v>
      </c>
      <c r="BY658" s="27" t="n">
        <v>0.298507</v>
      </c>
      <c r="BZ658" s="24" t="inlineStr">
        <is>
          <t>2026-09-16T04:40:26.383486Z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inlineStr">
        <is>
          <t>0cdf376ea56bda8f57e86c0485b6b79999594933c01b72d6b7e260bbbfd84550</t>
        </is>
      </c>
      <c r="DE658" s="24" t="inlineStr">
        <is>
          <t>/Users/vincentc9002/model-prediction/data/odds/tennis/2026-09-15/polymarket_snapshots.jsonl</t>
        </is>
      </c>
      <c r="DF658" s="24" t="inlineStr">
        <is>
          <t>845039:2026-09-15T04:36:39.399033Z</t>
        </is>
      </c>
      <c r="DG658" s="24" t="n"/>
      <c r="DH658" s="24" t="n"/>
      <c r="DI658" s="24" t="n"/>
      <c r="DJ658" s="24" t="inlineStr">
        <is>
          <t>0.770115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"6c67e999d2a03612e30f4032c8e5e77e8becfbc79e05f4c8993e726b90d34d54", "away_team": "Sara Bejlek", "event_id": "887-2026:183801", "event_start_utc": "2026-09-15T20:30Z", "features": {"elo_p1_surface": 1722.7, "elo_p2_surface": 1577.4, "expected_games_p1": 13.19, "expected_games_p2": 7.45, "expected_total_games": 20.64, "history_matches": 16038, "min_player_matches": 121,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[1737.823933659506, 1563.2485007198254], "players": ["Sara Bejlek", "Alycia Parks"], "sport": "TENNIS", "surface": "Hard", "surface_counts": [90, 141], "surface_ratings": [1722.6823635296753, 1577.4469938697453]}, "market_type": "moneyline", "model_version": "tennis-surface-elo-v1", "observed_at_utc": "2026-09-15T16:12:39.118624+00:00", "probabilities": {"away": 0.7065, "home": 0.2935}, "replay_scope": "Exact full-precision serving state and rounding; upstream historical observation times are not certified.", "schema": "coded-moneyline-replay-v1", "snapshot_hash": "e1268771d9e91666d1c8094b7f17ebd0e8038d27ebd7d434d2ad9731321db207", "sport": "TENNIS"}</t>
        </is>
      </c>
    </row>
    <row r="659" ht="36" customHeight="1">
      <c r="A659" s="24" t="inlineStr">
        <is>
          <t>ad1b665ba9004dc6</t>
        </is>
      </c>
      <c r="B659" s="24" t="inlineStr">
        <is>
          <t>2026-09-15T16:12:41.118758Z</t>
        </is>
      </c>
      <c r="C659" s="24" t="inlineStr">
        <is>
          <t>2026-09-15T16:30Z</t>
        </is>
      </c>
      <c r="D659" s="24" t="inlineStr">
        <is>
          <t>1005-2026:183851</t>
        </is>
      </c>
      <c r="E659" s="24" t="inlineStr">
        <is>
          <t>TENNIS</t>
        </is>
      </c>
      <c r="F659" s="24" t="inlineStr">
        <is>
          <t>Dominika Salkova</t>
        </is>
      </c>
      <c r="G659" s="24" t="inlineStr">
        <is>
          <t>Jessica Bouzas Maneiro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polymarket_us</t>
        </is>
      </c>
      <c r="L659" s="26" t="n">
        <v>-317</v>
      </c>
      <c r="M659" s="27" t="n">
        <v>1.315457</v>
      </c>
      <c r="N659" s="28" t="n">
        <v>0.760192</v>
      </c>
      <c r="O659" s="28" t="n">
        <v>0.5833</v>
      </c>
      <c r="P659" s="28" t="n">
        <v>0.05</v>
      </c>
      <c r="Q659" s="28" t="n">
        <v>-0.176892</v>
      </c>
      <c r="R659" s="26" t="n">
        <v>0</v>
      </c>
      <c r="S659" s="29" t="n">
        <v>1</v>
      </c>
      <c r="T659" s="24" t="inlineStr">
        <is>
          <t>tennis-surface-elo-v1</t>
        </is>
      </c>
      <c r="U659" s="24" t="inlineStr">
        <is>
          <t>settled</t>
        </is>
      </c>
      <c r="V659" s="24" t="inlineStr">
        <is>
          <t>loss</t>
        </is>
      </c>
      <c r="W659" s="26" t="n">
        <v>1</v>
      </c>
      <c r="X659" s="26" t="n">
        <v>0</v>
      </c>
      <c r="Y659" s="25" t="n"/>
      <c r="Z659" s="26" t="n">
        <v>-317</v>
      </c>
      <c r="AA659" s="28" t="n">
        <v>0.76</v>
      </c>
      <c r="AB659" s="28" t="n">
        <v>-0.000192</v>
      </c>
      <c r="AC659" s="30" t="n">
        <v>-1</v>
      </c>
      <c r="AD659" s="24" t="inlineStr">
        <is>
          <t>2026-09-16T16:01:45.049152Z</t>
        </is>
      </c>
      <c r="AE659" s="31" t="inlineStr">
        <is>
          <t>Surface-blended Elo on Hard: Dominika Salkova p=0.417 vs Jessica Bouzas Maneiro. Executable ask 0.7600 (aec-wta-jesman-domsal-2026-09-14).</t>
        </is>
      </c>
      <c r="AF659" s="31" t="inlineStr">
        <is>
          <t>Surface-blended Elo model; singles only, WTA+ATP market coverage, not yet locked-holdout qualified -- promoted by explicit operator directive, not genuine walk-forward validation.</t>
        </is>
      </c>
      <c r="AG659" s="24" t="inlineStr">
        <is>
          <t>review_required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Dominika Salkova</t>
        </is>
      </c>
      <c r="AQ659" s="24" t="inlineStr">
        <is>
          <t>Dominika Salkova</t>
        </is>
      </c>
      <c r="AR659" s="24" t="inlineStr">
        <is>
          <t>Dominika Salkova</t>
        </is>
      </c>
      <c r="AS659" s="24" t="inlineStr">
        <is>
          <t>Jessica Bouzas Maneiro</t>
        </is>
      </c>
      <c r="AT659" s="24" t="inlineStr">
        <is>
          <t>Jessica Bouzas Maneiro</t>
        </is>
      </c>
      <c r="AU659" s="24" t="inlineStr">
        <is>
          <t>Jessica Bouzas Maneiro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6c67e999d2a03612e30f4032c8e5e77e8becfbc79e05f4c8993e726b90d34d54</t>
        </is>
      </c>
      <c r="BB659" s="24" t="inlineStr">
        <is>
          <t>surface_blended_elo</t>
        </is>
      </c>
      <c r="BC659" s="24" t="inlineStr">
        <is>
          <t>tennis-surface-elo-v1</t>
        </is>
      </c>
      <c r="BD659" s="24" t="inlineStr">
        <is>
          <t>6c67e999d2a03612e30f4032c8e5e77e8becfbc79e05f4c8993e726b90d34d54</t>
        </is>
      </c>
      <c r="BE659" s="24" t="inlineStr">
        <is>
          <t>tennis-surface-elo-v1</t>
        </is>
      </c>
      <c r="BF659" s="24" t="inlineStr">
        <is>
          <t>1</t>
        </is>
      </c>
      <c r="BG659" s="24" t="inlineStr">
        <is>
          <t>6c67e999d2a03612e30f4032c8e5e77e8becfbc79e05f4c8993e726b90d34d54</t>
        </is>
      </c>
      <c r="BH659" s="24" t="inlineStr">
        <is>
          <t>2026-09-15T10:05:35.069229Z</t>
        </is>
      </c>
      <c r="BI659" s="24" t="inlineStr">
        <is>
          <t>["same_event","same_team_same_day","same_league_same_day"]</t>
        </is>
      </c>
      <c r="BJ659" s="25" t="n"/>
      <c r="BK659" s="26" t="n">
        <v>-317</v>
      </c>
      <c r="BL659" s="27" t="n">
        <v>1.315457</v>
      </c>
      <c r="BM659" s="28" t="n">
        <v>0.760192</v>
      </c>
      <c r="BN659" s="28" t="n"/>
      <c r="BO659" s="28" t="n"/>
      <c r="BP659" s="25" t="n"/>
      <c r="BQ659" s="27" t="n">
        <v>1.315457</v>
      </c>
      <c r="BR659" s="28" t="n">
        <v>0.76</v>
      </c>
      <c r="BS659" s="28" t="n"/>
      <c r="BT659" s="28" t="n"/>
      <c r="BU659" s="25" t="n"/>
      <c r="BV659" s="29" t="n"/>
      <c r="BW659" s="24" t="n"/>
      <c r="BX659" s="30" t="n">
        <v>1</v>
      </c>
      <c r="BY659" s="27" t="n">
        <v>-1</v>
      </c>
      <c r="BZ659" s="24" t="inlineStr">
        <is>
          <t>2026-09-16T16:01:45.049152Z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inlineStr">
        <is>
          <t>6d290bef37c8ea8ae22f55620b8ce09e6e5830ab4732bd8acbaedceb929a7625</t>
        </is>
      </c>
      <c r="DE659" s="24" t="inlineStr">
        <is>
          <t>/Users/vincentc9002/model-prediction/data/odds/tennis/2026-09-15/polymarket_snapshots.jsonl</t>
        </is>
      </c>
      <c r="DF659" s="24" t="inlineStr">
        <is>
          <t>825081:2026-09-15T10:05:35.069229Z</t>
        </is>
      </c>
      <c r="DG659" s="24" t="n"/>
      <c r="DH659" s="24" t="n"/>
      <c r="DI659" s="24" t="n"/>
      <c r="DJ659" s="24" t="inlineStr">
        <is>
          <t>0.760192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"6c67e999d2a03612e30f4032c8e5e77e8becfbc79e05f4c8993e726b90d34d54", "away_team": "Dominika Salkova", "event_id": "1005-2026:183851", "event_start_utc": "2026-09-15T16:30Z", "features": {"elo_p1_surface": 1518.2, "elo_p2_surface": 1556.1, "expected_games_p1": 11.55, "expected_games_p2": 12.94, "expected_total_games": 24.49, "history_matches": 16038, "min_player_matches": 100, "surface": "Hard"}, "historical_source_observation_times_verified": false, "home_team": "Jessica Bouzas Maneiro", "inference_inputs": {"code_sha256": {"features/elo_ratings.py": "8525faf022a6343c452286dbfeb17dbb043744c6bdabbe448b6b371216da439b", "models/tennis.py": "6c67e999d2a03612e30f4032c8e5e77e8becfbc79e05f4c8993e726b90d34d54"}, "overall_ratings": [1515.4562297535654, 1631.9002701890074], "players": ["Dominika Salkova", "Jessica Bouzas Maneiro"], "sport": "TENNIS", "surface": "Hard", "surface_counts": [86, 101], "surface_ratings": [1518.15380774292, 1556.103665266151]}, "market_type": "moneyline", "model_version": "tennis-surface-elo-v1", "observed_at_utc": "2026-09-15T16:12:39.118624+00:00", "probabilities": {"away": 0.4167, "home": 0.5833}, "replay_scope": "Exact full-precision serving state and rounding; upstream historical observation times are not certified.", "schema": "coded-moneyline-replay-v1", "snapshot_hash": "e566bca926fd569db8409161d1999fd4c02f0907e5851c4ce34c811e191730b8", "sport": "TENNIS"}</t>
        </is>
      </c>
    </row>
    <row r="660" ht="36" customHeight="1">
      <c r="A660" s="24" t="inlineStr">
        <is>
          <t>581fd63a39c64b8c</t>
        </is>
      </c>
      <c r="B660" s="24" t="inlineStr">
        <is>
          <t>2026-09-15T16:12:41.118758Z</t>
        </is>
      </c>
      <c r="C660" s="24" t="inlineStr">
        <is>
          <t>2026-09-15T20:30Z</t>
        </is>
      </c>
      <c r="D660" s="24" t="inlineStr">
        <is>
          <t>1005-2026:183854</t>
        </is>
      </c>
      <c r="E660" s="24" t="inlineStr">
        <is>
          <t>TENNIS</t>
        </is>
      </c>
      <c r="F660" s="24" t="inlineStr">
        <is>
          <t>Paula Badosa</t>
        </is>
      </c>
      <c r="G660" s="24" t="inlineStr">
        <is>
          <t>Justina Mikulskyte</t>
        </is>
      </c>
      <c r="H660" s="24" t="inlineStr">
        <is>
          <t>moneyline</t>
        </is>
      </c>
      <c r="I660" s="24" t="inlineStr">
        <is>
          <t>away</t>
        </is>
      </c>
      <c r="J660" s="25" t="n"/>
      <c r="K660" s="24" t="inlineStr">
        <is>
          <t>polymarket_us</t>
        </is>
      </c>
      <c r="L660" s="26" t="n">
        <v>-1567</v>
      </c>
      <c r="M660" s="27" t="n">
        <v>1.063816</v>
      </c>
      <c r="N660" s="28" t="n">
        <v>0.940012</v>
      </c>
      <c r="O660" s="28" t="n">
        <v>0.8666</v>
      </c>
      <c r="P660" s="28" t="n">
        <v>0.05</v>
      </c>
      <c r="Q660" s="28" t="n">
        <v>-0.07341200000000001</v>
      </c>
      <c r="R660" s="26" t="n">
        <v>0</v>
      </c>
      <c r="S660" s="29" t="n">
        <v>1</v>
      </c>
      <c r="T660" s="24" t="inlineStr">
        <is>
          <t>tennis-surface-elo-v1</t>
        </is>
      </c>
      <c r="U660" s="24" t="inlineStr">
        <is>
          <t>settled</t>
        </is>
      </c>
      <c r="V660" s="24" t="inlineStr">
        <is>
          <t>win</t>
        </is>
      </c>
      <c r="W660" s="26" t="n">
        <v>1</v>
      </c>
      <c r="X660" s="26" t="n">
        <v>0</v>
      </c>
      <c r="Y660" s="25" t="n"/>
      <c r="Z660" s="26" t="n">
        <v>-1567</v>
      </c>
      <c r="AA660" s="28" t="n">
        <v>0.9399999999999999</v>
      </c>
      <c r="AB660" s="28" t="n">
        <v>-1.2e-05</v>
      </c>
      <c r="AC660" s="30" t="n">
        <v>0.0638</v>
      </c>
      <c r="AD660" s="24" t="inlineStr">
        <is>
          <t>2026-09-17T04:30:25.249343Z</t>
        </is>
      </c>
      <c r="AE660" s="31" t="inlineStr">
        <is>
          <t>Surface-blended Elo on Hard: Paula Badosa p=0.867 vs Justina Mikulskyte. Executable ask 0.9400 (aec-wta-jusmik-paubad-2026-09-14).</t>
        </is>
      </c>
      <c r="AF660" s="31" t="inlineStr">
        <is>
          <t>Surface-blended Elo model; singles only, WTA+ATP market coverage, not yet locked-holdout qualified -- promoted by explicit operator directive, not genuine walk-forward validation.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Paula Badosa</t>
        </is>
      </c>
      <c r="AQ660" s="24" t="inlineStr">
        <is>
          <t>Paula Badosa</t>
        </is>
      </c>
      <c r="AR660" s="24" t="inlineStr">
        <is>
          <t>Paula Badosa</t>
        </is>
      </c>
      <c r="AS660" s="24" t="inlineStr">
        <is>
          <t>Justina Mikulskyte</t>
        </is>
      </c>
      <c r="AT660" s="24" t="inlineStr">
        <is>
          <t>Justina Mikulskyte</t>
        </is>
      </c>
      <c r="AU660" s="24" t="inlineStr">
        <is>
          <t>Justina Mikulskyte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6c67e999d2a03612e30f4032c8e5e77e8becfbc79e05f4c8993e726b90d34d54</t>
        </is>
      </c>
      <c r="BB660" s="24" t="inlineStr">
        <is>
          <t>surface_blended_elo</t>
        </is>
      </c>
      <c r="BC660" s="24" t="inlineStr">
        <is>
          <t>tennis-surface-elo-v1</t>
        </is>
      </c>
      <c r="BD660" s="24" t="inlineStr">
        <is>
          <t>6c67e999d2a03612e30f4032c8e5e77e8becfbc79e05f4c8993e726b90d34d54</t>
        </is>
      </c>
      <c r="BE660" s="24" t="inlineStr">
        <is>
          <t>tennis-surface-elo-v1</t>
        </is>
      </c>
      <c r="BF660" s="24" t="inlineStr">
        <is>
          <t>1</t>
        </is>
      </c>
      <c r="BG660" s="24" t="inlineStr">
        <is>
          <t>6c67e999d2a03612e30f4032c8e5e77e8becfbc79e05f4c8993e726b90d34d54</t>
        </is>
      </c>
      <c r="BH660" s="24" t="inlineStr">
        <is>
          <t>2026-09-15T16:09:37.243206Z</t>
        </is>
      </c>
      <c r="BI660" s="24" t="inlineStr">
        <is>
          <t>["same_event","same_team_same_day","same_league_same_day"]</t>
        </is>
      </c>
      <c r="BJ660" s="25" t="n"/>
      <c r="BK660" s="26" t="n">
        <v>-1567</v>
      </c>
      <c r="BL660" s="27" t="n">
        <v>1.063816</v>
      </c>
      <c r="BM660" s="28" t="n">
        <v>0.940012</v>
      </c>
      <c r="BN660" s="28" t="n"/>
      <c r="BO660" s="28" t="n"/>
      <c r="BP660" s="25" t="n"/>
      <c r="BQ660" s="27" t="n">
        <v>1.063816</v>
      </c>
      <c r="BR660" s="28" t="n">
        <v>0.9399999999999999</v>
      </c>
      <c r="BS660" s="28" t="n"/>
      <c r="BT660" s="28" t="n"/>
      <c r="BU660" s="25" t="n"/>
      <c r="BV660" s="29" t="n"/>
      <c r="BW660" s="24" t="n"/>
      <c r="BX660" s="30" t="n">
        <v>1</v>
      </c>
      <c r="BY660" s="27" t="n">
        <v>0.063816</v>
      </c>
      <c r="BZ660" s="24" t="inlineStr">
        <is>
          <t>2026-09-17T04:30:25.249343Z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False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inlineStr">
        <is>
          <t>fd371fe6033bdac93d8e2f0966664ddea8f18185198cf9925262d494e0058d72</t>
        </is>
      </c>
      <c r="DE660" s="24" t="inlineStr">
        <is>
          <t>/Users/vincentc9002/model-prediction/data/odds/tennis/2026-09-15/polymarket_snapshots.jsonl</t>
        </is>
      </c>
      <c r="DF660" s="24" t="inlineStr">
        <is>
          <t>854618:2026-09-15T16:09:37.243206Z</t>
        </is>
      </c>
      <c r="DG660" s="24" t="n"/>
      <c r="DH660" s="24" t="n"/>
      <c r="DI660" s="24" t="n"/>
      <c r="DJ660" s="24" t="inlineStr">
        <is>
          <t>0.940012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"6c67e999d2a03612e30f4032c8e5e77e8becfbc79e05f4c8993e726b90d34d54", "away_team": "Paula Badosa", "event_id": "1005-2026:183854", "event_start_utc": "2026-09-15T20:30Z", "features": {"elo_p1_surface": 1730.4, "elo_p2_surface": 1408.9, "expected_games_p1": 12.15, "expected_games_p2": 3.45, "expected_total_games": 15.6, "history_matches": 16038, "min_player_matches": 24, "surface": "Hard"}, "historical_source_observation_times_verified": false, "home_team": "Justina Mikulskyte", "inference_inputs": {"code_sha256": {"features/elo_ratings.py": "8525faf022a6343c452286dbfeb17dbb043744c6bdabbe448b6b371216da439b", "models/tennis.py": "6c67e999d2a03612e30f4032c8e5e77e8becfbc79e05f4c8993e726b90d34d54"}, "overall_ratings": [1746.3702400089242, 1409.9701548741866], "players": ["Paula Badosa", "Justina Mikulskyte"], "sport": "TENNIS", "surface": "Hard", "surface_counts": [100, 16], "surface_ratings": [1730.372717818264, 1408.9089177350756]}, "market_type": "moneyline", "model_version": "tennis-surface-elo-v1", "observed_at_utc": "2026-09-15T16:12:39.118624+00:00", "probabilities": {"away": 0.8666, "home": 0.1334}, "replay_scope": "Exact full-precision serving state and rounding; upstream historical observation times are not certified.", "schema": "coded-moneyline-replay-v1", "snapshot_hash": "9493ee21bfd7349eb5712bb5cb6553b68879c27d55360d3a744a11a959f185dd", "sport": "TENNIS"}</t>
        </is>
      </c>
    </row>
    <row r="661" ht="36" customHeight="1">
      <c r="A661" s="24" t="inlineStr">
        <is>
          <t>d9e3563ce8e040c9</t>
        </is>
      </c>
      <c r="B661" s="24" t="inlineStr">
        <is>
          <t>2026-09-15T16:12:41.118758Z</t>
        </is>
      </c>
      <c r="C661" s="24" t="inlineStr">
        <is>
          <t>2026-09-15T22:00Z</t>
        </is>
      </c>
      <c r="D661" s="24" t="inlineStr">
        <is>
          <t>1005-2026:183839</t>
        </is>
      </c>
      <c r="E661" s="24" t="inlineStr">
        <is>
          <t>TENNIS</t>
        </is>
      </c>
      <c r="F661" s="24" t="inlineStr">
        <is>
          <t>Laura Pigossi</t>
        </is>
      </c>
      <c r="G661" s="24" t="inlineStr">
        <is>
          <t>Vendula Valdmannova</t>
        </is>
      </c>
      <c r="H661" s="24" t="inlineStr">
        <is>
          <t>moneyline</t>
        </is>
      </c>
      <c r="I661" s="24" t="inlineStr">
        <is>
          <t>home</t>
        </is>
      </c>
      <c r="J661" s="25" t="n"/>
      <c r="K661" s="24" t="inlineStr">
        <is>
          <t>polymarket_us</t>
        </is>
      </c>
      <c r="L661" s="26" t="n">
        <v>-355</v>
      </c>
      <c r="M661" s="27" t="n">
        <v>1.28169</v>
      </c>
      <c r="N661" s="28" t="n">
        <v>0.78022</v>
      </c>
      <c r="O661" s="28" t="n">
        <v>0.6868</v>
      </c>
      <c r="P661" s="28" t="n">
        <v>0.05</v>
      </c>
      <c r="Q661" s="28" t="n">
        <v>-0.09342</v>
      </c>
      <c r="R661" s="26" t="n">
        <v>0</v>
      </c>
      <c r="S661" s="29" t="n">
        <v>1</v>
      </c>
      <c r="T661" s="24" t="inlineStr">
        <is>
          <t>tennis-surface-elo-v1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1</v>
      </c>
      <c r="Y661" s="25" t="n"/>
      <c r="Z661" s="26" t="n">
        <v>-355</v>
      </c>
      <c r="AA661" s="28" t="n">
        <v>0.78</v>
      </c>
      <c r="AB661" s="28" t="n">
        <v>-0.00022</v>
      </c>
      <c r="AC661" s="30" t="n">
        <v>0.2817</v>
      </c>
      <c r="AD661" s="24" t="inlineStr">
        <is>
          <t>2026-09-17T04:30:28.246120Z</t>
        </is>
      </c>
      <c r="AE661" s="31" t="inlineStr">
        <is>
          <t>Surface-blended Elo on Hard: Laura Pigossi p=0.313 vs Vendula Valdmannova. Executable ask 0.7800 (aec-wta-venval-laupig-2026-09-14).</t>
        </is>
      </c>
      <c r="AF661" s="31" t="inlineStr">
        <is>
          <t>Surface-blended Elo model; singles only, WTA+ATP market coverage, not yet locked-holdout qualified -- promoted by explicit operator directive, not genuine walk-forward validation.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PAPER_CALL_LOW_EDGE</t>
        </is>
      </c>
      <c r="AP661" s="24" t="inlineStr">
        <is>
          <t>Laura Pigossi</t>
        </is>
      </c>
      <c r="AQ661" s="24" t="inlineStr">
        <is>
          <t>Laura Pigossi</t>
        </is>
      </c>
      <c r="AR661" s="24" t="inlineStr">
        <is>
          <t>Laura Pigossi</t>
        </is>
      </c>
      <c r="AS661" s="24" t="inlineStr">
        <is>
          <t>Vendula Valdmannova</t>
        </is>
      </c>
      <c r="AT661" s="24" t="inlineStr">
        <is>
          <t>Vendula Valdmannova</t>
        </is>
      </c>
      <c r="AU661" s="24" t="inlineStr">
        <is>
          <t>Vendula Valdmannova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6c67e999d2a03612e30f4032c8e5e77e8becfbc79e05f4c8993e726b90d34d54</t>
        </is>
      </c>
      <c r="BB661" s="24" t="inlineStr">
        <is>
          <t>surface_blended_elo</t>
        </is>
      </c>
      <c r="BC661" s="24" t="inlineStr">
        <is>
          <t>tennis-surface-elo-v1</t>
        </is>
      </c>
      <c r="BD661" s="24" t="inlineStr">
        <is>
          <t>6c67e999d2a03612e30f4032c8e5e77e8becfbc79e05f4c8993e726b90d34d54</t>
        </is>
      </c>
      <c r="BE661" s="24" t="inlineStr">
        <is>
          <t>tennis-surface-elo-v1</t>
        </is>
      </c>
      <c r="BF661" s="24" t="inlineStr">
        <is>
          <t>1</t>
        </is>
      </c>
      <c r="BG661" s="24" t="inlineStr">
        <is>
          <t>6c67e999d2a03612e30f4032c8e5e77e8becfbc79e05f4c8993e726b90d34d54</t>
        </is>
      </c>
      <c r="BH661" s="24" t="inlineStr">
        <is>
          <t>2026-09-15T04:36:39.675248Z</t>
        </is>
      </c>
      <c r="BI661" s="24" t="inlineStr">
        <is>
          <t>["same_event","same_team_same_day","same_league_same_day"]</t>
        </is>
      </c>
      <c r="BJ661" s="25" t="n"/>
      <c r="BK661" s="26" t="n">
        <v>-355</v>
      </c>
      <c r="BL661" s="27" t="n">
        <v>1.28169</v>
      </c>
      <c r="BM661" s="28" t="n">
        <v>0.78022</v>
      </c>
      <c r="BN661" s="28" t="n"/>
      <c r="BO661" s="28" t="n"/>
      <c r="BP661" s="25" t="n"/>
      <c r="BQ661" s="27" t="n">
        <v>1.28169</v>
      </c>
      <c r="BR661" s="28" t="n">
        <v>0.78</v>
      </c>
      <c r="BS661" s="28" t="n"/>
      <c r="BT661" s="28" t="n"/>
      <c r="BU661" s="25" t="n"/>
      <c r="BV661" s="29" t="n"/>
      <c r="BW661" s="24" t="n"/>
      <c r="BX661" s="30" t="n">
        <v>1</v>
      </c>
      <c r="BY661" s="27" t="n">
        <v>0.28169</v>
      </c>
      <c r="BZ661" s="24" t="inlineStr">
        <is>
          <t>2026-09-17T04:30:28.246120Z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inlineStr">
        <is>
          <t>eaae8a05285dbb4e967102cb55b813424c3a2023008d3c2f2c30b3bb57decf72</t>
        </is>
      </c>
      <c r="DE661" s="24" t="inlineStr">
        <is>
          <t>/Users/vincentc9002/model-prediction/data/odds/tennis/2026-09-15/polymarket_snapshots.jsonl</t>
        </is>
      </c>
      <c r="DF661" s="24" t="inlineStr">
        <is>
          <t>825075:2026-09-15T04:36:39.675248Z</t>
        </is>
      </c>
      <c r="DG661" s="24" t="n"/>
      <c r="DH661" s="24" t="n"/>
      <c r="DI661" s="24" t="n"/>
      <c r="DJ661" s="24" t="inlineStr">
        <is>
          <t>0.78022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"6c67e999d2a03612e30f4032c8e5e77e8becfbc79e05f4c8993e726b90d34d54", "away_team": "Laura Pigossi", "event_id": "1005-2026:183839", "event_start_utc": "2026-09-15T22:00Z", "features": {"elo_p1_surface": 1419.4, "elo_p2_surface": 1559.2, "expected_games_p1": 8.1, "expected_games_p2": 13.13, "expected_total_games": 21.23, "history_matches": 16038, "min_player_matches": 17, "surface": "Hard"}, "historical_source_observation_times_verified": false, "home_team": "Vendula Valdmannova", "inference_inputs": {"code_sha256": {"features/elo_ratings.py": "8525faf022a6343c452286dbfeb17dbb043744c6bdabbe448b6b371216da439b", "models/tennis.py": "6c67e999d2a03612e30f4032c8e5e77e8becfbc79e05f4c8993e726b90d34d54"}, "overall_ratings": [1392.187665896159, 1540.1403421105101], "players": ["Laura Pigossi", "Vendula Valdmannova"], "sport": "TENNIS", "surface": "Hard", "surface_counts": [77, 14], "surface_ratings": [1419.383082194714, 1559.1518467851827]}, "market_type": "moneyline", "model_version": "tennis-surface-elo-v1", "observed_at_utc": "2026-09-15T16:12:39.118624+00:00", "probabilities": {"away": 0.3132, "home": 0.6868}, "replay_scope": "Exact full-precision serving state and rounding; upstream historical observation times are not certified.", "schema": "coded-moneyline-replay-v1", "snapshot_hash": "a2b0f645eb01c52dce3b6ef11f90e8fc4a3f77d90729ae89bddcb52f8f46883d", "sport": "TENNIS"}</t>
        </is>
      </c>
    </row>
    <row r="662" ht="36" customHeight="1">
      <c r="A662" s="24" t="inlineStr">
        <is>
          <t>c38ba02d4e854685</t>
        </is>
      </c>
      <c r="B662" s="24" t="inlineStr">
        <is>
          <t>2026-09-16T10:09:37.024610Z</t>
        </is>
      </c>
      <c r="C662" s="24" t="inlineStr">
        <is>
          <t>2026-09-16T14:30Z</t>
        </is>
      </c>
      <c r="D662" s="24" t="inlineStr">
        <is>
          <t>871-2026:183766</t>
        </is>
      </c>
      <c r="E662" s="24" t="inlineStr">
        <is>
          <t>TENNIS</t>
        </is>
      </c>
      <c r="F662" s="24" t="inlineStr">
        <is>
          <t>Ane Mintegi Del Olmo</t>
        </is>
      </c>
      <c r="G662" s="24" t="inlineStr">
        <is>
          <t>Andrea Lazaro Garcia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polymarket_us</t>
        </is>
      </c>
      <c r="L662" s="26" t="n">
        <v>-133</v>
      </c>
      <c r="M662" s="27" t="n">
        <v>1.75188</v>
      </c>
      <c r="N662" s="28" t="n">
        <v>0.570815</v>
      </c>
      <c r="O662" s="28" t="n">
        <v>0.5528</v>
      </c>
      <c r="P662" s="28" t="n">
        <v>0.05</v>
      </c>
      <c r="Q662" s="28" t="n">
        <v>-0.018015</v>
      </c>
      <c r="R662" s="26" t="n">
        <v>11</v>
      </c>
      <c r="S662" s="29" t="n">
        <v>1</v>
      </c>
      <c r="T662" s="24" t="inlineStr">
        <is>
          <t>tennis-surface-elo-v1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1</v>
      </c>
      <c r="Y662" s="25" t="n"/>
      <c r="Z662" s="26" t="n">
        <v>-133</v>
      </c>
      <c r="AA662" s="28" t="n">
        <v>0.57</v>
      </c>
      <c r="AB662" s="28" t="n">
        <v>-0.000815</v>
      </c>
      <c r="AC662" s="30" t="n">
        <v>0.7519</v>
      </c>
      <c r="AD662" s="24" t="inlineStr">
        <is>
          <t>2026-09-17T04:30:31.244638Z</t>
        </is>
      </c>
      <c r="AE662" s="31" t="inlineStr">
        <is>
          <t>Surface-blended Elo on Hard: Ane Mintegi Del Olmo p=0.447 vs Andrea Lazaro Garcia. Executable ask 0.5700 (aec-wta-andgar-aneolm-2026-09-16).</t>
        </is>
      </c>
      <c r="AF662" s="31" t="inlineStr">
        <is>
          <t>Surface-blended Elo model; singles only, WTA+ATP market coverage, not yet locked-holdout qualified -- promoted by explicit operator directive, not genuine walk-forward validation.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PAPER_CALL_LOW_EDGE</t>
        </is>
      </c>
      <c r="AP662" s="24" t="inlineStr">
        <is>
          <t>Ane Mintegi Del Olmo</t>
        </is>
      </c>
      <c r="AQ662" s="24" t="inlineStr">
        <is>
          <t>Ane Mintegi Del Olmo</t>
        </is>
      </c>
      <c r="AR662" s="24" t="inlineStr">
        <is>
          <t>Ane Mintegi Del Olmo</t>
        </is>
      </c>
      <c r="AS662" s="24" t="inlineStr">
        <is>
          <t>Andrea Lazaro Garcia</t>
        </is>
      </c>
      <c r="AT662" s="24" t="inlineStr">
        <is>
          <t>Andrea Lazaro Garcia</t>
        </is>
      </c>
      <c r="AU662" s="24" t="inlineStr">
        <is>
          <t>Andrea Lazaro Garcia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6c67e999d2a03612e30f4032c8e5e77e8becfbc79e05f4c8993e726b90d34d54</t>
        </is>
      </c>
      <c r="BB662" s="24" t="inlineStr">
        <is>
          <t>surface_blended_elo</t>
        </is>
      </c>
      <c r="BC662" s="24" t="inlineStr">
        <is>
          <t>tennis-surface-elo-v1</t>
        </is>
      </c>
      <c r="BD662" s="24" t="inlineStr">
        <is>
          <t>6c67e999d2a03612e30f4032c8e5e77e8becfbc79e05f4c8993e726b90d34d54</t>
        </is>
      </c>
      <c r="BE662" s="24" t="inlineStr">
        <is>
          <t>tennis-surface-elo-v1</t>
        </is>
      </c>
      <c r="BF662" s="24" t="inlineStr">
        <is>
          <t>1</t>
        </is>
      </c>
      <c r="BG662" s="24" t="inlineStr">
        <is>
          <t>6c67e999d2a03612e30f4032c8e5e77e8becfbc79e05f4c8993e726b90d34d54</t>
        </is>
      </c>
      <c r="BH662" s="24" t="inlineStr">
        <is>
          <t>2026-09-16T10:06:12.022915Z</t>
        </is>
      </c>
      <c r="BI662" s="24" t="inlineStr">
        <is>
          <t>["same_event","same_team_same_day","same_league_same_day"]</t>
        </is>
      </c>
      <c r="BJ662" s="25" t="n"/>
      <c r="BK662" s="26" t="n">
        <v>-133</v>
      </c>
      <c r="BL662" s="27" t="n">
        <v>1.75188</v>
      </c>
      <c r="BM662" s="28" t="n">
        <v>0.570815</v>
      </c>
      <c r="BN662" s="28" t="n"/>
      <c r="BO662" s="28" t="n"/>
      <c r="BP662" s="25" t="n"/>
      <c r="BQ662" s="27" t="n">
        <v>1.75188</v>
      </c>
      <c r="BR662" s="28" t="n">
        <v>0.57</v>
      </c>
      <c r="BS662" s="28" t="n"/>
      <c r="BT662" s="28" t="n"/>
      <c r="BU662" s="25" t="n"/>
      <c r="BV662" s="29" t="n"/>
      <c r="BW662" s="24" t="n"/>
      <c r="BX662" s="30" t="n">
        <v>1</v>
      </c>
      <c r="BY662" s="27" t="n">
        <v>0.751881</v>
      </c>
      <c r="BZ662" s="24" t="inlineStr">
        <is>
          <t>2026-09-17T04:30:31.244638Z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inlineStr">
        <is>
          <t>102b8a4701f30ea47c95f59cad26173dd887249f0f1229b5ad200c2f64315b77</t>
        </is>
      </c>
      <c r="DE662" s="24" t="inlineStr">
        <is>
          <t>/Users/vincentc9002/model-prediction/data/odds/tennis/2026-09-16/polymarket_snapshots.jsonl</t>
        </is>
      </c>
      <c r="DF662" s="24" t="inlineStr">
        <is>
          <t>893379:2026-09-16T10:06:12.022915Z</t>
        </is>
      </c>
      <c r="DG662" s="24" t="n"/>
      <c r="DH662" s="24" t="n"/>
      <c r="DI662" s="24" t="n"/>
      <c r="DJ662" s="24" t="inlineStr">
        <is>
          <t>0.570815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"6c67e999d2a03612e30f4032c8e5e77e8becfbc79e05f4c8993e726b90d34d54", "away_team": "Ane Mintegi Del Olmo", "event_id": "871-2026:183766", "event_start_utc": "2026-09-16T14:30Z", "features": {"elo_p1_surface": 1505.9, "elo_p2_surface": 1562.1, "expected_games_p1": 10.98, "expected_games_p2": 13.14, "expected_total_games": 24.12, "history_matches": 16078, "min_player_matches": 21, "surface": "Hard"}, "historical_source_observation_times_verified": false, "home_team": "Andrea Lazaro Garcia", "inference_inputs": {"code_sha256": {"features/elo_ratings.py": "8525faf022a6343c452286dbfeb17dbb043744c6bdabbe448b6b371216da439b", "models/tennis.py": "6c67e999d2a03612e30f4032c8e5e77e8becfbc79e05f4c8993e726b90d34d54"}, "overall_ratings": [1529.8264124258942, 1549.3532508842266], "players": ["Ane Mintegi Del Olmo", "Andrea Lazaro Garcia"], "sport": "TENNIS", "surface": "Hard", "surface_counts": [14, 34], "surface_ratings": [1505.9452194671446, 1562.05750118783]}, "market_type": "moneyline", "model_version": "tennis-surface-elo-v1", "observed_at_utc": "2026-09-16T10:09:36.005460+00:00", "probabilities": {"away": 0.4472, "home": 0.5528}, "replay_scope": "Exact full-precision serving state and rounding; upstream historical observation times are not certified.", "schema": "coded-moneyline-replay-v1", "snapshot_hash": "f5c14eb6eba2722abad05529378e3600b9af5152d066e16ca08bdae1442e63cd", "sport": "TENNIS"}</t>
        </is>
      </c>
    </row>
    <row r="663" ht="36" customHeight="1">
      <c r="A663" s="24" t="inlineStr">
        <is>
          <t>5555086779ea42f2</t>
        </is>
      </c>
      <c r="B663" s="24" t="inlineStr">
        <is>
          <t>2026-09-16T16:24:05.233343Z</t>
        </is>
      </c>
      <c r="C663" s="24" t="inlineStr">
        <is>
          <t>2026-09-16T20:30Z</t>
        </is>
      </c>
      <c r="D663" s="24" t="inlineStr">
        <is>
          <t>887-2026:183804</t>
        </is>
      </c>
      <c r="E663" s="24" t="inlineStr">
        <is>
          <t>TENNIS</t>
        </is>
      </c>
      <c r="F663" s="24" t="inlineStr">
        <is>
          <t>Iva Jovic</t>
        </is>
      </c>
      <c r="G663" s="24" t="inlineStr">
        <is>
          <t>Zeynep Sonmez</t>
        </is>
      </c>
      <c r="H663" s="24" t="inlineStr">
        <is>
          <t>moneyline</t>
        </is>
      </c>
      <c r="I663" s="24" t="inlineStr">
        <is>
          <t>away</t>
        </is>
      </c>
      <c r="J663" s="25" t="n"/>
      <c r="K663" s="24" t="inlineStr">
        <is>
          <t>polymarket_us</t>
        </is>
      </c>
      <c r="L663" s="26" t="n">
        <v>-376</v>
      </c>
      <c r="M663" s="27" t="n">
        <v>1.265957</v>
      </c>
      <c r="N663" s="28" t="n">
        <v>0.789916</v>
      </c>
      <c r="O663" s="28" t="n">
        <v>0.6452</v>
      </c>
      <c r="P663" s="28" t="n">
        <v>0.05</v>
      </c>
      <c r="Q663" s="28" t="n">
        <v>-0.144716</v>
      </c>
      <c r="R663" s="26" t="n">
        <v>0</v>
      </c>
      <c r="S663" s="29" t="n">
        <v>1</v>
      </c>
      <c r="T663" s="24" t="inlineStr">
        <is>
          <t>tennis-surface-elo-v1</t>
        </is>
      </c>
      <c r="U663" s="24" t="inlineStr">
        <is>
          <t>settled</t>
        </is>
      </c>
      <c r="V663" s="24" t="inlineStr">
        <is>
          <t>win</t>
        </is>
      </c>
      <c r="W663" s="26" t="n">
        <v>1</v>
      </c>
      <c r="X663" s="26" t="n">
        <v>0</v>
      </c>
      <c r="Y663" s="25" t="n"/>
      <c r="Z663" s="26" t="n">
        <v>-376</v>
      </c>
      <c r="AA663" s="28" t="n">
        <v>0.79</v>
      </c>
      <c r="AB663" s="28" t="n">
        <v>8.4e-05</v>
      </c>
      <c r="AC663" s="30" t="n">
        <v>0.266</v>
      </c>
      <c r="AD663" s="24" t="inlineStr">
        <is>
          <t>2026-09-17T04:31:54.408325Z</t>
        </is>
      </c>
      <c r="AE663" s="31" t="inlineStr">
        <is>
          <t>Surface-blended Elo on Hard: Iva Jovic p=0.645 vs Zeynep Sonmez. Executable ask 0.7900 (aec-wta-zeyson-ivajov-2026-09-16).</t>
        </is>
      </c>
      <c r="AF663" s="31" t="inlineStr">
        <is>
          <t>Surface-blended Elo model; singles only, WTA+ATP market coverage, not yet locked-holdout qualified -- promoted by explicit operator directive, not genuine walk-forward validation.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PAPER_CALL_LOW_EDGE</t>
        </is>
      </c>
      <c r="AP663" s="24" t="inlineStr">
        <is>
          <t>Iva Jovic</t>
        </is>
      </c>
      <c r="AQ663" s="24" t="inlineStr">
        <is>
          <t>Iva Jovic</t>
        </is>
      </c>
      <c r="AR663" s="24" t="inlineStr">
        <is>
          <t>Iva Jovic</t>
        </is>
      </c>
      <c r="AS663" s="24" t="inlineStr">
        <is>
          <t>Zeynep Sonmez</t>
        </is>
      </c>
      <c r="AT663" s="24" t="inlineStr">
        <is>
          <t>Zeynep Sonmez</t>
        </is>
      </c>
      <c r="AU663" s="24" t="inlineStr">
        <is>
          <t>Zeynep Sonmez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6c67e999d2a03612e30f4032c8e5e77e8becfbc79e05f4c8993e726b90d34d54</t>
        </is>
      </c>
      <c r="BB663" s="24" t="inlineStr">
        <is>
          <t>surface_blended_elo</t>
        </is>
      </c>
      <c r="BC663" s="24" t="inlineStr">
        <is>
          <t>tennis-surface-elo-v1</t>
        </is>
      </c>
      <c r="BD663" s="24" t="inlineStr">
        <is>
          <t>6c67e999d2a03612e30f4032c8e5e77e8becfbc79e05f4c8993e726b90d34d54</t>
        </is>
      </c>
      <c r="BE663" s="24" t="inlineStr">
        <is>
          <t>tennis-surface-elo-v1</t>
        </is>
      </c>
      <c r="BF663" s="24" t="inlineStr">
        <is>
          <t>1</t>
        </is>
      </c>
      <c r="BG663" s="24" t="inlineStr">
        <is>
          <t>6c67e999d2a03612e30f4032c8e5e77e8becfbc79e05f4c8993e726b90d34d54</t>
        </is>
      </c>
      <c r="BH663" s="24" t="inlineStr">
        <is>
          <t>2026-09-16T10:07:10.086262Z</t>
        </is>
      </c>
      <c r="BI663" s="24" t="inlineStr">
        <is>
          <t>["same_event","same_team_same_day","same_league_same_day"]</t>
        </is>
      </c>
      <c r="BJ663" s="25" t="n"/>
      <c r="BK663" s="26" t="n">
        <v>-376</v>
      </c>
      <c r="BL663" s="27" t="n">
        <v>1.265957</v>
      </c>
      <c r="BM663" s="28" t="n">
        <v>0.789916</v>
      </c>
      <c r="BN663" s="28" t="n"/>
      <c r="BO663" s="28" t="n"/>
      <c r="BP663" s="25" t="n"/>
      <c r="BQ663" s="27" t="n">
        <v>1.265957</v>
      </c>
      <c r="BR663" s="28" t="n">
        <v>0.79</v>
      </c>
      <c r="BS663" s="28" t="n"/>
      <c r="BT663" s="28" t="n"/>
      <c r="BU663" s="25" t="n"/>
      <c r="BV663" s="29" t="n"/>
      <c r="BW663" s="24" t="n"/>
      <c r="BX663" s="30" t="n">
        <v>1</v>
      </c>
      <c r="BY663" s="27" t="n">
        <v>0.265957</v>
      </c>
      <c r="BZ663" s="24" t="inlineStr">
        <is>
          <t>2026-09-17T04:31:54.408325Z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inlineStr">
        <is>
          <t>11e5a4fbfd48f1b547cfb967250c2d2cb0e14956def9356e688878b60a0ae16d</t>
        </is>
      </c>
      <c r="DE663" s="24" t="inlineStr">
        <is>
          <t>/Users/vincentc9002/model-prediction/data/odds/tennis/2026-09-16/polymarket_snapshots.jsonl</t>
        </is>
      </c>
      <c r="DF663" s="24" t="inlineStr">
        <is>
          <t>881850:2026-09-16T10:07:10.086262Z</t>
        </is>
      </c>
      <c r="DG663" s="24" t="n"/>
      <c r="DH663" s="24" t="n"/>
      <c r="DI663" s="24" t="n"/>
      <c r="DJ663" s="24" t="inlineStr">
        <is>
          <t>0.789916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"6c67e999d2a03612e30f4032c8e5e77e8becfbc79e05f4c8993e726b90d34d54", "away_team": "Iva Jovic", "event_id": "887-2026:183804", "event_start_utc": "2026-09-16T20:30Z", "features": {"elo_p1_surface": 1762.0, "elo_p2_surface": 1663.5, "expected_games_p1": 13.44, "expected_games_p2": 9.06, "expected_total_games": 22.5, "history_matches": 16078, "min_player_matches": 98, "surface": "Hard"}, "historical_source_observation_times_verified": false, "home_team": "Zeynep Sonmez", "inference_inputs": {"code_sha256": {"features/elo_ratings.py": "8525faf022a6343c452286dbfeb17dbb043744c6bdabbe448b6b371216da439b", "models/tennis.py": "6c67e999d2a03612e30f4032c8e5e77e8becfbc79e05f4c8993e726b90d34d54"}, "overall_ratings": [1819.8318516032666, 1706.7830939329885], "players": ["Iva Jovic", "Zeynep Sonmez"], "sport": "TENNIS", "surface": "Hard", "surface_counts": [80, 107], "surface_ratings": [1761.983306537278, 1663.4969104280074]}, "market_type": "moneyline", "model_version": "tennis-surface-elo-v1", "observed_at_utc": "2026-09-16T16:24:03.598331+00:00", "probabilities": {"away": 0.6452, "home": 0.3548}, "replay_scope": "Exact full-precision serving state and rounding; upstream historical observation times are not certified.", "schema": "coded-moneyline-replay-v1", "snapshot_hash": "46844bde4d0ba9e2c0ae5505076f2c3a4d7961fe27fd73b06c6964354edac5f9", "sport": "TENNIS"}</t>
        </is>
      </c>
    </row>
    <row r="664" ht="36" customHeight="1">
      <c r="A664" s="24" t="inlineStr">
        <is>
          <t>777fce6489644977</t>
        </is>
      </c>
      <c r="B664" s="24" t="inlineStr">
        <is>
          <t>2026-09-17T04:45:24.984654Z</t>
        </is>
      </c>
      <c r="C664" s="24" t="inlineStr">
        <is>
          <t>2026-09-17T09:30Z</t>
        </is>
      </c>
      <c r="D664" s="24" t="inlineStr">
        <is>
          <t>786-2026:183676</t>
        </is>
      </c>
      <c r="E664" s="24" t="inlineStr">
        <is>
          <t>TENNIS</t>
        </is>
      </c>
      <c r="F664" s="24" t="inlineStr">
        <is>
          <t>Ekaterine Gorgodze</t>
        </is>
      </c>
      <c r="G664" s="24" t="inlineStr">
        <is>
          <t>Noemi Basiletti</t>
        </is>
      </c>
      <c r="H664" s="24" t="inlineStr">
        <is>
          <t>moneyline</t>
        </is>
      </c>
      <c r="I664" s="24" t="inlineStr">
        <is>
          <t>home</t>
        </is>
      </c>
      <c r="J664" s="25" t="n"/>
      <c r="K664" s="24" t="inlineStr">
        <is>
          <t>polymarket_us</t>
        </is>
      </c>
      <c r="L664" s="26" t="n">
        <v>-144</v>
      </c>
      <c r="M664" s="27" t="n">
        <v>1.694444</v>
      </c>
      <c r="N664" s="28" t="n">
        <v>0.590164</v>
      </c>
      <c r="O664" s="28" t="n">
        <v>0.533</v>
      </c>
      <c r="P664" s="28" t="n">
        <v>0.05</v>
      </c>
      <c r="Q664" s="28" t="n">
        <v>-0.057164</v>
      </c>
      <c r="R664" s="26" t="n">
        <v>0</v>
      </c>
      <c r="S664" s="29" t="n">
        <v>1</v>
      </c>
      <c r="T664" s="24" t="inlineStr">
        <is>
          <t>tennis-surface-elo-v1</t>
        </is>
      </c>
      <c r="U664" s="24" t="inlineStr">
        <is>
          <t>settled</t>
        </is>
      </c>
      <c r="V664" s="24" t="inlineStr">
        <is>
          <t>win</t>
        </is>
      </c>
      <c r="W664" s="26" t="n">
        <v>0</v>
      </c>
      <c r="X664" s="26" t="n">
        <v>1</v>
      </c>
      <c r="Y664" s="25" t="n"/>
      <c r="Z664" s="26" t="n">
        <v>-144</v>
      </c>
      <c r="AA664" s="28" t="n">
        <v>0.59</v>
      </c>
      <c r="AB664" s="28" t="n">
        <v>-0.000164</v>
      </c>
      <c r="AC664" s="30" t="n">
        <v>0.6944</v>
      </c>
      <c r="AD664" s="24" t="inlineStr">
        <is>
          <t>2026-09-18T10:12:41.037638Z</t>
        </is>
      </c>
      <c r="AE664" s="31" t="inlineStr">
        <is>
          <t>Surface-blended Elo on Hard: Ekaterine Gorgodze p=0.467 vs Noemi Basiletti. Executable ask 0.5900 (aec-wta-noebas-ekagor-2026-09-17).</t>
        </is>
      </c>
      <c r="AF664" s="31" t="inlineStr">
        <is>
          <t>Surface-blended Elo model; singles only, WTA+ATP market coverage, not yet locked-holdout qualified -- promoted by explicit operator directive, not genuine walk-forward validation.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Ekaterine Gorgodze</t>
        </is>
      </c>
      <c r="AQ664" s="24" t="inlineStr">
        <is>
          <t>Ekaterine Gorgodze</t>
        </is>
      </c>
      <c r="AR664" s="24" t="inlineStr">
        <is>
          <t>Ekaterine Gorgodze</t>
        </is>
      </c>
      <c r="AS664" s="24" t="inlineStr">
        <is>
          <t>Noemi Basiletti</t>
        </is>
      </c>
      <c r="AT664" s="24" t="inlineStr">
        <is>
          <t>Noemi Basiletti</t>
        </is>
      </c>
      <c r="AU664" s="24" t="inlineStr">
        <is>
          <t>Noemi Basiletti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6c67e999d2a03612e30f4032c8e5e77e8becfbc79e05f4c8993e726b90d34d54</t>
        </is>
      </c>
      <c r="BB664" s="24" t="inlineStr">
        <is>
          <t>surface_blended_elo</t>
        </is>
      </c>
      <c r="BC664" s="24" t="inlineStr">
        <is>
          <t>tennis-surface-elo-v1</t>
        </is>
      </c>
      <c r="BD664" s="24" t="inlineStr">
        <is>
          <t>6c67e999d2a03612e30f4032c8e5e77e8becfbc79e05f4c8993e726b90d34d54</t>
        </is>
      </c>
      <c r="BE664" s="24" t="inlineStr">
        <is>
          <t>tennis-surface-elo-v1</t>
        </is>
      </c>
      <c r="BF664" s="24" t="inlineStr">
        <is>
          <t>1</t>
        </is>
      </c>
      <c r="BG664" s="24" t="inlineStr">
        <is>
          <t>6c67e999d2a03612e30f4032c8e5e77e8becfbc79e05f4c8993e726b90d34d54</t>
        </is>
      </c>
      <c r="BH664" s="24" t="inlineStr">
        <is>
          <t>2026-09-17T04:41:41.294273Z</t>
        </is>
      </c>
      <c r="BI664" s="24" t="inlineStr">
        <is>
          <t>["same_event","same_team_same_day","same_league_same_day"]</t>
        </is>
      </c>
      <c r="BJ664" s="25" t="n"/>
      <c r="BK664" s="26" t="n">
        <v>-144</v>
      </c>
      <c r="BL664" s="27" t="n">
        <v>1.694444</v>
      </c>
      <c r="BM664" s="28" t="n">
        <v>0.590164</v>
      </c>
      <c r="BN664" s="28" t="n"/>
      <c r="BO664" s="28" t="n"/>
      <c r="BP664" s="25" t="n"/>
      <c r="BQ664" s="27" t="n">
        <v>1.694444</v>
      </c>
      <c r="BR664" s="28" t="n">
        <v>0.59</v>
      </c>
      <c r="BS664" s="28" t="n"/>
      <c r="BT664" s="28" t="n"/>
      <c r="BU664" s="25" t="n"/>
      <c r="BV664" s="29" t="n"/>
      <c r="BW664" s="24" t="n"/>
      <c r="BX664" s="30" t="n">
        <v>1</v>
      </c>
      <c r="BY664" s="27" t="n">
        <v>0.694444</v>
      </c>
      <c r="BZ664" s="24" t="inlineStr">
        <is>
          <t>2026-09-18T10:12:41.037638Z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inlineStr">
        <is>
          <t>9ddd995073ddc35529c1fcdfeac011307fdc701d9150936344e0c7753ddd4c22</t>
        </is>
      </c>
      <c r="DE664" s="24" t="inlineStr">
        <is>
          <t>/Users/vincentc9002/model-prediction/data/odds/tennis/2026-09-17/polymarket_snapshots.jsonl</t>
        </is>
      </c>
      <c r="DF664" s="24" t="inlineStr">
        <is>
          <t>910655:2026-09-17T04:41:41.294273Z</t>
        </is>
      </c>
      <c r="DG664" s="24" t="n"/>
      <c r="DH664" s="24" t="n"/>
      <c r="DI664" s="24" t="n"/>
      <c r="DJ664" s="24" t="inlineStr">
        <is>
          <t>0.590164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"6c67e999d2a03612e30f4032c8e5e77e8becfbc79e05f4c8993e726b90d34d54", "away_team": "Ekaterine Gorgodze", "event_id": "786-2026:183676", "event_start_utc": "2026-09-17T09:30Z", "features": {"elo_p1_surface": 1510.6, "elo_p2_surface": 1531.6, "expected_games_p1": 12.04, "expected_games_p2": 12.67, "expected_total_games": 24.71, "history_matches": 16111, "min_player_matches": 20,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[1529.3795379729786, 1544.3781021650343], "players": ["Ekaterine Gorgodze", "Noemi Basiletti"], "sport": "TENNIS", "surface": "Hard", "surface_counts": [61, 12], "surface_ratings": [1510.5839468396296, 1531.6083159651664]}, "market_type": "moneyline", "model_version": "tennis-surface-elo-v1", "observed_at_utc": "2026-09-17T04:45:23.875403+00:00", "probabilities": {"away": 0.467, "home": 0.533}, "replay_scope": "Exact full-precision serving state and rounding; upstream historical observation times are not certified.", "schema": "coded-moneyline-replay-v1", "snapshot_hash": "68619af6eb682443e01dacf023622749e5ca359b61e8559395fab4234a0c7266", "sport": "TENNIS"}</t>
        </is>
      </c>
    </row>
    <row r="665" ht="36" customHeight="1">
      <c r="A665" s="24" t="inlineStr">
        <is>
          <t>1fb4852467bc4ca1</t>
        </is>
      </c>
      <c r="B665" s="24" t="inlineStr">
        <is>
          <t>2026-09-17T10:10:34.406250Z</t>
        </is>
      </c>
      <c r="C665" s="24" t="inlineStr">
        <is>
          <t>2026-09-17T15:00Z</t>
        </is>
      </c>
      <c r="D665" s="24" t="inlineStr">
        <is>
          <t>1005-2026:183829</t>
        </is>
      </c>
      <c r="E665" s="24" t="inlineStr">
        <is>
          <t>TENNIS</t>
        </is>
      </c>
      <c r="F665" s="24" t="inlineStr">
        <is>
          <t>Alina Charaeva</t>
        </is>
      </c>
      <c r="G665" s="24" t="inlineStr">
        <is>
          <t>Elina Avanesyan</t>
        </is>
      </c>
      <c r="H665" s="24" t="inlineStr">
        <is>
          <t>moneyline</t>
        </is>
      </c>
      <c r="I665" s="24" t="inlineStr">
        <is>
          <t>away</t>
        </is>
      </c>
      <c r="J665" s="25" t="n"/>
      <c r="K665" s="24" t="inlineStr">
        <is>
          <t>polymarket_us</t>
        </is>
      </c>
      <c r="L665" s="26" t="n">
        <v>122</v>
      </c>
      <c r="M665" s="27" t="n">
        <v>2.22</v>
      </c>
      <c r="N665" s="28" t="n">
        <v>0.45045</v>
      </c>
      <c r="O665" s="28" t="n">
        <v>0.5974</v>
      </c>
      <c r="P665" s="28" t="n">
        <v>0.05</v>
      </c>
      <c r="Q665" s="28" t="n">
        <v>0.14695</v>
      </c>
      <c r="R665" s="26" t="n">
        <v>93</v>
      </c>
      <c r="S665" s="29" t="n">
        <v>1.75</v>
      </c>
      <c r="T665" s="24" t="inlineStr">
        <is>
          <t>tennis-surface-elo-v1</t>
        </is>
      </c>
      <c r="U665" s="24" t="inlineStr">
        <is>
          <t>settled</t>
        </is>
      </c>
      <c r="V665" s="24" t="inlineStr">
        <is>
          <t>win</t>
        </is>
      </c>
      <c r="W665" s="26" t="n">
        <v>1</v>
      </c>
      <c r="X665" s="26" t="n">
        <v>0</v>
      </c>
      <c r="Y665" s="25" t="n"/>
      <c r="Z665" s="26" t="n">
        <v>122</v>
      </c>
      <c r="AA665" s="28" t="n">
        <v>0.45</v>
      </c>
      <c r="AB665" s="28" t="n">
        <v>-0.00045</v>
      </c>
      <c r="AC665" s="30" t="n">
        <v>2.135</v>
      </c>
      <c r="AD665" s="24" t="inlineStr">
        <is>
          <t>2026-09-17T22:00:11.756273Z</t>
        </is>
      </c>
      <c r="AE665" s="31" t="inlineStr">
        <is>
          <t>Surface-blended Elo on Hard: Alina Charaeva p=0.597 vs Elina Avanesyan. Executable ask 0.4500 (aec-wta-eliava-alicha-2026-09-17).</t>
        </is>
      </c>
      <c r="AF665" s="31" t="inlineStr">
        <is>
          <t>Surface-blended Elo model; singles only, WTA+ATP market coverage, not yet locked-holdout qualified -- promoted by explicit operator directive, not genuine walk-forward validation.</t>
        </is>
      </c>
      <c r="AG665" s="24" t="inlineStr">
        <is>
          <t>not_applicable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Alina Charaeva</t>
        </is>
      </c>
      <c r="AQ665" s="24" t="inlineStr">
        <is>
          <t>Alina Charaeva</t>
        </is>
      </c>
      <c r="AR665" s="24" t="inlineStr">
        <is>
          <t>Alina Charaeva</t>
        </is>
      </c>
      <c r="AS665" s="24" t="inlineStr">
        <is>
          <t>Elina Avanesyan</t>
        </is>
      </c>
      <c r="AT665" s="24" t="inlineStr">
        <is>
          <t>Elina Avanesyan</t>
        </is>
      </c>
      <c r="AU665" s="24" t="inlineStr">
        <is>
          <t>Elina Avanesyan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6c67e999d2a03612e30f4032c8e5e77e8becfbc79e05f4c8993e726b90d34d54</t>
        </is>
      </c>
      <c r="BB665" s="24" t="inlineStr">
        <is>
          <t>surface_blended_elo</t>
        </is>
      </c>
      <c r="BC665" s="24" t="inlineStr">
        <is>
          <t>tennis-surface-elo-v1</t>
        </is>
      </c>
      <c r="BD665" s="24" t="inlineStr">
        <is>
          <t>6c67e999d2a03612e30f4032c8e5e77e8becfbc79e05f4c8993e726b90d34d54</t>
        </is>
      </c>
      <c r="BE665" s="24" t="inlineStr">
        <is>
          <t>tennis-surface-elo-v1</t>
        </is>
      </c>
      <c r="BF665" s="24" t="inlineStr">
        <is>
          <t>1</t>
        </is>
      </c>
      <c r="BG665" s="24" t="inlineStr">
        <is>
          <t>6c67e999d2a03612e30f4032c8e5e77e8becfbc79e05f4c8993e726b90d34d54</t>
        </is>
      </c>
      <c r="BH665" s="24" t="inlineStr">
        <is>
          <t>2026-09-17T10:07:26.172929Z</t>
        </is>
      </c>
      <c r="BI665" s="24" t="inlineStr">
        <is>
          <t>["same_event","same_team_same_day","same_league_same_day"]</t>
        </is>
      </c>
      <c r="BJ665" s="25" t="n"/>
      <c r="BK665" s="26" t="n">
        <v>122</v>
      </c>
      <c r="BL665" s="27" t="n">
        <v>2.22</v>
      </c>
      <c r="BM665" s="28" t="n">
        <v>0.45045</v>
      </c>
      <c r="BN665" s="28" t="n"/>
      <c r="BO665" s="28" t="n"/>
      <c r="BP665" s="25" t="n"/>
      <c r="BQ665" s="27" t="n">
        <v>2.22</v>
      </c>
      <c r="BR665" s="28" t="n">
        <v>0.45</v>
      </c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inlineStr">
        <is>
          <t>5eaa8f0b8ba8f74971dc7932635ce74ae39a33fef2a297302fed2bd09c79a400</t>
        </is>
      </c>
      <c r="DE665" s="24" t="inlineStr">
        <is>
          <t>/Users/vincentc9002/model-prediction/data/odds/tennis/2026-09-17/polymarket_snapshots.jsonl</t>
        </is>
      </c>
      <c r="DF665" s="24" t="inlineStr">
        <is>
          <t>916235:2026-09-17T10:07:26.172929Z</t>
        </is>
      </c>
      <c r="DG665" s="24" t="n"/>
      <c r="DH665" s="24" t="n"/>
      <c r="DI665" s="24" t="n"/>
      <c r="DJ665" s="24" t="inlineStr">
        <is>
          <t>0.45045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"6c67e999d2a03612e30f4032c8e5e77e8becfbc79e05f4c8993e726b90d34d54", "away_team": "Alina Charaeva", "event_id": "1005-2026:183829", "event_start_utc": "2026-09-17T15:00Z", "features": {"elo_p1_surface": 1627.1, "elo_p2_surface": 1553.2, "expected_games_p1": 13.44, "expected_games_p2": 9.95, "expected_total_games": 23.39, "history_matches": 16111, "min_player_matches": 95, "surface": "Hard"}, "historical_source_observation_times_verified": false, "home_team": "Elina Avanesyan", "inference_inputs": {"code_sha256": {"features/elo_ratings.py": "8525faf022a6343c452286dbfeb17dbb043744c6bdabbe448b6b371216da439b", "models/tennis.py": "6c67e999d2a03612e30f4032c8e5e77e8becfbc79e05f4c8993e726b90d34d54"}, "overall_ratings": [1644.9146759873972, 1591.0578698096513], "players": ["Alina Charaeva", "Elina Avanesyan"], "sport": "TENNIS", "surface": "Hard", "surface_counts": [81, 89], "surface_ratings": [1627.066397469127, 1553.237598105374]}, "market_type": "moneyline", "model_version": "tennis-surface-elo-v1", "observed_at_utc": "2026-09-17T10:10:33.619879+00:00", "probabilities": {"away": 0.5974, "home": 0.4026}, "replay_scope": "Exact full-precision serving state and rounding; upstream historical observation times are not certified.", "schema": "coded-moneyline-replay-v1", "snapshot_hash": "f36c7e69b31a5888495639d847a7ff1b8638830134c3c42c994797c1cbe37e7b", "sport": "TENNIS"}</t>
        </is>
      </c>
    </row>
    <row r="666" ht="36" customHeight="1">
      <c r="A666" s="24" t="inlineStr">
        <is>
          <t>c6879cd5163e43f3</t>
        </is>
      </c>
      <c r="B666" s="24" t="inlineStr">
        <is>
          <t>2026-09-17T10:10:34.406250Z</t>
        </is>
      </c>
      <c r="C666" s="24" t="inlineStr">
        <is>
          <t>2026-09-17T11:00Z</t>
        </is>
      </c>
      <c r="D666" s="24" t="inlineStr">
        <is>
          <t>1024-2026:183719</t>
        </is>
      </c>
      <c r="E666" s="24" t="inlineStr">
        <is>
          <t>TENNIS</t>
        </is>
      </c>
      <c r="F666" s="24" t="inlineStr">
        <is>
          <t>Elena Malygina</t>
        </is>
      </c>
      <c r="G666" s="24" t="inlineStr">
        <is>
          <t>Jeline Vandromme</t>
        </is>
      </c>
      <c r="H666" s="24" t="inlineStr">
        <is>
          <t>moneyline</t>
        </is>
      </c>
      <c r="I666" s="24" t="inlineStr">
        <is>
          <t>home</t>
        </is>
      </c>
      <c r="J666" s="25" t="n"/>
      <c r="K666" s="24" t="inlineStr">
        <is>
          <t>polymarket_us</t>
        </is>
      </c>
      <c r="L666" s="26" t="n">
        <v>-809</v>
      </c>
      <c r="M666" s="27" t="n">
        <v>1.123609</v>
      </c>
      <c r="N666" s="28" t="n">
        <v>0.889989</v>
      </c>
      <c r="O666" s="28" t="n">
        <v>0.6157</v>
      </c>
      <c r="P666" s="28" t="n">
        <v>0.05</v>
      </c>
      <c r="Q666" s="28" t="n">
        <v>-0.274289</v>
      </c>
      <c r="R666" s="26" t="n">
        <v>0</v>
      </c>
      <c r="S666" s="29" t="n">
        <v>1</v>
      </c>
      <c r="T666" s="24" t="inlineStr">
        <is>
          <t>tennis-surface-elo-v1</t>
        </is>
      </c>
      <c r="U666" s="24" t="inlineStr">
        <is>
          <t>settled</t>
        </is>
      </c>
      <c r="V666" s="24" t="inlineStr">
        <is>
          <t>win</t>
        </is>
      </c>
      <c r="W666" s="26" t="n">
        <v>0</v>
      </c>
      <c r="X666" s="26" t="n">
        <v>1</v>
      </c>
      <c r="Y666" s="25" t="n"/>
      <c r="Z666" s="26" t="n">
        <v>-809</v>
      </c>
      <c r="AA666" s="28" t="n">
        <v>0.89</v>
      </c>
      <c r="AB666" s="28" t="n">
        <v>1.1e-05</v>
      </c>
      <c r="AC666" s="30" t="n">
        <v>0.1236</v>
      </c>
      <c r="AD666" s="24" t="inlineStr">
        <is>
          <t>2026-09-17T22:00:13.103057Z</t>
        </is>
      </c>
      <c r="AE666" s="31" t="inlineStr">
        <is>
          <t>Surface-blended Elo on Hard: Elena Malygina p=0.384 vs Jeline Vandromme. Executable ask 0.8900 (aec-wta-jelvan-elemal-2026-09-16).</t>
        </is>
      </c>
      <c r="AF666" s="31" t="inlineStr">
        <is>
          <t>Surface-blended Elo model; singles only, WTA+ATP market coverage, not yet locked-holdout qualified -- promoted by explicit operator directive, not genuine walk-forward validation.</t>
        </is>
      </c>
      <c r="AG666" s="24" t="inlineStr">
        <is>
          <t>not_applicable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PAPER_CALL_LOW_EDGE</t>
        </is>
      </c>
      <c r="AP666" s="24" t="inlineStr">
        <is>
          <t>Elena Malygina</t>
        </is>
      </c>
      <c r="AQ666" s="24" t="inlineStr">
        <is>
          <t>Elena Malygina</t>
        </is>
      </c>
      <c r="AR666" s="24" t="inlineStr">
        <is>
          <t>Elena Malygina</t>
        </is>
      </c>
      <c r="AS666" s="24" t="inlineStr">
        <is>
          <t>Jeline Vandromme</t>
        </is>
      </c>
      <c r="AT666" s="24" t="inlineStr">
        <is>
          <t>Jeline Vandromme</t>
        </is>
      </c>
      <c r="AU666" s="24" t="inlineStr">
        <is>
          <t>Jeline Vandromme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6c67e999d2a03612e30f4032c8e5e77e8becfbc79e05f4c8993e726b90d34d54</t>
        </is>
      </c>
      <c r="BB666" s="24" t="inlineStr">
        <is>
          <t>surface_blended_elo</t>
        </is>
      </c>
      <c r="BC666" s="24" t="inlineStr">
        <is>
          <t>tennis-surface-elo-v1</t>
        </is>
      </c>
      <c r="BD666" s="24" t="inlineStr">
        <is>
          <t>6c67e999d2a03612e30f4032c8e5e77e8becfbc79e05f4c8993e726b90d34d54</t>
        </is>
      </c>
      <c r="BE666" s="24" t="inlineStr">
        <is>
          <t>tennis-surface-elo-v1</t>
        </is>
      </c>
      <c r="BF666" s="24" t="inlineStr">
        <is>
          <t>1</t>
        </is>
      </c>
      <c r="BG666" s="24" t="inlineStr">
        <is>
          <t>6c67e999d2a03612e30f4032c8e5e77e8becfbc79e05f4c8993e726b90d34d54</t>
        </is>
      </c>
      <c r="BH666" s="24" t="inlineStr">
        <is>
          <t>2026-09-17T04:41:41.363642Z</t>
        </is>
      </c>
      <c r="BI666" s="24" t="inlineStr">
        <is>
          <t>["same_event","same_team_same_day","same_league_same_day"]</t>
        </is>
      </c>
      <c r="BJ666" s="25" t="n"/>
      <c r="BK666" s="26" t="n">
        <v>-809</v>
      </c>
      <c r="BL666" s="27" t="n">
        <v>1.123609</v>
      </c>
      <c r="BM666" s="28" t="n">
        <v>0.889989</v>
      </c>
      <c r="BN666" s="28" t="n"/>
      <c r="BO666" s="28" t="n"/>
      <c r="BP666" s="25" t="n"/>
      <c r="BQ666" s="27" t="n">
        <v>1.123609</v>
      </c>
      <c r="BR666" s="28" t="n">
        <v>0.89</v>
      </c>
      <c r="BS666" s="28" t="n"/>
      <c r="BT666" s="28" t="n"/>
      <c r="BU666" s="25" t="n"/>
      <c r="BV666" s="29" t="n"/>
      <c r="BW666" s="24" t="n"/>
      <c r="BX666" s="30" t="n">
        <v>1</v>
      </c>
      <c r="BY666" s="27" t="n">
        <v>0.123609</v>
      </c>
      <c r="BZ666" s="24" t="inlineStr">
        <is>
          <t>2026-09-17T22:00:13.103057Z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inlineStr">
        <is>
          <t>2d6e484cda74ae3852c01702f59490ba8ff9e7d37b3581e6183c544f27a765ba</t>
        </is>
      </c>
      <c r="DE666" s="24" t="inlineStr">
        <is>
          <t>/Users/vincentc9002/model-prediction/data/odds/tennis/2026-09-17/polymarket_snapshots.jsonl</t>
        </is>
      </c>
      <c r="DF666" s="24" t="inlineStr">
        <is>
          <t>900024:2026-09-17T04:41:41.363642Z</t>
        </is>
      </c>
      <c r="DG666" s="24" t="n"/>
      <c r="DH666" s="24" t="n"/>
      <c r="DI666" s="24" t="n"/>
      <c r="DJ666" s="24" t="inlineStr">
        <is>
          <t>0.889989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"6c67e999d2a03612e30f4032c8e5e77e8becfbc79e05f4c8993e726b90d34d54", "away_team": "Elena Malygina", "event_id": "1024-2026:183719", "event_start_utc": "2026-09-17T11:00Z", "features": {"elo_p1_surface": 1504.1, "elo_p2_surface": 1578.7, "expected_games_p1": 10.35, "expected_games_p2": 13.25, "expected_total_games": 23.61, "history_matches": 16111, "min_player_matches": 12, "surface": "Hard"}, "historical_source_observation_times_verified": false, "home_team": "Jeline Vandromme", "inference_inputs": {"code_sha256": {"features/elo_ratings.py": "8525faf022a6343c452286dbfeb17dbb043744c6bdabbe448b6b371216da439b", "models/tennis.py": "6c67e999d2a03612e30f4032c8e5e77e8becfbc79e05f4c8993e726b90d34d54"}, "overall_ratings": [1500.5236722979291, 1587.375242361053], "players": ["Elena Malygina", "Jeline Vandromme"], "sport": "TENNIS", "surface": "Hard", "surface_counts": [8, 17], "surface_ratings": [1504.1161664832184, 1578.7340927717078]}, "market_type": "moneyline", "model_version": "tennis-surface-elo-v1", "observed_at_utc": "2026-09-17T10:10:33.619879+00:00", "probabilities": {"away": 0.3843, "home": 0.6157}, "replay_scope": "Exact full-precision serving state and rounding; upstream historical observation times are not certified.", "schema": "coded-moneyline-replay-v1", "snapshot_hash": "50d67b5fc4b51db97c7f5dbee555d1c71b25980a01a8658fb1590f5373445d22", "sport": "TENNIS"}</t>
        </is>
      </c>
    </row>
    <row r="667" ht="36" customHeight="1">
      <c r="A667" s="24" t="inlineStr">
        <is>
          <t>ad558eedaa6f4cc1</t>
        </is>
      </c>
      <c r="B667" s="24" t="inlineStr">
        <is>
          <t>2026-09-18T10:34:42.554769Z</t>
        </is>
      </c>
      <c r="C667" s="24" t="inlineStr">
        <is>
          <t>2026-09-18T15:00Z</t>
        </is>
      </c>
      <c r="D667" s="24" t="inlineStr">
        <is>
          <t>1024-2026:183725</t>
        </is>
      </c>
      <c r="E667" s="24" t="inlineStr">
        <is>
          <t>TENNIS</t>
        </is>
      </c>
      <c r="F667" s="24" t="inlineStr">
        <is>
          <t>Lisa Pigato</t>
        </is>
      </c>
      <c r="G667" s="24" t="inlineStr">
        <is>
          <t>Susan Bandecchi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-186</v>
      </c>
      <c r="M667" s="27" t="n">
        <v>1.537634</v>
      </c>
      <c r="N667" s="28" t="n">
        <v>0.65035</v>
      </c>
      <c r="O667" s="28" t="n">
        <v>0.5394</v>
      </c>
      <c r="P667" s="28" t="n">
        <v>0.05</v>
      </c>
      <c r="Q667" s="28" t="n">
        <v>-0.11095</v>
      </c>
      <c r="R667" s="26" t="n">
        <v>0</v>
      </c>
      <c r="S667" s="29" t="n">
        <v>1</v>
      </c>
      <c r="T667" s="24" t="inlineStr">
        <is>
          <t>tennis-surface-elo-v1</t>
        </is>
      </c>
      <c r="U667" s="24" t="inlineStr">
        <is>
          <t>settled</t>
        </is>
      </c>
      <c r="V667" s="24" t="inlineStr">
        <is>
          <t>loss</t>
        </is>
      </c>
      <c r="W667" s="26" t="n">
        <v>1</v>
      </c>
      <c r="X667" s="26" t="n">
        <v>0</v>
      </c>
      <c r="Y667" s="25" t="n"/>
      <c r="Z667" s="26" t="n">
        <v>-186</v>
      </c>
      <c r="AA667" s="28" t="n">
        <v>0.65</v>
      </c>
      <c r="AB667" s="28" t="n">
        <v>-0.00035</v>
      </c>
      <c r="AC667" s="30" t="n">
        <v>-1</v>
      </c>
      <c r="AD667" s="24" t="inlineStr">
        <is>
          <t>2026-09-18T22:00:09.303019Z</t>
        </is>
      </c>
      <c r="AE667" s="31" t="inlineStr">
        <is>
          <t>Surface-blended Elo on Hard: Lisa Pigato p=0.461 vs Susan Bandecchi. Executable ask 0.6500 (aec-wta-susban-lispig-2026-09-17).</t>
        </is>
      </c>
      <c r="AF667" s="31" t="inlineStr">
        <is>
          <t>Surface-blended Elo model; singles only, WTA+ATP market coverage, not yet locked-holdout qualified -- promoted by explicit operator directive, not genuine walk-forward validation.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Lisa Pigato</t>
        </is>
      </c>
      <c r="AQ667" s="24" t="inlineStr">
        <is>
          <t>Lisa Pigato</t>
        </is>
      </c>
      <c r="AR667" s="24" t="inlineStr">
        <is>
          <t>Lisa Pigato</t>
        </is>
      </c>
      <c r="AS667" s="24" t="inlineStr">
        <is>
          <t>Susan Bandecchi</t>
        </is>
      </c>
      <c r="AT667" s="24" t="inlineStr">
        <is>
          <t>Susan Bandecchi</t>
        </is>
      </c>
      <c r="AU667" s="24" t="inlineStr">
        <is>
          <t>Susan Bandecchi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6c67e999d2a03612e30f4032c8e5e77e8becfbc79e05f4c8993e726b90d34d54</t>
        </is>
      </c>
      <c r="BB667" s="24" t="inlineStr">
        <is>
          <t>surface_blended_elo</t>
        </is>
      </c>
      <c r="BC667" s="24" t="inlineStr">
        <is>
          <t>tennis-surface-elo-v1</t>
        </is>
      </c>
      <c r="BD667" s="24" t="inlineStr">
        <is>
          <t>6c67e999d2a03612e30f4032c8e5e77e8becfbc79e05f4c8993e726b90d34d54</t>
        </is>
      </c>
      <c r="BE667" s="24" t="inlineStr">
        <is>
          <t>tennis-surface-elo-v1</t>
        </is>
      </c>
      <c r="BF667" s="24" t="inlineStr">
        <is>
          <t>1</t>
        </is>
      </c>
      <c r="BG667" s="24" t="inlineStr">
        <is>
          <t>6c67e999d2a03612e30f4032c8e5e77e8becfbc79e05f4c8993e726b90d34d54</t>
        </is>
      </c>
      <c r="BH667" s="24" t="inlineStr">
        <is>
          <t>2026-09-18T07:23:33.911852Z</t>
        </is>
      </c>
      <c r="BI667" s="24" t="inlineStr">
        <is>
          <t>["same_event","same_team_same_day","same_league_same_day"]</t>
        </is>
      </c>
      <c r="BJ667" s="25" t="n"/>
      <c r="BK667" s="26" t="n">
        <v>-186</v>
      </c>
      <c r="BL667" s="27" t="n">
        <v>1.537634</v>
      </c>
      <c r="BM667" s="28" t="n">
        <v>0.65035</v>
      </c>
      <c r="BN667" s="28" t="n"/>
      <c r="BO667" s="28" t="n"/>
      <c r="BP667" s="25" t="n"/>
      <c r="BQ667" s="27" t="n">
        <v>1.537634</v>
      </c>
      <c r="BR667" s="28" t="n">
        <v>0.65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-1</v>
      </c>
      <c r="BZ667" s="24" t="inlineStr">
        <is>
          <t>2026-09-18T22:00:09.303019Z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False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inlineStr">
        <is>
          <t>6b823490d0ea15391714dae0def9dce2f5ee9fb30e0454f50d1bd766711733c5</t>
        </is>
      </c>
      <c r="DE667" s="24" t="inlineStr">
        <is>
          <t>/Users/vincentc9002/model-prediction/data/odds/tennis/2026-09-18/polymarket_snapshots.jsonl</t>
        </is>
      </c>
      <c r="DF667" s="24" t="inlineStr">
        <is>
          <t>912177:2026-09-18T07:23:33.911852Z</t>
        </is>
      </c>
      <c r="DG667" s="24" t="n"/>
      <c r="DH667" s="24" t="n"/>
      <c r="DI667" s="24" t="n"/>
      <c r="DJ667" s="24" t="inlineStr">
        <is>
          <t>0.65035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"6c67e999d2a03612e30f4032c8e5e77e8becfbc79e05f4c8993e726b90d34d54", "away_team": "Lisa Pigato", "event_id": "1024-2026:183725", "event_start_utc": "2026-09-18T15:00Z", "features": {"elo_p1_surface": 1485.8, "elo_p2_surface": 1491.3, "expected_games_p1": 12.43, "expected_games_p2": 12.36, "expected_total_games": 24.79, "history_matches": 16130, "min_player_matches": 30, "surface": "Hard"}, "historical_source_observation_times_verified": false, "home_team": "Susan Bandecchi", "inference_inputs": {"code_sha256": {"features/elo_ratings.py": "8525faf022a6343c452286dbfeb17dbb043744c6bdabbe448b6b371216da439b", "models/tennis.py": "6c67e999d2a03612e30f4032c8e5e77e8becfbc79e05f4c8993e726b90d34d54"}, "overall_ratings": [1485.762120077996, 1543.977920762475], "players": ["Lisa Pigato", "Susan Bandecchi"], "sport": "TENNIS", "surface": "Hard", "surface_counts": [17, 33], "surface_ratings": [1485.763124593129, 1491.3230616706821]}, "market_type": "moneyline", "model_version": "tennis-surface-elo-v1", "observed_at_utc": "2026-09-18T10:34:41.439327+00:00", "probabilities": {"away": 0.4606, "home": 0.5394}, "replay_scope": "Exact full-precision serving state and rounding; upstream historical observation times are not certified.", "schema": "coded-moneyline-replay-v1", "snapshot_hash": "fe65f50a5972e874707533e79bbe1549853552bd35a8bd9a7eee3f1cbc20c025", "sport": "TENNIS"}</t>
        </is>
      </c>
    </row>
    <row r="668" ht="36" customHeight="1">
      <c r="A668" s="24" t="inlineStr">
        <is>
          <t>dda193fd9cf14f44</t>
        </is>
      </c>
      <c r="B668" s="24" t="inlineStr">
        <is>
          <t>2026-09-18T17:55:01.240103Z</t>
        </is>
      </c>
      <c r="C668" s="24" t="inlineStr">
        <is>
          <t>2026-09-18T22:00Z</t>
        </is>
      </c>
      <c r="D668" s="24" t="inlineStr">
        <is>
          <t>1005-2026:183843</t>
        </is>
      </c>
      <c r="E668" s="24" t="inlineStr">
        <is>
          <t>TENNIS</t>
        </is>
      </c>
      <c r="F668" s="24" t="inlineStr">
        <is>
          <t>Suzan Lamens</t>
        </is>
      </c>
      <c r="G668" s="24" t="inlineStr">
        <is>
          <t>Nadia Podoroska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polymarket_us</t>
        </is>
      </c>
      <c r="L668" s="26" t="n">
        <v>-113</v>
      </c>
      <c r="M668" s="27" t="n">
        <v>1.884956</v>
      </c>
      <c r="N668" s="28" t="n">
        <v>0.530516</v>
      </c>
      <c r="O668" s="28" t="n">
        <v>0.5365</v>
      </c>
      <c r="P668" s="28" t="n">
        <v>0.05</v>
      </c>
      <c r="Q668" s="28" t="n">
        <v>0.005984</v>
      </c>
      <c r="R668" s="26" t="n">
        <v>23</v>
      </c>
      <c r="S668" s="29" t="n">
        <v>1</v>
      </c>
      <c r="T668" s="24" t="inlineStr">
        <is>
          <t>tennis-surface-elo-v1</t>
        </is>
      </c>
      <c r="U668" s="24" t="inlineStr">
        <is>
          <t>settled</t>
        </is>
      </c>
      <c r="V668" s="24" t="inlineStr">
        <is>
          <t>win</t>
        </is>
      </c>
      <c r="W668" s="26" t="n">
        <v>0</v>
      </c>
      <c r="X668" s="26" t="n">
        <v>1</v>
      </c>
      <c r="Y668" s="25" t="n"/>
      <c r="Z668" s="26" t="n">
        <v>-113</v>
      </c>
      <c r="AA668" s="28" t="n">
        <v>0.53</v>
      </c>
      <c r="AB668" s="28" t="n">
        <v>-0.000516</v>
      </c>
      <c r="AC668" s="30" t="n">
        <v>0.885</v>
      </c>
      <c r="AD668" s="24" t="inlineStr">
        <is>
          <t>2026-09-19T04:30:07.273737Z</t>
        </is>
      </c>
      <c r="AE668" s="31" t="inlineStr">
        <is>
          <t>Surface-blended Elo on Hard: Suzan Lamens p=0.464 vs Nadia Podoroska. Executable ask 0.5300 (aec-wta-nadpod-suzlam-2026-09-18).</t>
        </is>
      </c>
      <c r="AF668" s="31" t="inlineStr">
        <is>
          <t>Surface-blended Elo model; singles only, WTA+ATP market coverage, not yet locked-holdout qualified -- promoted by explicit operator directive, not genuine walk-forward validation.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Suzan Lamens</t>
        </is>
      </c>
      <c r="AQ668" s="24" t="inlineStr">
        <is>
          <t>Suzan Lamens</t>
        </is>
      </c>
      <c r="AR668" s="24" t="inlineStr">
        <is>
          <t>Suzan Lamens</t>
        </is>
      </c>
      <c r="AS668" s="24" t="inlineStr">
        <is>
          <t>Nadia Podoroska</t>
        </is>
      </c>
      <c r="AT668" s="24" t="inlineStr">
        <is>
          <t>Nadia Podoroska</t>
        </is>
      </c>
      <c r="AU668" s="24" t="inlineStr">
        <is>
          <t>Nadia Podoroska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6c67e999d2a03612e30f4032c8e5e77e8becfbc79e05f4c8993e726b90d34d54</t>
        </is>
      </c>
      <c r="BB668" s="24" t="inlineStr">
        <is>
          <t>surface_blended_elo</t>
        </is>
      </c>
      <c r="BC668" s="24" t="inlineStr">
        <is>
          <t>tennis-surface-elo-v1</t>
        </is>
      </c>
      <c r="BD668" s="24" t="inlineStr">
        <is>
          <t>6c67e999d2a03612e30f4032c8e5e77e8becfbc79e05f4c8993e726b90d34d54</t>
        </is>
      </c>
      <c r="BE668" s="24" t="inlineStr">
        <is>
          <t>tennis-surface-elo-v1</t>
        </is>
      </c>
      <c r="BF668" s="24" t="inlineStr">
        <is>
          <t>1</t>
        </is>
      </c>
      <c r="BG668" s="24" t="inlineStr">
        <is>
          <t>6c67e999d2a03612e30f4032c8e5e77e8becfbc79e05f4c8993e726b90d34d54</t>
        </is>
      </c>
      <c r="BH668" s="24" t="inlineStr">
        <is>
          <t>2026-09-18T17:26:14.063530Z</t>
        </is>
      </c>
      <c r="BI668" s="24" t="inlineStr">
        <is>
          <t>["same_event","same_team_same_day","same_league_same_day"]</t>
        </is>
      </c>
      <c r="BJ668" s="25" t="n"/>
      <c r="BK668" s="26" t="n">
        <v>-113</v>
      </c>
      <c r="BL668" s="27" t="n">
        <v>1.884956</v>
      </c>
      <c r="BM668" s="28" t="n">
        <v>0.530516</v>
      </c>
      <c r="BN668" s="28" t="n"/>
      <c r="BO668" s="28" t="n"/>
      <c r="BP668" s="25" t="n"/>
      <c r="BQ668" s="27" t="n">
        <v>1.884956</v>
      </c>
      <c r="BR668" s="28" t="n">
        <v>0.53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0.884957</v>
      </c>
      <c r="BZ668" s="24" t="inlineStr">
        <is>
          <t>2026-09-19T04:30:07.273737Z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inlineStr">
        <is>
          <t>b2e75834606dc746849a715c5716583a6eb8040b1bd1c3683e0af1d4882f4c54</t>
        </is>
      </c>
      <c r="DE668" s="24" t="inlineStr">
        <is>
          <t>/Users/vincentc9002/model-prediction/data/odds/tennis/2026-09-18/polymarket_snapshots.jsonl</t>
        </is>
      </c>
      <c r="DF668" s="24" t="inlineStr">
        <is>
          <t>929084:2026-09-18T17:26:14.063530Z</t>
        </is>
      </c>
      <c r="DG668" s="24" t="n"/>
      <c r="DH668" s="24" t="n"/>
      <c r="DI668" s="24" t="n"/>
      <c r="DJ668" s="24" t="inlineStr">
        <is>
          <t>0.530516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"6c67e999d2a03612e30f4032c8e5e77e8becfbc79e05f4c8993e726b90d34d54", "away_team": "Suzan Lamens", "event_id": "1005-2026:183843", "event_start_utc": "2026-09-18T22:00Z", "features": {"elo_p1_surface": 1524.9, "elo_p2_surface": 1563.0, "expected_games_p1": 11.55, "expected_games_p2": 12.94, "expected_total_games": 24.49, "history_matches": 16130, "min_player_matches": 68, "surface": "Hard"}, "historical_source_observation_times_verified": false, "home_team": "Nadia Podoroska", "inference_inputs": {"code_sha256": {"features/elo_ratings.py": "8525faf022a6343c452286dbfeb17dbb043744c6bdabbe448b6b371216da439b", "models/tennis.py": "6c67e999d2a03612e30f4032c8e5e77e8becfbc79e05f4c8993e726b90d34d54"}, "overall_ratings": [1549.6107560200792, 1542.0263047476778], "players": ["Suzan Lamens", "Nadia Podoroska"], "sport": "TENNIS", "surface": "Hard", "surface_counts": [118, 61], "surface_ratings": [1524.886897079801, 1563.0079693139141]}, "market_type": "moneyline", "model_version": "tennis-surface-elo-v1", "observed_at_utc": "2026-09-18T17:55:00.248352+00:00", "probabilities": {"away": 0.4635, "home": 0.5365}, "replay_scope": "Exact full-precision serving state and rounding; upstream historical observation times are not certified.", "schema": "coded-moneyline-replay-v1", "snapshot_hash": "df1a885d022627a89eb870635433be0172bd2649203da02a06b9838fd41ab790", "sport": "TENNIS"}</t>
        </is>
      </c>
    </row>
    <row r="669" ht="36" customHeight="1">
      <c r="A669" s="24" t="inlineStr">
        <is>
          <t>886f9358f6714e6e</t>
        </is>
      </c>
      <c r="B669" s="24" t="inlineStr">
        <is>
          <t>2026-09-19T05:44:34.724823Z</t>
        </is>
      </c>
      <c r="C669" s="24" t="inlineStr">
        <is>
          <t>2026-09-19T06:30Z</t>
        </is>
      </c>
      <c r="D669" s="24" t="inlineStr">
        <is>
          <t>811-2026:186070</t>
        </is>
      </c>
      <c r="E669" s="24" t="inlineStr">
        <is>
          <t>TENNIS</t>
        </is>
      </c>
      <c r="F669" s="24" t="inlineStr">
        <is>
          <t>Priscilla Hon</t>
        </is>
      </c>
      <c r="G669" s="24" t="inlineStr">
        <is>
          <t>Yao Xinxin</t>
        </is>
      </c>
      <c r="H669" s="24" t="inlineStr">
        <is>
          <t>moneyline</t>
        </is>
      </c>
      <c r="I669" s="24" t="inlineStr">
        <is>
          <t>away</t>
        </is>
      </c>
      <c r="J669" s="25" t="n"/>
      <c r="K669" s="24" t="inlineStr">
        <is>
          <t>polymarket_us</t>
        </is>
      </c>
      <c r="L669" s="26" t="n">
        <v>-163</v>
      </c>
      <c r="M669" s="27" t="n">
        <v>1.613497</v>
      </c>
      <c r="N669" s="28" t="n">
        <v>0.619772</v>
      </c>
      <c r="O669" s="28" t="n">
        <v>0.551</v>
      </c>
      <c r="P669" s="28" t="n">
        <v>0.05</v>
      </c>
      <c r="Q669" s="28" t="n">
        <v>-0.068772</v>
      </c>
      <c r="R669" s="26" t="n">
        <v>0</v>
      </c>
      <c r="S669" s="29" t="n">
        <v>1</v>
      </c>
      <c r="T669" s="24" t="inlineStr">
        <is>
          <t>tennis-surface-elo-v1</t>
        </is>
      </c>
      <c r="U669" s="24" t="inlineStr">
        <is>
          <t>settled</t>
        </is>
      </c>
      <c r="V669" s="24" t="inlineStr">
        <is>
          <t>loss</t>
        </is>
      </c>
      <c r="W669" s="26" t="n">
        <v>0</v>
      </c>
      <c r="X669" s="26" t="n">
        <v>1</v>
      </c>
      <c r="Y669" s="25" t="n"/>
      <c r="Z669" s="26" t="n">
        <v>-163</v>
      </c>
      <c r="AA669" s="28" t="n">
        <v>0.62</v>
      </c>
      <c r="AB669" s="28" t="n">
        <v>0.000228</v>
      </c>
      <c r="AC669" s="30" t="n">
        <v>-1</v>
      </c>
      <c r="AD669" s="24" t="inlineStr">
        <is>
          <t>2026-09-19T10:00:17.015720Z</t>
        </is>
      </c>
      <c r="AE669" s="31" t="inlineStr">
        <is>
          <t>Surface-blended Elo on Hard: Priscilla Hon p=0.551 vs Yao Xinxin. Executable ask 0.6200 (aec-wta-xinyao-prihon-2026-09-19).</t>
        </is>
      </c>
      <c r="AF669" s="31" t="inlineStr">
        <is>
          <t>Surface-blended Elo model; singles only, WTA+ATP market coverage, not yet locked-holdout qualified -- promoted by explicit operator directive, not genuine walk-forward validation.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Priscilla Hon</t>
        </is>
      </c>
      <c r="AQ669" s="24" t="inlineStr">
        <is>
          <t>Priscilla Hon</t>
        </is>
      </c>
      <c r="AR669" s="24" t="inlineStr">
        <is>
          <t>Priscilla Hon</t>
        </is>
      </c>
      <c r="AS669" s="24" t="inlineStr">
        <is>
          <t>Yao Xinxin</t>
        </is>
      </c>
      <c r="AT669" s="24" t="inlineStr">
        <is>
          <t>Yao Xinxin</t>
        </is>
      </c>
      <c r="AU669" s="24" t="inlineStr">
        <is>
          <t>Yao Xinxin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6c67e999d2a03612e30f4032c8e5e77e8becfbc79e05f4c8993e726b90d34d54</t>
        </is>
      </c>
      <c r="BB669" s="24" t="inlineStr">
        <is>
          <t>surface_blended_elo</t>
        </is>
      </c>
      <c r="BC669" s="24" t="inlineStr">
        <is>
          <t>tennis-surface-elo-v1</t>
        </is>
      </c>
      <c r="BD669" s="24" t="inlineStr">
        <is>
          <t>6c67e999d2a03612e30f4032c8e5e77e8becfbc79e05f4c8993e726b90d34d54</t>
        </is>
      </c>
      <c r="BE669" s="24" t="inlineStr">
        <is>
          <t>tennis-surface-elo-v1</t>
        </is>
      </c>
      <c r="BF669" s="24" t="inlineStr">
        <is>
          <t>1</t>
        </is>
      </c>
      <c r="BG669" s="24" t="inlineStr">
        <is>
          <t>6c67e999d2a03612e30f4032c8e5e77e8becfbc79e05f4c8993e726b90d34d54</t>
        </is>
      </c>
      <c r="BH669" s="24" t="inlineStr">
        <is>
          <t>2026-09-19T05:41:18.102469Z</t>
        </is>
      </c>
      <c r="BI669" s="24" t="inlineStr">
        <is>
          <t>["same_event","same_team_same_day","same_league_same_day"]</t>
        </is>
      </c>
      <c r="BJ669" s="25" t="n"/>
      <c r="BK669" s="26" t="n">
        <v>-163</v>
      </c>
      <c r="BL669" s="27" t="n">
        <v>1.613497</v>
      </c>
      <c r="BM669" s="28" t="n">
        <v>0.619772</v>
      </c>
      <c r="BN669" s="28" t="n"/>
      <c r="BO669" s="28" t="n"/>
      <c r="BP669" s="25" t="n"/>
      <c r="BQ669" s="27" t="n">
        <v>1.613497</v>
      </c>
      <c r="BR669" s="28" t="n">
        <v>0.62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2026-09-19T10:00:17.015720Z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inlineStr">
        <is>
          <t>1379d22bd057221f262252f133522ec360e5badd6c5b06430455ddc84166b3e0</t>
        </is>
      </c>
      <c r="DE669" s="24" t="inlineStr">
        <is>
          <t>/Users/vincentc9002/model-prediction/data/odds/tennis/2026-09-19/polymarket_snapshots.jsonl</t>
        </is>
      </c>
      <c r="DF669" s="24" t="inlineStr">
        <is>
          <t>934605:2026-09-19T05:41:18.102469Z</t>
        </is>
      </c>
      <c r="DG669" s="24" t="n"/>
      <c r="DH669" s="24" t="n"/>
      <c r="DI669" s="24" t="n"/>
      <c r="DJ669" s="24" t="inlineStr">
        <is>
          <t>0.619772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"6c67e999d2a03612e30f4032c8e5e77e8becfbc79e05f4c8993e726b90d34d54", "away_team": "Priscilla Hon", "event_id": "811-2026:186070", "event_start_utc": "2026-09-19T06:30Z", "features": {"elo_p1_surface": 1509.4, "elo_p2_surface": 1462.8, "expected_games_p1": 13.28, "expected_games_p2": 10.88, "expected_total_games": 24.17, "history_matches": 16150, "min_player_matches": 20,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[1463.3470603096544, 1457.281385830099], "players": ["Priscilla Hon", "Yao Xinxin"], "sport": "TENNIS", "surface": "Hard", "surface_counts": [69, 19], "surface_ratings": [1509.3711408070608, 1462.7652705158769]}, "market_type": "moneyline", "model_version": "tennis-surface-elo-v1", "observed_at_utc": "2026-09-19T05:44:33.752440+00:00", "probabilities": {"away": 0.551, "home": 0.449}, "replay_scope": "Exact full-precision serving state and rounding; upstream historical observation times are not certified.", "schema": "coded-moneyline-replay-v1", "snapshot_hash": "71736c0603b60f68e009dd58d78e94da0f7b74128b870071285e5a4da8a48372", "sport": "TENNIS"}</t>
        </is>
      </c>
    </row>
    <row r="670" ht="36" customHeight="1">
      <c r="A670" s="24" t="inlineStr">
        <is>
          <t>4385362d90864cd1</t>
        </is>
      </c>
      <c r="B670" s="24" t="inlineStr">
        <is>
          <t>2026-09-19T05:44:34.724823Z</t>
        </is>
      </c>
      <c r="C670" s="24" t="inlineStr">
        <is>
          <t>2026-09-19T08:00Z</t>
        </is>
      </c>
      <c r="D670" s="24" t="inlineStr">
        <is>
          <t>811-2026:186067</t>
        </is>
      </c>
      <c r="E670" s="24" t="inlineStr">
        <is>
          <t>TENNIS</t>
        </is>
      </c>
      <c r="F670" s="24" t="inlineStr">
        <is>
          <t>Sara Saito</t>
        </is>
      </c>
      <c r="G670" s="24" t="inlineStr">
        <is>
          <t>En-Shuo Liang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-233</v>
      </c>
      <c r="M670" s="27" t="n">
        <v>1.429185</v>
      </c>
      <c r="N670" s="28" t="n">
        <v>0.6997</v>
      </c>
      <c r="O670" s="28" t="n">
        <v>0.7426</v>
      </c>
      <c r="P670" s="28" t="n">
        <v>0.05</v>
      </c>
      <c r="Q670" s="28" t="n">
        <v>0.0429</v>
      </c>
      <c r="R670" s="26" t="n">
        <v>41</v>
      </c>
      <c r="S670" s="29" t="n">
        <v>1</v>
      </c>
      <c r="T670" s="24" t="inlineStr">
        <is>
          <t>tennis-surface-elo-v1</t>
        </is>
      </c>
      <c r="U670" s="24" t="inlineStr">
        <is>
          <t>settled</t>
        </is>
      </c>
      <c r="V670" s="24" t="inlineStr">
        <is>
          <t>loss</t>
        </is>
      </c>
      <c r="W670" s="26" t="n">
        <v>1</v>
      </c>
      <c r="X670" s="26" t="n">
        <v>0</v>
      </c>
      <c r="Y670" s="25" t="n"/>
      <c r="Z670" s="26" t="n">
        <v>-233</v>
      </c>
      <c r="AA670" s="28" t="n">
        <v>0.7</v>
      </c>
      <c r="AB670" s="28" t="n">
        <v>0.0003</v>
      </c>
      <c r="AC670" s="30" t="n">
        <v>-1</v>
      </c>
      <c r="AD670" s="24" t="inlineStr">
        <is>
          <t>2026-09-19T16:00:09.965497Z</t>
        </is>
      </c>
      <c r="AE670" s="31" t="inlineStr">
        <is>
          <t>Surface-blended Elo on Hard: Sara Saito p=0.257 vs En-Shuo Liang. Executable ask 0.7000 (aec-wta-enslia-sarsai-2026-09-19).</t>
        </is>
      </c>
      <c r="AF670" s="31" t="inlineStr">
        <is>
          <t>Surface-blended Elo model; singles only, WTA+ATP market coverage, not yet locked-holdout qualified -- promoted by explicit operator directive, not genuine walk-forward validation.</t>
        </is>
      </c>
      <c r="AG670" s="24" t="inlineStr">
        <is>
          <t>review_required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PAPER_CALL_LOW_EDGE</t>
        </is>
      </c>
      <c r="AP670" s="24" t="inlineStr">
        <is>
          <t>Sara Saito</t>
        </is>
      </c>
      <c r="AQ670" s="24" t="inlineStr">
        <is>
          <t>Sara Saito</t>
        </is>
      </c>
      <c r="AR670" s="24" t="inlineStr">
        <is>
          <t>Sara Saito</t>
        </is>
      </c>
      <c r="AS670" s="24" t="inlineStr">
        <is>
          <t>En-Shuo Liang</t>
        </is>
      </c>
      <c r="AT670" s="24" t="inlineStr">
        <is>
          <t>En-Shuo Liang</t>
        </is>
      </c>
      <c r="AU670" s="24" t="inlineStr">
        <is>
          <t>En-Shuo Liang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6c67e999d2a03612e30f4032c8e5e77e8becfbc79e05f4c8993e726b90d34d54</t>
        </is>
      </c>
      <c r="BB670" s="24" t="inlineStr">
        <is>
          <t>surface_blended_elo</t>
        </is>
      </c>
      <c r="BC670" s="24" t="inlineStr">
        <is>
          <t>tennis-surface-elo-v1</t>
        </is>
      </c>
      <c r="BD670" s="24" t="inlineStr">
        <is>
          <t>6c67e999d2a03612e30f4032c8e5e77e8becfbc79e05f4c8993e726b90d34d54</t>
        </is>
      </c>
      <c r="BE670" s="24" t="inlineStr">
        <is>
          <t>tennis-surface-elo-v1</t>
        </is>
      </c>
      <c r="BF670" s="24" t="inlineStr">
        <is>
          <t>1</t>
        </is>
      </c>
      <c r="BG670" s="24" t="inlineStr">
        <is>
          <t>6c67e999d2a03612e30f4032c8e5e77e8becfbc79e05f4c8993e726b90d34d54</t>
        </is>
      </c>
      <c r="BH670" s="24" t="inlineStr">
        <is>
          <t>2026-09-19T05:41:39.941784Z</t>
        </is>
      </c>
      <c r="BI670" s="24" t="inlineStr">
        <is>
          <t>["same_event","same_team_same_day","same_league_same_day"]</t>
        </is>
      </c>
      <c r="BJ670" s="25" t="n"/>
      <c r="BK670" s="26" t="n">
        <v>-233</v>
      </c>
      <c r="BL670" s="27" t="n">
        <v>1.429185</v>
      </c>
      <c r="BM670" s="28" t="n">
        <v>0.6997</v>
      </c>
      <c r="BN670" s="28" t="n"/>
      <c r="BO670" s="28" t="n"/>
      <c r="BP670" s="25" t="n"/>
      <c r="BQ670" s="27" t="n">
        <v>1.429185</v>
      </c>
      <c r="BR670" s="28" t="n">
        <v>0.7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-1</v>
      </c>
      <c r="BZ670" s="24" t="inlineStr">
        <is>
          <t>2026-09-19T16:00:09.965497Z</t>
        </is>
      </c>
      <c r="CA670" s="31" t="inlineStr">
        <is>
          <t>fixed one-unit hypothetical scoring; no real exposure or execution</t>
        </is>
      </c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inlineStr">
        <is>
          <t>b3fd6b5a262dedfd7f61e931ac1f5aa01b50feb032ea2df2f78ffdf66320a51f</t>
        </is>
      </c>
      <c r="DE670" s="24" t="inlineStr">
        <is>
          <t>/Users/vincentc9002/model-prediction/data/odds/tennis/2026-09-19/polymarket_snapshots.jsonl</t>
        </is>
      </c>
      <c r="DF670" s="24" t="inlineStr">
        <is>
          <t>934608:2026-09-19T05:41:39.941784Z</t>
        </is>
      </c>
      <c r="DG670" s="24" t="n"/>
      <c r="DH670" s="24" t="n"/>
      <c r="DI670" s="24" t="n"/>
      <c r="DJ670" s="24" t="inlineStr">
        <is>
          <t>0.6997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"6c67e999d2a03612e30f4032c8e5e77e8becfbc79e05f4c8993e726b90d34d54", "away_team": "Sara Saito", "event_id": "811-2026:186067", "event_start_utc": "2026-09-19T08:00Z", "features": {"elo_p1_surface": 1393.4, "elo_p2_surface": 1576.0, "expected_games_p1": 6.78, "expected_games_p2": 12.83, "expected_total_games": 19.61, "history_matches": 16150, "min_player_matches": 39, "surface": "Hard"}, "historical_source_observation_times_verified": false, "home_team": "En-Shuo Liang", "inference_inputs": {"code_sha256": {"features/elo_ratings.py": "8525faf022a6343c452286dbfeb17dbb043744c6bdabbe448b6b371216da439b", "models/tennis.py": "6c67e999d2a03612e30f4032c8e5e77e8becfbc79e05f4c8993e726b90d34d54"}, "overall_ratings": [1393.2000157539417, 1579.641046101865], "players": ["Sara Saito", "En-Shuo Liang"], "sport": "TENNIS", "surface": "Hard", "surface_counts": [30, 43], "surface_ratings": [1393.3846706542543, 1575.9753579189405]}, "market_type": "moneyline", "model_version": "tennis-surface-elo-v1", "observed_at_utc": "2026-09-19T05:44:33.752440+00:00", "probabilities": {"away": 0.2574, "home": 0.7426}, "replay_scope": "Exact full-precision serving state and rounding; upstream historical observation times are not certified.", "schema": "coded-moneyline-replay-v1", "snapshot_hash": "d808dc0d6960d23c68b042a7506b6ba857b057da90ad91d403b38cd207d40e72", "sport": "TENNIS"}</t>
        </is>
      </c>
    </row>
    <row r="671" ht="36" customHeight="1">
      <c r="A671" s="24" t="inlineStr">
        <is>
          <t>b0216325af8e4c2c</t>
        </is>
      </c>
      <c r="B671" s="24" t="inlineStr">
        <is>
          <t>2026-09-19T22:46:24.477785Z</t>
        </is>
      </c>
      <c r="C671" s="24" t="inlineStr">
        <is>
          <t>2026-09-19T23:00Z</t>
        </is>
      </c>
      <c r="D671" s="24" t="inlineStr">
        <is>
          <t>887-2026:183812</t>
        </is>
      </c>
      <c r="E671" s="24" t="inlineStr">
        <is>
          <t>TENNIS</t>
        </is>
      </c>
      <c r="F671" s="24" t="inlineStr">
        <is>
          <t>Iva Jovic</t>
        </is>
      </c>
      <c r="G671" s="24" t="inlineStr">
        <is>
          <t>Peyton Stearns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-300</v>
      </c>
      <c r="M671" s="27" t="n">
        <v>1.333333</v>
      </c>
      <c r="N671" s="28" t="n">
        <v>0.75</v>
      </c>
      <c r="O671" s="28" t="n">
        <v>0.7198</v>
      </c>
      <c r="P671" s="28" t="n">
        <v>0.05</v>
      </c>
      <c r="Q671" s="28" t="n">
        <v>-0.0302</v>
      </c>
      <c r="R671" s="26" t="n">
        <v>5</v>
      </c>
      <c r="S671" s="29" t="n">
        <v>1</v>
      </c>
      <c r="T671" s="24" t="inlineStr">
        <is>
          <t>tennis-surface-elo-v1</t>
        </is>
      </c>
      <c r="U671" s="24" t="inlineStr">
        <is>
          <t>settled</t>
        </is>
      </c>
      <c r="V671" s="24" t="inlineStr">
        <is>
          <t>win</t>
        </is>
      </c>
      <c r="W671" s="26" t="n">
        <v>1</v>
      </c>
      <c r="X671" s="26" t="n">
        <v>0</v>
      </c>
      <c r="Y671" s="25" t="n"/>
      <c r="Z671" s="26" t="n">
        <v>-300</v>
      </c>
      <c r="AA671" s="28" t="n">
        <v>0.75</v>
      </c>
      <c r="AB671" s="28" t="n">
        <v>0</v>
      </c>
      <c r="AC671" s="30" t="n">
        <v>0.3333</v>
      </c>
      <c r="AD671" s="24" t="inlineStr">
        <is>
          <t>2026-09-20T04:31:37.596530Z</t>
        </is>
      </c>
      <c r="AE671" s="31" t="inlineStr">
        <is>
          <t>Surface-blended Elo on Hard: Iva Jovic p=0.720 vs Peyton Stearns. Executable ask 0.7500 (aec-wta-peyste-ivajov-2026-09-19).</t>
        </is>
      </c>
      <c r="AF671" s="31" t="inlineStr">
        <is>
          <t>Surface-blended Elo model; singles only, WTA+ATP market coverage, not yet locked-holdout qualified -- promoted by explicit operator directive, not genuine walk-forward validation.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Iva Jovic</t>
        </is>
      </c>
      <c r="AQ671" s="24" t="inlineStr">
        <is>
          <t>Iva Jovic</t>
        </is>
      </c>
      <c r="AR671" s="24" t="inlineStr">
        <is>
          <t>Iva Jovic</t>
        </is>
      </c>
      <c r="AS671" s="24" t="inlineStr">
        <is>
          <t>Peyton Stearns</t>
        </is>
      </c>
      <c r="AT671" s="24" t="inlineStr">
        <is>
          <t>Peyton Stearns</t>
        </is>
      </c>
      <c r="AU671" s="24" t="inlineStr">
        <is>
          <t>Peyton Stearns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6c67e999d2a03612e30f4032c8e5e77e8becfbc79e05f4c8993e726b90d34d54</t>
        </is>
      </c>
      <c r="BB671" s="24" t="inlineStr">
        <is>
          <t>surface_blended_elo</t>
        </is>
      </c>
      <c r="BC671" s="24" t="inlineStr">
        <is>
          <t>tennis-surface-elo-v1</t>
        </is>
      </c>
      <c r="BD671" s="24" t="inlineStr">
        <is>
          <t>6c67e999d2a03612e30f4032c8e5e77e8becfbc79e05f4c8993e726b90d34d54</t>
        </is>
      </c>
      <c r="BE671" s="24" t="inlineStr">
        <is>
          <t>tennis-surface-elo-v1</t>
        </is>
      </c>
      <c r="BF671" s="24" t="inlineStr">
        <is>
          <t>1</t>
        </is>
      </c>
      <c r="BG671" s="24" t="inlineStr">
        <is>
          <t>6c67e999d2a03612e30f4032c8e5e77e8becfbc79e05f4c8993e726b90d34d54</t>
        </is>
      </c>
      <c r="BH671" s="24" t="inlineStr">
        <is>
          <t>2026-09-19T05:42:14.949996Z</t>
        </is>
      </c>
      <c r="BI671" s="24" t="inlineStr">
        <is>
          <t>["same_event","same_team_same_day","same_league_same_day"]</t>
        </is>
      </c>
      <c r="BJ671" s="25" t="n"/>
      <c r="BK671" s="26" t="n">
        <v>-300</v>
      </c>
      <c r="BL671" s="27" t="n">
        <v>1.333333</v>
      </c>
      <c r="BM671" s="28" t="n">
        <v>0.75</v>
      </c>
      <c r="BN671" s="28" t="n"/>
      <c r="BO671" s="28" t="n"/>
      <c r="BP671" s="25" t="n"/>
      <c r="BQ671" s="27" t="n">
        <v>1.333333</v>
      </c>
      <c r="BR671" s="28" t="n">
        <v>0.75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0.333333</v>
      </c>
      <c r="BZ671" s="24" t="inlineStr">
        <is>
          <t>2026-09-20T04:31:37.596530Z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inlineStr">
        <is>
          <t>f806d7abfae7e371d740103f0d13281ecc6c4af861251c4bef6f6f0fc7dbc929</t>
        </is>
      </c>
      <c r="DE671" s="24" t="inlineStr">
        <is>
          <t>/Users/vincentc9002/model-prediction/data/odds/tennis/2026-09-19/polymarket_snapshots.jsonl</t>
        </is>
      </c>
      <c r="DF671" s="24" t="inlineStr">
        <is>
          <t>944893:2026-09-19T05:42:14.949996Z</t>
        </is>
      </c>
      <c r="DG671" s="24" t="n"/>
      <c r="DH671" s="24" t="n"/>
      <c r="DI671" s="24" t="n"/>
      <c r="DJ671" s="24" t="inlineStr">
        <is>
          <t>0.75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"6c67e999d2a03612e30f4032c8e5e77e8becfbc79e05f4c8993e726b90d34d54", "away_team": "Iva Jovic", "event_id": "887-2026:183812", "event_start_utc": "2026-09-19T23:00Z", "features": {"elo_p1_surface": 1795.2, "elo_p2_surface": 1637.9, "expected_games_p1": 13.1, "expected_games_p2": 7.06, "expected_total_games": 20.16, "history_matches": 16150, "min_player_matches": 101, "surface": "Hard"}, "historical_source_observation_times_verified": false, "home_team": "Peyton Stearns", "inference_inputs": {"code_sha256": {"features/elo_ratings.py": "8525faf022a6343c452286dbfeb17dbb043744c6bdabbe448b6b371216da439b", "models/tennis.py": "6c67e999d2a03612e30f4032c8e5e77e8becfbc79e05f4c8993e726b90d34d54"}, "overall_ratings": [1847.6157142229215, 1668.643480359372], "players": ["Iva Jovic", "Peyton Stearns"], "sport": "TENNIS", "surface": "Hard", "surface_counts": [83, 98], "surface_ratings": [1795.228386865929, 1637.9316008857732]}, "market_type": "moneyline", "model_version": "tennis-surface-elo-v1", "observed_at_utc": "2026-09-19T22:46:22.989788+00:00", "probabilities": {"away": 0.7198, "home": 0.2802}, "replay_scope": "Exact full-precision serving state and rounding; upstream historical observation times are not certified.", "schema": "coded-moneyline-replay-v1", "snapshot_hash": "409b9c2d0755880d97b29a791f4cd3c9cebaa223691dc672666359e74350ae29", "sport": "TENNIS"}</t>
        </is>
      </c>
    </row>
    <row r="672" ht="36" customHeight="1">
      <c r="A672" s="24" t="inlineStr">
        <is>
          <t>054fafb035f04cd0</t>
        </is>
      </c>
      <c r="B672" s="24" t="inlineStr">
        <is>
          <t>2026-09-20T10:29:39.220740Z</t>
        </is>
      </c>
      <c r="C672" s="24" t="inlineStr">
        <is>
          <t>2026-09-20T15:30Z</t>
        </is>
      </c>
      <c r="D672" s="24" t="inlineStr">
        <is>
          <t>871-2026:183774</t>
        </is>
      </c>
      <c r="E672" s="24" t="inlineStr">
        <is>
          <t>TENNIS</t>
        </is>
      </c>
      <c r="F672" s="24" t="inlineStr">
        <is>
          <t>Clara Burel</t>
        </is>
      </c>
      <c r="G672" s="24" t="inlineStr">
        <is>
          <t>Alicia Herrero Linana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-245</v>
      </c>
      <c r="M672" s="27" t="n">
        <v>1.408163</v>
      </c>
      <c r="N672" s="28" t="n">
        <v>0.710145</v>
      </c>
      <c r="O672" s="28" t="n">
        <v>0.5019</v>
      </c>
      <c r="P672" s="28" t="n">
        <v>0.05</v>
      </c>
      <c r="Q672" s="28" t="n">
        <v>-0.208245</v>
      </c>
      <c r="R672" s="26" t="n">
        <v>0</v>
      </c>
      <c r="S672" s="29" t="n">
        <v>1</v>
      </c>
      <c r="T672" s="24" t="inlineStr">
        <is>
          <t>tennis-surface-elo-v1</t>
        </is>
      </c>
      <c r="U672" s="24" t="inlineStr">
        <is>
          <t>settled</t>
        </is>
      </c>
      <c r="V672" s="24" t="inlineStr">
        <is>
          <t>win</t>
        </is>
      </c>
      <c r="W672" s="26" t="n">
        <v>1</v>
      </c>
      <c r="X672" s="26" t="n">
        <v>0</v>
      </c>
      <c r="Y672" s="25" t="n"/>
      <c r="Z672" s="26" t="n">
        <v>-245</v>
      </c>
      <c r="AA672" s="28" t="n">
        <v>0.71</v>
      </c>
      <c r="AB672" s="28" t="n">
        <v>-0.000145</v>
      </c>
      <c r="AC672" s="30" t="n">
        <v>0.4082</v>
      </c>
      <c r="AD672" s="24" t="inlineStr">
        <is>
          <t>2026-09-20T22:00:12.521491Z</t>
        </is>
      </c>
      <c r="AE672" s="31" t="inlineStr">
        <is>
          <t>Surface-blended Elo on Hard: Clara Burel p=0.502 vs Alicia Herrero Linana. Executable ask 0.7100 (aec-wta-alilin-clabur-2026-09-20).</t>
        </is>
      </c>
      <c r="AF672" s="31" t="inlineStr">
        <is>
          <t>Surface-blended Elo model; singles only, WTA+ATP market coverage, not yet locked-holdout qualified -- promoted by explicit operator directive, not genuine walk-forward validation.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Clara Burel</t>
        </is>
      </c>
      <c r="AQ672" s="24" t="inlineStr">
        <is>
          <t>Clara Burel</t>
        </is>
      </c>
      <c r="AR672" s="24" t="inlineStr">
        <is>
          <t>Clara Burel</t>
        </is>
      </c>
      <c r="AS672" s="24" t="inlineStr">
        <is>
          <t>Alicia Herrero Linana</t>
        </is>
      </c>
      <c r="AT672" s="24" t="inlineStr">
        <is>
          <t>Alicia Herrero Linana</t>
        </is>
      </c>
      <c r="AU672" s="24" t="inlineStr">
        <is>
          <t>Alicia Herrero Linana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6c67e999d2a03612e30f4032c8e5e77e8becfbc79e05f4c8993e726b90d34d54</t>
        </is>
      </c>
      <c r="BB672" s="24" t="inlineStr">
        <is>
          <t>surface_blended_elo</t>
        </is>
      </c>
      <c r="BC672" s="24" t="inlineStr">
        <is>
          <t>tennis-surface-elo-v1</t>
        </is>
      </c>
      <c r="BD672" s="24" t="inlineStr">
        <is>
          <t>6c67e999d2a03612e30f4032c8e5e77e8becfbc79e05f4c8993e726b90d34d54</t>
        </is>
      </c>
      <c r="BE672" s="24" t="inlineStr">
        <is>
          <t>tennis-surface-elo-v1</t>
        </is>
      </c>
      <c r="BF672" s="24" t="inlineStr">
        <is>
          <t>1</t>
        </is>
      </c>
      <c r="BG672" s="24" t="inlineStr">
        <is>
          <t>6c67e999d2a03612e30f4032c8e5e77e8becfbc79e05f4c8993e726b90d34d54</t>
        </is>
      </c>
      <c r="BH672" s="24" t="inlineStr">
        <is>
          <t>2026-09-20T10:26:48.053307Z</t>
        </is>
      </c>
      <c r="BI672" s="24" t="inlineStr">
        <is>
          <t>["same_event","same_team_same_day","same_league_same_day"]</t>
        </is>
      </c>
      <c r="BJ672" s="25" t="n"/>
      <c r="BK672" s="26" t="n">
        <v>-245</v>
      </c>
      <c r="BL672" s="27" t="n">
        <v>1.408163</v>
      </c>
      <c r="BM672" s="28" t="n">
        <v>0.710145</v>
      </c>
      <c r="BN672" s="28" t="n"/>
      <c r="BO672" s="28" t="n"/>
      <c r="BP672" s="25" t="n"/>
      <c r="BQ672" s="27" t="n">
        <v>1.408163</v>
      </c>
      <c r="BR672" s="28" t="n">
        <v>0.71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0.408163</v>
      </c>
      <c r="BZ672" s="24" t="inlineStr">
        <is>
          <t>2026-09-20T22:00:12.521491Z</t>
        </is>
      </c>
      <c r="CA672" s="31" t="inlineStr">
        <is>
          <t>fixed one-unit hypothetical scoring; no real exposure or execution</t>
        </is>
      </c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inlineStr">
        <is>
          <t>99e641785015d57edcb45eeaf5e6f7c29dfff3a9e3d479d6ac1c80e5a1b27622</t>
        </is>
      </c>
      <c r="DE672" s="24" t="inlineStr">
        <is>
          <t>/Users/vincentc9002/model-prediction/data/odds/tennis/2026-09-20/polymarket_snapshots.jsonl</t>
        </is>
      </c>
      <c r="DF672" s="24" t="inlineStr">
        <is>
          <t>951496:2026-09-20T10:26:48.053307Z</t>
        </is>
      </c>
      <c r="DG672" s="24" t="n"/>
      <c r="DH672" s="24" t="n"/>
      <c r="DI672" s="24" t="n"/>
      <c r="DJ672" s="24" t="inlineStr">
        <is>
          <t>0.710145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"6c67e999d2a03612e30f4032c8e5e77e8becfbc79e05f4c8993e726b90d34d54", "away_team": "Clara Burel", "event_id": "871-2026:183774", "event_start_utc": "2026-09-20T15:30Z", "features": {"elo_p1_surface": 1621.2, "elo_p2_surface": 1613.7, "expected_games_p1": 12.71, "expected_games_p2": 12.04, "expected_total_games": 24.76, "history_matches": 16174, "min_player_matches": 39, "surface": "Hard"}, "historical_source_observation_times_verified": false, "home_team": "Alicia Herrero Linana", "inference_inputs": {"code_sha256": {"features/elo_ratings.py": "8525faf022a6343c452286dbfeb17dbb043744c6bdabbe448b6b371216da439b", "models/tennis.py": "6c67e999d2a03612e30f4032c8e5e77e8becfbc79e05f4c8993e726b90d34d54"}, "overall_ratings": [1604.1839017584412, 1616.0878234327972], "players": ["Clara Burel", "Alicia Herrero Linana"], "sport": "TENNIS", "surface": "Hard", "surface_counts": [66, 39], "surface_ratings": [1621.1837672789472, 1613.7221963617699]}, "market_type": "moneyline", "model_version": "tennis-surface-elo-v1", "observed_at_utc": "2026-09-20T10:29:38.195321+00:00", "probabilities": {"away": 0.5019, "home": 0.4981}, "replay_scope": "Exact full-precision serving state and rounding; upstream historical observation times are not certified.", "schema": "coded-moneyline-replay-v1", "snapshot_hash": "4a78d84e49164bc34d83a83bc594866c7fbb6411797fd20019913de3050ab0a6", "sport": "TENNIS"}</t>
        </is>
      </c>
    </row>
    <row r="673" ht="36" customHeight="1">
      <c r="A673" s="24" t="inlineStr">
        <is>
          <t>08f26931260a4337</t>
        </is>
      </c>
      <c r="B673" s="24" t="inlineStr">
        <is>
          <t>2026-09-20T23:09:09.190392Z</t>
        </is>
      </c>
      <c r="C673" s="24" t="inlineStr">
        <is>
          <t>2026-09-21T03:00Z</t>
        </is>
      </c>
      <c r="D673" s="24" t="inlineStr">
        <is>
          <t>811-2026:184031</t>
        </is>
      </c>
      <c r="E673" s="24" t="inlineStr">
        <is>
          <t>TENNIS</t>
        </is>
      </c>
      <c r="F673" s="24" t="inlineStr">
        <is>
          <t>Maya Joint</t>
        </is>
      </c>
      <c r="G673" s="24" t="inlineStr">
        <is>
          <t>Yao Xinxin</t>
        </is>
      </c>
      <c r="H673" s="24" t="inlineStr">
        <is>
          <t>moneyline</t>
        </is>
      </c>
      <c r="I673" s="24" t="inlineStr">
        <is>
          <t>away</t>
        </is>
      </c>
      <c r="J673" s="25" t="n"/>
      <c r="K673" s="24" t="inlineStr">
        <is>
          <t>polymarket_us</t>
        </is>
      </c>
      <c r="L673" s="26" t="n">
        <v>-669</v>
      </c>
      <c r="M673" s="27" t="n">
        <v>1.149477</v>
      </c>
      <c r="N673" s="28" t="n">
        <v>0.869961</v>
      </c>
      <c r="O673" s="28" t="n">
        <v>0.6898</v>
      </c>
      <c r="P673" s="28" t="n">
        <v>0.05</v>
      </c>
      <c r="Q673" s="28" t="n">
        <v>-0.180161</v>
      </c>
      <c r="R673" s="26" t="n">
        <v>0</v>
      </c>
      <c r="S673" s="29" t="n">
        <v>1</v>
      </c>
      <c r="T673" s="24" t="inlineStr">
        <is>
          <t>tennis-surface-elo-v1</t>
        </is>
      </c>
      <c r="U673" s="24" t="inlineStr">
        <is>
          <t>settled</t>
        </is>
      </c>
      <c r="V673" s="24" t="inlineStr">
        <is>
          <t>win</t>
        </is>
      </c>
      <c r="W673" s="26" t="n">
        <v>1</v>
      </c>
      <c r="X673" s="26" t="n">
        <v>0</v>
      </c>
      <c r="Y673" s="25" t="n"/>
      <c r="Z673" s="26" t="n">
        <v>-669</v>
      </c>
      <c r="AA673" s="28" t="n">
        <v>0.87</v>
      </c>
      <c r="AB673" s="28" t="n">
        <v>3.9e-05</v>
      </c>
      <c r="AC673" s="30" t="n">
        <v>0.1495</v>
      </c>
      <c r="AD673" s="24" t="inlineStr">
        <is>
          <t>2026-09-21T10:00:09.686547Z</t>
        </is>
      </c>
      <c r="AE673" s="31" t="inlineStr">
        <is>
          <t>Surface-blended Elo on Hard: Maya Joint p=0.690 vs Yao Xinxin. Executable ask 0.8700 (aec-wta-xinyao-mayjoi-2026-09-20).</t>
        </is>
      </c>
      <c r="AF673" s="31" t="inlineStr">
        <is>
          <t>Surface-blended Elo model; singles only, WTA+ATP market coverage, not yet locked-holdout qualified -- promoted by explicit operator directive, not genuine walk-forward validation.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Maya Joint</t>
        </is>
      </c>
      <c r="AQ673" s="24" t="inlineStr">
        <is>
          <t>Maya Joint</t>
        </is>
      </c>
      <c r="AR673" s="24" t="inlineStr">
        <is>
          <t>Maya Joint</t>
        </is>
      </c>
      <c r="AS673" s="24" t="inlineStr">
        <is>
          <t>Yao Xinxin</t>
        </is>
      </c>
      <c r="AT673" s="24" t="inlineStr">
        <is>
          <t>Yao Xinxin</t>
        </is>
      </c>
      <c r="AU673" s="24" t="inlineStr">
        <is>
          <t>Yao Xinxin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6c67e999d2a03612e30f4032c8e5e77e8becfbc79e05f4c8993e726b90d34d54</t>
        </is>
      </c>
      <c r="BB673" s="24" t="inlineStr">
        <is>
          <t>surface_blended_elo</t>
        </is>
      </c>
      <c r="BC673" s="24" t="inlineStr">
        <is>
          <t>tennis-surface-elo-v1</t>
        </is>
      </c>
      <c r="BD673" s="24" t="inlineStr">
        <is>
          <t>6c67e999d2a03612e30f4032c8e5e77e8becfbc79e05f4c8993e726b90d34d54</t>
        </is>
      </c>
      <c r="BE673" s="24" t="inlineStr">
        <is>
          <t>tennis-surface-elo-v1</t>
        </is>
      </c>
      <c r="BF673" s="24" t="inlineStr">
        <is>
          <t>1</t>
        </is>
      </c>
      <c r="BG673" s="24" t="inlineStr">
        <is>
          <t>6c67e999d2a03612e30f4032c8e5e77e8becfbc79e05f4c8993e726b90d34d54</t>
        </is>
      </c>
      <c r="BH673" s="24" t="inlineStr">
        <is>
          <t>2026-09-20T23:08:35.190935Z</t>
        </is>
      </c>
      <c r="BI673" s="24" t="inlineStr">
        <is>
          <t>["same_event","same_team_same_day","same_league_same_day"]</t>
        </is>
      </c>
      <c r="BJ673" s="25" t="n"/>
      <c r="BK673" s="26" t="n">
        <v>-669</v>
      </c>
      <c r="BL673" s="27" t="n">
        <v>1.149477</v>
      </c>
      <c r="BM673" s="28" t="n">
        <v>0.869961</v>
      </c>
      <c r="BN673" s="28" t="n"/>
      <c r="BO673" s="28" t="n"/>
      <c r="BP673" s="25" t="n"/>
      <c r="BQ673" s="27" t="n">
        <v>1.149477</v>
      </c>
      <c r="BR673" s="28" t="n">
        <v>0.87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0.149477</v>
      </c>
      <c r="BZ673" s="24" t="inlineStr">
        <is>
          <t>2026-09-21T10:00:09.686547Z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inlineStr">
        <is>
          <t>733a94f84d4b5995f049581663654c1435e3b97e8ad52949a9b0d19dda1d9fd9</t>
        </is>
      </c>
      <c r="DE673" s="24" t="inlineStr">
        <is>
          <t>/Users/vincentc9002/model-prediction/data/odds/tennis/2026-09-20/polymarket_snapshots.jsonl</t>
        </is>
      </c>
      <c r="DF673" s="24" t="inlineStr">
        <is>
          <t>966680:2026-09-20T23:08:35.190935Z</t>
        </is>
      </c>
      <c r="DG673" s="24" t="n"/>
      <c r="DH673" s="24" t="n"/>
      <c r="DI673" s="24" t="n"/>
      <c r="DJ673" s="24" t="inlineStr">
        <is>
          <t>0.869961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"6c67e999d2a03612e30f4032c8e5e77e8becfbc79e05f4c8993e726b90d34d54", "away_team": "Maya Joint", "event_id": "811-2026:184031", "event_start_utc": "2026-09-21T03:00Z", "features": {"elo_p1_surface": 1617.5, "elo_p2_surface": 1480.9, "expected_games_p1": 13.25, "expected_games_p2": 7.73, "expected_total_games": 20.99, "history_matches": 16174, "min_player_matches": 21, "surface": "Hard"}, "historical_source_observation_times_verified": false, "home_team": "Yao Xinxin", "inference_inputs": {"code_sha256": {"features/elo_ratings.py": "8525faf022a6343c452286dbfeb17dbb043744c6bdabbe448b6b371216da439b", "models/tennis.py": "6c67e999d2a03612e30f4032c8e5e77e8becfbc79e05f4c8993e726b90d34d54"}, "overall_ratings": [1611.446283515253, 1473.5606920862217], "players": ["Maya Joint", "Yao Xinxin"], "sport": "TENNIS", "surface": "Hard", "surface_counts": [114, 20], "surface_ratings": [1617.4617784740958, 1480.8987686175556]}, "market_type": "moneyline", "model_version": "tennis-surface-elo-v1", "observed_at_utc": "2026-09-20T23:09:07.820600+00:00", "probabilities": {"away": 0.6898, "home": 0.3102}, "replay_scope": "Exact full-precision serving state and rounding; upstream historical observation times are not certified.", "schema": "coded-moneyline-replay-v1", "snapshot_hash": "7de3d8123479c0fc95563cf5d3aeb97ff8ab42606d23a0d5087fb29e419cbb7f", "sport": "TENNIS"}</t>
        </is>
      </c>
    </row>
    <row r="674" ht="36" customHeight="1">
      <c r="A674" s="24" t="inlineStr">
        <is>
          <t>9b258b5098784714</t>
        </is>
      </c>
      <c r="B674" s="24" t="inlineStr">
        <is>
          <t>2026-09-20T23:09:09.190392Z</t>
        </is>
      </c>
      <c r="C674" s="24" t="inlineStr">
        <is>
          <t>2026-09-22T04:00Z</t>
        </is>
      </c>
      <c r="D674" s="24" t="inlineStr">
        <is>
          <t>811-2026:184033</t>
        </is>
      </c>
      <c r="E674" s="24" t="inlineStr">
        <is>
          <t>TENNIS</t>
        </is>
      </c>
      <c r="F674" s="24" t="inlineStr">
        <is>
          <t>Renata Zarazua</t>
        </is>
      </c>
      <c r="G674" s="24" t="inlineStr">
        <is>
          <t>Anna Bondar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-186</v>
      </c>
      <c r="M674" s="27" t="n">
        <v>1.537634</v>
      </c>
      <c r="N674" s="28" t="n">
        <v>0.65035</v>
      </c>
      <c r="O674" s="28" t="n">
        <v>0.7211</v>
      </c>
      <c r="P674" s="28" t="n">
        <v>0.05</v>
      </c>
      <c r="Q674" s="28" t="n">
        <v>0.07074999999999999</v>
      </c>
      <c r="R674" s="26" t="n">
        <v>55</v>
      </c>
      <c r="S674" s="29" t="n">
        <v>1.25</v>
      </c>
      <c r="T674" s="24" t="inlineStr">
        <is>
          <t>tennis-surface-elo-v1</t>
        </is>
      </c>
      <c r="U674" s="24" t="inlineStr">
        <is>
          <t>settled</t>
        </is>
      </c>
      <c r="V674" s="24" t="inlineStr">
        <is>
          <t>win</t>
        </is>
      </c>
      <c r="W674" s="26" t="n">
        <v>0</v>
      </c>
      <c r="X674" s="26" t="n">
        <v>1</v>
      </c>
      <c r="Y674" s="25" t="n"/>
      <c r="Z674" s="26" t="n"/>
      <c r="AA674" s="28" t="n"/>
      <c r="AB674" s="28" t="n"/>
      <c r="AC674" s="30" t="n">
        <v>0.672</v>
      </c>
      <c r="AD674" s="24" t="inlineStr">
        <is>
          <t>2026-09-22T10:00:07.225153Z</t>
        </is>
      </c>
      <c r="AE674" s="31" t="inlineStr">
        <is>
          <t>Surface-blended Elo on Hard: Renata Zarazua p=0.279 vs Anna Bondar. Executable ask 0.6500 (aec-wta-annbon-renzar-2026-09-20).</t>
        </is>
      </c>
      <c r="AF674" s="31" t="inlineStr">
        <is>
          <t>Surface-blended Elo model; singles only, WTA+ATP market coverage, not yet locked-holdout qualified -- promoted by explicit operator directive, not genuine walk-forward validation.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Renata Zarazua</t>
        </is>
      </c>
      <c r="AQ674" s="24" t="inlineStr">
        <is>
          <t>Renata Zarazua</t>
        </is>
      </c>
      <c r="AR674" s="24" t="inlineStr">
        <is>
          <t>Renata Zarazua</t>
        </is>
      </c>
      <c r="AS674" s="24" t="inlineStr">
        <is>
          <t>Anna Bondar</t>
        </is>
      </c>
      <c r="AT674" s="24" t="inlineStr">
        <is>
          <t>Anna Bondar</t>
        </is>
      </c>
      <c r="AU674" s="24" t="inlineStr">
        <is>
          <t>Anna Bondar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6c67e999d2a03612e30f4032c8e5e77e8becfbc79e05f4c8993e726b90d34d54</t>
        </is>
      </c>
      <c r="BB674" s="24" t="inlineStr">
        <is>
          <t>surface_blended_elo</t>
        </is>
      </c>
      <c r="BC674" s="24" t="inlineStr">
        <is>
          <t>tennis-surface-elo-v1</t>
        </is>
      </c>
      <c r="BD674" s="24" t="inlineStr">
        <is>
          <t>6c67e999d2a03612e30f4032c8e5e77e8becfbc79e05f4c8993e726b90d34d54</t>
        </is>
      </c>
      <c r="BE674" s="24" t="inlineStr">
        <is>
          <t>tennis-surface-elo-v1</t>
        </is>
      </c>
      <c r="BF674" s="24" t="inlineStr">
        <is>
          <t>1</t>
        </is>
      </c>
      <c r="BG674" s="24" t="inlineStr">
        <is>
          <t>6c67e999d2a03612e30f4032c8e5e77e8becfbc79e05f4c8993e726b90d34d54</t>
        </is>
      </c>
      <c r="BH674" s="24" t="inlineStr">
        <is>
          <t>2026-09-20T23:07:51.044386Z</t>
        </is>
      </c>
      <c r="BI674" s="24" t="inlineStr">
        <is>
          <t>["same_event","same_team_same_day","same_league_same_day"]</t>
        </is>
      </c>
      <c r="BJ674" s="25" t="n"/>
      <c r="BK674" s="26" t="n">
        <v>-186</v>
      </c>
      <c r="BL674" s="27" t="n">
        <v>1.537634</v>
      </c>
      <c r="BM674" s="28" t="n">
        <v>0.65035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inlineStr">
        <is>
          <t>09674f92b825efa8a66f8edd037c59ba893786582ed25c3ca8649a5b21f90ac7</t>
        </is>
      </c>
      <c r="DE674" s="24" t="inlineStr">
        <is>
          <t>/Users/vincentc9002/model-prediction/data/odds/tennis/2026-09-20/polymarket_snapshots.jsonl</t>
        </is>
      </c>
      <c r="DF674" s="24" t="inlineStr">
        <is>
          <t>948083:2026-09-20T23:07:51.044386Z</t>
        </is>
      </c>
      <c r="DG674" s="24" t="n"/>
      <c r="DH674" s="24" t="n"/>
      <c r="DI674" s="24" t="n"/>
      <c r="DJ674" s="24" t="inlineStr">
        <is>
          <t>0.65035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"6c67e999d2a03612e30f4032c8e5e77e8becfbc79e05f4c8993e726b90d34d54", "away_team": "Renata Zarazua", "event_id": "811-2026:184033", "event_start_utc": "2026-09-22T04:00Z", "features": {"elo_p1_surface": 1463.4, "elo_p2_surface": 1623.2, "expected_games_p1": 7.46, "expected_games_p2": 13.0, "expected_total_games": 20.46, "history_matches": 16174, "min_player_matches": 142, "surface": "Hard"}, "historical_source_observation_times_verified": false, "home_team": "Anna Bondar", "inference_inputs": {"code_sha256": {"features/elo_ratings.py": "8525faf022a6343c452286dbfeb17dbb043744c6bdabbe448b6b371216da439b", "models/tennis.py": "6c67e999d2a03612e30f4032c8e5e77e8becfbc79e05f4c8993e726b90d34d54"}, "overall_ratings": [1473.7377021446398, 1654.6339871597968], "players": ["Renata Zarazua", "Anna Bondar"], "sport": "TENNIS", "surface": "Hard", "surface_counts": [113, 115], "surface_ratings": [1463.4063113306004, 1623.2142433728454]}, "market_type": "moneyline", "model_version": "tennis-surface-elo-v1", "observed_at_utc": "2026-09-20T23:09:07.820600+00:00", "probabilities": {"away": 0.2789, "home": 0.7211}, "replay_scope": "Exact full-precision serving state and rounding; upstream historical observation times are not certified.", "schema": "coded-moneyline-replay-v1", "snapshot_hash": "e10941c8adead3715d2cbc97cae8843de58cdef03a4c88f5929d076233b0e83b", "sport": "TENNIS"}</t>
        </is>
      </c>
    </row>
    <row r="675" ht="36" customHeight="1">
      <c r="A675" s="24" t="inlineStr">
        <is>
          <t>90bb425d50d84dc2</t>
        </is>
      </c>
      <c r="B675" s="24" t="inlineStr">
        <is>
          <t>2026-09-21T04:38:44.829672Z</t>
        </is>
      </c>
      <c r="C675" s="24" t="inlineStr">
        <is>
          <t>2026-09-21T06:30Z</t>
        </is>
      </c>
      <c r="D675" s="24" t="inlineStr">
        <is>
          <t>811-2026:184043</t>
        </is>
      </c>
      <c r="E675" s="24" t="inlineStr">
        <is>
          <t>TENNIS</t>
        </is>
      </c>
      <c r="F675" s="24" t="inlineStr">
        <is>
          <t>Magda Linette</t>
        </is>
      </c>
      <c r="G675" s="24" t="inlineStr">
        <is>
          <t>Darya Astakhova</t>
        </is>
      </c>
      <c r="H675" s="24" t="inlineStr">
        <is>
          <t>moneyline</t>
        </is>
      </c>
      <c r="I675" s="24" t="inlineStr">
        <is>
          <t>away</t>
        </is>
      </c>
      <c r="J675" s="25" t="n"/>
      <c r="K675" s="24" t="inlineStr">
        <is>
          <t>polymarket_us</t>
        </is>
      </c>
      <c r="L675" s="26" t="n">
        <v>-203</v>
      </c>
      <c r="M675" s="27" t="n">
        <v>1.492611</v>
      </c>
      <c r="N675" s="28" t="n">
        <v>0.669967</v>
      </c>
      <c r="O675" s="28" t="n">
        <v>0.7043</v>
      </c>
      <c r="P675" s="28" t="n">
        <v>0.05</v>
      </c>
      <c r="Q675" s="28" t="n">
        <v>0.034333</v>
      </c>
      <c r="R675" s="26" t="n">
        <v>37</v>
      </c>
      <c r="S675" s="29" t="n">
        <v>1</v>
      </c>
      <c r="T675" s="24" t="inlineStr">
        <is>
          <t>tennis-surface-elo-v1</t>
        </is>
      </c>
      <c r="U675" s="24" t="inlineStr">
        <is>
          <t>settled</t>
        </is>
      </c>
      <c r="V675" s="24" t="inlineStr">
        <is>
          <t>loss</t>
        </is>
      </c>
      <c r="W675" s="26" t="n">
        <v>0</v>
      </c>
      <c r="X675" s="26" t="n">
        <v>1</v>
      </c>
      <c r="Y675" s="25" t="n"/>
      <c r="Z675" s="26" t="n">
        <v>-203</v>
      </c>
      <c r="AA675" s="28" t="n">
        <v>0.67</v>
      </c>
      <c r="AB675" s="28" t="n">
        <v>3.3e-05</v>
      </c>
      <c r="AC675" s="30" t="n">
        <v>-1</v>
      </c>
      <c r="AD675" s="24" t="inlineStr">
        <is>
          <t>2026-09-21T16:08:19.679546Z</t>
        </is>
      </c>
      <c r="AE675" s="31" t="inlineStr">
        <is>
          <t>Surface-blended Elo on Hard: Magda Linette p=0.704 vs Darya Astakhova. Executable ask 0.6700 (aec-wta-darast-maglin-2026-09-21).</t>
        </is>
      </c>
      <c r="AF675" s="31" t="inlineStr">
        <is>
          <t>Surface-blended Elo model; singles only, WTA+ATP market coverage, not yet locked-holdout qualified -- promoted by explicit operator directive, not genuine walk-forward validation.</t>
        </is>
      </c>
      <c r="AG675" s="24" t="inlineStr">
        <is>
          <t>review_required</t>
        </is>
      </c>
      <c r="AH675" s="24" t="n"/>
      <c r="AI675" s="31" t="n"/>
      <c r="AJ675" s="31" t="n"/>
      <c r="AK675" s="24" t="inlineStr">
        <is>
          <t>paper_call</t>
        </is>
      </c>
      <c r="AL675" s="26" t="n">
        <v>4</v>
      </c>
      <c r="AM675" s="24" t="inlineStr">
        <is>
          <t>RESEARCH_OBSERVATION</t>
        </is>
      </c>
      <c r="AN675" s="24" t="inlineStr">
        <is>
          <t>CALL</t>
        </is>
      </c>
      <c r="AO675" s="24" t="inlineStr">
        <is>
          <t>PAPER_CALL_LOW_EDGE</t>
        </is>
      </c>
      <c r="AP675" s="24" t="inlineStr">
        <is>
          <t>Magda Linette</t>
        </is>
      </c>
      <c r="AQ675" s="24" t="inlineStr">
        <is>
          <t>Magda Linette</t>
        </is>
      </c>
      <c r="AR675" s="24" t="inlineStr">
        <is>
          <t>Magda Linette</t>
        </is>
      </c>
      <c r="AS675" s="24" t="inlineStr">
        <is>
          <t>Darya Astakhova</t>
        </is>
      </c>
      <c r="AT675" s="24" t="inlineStr">
        <is>
          <t>Darya Astakhova</t>
        </is>
      </c>
      <c r="AU675" s="24" t="inlineStr">
        <is>
          <t>Darya Astakhova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6c67e999d2a03612e30f4032c8e5e77e8becfbc79e05f4c8993e726b90d34d54</t>
        </is>
      </c>
      <c r="BB675" s="24" t="inlineStr">
        <is>
          <t>surface_blended_elo</t>
        </is>
      </c>
      <c r="BC675" s="24" t="inlineStr">
        <is>
          <t>tennis-surface-elo-v1</t>
        </is>
      </c>
      <c r="BD675" s="24" t="inlineStr">
        <is>
          <t>6c67e999d2a03612e30f4032c8e5e77e8becfbc79e05f4c8993e726b90d34d54</t>
        </is>
      </c>
      <c r="BE675" s="24" t="inlineStr">
        <is>
          <t>tennis-surface-elo-v1</t>
        </is>
      </c>
      <c r="BF675" s="24" t="inlineStr">
        <is>
          <t>1</t>
        </is>
      </c>
      <c r="BG675" s="24" t="inlineStr">
        <is>
          <t>6c67e999d2a03612e30f4032c8e5e77e8becfbc79e05f4c8993e726b90d34d54</t>
        </is>
      </c>
      <c r="BH675" s="24" t="inlineStr">
        <is>
          <t>2026-09-21T04:35:50.190503Z</t>
        </is>
      </c>
      <c r="BI675" s="24" t="inlineStr">
        <is>
          <t>["same_event","same_team_same_day","same_league_same_day"]</t>
        </is>
      </c>
      <c r="BJ675" s="25" t="n"/>
      <c r="BK675" s="26" t="n">
        <v>-203</v>
      </c>
      <c r="BL675" s="27" t="n">
        <v>1.492611</v>
      </c>
      <c r="BM675" s="28" t="n">
        <v>0.669967</v>
      </c>
      <c r="BN675" s="28" t="n"/>
      <c r="BO675" s="28" t="n"/>
      <c r="BP675" s="25" t="n"/>
      <c r="BQ675" s="27" t="n">
        <v>1.492611</v>
      </c>
      <c r="BR675" s="28" t="n">
        <v>0.67</v>
      </c>
      <c r="BS675" s="28" t="n"/>
      <c r="BT675" s="28" t="n"/>
      <c r="BU675" s="25" t="n"/>
      <c r="BV675" s="29" t="n"/>
      <c r="BW675" s="24" t="n"/>
      <c r="BX675" s="30" t="n">
        <v>1</v>
      </c>
      <c r="BY675" s="27" t="n">
        <v>-1</v>
      </c>
      <c r="BZ675" s="24" t="inlineStr">
        <is>
          <t>2026-09-21T16:08:19.679546Z</t>
        </is>
      </c>
      <c r="CA675" s="31" t="inlineStr">
        <is>
          <t>fixed one-unit hypothetical scoring; no real exposure or execution</t>
        </is>
      </c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inlineStr">
        <is>
          <t>6dd5231754d8c313675999c60561ba152801ff62813634749eec30048b4905b9</t>
        </is>
      </c>
      <c r="DE675" s="24" t="inlineStr">
        <is>
          <t>/Users/vincentc9002/model-prediction/data/odds/tennis/2026-09-21/polymarket_snapshots.jsonl</t>
        </is>
      </c>
      <c r="DF675" s="24" t="inlineStr">
        <is>
          <t>966681:2026-09-21T04:35:50.190503Z</t>
        </is>
      </c>
      <c r="DG675" s="24" t="n"/>
      <c r="DH675" s="24" t="n"/>
      <c r="DI675" s="24" t="n"/>
      <c r="DJ675" s="24" t="inlineStr">
        <is>
          <t>0.669967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"6c67e999d2a03612e30f4032c8e5e77e8becfbc79e05f4c8993e726b90d34d54", "away_team": "Magda Linette", "event_id": "811-2026:184043", "event_start_utc": "2026-09-21T06:30Z", "features": {"elo_p1_surface": 1621.6, "elo_p2_surface": 1474.5, "expected_games_p1": 13.17, "expected_games_p2": 7.39, "expected_total_games": 20.56, "history_matches": 16204, "min_player_matches": 23, "surface": "Hard"}, "historical_source_observation_times_verified": false, "home_team": "Darya Astakhova", "inference_inputs": {"code_sha256": {"features/elo_ratings.py": "8525faf022a6343c452286dbfeb17dbb043744c6bdabbe448b6b371216da439b", "models/tennis.py": "6c67e999d2a03612e30f4032c8e5e77e8becfbc79e05f4c8993e726b90d34d54"}, "overall_ratings": [1633.9788919557873, 1473.4495662649917], "players": ["Magda Linette", "Darya Astakhova"], "sport": "TENNIS", "surface": "Hard", "surface_counts": [110, 20], "surface_ratings": [1621.6484439815279, 1474.5208585035593]}, "market_type": "moneyline", "model_version": "tennis-surface-elo-v1", "observed_at_utc": "2026-09-21T04:38:43.507657+00:00", "probabilities": {"away": 0.7043, "home": 0.2957}, "replay_scope": "Exact full-precision serving state and rounding; upstream historical observation times are not certified.", "schema": "coded-moneyline-replay-v1", "snapshot_hash": "ca0b7315ff61985de6f36158980504ee5ecc42d970e174a127df61d6330d5f00", "sport": "TENNIS"}</t>
        </is>
      </c>
    </row>
    <row r="676" ht="36" customHeight="1">
      <c r="A676" s="24" t="inlineStr">
        <is>
          <t>a8e3180c6251453e</t>
        </is>
      </c>
      <c r="B676" s="24" t="inlineStr">
        <is>
          <t>2026-09-21T04:38:44.829672Z</t>
        </is>
      </c>
      <c r="C676" s="24" t="inlineStr">
        <is>
          <t>2026-09-21T06:00Z</t>
        </is>
      </c>
      <c r="D676" s="24" t="inlineStr">
        <is>
          <t>1009-2026:184090</t>
        </is>
      </c>
      <c r="E676" s="24" t="inlineStr">
        <is>
          <t>TENNIS</t>
        </is>
      </c>
      <c r="F676" s="24" t="inlineStr">
        <is>
          <t>Fiona Ferro</t>
        </is>
      </c>
      <c r="G676" s="24" t="inlineStr">
        <is>
          <t>Talia Gibson</t>
        </is>
      </c>
      <c r="H676" s="24" t="inlineStr">
        <is>
          <t>moneyline</t>
        </is>
      </c>
      <c r="I676" s="24" t="inlineStr">
        <is>
          <t>away</t>
        </is>
      </c>
      <c r="J676" s="25" t="n"/>
      <c r="K676" s="24" t="inlineStr">
        <is>
          <t>polymarket_us</t>
        </is>
      </c>
      <c r="L676" s="26" t="n">
        <v>144</v>
      </c>
      <c r="M676" s="27" t="n">
        <v>2.44</v>
      </c>
      <c r="N676" s="28" t="n">
        <v>0.409836</v>
      </c>
      <c r="O676" s="28" t="n">
        <v>0.5246</v>
      </c>
      <c r="P676" s="28" t="n">
        <v>0.05</v>
      </c>
      <c r="Q676" s="28" t="n">
        <v>0.114764</v>
      </c>
      <c r="R676" s="26" t="n">
        <v>77</v>
      </c>
      <c r="S676" s="29" t="n">
        <v>1.5</v>
      </c>
      <c r="T676" s="24" t="inlineStr">
        <is>
          <t>tennis-surface-elo-v1</t>
        </is>
      </c>
      <c r="U676" s="24" t="inlineStr">
        <is>
          <t>settled</t>
        </is>
      </c>
      <c r="V676" s="24" t="inlineStr">
        <is>
          <t>loss</t>
        </is>
      </c>
      <c r="W676" s="26" t="n">
        <v>0</v>
      </c>
      <c r="X676" s="26" t="n">
        <v>1</v>
      </c>
      <c r="Y676" s="25" t="n"/>
      <c r="Z676" s="26" t="n">
        <v>144</v>
      </c>
      <c r="AA676" s="28" t="n">
        <v>0.41</v>
      </c>
      <c r="AB676" s="28" t="n">
        <v>0.000164</v>
      </c>
      <c r="AC676" s="30" t="n">
        <v>-1.5</v>
      </c>
      <c r="AD676" s="24" t="inlineStr">
        <is>
          <t>2026-09-21T10:00:11.258824Z</t>
        </is>
      </c>
      <c r="AE676" s="31" t="inlineStr">
        <is>
          <t>Surface-blended Elo on Hard: Fiona Ferro p=0.525 vs Talia Gibson. Executable ask 0.4100 (aec-wta-talgib-fiofer-2026-09-20).</t>
        </is>
      </c>
      <c r="AF676" s="31" t="inlineStr">
        <is>
          <t>Surface-blended Elo model; singles only, WTA+ATP market coverage, not yet locked-holdout qualified -- promoted by explicit operator directive, not genuine walk-forward validation.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Fiona Ferro</t>
        </is>
      </c>
      <c r="AQ676" s="24" t="inlineStr">
        <is>
          <t>Fiona Ferro</t>
        </is>
      </c>
      <c r="AR676" s="24" t="inlineStr">
        <is>
          <t>Fiona Ferro</t>
        </is>
      </c>
      <c r="AS676" s="24" t="inlineStr">
        <is>
          <t>Talia Gibson</t>
        </is>
      </c>
      <c r="AT676" s="24" t="inlineStr">
        <is>
          <t>Talia Gibson</t>
        </is>
      </c>
      <c r="AU676" s="24" t="inlineStr">
        <is>
          <t>Talia Gibson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6c67e999d2a03612e30f4032c8e5e77e8becfbc79e05f4c8993e726b90d34d54</t>
        </is>
      </c>
      <c r="BB676" s="24" t="inlineStr">
        <is>
          <t>surface_blended_elo</t>
        </is>
      </c>
      <c r="BC676" s="24" t="inlineStr">
        <is>
          <t>tennis-surface-elo-v1</t>
        </is>
      </c>
      <c r="BD676" s="24" t="inlineStr">
        <is>
          <t>6c67e999d2a03612e30f4032c8e5e77e8becfbc79e05f4c8993e726b90d34d54</t>
        </is>
      </c>
      <c r="BE676" s="24" t="inlineStr">
        <is>
          <t>tennis-surface-elo-v1</t>
        </is>
      </c>
      <c r="BF676" s="24" t="inlineStr">
        <is>
          <t>1</t>
        </is>
      </c>
      <c r="BG676" s="24" t="inlineStr">
        <is>
          <t>6c67e999d2a03612e30f4032c8e5e77e8becfbc79e05f4c8993e726b90d34d54</t>
        </is>
      </c>
      <c r="BH676" s="24" t="inlineStr">
        <is>
          <t>2026-09-21T04:35:39.167329Z</t>
        </is>
      </c>
      <c r="BI676" s="24" t="inlineStr">
        <is>
          <t>["same_event","same_team_same_day","same_league_same_day"]</t>
        </is>
      </c>
      <c r="BJ676" s="25" t="n"/>
      <c r="BK676" s="26" t="n">
        <v>144</v>
      </c>
      <c r="BL676" s="27" t="n">
        <v>2.44</v>
      </c>
      <c r="BM676" s="28" t="n">
        <v>0.409836</v>
      </c>
      <c r="BN676" s="28" t="n"/>
      <c r="BO676" s="28" t="n"/>
      <c r="BP676" s="25" t="n"/>
      <c r="BQ676" s="27" t="n">
        <v>2.44</v>
      </c>
      <c r="BR676" s="28" t="n">
        <v>0.41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2026-09-21T10:00:11.258824Z</t>
        </is>
      </c>
      <c r="CA676" s="31" t="inlineStr">
        <is>
          <t>fixed one-unit hypothetical scoring; no real exposure or execution</t>
        </is>
      </c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inlineStr">
        <is>
          <t>5fc41ee1791c7efd024f6b2919bfb1dce74edf316ea6b0d237907d0de81b322b</t>
        </is>
      </c>
      <c r="DE676" s="24" t="inlineStr">
        <is>
          <t>/Users/vincentc9002/model-prediction/data/odds/tennis/2026-09-21/polymarket_snapshots.jsonl</t>
        </is>
      </c>
      <c r="DF676" s="24" t="inlineStr">
        <is>
          <t>949053:2026-09-21T04:35:39.167329Z</t>
        </is>
      </c>
      <c r="DG676" s="24" t="n"/>
      <c r="DH676" s="24" t="n"/>
      <c r="DI676" s="24" t="n"/>
      <c r="DJ676" s="24" t="inlineStr">
        <is>
          <t>0.409836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"6c67e999d2a03612e30f4032c8e5e77e8becfbc79e05f4c8993e726b90d34d54", "away_team": "Fiona Ferro", "event_id": "1009-2026:184090", "event_start_utc": "2026-09-21T06:00Z", "features": {"elo_p1_surface": 1654.4, "elo_p2_surface": 1635.9, "expected_games_p1": 12.92, "expected_games_p2": 11.75, "expected_total_games": 24.66, "history_matches": 16204, "min_player_matches": 81, "surface": "Hard"}, "historical_source_observation_times_verified": false, "home_team": "Talia Gibson", "inference_inputs": {"code_sha256": {"features/elo_ratings.py": "8525faf022a6343c452286dbfeb17dbb043744c6bdabbe448b6b371216da439b", "models/tennis.py": "6c67e999d2a03612e30f4032c8e5e77e8becfbc79e05f4c8993e726b90d34d54"}, "overall_ratings": [1621.4764132804714, 1608.6495951553798], "players": ["Fiona Ferro", "Talia Gibson"], "sport": "TENNIS", "surface": "Hard", "surface_counts": [70, 64], "surface_ratings": [1654.4390542634078, 1635.8978218316902]}, "market_type": "moneyline", "model_version": "tennis-surface-elo-v1", "observed_at_utc": "2026-09-21T04:38:43.507657+00:00", "probabilities": {"away": 0.5246, "home": 0.4754}, "replay_scope": "Exact full-precision serving state and rounding; upstream historical observation times are not certified.", "schema": "coded-moneyline-replay-v1", "snapshot_hash": "fea020861e9e2a940679e9af022703bb775bc6a75f15ccf0df22a16a7ea6bbc0", "sport": "TENNIS"}</t>
        </is>
      </c>
    </row>
    <row r="677" ht="36" customHeight="1">
      <c r="A677" s="24" t="inlineStr">
        <is>
          <t>fe714d5b9cb34f3b</t>
        </is>
      </c>
      <c r="B677" s="24" t="inlineStr">
        <is>
          <t>2026-09-21T10:07:37.201821Z</t>
        </is>
      </c>
      <c r="C677" s="24" t="inlineStr">
        <is>
          <t>2026-09-21T11:30Z</t>
        </is>
      </c>
      <c r="D677" s="24" t="inlineStr">
        <is>
          <t>1019-2026:183879</t>
        </is>
      </c>
      <c r="E677" s="24" t="inlineStr">
        <is>
          <t>TENNIS</t>
        </is>
      </c>
      <c r="F677" s="24" t="inlineStr">
        <is>
          <t>Arantxa Rus</t>
        </is>
      </c>
      <c r="G677" s="24" t="inlineStr">
        <is>
          <t>Mia Ristic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polymarket_us</t>
        </is>
      </c>
      <c r="L677" s="26" t="n">
        <v>-144</v>
      </c>
      <c r="M677" s="27" t="n">
        <v>1.694444</v>
      </c>
      <c r="N677" s="28" t="n">
        <v>0.590164</v>
      </c>
      <c r="O677" s="28" t="n">
        <v>0.5534</v>
      </c>
      <c r="P677" s="28" t="n">
        <v>0.05</v>
      </c>
      <c r="Q677" s="28" t="n">
        <v>-0.036764</v>
      </c>
      <c r="R677" s="26" t="n">
        <v>2</v>
      </c>
      <c r="S677" s="29" t="n">
        <v>1</v>
      </c>
      <c r="T677" s="24" t="inlineStr">
        <is>
          <t>tennis-surface-elo-v1</t>
        </is>
      </c>
      <c r="U677" s="24" t="inlineStr">
        <is>
          <t>settled</t>
        </is>
      </c>
      <c r="V677" s="24" t="inlineStr">
        <is>
          <t>win</t>
        </is>
      </c>
      <c r="W677" s="26" t="n">
        <v>0</v>
      </c>
      <c r="X677" s="26" t="n">
        <v>1</v>
      </c>
      <c r="Y677" s="25" t="n"/>
      <c r="Z677" s="26" t="n">
        <v>-144</v>
      </c>
      <c r="AA677" s="28" t="n">
        <v>0.59</v>
      </c>
      <c r="AB677" s="28" t="n">
        <v>-0.000164</v>
      </c>
      <c r="AC677" s="30" t="n">
        <v>0.6944</v>
      </c>
      <c r="AD677" s="24" t="inlineStr">
        <is>
          <t>2026-09-21T16:08:22.913767Z</t>
        </is>
      </c>
      <c r="AE677" s="31" t="inlineStr">
        <is>
          <t>Surface-blended Elo on Hard: Arantxa Rus p=0.447 vs Mia Ristic. Executable ask 0.5900 (aec-wta-miaris-ararus-2026-09-21).</t>
        </is>
      </c>
      <c r="AF677" s="31" t="inlineStr">
        <is>
          <t>Surface-blended Elo model; singles only, WTA+ATP market coverage, not yet locked-holdout qualified -- promoted by explicit operator directive, not genuine walk-forward validation.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Arantxa Rus</t>
        </is>
      </c>
      <c r="AQ677" s="24" t="inlineStr">
        <is>
          <t>Arantxa Rus</t>
        </is>
      </c>
      <c r="AR677" s="24" t="inlineStr">
        <is>
          <t>Arantxa Rus</t>
        </is>
      </c>
      <c r="AS677" s="24" t="inlineStr">
        <is>
          <t>Mia Ristic</t>
        </is>
      </c>
      <c r="AT677" s="24" t="inlineStr">
        <is>
          <t>Mia Ristic</t>
        </is>
      </c>
      <c r="AU677" s="24" t="inlineStr">
        <is>
          <t>Mia Ristic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6c67e999d2a03612e30f4032c8e5e77e8becfbc79e05f4c8993e726b90d34d54</t>
        </is>
      </c>
      <c r="BB677" s="24" t="inlineStr">
        <is>
          <t>surface_blended_elo</t>
        </is>
      </c>
      <c r="BC677" s="24" t="inlineStr">
        <is>
          <t>tennis-surface-elo-v1</t>
        </is>
      </c>
      <c r="BD677" s="24" t="inlineStr">
        <is>
          <t>6c67e999d2a03612e30f4032c8e5e77e8becfbc79e05f4c8993e726b90d34d54</t>
        </is>
      </c>
      <c r="BE677" s="24" t="inlineStr">
        <is>
          <t>tennis-surface-elo-v1</t>
        </is>
      </c>
      <c r="BF677" s="24" t="inlineStr">
        <is>
          <t>1</t>
        </is>
      </c>
      <c r="BG677" s="24" t="inlineStr">
        <is>
          <t>6c67e999d2a03612e30f4032c8e5e77e8becfbc79e05f4c8993e726b90d34d54</t>
        </is>
      </c>
      <c r="BH677" s="24" t="inlineStr">
        <is>
          <t>2026-09-21T10:04:55.032276Z</t>
        </is>
      </c>
      <c r="BI677" s="24" t="inlineStr">
        <is>
          <t>["same_event","same_team_same_day","same_league_same_day"]</t>
        </is>
      </c>
      <c r="BJ677" s="25" t="n"/>
      <c r="BK677" s="26" t="n">
        <v>-144</v>
      </c>
      <c r="BL677" s="27" t="n">
        <v>1.694444</v>
      </c>
      <c r="BM677" s="28" t="n">
        <v>0.590164</v>
      </c>
      <c r="BN677" s="28" t="n"/>
      <c r="BO677" s="28" t="n"/>
      <c r="BP677" s="25" t="n"/>
      <c r="BQ677" s="27" t="n">
        <v>1.694444</v>
      </c>
      <c r="BR677" s="28" t="n">
        <v>0.59</v>
      </c>
      <c r="BS677" s="28" t="n"/>
      <c r="BT677" s="28" t="n"/>
      <c r="BU677" s="25" t="n"/>
      <c r="BV677" s="29" t="n"/>
      <c r="BW677" s="24" t="n"/>
      <c r="BX677" s="30" t="n">
        <v>1</v>
      </c>
      <c r="BY677" s="27" t="n">
        <v>0.694444</v>
      </c>
      <c r="BZ677" s="24" t="inlineStr">
        <is>
          <t>2026-09-21T16:08:22.913767Z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inlineStr">
        <is>
          <t>4b72d7b16c3915c93ae3e443d6b900b73c8862f0051bc7e1e493184e735df2db</t>
        </is>
      </c>
      <c r="DE677" s="24" t="inlineStr">
        <is>
          <t>/Users/vincentc9002/model-prediction/data/odds/tennis/2026-09-21/polymarket_snapshots.jsonl</t>
        </is>
      </c>
      <c r="DF677" s="24" t="inlineStr">
        <is>
          <t>970450:2026-09-21T10:04:55.032276Z</t>
        </is>
      </c>
      <c r="DG677" s="24" t="n"/>
      <c r="DH677" s="24" t="n"/>
      <c r="DI677" s="24" t="n"/>
      <c r="DJ677" s="24" t="inlineStr">
        <is>
          <t>0.590164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"6c67e999d2a03612e30f4032c8e5e77e8becfbc79e05f4c8993e726b90d34d54", "away_team": "Arantxa Rus", "event_id": "1019-2026:183879", "event_start_utc": "2026-09-21T11:30Z", "features": {"elo_p1_surface": 1477.5, "elo_p2_surface": 1511.1, "expected_games_p1": 11.68, "expected_games_p2": 12.88, "expected_total_games": 24.56, "history_matches": 16204, "min_player_matches": 40, "surface": "Hard"}, "historical_source_observation_times_verified": false, "home_team": "Mia Ristic", "inference_inputs": {"code_sha256": {"features/elo_ratings.py": "8525faf022a6343c452286dbfeb17dbb043744c6bdabbe448b6b371216da439b", "models/tennis.py": "6c67e999d2a03612e30f4032c8e5e77e8becfbc79e05f4c8993e726b90d34d54"}, "overall_ratings": [1485.360773546426, 1525.697413349196], "players": ["Arantxa Rus", "Mia Ristic"], "sport": "TENNIS", "surface": "Hard", "surface_counts": [81, 36], "surface_ratings": [1477.4510686262524, 1511.121442854967]}, "market_type": "moneyline", "model_version": "tennis-surface-elo-v1", "observed_at_utc": "2026-09-21T10:07:36.001944+00:00", "probabilities": {"away": 0.4466, "home": 0.5534}, "replay_scope": "Exact full-precision serving state and rounding; upstream historical observation times are not certified.", "schema": "coded-moneyline-replay-v1", "snapshot_hash": "0525949a94f364851133375b89c5be95f0241b22d84fe738b568ab2e3433146c", "sport": "TENNIS"}</t>
        </is>
      </c>
    </row>
    <row r="678" ht="36" customHeight="1">
      <c r="A678" s="24" t="inlineStr">
        <is>
          <t>824881d02cea4d98</t>
        </is>
      </c>
      <c r="B678" s="24" t="inlineStr">
        <is>
          <t>2026-09-21T10:07:37.201821Z</t>
        </is>
      </c>
      <c r="C678" s="24" t="inlineStr">
        <is>
          <t>2026-09-21T16:00Z</t>
        </is>
      </c>
      <c r="D678" s="24" t="inlineStr">
        <is>
          <t>1019-2026:183881</t>
        </is>
      </c>
      <c r="E678" s="24" t="inlineStr">
        <is>
          <t>TENNIS</t>
        </is>
      </c>
      <c r="F678" s="24" t="inlineStr">
        <is>
          <t>Oksana Selekhmeteva</t>
        </is>
      </c>
      <c r="G678" s="24" t="inlineStr">
        <is>
          <t>Federica Urgesi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-194</v>
      </c>
      <c r="M678" s="27" t="n">
        <v>1.515464</v>
      </c>
      <c r="N678" s="28" t="n">
        <v>0.659864</v>
      </c>
      <c r="O678" s="28" t="n">
        <v>0.6268</v>
      </c>
      <c r="P678" s="28" t="n">
        <v>0.05</v>
      </c>
      <c r="Q678" s="28" t="n">
        <v>-0.033064</v>
      </c>
      <c r="R678" s="26" t="n">
        <v>3</v>
      </c>
      <c r="S678" s="29" t="n">
        <v>1</v>
      </c>
      <c r="T678" s="24" t="inlineStr">
        <is>
          <t>tennis-surface-elo-v1</t>
        </is>
      </c>
      <c r="U678" s="24" t="inlineStr">
        <is>
          <t>settled</t>
        </is>
      </c>
      <c r="V678" s="24" t="inlineStr">
        <is>
          <t>win</t>
        </is>
      </c>
      <c r="W678" s="26" t="n">
        <v>1</v>
      </c>
      <c r="X678" s="26" t="n">
        <v>0</v>
      </c>
      <c r="Y678" s="25" t="n"/>
      <c r="Z678" s="26" t="n">
        <v>-194</v>
      </c>
      <c r="AA678" s="28" t="n">
        <v>0.66</v>
      </c>
      <c r="AB678" s="28" t="n">
        <v>0.000136</v>
      </c>
      <c r="AC678" s="30" t="n">
        <v>0.5155</v>
      </c>
      <c r="AD678" s="24" t="inlineStr">
        <is>
          <t>2026-09-21T22:00:11.606866Z</t>
        </is>
      </c>
      <c r="AE678" s="31" t="inlineStr">
        <is>
          <t>Surface-blended Elo on Hard: Oksana Selekhmeteva p=0.627 vs Federica Urgesi. Executable ask 0.6600 (aec-wta-fedurg-okssel-2026-09-21).</t>
        </is>
      </c>
      <c r="AF678" s="31" t="inlineStr">
        <is>
          <t>Surface-blended Elo model; singles only, WTA+ATP market coverage, not yet locked-holdout qualified -- promoted by explicit operator directive, not genuine walk-forward validation.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Oksana Selekhmeteva</t>
        </is>
      </c>
      <c r="AQ678" s="24" t="inlineStr">
        <is>
          <t>Oksana Selekhmeteva</t>
        </is>
      </c>
      <c r="AR678" s="24" t="inlineStr">
        <is>
          <t>Oksana Selekhmeteva</t>
        </is>
      </c>
      <c r="AS678" s="24" t="inlineStr">
        <is>
          <t>Federica Urgesi</t>
        </is>
      </c>
      <c r="AT678" s="24" t="inlineStr">
        <is>
          <t>Federica Urgesi</t>
        </is>
      </c>
      <c r="AU678" s="24" t="inlineStr">
        <is>
          <t>Federica Urgesi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6c67e999d2a03612e30f4032c8e5e77e8becfbc79e05f4c8993e726b90d34d54</t>
        </is>
      </c>
      <c r="BB678" s="24" t="inlineStr">
        <is>
          <t>surface_blended_elo</t>
        </is>
      </c>
      <c r="BC678" s="24" t="inlineStr">
        <is>
          <t>tennis-surface-elo-v1</t>
        </is>
      </c>
      <c r="BD678" s="24" t="inlineStr">
        <is>
          <t>6c67e999d2a03612e30f4032c8e5e77e8becfbc79e05f4c8993e726b90d34d54</t>
        </is>
      </c>
      <c r="BE678" s="24" t="inlineStr">
        <is>
          <t>tennis-surface-elo-v1</t>
        </is>
      </c>
      <c r="BF678" s="24" t="inlineStr">
        <is>
          <t>1</t>
        </is>
      </c>
      <c r="BG678" s="24" t="inlineStr">
        <is>
          <t>6c67e999d2a03612e30f4032c8e5e77e8becfbc79e05f4c8993e726b90d34d54</t>
        </is>
      </c>
      <c r="BH678" s="24" t="inlineStr">
        <is>
          <t>2026-09-21T04:36:12.288648Z</t>
        </is>
      </c>
      <c r="BI678" s="24" t="inlineStr">
        <is>
          <t>["same_event","same_team_same_day","same_league_same_day"]</t>
        </is>
      </c>
      <c r="BJ678" s="25" t="n"/>
      <c r="BK678" s="26" t="n">
        <v>-194</v>
      </c>
      <c r="BL678" s="27" t="n">
        <v>1.515464</v>
      </c>
      <c r="BM678" s="28" t="n">
        <v>0.659864</v>
      </c>
      <c r="BN678" s="28" t="n"/>
      <c r="BO678" s="28" t="n"/>
      <c r="BP678" s="25" t="n"/>
      <c r="BQ678" s="27" t="n">
        <v>1.515464</v>
      </c>
      <c r="BR678" s="28" t="n">
        <v>0.66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0.515464</v>
      </c>
      <c r="BZ678" s="24" t="inlineStr">
        <is>
          <t>2026-09-21T22:00:11.606866Z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inlineStr">
        <is>
          <t>90a175bb983e73cded278fb16bf253ba97e9dbc069ab4cd860ad679bcf7dfeef</t>
        </is>
      </c>
      <c r="DE678" s="24" t="inlineStr">
        <is>
          <t>/Users/vincentc9002/model-prediction/data/odds/tennis/2026-09-21/polymarket_snapshots.jsonl</t>
        </is>
      </c>
      <c r="DF678" s="24" t="inlineStr">
        <is>
          <t>970457:2026-09-21T04:36:12.288648Z</t>
        </is>
      </c>
      <c r="DG678" s="24" t="n"/>
      <c r="DH678" s="24" t="n"/>
      <c r="DI678" s="24" t="n"/>
      <c r="DJ678" s="24" t="inlineStr">
        <is>
          <t>0.659864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"6c67e999d2a03612e30f4032c8e5e77e8becfbc79e05f4c8993e726b90d34d54", "away_team": "Oksana Selekhmeteva", "event_id": "1019-2026:183881", "event_start_utc": "2026-09-21T16:00Z", "features": {"elo_p1_surface": 1575.7, "elo_p2_surface": 1469.3, "expected_games_p1": 13.42, "expected_games_p2": 8.78, "expected_total_games": 22.2, "history_matches": 16204, "min_player_matches": 20, "surface": "Hard"}, "historical_source_observation_times_verified": false, "home_team": "Federica Urgesi", "inference_inputs": {"code_sha256": {"features/elo_ratings.py": "8525faf022a6343c452286dbfeb17dbb043744c6bdabbe448b6b371216da439b", "models/tennis.py": "6c67e999d2a03612e30f4032c8e5e77e8becfbc79e05f4c8993e726b90d34d54"}, "overall_ratings": [1553.28708595972, 1485.9027109059534], "players": ["Oksana Selekhmeteva", "Federica Urgesi"], "sport": "TENNIS", "surface": "Hard", "surface_counts": [95, 12], "surface_ratings": [1575.6984571629205, 1469.3373308126113]}, "market_type": "moneyline", "model_version": "tennis-surface-elo-v1", "observed_at_utc": "2026-09-21T10:07:36.001944+00:00", "probabilities": {"away": 0.6268, "home": 0.3732}, "replay_scope": "Exact full-precision serving state and rounding; upstream historical observation times are not certified.", "schema": "coded-moneyline-replay-v1", "snapshot_hash": "15cfb7d883871bdd60549c16bcf786b4996700ab065674a57e53d036e74a9423", "sport": "TENNIS"}</t>
        </is>
      </c>
    </row>
    <row r="679" ht="36" customHeight="1">
      <c r="A679" s="24" t="inlineStr">
        <is>
          <t>265e2e21ce514b8d</t>
        </is>
      </c>
      <c r="B679" s="24" t="inlineStr">
        <is>
          <t>2026-09-21T10:07:37.201821Z</t>
        </is>
      </c>
      <c r="C679" s="24" t="inlineStr">
        <is>
          <t>2026-09-21T11:30Z</t>
        </is>
      </c>
      <c r="D679" s="24" t="inlineStr">
        <is>
          <t>1022-2026:183950</t>
        </is>
      </c>
      <c r="E679" s="24" t="inlineStr">
        <is>
          <t>TENNIS</t>
        </is>
      </c>
      <c r="F679" s="24" t="inlineStr">
        <is>
          <t>Ayana Akli</t>
        </is>
      </c>
      <c r="G679" s="24" t="inlineStr">
        <is>
          <t>Anouk Koevermans</t>
        </is>
      </c>
      <c r="H679" s="24" t="inlineStr">
        <is>
          <t>moneyline</t>
        </is>
      </c>
      <c r="I679" s="24" t="inlineStr">
        <is>
          <t>home</t>
        </is>
      </c>
      <c r="J679" s="25" t="n"/>
      <c r="K679" s="24" t="inlineStr">
        <is>
          <t>polymarket_us</t>
        </is>
      </c>
      <c r="L679" s="26" t="n">
        <v>-163</v>
      </c>
      <c r="M679" s="27" t="n">
        <v>1.613497</v>
      </c>
      <c r="N679" s="28" t="n">
        <v>0.619772</v>
      </c>
      <c r="O679" s="28" t="n">
        <v>0.6194</v>
      </c>
      <c r="P679" s="28" t="n">
        <v>0.05</v>
      </c>
      <c r="Q679" s="28" t="n">
        <v>-0.000372</v>
      </c>
      <c r="R679" s="26" t="n">
        <v>20</v>
      </c>
      <c r="S679" s="29" t="n">
        <v>1</v>
      </c>
      <c r="T679" s="24" t="inlineStr">
        <is>
          <t>tennis-surface-elo-v1</t>
        </is>
      </c>
      <c r="U679" s="24" t="inlineStr">
        <is>
          <t>settled</t>
        </is>
      </c>
      <c r="V679" s="24" t="inlineStr">
        <is>
          <t>loss</t>
        </is>
      </c>
      <c r="W679" s="26" t="n">
        <v>1</v>
      </c>
      <c r="X679" s="26" t="n">
        <v>0</v>
      </c>
      <c r="Y679" s="25" t="n"/>
      <c r="Z679" s="26" t="n">
        <v>-163</v>
      </c>
      <c r="AA679" s="28" t="n">
        <v>0.62</v>
      </c>
      <c r="AB679" s="28" t="n">
        <v>0.000228</v>
      </c>
      <c r="AC679" s="30" t="n">
        <v>-1</v>
      </c>
      <c r="AD679" s="24" t="inlineStr">
        <is>
          <t>2026-09-21T16:08:26.439450Z</t>
        </is>
      </c>
      <c r="AE679" s="31" t="inlineStr">
        <is>
          <t>Surface-blended Elo on Hard: Ayana Akli p=0.381 vs Anouk Koevermans. Executable ask 0.6200 (aec-wta-anokoe-ayaakl-2026-09-21).</t>
        </is>
      </c>
      <c r="AF679" s="31" t="inlineStr">
        <is>
          <t>Surface-blended Elo model; singles only, WTA+ATP market coverage, not yet locked-holdout qualified -- promoted by explicit operator directive, not genuine walk-forward validation.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PAPER_CALL_LOW_EDGE</t>
        </is>
      </c>
      <c r="AP679" s="24" t="inlineStr">
        <is>
          <t>Ayana Akli</t>
        </is>
      </c>
      <c r="AQ679" s="24" t="inlineStr">
        <is>
          <t>Ayana Akli</t>
        </is>
      </c>
      <c r="AR679" s="24" t="inlineStr">
        <is>
          <t>Ayana Akli</t>
        </is>
      </c>
      <c r="AS679" s="24" t="inlineStr">
        <is>
          <t>Anouk Koevermans</t>
        </is>
      </c>
      <c r="AT679" s="24" t="inlineStr">
        <is>
          <t>Anouk Koevermans</t>
        </is>
      </c>
      <c r="AU679" s="24" t="inlineStr">
        <is>
          <t>Anouk Koevermans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6c67e999d2a03612e30f4032c8e5e77e8becfbc79e05f4c8993e726b90d34d54</t>
        </is>
      </c>
      <c r="BB679" s="24" t="inlineStr">
        <is>
          <t>surface_blended_elo</t>
        </is>
      </c>
      <c r="BC679" s="24" t="inlineStr">
        <is>
          <t>tennis-surface-elo-v1</t>
        </is>
      </c>
      <c r="BD679" s="24" t="inlineStr">
        <is>
          <t>6c67e999d2a03612e30f4032c8e5e77e8becfbc79e05f4c8993e726b90d34d54</t>
        </is>
      </c>
      <c r="BE679" s="24" t="inlineStr">
        <is>
          <t>tennis-surface-elo-v1</t>
        </is>
      </c>
      <c r="BF679" s="24" t="inlineStr">
        <is>
          <t>1</t>
        </is>
      </c>
      <c r="BG679" s="24" t="inlineStr">
        <is>
          <t>6c67e999d2a03612e30f4032c8e5e77e8becfbc79e05f4c8993e726b90d34d54</t>
        </is>
      </c>
      <c r="BH679" s="24" t="inlineStr">
        <is>
          <t>2026-09-21T10:04:55.088469Z</t>
        </is>
      </c>
      <c r="BI679" s="24" t="inlineStr">
        <is>
          <t>["same_event","same_team_same_day","same_league_same_day"]</t>
        </is>
      </c>
      <c r="BJ679" s="25" t="n"/>
      <c r="BK679" s="26" t="n">
        <v>-163</v>
      </c>
      <c r="BL679" s="27" t="n">
        <v>1.613497</v>
      </c>
      <c r="BM679" s="28" t="n">
        <v>0.619772</v>
      </c>
      <c r="BN679" s="28" t="n"/>
      <c r="BO679" s="28" t="n"/>
      <c r="BP679" s="25" t="n"/>
      <c r="BQ679" s="27" t="n">
        <v>1.613497</v>
      </c>
      <c r="BR679" s="28" t="n">
        <v>0.62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-1</v>
      </c>
      <c r="BZ679" s="24" t="inlineStr">
        <is>
          <t>2026-09-21T16:08:26.439450Z</t>
        </is>
      </c>
      <c r="CA679" s="31" t="inlineStr">
        <is>
          <t>fixed one-unit hypothetical scoring; no real exposure or execution</t>
        </is>
      </c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inlineStr">
        <is>
          <t>2795f97601b42ed83aae8c9e6c3346d49bbe69761ddf1b682ae484de48d70ff6</t>
        </is>
      </c>
      <c r="DE679" s="24" t="inlineStr">
        <is>
          <t>/Users/vincentc9002/model-prediction/data/odds/tennis/2026-09-21/polymarket_snapshots.jsonl</t>
        </is>
      </c>
      <c r="DF679" s="24" t="inlineStr">
        <is>
          <t>969164:2026-09-21T10:04:55.088469Z</t>
        </is>
      </c>
      <c r="DG679" s="24" t="n"/>
      <c r="DH679" s="24" t="n"/>
      <c r="DI679" s="24" t="n"/>
      <c r="DJ679" s="24" t="inlineStr">
        <is>
          <t>0.619772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"6c67e999d2a03612e30f4032c8e5e77e8becfbc79e05f4c8993e726b90d34d54", "away_team": "Ayana Akli", "event_id": "1022-2026:183950", "event_start_utc": "2026-09-21T11:30Z", "features": {"elo_p1_surface": 1444.4, "elo_p2_surface": 1530.3, "expected_games_p1": 9.96, "expected_games_p2": 13.28, "expected_total_games": 23.24, "history_matches": 16204, "min_player_matches": 20, "surface": "Hard"}, "historical_source_observation_times_verified": false, "home_team": "Anouk Koevermans", "inference_inputs": {"code_sha256": {"features/elo_ratings.py": "8525faf022a6343c452286dbfeb17dbb043744c6bdabbe448b6b371216da439b", "models/tennis.py": "6c67e999d2a03612e30f4032c8e5e77e8becfbc79e05f4c8993e726b90d34d54"}, "overall_ratings": [1433.6253953044707, 1509.6443993897035], "players": ["Ayana Akli", "Anouk Koevermans"], "sport": "TENNIS", "surface": "Hard", "surface_counts": [19, 54], "surface_ratings": [1444.418062586092, 1530.2656798851958]}, "market_type": "moneyline", "model_version": "tennis-surface-elo-v1", "observed_at_utc": "2026-09-21T10:07:36.001944+00:00", "probabilities": {"away": 0.3806, "home": 0.6194}, "replay_scope": "Exact full-precision serving state and rounding; upstream historical observation times are not certified.", "schema": "coded-moneyline-replay-v1", "snapshot_hash": "db7fe03aa7b39582b108fe3ddb86f5ffca2418aa209129410999ebb6330b4eb5", "sport": "TENNIS"}</t>
        </is>
      </c>
    </row>
    <row r="680" ht="36" customHeight="1">
      <c r="A680" s="24" t="inlineStr">
        <is>
          <t>7536587a5da445a8</t>
        </is>
      </c>
      <c r="B680" s="24" t="inlineStr">
        <is>
          <t>2026-09-21T16:15:55.914396Z</t>
        </is>
      </c>
      <c r="C680" s="24" t="inlineStr">
        <is>
          <t>2026-09-21T18:00Z</t>
        </is>
      </c>
      <c r="D680" s="24" t="inlineStr">
        <is>
          <t>1019-2026:183891</t>
        </is>
      </c>
      <c r="E680" s="24" t="inlineStr">
        <is>
          <t>TENNIS</t>
        </is>
      </c>
      <c r="F680" s="24" t="inlineStr">
        <is>
          <t>Noemi Basiletti</t>
        </is>
      </c>
      <c r="G680" s="24" t="inlineStr">
        <is>
          <t>Laura Samson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-223</v>
      </c>
      <c r="M680" s="27" t="n">
        <v>1.44843</v>
      </c>
      <c r="N680" s="28" t="n">
        <v>0.690402</v>
      </c>
      <c r="O680" s="28" t="n">
        <v>0.5022</v>
      </c>
      <c r="P680" s="28" t="n">
        <v>0.05</v>
      </c>
      <c r="Q680" s="28" t="n">
        <v>-0.188202</v>
      </c>
      <c r="R680" s="26" t="n">
        <v>0</v>
      </c>
      <c r="S680" s="29" t="n">
        <v>1</v>
      </c>
      <c r="T680" s="24" t="inlineStr">
        <is>
          <t>tennis-surface-elo-v1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</v>
      </c>
      <c r="X680" s="26" t="n">
        <v>0</v>
      </c>
      <c r="Y680" s="25" t="n"/>
      <c r="Z680" s="26" t="n">
        <v>-223</v>
      </c>
      <c r="AA680" s="28" t="n">
        <v>0.6899999999999999</v>
      </c>
      <c r="AB680" s="28" t="n">
        <v>-0.000402</v>
      </c>
      <c r="AC680" s="30" t="n">
        <v>-1</v>
      </c>
      <c r="AD680" s="24" t="inlineStr">
        <is>
          <t>2026-09-21T22:00:18.206170Z</t>
        </is>
      </c>
      <c r="AE680" s="31" t="inlineStr">
        <is>
          <t>Surface-blended Elo on Hard: Noemi Basiletti p=0.498 vs Laura Samson. Executable ask 0.6900 (aec-wta-lausam-noebas-2026-09-21).</t>
        </is>
      </c>
      <c r="AF680" s="31" t="inlineStr">
        <is>
          <t>Surface-blended Elo model; singles only, WTA+ATP market coverage, not yet locked-holdout qualified -- promoted by explicit operator directive, not genuine walk-forward validation.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Noemi Basiletti</t>
        </is>
      </c>
      <c r="AQ680" s="24" t="inlineStr">
        <is>
          <t>Noemi Basiletti</t>
        </is>
      </c>
      <c r="AR680" s="24" t="inlineStr">
        <is>
          <t>Noemi Basiletti</t>
        </is>
      </c>
      <c r="AS680" s="24" t="inlineStr">
        <is>
          <t>Laura Samson</t>
        </is>
      </c>
      <c r="AT680" s="24" t="inlineStr">
        <is>
          <t>Laura Samson</t>
        </is>
      </c>
      <c r="AU680" s="24" t="inlineStr">
        <is>
          <t>Laura Samson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6c67e999d2a03612e30f4032c8e5e77e8becfbc79e05f4c8993e726b90d34d54</t>
        </is>
      </c>
      <c r="BB680" s="24" t="inlineStr">
        <is>
          <t>surface_blended_elo</t>
        </is>
      </c>
      <c r="BC680" s="24" t="inlineStr">
        <is>
          <t>tennis-surface-elo-v1</t>
        </is>
      </c>
      <c r="BD680" s="24" t="inlineStr">
        <is>
          <t>6c67e999d2a03612e30f4032c8e5e77e8becfbc79e05f4c8993e726b90d34d54</t>
        </is>
      </c>
      <c r="BE680" s="24" t="inlineStr">
        <is>
          <t>tennis-surface-elo-v1</t>
        </is>
      </c>
      <c r="BF680" s="24" t="inlineStr">
        <is>
          <t>1</t>
        </is>
      </c>
      <c r="BG680" s="24" t="inlineStr">
        <is>
          <t>6c67e999d2a03612e30f4032c8e5e77e8becfbc79e05f4c8993e726b90d34d54</t>
        </is>
      </c>
      <c r="BH680" s="24" t="inlineStr">
        <is>
          <t>2026-09-21T04:36:12.350031Z</t>
        </is>
      </c>
      <c r="BI680" s="24" t="inlineStr">
        <is>
          <t>["same_event","same_team_same_day","same_league_same_day"]</t>
        </is>
      </c>
      <c r="BJ680" s="25" t="n"/>
      <c r="BK680" s="26" t="n">
        <v>-223</v>
      </c>
      <c r="BL680" s="27" t="n">
        <v>1.44843</v>
      </c>
      <c r="BM680" s="28" t="n">
        <v>0.690402</v>
      </c>
      <c r="BN680" s="28" t="n"/>
      <c r="BO680" s="28" t="n"/>
      <c r="BP680" s="25" t="n"/>
      <c r="BQ680" s="27" t="n">
        <v>1.44843</v>
      </c>
      <c r="BR680" s="28" t="n">
        <v>0.6899999999999999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2026-09-21T22:00:18.206170Z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inlineStr">
        <is>
          <t>41728efcab56cde65db552c61fdf8802ffdaccea0ccc546f6e04f72656acf342</t>
        </is>
      </c>
      <c r="DE680" s="24" t="inlineStr">
        <is>
          <t>/Users/vincentc9002/model-prediction/data/odds/tennis/2026-09-21/polymarket_snapshots.jsonl</t>
        </is>
      </c>
      <c r="DF680" s="24" t="inlineStr">
        <is>
          <t>970449:2026-09-21T04:36:12.350031Z</t>
        </is>
      </c>
      <c r="DG680" s="24" t="n"/>
      <c r="DH680" s="24" t="n"/>
      <c r="DI680" s="24" t="n"/>
      <c r="DJ680" s="24" t="inlineStr">
        <is>
          <t>0.690402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"6c67e999d2a03612e30f4032c8e5e77e8becfbc79e05f4c8993e726b90d34d54", "away_team": "Noemi Basiletti", "event_id": "1019-2026:183891", "event_start_utc": "2026-09-21T18:00Z", "features": {"elo_p1_surface": 1531.7, "elo_p2_surface": 1541.0, "expected_games_p1": 12.34, "expected_games_p2": 12.44, "expected_total_games": 24.78, "history_matches": 16204, "min_player_matches": 22, "surface": "Hard"}, "historical_source_observation_times_verified": false, "home_team": "Laura Samson", "inference_inputs": {"code_sha256": {"features/elo_ratings.py": "8525faf022a6343c452286dbfeb17dbb043744c6bdabbe448b6b371216da439b", "models/tennis.py": "6c67e999d2a03612e30f4032c8e5e77e8becfbc79e05f4c8993e726b90d34d54"}, "overall_ratings": [1542.879820050042, 1538.1913616672634], "players": ["Noemi Basiletti", "Laura Samson"], "sport": "TENNIS", "surface": "Hard", "surface_counts": [14, 30], "surface_ratings": [1531.653678824111, 1541.008967879442]}, "market_type": "moneyline", "model_version": "tennis-surface-elo-v1", "observed_at_utc": "2026-09-21T16:15:54.858076+00:00", "probabilities": {"away": 0.4978, "home": 0.5022}, "replay_scope": "Exact full-precision serving state and rounding; upstream historical observation times are not certified.", "schema": "coded-moneyline-replay-v1", "snapshot_hash": "fdf9364414ea8795f177d5afec197276ec0c351ccc7c9d5d4f1b07a10ae6cf5a", "sport": "TENNIS"}</t>
        </is>
      </c>
    </row>
    <row r="681" ht="36" customHeight="1">
      <c r="A681" s="24" t="inlineStr">
        <is>
          <t>68b87b8e30124e5c</t>
        </is>
      </c>
      <c r="B681" s="24" t="inlineStr">
        <is>
          <t>2026-09-21T22:07:18.936755Z</t>
        </is>
      </c>
      <c r="C681" s="24" t="inlineStr">
        <is>
          <t>2026-09-22T03:00Z</t>
        </is>
      </c>
      <c r="D681" s="24" t="inlineStr">
        <is>
          <t>811-2026:184037</t>
        </is>
      </c>
      <c r="E681" s="24" t="inlineStr">
        <is>
          <t>TENNIS</t>
        </is>
      </c>
      <c r="F681" s="24" t="inlineStr">
        <is>
          <t>Elena-Gabriela Ruse</t>
        </is>
      </c>
      <c r="G681" s="24" t="inlineStr">
        <is>
          <t>Eva Lys</t>
        </is>
      </c>
      <c r="H681" s="24" t="inlineStr">
        <is>
          <t>moneyline</t>
        </is>
      </c>
      <c r="I681" s="24" t="inlineStr">
        <is>
          <t>away</t>
        </is>
      </c>
      <c r="J681" s="25" t="n"/>
      <c r="K681" s="24" t="inlineStr">
        <is>
          <t>polymarket_us</t>
        </is>
      </c>
      <c r="L681" s="26" t="n">
        <v>-163</v>
      </c>
      <c r="M681" s="27" t="n">
        <v>1.613497</v>
      </c>
      <c r="N681" s="28" t="n">
        <v>0.619772</v>
      </c>
      <c r="O681" s="28" t="n">
        <v>0.6577</v>
      </c>
      <c r="P681" s="28" t="n">
        <v>0.05</v>
      </c>
      <c r="Q681" s="28" t="n">
        <v>0.037928</v>
      </c>
      <c r="R681" s="26" t="n">
        <v>39</v>
      </c>
      <c r="S681" s="29" t="n">
        <v>1</v>
      </c>
      <c r="T681" s="24" t="inlineStr">
        <is>
          <t>tennis-surface-elo-v1</t>
        </is>
      </c>
      <c r="U681" s="24" t="inlineStr">
        <is>
          <t>settled</t>
        </is>
      </c>
      <c r="V681" s="24" t="inlineStr">
        <is>
          <t>win</t>
        </is>
      </c>
      <c r="W681" s="26" t="n">
        <v>1</v>
      </c>
      <c r="X681" s="26" t="n">
        <v>0</v>
      </c>
      <c r="Y681" s="25" t="n"/>
      <c r="Z681" s="26" t="n"/>
      <c r="AA681" s="28" t="n"/>
      <c r="AB681" s="28" t="n"/>
      <c r="AC681" s="30" t="n">
        <v>0.6135</v>
      </c>
      <c r="AD681" s="24" t="inlineStr">
        <is>
          <t>2026-09-22T04:37:44.717978Z</t>
        </is>
      </c>
      <c r="AE681" s="31" t="inlineStr">
        <is>
          <t>Surface-blended Elo on Hard: Elena-Gabriela Ruse p=0.658 vs Eva Lys. Executable ask 0.6200 (aec-wta-evalys-gabrus-2026-09-20).</t>
        </is>
      </c>
      <c r="AF681" s="31" t="inlineStr">
        <is>
          <t>Surface-blended Elo model; singles only, WTA+ATP market coverage, not yet locked-holdout qualified -- promoted by explicit operator directive, not genuine walk-forward validation.</t>
        </is>
      </c>
      <c r="AG681" s="24" t="inlineStr">
        <is>
          <t>not_applicable</t>
        </is>
      </c>
      <c r="AH681" s="24" t="n"/>
      <c r="AI681" s="31" t="n"/>
      <c r="AJ681" s="31" t="n"/>
      <c r="AK681" s="24" t="inlineStr">
        <is>
          <t>paper_call</t>
        </is>
      </c>
      <c r="AL681" s="26" t="n">
        <v>4</v>
      </c>
      <c r="AM681" s="24" t="inlineStr">
        <is>
          <t>RESEARCH_OBSERVATION</t>
        </is>
      </c>
      <c r="AN681" s="24" t="inlineStr">
        <is>
          <t>CALL</t>
        </is>
      </c>
      <c r="AO681" s="24" t="inlineStr">
        <is>
          <t>PAPER_CALL_LOW_EDGE</t>
        </is>
      </c>
      <c r="AP681" s="24" t="inlineStr">
        <is>
          <t>Elena-Gabriela Ruse</t>
        </is>
      </c>
      <c r="AQ681" s="24" t="inlineStr">
        <is>
          <t>Elena-Gabriela Ruse</t>
        </is>
      </c>
      <c r="AR681" s="24" t="inlineStr">
        <is>
          <t>Elena-Gabriela Ruse</t>
        </is>
      </c>
      <c r="AS681" s="24" t="inlineStr">
        <is>
          <t>Eva Lys</t>
        </is>
      </c>
      <c r="AT681" s="24" t="inlineStr">
        <is>
          <t>Eva Lys</t>
        </is>
      </c>
      <c r="AU681" s="24" t="inlineStr">
        <is>
          <t>Eva Lys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6c67e999d2a03612e30f4032c8e5e77e8becfbc79e05f4c8993e726b90d34d54</t>
        </is>
      </c>
      <c r="BB681" s="24" t="inlineStr">
        <is>
          <t>surface_blended_elo</t>
        </is>
      </c>
      <c r="BC681" s="24" t="inlineStr">
        <is>
          <t>tennis-surface-elo-v1</t>
        </is>
      </c>
      <c r="BD681" s="24" t="inlineStr">
        <is>
          <t>6c67e999d2a03612e30f4032c8e5e77e8becfbc79e05f4c8993e726b90d34d54</t>
        </is>
      </c>
      <c r="BE681" s="24" t="inlineStr">
        <is>
          <t>tennis-surface-elo-v1</t>
        </is>
      </c>
      <c r="BF681" s="24" t="inlineStr">
        <is>
          <t>1</t>
        </is>
      </c>
      <c r="BG681" s="24" t="inlineStr">
        <is>
          <t>6c67e999d2a03612e30f4032c8e5e77e8becfbc79e05f4c8993e726b90d34d54</t>
        </is>
      </c>
      <c r="BH681" s="24" t="inlineStr">
        <is>
          <t>2026-09-21T16:14:15.495140Z</t>
        </is>
      </c>
      <c r="BI681" s="24" t="inlineStr">
        <is>
          <t>["same_event","same_team_same_day","same_league_same_day"]</t>
        </is>
      </c>
      <c r="BJ681" s="25" t="n"/>
      <c r="BK681" s="26" t="n">
        <v>-163</v>
      </c>
      <c r="BL681" s="27" t="n">
        <v>1.613497</v>
      </c>
      <c r="BM681" s="28" t="n">
        <v>0.619772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>
        <v>1</v>
      </c>
      <c r="BY681" s="27" t="n">
        <v>0.613497</v>
      </c>
      <c r="BZ681" s="24" t="inlineStr">
        <is>
          <t>2026-09-22T04:37:44.717978Z</t>
        </is>
      </c>
      <c r="CA681" s="31" t="inlineStr">
        <is>
          <t>fixed one-unit hypothetical scoring; no real exposure or execution</t>
        </is>
      </c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inlineStr">
        <is>
          <t>59817b06bb6f7455669409bd14af84781159ee01f8dd6002a5961f758d85edf4</t>
        </is>
      </c>
      <c r="DE681" s="24" t="inlineStr">
        <is>
          <t>/Users/vincentc9002/model-prediction/data/odds/tennis/2026-09-21/polymarket_snapshots.jsonl</t>
        </is>
      </c>
      <c r="DF681" s="24" t="inlineStr">
        <is>
          <t>948085:2026-09-21T16:14:15.495140Z</t>
        </is>
      </c>
      <c r="DG681" s="24" t="n"/>
      <c r="DH681" s="24" t="n"/>
      <c r="DI681" s="24" t="n"/>
      <c r="DJ681" s="24" t="inlineStr">
        <is>
          <t>0.619772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"6c67e999d2a03612e30f4032c8e5e77e8becfbc79e05f4c8993e726b90d34d54", "away_team": "Elena-Gabriela Ruse", "event_id": "811-2026:184037", "event_start_utc": "2026-09-22T03:00Z", "features": {"elo_p1_surface": 1696.4, "elo_p2_surface": 1580.3, "expected_games_p1": 13.37, "expected_games_p2": 8.44, "expected_total_games": 21.81, "history_matches": 16204, "min_player_matches": 126, "surface": "Hard"}, "historical_source_observation_times_verified": false, "home_team": "Eva Lys", "inference_inputs": {"code_sha256": {"features/elo_ratings.py": "8525faf022a6343c452286dbfeb17dbb043744c6bdabbe448b6b371216da439b", "models/tennis.py": "6c67e999d2a03612e30f4032c8e5e77e8becfbc79e05f4c8993e726b90d34d54"}, "overall_ratings": [1695.0819670469834, 1588.961579512067], "players": ["Elena-Gabriela Ruse", "Eva Lys"], "sport": "TENNIS", "surface": "Hard", "surface_counts": [109, 98], "surface_ratings": [1696.354563620257, 1580.3252064286337]}, "market_type": "moneyline", "model_version": "tennis-surface-elo-v1", "observed_at_utc": "2026-09-21T22:07:17.525840+00:00", "probabilities": {"away": 0.6577, "home": 0.3423}, "replay_scope": "Exact full-precision serving state and rounding; upstream historical observation times are not certified.", "schema": "coded-moneyline-replay-v1", "snapshot_hash": "5104ff8be9e0b186e2250ea931415635bad0c382da1611d769faf3ef1530189c", "sport": "TENNIS"}</t>
        </is>
      </c>
    </row>
    <row r="682" ht="36" customHeight="1">
      <c r="A682" s="24" t="inlineStr">
        <is>
          <t>147f5809826747dd</t>
        </is>
      </c>
      <c r="B682" s="24" t="inlineStr">
        <is>
          <t>2026-09-21T22:07:18.936755Z</t>
        </is>
      </c>
      <c r="C682" s="24" t="inlineStr">
        <is>
          <t>2026-09-22T04:30Z</t>
        </is>
      </c>
      <c r="D682" s="24" t="inlineStr">
        <is>
          <t>811-2026:184044</t>
        </is>
      </c>
      <c r="E682" s="24" t="inlineStr">
        <is>
          <t>TENNIS</t>
        </is>
      </c>
      <c r="F682" s="24" t="inlineStr">
        <is>
          <t>Ma YeXin</t>
        </is>
      </c>
      <c r="G682" s="24" t="inlineStr">
        <is>
          <t>Emerson Jones</t>
        </is>
      </c>
      <c r="H682" s="24" t="inlineStr">
        <is>
          <t>moneyline</t>
        </is>
      </c>
      <c r="I682" s="24" t="inlineStr">
        <is>
          <t>away</t>
        </is>
      </c>
      <c r="J682" s="25" t="n"/>
      <c r="K682" s="24" t="inlineStr">
        <is>
          <t>polymarket_us</t>
        </is>
      </c>
      <c r="L682" s="26" t="n">
        <v>186</v>
      </c>
      <c r="M682" s="27" t="n">
        <v>2.86</v>
      </c>
      <c r="N682" s="28" t="n">
        <v>0.34965</v>
      </c>
      <c r="O682" s="28" t="n">
        <v>0.5295</v>
      </c>
      <c r="P682" s="28" t="n">
        <v>0.05</v>
      </c>
      <c r="Q682" s="28" t="n">
        <v>0.17985</v>
      </c>
      <c r="R682" s="26" t="n">
        <v>100</v>
      </c>
      <c r="S682" s="29" t="n">
        <v>1.75</v>
      </c>
      <c r="T682" s="24" t="inlineStr">
        <is>
          <t>tennis-surface-elo-v1</t>
        </is>
      </c>
      <c r="U682" s="24" t="inlineStr">
        <is>
          <t>settled</t>
        </is>
      </c>
      <c r="V682" s="24" t="inlineStr">
        <is>
          <t>win</t>
        </is>
      </c>
      <c r="W682" s="26" t="n">
        <v>1</v>
      </c>
      <c r="X682" s="26" t="n">
        <v>0</v>
      </c>
      <c r="Y682" s="25" t="n"/>
      <c r="Z682" s="26" t="n"/>
      <c r="AA682" s="28" t="n"/>
      <c r="AB682" s="28" t="n"/>
      <c r="AC682" s="30" t="n">
        <v>3.255</v>
      </c>
      <c r="AD682" s="24" t="inlineStr">
        <is>
          <t>2026-09-22T10:00:08.477267Z</t>
        </is>
      </c>
      <c r="AE682" s="31" t="inlineStr">
        <is>
          <t>Surface-blended Elo on Hard: Ma YeXin p=0.529 vs Emerson Jones. Executable ask 0.3500 (aec-wta-emejon-yexma-2026-09-21).</t>
        </is>
      </c>
      <c r="AF682" s="31" t="inlineStr">
        <is>
          <t>Surface-blended Elo model; singles only, WTA+ATP market coverage, not yet locked-holdout qualified -- promoted by explicit operator directive, not genuine walk-forward validation.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Ma YeXin</t>
        </is>
      </c>
      <c r="AQ682" s="24" t="inlineStr">
        <is>
          <t>Ma YeXin</t>
        </is>
      </c>
      <c r="AR682" s="24" t="inlineStr">
        <is>
          <t>Ma YeXin</t>
        </is>
      </c>
      <c r="AS682" s="24" t="inlineStr">
        <is>
          <t>Emerson Jones</t>
        </is>
      </c>
      <c r="AT682" s="24" t="inlineStr">
        <is>
          <t>Emerson Jones</t>
        </is>
      </c>
      <c r="AU682" s="24" t="inlineStr">
        <is>
          <t>Emerson Jones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6c67e999d2a03612e30f4032c8e5e77e8becfbc79e05f4c8993e726b90d34d54</t>
        </is>
      </c>
      <c r="BB682" s="24" t="inlineStr">
        <is>
          <t>surface_blended_elo</t>
        </is>
      </c>
      <c r="BC682" s="24" t="inlineStr">
        <is>
          <t>tennis-surface-elo-v1</t>
        </is>
      </c>
      <c r="BD682" s="24" t="inlineStr">
        <is>
          <t>6c67e999d2a03612e30f4032c8e5e77e8becfbc79e05f4c8993e726b90d34d54</t>
        </is>
      </c>
      <c r="BE682" s="24" t="inlineStr">
        <is>
          <t>tennis-surface-elo-v1</t>
        </is>
      </c>
      <c r="BF682" s="24" t="inlineStr">
        <is>
          <t>1</t>
        </is>
      </c>
      <c r="BG682" s="24" t="inlineStr">
        <is>
          <t>6c67e999d2a03612e30f4032c8e5e77e8becfbc79e05f4c8993e726b90d34d54</t>
        </is>
      </c>
      <c r="BH682" s="24" t="inlineStr">
        <is>
          <t>2026-09-21T04:36:12.352505Z</t>
        </is>
      </c>
      <c r="BI682" s="24" t="inlineStr">
        <is>
          <t>["same_event","same_team_same_day","same_league_same_day"]</t>
        </is>
      </c>
      <c r="BJ682" s="25" t="n"/>
      <c r="BK682" s="26" t="n">
        <v>186</v>
      </c>
      <c r="BL682" s="27" t="n">
        <v>2.86</v>
      </c>
      <c r="BM682" s="28" t="n">
        <v>0.34965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1.860003</v>
      </c>
      <c r="BZ682" s="24" t="inlineStr">
        <is>
          <t>2026-09-22T10:00:08.477267Z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inlineStr">
        <is>
          <t>064a2344fc34dd7d6d25315bb8d0c515f8beb3b2c31cd532e7fc5868f8c26448</t>
        </is>
      </c>
      <c r="DE682" s="24" t="inlineStr">
        <is>
          <t>/Users/vincentc9002/model-prediction/data/odds/tennis/2026-09-21/polymarket_snapshots.jsonl</t>
        </is>
      </c>
      <c r="DF682" s="24" t="inlineStr">
        <is>
          <t>966683:2026-09-21T04:36:12.352505Z</t>
        </is>
      </c>
      <c r="DG682" s="24" t="n"/>
      <c r="DH682" s="24" t="n"/>
      <c r="DI682" s="24" t="n"/>
      <c r="DJ682" s="24" t="inlineStr">
        <is>
          <t>0.34965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"6c67e999d2a03612e30f4032c8e5e77e8becfbc79e05f4c8993e726b90d34d54", "away_team": "Ma YeXin", "event_id": "811-2026:184044", "event_start_utc": "2026-09-22T04:30Z", "features": {"elo_p1_surface": 1531.4, "elo_p2_surface": 1497.8, "expected_games_p1": 13.14, "expected_games_p2": 11.3, "expected_total_games": 24.44, "history_matches": 16204, "min_player_matches": 32,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[1493.767159975646, 1495.7907758085246], "players": ["Ma YeXin", "Emerson Jones"], "sport": "TENNIS", "surface": "Hard", "surface_counts": [42, 25], "surface_ratings": [1531.4467079726041, 1497.8251203066986]}, "market_type": "moneyline", "model_version": "tennis-surface-elo-v1", "observed_at_utc": "2026-09-21T22:07:17.525840+00:00", "probabilities": {"away": 0.5295, "home": 0.4705}, "replay_scope": "Exact full-precision serving state and rounding; upstream historical observation times are not certified.", "schema": "coded-moneyline-replay-v1", "snapshot_hash": "1dbaa76db32064455e826f8a9a0137a9fad2044991a89b6f21be7e0b91810a5c", "sport": "TENNIS"}</t>
        </is>
      </c>
    </row>
    <row r="683" ht="36" customHeight="1">
      <c r="A683" s="24" t="inlineStr">
        <is>
          <t>5746ff1796244691</t>
        </is>
      </c>
      <c r="B683" s="24" t="inlineStr">
        <is>
          <t>2026-09-21T22:07:18.936755Z</t>
        </is>
      </c>
      <c r="C683" s="24" t="inlineStr">
        <is>
          <t>2026-09-22T03:00Z</t>
        </is>
      </c>
      <c r="D683" s="24" t="inlineStr">
        <is>
          <t>1009-2026:184079</t>
        </is>
      </c>
      <c r="E683" s="24" t="inlineStr">
        <is>
          <t>TENNIS</t>
        </is>
      </c>
      <c r="F683" s="24" t="inlineStr">
        <is>
          <t>Oleksandra Oliynykova</t>
        </is>
      </c>
      <c r="G683" s="24" t="inlineStr">
        <is>
          <t>Vivian Wolff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polymarket_us</t>
        </is>
      </c>
      <c r="L683" s="26" t="n">
        <v>-317</v>
      </c>
      <c r="M683" s="27" t="n">
        <v>1.315457</v>
      </c>
      <c r="N683" s="28" t="n">
        <v>0.760192</v>
      </c>
      <c r="O683" s="28" t="n">
        <v>0.7832</v>
      </c>
      <c r="P683" s="28" t="n">
        <v>0.05</v>
      </c>
      <c r="Q683" s="28" t="n">
        <v>0.023008</v>
      </c>
      <c r="R683" s="26" t="n">
        <v>32</v>
      </c>
      <c r="S683" s="29" t="n">
        <v>1</v>
      </c>
      <c r="T683" s="24" t="inlineStr">
        <is>
          <t>tennis-surface-elo-v1</t>
        </is>
      </c>
      <c r="U683" s="24" t="inlineStr">
        <is>
          <t>settled</t>
        </is>
      </c>
      <c r="V683" s="24" t="inlineStr">
        <is>
          <t>win</t>
        </is>
      </c>
      <c r="W683" s="26" t="n">
        <v>1</v>
      </c>
      <c r="X683" s="26" t="n">
        <v>0</v>
      </c>
      <c r="Y683" s="25" t="n"/>
      <c r="Z683" s="26" t="n">
        <v>-317</v>
      </c>
      <c r="AA683" s="28" t="n">
        <v>0.76</v>
      </c>
      <c r="AB683" s="28" t="n">
        <v>-0.000192</v>
      </c>
      <c r="AC683" s="30" t="n">
        <v>0.3155</v>
      </c>
      <c r="AD683" s="24" t="inlineStr">
        <is>
          <t>2026-09-22T10:00:09.691407Z</t>
        </is>
      </c>
      <c r="AE683" s="31" t="inlineStr">
        <is>
          <t>Surface-blended Elo on Hard: Oleksandra Oliynykova p=0.783 vs Vivian Wolff. Executable ask 0.7600 (aec-wta-vivwol-oleoli-2026-09-21).</t>
        </is>
      </c>
      <c r="AF683" s="31" t="inlineStr">
        <is>
          <t>Surface-blended Elo model; singles only, WTA+ATP market coverage, not yet locked-holdout qualified -- promoted by explicit operator directive, not genuine walk-forward validation.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PAPER_CALL_MODEL_UNVALIDATED</t>
        </is>
      </c>
      <c r="AP683" s="24" t="inlineStr">
        <is>
          <t>Oleksandra Oliynykova</t>
        </is>
      </c>
      <c r="AQ683" s="24" t="inlineStr">
        <is>
          <t>Oleksandra Oliynykova</t>
        </is>
      </c>
      <c r="AR683" s="24" t="inlineStr">
        <is>
          <t>Oleksandra Oliynykova</t>
        </is>
      </c>
      <c r="AS683" s="24" t="inlineStr">
        <is>
          <t>Vivian Wolff</t>
        </is>
      </c>
      <c r="AT683" s="24" t="inlineStr">
        <is>
          <t>Vivian Wolff</t>
        </is>
      </c>
      <c r="AU683" s="24" t="inlineStr">
        <is>
          <t>Vivian Wolff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6c67e999d2a03612e30f4032c8e5e77e8becfbc79e05f4c8993e726b90d34d54</t>
        </is>
      </c>
      <c r="BB683" s="24" t="inlineStr">
        <is>
          <t>surface_blended_elo</t>
        </is>
      </c>
      <c r="BC683" s="24" t="inlineStr">
        <is>
          <t>tennis-surface-elo-v1</t>
        </is>
      </c>
      <c r="BD683" s="24" t="inlineStr">
        <is>
          <t>6c67e999d2a03612e30f4032c8e5e77e8becfbc79e05f4c8993e726b90d34d54</t>
        </is>
      </c>
      <c r="BE683" s="24" t="inlineStr">
        <is>
          <t>tennis-surface-elo-v1</t>
        </is>
      </c>
      <c r="BF683" s="24" t="inlineStr">
        <is>
          <t>1</t>
        </is>
      </c>
      <c r="BG683" s="24" t="inlineStr">
        <is>
          <t>6c67e999d2a03612e30f4032c8e5e77e8becfbc79e05f4c8993e726b90d34d54</t>
        </is>
      </c>
      <c r="BH683" s="24" t="inlineStr">
        <is>
          <t>2026-09-21T22:05:57.828469Z</t>
        </is>
      </c>
      <c r="BI683" s="24" t="inlineStr">
        <is>
          <t>["same_event","same_team_same_day","same_league_same_day"]</t>
        </is>
      </c>
      <c r="BJ683" s="25" t="n"/>
      <c r="BK683" s="26" t="n">
        <v>-317</v>
      </c>
      <c r="BL683" s="27" t="n">
        <v>1.315457</v>
      </c>
      <c r="BM683" s="28" t="n">
        <v>0.760192</v>
      </c>
      <c r="BN683" s="28" t="n"/>
      <c r="BO683" s="28" t="n"/>
      <c r="BP683" s="25" t="n"/>
      <c r="BQ683" s="27" t="n">
        <v>1.315457</v>
      </c>
      <c r="BR683" s="28" t="n">
        <v>0.76</v>
      </c>
      <c r="BS683" s="28" t="n"/>
      <c r="BT683" s="28" t="n"/>
      <c r="BU683" s="25" t="n"/>
      <c r="BV683" s="29" t="n"/>
      <c r="BW683" s="24" t="n"/>
      <c r="BX683" s="30" t="n">
        <v>1</v>
      </c>
      <c r="BY683" s="27" t="n">
        <v>0.315457</v>
      </c>
      <c r="BZ683" s="24" t="inlineStr">
        <is>
          <t>2026-09-22T10:00:09.691407Z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inlineStr">
        <is>
          <t>fc1545f56c0696ee700b78dd72d98469ed0827b5cfda5170b258bcb25f4ef9d6</t>
        </is>
      </c>
      <c r="DE683" s="24" t="inlineStr">
        <is>
          <t>/Users/vincentc9002/model-prediction/data/odds/tennis/2026-09-21/polymarket_snapshots.jsonl</t>
        </is>
      </c>
      <c r="DF683" s="24" t="inlineStr">
        <is>
          <t>966602:2026-09-21T22:05:57.828469Z</t>
        </is>
      </c>
      <c r="DG683" s="24" t="n"/>
      <c r="DH683" s="24" t="n"/>
      <c r="DI683" s="24" t="n"/>
      <c r="DJ683" s="24" t="inlineStr">
        <is>
          <t>0.760192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"6c67e999d2a03612e30f4032c8e5e77e8becfbc79e05f4c8993e726b90d34d54", "away_team": "Oleksandra Oliynykova", "event_id": "1009-2026:184079", "event_start_utc": "2026-09-22T03:00Z", "features": {"elo_p1_surface": 1658.4, "elo_p2_surface": 1439.8, "expected_games_p1": 12.62, "expected_games_p2": 5.37, "expected_total_games": 17.99, "history_matches": 16204, "min_player_matches": 6, "surface": "Hard"}, "historical_source_observation_times_verified": false, "home_team": "Vivian Wolff", "inference_inputs": {"code_sha256": {"features/elo_ratings.py": "8525faf022a6343c452286dbfeb17dbb043744c6bdabbe448b6b371216da439b", "models/tennis.py": "6c67e999d2a03612e30f4032c8e5e77e8becfbc79e05f4c8993e726b90d34d54"}, "overall_ratings": [1671.1024263433947, 1438.8315601793306], "players": ["Oleksandra Oliynykova", "Vivian Wolff"], "sport": "TENNIS", "surface": "Hard", "surface_counts": [73, 6], "surface_ratings": [1658.4188780403333, 1439.7840023837625]}, "market_type": "moneyline", "model_version": "tennis-surface-elo-v1", "observed_at_utc": "2026-09-21T22:07:17.525840+00:00", "probabilities": {"away": 0.7832, "home": 0.2168}, "replay_scope": "Exact full-precision serving state and rounding; upstream historical observation times are not certified.", "schema": "coded-moneyline-replay-v1", "snapshot_hash": "c614acf745e9eadd58316fee49042755247ac6bcf9683f5c6e15a3f01f0c8288", "sport": "TENNIS"}</t>
        </is>
      </c>
    </row>
    <row r="684" ht="36" customHeight="1">
      <c r="A684" s="24" t="inlineStr">
        <is>
          <t>a5fef445d4e24426</t>
        </is>
      </c>
      <c r="B684" s="24" t="inlineStr">
        <is>
          <t>2026-09-22T04:50:04.608221Z</t>
        </is>
      </c>
      <c r="C684" s="24" t="inlineStr">
        <is>
          <t>2026-09-22T10:00Z</t>
        </is>
      </c>
      <c r="D684" s="24" t="inlineStr">
        <is>
          <t>1019-2026:183887</t>
        </is>
      </c>
      <c r="E684" s="24" t="inlineStr">
        <is>
          <t>TENNIS</t>
        </is>
      </c>
      <c r="F684" s="24" t="inlineStr">
        <is>
          <t>Maria Lourdes Carle</t>
        </is>
      </c>
      <c r="G684" s="24" t="inlineStr">
        <is>
          <t>Nuria Brancaccio</t>
        </is>
      </c>
      <c r="H684" s="24" t="inlineStr">
        <is>
          <t>moneyline</t>
        </is>
      </c>
      <c r="I684" s="24" t="inlineStr">
        <is>
          <t>home</t>
        </is>
      </c>
      <c r="J684" s="25" t="n"/>
      <c r="K684" s="24" t="inlineStr">
        <is>
          <t>polymarket_us</t>
        </is>
      </c>
      <c r="L684" s="26" t="n">
        <v>-144</v>
      </c>
      <c r="M684" s="27" t="n">
        <v>1.694444</v>
      </c>
      <c r="N684" s="28" t="n">
        <v>0.590164</v>
      </c>
      <c r="O684" s="28" t="n">
        <v>0.5075</v>
      </c>
      <c r="P684" s="28" t="n">
        <v>0.05</v>
      </c>
      <c r="Q684" s="28" t="n">
        <v>-0.082664</v>
      </c>
      <c r="R684" s="26" t="n">
        <v>0</v>
      </c>
      <c r="S684" s="29" t="n">
        <v>1</v>
      </c>
      <c r="T684" s="24" t="inlineStr">
        <is>
          <t>tennis-surface-elo-v1</t>
        </is>
      </c>
      <c r="U684" s="24" t="inlineStr">
        <is>
          <t>settled</t>
        </is>
      </c>
      <c r="V684" s="24" t="inlineStr">
        <is>
          <t>win</t>
        </is>
      </c>
      <c r="W684" s="26" t="n">
        <v>0</v>
      </c>
      <c r="X684" s="26" t="n">
        <v>1</v>
      </c>
      <c r="Y684" s="25" t="n"/>
      <c r="Z684" s="26" t="n">
        <v>-144</v>
      </c>
      <c r="AA684" s="28" t="n">
        <v>0.59</v>
      </c>
      <c r="AB684" s="28" t="n">
        <v>-0.000164</v>
      </c>
      <c r="AC684" s="30" t="n">
        <v>0.6944</v>
      </c>
      <c r="AD684" s="24" t="inlineStr">
        <is>
          <t>2026-09-22T16:00:09.741087Z</t>
        </is>
      </c>
      <c r="AE684" s="31" t="inlineStr">
        <is>
          <t>Surface-blended Elo on Hard: Maria Lourdes Carle p=0.493 vs Nuria Brancaccio. Executable ask 0.5900 (aec-wta-nurbra-marcar-2026-09-21).</t>
        </is>
      </c>
      <c r="AF684" s="31" t="inlineStr">
        <is>
          <t>Surface-blended Elo model; singles only, WTA+ATP market coverage, not yet locked-holdout qualified -- promoted by explicit operator directive, not genuine walk-forward validation.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Maria Lourdes Carle</t>
        </is>
      </c>
      <c r="AQ684" s="24" t="inlineStr">
        <is>
          <t>Maria Lourdes Carle</t>
        </is>
      </c>
      <c r="AR684" s="24" t="inlineStr">
        <is>
          <t>Maria Lourdes Carle</t>
        </is>
      </c>
      <c r="AS684" s="24" t="inlineStr">
        <is>
          <t>Nuria Brancaccio</t>
        </is>
      </c>
      <c r="AT684" s="24" t="inlineStr">
        <is>
          <t>Nuria Brancaccio</t>
        </is>
      </c>
      <c r="AU684" s="24" t="inlineStr">
        <is>
          <t>Nuria Brancaccio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6c67e999d2a03612e30f4032c8e5e77e8becfbc79e05f4c8993e726b90d34d54</t>
        </is>
      </c>
      <c r="BB684" s="24" t="inlineStr">
        <is>
          <t>surface_blended_elo</t>
        </is>
      </c>
      <c r="BC684" s="24" t="inlineStr">
        <is>
          <t>tennis-surface-elo-v1</t>
        </is>
      </c>
      <c r="BD684" s="24" t="inlineStr">
        <is>
          <t>6c67e999d2a03612e30f4032c8e5e77e8becfbc79e05f4c8993e726b90d34d54</t>
        </is>
      </c>
      <c r="BE684" s="24" t="inlineStr">
        <is>
          <t>tennis-surface-elo-v1</t>
        </is>
      </c>
      <c r="BF684" s="24" t="inlineStr">
        <is>
          <t>1</t>
        </is>
      </c>
      <c r="BG684" s="24" t="inlineStr">
        <is>
          <t>6c67e999d2a03612e30f4032c8e5e77e8becfbc79e05f4c8993e726b90d34d54</t>
        </is>
      </c>
      <c r="BH684" s="24" t="inlineStr">
        <is>
          <t>2026-09-21T04:07:16.645305Z</t>
        </is>
      </c>
      <c r="BI684" s="24" t="inlineStr">
        <is>
          <t>["same_event","same_team_same_day","same_league_same_day"]</t>
        </is>
      </c>
      <c r="BJ684" s="25" t="n"/>
      <c r="BK684" s="26" t="n">
        <v>-144</v>
      </c>
      <c r="BL684" s="27" t="n">
        <v>1.694444</v>
      </c>
      <c r="BM684" s="28" t="n">
        <v>0.590164</v>
      </c>
      <c r="BN684" s="28" t="n"/>
      <c r="BO684" s="28" t="n"/>
      <c r="BP684" s="25" t="n"/>
      <c r="BQ684" s="27" t="n">
        <v>1.694444</v>
      </c>
      <c r="BR684" s="28" t="n">
        <v>0.59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0.694444</v>
      </c>
      <c r="BZ684" s="24" t="inlineStr">
        <is>
          <t>2026-09-22T16:00:09.741087Z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inlineStr">
        <is>
          <t>302e9780ca8d36cc497d189690072b62ac3e2305b6084df2ab50fa9bc5ac6c36</t>
        </is>
      </c>
      <c r="DE684" s="24" t="inlineStr">
        <is>
          <t>/Users/vincentc9002/model-prediction/data/odds/tennis/2026-09-22/polymarket_snapshots.jsonl</t>
        </is>
      </c>
      <c r="DF684" s="24" t="inlineStr">
        <is>
          <t>970452:2026-09-21T04:07:16.645305Z</t>
        </is>
      </c>
      <c r="DG684" s="24" t="n"/>
      <c r="DH684" s="24" t="n"/>
      <c r="DI684" s="24" t="n"/>
      <c r="DJ684" s="24" t="inlineStr">
        <is>
          <t>0.590164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"6c67e999d2a03612e30f4032c8e5e77e8becfbc79e05f4c8993e726b90d34d54", "away_team": "Maria Lourdes Carle", "event_id": "1019-2026:183887", "event_start_utc": "2026-09-22T10:00Z", "features": {"elo_p1_surface": 1463.5, "elo_p2_surface": 1495.2, "expected_games_p1": 11.74, "expected_games_p2": 12.85, "expected_total_games": 24.59, "history_matches": 16242, "min_player_matches": 88, "surface": "Hard"}, "historical_source_observation_times_verified": false, "home_team": "Nuria Brancaccio", "inference_inputs": {"code_sha256": {"features/elo_ratings.py": "8525faf022a6343c452286dbfeb17dbb043744c6bdabbe448b6b371216da439b", "models/tennis.py": "6c67e999d2a03612e30f4032c8e5e77e8becfbc79e05f4c8993e726b90d34d54"}, "overall_ratings": [1517.9753708357002, 1453.2034596552955], "players": ["Maria Lourdes Carle", "Nuria Brancaccio"], "sport": "TENNIS", "surface": "Hard", "surface_counts": [105, 71], "surface_ratings": [1463.5242070729778, 1495.1805829855762]}, "market_type": "moneyline", "model_version": "tennis-surface-elo-v1", "observed_at_utc": "2026-09-22T04:50:03.600679+00:00", "probabilities": {"away": 0.4925, "home": 0.5075}, "replay_scope": "Exact full-precision serving state and rounding; upstream historical observation times are not certified.", "schema": "coded-moneyline-replay-v1", "snapshot_hash": "607495f5ff1f88372846fcba1b0c653842a6c0ff9ecfc161bfb2aa39f70ce896", "sport": "TENNIS"}</t>
        </is>
      </c>
    </row>
    <row r="685" ht="36" customHeight="1">
      <c r="A685" s="24" t="inlineStr">
        <is>
          <t>80556856d8064ef4</t>
        </is>
      </c>
      <c r="B685" s="24" t="inlineStr">
        <is>
          <t>2026-09-22T04:50:04.608221Z</t>
        </is>
      </c>
      <c r="C685" s="24" t="inlineStr">
        <is>
          <t>2026-09-22T09:30Z</t>
        </is>
      </c>
      <c r="D685" s="24" t="inlineStr">
        <is>
          <t>1077-2026:183986</t>
        </is>
      </c>
      <c r="E685" s="24" t="inlineStr">
        <is>
          <t>TENNIS</t>
        </is>
      </c>
      <c r="F685" s="24" t="inlineStr">
        <is>
          <t>Julia Riera</t>
        </is>
      </c>
      <c r="G685" s="24" t="inlineStr">
        <is>
          <t>Elena Micic</t>
        </is>
      </c>
      <c r="H685" s="24" t="inlineStr">
        <is>
          <t>moneyline</t>
        </is>
      </c>
      <c r="I685" s="24" t="inlineStr">
        <is>
          <t>away</t>
        </is>
      </c>
      <c r="J685" s="25" t="n"/>
      <c r="K685" s="24" t="inlineStr">
        <is>
          <t>polymarket_us</t>
        </is>
      </c>
      <c r="L685" s="26" t="n">
        <v>-376</v>
      </c>
      <c r="M685" s="27" t="n">
        <v>1.265957</v>
      </c>
      <c r="N685" s="28" t="n">
        <v>0.789916</v>
      </c>
      <c r="O685" s="28" t="n">
        <v>0.5348000000000001</v>
      </c>
      <c r="P685" s="28" t="n">
        <v>0.05</v>
      </c>
      <c r="Q685" s="28" t="n">
        <v>-0.255116</v>
      </c>
      <c r="R685" s="26" t="n">
        <v>0</v>
      </c>
      <c r="S685" s="29" t="n">
        <v>1</v>
      </c>
      <c r="T685" s="24" t="inlineStr">
        <is>
          <t>tennis-surface-elo-v1</t>
        </is>
      </c>
      <c r="U685" s="24" t="inlineStr">
        <is>
          <t>settled</t>
        </is>
      </c>
      <c r="V685" s="24" t="inlineStr">
        <is>
          <t>loss</t>
        </is>
      </c>
      <c r="W685" s="26" t="n">
        <v>0</v>
      </c>
      <c r="X685" s="26" t="n">
        <v>1</v>
      </c>
      <c r="Y685" s="25" t="n"/>
      <c r="Z685" s="26" t="n">
        <v>-376</v>
      </c>
      <c r="AA685" s="28" t="n">
        <v>0.79</v>
      </c>
      <c r="AB685" s="28" t="n">
        <v>8.4e-05</v>
      </c>
      <c r="AC685" s="30" t="n">
        <v>-1</v>
      </c>
      <c r="AD685" s="24" t="inlineStr">
        <is>
          <t>2026-09-22T16:00:11.069575Z</t>
        </is>
      </c>
      <c r="AE685" s="31" t="inlineStr">
        <is>
          <t>Surface-blended Elo on Hard: Julia Riera p=0.535 vs Elena Micic. Executable ask 0.7900 (aec-wta-elemic-julrie-2026-09-21).</t>
        </is>
      </c>
      <c r="AF685" s="31" t="inlineStr">
        <is>
          <t>Surface-blended Elo model; singles only, WTA+ATP market coverage, not yet locked-holdout qualified -- promoted by explicit operator directive, not genuine walk-forward validation.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Julia Riera</t>
        </is>
      </c>
      <c r="AQ685" s="24" t="inlineStr">
        <is>
          <t>Julia Riera</t>
        </is>
      </c>
      <c r="AR685" s="24" t="inlineStr">
        <is>
          <t>Julia Riera</t>
        </is>
      </c>
      <c r="AS685" s="24" t="inlineStr">
        <is>
          <t>Elena Micic</t>
        </is>
      </c>
      <c r="AT685" s="24" t="inlineStr">
        <is>
          <t>Elena Micic</t>
        </is>
      </c>
      <c r="AU685" s="24" t="inlineStr">
        <is>
          <t>Elena Micic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6c67e999d2a03612e30f4032c8e5e77e8becfbc79e05f4c8993e726b90d34d54</t>
        </is>
      </c>
      <c r="BB685" s="24" t="inlineStr">
        <is>
          <t>surface_blended_elo</t>
        </is>
      </c>
      <c r="BC685" s="24" t="inlineStr">
        <is>
          <t>tennis-surface-elo-v1</t>
        </is>
      </c>
      <c r="BD685" s="24" t="inlineStr">
        <is>
          <t>6c67e999d2a03612e30f4032c8e5e77e8becfbc79e05f4c8993e726b90d34d54</t>
        </is>
      </c>
      <c r="BE685" s="24" t="inlineStr">
        <is>
          <t>tennis-surface-elo-v1</t>
        </is>
      </c>
      <c r="BF685" s="24" t="inlineStr">
        <is>
          <t>1</t>
        </is>
      </c>
      <c r="BG685" s="24" t="inlineStr">
        <is>
          <t>6c67e999d2a03612e30f4032c8e5e77e8becfbc79e05f4c8993e726b90d34d54</t>
        </is>
      </c>
      <c r="BH685" s="24" t="inlineStr">
        <is>
          <t>2026-09-21T04:07:16.647759Z</t>
        </is>
      </c>
      <c r="BI685" s="24" t="inlineStr">
        <is>
          <t>["same_event","same_team_same_day","same_league_same_day"]</t>
        </is>
      </c>
      <c r="BJ685" s="25" t="n"/>
      <c r="BK685" s="26" t="n">
        <v>-376</v>
      </c>
      <c r="BL685" s="27" t="n">
        <v>1.265957</v>
      </c>
      <c r="BM685" s="28" t="n">
        <v>0.789916</v>
      </c>
      <c r="BN685" s="28" t="n"/>
      <c r="BO685" s="28" t="n"/>
      <c r="BP685" s="25" t="n"/>
      <c r="BQ685" s="27" t="n">
        <v>1.265957</v>
      </c>
      <c r="BR685" s="28" t="n">
        <v>0.79</v>
      </c>
      <c r="BS685" s="28" t="n"/>
      <c r="BT685" s="28" t="n"/>
      <c r="BU685" s="25" t="n"/>
      <c r="BV685" s="29" t="n"/>
      <c r="BW685" s="24" t="n"/>
      <c r="BX685" s="30" t="n">
        <v>1</v>
      </c>
      <c r="BY685" s="27" t="n">
        <v>-1</v>
      </c>
      <c r="BZ685" s="24" t="inlineStr">
        <is>
          <t>2026-09-22T16:00:11.069575Z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False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inlineStr">
        <is>
          <t>c29676457bcdbf550494800f493e4c2909452d93cfdfc46159a63df457551f87</t>
        </is>
      </c>
      <c r="DE685" s="24" t="inlineStr">
        <is>
          <t>/Users/vincentc9002/model-prediction/data/odds/tennis/2026-09-22/polymarket_snapshots.jsonl</t>
        </is>
      </c>
      <c r="DF685" s="24" t="inlineStr">
        <is>
          <t>967221:2026-09-21T04:07:16.647759Z</t>
        </is>
      </c>
      <c r="DG685" s="24" t="n"/>
      <c r="DH685" s="24" t="n"/>
      <c r="DI685" s="24" t="n"/>
      <c r="DJ685" s="24" t="inlineStr">
        <is>
          <t>0.789916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"6c67e999d2a03612e30f4032c8e5e77e8becfbc79e05f4c8993e726b90d34d54", "away_team": "Julia Riera", "event_id": "1077-2026:183986", "event_start_utc": "2026-09-22T09:30Z", "features": {"elo_p1_surface": 1500.1, "elo_p2_surface": 1483.1, "expected_games_p1": 12.89, "expected_games_p2": 11.79, "expected_total_games": 24.68, "history_matches": 16242, "min_player_matches": 17, "surface": "Hard"}, "historical_source_observation_times_verified": false, "home_team": "Elena Micic", "inference_inputs": {"code_sha256": {"features/elo_ratings.py": "8525faf022a6343c452286dbfeb17dbb043744c6bdabbe448b6b371216da439b", "models/tennis.py": "6c67e999d2a03612e30f4032c8e5e77e8becfbc79e05f4c8993e726b90d34d54"}, "overall_ratings": [1521.4554926508067, 1480.9824460395587], "players": ["Julia Riera", "Elena Micic"], "sport": "TENNIS", "surface": "Hard", "surface_counts": [80, 17], "surface_ratings": [1500.0762471793846, 1483.0599721123879]}, "market_type": "moneyline", "model_version": "tennis-surface-elo-v1", "observed_at_utc": "2026-09-22T04:50:03.600679+00:00", "probabilities": {"away": 0.5348, "home": 0.4652}, "replay_scope": "Exact full-precision serving state and rounding; upstream historical observation times are not certified.", "schema": "coded-moneyline-replay-v1", "snapshot_hash": "6dcc5d0f9519cbf4249412f1c22f8756473c08a3504dd48b77e3d7b0038ef1fb", "sport": "TENNIS"}</t>
        </is>
      </c>
    </row>
    <row r="686" ht="36" customHeight="1">
      <c r="A686" s="24" t="inlineStr">
        <is>
          <t>51f6c7a685f94e97</t>
        </is>
      </c>
      <c r="B686" s="24" t="inlineStr">
        <is>
          <t>2026-09-22T04:50:04.608221Z</t>
        </is>
      </c>
      <c r="C686" s="24" t="inlineStr">
        <is>
          <t>2026-09-22T09:30Z</t>
        </is>
      </c>
      <c r="D686" s="24" t="inlineStr">
        <is>
          <t>1077-2026:183991</t>
        </is>
      </c>
      <c r="E686" s="24" t="inlineStr">
        <is>
          <t>TENNIS</t>
        </is>
      </c>
      <c r="F686" s="24" t="inlineStr">
        <is>
          <t>Carole Monnet</t>
        </is>
      </c>
      <c r="G686" s="24" t="inlineStr">
        <is>
          <t>Fiona Crawley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polymarket_us</t>
        </is>
      </c>
      <c r="L686" s="26" t="n">
        <v>-245</v>
      </c>
      <c r="M686" s="27" t="n">
        <v>1.408163</v>
      </c>
      <c r="N686" s="28" t="n">
        <v>0.710145</v>
      </c>
      <c r="O686" s="28" t="n">
        <v>0.5662</v>
      </c>
      <c r="P686" s="28" t="n">
        <v>0.05</v>
      </c>
      <c r="Q686" s="28" t="n">
        <v>-0.143945</v>
      </c>
      <c r="R686" s="26" t="n">
        <v>0</v>
      </c>
      <c r="S686" s="29" t="n">
        <v>1</v>
      </c>
      <c r="T686" s="24" t="inlineStr">
        <is>
          <t>tennis-surface-elo-v1</t>
        </is>
      </c>
      <c r="U686" s="24" t="inlineStr">
        <is>
          <t>settled</t>
        </is>
      </c>
      <c r="V686" s="24" t="inlineStr">
        <is>
          <t>loss</t>
        </is>
      </c>
      <c r="W686" s="26" t="n">
        <v>1</v>
      </c>
      <c r="X686" s="26" t="n">
        <v>0</v>
      </c>
      <c r="Y686" s="25" t="n"/>
      <c r="Z686" s="26" t="n">
        <v>-245</v>
      </c>
      <c r="AA686" s="28" t="n">
        <v>0.71</v>
      </c>
      <c r="AB686" s="28" t="n">
        <v>-0.000145</v>
      </c>
      <c r="AC686" s="30" t="n">
        <v>-1</v>
      </c>
      <c r="AD686" s="24" t="inlineStr">
        <is>
          <t>2026-09-22T16:00:12.318574Z</t>
        </is>
      </c>
      <c r="AE686" s="31" t="inlineStr">
        <is>
          <t>Surface-blended Elo on Hard: Carole Monnet p=0.434 vs Fiona Crawley. Executable ask 0.7100 (aec-wta-fiocra-carmon-2026-09-21).</t>
        </is>
      </c>
      <c r="AF686" s="31" t="inlineStr">
        <is>
          <t>Surface-blended Elo model; singles only, WTA+ATP market coverage, not yet locked-holdout qualified -- promoted by explicit operator directive, not genuine walk-forward validation.</t>
        </is>
      </c>
      <c r="AG686" s="24" t="inlineStr">
        <is>
          <t>review_required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Carole Monnet</t>
        </is>
      </c>
      <c r="AQ686" s="24" t="inlineStr">
        <is>
          <t>Carole Monnet</t>
        </is>
      </c>
      <c r="AR686" s="24" t="inlineStr">
        <is>
          <t>Carole Monnet</t>
        </is>
      </c>
      <c r="AS686" s="24" t="inlineStr">
        <is>
          <t>Fiona Crawley</t>
        </is>
      </c>
      <c r="AT686" s="24" t="inlineStr">
        <is>
          <t>Fiona Crawley</t>
        </is>
      </c>
      <c r="AU686" s="24" t="inlineStr">
        <is>
          <t>Fiona Crawley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6c67e999d2a03612e30f4032c8e5e77e8becfbc79e05f4c8993e726b90d34d54</t>
        </is>
      </c>
      <c r="BB686" s="24" t="inlineStr">
        <is>
          <t>surface_blended_elo</t>
        </is>
      </c>
      <c r="BC686" s="24" t="inlineStr">
        <is>
          <t>tennis-surface-elo-v1</t>
        </is>
      </c>
      <c r="BD686" s="24" t="inlineStr">
        <is>
          <t>6c67e999d2a03612e30f4032c8e5e77e8becfbc79e05f4c8993e726b90d34d54</t>
        </is>
      </c>
      <c r="BE686" s="24" t="inlineStr">
        <is>
          <t>tennis-surface-elo-v1</t>
        </is>
      </c>
      <c r="BF686" s="24" t="inlineStr">
        <is>
          <t>1</t>
        </is>
      </c>
      <c r="BG686" s="24" t="inlineStr">
        <is>
          <t>6c67e999d2a03612e30f4032c8e5e77e8becfbc79e05f4c8993e726b90d34d54</t>
        </is>
      </c>
      <c r="BH686" s="24" t="inlineStr">
        <is>
          <t>2026-09-21T04:07:16.610232Z</t>
        </is>
      </c>
      <c r="BI686" s="24" t="inlineStr">
        <is>
          <t>["same_event","same_team_same_day","same_league_same_day"]</t>
        </is>
      </c>
      <c r="BJ686" s="25" t="n"/>
      <c r="BK686" s="26" t="n">
        <v>-245</v>
      </c>
      <c r="BL686" s="27" t="n">
        <v>1.408163</v>
      </c>
      <c r="BM686" s="28" t="n">
        <v>0.710145</v>
      </c>
      <c r="BN686" s="28" t="n"/>
      <c r="BO686" s="28" t="n"/>
      <c r="BP686" s="25" t="n"/>
      <c r="BQ686" s="27" t="n">
        <v>1.408163</v>
      </c>
      <c r="BR686" s="28" t="n">
        <v>0.71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-1</v>
      </c>
      <c r="BZ686" s="24" t="inlineStr">
        <is>
          <t>2026-09-22T16:00:12.318574Z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inlineStr">
        <is>
          <t>d4ca7696b028127012f905cb86ba2da3439cf9e97a6321d588f6de1b7d555994</t>
        </is>
      </c>
      <c r="DE686" s="24" t="inlineStr">
        <is>
          <t>/Users/vincentc9002/model-prediction/data/odds/tennis/2026-09-22/polymarket_snapshots.jsonl</t>
        </is>
      </c>
      <c r="DF686" s="24" t="inlineStr">
        <is>
          <t>967216:2026-09-21T04:07:16.610232Z</t>
        </is>
      </c>
      <c r="DG686" s="24" t="n"/>
      <c r="DH686" s="24" t="n"/>
      <c r="DI686" s="24" t="n"/>
      <c r="DJ686" s="24" t="inlineStr">
        <is>
          <t>0.710145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"6c67e999d2a03612e30f4032c8e5e77e8becfbc79e05f4c8993e726b90d34d54", "away_team": "Carole Monnet", "event_id": "1077-2026:183991", "event_start_utc": "2026-09-22T09:30Z", "features": {"elo_p1_surface": 1492.1, "elo_p2_surface": 1521.4, "expected_games_p1": 11.81, "expected_games_p2": 12.81, "expected_total_games": 24.62, "history_matches": 16242, "min_player_matches": 11,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[1480.126622346933, 1540.8774357144891], "players": ["Carole Monnet", "Fiona Crawley"], "sport": "TENNIS", "surface": "Hard", "surface_counts": [86, 8], "surface_ratings": [1492.130153548332, 1521.4014719854754]}, "market_type": "moneyline", "model_version": "tennis-surface-elo-v1", "observed_at_utc": "2026-09-22T04:50:03.600679+00:00", "probabilities": {"away": 0.4338, "home": 0.5662}, "replay_scope": "Exact full-precision serving state and rounding; upstream historical observation times are not certified.", "schema": "coded-moneyline-replay-v1", "snapshot_hash": "dd1262fa1bacdb4e7b2b3b534f7750f0e48c327ca0472e57f1fa3c22d2f132cd", "sport": "TENNIS"}</t>
        </is>
      </c>
    </row>
    <row r="687" ht="36" customHeight="1">
      <c r="A687" s="24" t="inlineStr">
        <is>
          <t>2b04d0ed1f1c4d28</t>
        </is>
      </c>
      <c r="B687" s="24" t="inlineStr">
        <is>
          <t>2026-09-22T04:50:04.608221Z</t>
        </is>
      </c>
      <c r="C687" s="24" t="inlineStr">
        <is>
          <t>2026-09-22T07:00Z</t>
        </is>
      </c>
      <c r="D687" s="24" t="inlineStr">
        <is>
          <t>1001-2026:186139</t>
        </is>
      </c>
      <c r="E687" s="24" t="inlineStr">
        <is>
          <t>TENNIS</t>
        </is>
      </c>
      <c r="F687" s="24" t="inlineStr">
        <is>
          <t>Matthew Dellavedova</t>
        </is>
      </c>
      <c r="G687" s="24" t="inlineStr">
        <is>
          <t>Sun Fajing</t>
        </is>
      </c>
      <c r="H687" s="24" t="inlineStr">
        <is>
          <t>moneyline</t>
        </is>
      </c>
      <c r="I687" s="24" t="inlineStr">
        <is>
          <t>away</t>
        </is>
      </c>
      <c r="J687" s="25" t="n"/>
      <c r="K687" s="24" t="inlineStr">
        <is>
          <t>polymarket_us</t>
        </is>
      </c>
      <c r="L687" s="26" t="n">
        <v>163</v>
      </c>
      <c r="M687" s="27" t="n">
        <v>2.63</v>
      </c>
      <c r="N687" s="28" t="n">
        <v>0.380228</v>
      </c>
      <c r="O687" s="28" t="n">
        <v>0.5813</v>
      </c>
      <c r="P687" s="28" t="n">
        <v>0.05</v>
      </c>
      <c r="Q687" s="28" t="n">
        <v>0.201072</v>
      </c>
      <c r="R687" s="26" t="n">
        <v>100</v>
      </c>
      <c r="S687" s="29" t="n">
        <v>2</v>
      </c>
      <c r="T687" s="24" t="inlineStr">
        <is>
          <t>tennis-surface-elo-v1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1</v>
      </c>
      <c r="Y687" s="25" t="n"/>
      <c r="Z687" s="26" t="n">
        <v>163</v>
      </c>
      <c r="AA687" s="28" t="n">
        <v>0.38</v>
      </c>
      <c r="AB687" s="28" t="n">
        <v>-0.000228</v>
      </c>
      <c r="AC687" s="30" t="n">
        <v>-2</v>
      </c>
      <c r="AD687" s="24" t="inlineStr">
        <is>
          <t>2026-09-22T16:00:13.599065Z</t>
        </is>
      </c>
      <c r="AE687" s="31" t="inlineStr">
        <is>
          <t>Surface-blended Elo on Hard: Matthew Dellavedova p=0.581 vs Sun Fajing. Executable ask 0.3800 (aec-atp-fajsun-matdel-2026-09-22).</t>
        </is>
      </c>
      <c r="AF687" s="31" t="inlineStr">
        <is>
          <t>Surface-blended Elo model; singles only, WTA+ATP market coverage, not yet locked-holdout qualified -- promoted by explicit operator directive, not genuine walk-forward validation.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paper_call</t>
        </is>
      </c>
      <c r="AL687" s="26" t="n">
        <v>4</v>
      </c>
      <c r="AM687" s="24" t="inlineStr">
        <is>
          <t>RESEARCH_OBSERVATION</t>
        </is>
      </c>
      <c r="AN687" s="24" t="inlineStr">
        <is>
          <t>CALL</t>
        </is>
      </c>
      <c r="AO687" s="24" t="inlineStr">
        <is>
          <t>PAPER_CALL_MODEL_UNVALIDATED</t>
        </is>
      </c>
      <c r="AP687" s="24" t="inlineStr">
        <is>
          <t>Matthew Dellavedova</t>
        </is>
      </c>
      <c r="AQ687" s="24" t="inlineStr">
        <is>
          <t>Matthew Dellavedova</t>
        </is>
      </c>
      <c r="AR687" s="24" t="inlineStr">
        <is>
          <t>Matthew Dellavedova</t>
        </is>
      </c>
      <c r="AS687" s="24" t="inlineStr">
        <is>
          <t>Sun Fajing</t>
        </is>
      </c>
      <c r="AT687" s="24" t="inlineStr">
        <is>
          <t>Sun Fajing</t>
        </is>
      </c>
      <c r="AU687" s="24" t="inlineStr">
        <is>
          <t>Sun Fajing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6c67e999d2a03612e30f4032c8e5e77e8becfbc79e05f4c8993e726b90d34d54</t>
        </is>
      </c>
      <c r="BB687" s="24" t="inlineStr">
        <is>
          <t>surface_blended_elo</t>
        </is>
      </c>
      <c r="BC687" s="24" t="inlineStr">
        <is>
          <t>tennis-surface-elo-v1</t>
        </is>
      </c>
      <c r="BD687" s="24" t="inlineStr">
        <is>
          <t>6c67e999d2a03612e30f4032c8e5e77e8becfbc79e05f4c8993e726b90d34d54</t>
        </is>
      </c>
      <c r="BE687" s="24" t="inlineStr">
        <is>
          <t>tennis-surface-elo-v1</t>
        </is>
      </c>
      <c r="BF687" s="24" t="inlineStr">
        <is>
          <t>1</t>
        </is>
      </c>
      <c r="BG687" s="24" t="inlineStr">
        <is>
          <t>6c67e999d2a03612e30f4032c8e5e77e8becfbc79e05f4c8993e726b90d34d54</t>
        </is>
      </c>
      <c r="BH687" s="24" t="inlineStr">
        <is>
          <t>2026-09-22T04:46:19.222403Z</t>
        </is>
      </c>
      <c r="BI687" s="24" t="inlineStr">
        <is>
          <t>["same_event","same_team_same_day","same_league_same_day"]</t>
        </is>
      </c>
      <c r="BJ687" s="25" t="n"/>
      <c r="BK687" s="26" t="n">
        <v>163</v>
      </c>
      <c r="BL687" s="27" t="n">
        <v>2.63</v>
      </c>
      <c r="BM687" s="28" t="n">
        <v>0.380228</v>
      </c>
      <c r="BN687" s="28" t="n"/>
      <c r="BO687" s="28" t="n"/>
      <c r="BP687" s="25" t="n"/>
      <c r="BQ687" s="27" t="n">
        <v>2.63</v>
      </c>
      <c r="BR687" s="28" t="n">
        <v>0.38</v>
      </c>
      <c r="BS687" s="28" t="n"/>
      <c r="BT687" s="28" t="n"/>
      <c r="BU687" s="25" t="n"/>
      <c r="BV687" s="29" t="n"/>
      <c r="BW687" s="24" t="n"/>
      <c r="BX687" s="30" t="n">
        <v>1</v>
      </c>
      <c r="BY687" s="27" t="n">
        <v>-1</v>
      </c>
      <c r="BZ687" s="24" t="inlineStr">
        <is>
          <t>2026-09-22T16:00:13.599065Z</t>
        </is>
      </c>
      <c r="CA687" s="31" t="inlineStr">
        <is>
          <t>fixed one-unit hypothetical scoring; no real exposure or execution</t>
        </is>
      </c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inlineStr">
        <is>
          <t>625c693949165b71d5d1ac4a2c0f99292b7e8d7a6d6e836c879326c3fc93743b</t>
        </is>
      </c>
      <c r="DE687" s="24" t="inlineStr">
        <is>
          <t>/Users/vincentc9002/model-prediction/data/odds/tennis/2026-09-22/polymarket_snapshots.jsonl</t>
        </is>
      </c>
      <c r="DF687" s="24" t="inlineStr">
        <is>
          <t>980513:2026-09-22T04:46:19.222403Z</t>
        </is>
      </c>
      <c r="DG687" s="24" t="n"/>
      <c r="DH687" s="24" t="n"/>
      <c r="DI687" s="24" t="n"/>
      <c r="DJ687" s="24" t="inlineStr">
        <is>
          <t>0.380228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"6c67e999d2a03612e30f4032c8e5e77e8becfbc79e05f4c8993e726b90d34d54", "away_team": "Matthew Dellavedova", "event_id": "1001-2026:186139", "event_start_utc": "2026-09-22T07:00Z", "features": {"elo_p1_surface": 1483.8, "elo_p2_surface": 1443.9, "expected_games_p1": 13.56, "expected_games_p2": 11.55, "expected_total_games": 25.11, "history_matches": 11209, "min_player_matches": 3, "surface": "Hard"}, "historical_source_observation_times_verified": false, "home_team": "Sun Fajing", "inference_inputs": {"code_sha256": {"features/elo_ratings.py": "8525faf022a6343c452286dbfeb17dbb043744c6bdabbe448b6b371216da439b", "models/tennis.py": "6c67e999d2a03612e30f4032c8e5e77e8becfbc79e05f4c8993e726b90d34d54"}, "overall_ratings": [1483.8705369886798, 1419.6985031798508], "players": ["Matthew Dellavedova", "Sun Fajing"], "sport": "TENNIS", "surface": "Hard", "surface_counts": [3, 8], "surface_ratings": [1483.8171090391127, 1443.9159482759408]}, "market_type": "moneyline", "model_version": "tennis-surface-elo-v1", "observed_at_utc": "2026-09-22T04:50:03.600679+00:00", "probabilities": {"away": 0.5813, "home": 0.4187}, "replay_scope": "Exact full-precision serving state and rounding; upstream historical observation times are not certified.", "schema": "coded-moneyline-replay-v1", "snapshot_hash": "cdde3e1d69d41e8eb4f4752b2a0f926407f3cbcce4afc46e99c901f48e0fcab3", "sport": "TENNIS"}</t>
        </is>
      </c>
    </row>
    <row r="688" ht="36" customHeight="1">
      <c r="A688" s="24" t="inlineStr">
        <is>
          <t>a88e1f6ed6c94b34</t>
        </is>
      </c>
      <c r="B688" s="24" t="inlineStr">
        <is>
          <t>2026-09-22T10:08:40.309658Z</t>
        </is>
      </c>
      <c r="C688" s="24" t="inlineStr">
        <is>
          <t>2026-09-22T11:30Z</t>
        </is>
      </c>
      <c r="D688" s="24" t="inlineStr">
        <is>
          <t>1019-2026:183896</t>
        </is>
      </c>
      <c r="E688" s="24" t="inlineStr">
        <is>
          <t>TENNIS</t>
        </is>
      </c>
      <c r="F688" s="24" t="inlineStr">
        <is>
          <t>Laura Pigossi</t>
        </is>
      </c>
      <c r="G688" s="24" t="inlineStr">
        <is>
          <t>Ekaterine Gorgodze</t>
        </is>
      </c>
      <c r="H688" s="24" t="inlineStr">
        <is>
          <t>moneyline</t>
        </is>
      </c>
      <c r="I688" s="24" t="inlineStr">
        <is>
          <t>home</t>
        </is>
      </c>
      <c r="J688" s="25" t="n"/>
      <c r="K688" s="24" t="inlineStr">
        <is>
          <t>polymarket_us</t>
        </is>
      </c>
      <c r="L688" s="26" t="n">
        <v>-133</v>
      </c>
      <c r="M688" s="27" t="n">
        <v>1.75188</v>
      </c>
      <c r="N688" s="28" t="n">
        <v>0.570815</v>
      </c>
      <c r="O688" s="28" t="n">
        <v>0.6395999999999999</v>
      </c>
      <c r="P688" s="28" t="n">
        <v>0.05</v>
      </c>
      <c r="Q688" s="28" t="n">
        <v>0.068785</v>
      </c>
      <c r="R688" s="26" t="n">
        <v>54</v>
      </c>
      <c r="S688" s="29" t="n">
        <v>1.25</v>
      </c>
      <c r="T688" s="24" t="inlineStr">
        <is>
          <t>tennis-surface-elo-v1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1</v>
      </c>
      <c r="Y688" s="25" t="n"/>
      <c r="Z688" s="26" t="n">
        <v>-133</v>
      </c>
      <c r="AA688" s="28" t="n">
        <v>0.57</v>
      </c>
      <c r="AB688" s="28" t="n">
        <v>-0.000815</v>
      </c>
      <c r="AC688" s="30" t="n">
        <v>0.9399</v>
      </c>
      <c r="AD688" s="24" t="inlineStr">
        <is>
          <t>2026-09-23T04:30:08.793290Z</t>
        </is>
      </c>
      <c r="AE688" s="31" t="inlineStr">
        <is>
          <t>Surface-blended Elo on Hard: Laura Pigossi p=0.360 vs Ekaterine Gorgodze. Executable ask 0.5700 (aec-wta-ekagor-laupig-2026-09-21).</t>
        </is>
      </c>
      <c r="AF688" s="31" t="inlineStr">
        <is>
          <t>Surface-blended Elo model; singles only, WTA+ATP market coverage, not yet locked-holdout qualified -- promoted by explicit operator directive, not genuine walk-forward validation.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model_qualified</t>
        </is>
      </c>
      <c r="AL688" s="26" t="n">
        <v>4</v>
      </c>
      <c r="AM688" s="24" t="inlineStr">
        <is>
          <t>QUALIFIED_SHADOW_CALL</t>
        </is>
      </c>
      <c r="AN688" s="24" t="inlineStr">
        <is>
          <t>CALL</t>
        </is>
      </c>
      <c r="AO688" s="24" t="inlineStr">
        <is>
          <t>QUALIFIED</t>
        </is>
      </c>
      <c r="AP688" s="24" t="inlineStr">
        <is>
          <t>Laura Pigossi</t>
        </is>
      </c>
      <c r="AQ688" s="24" t="inlineStr">
        <is>
          <t>Laura Pigossi</t>
        </is>
      </c>
      <c r="AR688" s="24" t="inlineStr">
        <is>
          <t>Laura Pigossi</t>
        </is>
      </c>
      <c r="AS688" s="24" t="inlineStr">
        <is>
          <t>Ekaterine Gorgodze</t>
        </is>
      </c>
      <c r="AT688" s="24" t="inlineStr">
        <is>
          <t>Ekaterine Gorgodze</t>
        </is>
      </c>
      <c r="AU688" s="24" t="inlineStr">
        <is>
          <t>Ekaterine Gorgodze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6c67e999d2a03612e30f4032c8e5e77e8becfbc79e05f4c8993e726b90d34d54</t>
        </is>
      </c>
      <c r="BB688" s="24" t="inlineStr">
        <is>
          <t>surface_blended_elo</t>
        </is>
      </c>
      <c r="BC688" s="24" t="inlineStr">
        <is>
          <t>tennis-surface-elo-v1</t>
        </is>
      </c>
      <c r="BD688" s="24" t="inlineStr">
        <is>
          <t>6c67e999d2a03612e30f4032c8e5e77e8becfbc79e05f4c8993e726b90d34d54</t>
        </is>
      </c>
      <c r="BE688" s="24" t="inlineStr">
        <is>
          <t>tennis-surface-elo-v1</t>
        </is>
      </c>
      <c r="BF688" s="24" t="inlineStr">
        <is>
          <t>1</t>
        </is>
      </c>
      <c r="BG688" s="24" t="inlineStr">
        <is>
          <t>6c67e999d2a03612e30f4032c8e5e77e8becfbc79e05f4c8993e726b90d34d54</t>
        </is>
      </c>
      <c r="BH688" s="24" t="inlineStr">
        <is>
          <t>2026-09-22T10:04:46.530179Z</t>
        </is>
      </c>
      <c r="BI688" s="24" t="inlineStr">
        <is>
          <t>["same_event","same_team_same_day","same_league_same_day"]</t>
        </is>
      </c>
      <c r="BJ688" s="25" t="n"/>
      <c r="BK688" s="26" t="n">
        <v>-133</v>
      </c>
      <c r="BL688" s="27" t="n">
        <v>1.75188</v>
      </c>
      <c r="BM688" s="28" t="n">
        <v>0.570815</v>
      </c>
      <c r="BN688" s="28" t="n"/>
      <c r="BO688" s="28" t="n"/>
      <c r="BP688" s="25" t="n"/>
      <c r="BQ688" s="27" t="n">
        <v>1.75188</v>
      </c>
      <c r="BR688" s="28" t="n">
        <v>0.57</v>
      </c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True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inlineStr">
        <is>
          <t>4daa951ee8c470955352ba88074363c97fd1b61a90e84d1c2b298ccfbe7729ae</t>
        </is>
      </c>
      <c r="DE688" s="24" t="inlineStr">
        <is>
          <t>/Users/vincentc9002/model-prediction/data/odds/tennis/2026-09-22/polymarket_snapshots.jsonl</t>
        </is>
      </c>
      <c r="DF688" s="24" t="inlineStr">
        <is>
          <t>970454:2026-09-22T10:04:46.530179Z</t>
        </is>
      </c>
      <c r="DG688" s="24" t="n"/>
      <c r="DH688" s="24" t="n"/>
      <c r="DI688" s="24" t="n"/>
      <c r="DJ688" s="24" t="inlineStr">
        <is>
          <t>0.570815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"6c67e999d2a03612e30f4032c8e5e77e8becfbc79e05f4c8993e726b90d34d54", "away_team": "Laura Pigossi", "event_id": "1019-2026:183896", "event_start_utc": "2026-09-22T11:30Z", "features": {"elo_p1_surface": 1409.5, "elo_p2_surface": 1495.6, "expected_games_p1": 9.95, "expected_games_p2": 13.28, "expected_total_games": 23.24, "history_matches": 16242, "min_player_matches": 72,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[1382.6171153217824, 1514.069818632298], "players": ["Laura Pigossi", "Ekaterine Gorgodze"], "sport": "TENNIS", "surface": "Hard", "surface_counts": [78, 62], "surface_ratings": [1409.4935457325123, 1495.5509747447645]}, "market_type": "moneyline", "model_version": "tennis-surface-elo-v1", "observed_at_utc": "2026-09-22T10:08:39.270756+00:00", "probabilities": {"away": 0.3604, "home": 0.6396}, "replay_scope": "Exact full-precision serving state and rounding; upstream historical observation times are not certified.", "schema": "coded-moneyline-replay-v1", "snapshot_hash": "6b961a1ffac23bab5346dfa65b2ff689107d46f4993463b1292ac0ce7767b3c8", "sport": "TENNIS"}</t>
        </is>
      </c>
    </row>
    <row r="689" ht="36" customHeight="1">
      <c r="A689" s="24" t="inlineStr">
        <is>
          <t>fcd28a1af5ce4959</t>
        </is>
      </c>
      <c r="B689" s="24" t="inlineStr">
        <is>
          <t>2026-09-22T10:08:40.309658Z</t>
        </is>
      </c>
      <c r="C689" s="24" t="inlineStr">
        <is>
          <t>2026-09-22T11:30Z</t>
        </is>
      </c>
      <c r="D689" s="24" t="inlineStr">
        <is>
          <t>1019-2026:183895</t>
        </is>
      </c>
      <c r="E689" s="24" t="inlineStr">
        <is>
          <t>TENNIS</t>
        </is>
      </c>
      <c r="F689" s="24" t="inlineStr">
        <is>
          <t>Alicia Herrero Linana</t>
        </is>
      </c>
      <c r="G689" s="24" t="inlineStr">
        <is>
          <t>Barbora Palicova</t>
        </is>
      </c>
      <c r="H689" s="24" t="inlineStr">
        <is>
          <t>moneyline</t>
        </is>
      </c>
      <c r="I689" s="24" t="inlineStr">
        <is>
          <t>away</t>
        </is>
      </c>
      <c r="J689" s="25" t="n"/>
      <c r="K689" s="24" t="inlineStr">
        <is>
          <t>polymarket_us</t>
        </is>
      </c>
      <c r="L689" s="26" t="n">
        <v>186</v>
      </c>
      <c r="M689" s="27" t="n">
        <v>2.86</v>
      </c>
      <c r="N689" s="28" t="n">
        <v>0.34965</v>
      </c>
      <c r="O689" s="28" t="n">
        <v>0.769</v>
      </c>
      <c r="P689" s="28" t="n">
        <v>0.05</v>
      </c>
      <c r="Q689" s="28" t="n">
        <v>0.41935</v>
      </c>
      <c r="R689" s="26" t="n">
        <v>100</v>
      </c>
      <c r="S689" s="29" t="n">
        <v>2</v>
      </c>
      <c r="T689" s="24" t="inlineStr">
        <is>
          <t>tennis-surface-elo-v1</t>
        </is>
      </c>
      <c r="U689" s="24" t="inlineStr">
        <is>
          <t>settled</t>
        </is>
      </c>
      <c r="V689" s="24" t="inlineStr">
        <is>
          <t>loss</t>
        </is>
      </c>
      <c r="W689" s="26" t="n">
        <v>0</v>
      </c>
      <c r="X689" s="26" t="n">
        <v>1</v>
      </c>
      <c r="Y689" s="25" t="n"/>
      <c r="Z689" s="26" t="n">
        <v>186</v>
      </c>
      <c r="AA689" s="28" t="n">
        <v>0.35</v>
      </c>
      <c r="AB689" s="28" t="n">
        <v>0.00035</v>
      </c>
      <c r="AC689" s="30" t="n">
        <v>-2</v>
      </c>
      <c r="AD689" s="24" t="inlineStr">
        <is>
          <t>2026-09-22T16:00:14.873160Z</t>
        </is>
      </c>
      <c r="AE689" s="31" t="inlineStr">
        <is>
          <t>Surface-blended Elo on Hard: Alicia Herrero Linana p=0.769 vs Barbora Palicova. Executable ask 0.3500 (aec-wta-barpal-alilin-2026-09-21).</t>
        </is>
      </c>
      <c r="AF689" s="31" t="inlineStr">
        <is>
          <t>Surface-blended Elo model; singles only, WTA+ATP market coverage, not yet locked-holdout qualified -- promoted by explicit operator directive, not genuine walk-forward validation.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paper_call</t>
        </is>
      </c>
      <c r="AL689" s="26" t="n">
        <v>4</v>
      </c>
      <c r="AM689" s="24" t="inlineStr">
        <is>
          <t>RESEARCH_OBSERVATION</t>
        </is>
      </c>
      <c r="AN689" s="24" t="inlineStr">
        <is>
          <t>CALL</t>
        </is>
      </c>
      <c r="AO689" s="24" t="inlineStr">
        <is>
          <t>PAPER_CALL_STALE_DATA</t>
        </is>
      </c>
      <c r="AP689" s="24" t="inlineStr">
        <is>
          <t>Alicia Herrero Linana</t>
        </is>
      </c>
      <c r="AQ689" s="24" t="inlineStr">
        <is>
          <t>Alicia Herrero Linana</t>
        </is>
      </c>
      <c r="AR689" s="24" t="inlineStr">
        <is>
          <t>Alicia Herrero Linana</t>
        </is>
      </c>
      <c r="AS689" s="24" t="inlineStr">
        <is>
          <t>Barbora Palicova</t>
        </is>
      </c>
      <c r="AT689" s="24" t="inlineStr">
        <is>
          <t>Barbora Palicova</t>
        </is>
      </c>
      <c r="AU689" s="24" t="inlineStr">
        <is>
          <t>Barbora Palicova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6c67e999d2a03612e30f4032c8e5e77e8becfbc79e05f4c8993e726b90d34d54</t>
        </is>
      </c>
      <c r="BB689" s="24" t="inlineStr">
        <is>
          <t>surface_blended_elo</t>
        </is>
      </c>
      <c r="BC689" s="24" t="inlineStr">
        <is>
          <t>tennis-surface-elo-v1</t>
        </is>
      </c>
      <c r="BD689" s="24" t="inlineStr">
        <is>
          <t>6c67e999d2a03612e30f4032c8e5e77e8becfbc79e05f4c8993e726b90d34d54</t>
        </is>
      </c>
      <c r="BE689" s="24" t="inlineStr">
        <is>
          <t>tennis-surface-elo-v1</t>
        </is>
      </c>
      <c r="BF689" s="24" t="inlineStr">
        <is>
          <t>1</t>
        </is>
      </c>
      <c r="BG689" s="24" t="inlineStr">
        <is>
          <t>6c67e999d2a03612e30f4032c8e5e77e8becfbc79e05f4c8993e726b90d34d54</t>
        </is>
      </c>
      <c r="BH689" s="24" t="inlineStr">
        <is>
          <t>2026-09-21T04:07:16.608587Z</t>
        </is>
      </c>
      <c r="BI689" s="24" t="inlineStr">
        <is>
          <t>["same_event","same_team_same_day","same_league_same_day"]</t>
        </is>
      </c>
      <c r="BJ689" s="25" t="n"/>
      <c r="BK689" s="26" t="n">
        <v>186</v>
      </c>
      <c r="BL689" s="27" t="n">
        <v>2.86</v>
      </c>
      <c r="BM689" s="28" t="n">
        <v>0.34965</v>
      </c>
      <c r="BN689" s="28" t="n"/>
      <c r="BO689" s="28" t="n"/>
      <c r="BP689" s="25" t="n"/>
      <c r="BQ689" s="27" t="n">
        <v>2.86</v>
      </c>
      <c r="BR689" s="28" t="n">
        <v>0.35</v>
      </c>
      <c r="BS689" s="28" t="n"/>
      <c r="BT689" s="28" t="n"/>
      <c r="BU689" s="25" t="n"/>
      <c r="BV689" s="29" t="n"/>
      <c r="BW689" s="24" t="n"/>
      <c r="BX689" s="30" t="n">
        <v>1</v>
      </c>
      <c r="BY689" s="27" t="n">
        <v>-1</v>
      </c>
      <c r="BZ689" s="24" t="inlineStr">
        <is>
          <t>2026-09-22T16:00:14.873160Z</t>
        </is>
      </c>
      <c r="CA689" s="31" t="inlineStr">
        <is>
          <t>fixed one-unit hypothetical scoring; no real exposure or execution</t>
        </is>
      </c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inlineStr">
        <is>
          <t>3f2d8e4374a1e50fd1a320d0d2df11c1eddc399c9317b137549acaeee840cbee</t>
        </is>
      </c>
      <c r="DE689" s="24" t="inlineStr">
        <is>
          <t>/Users/vincentc9002/model-prediction/data/odds/tennis/2026-09-22/polymarket_snapshots.jsonl</t>
        </is>
      </c>
      <c r="DF689" s="24" t="inlineStr">
        <is>
          <t>970455:2026-09-21T04:07:16.608587Z</t>
        </is>
      </c>
      <c r="DG689" s="24" t="n"/>
      <c r="DH689" s="24" t="n"/>
      <c r="DI689" s="24" t="n"/>
      <c r="DJ689" s="24" t="inlineStr">
        <is>
          <t>0.34965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"6c67e999d2a03612e30f4032c8e5e77e8becfbc79e05f4c8993e726b90d34d54", "away_team": "Alicia Herrero Linana", "event_id": "1019-2026:183895", "event_start_utc": "2026-09-22T11:30Z", "features": {"elo_p1_surface": 1613.7, "elo_p2_surface": 1412.6, "expected_games_p1": 12.75, "expected_games_p2": 5.81, "expected_total_games": 18.55, "history_matches": 16242, "min_player_matches": 39, "surface": "Hard"}, "historical_source_observation_times_verified": false, "home_team": "Barbora Palicova", "inference_inputs": {"code_sha256": {"features/elo_ratings.py": "8525faf022a6343c452286dbfeb17dbb043744c6bdabbe448b6b371216da439b", "models/tennis.py": "6c67e999d2a03612e30f4032c8e5e77e8becfbc79e05f4c8993e726b90d34d54"}, "overall_ratings": [1616.0878234327972, 1393.9440127609605], "players": ["Alicia Herrero Linana", "Barbora Palicova"], "sport": "TENNIS", "surface": "Hard", "surface_counts": [39, 43], "surface_ratings": [1613.7221963617699, 1412.583517743347]}, "market_type": "moneyline", "model_version": "tennis-surface-elo-v1", "observed_at_utc": "2026-09-22T10:08:39.270756+00:00", "probabilities": {"away": 0.769, "home": 0.231}, "replay_scope": "Exact full-precision serving state and rounding; upstream historical observation times are not certified.", "schema": "coded-moneyline-replay-v1", "snapshot_hash": "1f5d8db00d04a2c89f6dcaba7feab8ae28befc2faccb7498126b072f2388c7fb", "sport": "TENNIS"}</t>
        </is>
      </c>
    </row>
    <row r="690" ht="36" customHeight="1">
      <c r="A690" s="24" t="inlineStr">
        <is>
          <t>21ffdacc92234004</t>
        </is>
      </c>
      <c r="B690" s="24" t="inlineStr">
        <is>
          <t>2026-09-22T10:08:40.309658Z</t>
        </is>
      </c>
      <c r="C690" s="24" t="inlineStr">
        <is>
          <t>2026-09-22T13:30Z</t>
        </is>
      </c>
      <c r="D690" s="24" t="inlineStr">
        <is>
          <t>1019-2026:183893</t>
        </is>
      </c>
      <c r="E690" s="24" t="inlineStr">
        <is>
          <t>TENNIS</t>
        </is>
      </c>
      <c r="F690" s="24" t="inlineStr">
        <is>
          <t>Samira De Stefano</t>
        </is>
      </c>
      <c r="G690" s="24" t="inlineStr">
        <is>
          <t>Julie Struplova</t>
        </is>
      </c>
      <c r="H690" s="24" t="inlineStr">
        <is>
          <t>moneyline</t>
        </is>
      </c>
      <c r="I690" s="24" t="inlineStr">
        <is>
          <t>away</t>
        </is>
      </c>
      <c r="J690" s="25" t="n"/>
      <c r="K690" s="24" t="inlineStr">
        <is>
          <t>polymarket_us</t>
        </is>
      </c>
      <c r="L690" s="26" t="n">
        <v>-257</v>
      </c>
      <c r="M690" s="27" t="n">
        <v>1.389105</v>
      </c>
      <c r="N690" s="28" t="n">
        <v>0.719888</v>
      </c>
      <c r="O690" s="28" t="n">
        <v>0.605</v>
      </c>
      <c r="P690" s="28" t="n">
        <v>0.05</v>
      </c>
      <c r="Q690" s="28" t="n">
        <v>-0.114888</v>
      </c>
      <c r="R690" s="26" t="n">
        <v>0</v>
      </c>
      <c r="S690" s="29" t="n">
        <v>1</v>
      </c>
      <c r="T690" s="24" t="inlineStr">
        <is>
          <t>tennis-surface-elo-v1</t>
        </is>
      </c>
      <c r="U690" s="24" t="inlineStr">
        <is>
          <t>settled</t>
        </is>
      </c>
      <c r="V690" s="24" t="inlineStr">
        <is>
          <t>win</t>
        </is>
      </c>
      <c r="W690" s="26" t="n">
        <v>1</v>
      </c>
      <c r="X690" s="26" t="n">
        <v>0</v>
      </c>
      <c r="Y690" s="25" t="n"/>
      <c r="Z690" s="26" t="n">
        <v>-257</v>
      </c>
      <c r="AA690" s="28" t="n">
        <v>0.72</v>
      </c>
      <c r="AB690" s="28" t="n">
        <v>0.000112</v>
      </c>
      <c r="AC690" s="30" t="n">
        <v>0.3891</v>
      </c>
      <c r="AD690" s="24" t="inlineStr">
        <is>
          <t>2026-09-23T04:30:10.058136Z</t>
        </is>
      </c>
      <c r="AE690" s="31" t="inlineStr">
        <is>
          <t>Surface-blended Elo on Hard: Samira De Stefano p=0.605 vs Julie Struplova. Executable ask 0.7200 (aec-wta-julstr-samste-2026-09-21).</t>
        </is>
      </c>
      <c r="AF690" s="31" t="inlineStr">
        <is>
          <t>Surface-blended Elo model; singles only, WTA+ATP market coverage, not yet locked-holdout qualified -- promoted by explicit operator directive, not genuine walk-forward validation.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Samira De Stefano</t>
        </is>
      </c>
      <c r="AQ690" s="24" t="inlineStr">
        <is>
          <t>Samira De Stefano</t>
        </is>
      </c>
      <c r="AR690" s="24" t="inlineStr">
        <is>
          <t>Samira De Stefano</t>
        </is>
      </c>
      <c r="AS690" s="24" t="inlineStr">
        <is>
          <t>Julie Struplova</t>
        </is>
      </c>
      <c r="AT690" s="24" t="inlineStr">
        <is>
          <t>Julie Struplova</t>
        </is>
      </c>
      <c r="AU690" s="24" t="inlineStr">
        <is>
          <t>Julie Struplova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6c67e999d2a03612e30f4032c8e5e77e8becfbc79e05f4c8993e726b90d34d54</t>
        </is>
      </c>
      <c r="BB690" s="24" t="inlineStr">
        <is>
          <t>surface_blended_elo</t>
        </is>
      </c>
      <c r="BC690" s="24" t="inlineStr">
        <is>
          <t>tennis-surface-elo-v1</t>
        </is>
      </c>
      <c r="BD690" s="24" t="inlineStr">
        <is>
          <t>6c67e999d2a03612e30f4032c8e5e77e8becfbc79e05f4c8993e726b90d34d54</t>
        </is>
      </c>
      <c r="BE690" s="24" t="inlineStr">
        <is>
          <t>tennis-surface-elo-v1</t>
        </is>
      </c>
      <c r="BF690" s="24" t="inlineStr">
        <is>
          <t>1</t>
        </is>
      </c>
      <c r="BG690" s="24" t="inlineStr">
        <is>
          <t>6c67e999d2a03612e30f4032c8e5e77e8becfbc79e05f4c8993e726b90d34d54</t>
        </is>
      </c>
      <c r="BH690" s="24" t="inlineStr">
        <is>
          <t>2026-09-21T04:07:16.607896Z</t>
        </is>
      </c>
      <c r="BI690" s="24" t="inlineStr">
        <is>
          <t>["same_event","same_team_same_day","same_league_same_day"]</t>
        </is>
      </c>
      <c r="BJ690" s="25" t="n"/>
      <c r="BK690" s="26" t="n">
        <v>-257</v>
      </c>
      <c r="BL690" s="27" t="n">
        <v>1.389105</v>
      </c>
      <c r="BM690" s="28" t="n">
        <v>0.719888</v>
      </c>
      <c r="BN690" s="28" t="n"/>
      <c r="BO690" s="28" t="n"/>
      <c r="BP690" s="25" t="n"/>
      <c r="BQ690" s="27" t="n">
        <v>1.389105</v>
      </c>
      <c r="BR690" s="28" t="n">
        <v>0.72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0.389105</v>
      </c>
      <c r="BZ690" s="24" t="inlineStr">
        <is>
          <t>2026-09-23T04:30:10.058136Z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False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inlineStr">
        <is>
          <t>fe4f912bc1120cb4ff202d41065574343217176bbedb2c1a84117f67c4393a5c</t>
        </is>
      </c>
      <c r="DE690" s="24" t="inlineStr">
        <is>
          <t>/Users/vincentc9002/model-prediction/data/odds/tennis/2026-09-22/polymarket_snapshots.jsonl</t>
        </is>
      </c>
      <c r="DF690" s="24" t="inlineStr">
        <is>
          <t>970456:2026-09-21T04:07:16.607896Z</t>
        </is>
      </c>
      <c r="DG690" s="24" t="n"/>
      <c r="DH690" s="24" t="n"/>
      <c r="DI690" s="24" t="n"/>
      <c r="DJ690" s="24" t="inlineStr">
        <is>
          <t>0.719888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"6c67e999d2a03612e30f4032c8e5e77e8becfbc79e05f4c8993e726b90d34d54", "away_team": "Samira De Stefano", "event_id": "1019-2026:183893", "event_start_utc": "2026-09-22T13:30Z", "features": {"elo_p1_surface": 1541.3, "elo_p2_surface": 1475.9, "expected_games_p1": 13.41, "expected_games_p2": 10.24, "expected_total_games": 23.66, "history_matches": 16242, "min_player_matches": 5, "surface": "Hard"}, "historical_source_observation_times_verified": false, "home_team": "Julie Struplova", "inference_inputs": {"code_sha256": {"features/elo_ratings.py": "8525faf022a6343c452286dbfeb17dbb043744c6bdabbe448b6b371216da439b", "models/tennis.py": "6c67e999d2a03612e30f4032c8e5e77e8becfbc79e05f4c8993e726b90d34d54"}, "overall_ratings": [1535.3569301593643, 1460.3662261254367], "players": ["Samira De Stefano", "Julie Struplova"], "sport": "TENNIS", "surface": "Hard", "surface_counts": [9, 4], "surface_ratings": [1541.2850482693825, 1475.9150149443735]}, "market_type": "moneyline", "model_version": "tennis-surface-elo-v1", "observed_at_utc": "2026-09-22T10:08:39.270756+00:00", "probabilities": {"away": 0.605, "home": 0.395}, "replay_scope": "Exact full-precision serving state and rounding; upstream historical observation times are not certified.", "schema": "coded-moneyline-replay-v1", "snapshot_hash": "32ac63b38e10d4d93ca93865a33b563551fa6396f95b0b4de9bc5a90d3903a65", "sport": "TENNIS"}</t>
        </is>
      </c>
    </row>
    <row r="691" ht="36" customHeight="1">
      <c r="A691" s="24" t="inlineStr">
        <is>
          <t>9ae327e3331e44ea</t>
        </is>
      </c>
      <c r="B691" s="24" t="inlineStr">
        <is>
          <t>2026-09-22T10:08:40.309658Z</t>
        </is>
      </c>
      <c r="C691" s="24" t="inlineStr">
        <is>
          <t>2026-09-22T13:00Z</t>
        </is>
      </c>
      <c r="D691" s="24" t="inlineStr">
        <is>
          <t>1022-2026:183945</t>
        </is>
      </c>
      <c r="E691" s="24" t="inlineStr">
        <is>
          <t>TENNIS</t>
        </is>
      </c>
      <c r="F691" s="24" t="inlineStr">
        <is>
          <t>Carol Young Suh Lee</t>
        </is>
      </c>
      <c r="G691" s="24" t="inlineStr">
        <is>
          <t>Harmony Tan</t>
        </is>
      </c>
      <c r="H691" s="24" t="inlineStr">
        <is>
          <t>moneyline</t>
        </is>
      </c>
      <c r="I691" s="24" t="inlineStr">
        <is>
          <t>away</t>
        </is>
      </c>
      <c r="J691" s="25" t="n"/>
      <c r="K691" s="24" t="inlineStr">
        <is>
          <t>polymarket_us</t>
        </is>
      </c>
      <c r="L691" s="26" t="n">
        <v>-355</v>
      </c>
      <c r="M691" s="27" t="n">
        <v>1.28169</v>
      </c>
      <c r="N691" s="28" t="n">
        <v>0.78022</v>
      </c>
      <c r="O691" s="28" t="n">
        <v>0.5343</v>
      </c>
      <c r="P691" s="28" t="n">
        <v>0.05</v>
      </c>
      <c r="Q691" s="28" t="n">
        <v>-0.24592</v>
      </c>
      <c r="R691" s="26" t="n">
        <v>0</v>
      </c>
      <c r="S691" s="29" t="n">
        <v>1</v>
      </c>
      <c r="T691" s="24" t="inlineStr">
        <is>
          <t>tennis-surface-elo-v1</t>
        </is>
      </c>
      <c r="U691" s="24" t="inlineStr">
        <is>
          <t>settled</t>
        </is>
      </c>
      <c r="V691" s="24" t="inlineStr">
        <is>
          <t>loss</t>
        </is>
      </c>
      <c r="W691" s="26" t="n">
        <v>0</v>
      </c>
      <c r="X691" s="26" t="n">
        <v>1</v>
      </c>
      <c r="Y691" s="25" t="n"/>
      <c r="Z691" s="26" t="n">
        <v>-355</v>
      </c>
      <c r="AA691" s="28" t="n">
        <v>0.78</v>
      </c>
      <c r="AB691" s="28" t="n">
        <v>-0.00022</v>
      </c>
      <c r="AC691" s="30" t="n">
        <v>-1</v>
      </c>
      <c r="AD691" s="24" t="inlineStr">
        <is>
          <t>2026-09-22T16:00:16.079677Z</t>
        </is>
      </c>
      <c r="AE691" s="31" t="inlineStr">
        <is>
          <t>Surface-blended Elo on Hard: Carol Young Suh Lee p=0.534 vs Harmony Tan. Executable ask 0.7800 (aec-wta-hartan-carlee-2026-09-21).</t>
        </is>
      </c>
      <c r="AF691" s="31" t="inlineStr">
        <is>
          <t>Surface-blended Elo model; singles only, WTA+ATP market coverage, not yet locked-holdout qualified -- promoted by explicit operator directive, not genuine walk-forward validation.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Carol Young Suh Lee</t>
        </is>
      </c>
      <c r="AQ691" s="24" t="inlineStr">
        <is>
          <t>Carol Young Suh Lee</t>
        </is>
      </c>
      <c r="AR691" s="24" t="inlineStr">
        <is>
          <t>Carol Young Suh Lee</t>
        </is>
      </c>
      <c r="AS691" s="24" t="inlineStr">
        <is>
          <t>Harmony Tan</t>
        </is>
      </c>
      <c r="AT691" s="24" t="inlineStr">
        <is>
          <t>Harmony Tan</t>
        </is>
      </c>
      <c r="AU691" s="24" t="inlineStr">
        <is>
          <t>Harmony Tan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6c67e999d2a03612e30f4032c8e5e77e8becfbc79e05f4c8993e726b90d34d54</t>
        </is>
      </c>
      <c r="BB691" s="24" t="inlineStr">
        <is>
          <t>surface_blended_elo</t>
        </is>
      </c>
      <c r="BC691" s="24" t="inlineStr">
        <is>
          <t>tennis-surface-elo-v1</t>
        </is>
      </c>
      <c r="BD691" s="24" t="inlineStr">
        <is>
          <t>6c67e999d2a03612e30f4032c8e5e77e8becfbc79e05f4c8993e726b90d34d54</t>
        </is>
      </c>
      <c r="BE691" s="24" t="inlineStr">
        <is>
          <t>tennis-surface-elo-v1</t>
        </is>
      </c>
      <c r="BF691" s="24" t="inlineStr">
        <is>
          <t>1</t>
        </is>
      </c>
      <c r="BG691" s="24" t="inlineStr">
        <is>
          <t>6c67e999d2a03612e30f4032c8e5e77e8becfbc79e05f4c8993e726b90d34d54</t>
        </is>
      </c>
      <c r="BH691" s="24" t="inlineStr">
        <is>
          <t>2026-09-21T04:07:16.643033Z</t>
        </is>
      </c>
      <c r="BI691" s="24" t="inlineStr">
        <is>
          <t>["same_event","same_team_same_day","same_league_same_day"]</t>
        </is>
      </c>
      <c r="BJ691" s="25" t="n"/>
      <c r="BK691" s="26" t="n">
        <v>-355</v>
      </c>
      <c r="BL691" s="27" t="n">
        <v>1.28169</v>
      </c>
      <c r="BM691" s="28" t="n">
        <v>0.78022</v>
      </c>
      <c r="BN691" s="28" t="n"/>
      <c r="BO691" s="28" t="n"/>
      <c r="BP691" s="25" t="n"/>
      <c r="BQ691" s="27" t="n">
        <v>1.28169</v>
      </c>
      <c r="BR691" s="28" t="n">
        <v>0.78</v>
      </c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2026-09-22T16:00:16.079677Z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inlineStr">
        <is>
          <t>056ccf8fea2c871e1a7e14fa6243273398dde4cbadf7fe12fad9e17fb4514e2a</t>
        </is>
      </c>
      <c r="DE691" s="24" t="inlineStr">
        <is>
          <t>/Users/vincentc9002/model-prediction/data/odds/tennis/2026-09-22/polymarket_snapshots.jsonl</t>
        </is>
      </c>
      <c r="DF691" s="24" t="inlineStr">
        <is>
          <t>969198:2026-09-21T04:07:16.643033Z</t>
        </is>
      </c>
      <c r="DG691" s="24" t="n"/>
      <c r="DH691" s="24" t="n"/>
      <c r="DI691" s="24" t="n"/>
      <c r="DJ691" s="24" t="inlineStr">
        <is>
          <t>0.78022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"6c67e999d2a03612e30f4032c8e5e77e8becfbc79e05f4c8993e726b90d34d54", "away_team": "Carol Young Suh Lee", "event_id": "1022-2026:183945", "event_start_utc": "2026-09-22T13:00Z", "features": {"elo_p1_surface": 1541.8, "elo_p2_surface": 1490.3, "expected_games_p1": 13.33, "expected_games_p2": 10.72, "expected_total_games": 24.05, "history_matches": 16242, "min_player_matches": 37, "surface": "Hard"}, "historical_source_observation_times_verified": false, "home_team": "Harmony Tan", "inference_inputs": {"code_sha256": {"features/elo_ratings.py": "8525faf022a6343c452286dbfeb17dbb043744c6bdabbe448b6b371216da439b", "models/tennis.py": "6c67e999d2a03612e30f4032c8e5e77e8becfbc79e05f4c8993e726b90d34d54"}, "overall_ratings": [1519.6373090948357, 1532.0435292313332], "players": ["Carol Young Suh Lee", "Harmony Tan"], "sport": "TENNIS", "surface": "Hard", "surface_counts": [33, 29], "surface_ratings": [1541.7500488752544, 1490.3424793266283]}, "market_type": "moneyline", "model_version": "tennis-surface-elo-v1", "observed_at_utc": "2026-09-22T10:08:39.270756+00:00", "probabilities": {"away": 0.5343, "home": 0.4657}, "replay_scope": "Exact full-precision serving state and rounding; upstream historical observation times are not certified.", "schema": "coded-moneyline-replay-v1", "snapshot_hash": "e72159cca8c2a68485482b3a22893852b0c61058912d4ca51bfc07e7ecc165d1", "sport": "TENNIS"}</t>
        </is>
      </c>
    </row>
    <row r="692" ht="36" customHeight="1">
      <c r="A692" s="24" t="inlineStr">
        <is>
          <t>cddc52a9d822478d</t>
        </is>
      </c>
      <c r="B692" s="24" t="inlineStr">
        <is>
          <t>2026-09-22T10:08:40.309658Z</t>
        </is>
      </c>
      <c r="C692" s="24" t="inlineStr">
        <is>
          <t>2026-09-22T14:00Z</t>
        </is>
      </c>
      <c r="D692" s="24" t="inlineStr">
        <is>
          <t>1077-2026:183993</t>
        </is>
      </c>
      <c r="E692" s="24" t="inlineStr">
        <is>
          <t>TENNIS</t>
        </is>
      </c>
      <c r="F692" s="24" t="inlineStr">
        <is>
          <t>Cagla Buyukakcay</t>
        </is>
      </c>
      <c r="G692" s="24" t="inlineStr">
        <is>
          <t>Katarina Kuzmova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polymarket_us</t>
        </is>
      </c>
      <c r="L692" s="26" t="n">
        <v>-456</v>
      </c>
      <c r="M692" s="27" t="n">
        <v>1.219298</v>
      </c>
      <c r="N692" s="28" t="n">
        <v>0.820144</v>
      </c>
      <c r="O692" s="28" t="n">
        <v>0.6467000000000001</v>
      </c>
      <c r="P692" s="28" t="n">
        <v>0.05</v>
      </c>
      <c r="Q692" s="28" t="n">
        <v>-0.173444</v>
      </c>
      <c r="R692" s="26" t="n">
        <v>0</v>
      </c>
      <c r="S692" s="29" t="n">
        <v>1</v>
      </c>
      <c r="T692" s="24" t="inlineStr">
        <is>
          <t>tennis-surface-elo-v1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</v>
      </c>
      <c r="X692" s="26" t="n">
        <v>0</v>
      </c>
      <c r="Y692" s="25" t="n"/>
      <c r="Z692" s="26" t="n">
        <v>-456</v>
      </c>
      <c r="AA692" s="28" t="n">
        <v>0.82</v>
      </c>
      <c r="AB692" s="28" t="n">
        <v>-0.000144</v>
      </c>
      <c r="AC692" s="30" t="n">
        <v>-1</v>
      </c>
      <c r="AD692" s="24" t="inlineStr">
        <is>
          <t>2026-09-23T04:30:11.212059Z</t>
        </is>
      </c>
      <c r="AE692" s="31" t="inlineStr">
        <is>
          <t>Surface-blended Elo on Hard: Cagla Buyukakcay p=0.353 vs Katarina Kuzmova. Executable ask 0.8200 (aec-wta-katkuz-cagbuy-2026-09-21).</t>
        </is>
      </c>
      <c r="AF692" s="31" t="inlineStr">
        <is>
          <t>Surface-blended Elo model; singles only, WTA+ATP market coverage, not yet locked-holdout qualified -- promoted by explicit operator directive, not genuine walk-forward validation.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Cagla Buyukakcay</t>
        </is>
      </c>
      <c r="AQ692" s="24" t="inlineStr">
        <is>
          <t>Cagla Buyukakcay</t>
        </is>
      </c>
      <c r="AR692" s="24" t="inlineStr">
        <is>
          <t>Cagla Buyukakcay</t>
        </is>
      </c>
      <c r="AS692" s="24" t="inlineStr">
        <is>
          <t>Katarina Kuzmova</t>
        </is>
      </c>
      <c r="AT692" s="24" t="inlineStr">
        <is>
          <t>Katarina Kuzmova</t>
        </is>
      </c>
      <c r="AU692" s="24" t="inlineStr">
        <is>
          <t>Katarina Kuzmova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6c67e999d2a03612e30f4032c8e5e77e8becfbc79e05f4c8993e726b90d34d54</t>
        </is>
      </c>
      <c r="BB692" s="24" t="inlineStr">
        <is>
          <t>surface_blended_elo</t>
        </is>
      </c>
      <c r="BC692" s="24" t="inlineStr">
        <is>
          <t>tennis-surface-elo-v1</t>
        </is>
      </c>
      <c r="BD692" s="24" t="inlineStr">
        <is>
          <t>6c67e999d2a03612e30f4032c8e5e77e8becfbc79e05f4c8993e726b90d34d54</t>
        </is>
      </c>
      <c r="BE692" s="24" t="inlineStr">
        <is>
          <t>tennis-surface-elo-v1</t>
        </is>
      </c>
      <c r="BF692" s="24" t="inlineStr">
        <is>
          <t>1</t>
        </is>
      </c>
      <c r="BG692" s="24" t="inlineStr">
        <is>
          <t>6c67e999d2a03612e30f4032c8e5e77e8becfbc79e05f4c8993e726b90d34d54</t>
        </is>
      </c>
      <c r="BH692" s="24" t="inlineStr">
        <is>
          <t>2026-09-21T04:07:16.648110Z</t>
        </is>
      </c>
      <c r="BI692" s="24" t="inlineStr">
        <is>
          <t>["same_event","same_team_same_day","same_league_same_day"]</t>
        </is>
      </c>
      <c r="BJ692" s="25" t="n"/>
      <c r="BK692" s="26" t="n">
        <v>-456</v>
      </c>
      <c r="BL692" s="27" t="n">
        <v>1.219298</v>
      </c>
      <c r="BM692" s="28" t="n">
        <v>0.820144</v>
      </c>
      <c r="BN692" s="28" t="n"/>
      <c r="BO692" s="28" t="n"/>
      <c r="BP692" s="25" t="n"/>
      <c r="BQ692" s="27" t="n">
        <v>1.219298</v>
      </c>
      <c r="BR692" s="28" t="n">
        <v>0.82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-1</v>
      </c>
      <c r="BZ692" s="24" t="inlineStr">
        <is>
          <t>2026-09-23T04:30:11.212059Z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inlineStr">
        <is>
          <t>e0668ff3dd471cdf9d845eeb1379b75eb8ccbbe8cad04d80b79fee0f307fc19a</t>
        </is>
      </c>
      <c r="DE692" s="24" t="inlineStr">
        <is>
          <t>/Users/vincentc9002/model-prediction/data/odds/tennis/2026-09-22/polymarket_snapshots.jsonl</t>
        </is>
      </c>
      <c r="DF692" s="24" t="inlineStr">
        <is>
          <t>967215:2026-09-21T04:07:16.648110Z</t>
        </is>
      </c>
      <c r="DG692" s="24" t="n"/>
      <c r="DH692" s="24" t="n"/>
      <c r="DI692" s="24" t="n"/>
      <c r="DJ692" s="24" t="inlineStr">
        <is>
          <t>0.820144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"6c67e999d2a03612e30f4032c8e5e77e8becfbc79e05f4c8993e726b90d34d54", "away_team": "Cagla Buyukakcay", "event_id": "1077-2026:183993", "event_start_utc": "2026-09-22T14:00Z", "features": {"elo_p1_surface": 1394.9, "elo_p2_surface": 1497.2, "expected_games_p1": 9.39, "expected_games_p2": 13.28, "expected_total_games": 22.67, "history_matches": 16242, "min_player_matches": 2, "surface": "Hard"}, "historical_source_observation_times_verified": false, "home_team": "Katarina Kuzmova", "inference_inputs": {"code_sha256": {"features/elo_ratings.py": "8525faf022a6343c452286dbfeb17dbb043744c6bdabbe448b6b371216da439b", "models/tennis.py": "6c67e999d2a03612e30f4032c8e5e77e8becfbc79e05f4c8993e726b90d34d54"}, "overall_ratings": [1396.0728277724556, 1501.1387107122878], "players": ["Cagla Buyukakcay", "Katarina Kuzmova"], "sport": "TENNIS", "surface": "Hard", "surface_counts": [10, 2], "surface_ratings": [1394.9377513906063, 1497.1897287576137]}, "market_type": "moneyline", "model_version": "tennis-surface-elo-v1", "observed_at_utc": "2026-09-22T10:08:39.270756+00:00", "probabilities": {"away": 0.3533, "home": 0.6467}, "replay_scope": "Exact full-precision serving state and rounding; upstream historical observation times are not certified.", "schema": "coded-moneyline-replay-v1", "snapshot_hash": "ef2149bd2035d336d7b84af86104fa09574997300ff61fc9d6ee07eb0e51ee5f", "sport": "TENNIS"}</t>
        </is>
      </c>
    </row>
    <row r="693" ht="36" customHeight="1">
      <c r="A693" s="24" t="inlineStr">
        <is>
          <t>de15391637154fd4</t>
        </is>
      </c>
      <c r="B693" s="24" t="inlineStr">
        <is>
          <t>2026-09-22T10:08:40.309658Z</t>
        </is>
      </c>
      <c r="C693" s="24" t="inlineStr">
        <is>
          <t>2026-09-22T16:00Z</t>
        </is>
      </c>
      <c r="D693" s="24" t="inlineStr">
        <is>
          <t>1077-2026:183985</t>
        </is>
      </c>
      <c r="E693" s="24" t="inlineStr">
        <is>
          <t>TENNIS</t>
        </is>
      </c>
      <c r="F693" s="24" t="inlineStr">
        <is>
          <t>Deniz Dilek</t>
        </is>
      </c>
      <c r="G693" s="24" t="inlineStr">
        <is>
          <t>Solana Sierra</t>
        </is>
      </c>
      <c r="H693" s="24" t="inlineStr">
        <is>
          <t>moneyline</t>
        </is>
      </c>
      <c r="I693" s="24" t="inlineStr">
        <is>
          <t>home</t>
        </is>
      </c>
      <c r="J693" s="25" t="n"/>
      <c r="K693" s="24" t="inlineStr">
        <is>
          <t>polymarket_us</t>
        </is>
      </c>
      <c r="L693" s="26" t="n">
        <v>-567</v>
      </c>
      <c r="M693" s="27" t="n">
        <v>1.176367</v>
      </c>
      <c r="N693" s="28" t="n">
        <v>0.850075</v>
      </c>
      <c r="O693" s="28" t="n">
        <v>0.5999</v>
      </c>
      <c r="P693" s="28" t="n">
        <v>0.05</v>
      </c>
      <c r="Q693" s="28" t="n">
        <v>-0.250175</v>
      </c>
      <c r="R693" s="26" t="n">
        <v>0</v>
      </c>
      <c r="S693" s="29" t="n">
        <v>1</v>
      </c>
      <c r="T693" s="24" t="inlineStr">
        <is>
          <t>tennis-surface-elo-v1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</v>
      </c>
      <c r="X693" s="26" t="n">
        <v>0</v>
      </c>
      <c r="Y693" s="25" t="n"/>
      <c r="Z693" s="26" t="n">
        <v>-567</v>
      </c>
      <c r="AA693" s="28" t="n">
        <v>0.85</v>
      </c>
      <c r="AB693" s="28" t="n">
        <v>-7.499999999999999e-05</v>
      </c>
      <c r="AC693" s="30" t="n">
        <v>-1</v>
      </c>
      <c r="AD693" s="24" t="inlineStr">
        <is>
          <t>2026-09-23T10:00:09.329114Z</t>
        </is>
      </c>
      <c r="AE693" s="31" t="inlineStr">
        <is>
          <t>Surface-blended Elo on Hard: Deniz Dilek p=0.400 vs Solana Sierra. Executable ask 0.8500 (aec-wta-solsie-dendil-2026-09-21).</t>
        </is>
      </c>
      <c r="AF693" s="31" t="inlineStr">
        <is>
          <t>Surface-blended Elo model; singles only, WTA+ATP market coverage, not yet locked-holdout qualified -- promoted by explicit operator directive, not genuine walk-forward validation.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PAPER_CALL_MODEL_UNVALIDATED</t>
        </is>
      </c>
      <c r="AP693" s="24" t="inlineStr">
        <is>
          <t>Deniz Dilek</t>
        </is>
      </c>
      <c r="AQ693" s="24" t="inlineStr">
        <is>
          <t>Deniz Dilek</t>
        </is>
      </c>
      <c r="AR693" s="24" t="inlineStr">
        <is>
          <t>Deniz Dilek</t>
        </is>
      </c>
      <c r="AS693" s="24" t="inlineStr">
        <is>
          <t>Solana Sierra</t>
        </is>
      </c>
      <c r="AT693" s="24" t="inlineStr">
        <is>
          <t>Solana Sierra</t>
        </is>
      </c>
      <c r="AU693" s="24" t="inlineStr">
        <is>
          <t>Solana Sierra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6c67e999d2a03612e30f4032c8e5e77e8becfbc79e05f4c8993e726b90d34d54</t>
        </is>
      </c>
      <c r="BB693" s="24" t="inlineStr">
        <is>
          <t>surface_blended_elo</t>
        </is>
      </c>
      <c r="BC693" s="24" t="inlineStr">
        <is>
          <t>tennis-surface-elo-v1</t>
        </is>
      </c>
      <c r="BD693" s="24" t="inlineStr">
        <is>
          <t>6c67e999d2a03612e30f4032c8e5e77e8becfbc79e05f4c8993e726b90d34d54</t>
        </is>
      </c>
      <c r="BE693" s="24" t="inlineStr">
        <is>
          <t>tennis-surface-elo-v1</t>
        </is>
      </c>
      <c r="BF693" s="24" t="inlineStr">
        <is>
          <t>1</t>
        </is>
      </c>
      <c r="BG693" s="24" t="inlineStr">
        <is>
          <t>6c67e999d2a03612e30f4032c8e5e77e8becfbc79e05f4c8993e726b90d34d54</t>
        </is>
      </c>
      <c r="BH693" s="24" t="inlineStr">
        <is>
          <t>2026-09-21T04:07:16.646752Z</t>
        </is>
      </c>
      <c r="BI693" s="24" t="inlineStr">
        <is>
          <t>["same_event","same_team_same_day","same_league_same_day"]</t>
        </is>
      </c>
      <c r="BJ693" s="25" t="n"/>
      <c r="BK693" s="26" t="n">
        <v>-567</v>
      </c>
      <c r="BL693" s="27" t="n">
        <v>1.176367</v>
      </c>
      <c r="BM693" s="28" t="n">
        <v>0.850075</v>
      </c>
      <c r="BN693" s="28" t="n"/>
      <c r="BO693" s="28" t="n"/>
      <c r="BP693" s="25" t="n"/>
      <c r="BQ693" s="27" t="n">
        <v>1.176367</v>
      </c>
      <c r="BR693" s="28" t="n">
        <v>0.85</v>
      </c>
      <c r="BS693" s="28" t="n"/>
      <c r="BT693" s="28" t="n"/>
      <c r="BU693" s="25" t="n"/>
      <c r="BV693" s="29" t="n"/>
      <c r="BW693" s="24" t="n"/>
      <c r="BX693" s="30" t="n">
        <v>1</v>
      </c>
      <c r="BY693" s="27" t="n">
        <v>-1</v>
      </c>
      <c r="BZ693" s="24" t="inlineStr">
        <is>
          <t>2026-09-23T10:00:09.329114Z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inlineStr">
        <is>
          <t>c802833931f16037202c9cd7d979774ab9febb82973ec3cb75d6a7c154fe8ecc</t>
        </is>
      </c>
      <c r="DE693" s="24" t="inlineStr">
        <is>
          <t>/Users/vincentc9002/model-prediction/data/odds/tennis/2026-09-22/polymarket_snapshots.jsonl</t>
        </is>
      </c>
      <c r="DF693" s="24" t="inlineStr">
        <is>
          <t>967214:2026-09-21T04:07:16.646752Z</t>
        </is>
      </c>
      <c r="DG693" s="24" t="n"/>
      <c r="DH693" s="24" t="n"/>
      <c r="DI693" s="24" t="n"/>
      <c r="DJ693" s="24" t="inlineStr">
        <is>
          <t>0.850075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"6c67e999d2a03612e30f4032c8e5e77e8becfbc79e05f4c8993e726b90d34d54", "away_team": "Deniz Dilek", "event_id": "1077-2026:183985", "event_start_utc": "2026-09-22T16:00Z", "features": {"elo_p1_surface": 1468.1, "elo_p2_surface": 1506.1, "expected_games_p1": 11.55, "expected_games_p2": 12.94, "expected_total_games": 24.49, "history_matches": 16242, "min_player_matches": 2, "surface": "Hard"}, "historical_source_observation_times_verified": false, "home_team": "Solana Sierra", "inference_inputs": {"code_sha256": {"features/elo_ratings.py": "8525faf022a6343c452286dbfeb17dbb043744c6bdabbe448b6b371216da439b", "models/tennis.py": "6c67e999d2a03612e30f4032c8e5e77e8becfbc79e05f4c8993e726b90d34d54"}, "overall_ratings": [1468.2073488632436, 1616.0832660002077], "players": ["Deniz Dilek", "Solana Sierra"], "sport": "TENNIS", "surface": "Hard", "surface_counts": [2, 73], "surface_ratings": [1468.0534584878687, 1506.144674835065]}, "market_type": "moneyline", "model_version": "tennis-surface-elo-v1", "observed_at_utc": "2026-09-22T10:08:39.270756+00:00", "probabilities": {"away": 0.4001, "home": 0.5999}, "replay_scope": "Exact full-precision serving state and rounding; upstream historical observation times are not certified.", "schema": "coded-moneyline-replay-v1", "snapshot_hash": "0ce11451b12eaf42ea6ac522d92f794bb768bbc743c028dec36fb8c6de8d2085", "sport": "TENNIS"}</t>
        </is>
      </c>
    </row>
    <row r="694" ht="36" customHeight="1">
      <c r="A694" s="24" t="inlineStr">
        <is>
          <t>f9191f53a04f49d8</t>
        </is>
      </c>
      <c r="B694" s="24" t="inlineStr">
        <is>
          <t>2026-09-22T16:07:40.015308Z</t>
        </is>
      </c>
      <c r="C694" s="24" t="inlineStr">
        <is>
          <t>2026-09-22T18:00Z</t>
        </is>
      </c>
      <c r="D694" s="24" t="inlineStr">
        <is>
          <t>1019-2026:183883</t>
        </is>
      </c>
      <c r="E694" s="24" t="inlineStr">
        <is>
          <t>TENNIS</t>
        </is>
      </c>
      <c r="F694" s="24" t="inlineStr">
        <is>
          <t>Julia Grabher</t>
        </is>
      </c>
      <c r="G694" s="24" t="inlineStr">
        <is>
          <t>Jennifer Ruggeri</t>
        </is>
      </c>
      <c r="H694" s="24" t="inlineStr">
        <is>
          <t>moneyline</t>
        </is>
      </c>
      <c r="I694" s="24" t="inlineStr">
        <is>
          <t>away</t>
        </is>
      </c>
      <c r="J694" s="25" t="n"/>
      <c r="K694" s="24" t="inlineStr">
        <is>
          <t>polymarket_us</t>
        </is>
      </c>
      <c r="L694" s="26" t="n">
        <v>-213</v>
      </c>
      <c r="M694" s="27" t="n">
        <v>1.469484</v>
      </c>
      <c r="N694" s="28" t="n">
        <v>0.680511</v>
      </c>
      <c r="O694" s="28" t="n">
        <v>0.6785</v>
      </c>
      <c r="P694" s="28" t="n">
        <v>0.05</v>
      </c>
      <c r="Q694" s="28" t="n">
        <v>-0.002011</v>
      </c>
      <c r="R694" s="26" t="n">
        <v>19</v>
      </c>
      <c r="S694" s="29" t="n">
        <v>1</v>
      </c>
      <c r="T694" s="24" t="inlineStr">
        <is>
          <t>tennis-surface-elo-v1</t>
        </is>
      </c>
      <c r="U694" s="24" t="inlineStr">
        <is>
          <t>settled</t>
        </is>
      </c>
      <c r="V694" s="24" t="inlineStr">
        <is>
          <t>win</t>
        </is>
      </c>
      <c r="W694" s="26" t="n">
        <v>1</v>
      </c>
      <c r="X694" s="26" t="n">
        <v>0</v>
      </c>
      <c r="Y694" s="25" t="n"/>
      <c r="Z694" s="26" t="n">
        <v>-213</v>
      </c>
      <c r="AA694" s="28" t="n">
        <v>0.68</v>
      </c>
      <c r="AB694" s="28" t="n">
        <v>-0.000511</v>
      </c>
      <c r="AC694" s="30" t="n">
        <v>0.4695</v>
      </c>
      <c r="AD694" s="24" t="inlineStr">
        <is>
          <t>2026-09-23T04:31:07.923777Z</t>
        </is>
      </c>
      <c r="AE694" s="31" t="inlineStr">
        <is>
          <t>Surface-blended Elo on Hard: Julia Grabher p=0.678 vs Jennifer Ruggeri. Executable ask 0.6800 (aec-wta-jenrug-julgra-2026-09-21).</t>
        </is>
      </c>
      <c r="AF694" s="31" t="inlineStr">
        <is>
          <t>Surface-blended Elo model; singles only, WTA+ATP market coverage, not yet locked-holdout qualified -- promoted by explicit operator directive, not genuine walk-forward validation.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Julia Grabher</t>
        </is>
      </c>
      <c r="AQ694" s="24" t="inlineStr">
        <is>
          <t>Julia Grabher</t>
        </is>
      </c>
      <c r="AR694" s="24" t="inlineStr">
        <is>
          <t>Julia Grabher</t>
        </is>
      </c>
      <c r="AS694" s="24" t="inlineStr">
        <is>
          <t>Jennifer Ruggeri</t>
        </is>
      </c>
      <c r="AT694" s="24" t="inlineStr">
        <is>
          <t>Jennifer Ruggeri</t>
        </is>
      </c>
      <c r="AU694" s="24" t="inlineStr">
        <is>
          <t>Jennifer Ruggeri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6c67e999d2a03612e30f4032c8e5e77e8becfbc79e05f4c8993e726b90d34d54</t>
        </is>
      </c>
      <c r="BB694" s="24" t="inlineStr">
        <is>
          <t>surface_blended_elo</t>
        </is>
      </c>
      <c r="BC694" s="24" t="inlineStr">
        <is>
          <t>tennis-surface-elo-v1</t>
        </is>
      </c>
      <c r="BD694" s="24" t="inlineStr">
        <is>
          <t>6c67e999d2a03612e30f4032c8e5e77e8becfbc79e05f4c8993e726b90d34d54</t>
        </is>
      </c>
      <c r="BE694" s="24" t="inlineStr">
        <is>
          <t>tennis-surface-elo-v1</t>
        </is>
      </c>
      <c r="BF694" s="24" t="inlineStr">
        <is>
          <t>1</t>
        </is>
      </c>
      <c r="BG694" s="24" t="inlineStr">
        <is>
          <t>6c67e999d2a03612e30f4032c8e5e77e8becfbc79e05f4c8993e726b90d34d54</t>
        </is>
      </c>
      <c r="BH694" s="24" t="inlineStr">
        <is>
          <t>2026-09-22T10:04:57.096691Z</t>
        </is>
      </c>
      <c r="BI694" s="24" t="inlineStr">
        <is>
          <t>["same_event","same_team_same_day","same_league_same_day"]</t>
        </is>
      </c>
      <c r="BJ694" s="25" t="n"/>
      <c r="BK694" s="26" t="n">
        <v>-213</v>
      </c>
      <c r="BL694" s="27" t="n">
        <v>1.469484</v>
      </c>
      <c r="BM694" s="28" t="n">
        <v>0.680511</v>
      </c>
      <c r="BN694" s="28" t="n"/>
      <c r="BO694" s="28" t="n"/>
      <c r="BP694" s="25" t="n"/>
      <c r="BQ694" s="27" t="n">
        <v>1.469484</v>
      </c>
      <c r="BR694" s="28" t="n">
        <v>0.68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0.469484</v>
      </c>
      <c r="BZ694" s="24" t="inlineStr">
        <is>
          <t>2026-09-23T04:31:07.923777Z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inlineStr">
        <is>
          <t>28a1d3075d2e29e5dbed1c0daae48173e46fd07293f0862201e42261a5b0f40c</t>
        </is>
      </c>
      <c r="DE694" s="24" t="inlineStr">
        <is>
          <t>/Users/vincentc9002/model-prediction/data/odds/tennis/2026-09-22/polymarket_snapshots.jsonl</t>
        </is>
      </c>
      <c r="DF694" s="24" t="inlineStr">
        <is>
          <t>970453:2026-09-22T10:04:57.096691Z</t>
        </is>
      </c>
      <c r="DG694" s="24" t="n"/>
      <c r="DH694" s="24" t="n"/>
      <c r="DI694" s="24" t="n"/>
      <c r="DJ694" s="24" t="inlineStr">
        <is>
          <t>0.680511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"6c67e999d2a03612e30f4032c8e5e77e8becfbc79e05f4c8993e726b90d34d54", "away_team": "Julia Grabher", "event_id": "1019-2026:183883", "event_start_utc": "2026-09-22T18:00Z", "features": {"elo_p1_surface": 1570.1, "elo_p2_surface": 1438.3, "expected_games_p1": 13.28, "expected_games_p2": 7.89, "expected_total_games": 21.18, "history_matches": 16242, "min_player_matches": 18, "surface": "Hard"}, "historical_source_observation_times_verified": false, "home_team": "Jennifer Ruggeri", "inference_inputs": {"code_sha256": {"features/elo_ratings.py": "8525faf022a6343c452286dbfeb17dbb043744c6bdabbe448b6b371216da439b", "models/tennis.py": "6c67e999d2a03612e30f4032c8e5e77e8becfbc79e05f4c8993e726b90d34d54"}, "overall_ratings": [1580.6533836477195, 1446.6283545409774], "players": ["Julia Grabher", "Jennifer Ruggeri"], "sport": "TENNIS", "surface": "Hard", "surface_counts": [66, 11], "surface_ratings": [1570.116453548633, 1438.2692450418788]}, "market_type": "moneyline", "model_version": "tennis-surface-elo-v1", "observed_at_utc": "2026-09-22T16:07:38.452068+00:00", "probabilities": {"away": 0.6785, "home": 0.3215}, "replay_scope": "Exact full-precision serving state and rounding; upstream historical observation times are not certified.", "schema": "coded-moneyline-replay-v1", "snapshot_hash": "9eaea851239b99f4557f6448340447e5378546911ec3eabdb980811a47691151", "sport": "TENNIS"}</t>
        </is>
      </c>
    </row>
    <row r="695" ht="36" customHeight="1">
      <c r="A695" s="24" t="inlineStr">
        <is>
          <t>6cd690e7812c4f30</t>
        </is>
      </c>
      <c r="B695" s="24" t="inlineStr">
        <is>
          <t>2026-09-23T04:42:53.056641Z</t>
        </is>
      </c>
      <c r="C695" s="24" t="inlineStr">
        <is>
          <t>2026-09-23T05:00Z</t>
        </is>
      </c>
      <c r="D695" s="24" t="inlineStr">
        <is>
          <t>1009-2026:184098</t>
        </is>
      </c>
      <c r="E695" s="24" t="inlineStr">
        <is>
          <t>TENNIS</t>
        </is>
      </c>
      <c r="F695" s="24" t="inlineStr">
        <is>
          <t>Maja Chwalinska</t>
        </is>
      </c>
      <c r="G695" s="24" t="inlineStr">
        <is>
          <t>Oleksandra Oliynykova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polymarket_us</t>
        </is>
      </c>
      <c r="L695" s="26" t="n">
        <v>194</v>
      </c>
      <c r="M695" s="27" t="n">
        <v>2.94</v>
      </c>
      <c r="N695" s="28" t="n">
        <v>0.340136</v>
      </c>
      <c r="O695" s="28" t="n">
        <v>0.5086000000000001</v>
      </c>
      <c r="P695" s="28" t="n">
        <v>0.05</v>
      </c>
      <c r="Q695" s="28" t="n">
        <v>0.168464</v>
      </c>
      <c r="R695" s="26" t="n">
        <v>100</v>
      </c>
      <c r="S695" s="29" t="n">
        <v>1.75</v>
      </c>
      <c r="T695" s="24" t="inlineStr">
        <is>
          <t>tennis-surface-elo-v1</t>
        </is>
      </c>
      <c r="U695" s="24" t="inlineStr">
        <is>
          <t>settled</t>
        </is>
      </c>
      <c r="V695" s="24" t="inlineStr">
        <is>
          <t>loss</t>
        </is>
      </c>
      <c r="W695" s="26" t="n">
        <v>1</v>
      </c>
      <c r="X695" s="26" t="n">
        <v>0</v>
      </c>
      <c r="Y695" s="25" t="n"/>
      <c r="Z695" s="26" t="n">
        <v>194</v>
      </c>
      <c r="AA695" s="28" t="n">
        <v>0.34</v>
      </c>
      <c r="AB695" s="28" t="n">
        <v>-0.000136</v>
      </c>
      <c r="AC695" s="30" t="n">
        <v>-1.75</v>
      </c>
      <c r="AD695" s="24" t="inlineStr">
        <is>
          <t>2026-09-23T10:00:20.558708Z</t>
        </is>
      </c>
      <c r="AE695" s="31" t="inlineStr">
        <is>
          <t>Surface-blended Elo on Hard: Maja Chwalinska p=0.491 vs Oleksandra Oliynykova. Executable ask 0.3400 (aec-wta-oleoli-majchw-2026-09-22).</t>
        </is>
      </c>
      <c r="AF695" s="31" t="inlineStr">
        <is>
          <t>Surface-blended Elo model; singles only, WTA+ATP market coverage, not yet locked-holdout qualified -- promoted by explicit operator directive, not genuine walk-forward validation.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Maja Chwalinska</t>
        </is>
      </c>
      <c r="AQ695" s="24" t="inlineStr">
        <is>
          <t>Maja Chwalinska</t>
        </is>
      </c>
      <c r="AR695" s="24" t="inlineStr">
        <is>
          <t>Maja Chwalinska</t>
        </is>
      </c>
      <c r="AS695" s="24" t="inlineStr">
        <is>
          <t>Oleksandra Oliynykova</t>
        </is>
      </c>
      <c r="AT695" s="24" t="inlineStr">
        <is>
          <t>Oleksandra Oliynykova</t>
        </is>
      </c>
      <c r="AU695" s="24" t="inlineStr">
        <is>
          <t>Oleksandra Oliynykova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6c67e999d2a03612e30f4032c8e5e77e8becfbc79e05f4c8993e726b90d34d54</t>
        </is>
      </c>
      <c r="BB695" s="24" t="inlineStr">
        <is>
          <t>surface_blended_elo</t>
        </is>
      </c>
      <c r="BC695" s="24" t="inlineStr">
        <is>
          <t>tennis-surface-elo-v1</t>
        </is>
      </c>
      <c r="BD695" s="24" t="inlineStr">
        <is>
          <t>6c67e999d2a03612e30f4032c8e5e77e8becfbc79e05f4c8993e726b90d34d54</t>
        </is>
      </c>
      <c r="BE695" s="24" t="inlineStr">
        <is>
          <t>tennis-surface-elo-v1</t>
        </is>
      </c>
      <c r="BF695" s="24" t="inlineStr">
        <is>
          <t>1</t>
        </is>
      </c>
      <c r="BG695" s="24" t="inlineStr">
        <is>
          <t>6c67e999d2a03612e30f4032c8e5e77e8becfbc79e05f4c8993e726b90d34d54</t>
        </is>
      </c>
      <c r="BH695" s="24" t="inlineStr">
        <is>
          <t>2026-09-22T12:28:52.566091Z</t>
        </is>
      </c>
      <c r="BI695" s="24" t="inlineStr">
        <is>
          <t>["same_event","same_team_same_day","same_league_same_day"]</t>
        </is>
      </c>
      <c r="BJ695" s="25" t="n"/>
      <c r="BK695" s="26" t="n">
        <v>194</v>
      </c>
      <c r="BL695" s="27" t="n">
        <v>2.94</v>
      </c>
      <c r="BM695" s="28" t="n">
        <v>0.340136</v>
      </c>
      <c r="BN695" s="28" t="n"/>
      <c r="BO695" s="28" t="n"/>
      <c r="BP695" s="25" t="n"/>
      <c r="BQ695" s="27" t="n">
        <v>2.94</v>
      </c>
      <c r="BR695" s="28" t="n">
        <v>0.34</v>
      </c>
      <c r="BS695" s="28" t="n"/>
      <c r="BT695" s="28" t="n"/>
      <c r="BU695" s="25" t="n"/>
      <c r="BV695" s="29" t="n"/>
      <c r="BW695" s="24" t="n"/>
      <c r="BX695" s="30" t="n">
        <v>1</v>
      </c>
      <c r="BY695" s="27" t="n">
        <v>-1</v>
      </c>
      <c r="BZ695" s="24" t="inlineStr">
        <is>
          <t>2026-09-23T10:00:20.558708Z</t>
        </is>
      </c>
      <c r="CA695" s="31" t="inlineStr">
        <is>
          <t>fixed one-unit hypothetical scoring; no real exposure or execution</t>
        </is>
      </c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inlineStr">
        <is>
          <t>2493b8b03929df80f9fc3ac05b1e3ac5d0b6a5e250b5c024746c2f0ece19bbd7</t>
        </is>
      </c>
      <c r="DE695" s="24" t="inlineStr">
        <is>
          <t>/Users/vincentc9002/model-prediction/data/odds/tennis/2026-09-23/polymarket_snapshots.jsonl</t>
        </is>
      </c>
      <c r="DF695" s="24" t="inlineStr">
        <is>
          <t>996088:2026-09-22T12:28:52.566091Z</t>
        </is>
      </c>
      <c r="DG695" s="24" t="n"/>
      <c r="DH695" s="24" t="n"/>
      <c r="DI695" s="24" t="n"/>
      <c r="DJ695" s="24" t="inlineStr">
        <is>
          <t>0.340136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"6c67e999d2a03612e30f4032c8e5e77e8becfbc79e05f4c8993e726b90d34d54", "away_team": "Maja Chwalinska", "event_id": "1009-2026:184098", "event_start_utc": "2026-09-23T05:00Z", "features": {"elo_p1_surface": 1647.3, "elo_p2_surface": 1665.5, "expected_games_p1": 12.11, "expected_games_p2": 12.62, "expected_total_games": 24.73, "history_matches": 16290, "min_player_matches": 89,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[1704.0207832754502, 1677.7582404028979], "players": ["Maja Chwalinska", "Oleksandra Oliynykova"], "sport": "TENNIS", "surface": "Hard", "surface_counts": [84, 74], "surface_ratings": [1647.2989104197536, 1665.4979588225112]}, "market_type": "moneyline", "model_version": "tennis-surface-elo-v1", "observed_at_utc": "2026-09-23T04:42:51.992084+00:00", "probabilities": {"away": 0.4914, "home": 0.5086}, "replay_scope": "Exact full-precision serving state and rounding; upstream historical observation times are not certified.", "schema": "coded-moneyline-replay-v1", "snapshot_hash": "de0848ef88fb2e736dbcf9943fe1f2dad3f49184c58305ab35e5a68367e655c3", "sport": "TENNIS"}</t>
        </is>
      </c>
    </row>
    <row r="696" ht="36" customHeight="1">
      <c r="A696" s="24" t="inlineStr">
        <is>
          <t>d6bce3a8d4574c60</t>
        </is>
      </c>
      <c r="B696" s="24" t="inlineStr">
        <is>
          <t>2026-09-23T04:42:53.056641Z</t>
        </is>
      </c>
      <c r="C696" s="24" t="inlineStr">
        <is>
          <t>2026-09-23T05:30Z</t>
        </is>
      </c>
      <c r="D696" s="24" t="inlineStr">
        <is>
          <t>1001-2026:186146</t>
        </is>
      </c>
      <c r="E696" s="24" t="inlineStr">
        <is>
          <t>TENNIS</t>
        </is>
      </c>
      <c r="F696" s="24" t="inlineStr">
        <is>
          <t>Sun Fajing</t>
        </is>
      </c>
      <c r="G696" s="24" t="inlineStr">
        <is>
          <t>Bernard Tomic</t>
        </is>
      </c>
      <c r="H696" s="24" t="inlineStr">
        <is>
          <t>moneyline</t>
        </is>
      </c>
      <c r="I696" s="24" t="inlineStr">
        <is>
          <t>home</t>
        </is>
      </c>
      <c r="J696" s="25" t="n"/>
      <c r="K696" s="24" t="inlineStr">
        <is>
          <t>polymarket_us</t>
        </is>
      </c>
      <c r="L696" s="26" t="n">
        <v>-186</v>
      </c>
      <c r="M696" s="27" t="n">
        <v>1.537634</v>
      </c>
      <c r="N696" s="28" t="n">
        <v>0.65035</v>
      </c>
      <c r="O696" s="28" t="n">
        <v>0.5409</v>
      </c>
      <c r="P696" s="28" t="n">
        <v>0.05</v>
      </c>
      <c r="Q696" s="28" t="n">
        <v>-0.10945</v>
      </c>
      <c r="R696" s="26" t="n">
        <v>0</v>
      </c>
      <c r="S696" s="29" t="n">
        <v>1</v>
      </c>
      <c r="T696" s="24" t="inlineStr">
        <is>
          <t>tennis-surface-elo-v1</t>
        </is>
      </c>
      <c r="U696" s="24" t="inlineStr">
        <is>
          <t>settled</t>
        </is>
      </c>
      <c r="V696" s="24" t="inlineStr">
        <is>
          <t>loss</t>
        </is>
      </c>
      <c r="W696" s="26" t="n">
        <v>1</v>
      </c>
      <c r="X696" s="26" t="n">
        <v>0</v>
      </c>
      <c r="Y696" s="25" t="n"/>
      <c r="Z696" s="26" t="n">
        <v>-186</v>
      </c>
      <c r="AA696" s="28" t="n">
        <v>0.65</v>
      </c>
      <c r="AB696" s="28" t="n">
        <v>-0.00035</v>
      </c>
      <c r="AC696" s="30" t="n">
        <v>-1</v>
      </c>
      <c r="AD696" s="24" t="inlineStr">
        <is>
          <t>2026-09-23T10:00:21.648184Z</t>
        </is>
      </c>
      <c r="AE696" s="31" t="inlineStr">
        <is>
          <t>Surface-blended Elo on Hard: Sun Fajing p=0.459 vs Bernard Tomic. Executable ask 0.6500 (aec-atp-bertom-fajsun-2026-09-23).</t>
        </is>
      </c>
      <c r="AF696" s="31" t="inlineStr">
        <is>
          <t>Surface-blended Elo model; singles only, WTA+ATP market coverage, not yet locked-holdout qualified -- promoted by explicit operator directive, not genuine walk-forward validation.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PAPER_CALL_LOW_EDGE</t>
        </is>
      </c>
      <c r="AP696" s="24" t="inlineStr">
        <is>
          <t>Sun Fajing</t>
        </is>
      </c>
      <c r="AQ696" s="24" t="inlineStr">
        <is>
          <t>Sun Fajing</t>
        </is>
      </c>
      <c r="AR696" s="24" t="inlineStr">
        <is>
          <t>Sun Fajing</t>
        </is>
      </c>
      <c r="AS696" s="24" t="inlineStr">
        <is>
          <t>Bernard Tomic</t>
        </is>
      </c>
      <c r="AT696" s="24" t="inlineStr">
        <is>
          <t>Bernard Tomic</t>
        </is>
      </c>
      <c r="AU696" s="24" t="inlineStr">
        <is>
          <t>Bernard Tomic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6c67e999d2a03612e30f4032c8e5e77e8becfbc79e05f4c8993e726b90d34d54</t>
        </is>
      </c>
      <c r="BB696" s="24" t="inlineStr">
        <is>
          <t>surface_blended_elo</t>
        </is>
      </c>
      <c r="BC696" s="24" t="inlineStr">
        <is>
          <t>tennis-surface-elo-v1</t>
        </is>
      </c>
      <c r="BD696" s="24" t="inlineStr">
        <is>
          <t>6c67e999d2a03612e30f4032c8e5e77e8becfbc79e05f4c8993e726b90d34d54</t>
        </is>
      </c>
      <c r="BE696" s="24" t="inlineStr">
        <is>
          <t>tennis-surface-elo-v1</t>
        </is>
      </c>
      <c r="BF696" s="24" t="inlineStr">
        <is>
          <t>1</t>
        </is>
      </c>
      <c r="BG696" s="24" t="inlineStr">
        <is>
          <t>6c67e999d2a03612e30f4032c8e5e77e8becfbc79e05f4c8993e726b90d34d54</t>
        </is>
      </c>
      <c r="BH696" s="24" t="inlineStr">
        <is>
          <t>2026-09-23T04:38:14.718041Z</t>
        </is>
      </c>
      <c r="BI696" s="24" t="inlineStr">
        <is>
          <t>["same_event","same_team_same_day","same_league_same_day"]</t>
        </is>
      </c>
      <c r="BJ696" s="25" t="n"/>
      <c r="BK696" s="26" t="n">
        <v>-186</v>
      </c>
      <c r="BL696" s="27" t="n">
        <v>1.537634</v>
      </c>
      <c r="BM696" s="28" t="n">
        <v>0.65035</v>
      </c>
      <c r="BN696" s="28" t="n"/>
      <c r="BO696" s="28" t="n"/>
      <c r="BP696" s="25" t="n"/>
      <c r="BQ696" s="27" t="n">
        <v>1.537634</v>
      </c>
      <c r="BR696" s="28" t="n">
        <v>0.65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2026-09-23T10:00:21.648184Z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False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inlineStr">
        <is>
          <t>89e464f9c613b5d79fb11679e510c64adc20f12a3930f873883119bcc01e9586</t>
        </is>
      </c>
      <c r="DE696" s="24" t="inlineStr">
        <is>
          <t>/Users/vincentc9002/model-prediction/data/odds/tennis/2026-09-23/polymarket_snapshots.jsonl</t>
        </is>
      </c>
      <c r="DF696" s="24" t="inlineStr">
        <is>
          <t>999462:2026-09-23T04:38:14.718041Z</t>
        </is>
      </c>
      <c r="DG696" s="24" t="n"/>
      <c r="DH696" s="24" t="n"/>
      <c r="DI696" s="24" t="n"/>
      <c r="DJ696" s="24" t="inlineStr">
        <is>
          <t>0.65035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"6c67e999d2a03612e30f4032c8e5e77e8becfbc79e05f4c8993e726b90d34d54", "away_team": "Sun Fajing", "event_id": "1001-2026:186146", "event_start_utc": "2026-09-23T05:30Z", "features": {"elo_p1_surface": 1461.7, "elo_p2_surface": 1468.3, "expected_games_p1": 12.87, "expected_games_p2": 12.71, "expected_total_games": 25.58, "history_matches": 11225, "min_player_matches": 11, "surface": "Hard"}, "historical_source_observation_times_verified": false, "home_team": "Bernard Tomic", "inference_inputs": {"code_sha256": {"features/elo_ratings.py": "8525faf022a6343c452286dbfeb17dbb043744c6bdabbe448b6b371216da439b", "models/tennis.py": "6c67e999d2a03612e30f4032c8e5e77e8becfbc79e05f4c8993e726b90d34d54"}, "overall_ratings": [1438.620581160791, 1481.221919804332], "players": ["Sun Fajing", "Bernard Tomic"], "sport": "TENNIS", "surface": "Hard", "surface_counts": [9, 24], "surface_ratings": [1461.7454284975893, 1468.3235147752318]}, "market_type": "moneyline", "model_version": "tennis-surface-elo-v1", "observed_at_utc": "2026-09-23T04:42:51.992084+00:00", "probabilities": {"away": 0.4591, "home": 0.5409}, "replay_scope": "Exact full-precision serving state and rounding; upstream historical observation times are not certified.", "schema": "coded-moneyline-replay-v1", "snapshot_hash": "4b6b0fc2733f4e2c26dc58fddc6822d1d6e1ee32c2ad8b025748cbcc9b1a8398", "sport": "TENNIS"}</t>
        </is>
      </c>
    </row>
    <row r="697" ht="36" customHeight="1">
      <c r="A697" s="24" t="inlineStr">
        <is>
          <t>4750f9893c6a4d9d</t>
        </is>
      </c>
      <c r="B697" s="24" t="inlineStr">
        <is>
          <t>2026-09-23T10:09:46.315666Z</t>
        </is>
      </c>
      <c r="C697" s="24" t="inlineStr">
        <is>
          <t>2026-09-23T12:00Z</t>
        </is>
      </c>
      <c r="D697" s="24" t="inlineStr">
        <is>
          <t>1009-2026:184094</t>
        </is>
      </c>
      <c r="E697" s="24" t="inlineStr">
        <is>
          <t>TENNIS</t>
        </is>
      </c>
      <c r="F697" s="24" t="inlineStr">
        <is>
          <t>Leylah Fernandez</t>
        </is>
      </c>
      <c r="G697" s="24" t="inlineStr">
        <is>
          <t>Alycia Parks</t>
        </is>
      </c>
      <c r="H697" s="24" t="inlineStr">
        <is>
          <t>moneyline</t>
        </is>
      </c>
      <c r="I697" s="24" t="inlineStr">
        <is>
          <t>away</t>
        </is>
      </c>
      <c r="J697" s="25" t="n"/>
      <c r="K697" s="24" t="inlineStr">
        <is>
          <t>polymarket_us</t>
        </is>
      </c>
      <c r="L697" s="26" t="n">
        <v>-317</v>
      </c>
      <c r="M697" s="27" t="n">
        <v>1.315457</v>
      </c>
      <c r="N697" s="28" t="n">
        <v>0.760192</v>
      </c>
      <c r="O697" s="28" t="n">
        <v>0.6546999999999999</v>
      </c>
      <c r="P697" s="28" t="n">
        <v>0.05</v>
      </c>
      <c r="Q697" s="28" t="n">
        <v>-0.105492</v>
      </c>
      <c r="R697" s="26" t="n">
        <v>0</v>
      </c>
      <c r="S697" s="29" t="n">
        <v>1</v>
      </c>
      <c r="T697" s="24" t="inlineStr">
        <is>
          <t>tennis-surface-elo-v1</t>
        </is>
      </c>
      <c r="U697" s="24" t="inlineStr">
        <is>
          <t>settled</t>
        </is>
      </c>
      <c r="V697" s="24" t="inlineStr">
        <is>
          <t>win</t>
        </is>
      </c>
      <c r="W697" s="26" t="n">
        <v>1</v>
      </c>
      <c r="X697" s="26" t="n">
        <v>0</v>
      </c>
      <c r="Y697" s="25" t="n"/>
      <c r="Z697" s="26" t="n">
        <v>-317</v>
      </c>
      <c r="AA697" s="28" t="n">
        <v>0.76</v>
      </c>
      <c r="AB697" s="28" t="n">
        <v>-0.000192</v>
      </c>
      <c r="AC697" s="30" t="n">
        <v>0.3155</v>
      </c>
      <c r="AD697" s="24" t="inlineStr">
        <is>
          <t>2026-09-23T16:05:43.450067Z</t>
        </is>
      </c>
      <c r="AE697" s="31" t="inlineStr">
        <is>
          <t>Surface-blended Elo on Hard: Leylah Fernandez p=0.655 vs Alycia Parks. Executable ask 0.7600 (aec-wta-alypar-leyfer-2026-09-22).</t>
        </is>
      </c>
      <c r="AF697" s="31" t="inlineStr">
        <is>
          <t>Surface-blended Elo model; singles only, WTA+ATP market coverage, not yet locked-holdout qualified -- promoted by explicit operator directive, not genuine walk-forward validation.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Leylah Fernandez</t>
        </is>
      </c>
      <c r="AQ697" s="24" t="inlineStr">
        <is>
          <t>Leylah Fernandez</t>
        </is>
      </c>
      <c r="AR697" s="24" t="inlineStr">
        <is>
          <t>Leylah Fernandez</t>
        </is>
      </c>
      <c r="AS697" s="24" t="inlineStr">
        <is>
          <t>Alycia Parks</t>
        </is>
      </c>
      <c r="AT697" s="24" t="inlineStr">
        <is>
          <t>Alycia Parks</t>
        </is>
      </c>
      <c r="AU697" s="24" t="inlineStr">
        <is>
          <t>Alycia Parks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6c67e999d2a03612e30f4032c8e5e77e8becfbc79e05f4c8993e726b90d34d54</t>
        </is>
      </c>
      <c r="BB697" s="24" t="inlineStr">
        <is>
          <t>surface_blended_elo</t>
        </is>
      </c>
      <c r="BC697" s="24" t="inlineStr">
        <is>
          <t>tennis-surface-elo-v1</t>
        </is>
      </c>
      <c r="BD697" s="24" t="inlineStr">
        <is>
          <t>6c67e999d2a03612e30f4032c8e5e77e8becfbc79e05f4c8993e726b90d34d54</t>
        </is>
      </c>
      <c r="BE697" s="24" t="inlineStr">
        <is>
          <t>tennis-surface-elo-v1</t>
        </is>
      </c>
      <c r="BF697" s="24" t="inlineStr">
        <is>
          <t>1</t>
        </is>
      </c>
      <c r="BG697" s="24" t="inlineStr">
        <is>
          <t>6c67e999d2a03612e30f4032c8e5e77e8becfbc79e05f4c8993e726b90d34d54</t>
        </is>
      </c>
      <c r="BH697" s="24" t="inlineStr">
        <is>
          <t>2026-09-22T12:28:52.560501Z</t>
        </is>
      </c>
      <c r="BI697" s="24" t="inlineStr">
        <is>
          <t>["same_event","same_team_same_day","same_league_same_day"]</t>
        </is>
      </c>
      <c r="BJ697" s="25" t="n"/>
      <c r="BK697" s="26" t="n">
        <v>-317</v>
      </c>
      <c r="BL697" s="27" t="n">
        <v>1.315457</v>
      </c>
      <c r="BM697" s="28" t="n">
        <v>0.760192</v>
      </c>
      <c r="BN697" s="28" t="n"/>
      <c r="BO697" s="28" t="n"/>
      <c r="BP697" s="25" t="n"/>
      <c r="BQ697" s="27" t="n">
        <v>1.315457</v>
      </c>
      <c r="BR697" s="28" t="n">
        <v>0.76</v>
      </c>
      <c r="BS697" s="28" t="n"/>
      <c r="BT697" s="28" t="n"/>
      <c r="BU697" s="25" t="n"/>
      <c r="BV697" s="29" t="n"/>
      <c r="BW697" s="24" t="n"/>
      <c r="BX697" s="30" t="n">
        <v>1</v>
      </c>
      <c r="BY697" s="27" t="n">
        <v>0.315457</v>
      </c>
      <c r="BZ697" s="24" t="inlineStr">
        <is>
          <t>2026-09-23T16:05:43.450067Z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inlineStr">
        <is>
          <t>4b062df940902bc3010757d449362a40f47404bdd8ffad5a4e4873aa59886cde</t>
        </is>
      </c>
      <c r="DE697" s="24" t="inlineStr">
        <is>
          <t>/Users/vincentc9002/model-prediction/data/odds/tennis/2026-09-23/polymarket_snapshots.jsonl</t>
        </is>
      </c>
      <c r="DF697" s="24" t="inlineStr">
        <is>
          <t>997925:2026-09-22T12:28:52.560501Z</t>
        </is>
      </c>
      <c r="DG697" s="24" t="n"/>
      <c r="DH697" s="24" t="n"/>
      <c r="DI697" s="24" t="n"/>
      <c r="DJ697" s="24" t="inlineStr">
        <is>
          <t>0.760192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"6c67e999d2a03612e30f4032c8e5e77e8becfbc79e05f4c8993e726b90d34d54", "away_team": "Leylah Fernandez", "event_id": "1009-2026:184094", "event_start_utc": "2026-09-23T12:00Z", "features": {"elo_p1_surface": 1690.1, "elo_p2_surface": 1580.1, "expected_games_p1": 13.4, "expected_games_p2": 8.65, "expected_total_games": 22.05, "history_matches": 16290, "min_player_matches": 149, "surface": "Hard"}, "historical_source_observation_times_verified": false, "home_team": "Alycia Parks", "inference_inputs": {"code_sha256": {"features/elo_ratings.py": "8525faf022a6343c452286dbfeb17dbb043744c6bdabbe448b6b371216da439b", "models/tennis.py": "6c67e999d2a03612e30f4032c8e5e77e8becfbc79e05f4c8993e726b90d34d54"}, "overall_ratings": [1683.1977356081447, 1567.7474589157468], "players": ["Leylah Fernandez", "Alycia Parks"], "sport": "TENNIS", "surface": "Hard", "surface_counts": [116, 143], "surface_ratings": [1690.145557831183, 1580.1476119149731]}, "market_type": "moneyline", "model_version": "tennis-surface-elo-v1", "observed_at_utc": "2026-09-23T10:09:44.545407+00:00", "probabilities": {"away": 0.6547, "home": 0.3453}, "replay_scope": "Exact full-precision serving state and rounding; upstream historical observation times are not certified.", "schema": "coded-moneyline-replay-v1", "snapshot_hash": "bccdc7b82e2396e8119f7eba1807314b396b213e2477d33c96383ca42a7762eb", "sport": "TENNIS"}</t>
        </is>
      </c>
    </row>
    <row r="698" ht="36" customHeight="1">
      <c r="A698" s="24" t="inlineStr">
        <is>
          <t>90cf8e8216454115</t>
        </is>
      </c>
      <c r="B698" s="24" t="inlineStr">
        <is>
          <t>2026-09-23T10:09:46.315666Z</t>
        </is>
      </c>
      <c r="C698" s="24" t="inlineStr">
        <is>
          <t>2026-09-23T11:30Z</t>
        </is>
      </c>
      <c r="D698" s="24" t="inlineStr">
        <is>
          <t>1077-2026:184001</t>
        </is>
      </c>
      <c r="E698" s="24" t="inlineStr">
        <is>
          <t>TENNIS</t>
        </is>
      </c>
      <c r="F698" s="24" t="inlineStr">
        <is>
          <t>Ksenia Zaytseva</t>
        </is>
      </c>
      <c r="G698" s="24" t="inlineStr">
        <is>
          <t>Elena Pridankina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polymarket_us</t>
        </is>
      </c>
      <c r="L698" s="26" t="n">
        <v>-170</v>
      </c>
      <c r="M698" s="27" t="n">
        <v>1.588235</v>
      </c>
      <c r="N698" s="28" t="n">
        <v>0.62963</v>
      </c>
      <c r="O698" s="28" t="n">
        <v>0.6388</v>
      </c>
      <c r="P698" s="28" t="n">
        <v>0.05</v>
      </c>
      <c r="Q698" s="28" t="n">
        <v>0.009169999999999999</v>
      </c>
      <c r="R698" s="26" t="n">
        <v>25</v>
      </c>
      <c r="S698" s="29" t="n">
        <v>1</v>
      </c>
      <c r="T698" s="24" t="inlineStr">
        <is>
          <t>tennis-surface-elo-v1</t>
        </is>
      </c>
      <c r="U698" s="24" t="inlineStr">
        <is>
          <t>settled</t>
        </is>
      </c>
      <c r="V698" s="24" t="inlineStr">
        <is>
          <t>loss</t>
        </is>
      </c>
      <c r="W698" s="26" t="n">
        <v>1</v>
      </c>
      <c r="X698" s="26" t="n">
        <v>0</v>
      </c>
      <c r="Y698" s="25" t="n"/>
      <c r="Z698" s="26" t="n">
        <v>-170</v>
      </c>
      <c r="AA698" s="28" t="n">
        <v>0.63</v>
      </c>
      <c r="AB698" s="28" t="n">
        <v>0.00037</v>
      </c>
      <c r="AC698" s="30" t="n">
        <v>-1</v>
      </c>
      <c r="AD698" s="24" t="inlineStr">
        <is>
          <t>2026-09-23T16:05:46.746794Z</t>
        </is>
      </c>
      <c r="AE698" s="31" t="inlineStr">
        <is>
          <t>Surface-blended Elo on Hard: Ksenia Zaytseva p=0.361 vs Elena Pridankina. Executable ask 0.6300 (aec-wta-elepri-ksenza-2026-09-23).</t>
        </is>
      </c>
      <c r="AF698" s="31" t="inlineStr">
        <is>
          <t>Surface-blended Elo model; singles only, WTA+ATP market coverage, not yet locked-holdout qualified -- promoted by explicit operator directive, not genuine walk-forward validation.</t>
        </is>
      </c>
      <c r="AG698" s="24" t="inlineStr">
        <is>
          <t>review_required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Ksenia Zaytseva</t>
        </is>
      </c>
      <c r="AQ698" s="24" t="inlineStr">
        <is>
          <t>Ksenia Zaytseva</t>
        </is>
      </c>
      <c r="AR698" s="24" t="inlineStr">
        <is>
          <t>Ksenia Zaytseva</t>
        </is>
      </c>
      <c r="AS698" s="24" t="inlineStr">
        <is>
          <t>Elena Pridankina</t>
        </is>
      </c>
      <c r="AT698" s="24" t="inlineStr">
        <is>
          <t>Elena Pridankina</t>
        </is>
      </c>
      <c r="AU698" s="24" t="inlineStr">
        <is>
          <t>Elena Pridankina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6c67e999d2a03612e30f4032c8e5e77e8becfbc79e05f4c8993e726b90d34d54</t>
        </is>
      </c>
      <c r="BB698" s="24" t="inlineStr">
        <is>
          <t>surface_blended_elo</t>
        </is>
      </c>
      <c r="BC698" s="24" t="inlineStr">
        <is>
          <t>tennis-surface-elo-v1</t>
        </is>
      </c>
      <c r="BD698" s="24" t="inlineStr">
        <is>
          <t>6c67e999d2a03612e30f4032c8e5e77e8becfbc79e05f4c8993e726b90d34d54</t>
        </is>
      </c>
      <c r="BE698" s="24" t="inlineStr">
        <is>
          <t>tennis-surface-elo-v1</t>
        </is>
      </c>
      <c r="BF698" s="24" t="inlineStr">
        <is>
          <t>1</t>
        </is>
      </c>
      <c r="BG698" s="24" t="inlineStr">
        <is>
          <t>6c67e999d2a03612e30f4032c8e5e77e8becfbc79e05f4c8993e726b90d34d54</t>
        </is>
      </c>
      <c r="BH698" s="24" t="inlineStr">
        <is>
          <t>2026-09-23T04:37:17.838506Z</t>
        </is>
      </c>
      <c r="BI698" s="24" t="inlineStr">
        <is>
          <t>["same_event","same_team_same_day","same_league_same_day"]</t>
        </is>
      </c>
      <c r="BJ698" s="25" t="n"/>
      <c r="BK698" s="26" t="n">
        <v>-170</v>
      </c>
      <c r="BL698" s="27" t="n">
        <v>1.588235</v>
      </c>
      <c r="BM698" s="28" t="n">
        <v>0.62963</v>
      </c>
      <c r="BN698" s="28" t="n"/>
      <c r="BO698" s="28" t="n"/>
      <c r="BP698" s="25" t="n"/>
      <c r="BQ698" s="27" t="n">
        <v>1.588235</v>
      </c>
      <c r="BR698" s="28" t="n">
        <v>0.63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-1</v>
      </c>
      <c r="BZ698" s="24" t="inlineStr">
        <is>
          <t>2026-09-23T16:05:46.746794Z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inlineStr">
        <is>
          <t>e45e7e30346b55ec71b81ccd2d16dbd01b47e57f3189d7033610c9e0d6a0314a</t>
        </is>
      </c>
      <c r="DE698" s="24" t="inlineStr">
        <is>
          <t>/Users/vincentc9002/model-prediction/data/odds/tennis/2026-09-23/polymarket_snapshots.jsonl</t>
        </is>
      </c>
      <c r="DF698" s="24" t="inlineStr">
        <is>
          <t>1002135:2026-09-23T04:37:17.838506Z</t>
        </is>
      </c>
      <c r="DG698" s="24" t="n"/>
      <c r="DH698" s="24" t="n"/>
      <c r="DI698" s="24" t="n"/>
      <c r="DJ698" s="24" t="inlineStr">
        <is>
          <t>0.62963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"6c67e999d2a03612e30f4032c8e5e77e8becfbc79e05f4c8993e726b90d34d54", "away_team": "Ksenia Zaytseva", "event_id": "1077-2026:184001", "event_start_utc": "2026-09-23T11:30Z", "features": {"elo_p1_surface": 1489.0, "elo_p2_surface": 1582.5, "expected_games_p1": 9.69, "expected_games_p2": 13.29, "expected_total_games": 22.98, "history_matches": 16290, "min_player_matches": 6,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[1489.454449011527, 1601.9310481927007], "players": ["Ksenia Zaytseva", "Elena Pridankina"], "sport": "TENNIS", "surface": "Hard", "surface_counts": [6, 68], "surface_ratings": [1488.9580314182022, 1582.4748832341113]}, "market_type": "moneyline", "model_version": "tennis-surface-elo-v1", "observed_at_utc": "2026-09-23T10:09:44.545407+00:00", "probabilities": {"away": 0.3612, "home": 0.6388}, "replay_scope": "Exact full-precision serving state and rounding; upstream historical observation times are not certified.", "schema": "coded-moneyline-replay-v1", "snapshot_hash": "7bf247fdf81dee8535b8d5aab1635f896e1c8c54e1a695b0b562e348fb3c2c36", "sport": "TENNIS"}</t>
        </is>
      </c>
    </row>
    <row r="699" ht="36" customHeight="1">
      <c r="A699" s="24" t="inlineStr">
        <is>
          <t>255b4409ad024712</t>
        </is>
      </c>
      <c r="B699" s="24" t="inlineStr">
        <is>
          <t>2026-09-23T16:15:17.041172Z</t>
        </is>
      </c>
      <c r="C699" s="24" t="inlineStr">
        <is>
          <t>2026-09-23T18:00Z</t>
        </is>
      </c>
      <c r="D699" s="24" t="inlineStr">
        <is>
          <t>1019-2026:183876</t>
        </is>
      </c>
      <c r="E699" s="24" t="inlineStr">
        <is>
          <t>TENNIS</t>
        </is>
      </c>
      <c r="F699" s="24" t="inlineStr">
        <is>
          <t>Mia Ristic</t>
        </is>
      </c>
      <c r="G699" s="24" t="inlineStr">
        <is>
          <t>Noemi Basiletti</t>
        </is>
      </c>
      <c r="H699" s="24" t="inlineStr">
        <is>
          <t>moneyline</t>
        </is>
      </c>
      <c r="I699" s="24" t="inlineStr">
        <is>
          <t>home</t>
        </is>
      </c>
      <c r="J699" s="25" t="n"/>
      <c r="K699" s="24" t="inlineStr">
        <is>
          <t>polymarket_us</t>
        </is>
      </c>
      <c r="L699" s="26" t="n">
        <v>178</v>
      </c>
      <c r="M699" s="27" t="n">
        <v>2.78</v>
      </c>
      <c r="N699" s="28" t="n">
        <v>0.359712</v>
      </c>
      <c r="O699" s="28" t="n">
        <v>0.533</v>
      </c>
      <c r="P699" s="28" t="n">
        <v>0.05</v>
      </c>
      <c r="Q699" s="28" t="n">
        <v>0.173288</v>
      </c>
      <c r="R699" s="26" t="n">
        <v>100</v>
      </c>
      <c r="S699" s="29" t="n">
        <v>1.75</v>
      </c>
      <c r="T699" s="24" t="inlineStr">
        <is>
          <t>tennis-surface-elo-v1</t>
        </is>
      </c>
      <c r="U699" s="24" t="inlineStr">
        <is>
          <t>settled</t>
        </is>
      </c>
      <c r="V699" s="24" t="inlineStr">
        <is>
          <t>loss</t>
        </is>
      </c>
      <c r="W699" s="26" t="n">
        <v>1</v>
      </c>
      <c r="X699" s="26" t="n">
        <v>0</v>
      </c>
      <c r="Y699" s="25" t="n"/>
      <c r="Z699" s="26" t="n">
        <v>178</v>
      </c>
      <c r="AA699" s="28" t="n">
        <v>0.36</v>
      </c>
      <c r="AB699" s="28" t="n">
        <v>0.000288</v>
      </c>
      <c r="AC699" s="30" t="n">
        <v>-1.75</v>
      </c>
      <c r="AD699" s="24" t="inlineStr">
        <is>
          <t>2026-09-23T22:00:33.504744Z</t>
        </is>
      </c>
      <c r="AE699" s="31" t="inlineStr">
        <is>
          <t>Surface-blended Elo on Hard: Mia Ristic p=0.467 vs Noemi Basiletti. Executable ask 0.3600 (aec-wta-noebas-miaris-2026-09-23).</t>
        </is>
      </c>
      <c r="AF699" s="31" t="inlineStr">
        <is>
          <t>Surface-blended Elo model; singles only, WTA+ATP market coverage, not yet locked-holdout qualified -- promoted by explicit operator directive, not genuine walk-forward validation.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paper_call</t>
        </is>
      </c>
      <c r="AL699" s="26" t="n">
        <v>4</v>
      </c>
      <c r="AM699" s="24" t="inlineStr">
        <is>
          <t>RESEARCH_OBSERVATION</t>
        </is>
      </c>
      <c r="AN699" s="24" t="inlineStr">
        <is>
          <t>CALL</t>
        </is>
      </c>
      <c r="AO699" s="24" t="inlineStr">
        <is>
          <t>PAPER_CALL_LOW_EDGE</t>
        </is>
      </c>
      <c r="AP699" s="24" t="inlineStr">
        <is>
          <t>Mia Ristic</t>
        </is>
      </c>
      <c r="AQ699" s="24" t="inlineStr">
        <is>
          <t>Mia Ristic</t>
        </is>
      </c>
      <c r="AR699" s="24" t="inlineStr">
        <is>
          <t>Mia Ristic</t>
        </is>
      </c>
      <c r="AS699" s="24" t="inlineStr">
        <is>
          <t>Noemi Basiletti</t>
        </is>
      </c>
      <c r="AT699" s="24" t="inlineStr">
        <is>
          <t>Noemi Basiletti</t>
        </is>
      </c>
      <c r="AU699" s="24" t="inlineStr">
        <is>
          <t>Noemi Basiletti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6c67e999d2a03612e30f4032c8e5e77e8becfbc79e05f4c8993e726b90d34d54</t>
        </is>
      </c>
      <c r="BB699" s="24" t="inlineStr">
        <is>
          <t>surface_blended_elo</t>
        </is>
      </c>
      <c r="BC699" s="24" t="inlineStr">
        <is>
          <t>tennis-surface-elo-v1</t>
        </is>
      </c>
      <c r="BD699" s="24" t="inlineStr">
        <is>
          <t>6c67e999d2a03612e30f4032c8e5e77e8becfbc79e05f4c8993e726b90d34d54</t>
        </is>
      </c>
      <c r="BE699" s="24" t="inlineStr">
        <is>
          <t>tennis-surface-elo-v1</t>
        </is>
      </c>
      <c r="BF699" s="24" t="inlineStr">
        <is>
          <t>1</t>
        </is>
      </c>
      <c r="BG699" s="24" t="inlineStr">
        <is>
          <t>6c67e999d2a03612e30f4032c8e5e77e8becfbc79e05f4c8993e726b90d34d54</t>
        </is>
      </c>
      <c r="BH699" s="24" t="inlineStr">
        <is>
          <t>2026-09-22T12:28:52.572400Z</t>
        </is>
      </c>
      <c r="BI699" s="24" t="inlineStr">
        <is>
          <t>["same_event","same_team_same_day","same_league_same_day"]</t>
        </is>
      </c>
      <c r="BJ699" s="25" t="n"/>
      <c r="BK699" s="26" t="n">
        <v>178</v>
      </c>
      <c r="BL699" s="27" t="n">
        <v>2.78</v>
      </c>
      <c r="BM699" s="28" t="n">
        <v>0.359712</v>
      </c>
      <c r="BN699" s="28" t="n"/>
      <c r="BO699" s="28" t="n"/>
      <c r="BP699" s="25" t="n"/>
      <c r="BQ699" s="27" t="n">
        <v>2.78</v>
      </c>
      <c r="BR699" s="28" t="n">
        <v>0.36</v>
      </c>
      <c r="BS699" s="28" t="n"/>
      <c r="BT699" s="28" t="n"/>
      <c r="BU699" s="25" t="n"/>
      <c r="BV699" s="29" t="n"/>
      <c r="BW699" s="24" t="n"/>
      <c r="BX699" s="30" t="n">
        <v>1</v>
      </c>
      <c r="BY699" s="27" t="n">
        <v>-1</v>
      </c>
      <c r="BZ699" s="24" t="inlineStr">
        <is>
          <t>2026-09-23T22:00:33.504744Z</t>
        </is>
      </c>
      <c r="CA699" s="31" t="inlineStr">
        <is>
          <t>fixed one-unit hypothetical scoring; no real exposure or execution</t>
        </is>
      </c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inlineStr">
        <is>
          <t>409cb5546451e3f6a7d833bef5725db68ed4bb4d21d18bc9b2469b2917b0f600</t>
        </is>
      </c>
      <c r="DE699" s="24" t="inlineStr">
        <is>
          <t>/Users/vincentc9002/model-prediction/data/odds/tennis/2026-09-23/polymarket_snapshots.jsonl</t>
        </is>
      </c>
      <c r="DF699" s="24" t="inlineStr">
        <is>
          <t>991378:2026-09-22T12:28:52.572400Z</t>
        </is>
      </c>
      <c r="DG699" s="24" t="n"/>
      <c r="DH699" s="24" t="n"/>
      <c r="DI699" s="24" t="n"/>
      <c r="DJ699" s="24" t="inlineStr">
        <is>
          <t>0.359712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"6c67e999d2a03612e30f4032c8e5e77e8becfbc79e05f4c8993e726b90d34d54", "away_team": "Mia Ristic", "event_id": "1019-2026:183876", "event_start_utc": "2026-09-23T18:00Z", "features": {"elo_p1_surface": 1525.6, "elo_p2_surface": 1548.1, "expected_games_p1": 12.0, "expected_games_p2": 12.7, "expected_total_games": 24.7, "history_matches": 16290, "min_player_matches": 23, "surface": "Hard"}, "historical_source_observation_times_verified": false, "home_team": "Noemi Basiletti", "inference_inputs": {"code_sha256": {"features/elo_ratings.py": "8525faf022a6343c452286dbfeb17dbb043744c6bdabbe448b6b371216da439b", "models/tennis.py": "6c67e999d2a03612e30f4032c8e5e77e8becfbc79e05f4c8993e726b90d34d54"}, "overall_ratings": [1539.8481436206248, 1558.6639216673366], "players": ["Mia Ristic", "Noemi Basiletti"], "sport": "TENNIS", "surface": "Hard", "surface_counts": [37, 15], "surface_ratings": [1525.57570087497, 1548.084401713499]}, "market_type": "moneyline", "model_version": "tennis-surface-elo-v1", "observed_at_utc": "2026-09-23T16:15:14.939321+00:00", "probabilities": {"away": 0.467, "home": 0.533}, "replay_scope": "Exact full-precision serving state and rounding; upstream historical observation times are not certified.", "schema": "coded-moneyline-replay-v1", "snapshot_hash": "733a9149e69639a828ed7a9c92aec398df5aefacbbb971e5db9e8034d7a9777b", "sport": "TENNIS"}</t>
        </is>
      </c>
    </row>
    <row r="700" ht="36" customHeight="1">
      <c r="A700" s="24" t="inlineStr">
        <is>
          <t>23a96f3634614e1f</t>
        </is>
      </c>
      <c r="B700" s="24" t="inlineStr">
        <is>
          <t>2026-09-23T22:33:35.449340Z</t>
        </is>
      </c>
      <c r="C700" s="24" t="inlineStr">
        <is>
          <t>2026-09-24T03:00Z</t>
        </is>
      </c>
      <c r="D700" s="24" t="inlineStr">
        <is>
          <t>811-2026:184050</t>
        </is>
      </c>
      <c r="E700" s="24" t="inlineStr">
        <is>
          <t>TENNIS</t>
        </is>
      </c>
      <c r="F700" s="24" t="inlineStr">
        <is>
          <t>Kimberly Birrell</t>
        </is>
      </c>
      <c r="G700" s="24" t="inlineStr">
        <is>
          <t>Ma YeXin</t>
        </is>
      </c>
      <c r="H700" s="24" t="inlineStr">
        <is>
          <t>moneyline</t>
        </is>
      </c>
      <c r="I700" s="24" t="inlineStr">
        <is>
          <t>away</t>
        </is>
      </c>
      <c r="J700" s="25" t="n"/>
      <c r="K700" s="24" t="inlineStr">
        <is>
          <t>polymarket_us</t>
        </is>
      </c>
      <c r="L700" s="26" t="n">
        <v>133</v>
      </c>
      <c r="M700" s="27" t="n">
        <v>2.33</v>
      </c>
      <c r="N700" s="28" t="n">
        <v>0.429185</v>
      </c>
      <c r="O700" s="28" t="n">
        <v>0.6398</v>
      </c>
      <c r="P700" s="28" t="n">
        <v>0.05</v>
      </c>
      <c r="Q700" s="28" t="n">
        <v>0.210615</v>
      </c>
      <c r="R700" s="26" t="n">
        <v>100</v>
      </c>
      <c r="S700" s="29" t="n">
        <v>2</v>
      </c>
      <c r="T700" s="24" t="inlineStr">
        <is>
          <t>tennis-surface-elo-v1</t>
        </is>
      </c>
      <c r="U700" s="24" t="inlineStr">
        <is>
          <t>settled</t>
        </is>
      </c>
      <c r="V700" s="24" t="inlineStr">
        <is>
          <t>win</t>
        </is>
      </c>
      <c r="W700" s="26" t="n">
        <v>1</v>
      </c>
      <c r="X700" s="26" t="n">
        <v>0</v>
      </c>
      <c r="Y700" s="25" t="n"/>
      <c r="Z700" s="26" t="n">
        <v>133</v>
      </c>
      <c r="AA700" s="28" t="n">
        <v>0.43</v>
      </c>
      <c r="AB700" s="28" t="n">
        <v>0.000815</v>
      </c>
      <c r="AC700" s="30" t="n">
        <v>2.66</v>
      </c>
      <c r="AD700" s="24" t="inlineStr">
        <is>
          <t>2026-09-24T10:00:22.238984Z</t>
        </is>
      </c>
      <c r="AE700" s="31" t="inlineStr">
        <is>
          <t>Surface-blended Elo on Hard: Kimberly Birrell p=0.640 vs Ma YeXin. Executable ask 0.4300 (aec-wta-yexma-kimbir-2026-09-23).</t>
        </is>
      </c>
      <c r="AF700" s="31" t="inlineStr">
        <is>
          <t>Surface-blended Elo model; singles only, WTA+ATP market coverage, not yet locked-holdout qualified -- promoted by explicit operator directive, not genuine walk-forward validation.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PAPER_CALL_STALE_DATA</t>
        </is>
      </c>
      <c r="AP700" s="24" t="inlineStr">
        <is>
          <t>Kimberly Birrell</t>
        </is>
      </c>
      <c r="AQ700" s="24" t="inlineStr">
        <is>
          <t>Kimberly Birrell</t>
        </is>
      </c>
      <c r="AR700" s="24" t="inlineStr">
        <is>
          <t>Kimberly Birrell</t>
        </is>
      </c>
      <c r="AS700" s="24" t="inlineStr">
        <is>
          <t>Ma YeXin</t>
        </is>
      </c>
      <c r="AT700" s="24" t="inlineStr">
        <is>
          <t>Ma YeXin</t>
        </is>
      </c>
      <c r="AU700" s="24" t="inlineStr">
        <is>
          <t>Ma YeXin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6c67e999d2a03612e30f4032c8e5e77e8becfbc79e05f4c8993e726b90d34d54</t>
        </is>
      </c>
      <c r="BB700" s="24" t="inlineStr">
        <is>
          <t>surface_blended_elo</t>
        </is>
      </c>
      <c r="BC700" s="24" t="inlineStr">
        <is>
          <t>tennis-surface-elo-v1</t>
        </is>
      </c>
      <c r="BD700" s="24" t="inlineStr">
        <is>
          <t>6c67e999d2a03612e30f4032c8e5e77e8becfbc79e05f4c8993e726b90d34d54</t>
        </is>
      </c>
      <c r="BE700" s="24" t="inlineStr">
        <is>
          <t>tennis-surface-elo-v1</t>
        </is>
      </c>
      <c r="BF700" s="24" t="inlineStr">
        <is>
          <t>1</t>
        </is>
      </c>
      <c r="BG700" s="24" t="inlineStr">
        <is>
          <t>6c67e999d2a03612e30f4032c8e5e77e8becfbc79e05f4c8993e726b90d34d54</t>
        </is>
      </c>
      <c r="BH700" s="24" t="inlineStr">
        <is>
          <t>2026-09-22T12:28:52.561862Z</t>
        </is>
      </c>
      <c r="BI700" s="24" t="inlineStr">
        <is>
          <t>["same_event","same_team_same_day","same_league_same_day"]</t>
        </is>
      </c>
      <c r="BJ700" s="25" t="n"/>
      <c r="BK700" s="26" t="n">
        <v>133</v>
      </c>
      <c r="BL700" s="27" t="n">
        <v>2.33</v>
      </c>
      <c r="BM700" s="28" t="n">
        <v>0.429185</v>
      </c>
      <c r="BN700" s="28" t="n"/>
      <c r="BO700" s="28" t="n"/>
      <c r="BP700" s="25" t="n"/>
      <c r="BQ700" s="27" t="n">
        <v>2.33</v>
      </c>
      <c r="BR700" s="28" t="n">
        <v>0.43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1.329998</v>
      </c>
      <c r="BZ700" s="24" t="inlineStr">
        <is>
          <t>2026-09-24T10:00:22.238984Z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inlineStr">
        <is>
          <t>c8addfcfd3afdb5a3cd0c8f633c863a18e2f47b0ef116165ebe33c11b8a9c331</t>
        </is>
      </c>
      <c r="DE700" s="24" t="inlineStr">
        <is>
          <t>/Users/vincentc9002/model-prediction/data/odds/tennis/2026-09-23/polymarket_snapshots.jsonl</t>
        </is>
      </c>
      <c r="DF700" s="24" t="inlineStr">
        <is>
          <t>998899:2026-09-22T12:28:52.561862Z</t>
        </is>
      </c>
      <c r="DG700" s="24" t="n"/>
      <c r="DH700" s="24" t="n"/>
      <c r="DI700" s="24" t="n"/>
      <c r="DJ700" s="24" t="inlineStr">
        <is>
          <t>0.429185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"6c67e999d2a03612e30f4032c8e5e77e8becfbc79e05f4c8993e726b90d34d54", "away_team": "Kimberly Birrell", "event_id": "811-2026:184050", "event_start_utc": "2026-09-24T03:00Z", "features": {"elo_p1_surface": 1632.4, "elo_p2_surface": 1545.9, "expected_games_p1": 13.46, "expected_games_p2": 9.49, "expected_total_games": 22.95, "history_matches": 16290, "min_player_matches": 48, "surface": "Hard"}, "historical_source_observation_times_verified": false, "home_team": "Ma YeXin", "inference_inputs": {"code_sha256": {"features/elo_ratings.py": "8525faf022a6343c452286dbfeb17dbb043744c6bdabbe448b6b371216da439b", "models/tennis.py": "6c67e999d2a03612e30f4032c8e5e77e8becfbc79e05f4c8993e726b90d34d54"}, "overall_ratings": [1632.376288885794, 1509.8603498748705], "players": ["Kimberly Birrell", "Ma YeXin"], "sport": "TENNIS", "surface": "Hard", "surface_counts": [110, 43], "surface_ratings": [1632.3883432492573, 1545.9031917579243]}, "market_type": "moneyline", "model_version": "tennis-surface-elo-v1", "observed_at_utc": "2026-09-23T22:33:33.649245+00:00", "probabilities": {"away": 0.6398, "home": 0.3602}, "replay_scope": "Exact full-precision serving state and rounding; upstream historical observation times are not certified.", "schema": "coded-moneyline-replay-v1", "snapshot_hash": "09a647d6d75327384b003f623161d5b7dd2c06c638fd866ade231f2b63e8351c", "sport": "TENNIS"}</t>
        </is>
      </c>
    </row>
    <row r="701" ht="36" customHeight="1">
      <c r="A701" s="24" t="inlineStr">
        <is>
          <t>a3cbd064bfa34cee</t>
        </is>
      </c>
      <c r="B701" s="24" t="inlineStr">
        <is>
          <t>2026-09-24T04:42:58.350199Z</t>
        </is>
      </c>
      <c r="C701" s="24" t="inlineStr">
        <is>
          <t>2026-09-24T06:30Z</t>
        </is>
      </c>
      <c r="D701" s="24" t="inlineStr">
        <is>
          <t>1009-2026:184097</t>
        </is>
      </c>
      <c r="E701" s="24" t="inlineStr">
        <is>
          <t>TENNIS</t>
        </is>
      </c>
      <c r="F701" s="24" t="inlineStr">
        <is>
          <t>Joanna Garland</t>
        </is>
      </c>
      <c r="G701" s="24" t="inlineStr">
        <is>
          <t>Wang Xinyu</t>
        </is>
      </c>
      <c r="H701" s="24" t="inlineStr">
        <is>
          <t>moneyline</t>
        </is>
      </c>
      <c r="I701" s="24" t="inlineStr">
        <is>
          <t>home</t>
        </is>
      </c>
      <c r="J701" s="25" t="n"/>
      <c r="K701" s="24" t="inlineStr">
        <is>
          <t>polymarket_us</t>
        </is>
      </c>
      <c r="L701" s="26" t="n">
        <v>-335</v>
      </c>
      <c r="M701" s="27" t="n">
        <v>1.298507</v>
      </c>
      <c r="N701" s="28" t="n">
        <v>0.770115</v>
      </c>
      <c r="O701" s="28" t="n">
        <v>0.6071</v>
      </c>
      <c r="P701" s="28" t="n">
        <v>0.05</v>
      </c>
      <c r="Q701" s="28" t="n">
        <v>-0.163015</v>
      </c>
      <c r="R701" s="26" t="n">
        <v>0</v>
      </c>
      <c r="S701" s="29" t="n">
        <v>1</v>
      </c>
      <c r="T701" s="24" t="inlineStr">
        <is>
          <t>tennis-surface-elo-v1</t>
        </is>
      </c>
      <c r="U701" s="24" t="inlineStr">
        <is>
          <t>settled</t>
        </is>
      </c>
      <c r="V701" s="24" t="inlineStr">
        <is>
          <t>win</t>
        </is>
      </c>
      <c r="W701" s="26" t="n">
        <v>0</v>
      </c>
      <c r="X701" s="26" t="n">
        <v>1</v>
      </c>
      <c r="Y701" s="25" t="n"/>
      <c r="Z701" s="26" t="n"/>
      <c r="AA701" s="28" t="n"/>
      <c r="AB701" s="28" t="n"/>
      <c r="AC701" s="30" t="n">
        <v>0.2985</v>
      </c>
      <c r="AD701" s="24" t="inlineStr">
        <is>
          <t>2026-09-24T10:00:23.513305Z</t>
        </is>
      </c>
      <c r="AE701" s="31" t="inlineStr">
        <is>
          <t>Surface-blended Elo on Hard: Joanna Garland p=0.393 vs Wang Xinyu. Executable ask 0.7700 (aec-wta-xinwan-joagar-2026-09-22).</t>
        </is>
      </c>
      <c r="AF701" s="31" t="inlineStr">
        <is>
          <t>Surface-blended Elo model; singles only, WTA+ATP market coverage, not yet locked-holdout qualified -- promoted by explicit operator directive, not genuine walk-forward validation.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Joanna Garland</t>
        </is>
      </c>
      <c r="AQ701" s="24" t="inlineStr">
        <is>
          <t>Joanna Garland</t>
        </is>
      </c>
      <c r="AR701" s="24" t="inlineStr">
        <is>
          <t>Joanna Garland</t>
        </is>
      </c>
      <c r="AS701" s="24" t="inlineStr">
        <is>
          <t>Wang Xinyu</t>
        </is>
      </c>
      <c r="AT701" s="24" t="inlineStr">
        <is>
          <t>Wang Xinyu</t>
        </is>
      </c>
      <c r="AU701" s="24" t="inlineStr">
        <is>
          <t>Wang Xinyu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6c67e999d2a03612e30f4032c8e5e77e8becfbc79e05f4c8993e726b90d34d54</t>
        </is>
      </c>
      <c r="BB701" s="24" t="inlineStr">
        <is>
          <t>surface_blended_elo</t>
        </is>
      </c>
      <c r="BC701" s="24" t="inlineStr">
        <is>
          <t>tennis-surface-elo-v1</t>
        </is>
      </c>
      <c r="BD701" s="24" t="inlineStr">
        <is>
          <t>6c67e999d2a03612e30f4032c8e5e77e8becfbc79e05f4c8993e726b90d34d54</t>
        </is>
      </c>
      <c r="BE701" s="24" t="inlineStr">
        <is>
          <t>tennis-surface-elo-v1</t>
        </is>
      </c>
      <c r="BF701" s="24" t="inlineStr">
        <is>
          <t>1</t>
        </is>
      </c>
      <c r="BG701" s="24" t="inlineStr">
        <is>
          <t>6c67e999d2a03612e30f4032c8e5e77e8becfbc79e05f4c8993e726b90d34d54</t>
        </is>
      </c>
      <c r="BH701" s="24" t="inlineStr">
        <is>
          <t>2026-09-24T04:37:56.988955Z</t>
        </is>
      </c>
      <c r="BI701" s="24" t="inlineStr">
        <is>
          <t>["same_event","same_team_same_day","same_league_same_day"]</t>
        </is>
      </c>
      <c r="BJ701" s="25" t="n"/>
      <c r="BK701" s="26" t="n">
        <v>-335</v>
      </c>
      <c r="BL701" s="27" t="n">
        <v>1.298507</v>
      </c>
      <c r="BM701" s="28" t="n">
        <v>0.770115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>
        <v>1</v>
      </c>
      <c r="BY701" s="27" t="n">
        <v>0.298507</v>
      </c>
      <c r="BZ701" s="24" t="inlineStr">
        <is>
          <t>2026-09-24T10:00:23.513305Z</t>
        </is>
      </c>
      <c r="CA701" s="31" t="inlineStr">
        <is>
          <t>fixed one-unit hypothetical scoring; no real exposure or execution</t>
        </is>
      </c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inlineStr">
        <is>
          <t>161875aef1d6e628a397092a133ae82bb8281098941d96010bddd0616e98f670</t>
        </is>
      </c>
      <c r="DE701" s="24" t="inlineStr">
        <is>
          <t>/Users/vincentc9002/model-prediction/data/odds/tennis/2026-09-24/polymarket_snapshots.jsonl</t>
        </is>
      </c>
      <c r="DF701" s="24" t="inlineStr">
        <is>
          <t>998872:2026-09-24T04:37:56.988955Z</t>
        </is>
      </c>
      <c r="DG701" s="24" t="n"/>
      <c r="DH701" s="24" t="n"/>
      <c r="DI701" s="24" t="n"/>
      <c r="DJ701" s="24" t="inlineStr">
        <is>
          <t>0.770115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"6c67e999d2a03612e30f4032c8e5e77e8becfbc79e05f4c8993e726b90d34d54", "away_team": "Joanna Garland", "event_id": "1009-2026:184097", "event_start_utc": "2026-09-24T06:30Z", "features": {"elo_p1_surface": 1610.5, "elo_p2_surface": 1678.3, "expected_games_p1": 10.59, "expected_games_p2": 13.22, "expected_total_games": 23.81, "history_matches": 16310, "min_player_matches": 52, "surface": "Hard"}, "historical_source_observation_times_verified": false, "home_team": "Wang Xinyu", "inference_inputs": {"code_sha256": {"features/elo_ratings.py": "8525faf022a6343c452286dbfeb17dbb043744c6bdabbe448b6b371216da439b", "models/tennis.py": "6c67e999d2a03612e30f4032c8e5e77e8becfbc79e05f4c8993e726b90d34d54"}, "overall_ratings": [1591.7923578131354, 1681.0005098572901], "players": ["Joanna Garland", "Wang Xinyu"], "sport": "TENNIS", "surface": "Hard", "surface_counts": [40, 111], "surface_ratings": [1610.5422238476283, 1678.2586452879193]}, "market_type": "moneyline", "model_version": "tennis-surface-elo-v1", "observed_at_utc": "2026-09-24T04:42:57.431794+00:00", "probabilities": {"away": 0.3929, "home": 0.6071}, "replay_scope": "Exact full-precision serving state and rounding; upstream historical observation times are not certified.", "schema": "coded-moneyline-replay-v1", "snapshot_hash": "0ce5deb82f148efb46e5cab9bf6864e1784e41bcfa058b905d59d3345bc03530", "sport": "TENNIS"}</t>
        </is>
      </c>
    </row>
    <row r="702" ht="36" customHeight="1">
      <c r="A702" s="24" t="inlineStr">
        <is>
          <t>12038951e6544a34</t>
        </is>
      </c>
      <c r="B702" s="24" t="inlineStr">
        <is>
          <t>2026-09-24T04:42:58.350199Z</t>
        </is>
      </c>
      <c r="C702" s="24" t="inlineStr">
        <is>
          <t>2026-09-24T10:00Z</t>
        </is>
      </c>
      <c r="D702" s="24" t="inlineStr">
        <is>
          <t>1022-2026:183960</t>
        </is>
      </c>
      <c r="E702" s="24" t="inlineStr">
        <is>
          <t>TENNIS</t>
        </is>
      </c>
      <c r="F702" s="24" t="inlineStr">
        <is>
          <t>Mia Pohankova</t>
        </is>
      </c>
      <c r="G702" s="24" t="inlineStr">
        <is>
          <t>Veronika Podrez</t>
        </is>
      </c>
      <c r="H702" s="24" t="inlineStr">
        <is>
          <t>moneyline</t>
        </is>
      </c>
      <c r="I702" s="24" t="inlineStr">
        <is>
          <t>home</t>
        </is>
      </c>
      <c r="J702" s="25" t="n"/>
      <c r="K702" s="24" t="inlineStr">
        <is>
          <t>polymarket_us</t>
        </is>
      </c>
      <c r="L702" s="26" t="n">
        <v>223</v>
      </c>
      <c r="M702" s="27" t="n">
        <v>3.23</v>
      </c>
      <c r="N702" s="28" t="n">
        <v>0.309598</v>
      </c>
      <c r="O702" s="28" t="n">
        <v>0.5658</v>
      </c>
      <c r="P702" s="28" t="n">
        <v>0.05</v>
      </c>
      <c r="Q702" s="28" t="n">
        <v>0.256202</v>
      </c>
      <c r="R702" s="26" t="n">
        <v>100</v>
      </c>
      <c r="S702" s="29" t="n">
        <v>2</v>
      </c>
      <c r="T702" s="24" t="inlineStr">
        <is>
          <t>tennis-surface-elo-v1</t>
        </is>
      </c>
      <c r="U702" s="24" t="inlineStr">
        <is>
          <t>settled</t>
        </is>
      </c>
      <c r="V702" s="24" t="inlineStr">
        <is>
          <t>loss</t>
        </is>
      </c>
      <c r="W702" s="26" t="n">
        <v>1</v>
      </c>
      <c r="X702" s="26" t="n">
        <v>0</v>
      </c>
      <c r="Y702" s="25" t="n"/>
      <c r="Z702" s="26" t="n">
        <v>223</v>
      </c>
      <c r="AA702" s="28" t="n">
        <v>0.31</v>
      </c>
      <c r="AB702" s="28" t="n">
        <v>0.000402</v>
      </c>
      <c r="AC702" s="30" t="n">
        <v>-2</v>
      </c>
      <c r="AD702" s="24" t="inlineStr">
        <is>
          <t>2026-09-24T16:02:28.011076Z</t>
        </is>
      </c>
      <c r="AE702" s="31" t="inlineStr">
        <is>
          <t>Surface-blended Elo on Hard: Mia Pohankova p=0.434 vs Veronika Podrez. Executable ask 0.3100 (aec-wta-verpod-miapoh-2026-09-23).</t>
        </is>
      </c>
      <c r="AF702" s="31" t="inlineStr">
        <is>
          <t>Surface-blended Elo model; singles only, WTA+ATP market coverage, not yet locked-holdout qualified -- promoted by explicit operator directive, not genuine walk-forward validation.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Mia Pohankova</t>
        </is>
      </c>
      <c r="AQ702" s="24" t="inlineStr">
        <is>
          <t>Mia Pohankova</t>
        </is>
      </c>
      <c r="AR702" s="24" t="inlineStr">
        <is>
          <t>Mia Pohankova</t>
        </is>
      </c>
      <c r="AS702" s="24" t="inlineStr">
        <is>
          <t>Veronika Podrez</t>
        </is>
      </c>
      <c r="AT702" s="24" t="inlineStr">
        <is>
          <t>Veronika Podrez</t>
        </is>
      </c>
      <c r="AU702" s="24" t="inlineStr">
        <is>
          <t>Veronika Podrez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6c67e999d2a03612e30f4032c8e5e77e8becfbc79e05f4c8993e726b90d34d54</t>
        </is>
      </c>
      <c r="BB702" s="24" t="inlineStr">
        <is>
          <t>surface_blended_elo</t>
        </is>
      </c>
      <c r="BC702" s="24" t="inlineStr">
        <is>
          <t>tennis-surface-elo-v1</t>
        </is>
      </c>
      <c r="BD702" s="24" t="inlineStr">
        <is>
          <t>6c67e999d2a03612e30f4032c8e5e77e8becfbc79e05f4c8993e726b90d34d54</t>
        </is>
      </c>
      <c r="BE702" s="24" t="inlineStr">
        <is>
          <t>tennis-surface-elo-v1</t>
        </is>
      </c>
      <c r="BF702" s="24" t="inlineStr">
        <is>
          <t>1</t>
        </is>
      </c>
      <c r="BG702" s="24" t="inlineStr">
        <is>
          <t>6c67e999d2a03612e30f4032c8e5e77e8becfbc79e05f4c8993e726b90d34d54</t>
        </is>
      </c>
      <c r="BH702" s="24" t="inlineStr">
        <is>
          <t>2026-09-24T04:38:11.110045Z</t>
        </is>
      </c>
      <c r="BI702" s="24" t="inlineStr">
        <is>
          <t>["same_event","same_team_same_day","same_league_same_day"]</t>
        </is>
      </c>
      <c r="BJ702" s="25" t="n"/>
      <c r="BK702" s="26" t="n">
        <v>223</v>
      </c>
      <c r="BL702" s="27" t="n">
        <v>3.23</v>
      </c>
      <c r="BM702" s="28" t="n">
        <v>0.309598</v>
      </c>
      <c r="BN702" s="28" t="n"/>
      <c r="BO702" s="28" t="n"/>
      <c r="BP702" s="25" t="n"/>
      <c r="BQ702" s="27" t="n">
        <v>3.23</v>
      </c>
      <c r="BR702" s="28" t="n">
        <v>0.31</v>
      </c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inlineStr">
        <is>
          <t>8bfd39790fa658d272edbfde9d4c4dc4d2c19d13746718a18d6bb79040dbe98b</t>
        </is>
      </c>
      <c r="DE702" s="24" t="inlineStr">
        <is>
          <t>/Users/vincentc9002/model-prediction/data/odds/tennis/2026-09-24/polymarket_snapshots.jsonl</t>
        </is>
      </c>
      <c r="DF702" s="24" t="inlineStr">
        <is>
          <t>1002099:2026-09-24T04:38:11.110045Z</t>
        </is>
      </c>
      <c r="DG702" s="24" t="n"/>
      <c r="DH702" s="24" t="n"/>
      <c r="DI702" s="24" t="n"/>
      <c r="DJ702" s="24" t="inlineStr">
        <is>
          <t>0.309598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"6c67e999d2a03612e30f4032c8e5e77e8becfbc79e05f4c8993e726b90d34d54", "away_team": "Mia Pohankova", "event_id": "1022-2026:183960", "event_start_utc": "2026-09-24T10:00Z", "features": {"elo_p1_surface": 1555.5, "elo_p2_surface": 1605.1, "expected_games_p1": 11.19, "expected_games_p2": 13.08, "expected_total_games": 24.27, "history_matches": 16310, "min_player_matches": 18, "surface": "Hard"}, "historical_source_observation_times_verified": false, "home_team": "Veronika Podrez", "inference_inputs": {"code_sha256": {"features/elo_ratings.py": "8525faf022a6343c452286dbfeb17dbb043744c6bdabbe448b6b371216da439b", "models/tennis.py": "6c67e999d2a03612e30f4032c8e5e77e8becfbc79e05f4c8993e726b90d34d54"}, "overall_ratings": [1547.9262254367131, 1589.123913765913], "players": ["Mia Pohankova", "Veronika Podrez"], "sport": "TENNIS", "surface": "Hard", "surface_counts": [14, 21], "surface_ratings": [1555.5043656398043, 1605.1162121492857]}, "market_type": "moneyline", "model_version": "tennis-surface-elo-v1", "observed_at_utc": "2026-09-24T04:42:57.431794+00:00", "probabilities": {"away": 0.4342, "home": 0.5658}, "replay_scope": "Exact full-precision serving state and rounding; upstream historical observation times are not certified.", "schema": "coded-moneyline-replay-v1", "snapshot_hash": "a16f082a73682fd28490b77d0c569f0532ef43cfe2f5eefb0f6f5558d7084eea", "sport": "TENNIS"}</t>
        </is>
      </c>
    </row>
    <row r="703" ht="36" customHeight="1">
      <c r="A703" s="24" t="inlineStr">
        <is>
          <t>023d7d7cf303471f</t>
        </is>
      </c>
      <c r="B703" s="24" t="inlineStr">
        <is>
          <t>2026-09-24T04:42:58.350199Z</t>
        </is>
      </c>
      <c r="C703" s="24" t="inlineStr">
        <is>
          <t>2026-09-24T05:00Z</t>
        </is>
      </c>
      <c r="D703" s="24" t="inlineStr">
        <is>
          <t>441-2026:183407</t>
        </is>
      </c>
      <c r="E703" s="24" t="inlineStr">
        <is>
          <t>TENNIS</t>
        </is>
      </c>
      <c r="F703" s="24" t="inlineStr">
        <is>
          <t>Denis Shapovalov</t>
        </is>
      </c>
      <c r="G703" s="24" t="inlineStr">
        <is>
          <t>Tallon Griekspoor</t>
        </is>
      </c>
      <c r="H703" s="24" t="inlineStr">
        <is>
          <t>moneyline</t>
        </is>
      </c>
      <c r="I703" s="24" t="inlineStr">
        <is>
          <t>home</t>
        </is>
      </c>
      <c r="J703" s="25" t="n"/>
      <c r="K703" s="24" t="inlineStr">
        <is>
          <t>polymarket_us</t>
        </is>
      </c>
      <c r="L703" s="26" t="n">
        <v>127</v>
      </c>
      <c r="M703" s="27" t="n">
        <v>2.27</v>
      </c>
      <c r="N703" s="28" t="n">
        <v>0.440529</v>
      </c>
      <c r="O703" s="28" t="n">
        <v>0.5012</v>
      </c>
      <c r="P703" s="28" t="n">
        <v>0.05</v>
      </c>
      <c r="Q703" s="28" t="n">
        <v>0.060671</v>
      </c>
      <c r="R703" s="26" t="n">
        <v>50</v>
      </c>
      <c r="S703" s="29" t="n">
        <v>1</v>
      </c>
      <c r="T703" s="24" t="inlineStr">
        <is>
          <t>tennis-surface-elo-v1</t>
        </is>
      </c>
      <c r="U703" s="24" t="inlineStr">
        <is>
          <t>settled</t>
        </is>
      </c>
      <c r="V703" s="24" t="inlineStr">
        <is>
          <t>loss</t>
        </is>
      </c>
      <c r="W703" s="26" t="n">
        <v>1</v>
      </c>
      <c r="X703" s="26" t="n">
        <v>0</v>
      </c>
      <c r="Y703" s="25" t="n"/>
      <c r="Z703" s="26" t="n">
        <v>127</v>
      </c>
      <c r="AA703" s="28" t="n">
        <v>0.44</v>
      </c>
      <c r="AB703" s="28" t="n">
        <v>-0.000529</v>
      </c>
      <c r="AC703" s="30" t="n">
        <v>-1</v>
      </c>
      <c r="AD703" s="24" t="inlineStr">
        <is>
          <t>2026-09-24T10:00:24.664573Z</t>
        </is>
      </c>
      <c r="AE703" s="31" t="inlineStr">
        <is>
          <t>Surface-blended Elo on Hard: Denis Shapovalov p=0.499 vs Tallon Griekspoor. Executable ask 0.4400 (aec-atp-talgri-densha-2026-09-22).</t>
        </is>
      </c>
      <c r="AF703" s="31" t="inlineStr">
        <is>
          <t>Surface-blended Elo model; singles only, WTA+ATP market coverage, not yet locked-holdout qualified -- promoted by explicit operator directive, not genuine walk-forward validation.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paper_call</t>
        </is>
      </c>
      <c r="AL703" s="26" t="n">
        <v>4</v>
      </c>
      <c r="AM703" s="24" t="inlineStr">
        <is>
          <t>RESEARCH_OBSERVATION</t>
        </is>
      </c>
      <c r="AN703" s="24" t="inlineStr">
        <is>
          <t>CALL</t>
        </is>
      </c>
      <c r="AO703" s="24" t="inlineStr">
        <is>
          <t>PAPER_CALL_LOW_EDGE</t>
        </is>
      </c>
      <c r="AP703" s="24" t="inlineStr">
        <is>
          <t>Denis Shapovalov</t>
        </is>
      </c>
      <c r="AQ703" s="24" t="inlineStr">
        <is>
          <t>Denis Shapovalov</t>
        </is>
      </c>
      <c r="AR703" s="24" t="inlineStr">
        <is>
          <t>Denis Shapovalov</t>
        </is>
      </c>
      <c r="AS703" s="24" t="inlineStr">
        <is>
          <t>Tallon Griekspoor</t>
        </is>
      </c>
      <c r="AT703" s="24" t="inlineStr">
        <is>
          <t>Tallon Griekspoor</t>
        </is>
      </c>
      <c r="AU703" s="24" t="inlineStr">
        <is>
          <t>Tallon Griekspoor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6c67e999d2a03612e30f4032c8e5e77e8becfbc79e05f4c8993e726b90d34d54</t>
        </is>
      </c>
      <c r="BB703" s="24" t="inlineStr">
        <is>
          <t>surface_blended_elo</t>
        </is>
      </c>
      <c r="BC703" s="24" t="inlineStr">
        <is>
          <t>tennis-surface-elo-v1</t>
        </is>
      </c>
      <c r="BD703" s="24" t="inlineStr">
        <is>
          <t>6c67e999d2a03612e30f4032c8e5e77e8becfbc79e05f4c8993e726b90d34d54</t>
        </is>
      </c>
      <c r="BE703" s="24" t="inlineStr">
        <is>
          <t>tennis-surface-elo-v1</t>
        </is>
      </c>
      <c r="BF703" s="24" t="inlineStr">
        <is>
          <t>1</t>
        </is>
      </c>
      <c r="BG703" s="24" t="inlineStr">
        <is>
          <t>6c67e999d2a03612e30f4032c8e5e77e8becfbc79e05f4c8993e726b90d34d54</t>
        </is>
      </c>
      <c r="BH703" s="24" t="inlineStr">
        <is>
          <t>2026-09-24T04:38:44.120932Z</t>
        </is>
      </c>
      <c r="BI703" s="24" t="inlineStr">
        <is>
          <t>["same_event","same_team_same_day","same_league_same_day"]</t>
        </is>
      </c>
      <c r="BJ703" s="25" t="n"/>
      <c r="BK703" s="26" t="n">
        <v>127</v>
      </c>
      <c r="BL703" s="27" t="n">
        <v>2.27</v>
      </c>
      <c r="BM703" s="28" t="n">
        <v>0.440529</v>
      </c>
      <c r="BN703" s="28" t="n"/>
      <c r="BO703" s="28" t="n"/>
      <c r="BP703" s="25" t="n"/>
      <c r="BQ703" s="27" t="n">
        <v>2.27</v>
      </c>
      <c r="BR703" s="28" t="n">
        <v>0.44</v>
      </c>
      <c r="BS703" s="28" t="n"/>
      <c r="BT703" s="28" t="n"/>
      <c r="BU703" s="25" t="n"/>
      <c r="BV703" s="29" t="n"/>
      <c r="BW703" s="24" t="n"/>
      <c r="BX703" s="30" t="n">
        <v>1</v>
      </c>
      <c r="BY703" s="27" t="n">
        <v>-1</v>
      </c>
      <c r="BZ703" s="24" t="inlineStr">
        <is>
          <t>2026-09-24T10:00:24.664573Z</t>
        </is>
      </c>
      <c r="CA703" s="31" t="inlineStr">
        <is>
          <t>fixed one-unit hypothetical scoring; no real exposure or execution</t>
        </is>
      </c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inlineStr">
        <is>
          <t>d48ba0249170af07e1a3df67ce524c2219d19d90aa5751f2b06bd4c6de36a02d</t>
        </is>
      </c>
      <c r="DE703" s="24" t="inlineStr">
        <is>
          <t>/Users/vincentc9002/model-prediction/data/odds/tennis/2026-09-24/polymarket_snapshots.jsonl</t>
        </is>
      </c>
      <c r="DF703" s="24" t="inlineStr">
        <is>
          <t>980269:2026-09-24T04:38:44.120932Z</t>
        </is>
      </c>
      <c r="DG703" s="24" t="n"/>
      <c r="DH703" s="24" t="n"/>
      <c r="DI703" s="24" t="n"/>
      <c r="DJ703" s="24" t="inlineStr">
        <is>
          <t>0.440529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"6c67e999d2a03612e30f4032c8e5e77e8becfbc79e05f4c8993e726b90d34d54", "away_team": "Denis Shapovalov", "event_id": "441-2026:183407", "event_start_utc": "2026-09-24T05:00Z", "features": {"elo_p1_surface": 1624.1, "elo_p2_surface": 1620.1, "expected_games_p1": 13.08, "expected_games_p2": 12.48, "expected_total_games": 25.56, "history_matches": 11237, "min_player_matches": 128, "surface": "Hard"}, "historical_source_observation_times_verified": false, "home_team": "Tallon Griekspoor", "inference_inputs": {"code_sha256": {"features/elo_ratings.py": "8525faf022a6343c452286dbfeb17dbb043744c6bdabbe448b6b371216da439b", "models/tennis.py": "6c67e999d2a03612e30f4032c8e5e77e8becfbc79e05f4c8993e726b90d34d54"}, "overall_ratings": [1565.472059975224, 1580.483853781677], "players": ["Denis Shapovalov", "Tallon Griekspoor"], "sport": "TENNIS", "surface": "Hard", "surface_counts": [102, 99], "surface_ratings": [1624.0668942150614, 1620.1416819933704]}, "market_type": "moneyline", "model_version": "tennis-surface-elo-v1", "observed_at_utc": "2026-09-24T04:42:57.431794+00:00", "probabilities": {"away": 0.4988, "home": 0.5012}, "replay_scope": "Exact full-precision serving state and rounding; upstream historical observation times are not certified.", "schema": "coded-moneyline-replay-v1", "snapshot_hash": "0c606c510d78fc7e574249a0b0a41ed60fbe810a7f360c536eb7d27ceef6f665", "sport": "TENNIS"}</t>
        </is>
      </c>
    </row>
    <row r="704" ht="36" customHeight="1">
      <c r="A704" s="24" t="inlineStr">
        <is>
          <t>1aaebf02525b4a37</t>
        </is>
      </c>
      <c r="B704" s="24" t="inlineStr">
        <is>
          <t>2026-09-24T04:42:58.350199Z</t>
        </is>
      </c>
      <c r="C704" s="24" t="inlineStr">
        <is>
          <t>2026-09-24T05:30Z</t>
        </is>
      </c>
      <c r="D704" s="24" t="inlineStr">
        <is>
          <t>1001-2026:183362</t>
        </is>
      </c>
      <c r="E704" s="24" t="inlineStr">
        <is>
          <t>TENNIS</t>
        </is>
      </c>
      <c r="F704" s="24" t="inlineStr">
        <is>
          <t>Terence Atmane</t>
        </is>
      </c>
      <c r="G704" s="24" t="inlineStr">
        <is>
          <t>Jaime Faria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polymarket_us</t>
        </is>
      </c>
      <c r="L704" s="26" t="n">
        <v>117</v>
      </c>
      <c r="M704" s="27" t="n">
        <v>2.17</v>
      </c>
      <c r="N704" s="28" t="n">
        <v>0.460829</v>
      </c>
      <c r="O704" s="28" t="n">
        <v>0.5543</v>
      </c>
      <c r="P704" s="28" t="n">
        <v>0.05</v>
      </c>
      <c r="Q704" s="28" t="n">
        <v>0.093471</v>
      </c>
      <c r="R704" s="26" t="n">
        <v>67</v>
      </c>
      <c r="S704" s="29" t="n">
        <v>1.25</v>
      </c>
      <c r="T704" s="24" t="inlineStr">
        <is>
          <t>tennis-surface-elo-v1</t>
        </is>
      </c>
      <c r="U704" s="24" t="inlineStr">
        <is>
          <t>settled</t>
        </is>
      </c>
      <c r="V704" s="24" t="inlineStr">
        <is>
          <t>win</t>
        </is>
      </c>
      <c r="W704" s="26" t="n">
        <v>0</v>
      </c>
      <c r="X704" s="26" t="n">
        <v>1</v>
      </c>
      <c r="Y704" s="25" t="n"/>
      <c r="Z704" s="26" t="n">
        <v>117</v>
      </c>
      <c r="AA704" s="28" t="n">
        <v>0.46</v>
      </c>
      <c r="AB704" s="28" t="n">
        <v>-0.000829</v>
      </c>
      <c r="AC704" s="30" t="n">
        <v>1.4625</v>
      </c>
      <c r="AD704" s="24" t="inlineStr">
        <is>
          <t>2026-09-24T10:00:25.812585Z</t>
        </is>
      </c>
      <c r="AE704" s="31" t="inlineStr">
        <is>
          <t>Surface-blended Elo on Hard: Terence Atmane p=0.446 vs Jaime Faria. Executable ask 0.4600 (aec-atp-jaifar-teratm-2026-09-22).</t>
        </is>
      </c>
      <c r="AF704" s="31" t="inlineStr">
        <is>
          <t>Surface-blended Elo model; singles only, WTA+ATP market coverage, not yet locked-holdout qualified -- promoted by explicit operator directive, not genuine walk-forward validation.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Terence Atmane</t>
        </is>
      </c>
      <c r="AQ704" s="24" t="inlineStr">
        <is>
          <t>Terence Atmane</t>
        </is>
      </c>
      <c r="AR704" s="24" t="inlineStr">
        <is>
          <t>Terence Atmane</t>
        </is>
      </c>
      <c r="AS704" s="24" t="inlineStr">
        <is>
          <t>Jaime Faria</t>
        </is>
      </c>
      <c r="AT704" s="24" t="inlineStr">
        <is>
          <t>Jaime Faria</t>
        </is>
      </c>
      <c r="AU704" s="24" t="inlineStr">
        <is>
          <t>Jaime Faria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6c67e999d2a03612e30f4032c8e5e77e8becfbc79e05f4c8993e726b90d34d54</t>
        </is>
      </c>
      <c r="BB704" s="24" t="inlineStr">
        <is>
          <t>surface_blended_elo</t>
        </is>
      </c>
      <c r="BC704" s="24" t="inlineStr">
        <is>
          <t>tennis-surface-elo-v1</t>
        </is>
      </c>
      <c r="BD704" s="24" t="inlineStr">
        <is>
          <t>6c67e999d2a03612e30f4032c8e5e77e8becfbc79e05f4c8993e726b90d34d54</t>
        </is>
      </c>
      <c r="BE704" s="24" t="inlineStr">
        <is>
          <t>tennis-surface-elo-v1</t>
        </is>
      </c>
      <c r="BF704" s="24" t="inlineStr">
        <is>
          <t>1</t>
        </is>
      </c>
      <c r="BG704" s="24" t="inlineStr">
        <is>
          <t>6c67e999d2a03612e30f4032c8e5e77e8becfbc79e05f4c8993e726b90d34d54</t>
        </is>
      </c>
      <c r="BH704" s="24" t="inlineStr">
        <is>
          <t>2026-09-24T04:38:55.100464Z</t>
        </is>
      </c>
      <c r="BI704" s="24" t="inlineStr">
        <is>
          <t>["same_event","same_team_same_day","same_league_same_day"]</t>
        </is>
      </c>
      <c r="BJ704" s="25" t="n"/>
      <c r="BK704" s="26" t="n">
        <v>117</v>
      </c>
      <c r="BL704" s="27" t="n">
        <v>2.17</v>
      </c>
      <c r="BM704" s="28" t="n">
        <v>0.460829</v>
      </c>
      <c r="BN704" s="28" t="n"/>
      <c r="BO704" s="28" t="n"/>
      <c r="BP704" s="25" t="n"/>
      <c r="BQ704" s="27" t="n">
        <v>2.17</v>
      </c>
      <c r="BR704" s="28" t="n">
        <v>0.46</v>
      </c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inlineStr">
        <is>
          <t>9281dc400cb652cad6f5f99e581d64a77e7150bd2713486dfe0f5cc34872a374</t>
        </is>
      </c>
      <c r="DE704" s="24" t="inlineStr">
        <is>
          <t>/Users/vincentc9002/model-prediction/data/odds/tennis/2026-09-24/polymarket_snapshots.jsonl</t>
        </is>
      </c>
      <c r="DF704" s="24" t="inlineStr">
        <is>
          <t>980244:2026-09-24T04:38:55.100464Z</t>
        </is>
      </c>
      <c r="DG704" s="24" t="n"/>
      <c r="DH704" s="24" t="n"/>
      <c r="DI704" s="24" t="n"/>
      <c r="DJ704" s="24" t="inlineStr">
        <is>
          <t>0.460829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"6c67e999d2a03612e30f4032c8e5e77e8becfbc79e05f4c8993e726b90d34d54", "away_team": "Terence Atmane", "event_id": "1001-2026:183362", "event_start_utc": "2026-09-24T05:30Z", "features": {"elo_p1_surface": 1589.9, "elo_p2_surface": 1596.8, "expected_games_p1": 12.87, "expected_games_p2": 12.71, "expected_total_games": 25.58, "history_matches": 11237, "min_player_matches": 82,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[1588.135611415409, 1681.6835547498235], "players": ["Terence Atmane", "Jaime Faria"], "sport": "TENNIS", "surface": "Hard", "surface_counts": [80, 46], "surface_ratings": [1589.8949514465107, 1596.8122390945537]}, "market_type": "moneyline", "model_version": "tennis-surface-elo-v1", "observed_at_utc": "2026-09-24T04:42:57.431794+00:00", "probabilities": {"away": 0.4457, "home": 0.5543}, "replay_scope": "Exact full-precision serving state and rounding; upstream historical observation times are not certified.", "schema": "coded-moneyline-replay-v1", "snapshot_hash": "5651bc28de3038ef6f37cdadff1ee3e658aaed63296c010d3d1a09d74ee7ee9a", "sport": "TENNIS"}</t>
        </is>
      </c>
    </row>
    <row r="705" ht="36" customHeight="1">
      <c r="A705" s="24" t="inlineStr">
        <is>
          <t>4668a6bd933a4874</t>
        </is>
      </c>
      <c r="B705" s="24" t="inlineStr">
        <is>
          <t>2026-09-24T10:11:31.470530Z</t>
        </is>
      </c>
      <c r="C705" s="24" t="inlineStr">
        <is>
          <t>2026-09-24T10:30Z</t>
        </is>
      </c>
      <c r="D705" s="24" t="inlineStr">
        <is>
          <t>1019-2026:183886</t>
        </is>
      </c>
      <c r="E705" s="24" t="inlineStr">
        <is>
          <t>TENNIS</t>
        </is>
      </c>
      <c r="F705" s="24" t="inlineStr">
        <is>
          <t>Julia Grabher</t>
        </is>
      </c>
      <c r="G705" s="24" t="inlineStr">
        <is>
          <t>Alice Tubello</t>
        </is>
      </c>
      <c r="H705" s="24" t="inlineStr">
        <is>
          <t>moneyline</t>
        </is>
      </c>
      <c r="I705" s="24" t="inlineStr">
        <is>
          <t>away</t>
        </is>
      </c>
      <c r="J705" s="25" t="n"/>
      <c r="K705" s="24" t="inlineStr">
        <is>
          <t>polymarket_us</t>
        </is>
      </c>
      <c r="L705" s="26" t="n">
        <v>-1567</v>
      </c>
      <c r="M705" s="27" t="n">
        <v>1.063816</v>
      </c>
      <c r="N705" s="28" t="n">
        <v>0.940012</v>
      </c>
      <c r="O705" s="28" t="n">
        <v>0.656</v>
      </c>
      <c r="P705" s="28" t="n">
        <v>0.05</v>
      </c>
      <c r="Q705" s="28" t="n">
        <v>-0.284012</v>
      </c>
      <c r="R705" s="26" t="n">
        <v>0</v>
      </c>
      <c r="S705" s="29" t="n">
        <v>1</v>
      </c>
      <c r="T705" s="24" t="inlineStr">
        <is>
          <t>tennis-surface-elo-v1</t>
        </is>
      </c>
      <c r="U705" s="24" t="inlineStr">
        <is>
          <t>settled</t>
        </is>
      </c>
      <c r="V705" s="24" t="inlineStr">
        <is>
          <t>win</t>
        </is>
      </c>
      <c r="W705" s="26" t="n">
        <v>1</v>
      </c>
      <c r="X705" s="26" t="n">
        <v>0</v>
      </c>
      <c r="Y705" s="25" t="n"/>
      <c r="Z705" s="26" t="n">
        <v>-1567</v>
      </c>
      <c r="AA705" s="28" t="n">
        <v>0.9399999999999999</v>
      </c>
      <c r="AB705" s="28" t="n">
        <v>-1.2e-05</v>
      </c>
      <c r="AC705" s="30" t="n">
        <v>0.0638</v>
      </c>
      <c r="AD705" s="24" t="inlineStr">
        <is>
          <t>2026-09-24T16:02:31.375413Z</t>
        </is>
      </c>
      <c r="AE705" s="31" t="inlineStr">
        <is>
          <t>Surface-blended Elo on Hard: Julia Grabher p=0.656 vs Alice Tubello. Executable ask 0.9400 (aec-wta-alitub-julgra-2026-09-24).</t>
        </is>
      </c>
      <c r="AF705" s="31" t="inlineStr">
        <is>
          <t>Surface-blended Elo model; singles only, WTA+ATP market coverage, not yet locked-holdout qualified -- promoted by explicit operator directive, not genuine walk-forward validation.</t>
        </is>
      </c>
      <c r="AG705" s="24" t="inlineStr">
        <is>
          <t>not_applicable</t>
        </is>
      </c>
      <c r="AH705" s="24" t="n"/>
      <c r="AI705" s="31" t="n"/>
      <c r="AJ705" s="31" t="n"/>
      <c r="AK705" s="24" t="inlineStr">
        <is>
          <t>paper_call</t>
        </is>
      </c>
      <c r="AL705" s="26" t="n">
        <v>4</v>
      </c>
      <c r="AM705" s="24" t="inlineStr">
        <is>
          <t>RESEARCH_OBSERVATION</t>
        </is>
      </c>
      <c r="AN705" s="24" t="inlineStr">
        <is>
          <t>CALL</t>
        </is>
      </c>
      <c r="AO705" s="24" t="inlineStr">
        <is>
          <t>PAPER_CALL_LOW_EDGE</t>
        </is>
      </c>
      <c r="AP705" s="24" t="inlineStr">
        <is>
          <t>Julia Grabher</t>
        </is>
      </c>
      <c r="AQ705" s="24" t="inlineStr">
        <is>
          <t>Julia Grabher</t>
        </is>
      </c>
      <c r="AR705" s="24" t="inlineStr">
        <is>
          <t>Julia Grabher</t>
        </is>
      </c>
      <c r="AS705" s="24" t="inlineStr">
        <is>
          <t>Alice Tubello</t>
        </is>
      </c>
      <c r="AT705" s="24" t="inlineStr">
        <is>
          <t>Alice Tubello</t>
        </is>
      </c>
      <c r="AU705" s="24" t="inlineStr">
        <is>
          <t>Alice Tubello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6c67e999d2a03612e30f4032c8e5e77e8becfbc79e05f4c8993e726b90d34d54</t>
        </is>
      </c>
      <c r="BB705" s="24" t="inlineStr">
        <is>
          <t>surface_blended_elo</t>
        </is>
      </c>
      <c r="BC705" s="24" t="inlineStr">
        <is>
          <t>tennis-surface-elo-v1</t>
        </is>
      </c>
      <c r="BD705" s="24" t="inlineStr">
        <is>
          <t>6c67e999d2a03612e30f4032c8e5e77e8becfbc79e05f4c8993e726b90d34d54</t>
        </is>
      </c>
      <c r="BE705" s="24" t="inlineStr">
        <is>
          <t>tennis-surface-elo-v1</t>
        </is>
      </c>
      <c r="BF705" s="24" t="inlineStr">
        <is>
          <t>1</t>
        </is>
      </c>
      <c r="BG705" s="24" t="inlineStr">
        <is>
          <t>6c67e999d2a03612e30f4032c8e5e77e8becfbc79e05f4c8993e726b90d34d54</t>
        </is>
      </c>
      <c r="BH705" s="24" t="inlineStr">
        <is>
          <t>2026-09-23T05:02:46.091582Z</t>
        </is>
      </c>
      <c r="BI705" s="24" t="inlineStr">
        <is>
          <t>["same_event","same_team_same_day","same_league_same_day"]</t>
        </is>
      </c>
      <c r="BJ705" s="25" t="n"/>
      <c r="BK705" s="26" t="n">
        <v>-1567</v>
      </c>
      <c r="BL705" s="27" t="n">
        <v>1.063816</v>
      </c>
      <c r="BM705" s="28" t="n">
        <v>0.940012</v>
      </c>
      <c r="BN705" s="28" t="n"/>
      <c r="BO705" s="28" t="n"/>
      <c r="BP705" s="25" t="n"/>
      <c r="BQ705" s="27" t="n">
        <v>1.063816</v>
      </c>
      <c r="BR705" s="28" t="n">
        <v>0.9399999999999999</v>
      </c>
      <c r="BS705" s="28" t="n"/>
      <c r="BT705" s="28" t="n"/>
      <c r="BU705" s="25" t="n"/>
      <c r="BV705" s="29" t="n"/>
      <c r="BW705" s="24" t="n"/>
      <c r="BX705" s="30" t="n">
        <v>1</v>
      </c>
      <c r="BY705" s="27" t="n">
        <v>0.063816</v>
      </c>
      <c r="BZ705" s="24" t="inlineStr">
        <is>
          <t>2026-09-24T16:02:31.375413Z</t>
        </is>
      </c>
      <c r="CA705" s="31" t="inlineStr">
        <is>
          <t>fixed one-unit hypothetical scoring; no real exposure or execution</t>
        </is>
      </c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False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inlineStr">
        <is>
          <t>0edc11bd5220f09503e911db9a5b2b3fafb5977d1f776dfc7309dff41bd874af</t>
        </is>
      </c>
      <c r="DE705" s="24" t="inlineStr">
        <is>
          <t>/Users/vincentc9002/model-prediction/data/odds/tennis/2026-09-24/polymarket_snapshots.jsonl</t>
        </is>
      </c>
      <c r="DF705" s="24" t="inlineStr">
        <is>
          <t>1011286:2026-09-23T05:02:46.091582Z</t>
        </is>
      </c>
      <c r="DG705" s="24" t="n"/>
      <c r="DH705" s="24" t="n"/>
      <c r="DI705" s="24" t="n"/>
      <c r="DJ705" s="24" t="inlineStr">
        <is>
          <t>0.940012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"6c67e999d2a03612e30f4032c8e5e77e8becfbc79e05f4c8993e726b90d34d54", "away_team": "Julia Grabher", "event_id": "1019-2026:183886", "event_start_utc": "2026-09-24T10:30Z", "features": {"elo_p1_surface": 1580.3, "elo_p2_surface": 1475.3, "expected_games_p1": 13.42, "expected_games_p2": 8.83, "expected_total_games": 22.25, "history_matches": 16310, "min_player_matches": 23, "surface": "Hard"}, "historical_source_observation_times_verified": false, "home_team": "Alice Tubello", "inference_inputs": {"code_sha256": {"features/elo_ratings.py": "8525faf022a6343c452286dbfeb17dbb043744c6bdabbe448b6b371216da439b", "models/tennis.py": "6c67e999d2a03612e30f4032c8e5e77e8becfbc79e05f4c8993e726b90d34d54"}, "overall_ratings": [1590.7702647696292, 1467.8857611441078], "players": ["Julia Grabher", "Alice Tubello"], "sport": "TENNIS", "surface": "Hard", "surface_counts": [67, 19], "surface_ratings": [1580.3202667579958, 1475.2500647078512]}, "market_type": "moneyline", "model_version": "tennis-surface-elo-v1", "observed_at_utc": "2026-09-24T10:11:30.579101+00:00", "probabilities": {"away": 0.656, "home": 0.344}, "replay_scope": "Exact full-precision serving state and rounding; upstream historical observation times are not certified.", "schema": "coded-moneyline-replay-v1", "snapshot_hash": "bf05d0ded0ad07cf000243e039c5bcc02228bfd816cf78ec472ce2d6c4de417a", "sport": "TENNIS"}</t>
        </is>
      </c>
    </row>
    <row r="706" ht="36" customHeight="1">
      <c r="A706" s="24" t="inlineStr">
        <is>
          <t>6f1fb5b37bfc4286</t>
        </is>
      </c>
      <c r="B706" s="24" t="inlineStr">
        <is>
          <t>2026-09-24T10:11:31.470530Z</t>
        </is>
      </c>
      <c r="C706" s="24" t="inlineStr">
        <is>
          <t>2026-09-24T15:30Z</t>
        </is>
      </c>
      <c r="D706" s="24" t="inlineStr">
        <is>
          <t>1019-2026:183897</t>
        </is>
      </c>
      <c r="E706" s="24" t="inlineStr">
        <is>
          <t>TENNIS</t>
        </is>
      </c>
      <c r="F706" s="24" t="inlineStr">
        <is>
          <t>Oksana Selekhmeteva</t>
        </is>
      </c>
      <c r="G706" s="24" t="inlineStr">
        <is>
          <t>Samira De Stefano</t>
        </is>
      </c>
      <c r="H706" s="24" t="inlineStr">
        <is>
          <t>moneyline</t>
        </is>
      </c>
      <c r="I706" s="24" t="inlineStr">
        <is>
          <t>away</t>
        </is>
      </c>
      <c r="J706" s="25" t="n"/>
      <c r="K706" s="24" t="inlineStr">
        <is>
          <t>polymarket_us</t>
        </is>
      </c>
      <c r="L706" s="26" t="n">
        <v>127</v>
      </c>
      <c r="M706" s="27" t="n">
        <v>2.27</v>
      </c>
      <c r="N706" s="28" t="n">
        <v>0.440529</v>
      </c>
      <c r="O706" s="28" t="n">
        <v>0.545</v>
      </c>
      <c r="P706" s="28" t="n">
        <v>0.05</v>
      </c>
      <c r="Q706" s="28" t="n">
        <v>0.104471</v>
      </c>
      <c r="R706" s="26" t="n">
        <v>72</v>
      </c>
      <c r="S706" s="29" t="n">
        <v>1.25</v>
      </c>
      <c r="T706" s="24" t="inlineStr">
        <is>
          <t>tennis-surface-elo-v1</t>
        </is>
      </c>
      <c r="U706" s="24" t="inlineStr">
        <is>
          <t>settled</t>
        </is>
      </c>
      <c r="V706" s="24" t="inlineStr">
        <is>
          <t>win</t>
        </is>
      </c>
      <c r="W706" s="26" t="n">
        <v>1</v>
      </c>
      <c r="X706" s="26" t="n">
        <v>0</v>
      </c>
      <c r="Y706" s="25" t="n"/>
      <c r="Z706" s="26" t="n">
        <v>127</v>
      </c>
      <c r="AA706" s="28" t="n">
        <v>0.44</v>
      </c>
      <c r="AB706" s="28" t="n">
        <v>-0.000529</v>
      </c>
      <c r="AC706" s="30" t="n">
        <v>1.5875</v>
      </c>
      <c r="AD706" s="24" t="inlineStr">
        <is>
          <t>2026-09-24T22:00:06.765104Z</t>
        </is>
      </c>
      <c r="AE706" s="31" t="inlineStr">
        <is>
          <t>Surface-blended Elo on Hard: Oksana Selekhmeteva p=0.545 vs Samira De Stefano. Executable ask 0.4400 (aec-wta-samste-okssel-2026-09-23).</t>
        </is>
      </c>
      <c r="AF706" s="31" t="inlineStr">
        <is>
          <t>Surface-blended Elo model; singles only, WTA+ATP market coverage, not yet locked-holdout qualified -- promoted by explicit operator directive, not genuine walk-forward validation.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Oksana Selekhmeteva</t>
        </is>
      </c>
      <c r="AQ706" s="24" t="inlineStr">
        <is>
          <t>Oksana Selekhmeteva</t>
        </is>
      </c>
      <c r="AR706" s="24" t="inlineStr">
        <is>
          <t>Oksana Selekhmeteva</t>
        </is>
      </c>
      <c r="AS706" s="24" t="inlineStr">
        <is>
          <t>Samira De Stefano</t>
        </is>
      </c>
      <c r="AT706" s="24" t="inlineStr">
        <is>
          <t>Samira De Stefano</t>
        </is>
      </c>
      <c r="AU706" s="24" t="inlineStr">
        <is>
          <t>Samira De Stefano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6c67e999d2a03612e30f4032c8e5e77e8becfbc79e05f4c8993e726b90d34d54</t>
        </is>
      </c>
      <c r="BB706" s="24" t="inlineStr">
        <is>
          <t>surface_blended_elo</t>
        </is>
      </c>
      <c r="BC706" s="24" t="inlineStr">
        <is>
          <t>tennis-surface-elo-v1</t>
        </is>
      </c>
      <c r="BD706" s="24" t="inlineStr">
        <is>
          <t>6c67e999d2a03612e30f4032c8e5e77e8becfbc79e05f4c8993e726b90d34d54</t>
        </is>
      </c>
      <c r="BE706" s="24" t="inlineStr">
        <is>
          <t>tennis-surface-elo-v1</t>
        </is>
      </c>
      <c r="BF706" s="24" t="inlineStr">
        <is>
          <t>1</t>
        </is>
      </c>
      <c r="BG706" s="24" t="inlineStr">
        <is>
          <t>6c67e999d2a03612e30f4032c8e5e77e8becfbc79e05f4c8993e726b90d34d54</t>
        </is>
      </c>
      <c r="BH706" s="24" t="inlineStr">
        <is>
          <t>2026-09-24T04:38:33.040760Z</t>
        </is>
      </c>
      <c r="BI706" s="24" t="inlineStr">
        <is>
          <t>["same_event","same_team_same_day","same_league_same_day"]</t>
        </is>
      </c>
      <c r="BJ706" s="25" t="n"/>
      <c r="BK706" s="26" t="n">
        <v>127</v>
      </c>
      <c r="BL706" s="27" t="n">
        <v>2.27</v>
      </c>
      <c r="BM706" s="28" t="n">
        <v>0.440529</v>
      </c>
      <c r="BN706" s="28" t="n"/>
      <c r="BO706" s="28" t="n"/>
      <c r="BP706" s="25" t="n"/>
      <c r="BQ706" s="27" t="n">
        <v>2.27</v>
      </c>
      <c r="BR706" s="28" t="n">
        <v>0.44</v>
      </c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inlineStr">
        <is>
          <t>95f4d207903057606a520203662aea78aa14ee7f58b58682b6f57fb188d864e0</t>
        </is>
      </c>
      <c r="DE706" s="24" t="inlineStr">
        <is>
          <t>/Users/vincentc9002/model-prediction/data/odds/tennis/2026-09-24/polymarket_snapshots.jsonl</t>
        </is>
      </c>
      <c r="DF706" s="24" t="inlineStr">
        <is>
          <t>1001383:2026-09-24T04:38:33.040760Z</t>
        </is>
      </c>
      <c r="DG706" s="24" t="n"/>
      <c r="DH706" s="24" t="n"/>
      <c r="DI706" s="24" t="n"/>
      <c r="DJ706" s="24" t="inlineStr">
        <is>
          <t>0.440529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"6c67e999d2a03612e30f4032c8e5e77e8becfbc79e05f4c8993e726b90d34d54", "away_team": "Oksana Selekhmeteva", "event_id": "1019-2026:183897", "event_start_utc": "2026-09-24T15:30Z", "features": {"elo_p1_surface": 1586.9, "elo_p2_surface": 1554.3, "expected_games_p1": 13.13, "expected_games_p2": 11.33, "expected_total_games": 24.46, "history_matches": 16310, "min_player_matches": 11, "surface": "Hard"}, "historical_source_observation_times_verified": false, "home_team": "Samira De Stefano", "inference_inputs": {"code_sha256": {"features/elo_ratings.py": "8525faf022a6343c452286dbfeb17dbb043744c6bdabbe448b6b371216da439b", "models/tennis.py": "6c67e999d2a03612e30f4032c8e5e77e8becfbc79e05f4c8993e726b90d34d54"}, "overall_ratings": [1566.2222534510329, 1547.9561285506802], "players": ["Oksana Selekhmeteva", "Samira De Stefano"], "sport": "TENNIS", "surface": "Hard", "surface_counts": [96, 10], "surface_ratings": [1586.9478316897307, 1554.3096742644395]}, "market_type": "moneyline", "model_version": "tennis-surface-elo-v1", "observed_at_utc": "2026-09-24T10:11:30.579101+00:00", "probabilities": {"away": 0.545, "home": 0.455}, "replay_scope": "Exact full-precision serving state and rounding; upstream historical observation times are not certified.", "schema": "coded-moneyline-replay-v1", "snapshot_hash": "4d306d20f8d6bd5e172c5747eaa9caf75e5317e468dd60e3ecb1649560b0a444", "sport": "TENNIS"}</t>
        </is>
      </c>
    </row>
    <row r="707" ht="36" customHeight="1">
      <c r="A707" s="24" t="inlineStr">
        <is>
          <t>41d6b698845e46ae</t>
        </is>
      </c>
      <c r="B707" s="24" t="inlineStr">
        <is>
          <t>2026-09-24T10:11:31.470530Z</t>
        </is>
      </c>
      <c r="C707" s="24" t="inlineStr">
        <is>
          <t>2026-09-24T12:00Z</t>
        </is>
      </c>
      <c r="D707" s="24" t="inlineStr">
        <is>
          <t>1022-2026:183941</t>
        </is>
      </c>
      <c r="E707" s="24" t="inlineStr">
        <is>
          <t>TENNIS</t>
        </is>
      </c>
      <c r="F707" s="24" t="inlineStr">
        <is>
          <t>Harmony Tan</t>
        </is>
      </c>
      <c r="G707" s="24" t="inlineStr">
        <is>
          <t>Angelina Voloshchuk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polymarket_us</t>
        </is>
      </c>
      <c r="L707" s="26" t="n">
        <v>-178</v>
      </c>
      <c r="M707" s="27" t="n">
        <v>1.561798</v>
      </c>
      <c r="N707" s="28" t="n">
        <v>0.640288</v>
      </c>
      <c r="O707" s="28" t="n">
        <v>0.5202</v>
      </c>
      <c r="P707" s="28" t="n">
        <v>0.05</v>
      </c>
      <c r="Q707" s="28" t="n">
        <v>-0.120088</v>
      </c>
      <c r="R707" s="26" t="n">
        <v>0</v>
      </c>
      <c r="S707" s="29" t="n">
        <v>1</v>
      </c>
      <c r="T707" s="24" t="inlineStr">
        <is>
          <t>tennis-surface-elo-v1</t>
        </is>
      </c>
      <c r="U707" s="24" t="inlineStr">
        <is>
          <t>settled</t>
        </is>
      </c>
      <c r="V707" s="24" t="inlineStr">
        <is>
          <t>win</t>
        </is>
      </c>
      <c r="W707" s="26" t="n">
        <v>0</v>
      </c>
      <c r="X707" s="26" t="n">
        <v>1</v>
      </c>
      <c r="Y707" s="25" t="n"/>
      <c r="Z707" s="26" t="n">
        <v>-178</v>
      </c>
      <c r="AA707" s="28" t="n">
        <v>0.64</v>
      </c>
      <c r="AB707" s="28" t="n">
        <v>-0.000288</v>
      </c>
      <c r="AC707" s="30" t="n">
        <v>0.5618</v>
      </c>
      <c r="AD707" s="24" t="inlineStr">
        <is>
          <t>2026-09-24T16:02:36.865879Z</t>
        </is>
      </c>
      <c r="AE707" s="31" t="inlineStr">
        <is>
          <t>Surface-blended Elo on Hard: Harmony Tan p=0.480 vs Angelina Voloshchuk. Executable ask 0.6400 (aec-wta-angvol-hartan-2026-09-23).</t>
        </is>
      </c>
      <c r="AF707" s="31" t="inlineStr">
        <is>
          <t>Surface-blended Elo model; singles only, WTA+ATP market coverage, not yet locked-holdout qualified -- promoted by explicit operator directive, not genuine walk-forward validation.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Harmony Tan</t>
        </is>
      </c>
      <c r="AQ707" s="24" t="inlineStr">
        <is>
          <t>Harmony Tan</t>
        </is>
      </c>
      <c r="AR707" s="24" t="inlineStr">
        <is>
          <t>Harmony Tan</t>
        </is>
      </c>
      <c r="AS707" s="24" t="inlineStr">
        <is>
          <t>Angelina Voloshchuk</t>
        </is>
      </c>
      <c r="AT707" s="24" t="inlineStr">
        <is>
          <t>Angelina Voloshchuk</t>
        </is>
      </c>
      <c r="AU707" s="24" t="inlineStr">
        <is>
          <t>Angelina Voloshchuk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6c67e999d2a03612e30f4032c8e5e77e8becfbc79e05f4c8993e726b90d34d54</t>
        </is>
      </c>
      <c r="BB707" s="24" t="inlineStr">
        <is>
          <t>surface_blended_elo</t>
        </is>
      </c>
      <c r="BC707" s="24" t="inlineStr">
        <is>
          <t>tennis-surface-elo-v1</t>
        </is>
      </c>
      <c r="BD707" s="24" t="inlineStr">
        <is>
          <t>6c67e999d2a03612e30f4032c8e5e77e8becfbc79e05f4c8993e726b90d34d54</t>
        </is>
      </c>
      <c r="BE707" s="24" t="inlineStr">
        <is>
          <t>tennis-surface-elo-v1</t>
        </is>
      </c>
      <c r="BF707" s="24" t="inlineStr">
        <is>
          <t>1</t>
        </is>
      </c>
      <c r="BG707" s="24" t="inlineStr">
        <is>
          <t>6c67e999d2a03612e30f4032c8e5e77e8becfbc79e05f4c8993e726b90d34d54</t>
        </is>
      </c>
      <c r="BH707" s="24" t="inlineStr">
        <is>
          <t>2026-09-23T05:02:46.102099Z</t>
        </is>
      </c>
      <c r="BI707" s="24" t="inlineStr">
        <is>
          <t>["same_event","same_team_same_day","same_league_same_day"]</t>
        </is>
      </c>
      <c r="BJ707" s="25" t="n"/>
      <c r="BK707" s="26" t="n">
        <v>-178</v>
      </c>
      <c r="BL707" s="27" t="n">
        <v>1.561798</v>
      </c>
      <c r="BM707" s="28" t="n">
        <v>0.640288</v>
      </c>
      <c r="BN707" s="28" t="n"/>
      <c r="BO707" s="28" t="n"/>
      <c r="BP707" s="25" t="n"/>
      <c r="BQ707" s="27" t="n">
        <v>1.561798</v>
      </c>
      <c r="BR707" s="28" t="n">
        <v>0.64</v>
      </c>
      <c r="BS707" s="28" t="n"/>
      <c r="BT707" s="28" t="n"/>
      <c r="BU707" s="25" t="n"/>
      <c r="BV707" s="29" t="n"/>
      <c r="BW707" s="24" t="n"/>
      <c r="BX707" s="30" t="n">
        <v>1</v>
      </c>
      <c r="BY707" s="27" t="n">
        <v>0.561797</v>
      </c>
      <c r="BZ707" s="24" t="inlineStr">
        <is>
          <t>2026-09-24T16:02:36.865879Z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inlineStr">
        <is>
          <t>5167614e0fc5705850187fa3832ef15c3ce74ee52d6f3374bcf341e32c450839</t>
        </is>
      </c>
      <c r="DE707" s="24" t="inlineStr">
        <is>
          <t>/Users/vincentc9002/model-prediction/data/odds/tennis/2026-09-24/polymarket_snapshots.jsonl</t>
        </is>
      </c>
      <c r="DF707" s="24" t="inlineStr">
        <is>
          <t>1000362:2026-09-23T05:02:46.102099Z</t>
        </is>
      </c>
      <c r="DG707" s="24" t="n"/>
      <c r="DH707" s="24" t="n"/>
      <c r="DI707" s="24" t="n"/>
      <c r="DJ707" s="24" t="inlineStr">
        <is>
          <t>0.640288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"6c67e999d2a03612e30f4032c8e5e77e8becfbc79e05f4c8993e726b90d34d54", "away_team": "Harmony Tan", "event_id": "1022-2026:183941", "event_start_utc": "2026-09-24T12:00Z", "features": {"elo_p1_surface": 1508.7, "elo_p2_surface": 1541.1, "expected_games_p1": 11.72, "expected_games_p2": 12.86, "expected_total_games": 24.58, "history_matches": 16310, "min_player_matches": 18, "surface": "Hard"}, "historical_source_observation_times_verified": false, "home_team": "Angelina Voloshchuk", "inference_inputs": {"code_sha256": {"features/elo_ratings.py": "8525faf022a6343c452286dbfeb17dbb043744c6bdabbe448b6b371216da439b", "models/tennis.py": "6c67e999d2a03612e30f4032c8e5e77e8becfbc79e05f4c8993e726b90d34d54"}, "overall_ratings": [1547.472444382111, 1538.3001540792136], "players": ["Harmony Tan", "Angelina Voloshchuk"], "sport": "TENNIS", "surface": "Hard", "surface_counts": [30, 18], "surface_ratings": [1508.6927588071612, 1541.0516526544425]}, "market_type": "moneyline", "model_version": "tennis-surface-elo-v1", "observed_at_utc": "2026-09-24T10:11:30.579101+00:00", "probabilities": {"away": 0.4798, "home": 0.5202}, "replay_scope": "Exact full-precision serving state and rounding; upstream historical observation times are not certified.", "schema": "coded-moneyline-replay-v1", "snapshot_hash": "a8bc76f2efc557c961f8e22ed411ba865d70f13bdbdee80dbfa7e2d6ba93b540", "sport": "TENNIS"}</t>
        </is>
      </c>
    </row>
    <row r="708" ht="36" customHeight="1">
      <c r="A708" s="24" t="inlineStr">
        <is>
          <t>29d4d27816da4561</t>
        </is>
      </c>
      <c r="B708" s="24" t="inlineStr">
        <is>
          <t>2026-09-24T16:12:55.811571Z</t>
        </is>
      </c>
      <c r="C708" s="24" t="inlineStr">
        <is>
          <t>2026-09-24T17:30Z</t>
        </is>
      </c>
      <c r="D708" s="24" t="inlineStr">
        <is>
          <t>1019-2026:183888</t>
        </is>
      </c>
      <c r="E708" s="24" t="inlineStr">
        <is>
          <t>TENNIS</t>
        </is>
      </c>
      <c r="F708" s="24" t="inlineStr">
        <is>
          <t>Nuria Brancaccio</t>
        </is>
      </c>
      <c r="G708" s="24" t="inlineStr">
        <is>
          <t>Veronika Erjavec</t>
        </is>
      </c>
      <c r="H708" s="24" t="inlineStr">
        <is>
          <t>moneyline</t>
        </is>
      </c>
      <c r="I708" s="24" t="inlineStr">
        <is>
          <t>home</t>
        </is>
      </c>
      <c r="J708" s="25" t="n"/>
      <c r="K708" s="24" t="inlineStr">
        <is>
          <t>polymarket_us</t>
        </is>
      </c>
      <c r="L708" s="26" t="n">
        <v>-127</v>
      </c>
      <c r="M708" s="27" t="n">
        <v>1.787402</v>
      </c>
      <c r="N708" s="28" t="n">
        <v>0.5594710000000001</v>
      </c>
      <c r="O708" s="28" t="n">
        <v>0.5936</v>
      </c>
      <c r="P708" s="28" t="n">
        <v>0.05</v>
      </c>
      <c r="Q708" s="28" t="n">
        <v>0.034129</v>
      </c>
      <c r="R708" s="26" t="n">
        <v>37</v>
      </c>
      <c r="S708" s="29" t="n">
        <v>1</v>
      </c>
      <c r="T708" s="24" t="inlineStr">
        <is>
          <t>tennis-surface-elo-v1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</v>
      </c>
      <c r="X708" s="26" t="n">
        <v>0</v>
      </c>
      <c r="Y708" s="25" t="n"/>
      <c r="Z708" s="26" t="n">
        <v>-127</v>
      </c>
      <c r="AA708" s="28" t="n">
        <v>0.5600000000000001</v>
      </c>
      <c r="AB708" s="28" t="n">
        <v>0.000529</v>
      </c>
      <c r="AC708" s="30" t="n">
        <v>-1</v>
      </c>
      <c r="AD708" s="24" t="inlineStr">
        <is>
          <t>2026-09-24T22:00:26.778670Z</t>
        </is>
      </c>
      <c r="AE708" s="31" t="inlineStr">
        <is>
          <t>Surface-blended Elo on Hard: Nuria Brancaccio p=0.406 vs Veronika Erjavec. Executable ask 0.5600 (aec-wta-vererj-nurbra-2026-09-23).</t>
        </is>
      </c>
      <c r="AF708" s="31" t="inlineStr">
        <is>
          <t>Surface-blended Elo model; singles only, WTA+ATP market coverage, not yet locked-holdout qualified -- promoted by explicit operator directive, not genuine walk-forward validation.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Nuria Brancaccio</t>
        </is>
      </c>
      <c r="AQ708" s="24" t="inlineStr">
        <is>
          <t>Nuria Brancaccio</t>
        </is>
      </c>
      <c r="AR708" s="24" t="inlineStr">
        <is>
          <t>Nuria Brancaccio</t>
        </is>
      </c>
      <c r="AS708" s="24" t="inlineStr">
        <is>
          <t>Veronika Erjavec</t>
        </is>
      </c>
      <c r="AT708" s="24" t="inlineStr">
        <is>
          <t>Veronika Erjavec</t>
        </is>
      </c>
      <c r="AU708" s="24" t="inlineStr">
        <is>
          <t>Veronika Erjavec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6c67e999d2a03612e30f4032c8e5e77e8becfbc79e05f4c8993e726b90d34d54</t>
        </is>
      </c>
      <c r="BB708" s="24" t="inlineStr">
        <is>
          <t>surface_blended_elo</t>
        </is>
      </c>
      <c r="BC708" s="24" t="inlineStr">
        <is>
          <t>tennis-surface-elo-v1</t>
        </is>
      </c>
      <c r="BD708" s="24" t="inlineStr">
        <is>
          <t>6c67e999d2a03612e30f4032c8e5e77e8becfbc79e05f4c8993e726b90d34d54</t>
        </is>
      </c>
      <c r="BE708" s="24" t="inlineStr">
        <is>
          <t>tennis-surface-elo-v1</t>
        </is>
      </c>
      <c r="BF708" s="24" t="inlineStr">
        <is>
          <t>1</t>
        </is>
      </c>
      <c r="BG708" s="24" t="inlineStr">
        <is>
          <t>6c67e999d2a03612e30f4032c8e5e77e8becfbc79e05f4c8993e726b90d34d54</t>
        </is>
      </c>
      <c r="BH708" s="24" t="inlineStr">
        <is>
          <t>2026-09-24T16:09:25.319231Z</t>
        </is>
      </c>
      <c r="BI708" s="24" t="inlineStr">
        <is>
          <t>["same_event","same_team_same_day","same_league_same_day"]</t>
        </is>
      </c>
      <c r="BJ708" s="25" t="n"/>
      <c r="BK708" s="26" t="n">
        <v>-127</v>
      </c>
      <c r="BL708" s="27" t="n">
        <v>1.787402</v>
      </c>
      <c r="BM708" s="28" t="n">
        <v>0.5594710000000001</v>
      </c>
      <c r="BN708" s="28" t="n"/>
      <c r="BO708" s="28" t="n"/>
      <c r="BP708" s="25" t="n"/>
      <c r="BQ708" s="27" t="n">
        <v>1.787402</v>
      </c>
      <c r="BR708" s="28" t="n">
        <v>0.5600000000000001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-1</v>
      </c>
      <c r="BZ708" s="24" t="inlineStr">
        <is>
          <t>2026-09-24T22:00:26.778670Z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inlineStr">
        <is>
          <t>58547cc97d52bc0b6187a2f8c7330f8c77c4e7d9384761efda0b35acba27170f</t>
        </is>
      </c>
      <c r="DE708" s="24" t="inlineStr">
        <is>
          <t>/Users/vincentc9002/model-prediction/data/odds/tennis/2026-09-24/polymarket_snapshots.jsonl</t>
        </is>
      </c>
      <c r="DF708" s="24" t="inlineStr">
        <is>
          <t>1000233:2026-09-24T16:09:25.319231Z</t>
        </is>
      </c>
      <c r="DG708" s="24" t="n"/>
      <c r="DH708" s="24" t="n"/>
      <c r="DI708" s="24" t="n"/>
      <c r="DJ708" s="24" t="inlineStr">
        <is>
          <t>0.559471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"6c67e999d2a03612e30f4032c8e5e77e8becfbc79e05f4c8993e726b90d34d54", "away_team": "Nuria Brancaccio", "event_id": "1019-2026:183888", "event_start_utc": "2026-09-24T17:30Z", "features": {"elo_p1_surface": 1509.7, "elo_p2_surface": 1575.6, "expected_games_p1": 10.65, "expected_games_p2": 13.21, "expected_total_games": 23.86, "history_matches": 16310, "min_player_matches": 89, "surface": "Hard"}, "historical_source_observation_times_verified": false, "home_team": "Veronika Erjavec", "inference_inputs": {"code_sha256": {"features/elo_ratings.py": "8525faf022a6343c452286dbfeb17dbb043744c6bdabbe448b6b371216da439b", "models/tennis.py": "6c67e999d2a03612e30f4032c8e5e77e8becfbc79e05f4c8993e726b90d34d54"}, "overall_ratings": [1472.1522331581543, 1532.7758304871477], "players": ["Nuria Brancaccio", "Veronika Erjavec"], "sport": "TENNIS", "surface": "Hard", "surface_counts": [72, 100], "surface_ratings": [1509.7267738668904, 1575.587332425511]}, "market_type": "moneyline", "model_version": "tennis-surface-elo-v1", "observed_at_utc": "2026-09-24T16:12:53.624846+00:00", "probabilities": {"away": 0.4064, "home": 0.5936}, "replay_scope": "Exact full-precision serving state and rounding; upstream historical observation times are not certified.", "schema": "coded-moneyline-replay-v1", "snapshot_hash": "0474282d93fcd7899deecb795027d882b431b3faf9b771234ad8a65471213ef7", "sport": "TENNIS"}</t>
        </is>
      </c>
    </row>
    <row r="709" ht="36" customHeight="1">
      <c r="A709" s="24" t="inlineStr">
        <is>
          <t>1127ca54f0024bad</t>
        </is>
      </c>
      <c r="B709" s="24" t="inlineStr">
        <is>
          <t>2026-09-25T04:42:25.874139Z</t>
        </is>
      </c>
      <c r="C709" s="24" t="inlineStr">
        <is>
          <t>2026-09-25T09:00Z</t>
        </is>
      </c>
      <c r="D709" s="24" t="inlineStr">
        <is>
          <t>1077-2026:184012</t>
        </is>
      </c>
      <c r="E709" s="24" t="inlineStr">
        <is>
          <t>TENNIS</t>
        </is>
      </c>
      <c r="F709" s="24" t="inlineStr">
        <is>
          <t>Tian Fangran</t>
        </is>
      </c>
      <c r="G709" s="24" t="inlineStr">
        <is>
          <t>Teodora Kostovic</t>
        </is>
      </c>
      <c r="H709" s="24" t="inlineStr">
        <is>
          <t>moneyline</t>
        </is>
      </c>
      <c r="I709" s="24" t="inlineStr">
        <is>
          <t>away</t>
        </is>
      </c>
      <c r="J709" s="25" t="n"/>
      <c r="K709" s="24" t="inlineStr">
        <is>
          <t>polymarket_us</t>
        </is>
      </c>
      <c r="L709" s="26" t="n">
        <v>270</v>
      </c>
      <c r="M709" s="27" t="n">
        <v>3.7</v>
      </c>
      <c r="N709" s="28" t="n">
        <v>0.27027</v>
      </c>
      <c r="O709" s="28" t="n">
        <v>0.5128</v>
      </c>
      <c r="P709" s="28" t="n">
        <v>0.05</v>
      </c>
      <c r="Q709" s="28" t="n">
        <v>0.24253</v>
      </c>
      <c r="R709" s="26" t="n">
        <v>100</v>
      </c>
      <c r="S709" s="29" t="n">
        <v>2</v>
      </c>
      <c r="T709" s="24" t="inlineStr">
        <is>
          <t>tennis-surface-elo-v1</t>
        </is>
      </c>
      <c r="U709" s="24" t="inlineStr">
        <is>
          <t>settled</t>
        </is>
      </c>
      <c r="V709" s="24" t="inlineStr">
        <is>
          <t>loss</t>
        </is>
      </c>
      <c r="W709" s="26" t="n">
        <v>0</v>
      </c>
      <c r="X709" s="26" t="n">
        <v>1</v>
      </c>
      <c r="Y709" s="25" t="n"/>
      <c r="Z709" s="26" t="n"/>
      <c r="AA709" s="28" t="n"/>
      <c r="AB709" s="28" t="n"/>
      <c r="AC709" s="30" t="n">
        <v>-2</v>
      </c>
      <c r="AD709" s="24" t="inlineStr">
        <is>
          <t>2026-09-25T16:00:11.110225Z</t>
        </is>
      </c>
      <c r="AE709" s="31" t="inlineStr">
        <is>
          <t>Surface-blended Elo on Hard: Tian Fangran p=0.513 vs Teodora Kostovic. Executable ask 0.2700 (aec-wta-teokos-fantia-2026-09-25).</t>
        </is>
      </c>
      <c r="AF709" s="31" t="inlineStr">
        <is>
          <t>Surface-blended Elo model; singles only, WTA+ATP market coverage, not yet locked-holdout qualified -- promoted by explicit operator directive, not genuine walk-forward validation.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Tian Fangran</t>
        </is>
      </c>
      <c r="AQ709" s="24" t="inlineStr">
        <is>
          <t>Tian Fangran</t>
        </is>
      </c>
      <c r="AR709" s="24" t="inlineStr">
        <is>
          <t>Tian Fangran</t>
        </is>
      </c>
      <c r="AS709" s="24" t="inlineStr">
        <is>
          <t>Teodora Kostovic</t>
        </is>
      </c>
      <c r="AT709" s="24" t="inlineStr">
        <is>
          <t>Teodora Kostovic</t>
        </is>
      </c>
      <c r="AU709" s="24" t="inlineStr">
        <is>
          <t>Teodora Kostovic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6c67e999d2a03612e30f4032c8e5e77e8becfbc79e05f4c8993e726b90d34d54</t>
        </is>
      </c>
      <c r="BB709" s="24" t="inlineStr">
        <is>
          <t>surface_blended_elo</t>
        </is>
      </c>
      <c r="BC709" s="24" t="inlineStr">
        <is>
          <t>tennis-surface-elo-v1</t>
        </is>
      </c>
      <c r="BD709" s="24" t="inlineStr">
        <is>
          <t>6c67e999d2a03612e30f4032c8e5e77e8becfbc79e05f4c8993e726b90d34d54</t>
        </is>
      </c>
      <c r="BE709" s="24" t="inlineStr">
        <is>
          <t>tennis-surface-elo-v1</t>
        </is>
      </c>
      <c r="BF709" s="24" t="inlineStr">
        <is>
          <t>1</t>
        </is>
      </c>
      <c r="BG709" s="24" t="inlineStr">
        <is>
          <t>6c67e999d2a03612e30f4032c8e5e77e8becfbc79e05f4c8993e726b90d34d54</t>
        </is>
      </c>
      <c r="BH709" s="24" t="inlineStr">
        <is>
          <t>2026-09-25T04:37:59.116146Z</t>
        </is>
      </c>
      <c r="BI709" s="24" t="inlineStr">
        <is>
          <t>["same_event","same_team_same_day","same_league_same_day"]</t>
        </is>
      </c>
      <c r="BJ709" s="25" t="n"/>
      <c r="BK709" s="26" t="n">
        <v>270</v>
      </c>
      <c r="BL709" s="27" t="n">
        <v>3.7</v>
      </c>
      <c r="BM709" s="28" t="n">
        <v>0.27027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2026-09-25T16:00:11.110225Z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inlineStr">
        <is>
          <t>279b5129eb2816f71d217fde135a2adc0930a2b91a39307b583e7bd29f53a04c</t>
        </is>
      </c>
      <c r="DE709" s="24" t="inlineStr">
        <is>
          <t>/Users/vincentc9002/model-prediction/data/odds/tennis/2026-09-25/polymarket_snapshots.jsonl</t>
        </is>
      </c>
      <c r="DF709" s="24" t="inlineStr">
        <is>
          <t>1032995:2026-09-25T04:37:59.116146Z</t>
        </is>
      </c>
      <c r="DG709" s="24" t="n"/>
      <c r="DH709" s="24" t="n"/>
      <c r="DI709" s="24" t="n"/>
      <c r="DJ709" s="24" t="inlineStr">
        <is>
          <t>0.27027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"6c67e999d2a03612e30f4032c8e5e77e8becfbc79e05f4c8993e726b90d34d54", "away_team": "Tian Fangran", "event_id": "1077-2026:184012", "event_start_utc": "2026-09-25T09:00Z", "features": {"elo_p1_surface": 1565.1, "elo_p2_surface": 1538.3, "expected_games_p1": 13.05, "expected_games_p2": 11.51, "expected_total_games": 24.55, "history_matches": 16330, "min_player_matches": 16, "surface": "Hard"}, "historical_source_observation_times_verified": false, "home_team": "Teodora Kostovic", "inference_inputs": {"code_sha256": {"features/elo_ratings.py": "8525faf022a6343c452286dbfeb17dbb043744c6bdabbe448b6b371216da439b", "models/tennis.py": "6c67e999d2a03612e30f4032c8e5e77e8becfbc79e05f4c8993e726b90d34d54"}, "overall_ratings": [1566.5626672165479, 1585.7605498355144], "players": ["Tian Fangran", "Teodora Kostovic"], "sport": "TENNIS", "surface": "Hard", "surface_counts": [16, 37], "surface_ratings": [1565.1194631610952, 1538.2750534996878]}, "market_type": "moneyline", "model_version": "tennis-surface-elo-v1", "observed_at_utc": "2026-09-25T04:42:25.043939+00:00", "probabilities": {"away": 0.5128, "home": 0.4872}, "replay_scope": "Exact full-precision serving state and rounding; upstream historical observation times are not certified.", "schema": "coded-moneyline-replay-v1", "snapshot_hash": "d5ca026a1ce792003208656598a941bc7513f00c138fcbff35ebdd1846e391a1", "sport": "TENNIS"}</t>
        </is>
      </c>
    </row>
    <row r="710" ht="36" customHeight="1">
      <c r="A710" s="24" t="inlineStr">
        <is>
          <t>e613f62c8def4f4c</t>
        </is>
      </c>
      <c r="B710" s="24" t="inlineStr">
        <is>
          <t>2026-09-25T10:11:59.776673Z</t>
        </is>
      </c>
      <c r="C710" s="24" t="inlineStr">
        <is>
          <t>2026-09-25T12:00Z</t>
        </is>
      </c>
      <c r="D710" s="24" t="inlineStr">
        <is>
          <t>1009-2026:184103</t>
        </is>
      </c>
      <c r="E710" s="24" t="inlineStr">
        <is>
          <t>TENNIS</t>
        </is>
      </c>
      <c r="F710" s="24" t="inlineStr">
        <is>
          <t>Talia Gibson</t>
        </is>
      </c>
      <c r="G710" s="24" t="inlineStr">
        <is>
          <t>Maria Sakkari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polymarket_us</t>
        </is>
      </c>
      <c r="L710" s="26" t="n">
        <v>-213</v>
      </c>
      <c r="M710" s="27" t="n">
        <v>1.469484</v>
      </c>
      <c r="N710" s="28" t="n">
        <v>0.680511</v>
      </c>
      <c r="O710" s="28" t="n">
        <v>0.5433</v>
      </c>
      <c r="P710" s="28" t="n">
        <v>0.05</v>
      </c>
      <c r="Q710" s="28" t="n">
        <v>-0.137211</v>
      </c>
      <c r="R710" s="26" t="n">
        <v>0</v>
      </c>
      <c r="S710" s="29" t="n">
        <v>1</v>
      </c>
      <c r="T710" s="24" t="inlineStr">
        <is>
          <t>tennis-surface-elo-v1</t>
        </is>
      </c>
      <c r="U710" s="24" t="inlineStr">
        <is>
          <t>settled</t>
        </is>
      </c>
      <c r="V710" s="24" t="inlineStr">
        <is>
          <t>loss</t>
        </is>
      </c>
      <c r="W710" s="26" t="n">
        <v>1</v>
      </c>
      <c r="X710" s="26" t="n">
        <v>0</v>
      </c>
      <c r="Y710" s="25" t="n"/>
      <c r="Z710" s="26" t="n">
        <v>-213</v>
      </c>
      <c r="AA710" s="28" t="n">
        <v>0.68</v>
      </c>
      <c r="AB710" s="28" t="n">
        <v>-0.000511</v>
      </c>
      <c r="AC710" s="30" t="n">
        <v>-1</v>
      </c>
      <c r="AD710" s="24" t="inlineStr">
        <is>
          <t>2026-09-25T16:00:15.454455Z</t>
        </is>
      </c>
      <c r="AE710" s="31" t="inlineStr">
        <is>
          <t>Surface-blended Elo on Hard: Talia Gibson p=0.457 vs Maria Sakkari. Executable ask 0.6800 (aec-wta-marsak-talgib-2026-09-25).</t>
        </is>
      </c>
      <c r="AF710" s="31" t="inlineStr">
        <is>
          <t>Surface-blended Elo model; singles only, WTA+ATP market coverage, not yet locked-holdout qualified -- promoted by explicit operator directive, not genuine walk-forward validation.</t>
        </is>
      </c>
      <c r="AG710" s="24" t="inlineStr">
        <is>
          <t>review_required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Talia Gibson</t>
        </is>
      </c>
      <c r="AQ710" s="24" t="inlineStr">
        <is>
          <t>Talia Gibson</t>
        </is>
      </c>
      <c r="AR710" s="24" t="inlineStr">
        <is>
          <t>Talia Gibson</t>
        </is>
      </c>
      <c r="AS710" s="24" t="inlineStr">
        <is>
          <t>Maria Sakkari</t>
        </is>
      </c>
      <c r="AT710" s="24" t="inlineStr">
        <is>
          <t>Maria Sakkari</t>
        </is>
      </c>
      <c r="AU710" s="24" t="inlineStr">
        <is>
          <t>Maria Sakkari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6c67e999d2a03612e30f4032c8e5e77e8becfbc79e05f4c8993e726b90d34d54</t>
        </is>
      </c>
      <c r="BB710" s="24" t="inlineStr">
        <is>
          <t>surface_blended_elo</t>
        </is>
      </c>
      <c r="BC710" s="24" t="inlineStr">
        <is>
          <t>tennis-surface-elo-v1</t>
        </is>
      </c>
      <c r="BD710" s="24" t="inlineStr">
        <is>
          <t>6c67e999d2a03612e30f4032c8e5e77e8becfbc79e05f4c8993e726b90d34d54</t>
        </is>
      </c>
      <c r="BE710" s="24" t="inlineStr">
        <is>
          <t>tennis-surface-elo-v1</t>
        </is>
      </c>
      <c r="BF710" s="24" t="inlineStr">
        <is>
          <t>1</t>
        </is>
      </c>
      <c r="BG710" s="24" t="inlineStr">
        <is>
          <t>6c67e999d2a03612e30f4032c8e5e77e8becfbc79e05f4c8993e726b90d34d54</t>
        </is>
      </c>
      <c r="BH710" s="24" t="inlineStr">
        <is>
          <t>2026-09-25T10:07:26.106732Z</t>
        </is>
      </c>
      <c r="BI710" s="24" t="inlineStr">
        <is>
          <t>["same_event","same_team_same_day","same_league_same_day"]</t>
        </is>
      </c>
      <c r="BJ710" s="25" t="n"/>
      <c r="BK710" s="26" t="n">
        <v>-213</v>
      </c>
      <c r="BL710" s="27" t="n">
        <v>1.469484</v>
      </c>
      <c r="BM710" s="28" t="n">
        <v>0.680511</v>
      </c>
      <c r="BN710" s="28" t="n"/>
      <c r="BO710" s="28" t="n"/>
      <c r="BP710" s="25" t="n"/>
      <c r="BQ710" s="27" t="n">
        <v>1.469484</v>
      </c>
      <c r="BR710" s="28" t="n">
        <v>0.68</v>
      </c>
      <c r="BS710" s="28" t="n"/>
      <c r="BT710" s="28" t="n"/>
      <c r="BU710" s="25" t="n"/>
      <c r="BV710" s="29" t="n"/>
      <c r="BW710" s="24" t="n"/>
      <c r="BX710" s="30" t="n">
        <v>1</v>
      </c>
      <c r="BY710" s="27" t="n">
        <v>-1</v>
      </c>
      <c r="BZ710" s="24" t="inlineStr">
        <is>
          <t>2026-09-25T16:00:15.454455Z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inlineStr">
        <is>
          <t>5c254a4d9caf57af385e27471174f83a69845577ad478d24120dc12e803c2f28</t>
        </is>
      </c>
      <c r="DE710" s="24" t="inlineStr">
        <is>
          <t>/Users/vincentc9002/model-prediction/data/odds/tennis/2026-09-25/polymarket_snapshots.jsonl</t>
        </is>
      </c>
      <c r="DF710" s="24" t="inlineStr">
        <is>
          <t>1033791:2026-09-25T10:07:26.106732Z</t>
        </is>
      </c>
      <c r="DG710" s="24" t="n"/>
      <c r="DH710" s="24" t="n"/>
      <c r="DI710" s="24" t="n"/>
      <c r="DJ710" s="24" t="inlineStr">
        <is>
          <t>0.680511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"6c67e999d2a03612e30f4032c8e5e77e8becfbc79e05f4c8993e726b90d34d54", "away_team": "Talia Gibson", "event_id": "1009-2026:184103", "event_start_utc": "2026-09-25T12:00Z", "features": {"elo_p1_surface": 1661.9, "elo_p2_surface": 1673.9, "expected_games_p1": 12.27, "expected_games_p2": 12.49, "expected_total_games": 24.77, "history_matches": 16330, "min_player_matches": 90, "surface": "Hard"}, "historical_source_observation_times_verified": false, "home_team": "Maria Sakkari", "inference_inputs": {"code_sha256": {"features/elo_ratings.py": "8525faf022a6343c452286dbfeb17dbb043744c6bdabbe448b6b371216da439b", "models/tennis.py": "6c67e999d2a03612e30f4032c8e5e77e8becfbc79e05f4c8993e726b90d34d54"}, "overall_ratings": [1635.3681461277424, 1711.2438831940237], "players": ["Talia Gibson", "Maria Sakkari"], "sport": "TENNIS", "surface": "Hard", "surface_counts": [66, 92], "surface_ratings": [1661.8823981827916, 1673.8586627632985]}, "market_type": "moneyline", "model_version": "tennis-surface-elo-v1", "observed_at_utc": "2026-09-25T10:11:58.872282+00:00", "probabilities": {"away": 0.4567, "home": 0.5433}, "replay_scope": "Exact full-precision serving state and rounding; upstream historical observation times are not certified.", "schema": "coded-moneyline-replay-v1", "snapshot_hash": "8b27d99803dbb7e18897b394638c7dc4c871127ed6ec06323456e4ca725ef117", "sport": "TENNIS"}</t>
        </is>
      </c>
    </row>
    <row r="711" ht="36" customHeight="1">
      <c r="A711" s="24" t="inlineStr">
        <is>
          <t>718d42de65204e8e</t>
        </is>
      </c>
      <c r="B711" s="24" t="inlineStr">
        <is>
          <t>2026-09-25T10:11:59.776673Z</t>
        </is>
      </c>
      <c r="C711" s="24" t="inlineStr">
        <is>
          <t>2026-09-25T15:30Z</t>
        </is>
      </c>
      <c r="D711" s="24" t="inlineStr">
        <is>
          <t>1019-2026:183900</t>
        </is>
      </c>
      <c r="E711" s="24" t="inlineStr">
        <is>
          <t>TENNIS</t>
        </is>
      </c>
      <c r="F711" s="24" t="inlineStr">
        <is>
          <t>Oksana Selekhmeteva</t>
        </is>
      </c>
      <c r="G711" s="24" t="inlineStr">
        <is>
          <t>Ekaterine Gorgodze</t>
        </is>
      </c>
      <c r="H711" s="24" t="inlineStr">
        <is>
          <t>moneyline</t>
        </is>
      </c>
      <c r="I711" s="24" t="inlineStr">
        <is>
          <t>away</t>
        </is>
      </c>
      <c r="J711" s="25" t="n"/>
      <c r="K711" s="24" t="inlineStr">
        <is>
          <t>polymarket_us</t>
        </is>
      </c>
      <c r="L711" s="26" t="n">
        <v>-203</v>
      </c>
      <c r="M711" s="27" t="n">
        <v>1.492611</v>
      </c>
      <c r="N711" s="28" t="n">
        <v>0.669967</v>
      </c>
      <c r="O711" s="28" t="n">
        <v>0.6008</v>
      </c>
      <c r="P711" s="28" t="n">
        <v>0.05</v>
      </c>
      <c r="Q711" s="28" t="n">
        <v>-0.06916700000000001</v>
      </c>
      <c r="R711" s="26" t="n">
        <v>0</v>
      </c>
      <c r="S711" s="29" t="n">
        <v>1</v>
      </c>
      <c r="T711" s="24" t="inlineStr">
        <is>
          <t>tennis-surface-elo-v1</t>
        </is>
      </c>
      <c r="U711" s="24" t="inlineStr">
        <is>
          <t>settled</t>
        </is>
      </c>
      <c r="V711" s="24" t="inlineStr">
        <is>
          <t>win</t>
        </is>
      </c>
      <c r="W711" s="26" t="n">
        <v>1</v>
      </c>
      <c r="X711" s="26" t="n">
        <v>0</v>
      </c>
      <c r="Y711" s="25" t="n"/>
      <c r="Z711" s="26" t="n">
        <v>-203</v>
      </c>
      <c r="AA711" s="28" t="n">
        <v>0.67</v>
      </c>
      <c r="AB711" s="28" t="n">
        <v>3.3e-05</v>
      </c>
      <c r="AC711" s="30" t="n">
        <v>0.4926</v>
      </c>
      <c r="AD711" s="24" t="inlineStr">
        <is>
          <t>2026-09-25T22:00:15.057084Z</t>
        </is>
      </c>
      <c r="AE711" s="31" t="inlineStr">
        <is>
          <t>Surface-blended Elo on Hard: Oksana Selekhmeteva p=0.601 vs Ekaterine Gorgodze. Executable ask 0.6700 (aec-wta-ekagor-okssel-2026-09-25).</t>
        </is>
      </c>
      <c r="AF711" s="31" t="inlineStr">
        <is>
          <t>Surface-blended Elo model; singles only, WTA+ATP market coverage, not yet locked-holdout qualified -- promoted by explicit operator directive, not genuine walk-forward validation.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PAPER_CALL_LOW_EDGE</t>
        </is>
      </c>
      <c r="AP711" s="24" t="inlineStr">
        <is>
          <t>Oksana Selekhmeteva</t>
        </is>
      </c>
      <c r="AQ711" s="24" t="inlineStr">
        <is>
          <t>Oksana Selekhmeteva</t>
        </is>
      </c>
      <c r="AR711" s="24" t="inlineStr">
        <is>
          <t>Oksana Selekhmeteva</t>
        </is>
      </c>
      <c r="AS711" s="24" t="inlineStr">
        <is>
          <t>Ekaterine Gorgodze</t>
        </is>
      </c>
      <c r="AT711" s="24" t="inlineStr">
        <is>
          <t>Ekaterine Gorgodze</t>
        </is>
      </c>
      <c r="AU711" s="24" t="inlineStr">
        <is>
          <t>Ekaterine Gorgodze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6c67e999d2a03612e30f4032c8e5e77e8becfbc79e05f4c8993e726b90d34d54</t>
        </is>
      </c>
      <c r="BB711" s="24" t="inlineStr">
        <is>
          <t>surface_blended_elo</t>
        </is>
      </c>
      <c r="BC711" s="24" t="inlineStr">
        <is>
          <t>tennis-surface-elo-v1</t>
        </is>
      </c>
      <c r="BD711" s="24" t="inlineStr">
        <is>
          <t>6c67e999d2a03612e30f4032c8e5e77e8becfbc79e05f4c8993e726b90d34d54</t>
        </is>
      </c>
      <c r="BE711" s="24" t="inlineStr">
        <is>
          <t>tennis-surface-elo-v1</t>
        </is>
      </c>
      <c r="BF711" s="24" t="inlineStr">
        <is>
          <t>1</t>
        </is>
      </c>
      <c r="BG711" s="24" t="inlineStr">
        <is>
          <t>6c67e999d2a03612e30f4032c8e5e77e8becfbc79e05f4c8993e726b90d34d54</t>
        </is>
      </c>
      <c r="BH711" s="24" t="inlineStr">
        <is>
          <t>2026-09-25T10:07:48.148350Z</t>
        </is>
      </c>
      <c r="BI711" s="24" t="inlineStr">
        <is>
          <t>["same_event","same_team_same_day","same_league_same_day"]</t>
        </is>
      </c>
      <c r="BJ711" s="25" t="n"/>
      <c r="BK711" s="26" t="n">
        <v>-203</v>
      </c>
      <c r="BL711" s="27" t="n">
        <v>1.492611</v>
      </c>
      <c r="BM711" s="28" t="n">
        <v>0.669967</v>
      </c>
      <c r="BN711" s="28" t="n"/>
      <c r="BO711" s="28" t="n"/>
      <c r="BP711" s="25" t="n"/>
      <c r="BQ711" s="27" t="n">
        <v>1.492611</v>
      </c>
      <c r="BR711" s="28" t="n">
        <v>0.67</v>
      </c>
      <c r="BS711" s="28" t="n"/>
      <c r="BT711" s="28" t="n"/>
      <c r="BU711" s="25" t="n"/>
      <c r="BV711" s="29" t="n"/>
      <c r="BW711" s="24" t="n"/>
      <c r="BX711" s="30" t="n">
        <v>1</v>
      </c>
      <c r="BY711" s="27" t="n">
        <v>0.492611</v>
      </c>
      <c r="BZ711" s="24" t="inlineStr">
        <is>
          <t>2026-09-25T22:00:15.057084Z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inlineStr">
        <is>
          <t>28180cae02aaa0fc80b07c0de95cfa41d72f4549550e93bb089bdc448db7cfdd</t>
        </is>
      </c>
      <c r="DE711" s="24" t="inlineStr">
        <is>
          <t>/Users/vincentc9002/model-prediction/data/odds/tennis/2026-09-25/polymarket_snapshots.jsonl</t>
        </is>
      </c>
      <c r="DF711" s="24" t="inlineStr">
        <is>
          <t>1035685:2026-09-25T10:07:48.148350Z</t>
        </is>
      </c>
      <c r="DG711" s="24" t="n"/>
      <c r="DH711" s="24" t="n"/>
      <c r="DI711" s="24" t="n"/>
      <c r="DJ711" s="24" t="inlineStr">
        <is>
          <t>0.669967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"6c67e999d2a03612e30f4032c8e5e77e8becfbc79e05f4c8993e726b90d34d54", "away_team": "Oksana Selekhmeteva", "event_id": "1019-2026:183900", "event_start_utc": "2026-09-25T15:30Z", "features": {"elo_p1_surface": 1601.4, "elo_p2_surface": 1520.5, "expected_games_p1": 13.45, "expected_games_p2": 9.69, "expected_total_games": 23.14, "history_matches": 16330, "min_player_matches": 74, "surface": "Hard"}, "historical_source_observation_times_verified": false, "home_team": "Ekaterine Gorgodze", "inference_inputs": {"code_sha256": {"features/elo_ratings.py": "8525faf022a6343c452286dbfeb17dbb043744c6bdabbe448b6b371216da439b", "models/tennis.py": "6c67e999d2a03612e30f4032c8e5e77e8becfbc79e05f4c8993e726b90d34d54"}, "overall_ratings": [1581.381841480977, 1535.582816480624], "players": ["Oksana Selekhmeteva", "Ekaterine Gorgodze"], "sport": "TENNIS", "surface": "Hard", "surface_counts": [97, 64], "surface_ratings": [1601.4491947713877, 1520.4538694197165]}, "market_type": "moneyline", "model_version": "tennis-surface-elo-v1", "observed_at_utc": "2026-09-25T10:11:58.872282+00:00", "probabilities": {"away": 0.6008, "home": 0.3992}, "replay_scope": "Exact full-precision serving state and rounding; upstream historical observation times are not certified.", "schema": "coded-moneyline-replay-v1", "snapshot_hash": "983fb32932bcb152c9518866091ef0eac57915946e616d20d5a5b4af6e0e257b", "sport": "TENNIS"}</t>
        </is>
      </c>
    </row>
    <row r="712" ht="36" customHeight="1">
      <c r="A712" s="24" t="inlineStr">
        <is>
          <t>230f97c2a9bc4996</t>
        </is>
      </c>
      <c r="B712" s="24" t="inlineStr">
        <is>
          <t>2026-09-25T10:11:59.776673Z</t>
        </is>
      </c>
      <c r="C712" s="24" t="inlineStr">
        <is>
          <t>2026-09-25T12:00Z</t>
        </is>
      </c>
      <c r="D712" s="24" t="inlineStr">
        <is>
          <t>1022-2026:183965</t>
        </is>
      </c>
      <c r="E712" s="24" t="inlineStr">
        <is>
          <t>TENNIS</t>
        </is>
      </c>
      <c r="F712" s="24" t="inlineStr">
        <is>
          <t>Angelina Voloshchuk</t>
        </is>
      </c>
      <c r="G712" s="24" t="inlineStr">
        <is>
          <t>Reese Brantmeier</t>
        </is>
      </c>
      <c r="H712" s="24" t="inlineStr">
        <is>
          <t>moneyline</t>
        </is>
      </c>
      <c r="I712" s="24" t="inlineStr">
        <is>
          <t>away</t>
        </is>
      </c>
      <c r="J712" s="25" t="n"/>
      <c r="K712" s="24" t="inlineStr">
        <is>
          <t>polymarket_us</t>
        </is>
      </c>
      <c r="L712" s="26" t="n">
        <v>212</v>
      </c>
      <c r="M712" s="27" t="n">
        <v>3.12</v>
      </c>
      <c r="N712" s="28" t="n">
        <v>0.320513</v>
      </c>
      <c r="O712" s="28" t="n">
        <v>0.5246</v>
      </c>
      <c r="P712" s="28" t="n">
        <v>0.05</v>
      </c>
      <c r="Q712" s="28" t="n">
        <v>0.204087</v>
      </c>
      <c r="R712" s="26" t="n">
        <v>100</v>
      </c>
      <c r="S712" s="29" t="n">
        <v>2</v>
      </c>
      <c r="T712" s="24" t="inlineStr">
        <is>
          <t>tennis-surface-elo-v1</t>
        </is>
      </c>
      <c r="U712" s="24" t="inlineStr">
        <is>
          <t>settled</t>
        </is>
      </c>
      <c r="V712" s="24" t="inlineStr">
        <is>
          <t>loss</t>
        </is>
      </c>
      <c r="W712" s="26" t="n">
        <v>0</v>
      </c>
      <c r="X712" s="26" t="n">
        <v>1</v>
      </c>
      <c r="Y712" s="25" t="n"/>
      <c r="Z712" s="26" t="n">
        <v>212</v>
      </c>
      <c r="AA712" s="28" t="n">
        <v>0.32</v>
      </c>
      <c r="AB712" s="28" t="n">
        <v>-0.000513</v>
      </c>
      <c r="AC712" s="30" t="n">
        <v>-2</v>
      </c>
      <c r="AD712" s="24" t="inlineStr">
        <is>
          <t>2026-09-25T16:00:16.586625Z</t>
        </is>
      </c>
      <c r="AE712" s="31" t="inlineStr">
        <is>
          <t>Surface-blended Elo on Hard: Angelina Voloshchuk p=0.525 vs Reese Brantmeier. Executable ask 0.3200 (aec-wta-reebra-angvol-2026-09-25).</t>
        </is>
      </c>
      <c r="AF712" s="31" t="inlineStr">
        <is>
          <t>Surface-blended Elo model; singles only, WTA+ATP market coverage, not yet locked-holdout qualified -- promoted by explicit operator directive, not genuine walk-forward validation.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Angelina Voloshchuk</t>
        </is>
      </c>
      <c r="AQ712" s="24" t="inlineStr">
        <is>
          <t>Angelina Voloshchuk</t>
        </is>
      </c>
      <c r="AR712" s="24" t="inlineStr">
        <is>
          <t>Angelina Voloshchuk</t>
        </is>
      </c>
      <c r="AS712" s="24" t="inlineStr">
        <is>
          <t>Reese Brantmeier</t>
        </is>
      </c>
      <c r="AT712" s="24" t="inlineStr">
        <is>
          <t>Reese Brantmeier</t>
        </is>
      </c>
      <c r="AU712" s="24" t="inlineStr">
        <is>
          <t>Reese Brantmeier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6c67e999d2a03612e30f4032c8e5e77e8becfbc79e05f4c8993e726b90d34d54</t>
        </is>
      </c>
      <c r="BB712" s="24" t="inlineStr">
        <is>
          <t>surface_blended_elo</t>
        </is>
      </c>
      <c r="BC712" s="24" t="inlineStr">
        <is>
          <t>tennis-surface-elo-v1</t>
        </is>
      </c>
      <c r="BD712" s="24" t="inlineStr">
        <is>
          <t>6c67e999d2a03612e30f4032c8e5e77e8becfbc79e05f4c8993e726b90d34d54</t>
        </is>
      </c>
      <c r="BE712" s="24" t="inlineStr">
        <is>
          <t>tennis-surface-elo-v1</t>
        </is>
      </c>
      <c r="BF712" s="24" t="inlineStr">
        <is>
          <t>1</t>
        </is>
      </c>
      <c r="BG712" s="24" t="inlineStr">
        <is>
          <t>6c67e999d2a03612e30f4032c8e5e77e8becfbc79e05f4c8993e726b90d34d54</t>
        </is>
      </c>
      <c r="BH712" s="24" t="inlineStr">
        <is>
          <t>2026-09-25T04:38:10.124733Z</t>
        </is>
      </c>
      <c r="BI712" s="24" t="inlineStr">
        <is>
          <t>["same_event","same_team_same_day","same_league_same_day"]</t>
        </is>
      </c>
      <c r="BJ712" s="25" t="n"/>
      <c r="BK712" s="26" t="n">
        <v>212</v>
      </c>
      <c r="BL712" s="27" t="n">
        <v>3.12</v>
      </c>
      <c r="BM712" s="28" t="n">
        <v>0.320513</v>
      </c>
      <c r="BN712" s="28" t="n"/>
      <c r="BO712" s="28" t="n"/>
      <c r="BP712" s="25" t="n"/>
      <c r="BQ712" s="27" t="n">
        <v>3.12</v>
      </c>
      <c r="BR712" s="28" t="n">
        <v>0.32</v>
      </c>
      <c r="BS712" s="28" t="n"/>
      <c r="BT712" s="28" t="n"/>
      <c r="BU712" s="25" t="n"/>
      <c r="BV712" s="29" t="n"/>
      <c r="BW712" s="24" t="n"/>
      <c r="BX712" s="30" t="n">
        <v>1</v>
      </c>
      <c r="BY712" s="27" t="n">
        <v>-1</v>
      </c>
      <c r="BZ712" s="24" t="inlineStr">
        <is>
          <t>2026-09-25T16:00:16.586625Z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inlineStr">
        <is>
          <t>ee4fc2c30b0e19eda46857cbdb745cbca0c956a8e82e02b4b53bb33d1b84254f</t>
        </is>
      </c>
      <c r="DE712" s="24" t="inlineStr">
        <is>
          <t>/Users/vincentc9002/model-prediction/data/odds/tennis/2026-09-25/polymarket_snapshots.jsonl</t>
        </is>
      </c>
      <c r="DF712" s="24" t="inlineStr">
        <is>
          <t>1032590:2026-09-25T04:38:10.124733Z</t>
        </is>
      </c>
      <c r="DG712" s="24" t="n"/>
      <c r="DH712" s="24" t="n"/>
      <c r="DI712" s="24" t="n"/>
      <c r="DJ712" s="24" t="inlineStr">
        <is>
          <t>0.320513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"6c67e999d2a03612e30f4032c8e5e77e8becfbc79e05f4c8993e726b90d34d54", "away_team": "Angelina Voloshchuk", "event_id": "1022-2026:183965", "event_start_utc": "2026-09-25T12:00Z", "features": {"elo_p1_surface": 1555.6, "elo_p2_surface": 1540.0, "expected_games_p1": 12.86, "expected_games_p2": 11.83, "expected_total_games": 24.69, "history_matches": 16330, "min_player_matches": 10, "surface": "Hard"}, "historical_source_observation_times_verified": false, "home_team": "Reese Brantmeier", "inference_inputs": {"code_sha256": {"features/elo_ratings.py": "8525faf022a6343c452286dbfeb17dbb043744c6bdabbe448b6b371216da439b", "models/tennis.py": "6c67e999d2a03612e30f4032c8e5e77e8becfbc79e05f4c8993e726b90d34d54"}, "overall_ratings": [1554.7224555532905, 1536.9685660593032], "players": ["Angelina Voloshchuk", "Reese Brantmeier"], "sport": "TENNIS", "surface": "Hard", "surface_counts": [19, 10], "surface_ratings": [1555.5657644292357, 1539.971133912959]}, "market_type": "moneyline", "model_version": "tennis-surface-elo-v1", "observed_at_utc": "2026-09-25T10:11:58.872282+00:00", "probabilities": {"away": 0.5246, "home": 0.4754}, "replay_scope": "Exact full-precision serving state and rounding; upstream historical observation times are not certified.", "schema": "coded-moneyline-replay-v1", "snapshot_hash": "6500fc3fa220368e57b365c62fab02efd680140dbff5d1deac51aa018f4f1a32", "sport": "TENNIS"}</t>
        </is>
      </c>
    </row>
    <row r="713" ht="36" customHeight="1">
      <c r="A713" s="24" t="inlineStr">
        <is>
          <t>cf96de980333451a</t>
        </is>
      </c>
      <c r="B713" s="24" t="inlineStr">
        <is>
          <t>2026-09-25T10:11:59.776673Z</t>
        </is>
      </c>
      <c r="C713" s="24" t="inlineStr">
        <is>
          <t>2026-09-25T10:20Z</t>
        </is>
      </c>
      <c r="D713" s="24" t="inlineStr">
        <is>
          <t>1001-2026:183368</t>
        </is>
      </c>
      <c r="E713" s="24" t="inlineStr">
        <is>
          <t>TENNIS</t>
        </is>
      </c>
      <c r="F713" s="24" t="inlineStr">
        <is>
          <t>Andrey Rublev</t>
        </is>
      </c>
      <c r="G713" s="24" t="inlineStr">
        <is>
          <t>Rinky Hijikata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polymarket_us</t>
        </is>
      </c>
      <c r="L713" s="26" t="n">
        <v>-335</v>
      </c>
      <c r="M713" s="27" t="n">
        <v>1.298507</v>
      </c>
      <c r="N713" s="28" t="n">
        <v>0.770115</v>
      </c>
      <c r="O713" s="28" t="n">
        <v>0.5421</v>
      </c>
      <c r="P713" s="28" t="n">
        <v>0.05</v>
      </c>
      <c r="Q713" s="28" t="n">
        <v>-0.228015</v>
      </c>
      <c r="R713" s="26" t="n">
        <v>0</v>
      </c>
      <c r="S713" s="29" t="n">
        <v>1</v>
      </c>
      <c r="T713" s="24" t="inlineStr">
        <is>
          <t>tennis-surface-elo-v1</t>
        </is>
      </c>
      <c r="U713" s="24" t="inlineStr">
        <is>
          <t>settled</t>
        </is>
      </c>
      <c r="V713" s="24" t="inlineStr">
        <is>
          <t>win</t>
        </is>
      </c>
      <c r="W713" s="26" t="n">
        <v>1</v>
      </c>
      <c r="X713" s="26" t="n">
        <v>0</v>
      </c>
      <c r="Y713" s="25" t="n"/>
      <c r="Z713" s="26" t="n">
        <v>-335</v>
      </c>
      <c r="AA713" s="28" t="n">
        <v>0.77</v>
      </c>
      <c r="AB713" s="28" t="n">
        <v>-0.000115</v>
      </c>
      <c r="AC713" s="30" t="n">
        <v>0.2985</v>
      </c>
      <c r="AD713" s="24" t="inlineStr">
        <is>
          <t>2026-09-25T16:00:17.689436Z</t>
        </is>
      </c>
      <c r="AE713" s="31" t="inlineStr">
        <is>
          <t>Surface-blended Elo on Hard: Andrey Rublev p=0.542 vs Rinky Hijikata. Executable ask 0.7700 (aec-atp-rinhij-andrub-2026-09-25).</t>
        </is>
      </c>
      <c r="AF713" s="31" t="inlineStr">
        <is>
          <t>Surface-blended Elo model; singles only, WTA+ATP market coverage, not yet locked-holdout qualified -- promoted by explicit operator directive, not genuine walk-forward validation.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Andrey Rublev</t>
        </is>
      </c>
      <c r="AQ713" s="24" t="inlineStr">
        <is>
          <t>Andrey Rublev</t>
        </is>
      </c>
      <c r="AR713" s="24" t="inlineStr">
        <is>
          <t>Andrey Rublev</t>
        </is>
      </c>
      <c r="AS713" s="24" t="inlineStr">
        <is>
          <t>Rinky Hijikata</t>
        </is>
      </c>
      <c r="AT713" s="24" t="inlineStr">
        <is>
          <t>Rinky Hijikata</t>
        </is>
      </c>
      <c r="AU713" s="24" t="inlineStr">
        <is>
          <t>Rinky Hijikata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6c67e999d2a03612e30f4032c8e5e77e8becfbc79e05f4c8993e726b90d34d54</t>
        </is>
      </c>
      <c r="BB713" s="24" t="inlineStr">
        <is>
          <t>surface_blended_elo</t>
        </is>
      </c>
      <c r="BC713" s="24" t="inlineStr">
        <is>
          <t>tennis-surface-elo-v1</t>
        </is>
      </c>
      <c r="BD713" s="24" t="inlineStr">
        <is>
          <t>6c67e999d2a03612e30f4032c8e5e77e8becfbc79e05f4c8993e726b90d34d54</t>
        </is>
      </c>
      <c r="BE713" s="24" t="inlineStr">
        <is>
          <t>tennis-surface-elo-v1</t>
        </is>
      </c>
      <c r="BF713" s="24" t="inlineStr">
        <is>
          <t>1</t>
        </is>
      </c>
      <c r="BG713" s="24" t="inlineStr">
        <is>
          <t>6c67e999d2a03612e30f4032c8e5e77e8becfbc79e05f4c8993e726b90d34d54</t>
        </is>
      </c>
      <c r="BH713" s="24" t="inlineStr">
        <is>
          <t>2026-09-25T10:08:10.033800Z</t>
        </is>
      </c>
      <c r="BI713" s="24" t="inlineStr">
        <is>
          <t>["same_event","same_team_same_day","same_league_same_day"]</t>
        </is>
      </c>
      <c r="BJ713" s="25" t="n"/>
      <c r="BK713" s="26" t="n">
        <v>-335</v>
      </c>
      <c r="BL713" s="27" t="n">
        <v>1.298507</v>
      </c>
      <c r="BM713" s="28" t="n">
        <v>0.770115</v>
      </c>
      <c r="BN713" s="28" t="n"/>
      <c r="BO713" s="28" t="n"/>
      <c r="BP713" s="25" t="n"/>
      <c r="BQ713" s="27" t="n">
        <v>1.298507</v>
      </c>
      <c r="BR713" s="28" t="n">
        <v>0.77</v>
      </c>
      <c r="BS713" s="28" t="n"/>
      <c r="BT713" s="28" t="n"/>
      <c r="BU713" s="25" t="n"/>
      <c r="BV713" s="29" t="n"/>
      <c r="BW713" s="24" t="n"/>
      <c r="BX713" s="30" t="n">
        <v>1</v>
      </c>
      <c r="BY713" s="27" t="n">
        <v>0.298507</v>
      </c>
      <c r="BZ713" s="24" t="inlineStr">
        <is>
          <t>2026-09-25T16:00:17.689436Z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inlineStr">
        <is>
          <t>3d881d6fec5a6ac0b5a0004b83d2bb7a23fff99206dffb2d6fd787dfe51956c1</t>
        </is>
      </c>
      <c r="DE713" s="24" t="inlineStr">
        <is>
          <t>/Users/vincentc9002/model-prediction/data/odds/tennis/2026-09-25/polymarket_snapshots.jsonl</t>
        </is>
      </c>
      <c r="DF713" s="24" t="inlineStr">
        <is>
          <t>1032037:2026-09-25T10:08:10.033800Z</t>
        </is>
      </c>
      <c r="DG713" s="24" t="n"/>
      <c r="DH713" s="24" t="n"/>
      <c r="DI713" s="24" t="n"/>
      <c r="DJ713" s="24" t="inlineStr">
        <is>
          <t>0.770115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"6c67e999d2a03612e30f4032c8e5e77e8becfbc79e05f4c8993e726b90d34d54", "away_team": "Andrey Rublev", "event_id": "1001-2026:183368", "event_start_utc": "2026-09-25T10:20Z", "features": {"elo_p1_surface": 1665.6, "elo_p2_surface": 1647.7, "expected_games_p1": 13.3, "expected_games_p2": 12.15, "expected_total_games": 25.45, "history_matches": 11257, "min_player_matches": 136, "surface": "Hard"}, "historical_source_observation_times_verified": false, "home_team": "Rinky Hijikata", "inference_inputs": {"code_sha256": {"features/elo_ratings.py": "8525faf022a6343c452286dbfeb17dbb043744c6bdabbe448b6b371216da439b", "models/tennis.py": "6c67e999d2a03612e30f4032c8e5e77e8becfbc79e05f4c8993e726b90d34d54"}, "overall_ratings": [1691.2000120223809, 1627.0148274423675], "players": ["Andrey Rublev", "Rinky Hijikata"], "sport": "TENNIS", "surface": "Hard", "surface_counts": [116, 114], "surface_ratings": [1665.5732344090216, 1647.7226334696325]}, "market_type": "moneyline", "model_version": "tennis-surface-elo-v1", "observed_at_utc": "2026-09-25T10:11:58.872282+00:00", "probabilities": {"away": 0.5421, "home": 0.4579}, "replay_scope": "Exact full-precision serving state and rounding; upstream historical observation times are not certified.", "schema": "coded-moneyline-replay-v1", "snapshot_hash": "551a01fbbac3f5c0cf946b12b32b7446cef3c0cd8e9aac2669f6708f772e5f58", "sport": "TENNIS"}</t>
        </is>
      </c>
    </row>
    <row r="714" ht="36" customHeight="1">
      <c r="A714" s="24" t="inlineStr">
        <is>
          <t>569e12137bb941a3</t>
        </is>
      </c>
      <c r="B714" s="24" t="inlineStr">
        <is>
          <t>2026-09-25T22:08:37.836926Z</t>
        </is>
      </c>
      <c r="C714" s="24" t="inlineStr">
        <is>
          <t>2026-09-26T03:30Z</t>
        </is>
      </c>
      <c r="D714" s="24" t="inlineStr">
        <is>
          <t>811-2026:184057</t>
        </is>
      </c>
      <c r="E714" s="24" t="inlineStr">
        <is>
          <t>TENNIS</t>
        </is>
      </c>
      <c r="F714" s="24" t="inlineStr">
        <is>
          <t>Maya Joint</t>
        </is>
      </c>
      <c r="G714" s="24" t="inlineStr">
        <is>
          <t>Lanlana Tararudee</t>
        </is>
      </c>
      <c r="H714" s="24" t="inlineStr">
        <is>
          <t>moneyline</t>
        </is>
      </c>
      <c r="I714" s="24" t="inlineStr">
        <is>
          <t>home</t>
        </is>
      </c>
      <c r="J714" s="25" t="n"/>
      <c r="K714" s="24" t="inlineStr">
        <is>
          <t>polymarket_us</t>
        </is>
      </c>
      <c r="L714" s="26" t="n">
        <v>-117</v>
      </c>
      <c r="M714" s="27" t="n">
        <v>1.854701</v>
      </c>
      <c r="N714" s="28" t="n">
        <v>0.539171</v>
      </c>
      <c r="O714" s="28" t="n">
        <v>0.6045</v>
      </c>
      <c r="P714" s="28" t="n">
        <v>0.05</v>
      </c>
      <c r="Q714" s="28" t="n">
        <v>0.065329</v>
      </c>
      <c r="R714" s="26" t="n">
        <v>53</v>
      </c>
      <c r="S714" s="29" t="n">
        <v>1</v>
      </c>
      <c r="T714" s="24" t="inlineStr">
        <is>
          <t>tennis-surface-elo-v1</t>
        </is>
      </c>
      <c r="U714" s="24" t="inlineStr">
        <is>
          <t>settled</t>
        </is>
      </c>
      <c r="V714" s="24" t="inlineStr">
        <is>
          <t>loss</t>
        </is>
      </c>
      <c r="W714" s="26" t="n">
        <v>1</v>
      </c>
      <c r="X714" s="26" t="n">
        <v>0</v>
      </c>
      <c r="Y714" s="25" t="n"/>
      <c r="Z714" s="26" t="n">
        <v>-117</v>
      </c>
      <c r="AA714" s="28" t="n">
        <v>0.54</v>
      </c>
      <c r="AB714" s="28" t="n">
        <v>0.000829</v>
      </c>
      <c r="AC714" s="30" t="n">
        <v>-1</v>
      </c>
      <c r="AD714" s="24" t="inlineStr">
        <is>
          <t>2026-09-26T05:23:22.215558Z</t>
        </is>
      </c>
      <c r="AE714" s="31" t="inlineStr">
        <is>
          <t>Surface-blended Elo on Hard: Maya Joint p=0.396 vs Lanlana Tararudee. Executable ask 0.5400 (aec-wta-lantar-mayjoi-2026-09-23).</t>
        </is>
      </c>
      <c r="AF714" s="31" t="inlineStr">
        <is>
          <t>Surface-blended Elo model; singles only, WTA+ATP market coverage, not yet locked-holdout qualified -- promoted by explicit operator directive, not genuine walk-forward validation.</t>
        </is>
      </c>
      <c r="AG714" s="24" t="inlineStr">
        <is>
          <t>review_required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Maya Joint</t>
        </is>
      </c>
      <c r="AQ714" s="24" t="inlineStr">
        <is>
          <t>Maya Joint</t>
        </is>
      </c>
      <c r="AR714" s="24" t="inlineStr">
        <is>
          <t>Maya Joint</t>
        </is>
      </c>
      <c r="AS714" s="24" t="inlineStr">
        <is>
          <t>Lanlana Tararudee</t>
        </is>
      </c>
      <c r="AT714" s="24" t="inlineStr">
        <is>
          <t>Lanlana Tararudee</t>
        </is>
      </c>
      <c r="AU714" s="24" t="inlineStr">
        <is>
          <t>Lanlana Tararudee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6c67e999d2a03612e30f4032c8e5e77e8becfbc79e05f4c8993e726b90d34d54</t>
        </is>
      </c>
      <c r="BB714" s="24" t="inlineStr">
        <is>
          <t>surface_blended_elo</t>
        </is>
      </c>
      <c r="BC714" s="24" t="inlineStr">
        <is>
          <t>tennis-surface-elo-v1</t>
        </is>
      </c>
      <c r="BD714" s="24" t="inlineStr">
        <is>
          <t>6c67e999d2a03612e30f4032c8e5e77e8becfbc79e05f4c8993e726b90d34d54</t>
        </is>
      </c>
      <c r="BE714" s="24" t="inlineStr">
        <is>
          <t>tennis-surface-elo-v1</t>
        </is>
      </c>
      <c r="BF714" s="24" t="inlineStr">
        <is>
          <t>1</t>
        </is>
      </c>
      <c r="BG714" s="24" t="inlineStr">
        <is>
          <t>6c67e999d2a03612e30f4032c8e5e77e8becfbc79e05f4c8993e726b90d34d54</t>
        </is>
      </c>
      <c r="BH714" s="24" t="inlineStr">
        <is>
          <t>2026-09-25T16:07:39.256590Z</t>
        </is>
      </c>
      <c r="BI714" s="24" t="inlineStr">
        <is>
          <t>["same_event","same_team_same_day","same_league_same_day"]</t>
        </is>
      </c>
      <c r="BJ714" s="25" t="n"/>
      <c r="BK714" s="26" t="n">
        <v>-117</v>
      </c>
      <c r="BL714" s="27" t="n">
        <v>1.854701</v>
      </c>
      <c r="BM714" s="28" t="n">
        <v>0.539171</v>
      </c>
      <c r="BN714" s="28" t="n"/>
      <c r="BO714" s="28" t="n"/>
      <c r="BP714" s="25" t="n"/>
      <c r="BQ714" s="27" t="n">
        <v>1.854701</v>
      </c>
      <c r="BR714" s="28" t="n">
        <v>0.54</v>
      </c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inlineStr">
        <is>
          <t>f3cbc6c1959a48f1e44b01feb9f5a61528a6b4d5f502354a11864d989ff5bb98</t>
        </is>
      </c>
      <c r="DE714" s="24" t="inlineStr">
        <is>
          <t>/Users/vincentc9002/model-prediction/data/odds/tennis/2026-09-25/polymarket_snapshots.jsonl</t>
        </is>
      </c>
      <c r="DF714" s="24" t="inlineStr">
        <is>
          <t>1016451:2026-09-25T16:07:39.256590Z</t>
        </is>
      </c>
      <c r="DG714" s="24" t="n"/>
      <c r="DH714" s="24" t="n"/>
      <c r="DI714" s="24" t="n"/>
      <c r="DJ714" s="24" t="inlineStr">
        <is>
          <t>0.539171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"6c67e999d2a03612e30f4032c8e5e77e8becfbc79e05f4c8993e726b90d34d54", "away_team": "Maya Joint", "event_id": "811-2026:184057", "event_start_utc": "2026-09-26T03:30Z", "features": {"elo_p1_surface": 1638.2, "elo_p2_surface": 1715.6, "expected_games_p1": 10.26, "expected_games_p2": 13.26, "expected_total_games": 23.52, "history_matches": 16330, "min_player_matches": 89,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[1632.2807628061155, 1697.6635721729142], "players": ["Maya Joint", "Lanlana Tararudee"], "sport": "TENNIS", "surface": "Hard", "surface_counts": [116, 77], "surface_ratings": [1638.2179603163906, 1715.6194530361452]}, "market_type": "moneyline", "model_version": "tennis-surface-elo-v1", "observed_at_utc": "2026-09-25T22:08:36.572962+00:00", "probabilities": {"away": 0.3955, "home": 0.6045}, "replay_scope": "Exact full-precision serving state and rounding; upstream historical observation times are not certified.", "schema": "coded-moneyline-replay-v1", "snapshot_hash": "b488ed1a1d6f76a0b34054453156ddfdf8e7e256be07d2f3291c7a6a8edaecfd", "sport": "TENNIS"}</t>
        </is>
      </c>
    </row>
    <row r="715" ht="36" customHeight="1">
      <c r="A715" s="24" t="inlineStr">
        <is>
          <t>4dcae1eda3ba4b1e</t>
        </is>
      </c>
      <c r="B715" s="24" t="inlineStr">
        <is>
          <t>2026-09-27T05:02:41.331612Z</t>
        </is>
      </c>
      <c r="C715" s="24" t="inlineStr">
        <is>
          <t>2026-09-27T10:00Z</t>
        </is>
      </c>
      <c r="D715" s="24" t="inlineStr">
        <is>
          <t>1022-2026:183969</t>
        </is>
      </c>
      <c r="E715" s="24" t="inlineStr">
        <is>
          <t>TENNIS</t>
        </is>
      </c>
      <c r="F715" s="24" t="inlineStr">
        <is>
          <t>Reese Brantmeier</t>
        </is>
      </c>
      <c r="G715" s="24" t="inlineStr">
        <is>
          <t>Maria Timofeeva</t>
        </is>
      </c>
      <c r="H715" s="24" t="inlineStr">
        <is>
          <t>moneyline</t>
        </is>
      </c>
      <c r="I715" s="24" t="inlineStr">
        <is>
          <t>home</t>
        </is>
      </c>
      <c r="J715" s="25" t="n"/>
      <c r="K715" s="24" t="inlineStr">
        <is>
          <t>polymarket_us</t>
        </is>
      </c>
      <c r="L715" s="26" t="n">
        <v>-170</v>
      </c>
      <c r="M715" s="27" t="n">
        <v>1.588235</v>
      </c>
      <c r="N715" s="28" t="n">
        <v>0.62963</v>
      </c>
      <c r="O715" s="28" t="n">
        <v>0.6568000000000001</v>
      </c>
      <c r="P715" s="28" t="n">
        <v>0.05</v>
      </c>
      <c r="Q715" s="28" t="n">
        <v>0.02717</v>
      </c>
      <c r="R715" s="26" t="n">
        <v>34</v>
      </c>
      <c r="S715" s="29" t="n">
        <v>1</v>
      </c>
      <c r="T715" s="24" t="inlineStr">
        <is>
          <t>tennis-surface-elo-v1</t>
        </is>
      </c>
      <c r="U715" s="24" t="inlineStr">
        <is>
          <t>settled</t>
        </is>
      </c>
      <c r="V715" s="24" t="inlineStr">
        <is>
          <t>win</t>
        </is>
      </c>
      <c r="W715" s="26" t="n">
        <v>0</v>
      </c>
      <c r="X715" s="26" t="n">
        <v>1</v>
      </c>
      <c r="Y715" s="25" t="n"/>
      <c r="Z715" s="26" t="n">
        <v>-170</v>
      </c>
      <c r="AA715" s="28" t="n">
        <v>0.63</v>
      </c>
      <c r="AB715" s="28" t="n">
        <v>0.00037</v>
      </c>
      <c r="AC715" s="30" t="n">
        <v>0.5881999999999999</v>
      </c>
      <c r="AD715" s="24" t="inlineStr">
        <is>
          <t>2026-09-27T16:00:06.049316Z</t>
        </is>
      </c>
      <c r="AE715" s="31" t="inlineStr">
        <is>
          <t>Surface-blended Elo on Hard: Reese Brantmeier p=0.343 vs Maria Timofeeva. Executable ask 0.6300 (aec-wta-martim-reebra-2026-09-27).</t>
        </is>
      </c>
      <c r="AF715" s="31" t="inlineStr">
        <is>
          <t>Surface-blended Elo model; singles only, WTA+ATP market coverage, not yet locked-holdout qualified -- promoted by explicit operator directive, not genuine walk-forward validation.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Reese Brantmeier</t>
        </is>
      </c>
      <c r="AQ715" s="24" t="inlineStr">
        <is>
          <t>Reese Brantmeier</t>
        </is>
      </c>
      <c r="AR715" s="24" t="inlineStr">
        <is>
          <t>Reese Brantmeier</t>
        </is>
      </c>
      <c r="AS715" s="24" t="inlineStr">
        <is>
          <t>Maria Timofeeva</t>
        </is>
      </c>
      <c r="AT715" s="24" t="inlineStr">
        <is>
          <t>Maria Timofeeva</t>
        </is>
      </c>
      <c r="AU715" s="24" t="inlineStr">
        <is>
          <t>Maria Timofeeva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6c67e999d2a03612e30f4032c8e5e77e8becfbc79e05f4c8993e726b90d34d54</t>
        </is>
      </c>
      <c r="BB715" s="24" t="inlineStr">
        <is>
          <t>surface_blended_elo</t>
        </is>
      </c>
      <c r="BC715" s="24" t="inlineStr">
        <is>
          <t>tennis-surface-elo-v1</t>
        </is>
      </c>
      <c r="BD715" s="24" t="inlineStr">
        <is>
          <t>6c67e999d2a03612e30f4032c8e5e77e8becfbc79e05f4c8993e726b90d34d54</t>
        </is>
      </c>
      <c r="BE715" s="24" t="inlineStr">
        <is>
          <t>tennis-surface-elo-v1</t>
        </is>
      </c>
      <c r="BF715" s="24" t="inlineStr">
        <is>
          <t>1</t>
        </is>
      </c>
      <c r="BG715" s="24" t="inlineStr">
        <is>
          <t>6c67e999d2a03612e30f4032c8e5e77e8becfbc79e05f4c8993e726b90d34d54</t>
        </is>
      </c>
      <c r="BH715" s="24" t="inlineStr">
        <is>
          <t>2026-09-27T04:56:24.984817Z</t>
        </is>
      </c>
      <c r="BI715" s="24" t="inlineStr">
        <is>
          <t>["same_event","same_team_same_day","same_league_same_day"]</t>
        </is>
      </c>
      <c r="BJ715" s="25" t="n"/>
      <c r="BK715" s="26" t="n">
        <v>-170</v>
      </c>
      <c r="BL715" s="27" t="n">
        <v>1.588235</v>
      </c>
      <c r="BM715" s="28" t="n">
        <v>0.62963</v>
      </c>
      <c r="BN715" s="28" t="n"/>
      <c r="BO715" s="28" t="n"/>
      <c r="BP715" s="25" t="n"/>
      <c r="BQ715" s="27" t="n">
        <v>1.588235</v>
      </c>
      <c r="BR715" s="28" t="n">
        <v>0.63</v>
      </c>
      <c r="BS715" s="28" t="n"/>
      <c r="BT715" s="28" t="n"/>
      <c r="BU715" s="25" t="n"/>
      <c r="BV715" s="29" t="n"/>
      <c r="BW715" s="24" t="n"/>
      <c r="BX715" s="30" t="n">
        <v>1</v>
      </c>
      <c r="BY715" s="27" t="n">
        <v>0.588234</v>
      </c>
      <c r="BZ715" s="24" t="inlineStr">
        <is>
          <t>2026-09-27T16:00:06.049316Z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inlineStr">
        <is>
          <t>3f2aea9dbf7f9a954b3f3b1b736a1b8dfc44a919e15e2eac29c876930a26c35d</t>
        </is>
      </c>
      <c r="DE715" s="24" t="inlineStr">
        <is>
          <t>/Users/vincentc9002/model-prediction/data/odds/tennis/2026-09-27/polymarket_snapshots.jsonl</t>
        </is>
      </c>
      <c r="DF715" s="24" t="inlineStr">
        <is>
          <t>1066883:2026-09-27T04:56:24.984817Z</t>
        </is>
      </c>
      <c r="DG715" s="24" t="n"/>
      <c r="DH715" s="24" t="n"/>
      <c r="DI715" s="24" t="n"/>
      <c r="DJ715" s="24" t="inlineStr">
        <is>
          <t>0.62963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"6c67e999d2a03612e30f4032c8e5e77e8becfbc79e05f4c8993e726b90d34d54", "away_team": "Reese Brantmeier", "event_id": "1022-2026:183969", "event_start_utc": "2026-09-27T10:00Z", "features": {"elo_p1_surface": 1577.6, "elo_p2_surface": 1687.1, "expected_games_p1": 9.13, "expected_games_p2": 13.27, "expected_total_games": 22.4, "history_matches": 16373, "min_player_matches": 12, "surface": "Hard"}, "historical_source_observation_times_verified": false, "home_team": "Maria Timofeeva", "inference_inputs": {"code_sha256": {"features/elo_ratings.py": "8525faf022a6343c452286dbfeb17dbb043744c6bdabbe448b6b371216da439b", "models/tennis.py": "6c67e999d2a03612e30f4032c8e5e77e8becfbc79e05f4c8993e726b90d34d54"}, "overall_ratings": [1574.7109122398654, 1692.6004209102323], "players": ["Reese Brantmeier", "Maria Timofeeva"], "sport": "TENNIS", "surface": "Hard", "surface_counts": [12, 94], "surface_ratings": [1577.6205625067864, 1687.080174091281]}, "market_type": "moneyline", "model_version": "tennis-surface-elo-v1", "observed_at_utc": "2026-09-27T05:02:39.711108+00:00", "probabilities": {"away": 0.3432, "home": 0.6568}, "replay_scope": "Exact full-precision serving state and rounding; upstream historical observation times are not certified.", "schema": "coded-moneyline-replay-v1", "snapshot_hash": "fce1d52a2cdff7c65f57b41a4231b85be8cc6a50ca6317153334d0efa7c67347", "sport": "TENNIS"}</t>
        </is>
      </c>
    </row>
    <row r="716" ht="36" customHeight="1">
      <c r="A716" s="24" t="inlineStr">
        <is>
          <t>ee6d10b684d7416a</t>
        </is>
      </c>
      <c r="B716" s="24" t="inlineStr">
        <is>
          <t>2026-09-27T10:29:28.023864Z</t>
        </is>
      </c>
      <c r="C716" s="24" t="inlineStr">
        <is>
          <t>2026-09-27T13:30Z</t>
        </is>
      </c>
      <c r="D716" s="24" t="inlineStr">
        <is>
          <t>1078-2026:186195</t>
        </is>
      </c>
      <c r="E716" s="24" t="inlineStr">
        <is>
          <t>TENNIS</t>
        </is>
      </c>
      <c r="F716" s="24" t="inlineStr">
        <is>
          <t>Lois Boisson</t>
        </is>
      </c>
      <c r="G716" s="24" t="inlineStr">
        <is>
          <t>Fiona Crawley</t>
        </is>
      </c>
      <c r="H716" s="24" t="inlineStr">
        <is>
          <t>moneyline</t>
        </is>
      </c>
      <c r="I716" s="24" t="inlineStr">
        <is>
          <t>away</t>
        </is>
      </c>
      <c r="J716" s="25" t="n"/>
      <c r="K716" s="24" t="inlineStr">
        <is>
          <t>polymarket_us</t>
        </is>
      </c>
      <c r="L716" s="26" t="n">
        <v>-186</v>
      </c>
      <c r="M716" s="27" t="n">
        <v>1.537634</v>
      </c>
      <c r="N716" s="28" t="n">
        <v>0.65035</v>
      </c>
      <c r="O716" s="28" t="n">
        <v>0.5462</v>
      </c>
      <c r="P716" s="28" t="n">
        <v>0.05</v>
      </c>
      <c r="Q716" s="28" t="n">
        <v>-0.10415</v>
      </c>
      <c r="R716" s="26" t="n">
        <v>0</v>
      </c>
      <c r="S716" s="29" t="n">
        <v>1</v>
      </c>
      <c r="T716" s="24" t="inlineStr">
        <is>
          <t>tennis-surface-elo-v1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1</v>
      </c>
      <c r="Y716" s="25" t="n"/>
      <c r="Z716" s="26" t="n">
        <v>-186</v>
      </c>
      <c r="AA716" s="28" t="n">
        <v>0.65</v>
      </c>
      <c r="AB716" s="28" t="n">
        <v>-0.00035</v>
      </c>
      <c r="AC716" s="30" t="n">
        <v>-1</v>
      </c>
      <c r="AD716" s="24" t="inlineStr">
        <is>
          <t>2026-09-27T22:00:10.329458Z</t>
        </is>
      </c>
      <c r="AE716" s="31" t="inlineStr">
        <is>
          <t>Surface-blended Elo on Hard: Lois Boisson p=0.546 vs Fiona Crawley. Executable ask 0.6500 (aec-wta-fiocra-loiboi-2026-09-27).</t>
        </is>
      </c>
      <c r="AF716" s="31" t="inlineStr">
        <is>
          <t>Surface-blended Elo model; singles only, WTA+ATP market coverage, not yet locked-holdout qualified -- promoted by explicit operator directive, not genuine walk-forward validation.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Lois Boisson</t>
        </is>
      </c>
      <c r="AQ716" s="24" t="inlineStr">
        <is>
          <t>Lois Boisson</t>
        </is>
      </c>
      <c r="AR716" s="24" t="inlineStr">
        <is>
          <t>Lois Boisson</t>
        </is>
      </c>
      <c r="AS716" s="24" t="inlineStr">
        <is>
          <t>Fiona Crawley</t>
        </is>
      </c>
      <c r="AT716" s="24" t="inlineStr">
        <is>
          <t>Fiona Crawley</t>
        </is>
      </c>
      <c r="AU716" s="24" t="inlineStr">
        <is>
          <t>Fiona Crawley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6c67e999d2a03612e30f4032c8e5e77e8becfbc79e05f4c8993e726b90d34d54</t>
        </is>
      </c>
      <c r="BB716" s="24" t="inlineStr">
        <is>
          <t>surface_blended_elo</t>
        </is>
      </c>
      <c r="BC716" s="24" t="inlineStr">
        <is>
          <t>tennis-surface-elo-v1</t>
        </is>
      </c>
      <c r="BD716" s="24" t="inlineStr">
        <is>
          <t>6c67e999d2a03612e30f4032c8e5e77e8becfbc79e05f4c8993e726b90d34d54</t>
        </is>
      </c>
      <c r="BE716" s="24" t="inlineStr">
        <is>
          <t>tennis-surface-elo-v1</t>
        </is>
      </c>
      <c r="BF716" s="24" t="inlineStr">
        <is>
          <t>1</t>
        </is>
      </c>
      <c r="BG716" s="24" t="inlineStr">
        <is>
          <t>6c67e999d2a03612e30f4032c8e5e77e8becfbc79e05f4c8993e726b90d34d54</t>
        </is>
      </c>
      <c r="BH716" s="24" t="inlineStr">
        <is>
          <t>2026-09-27T10:23:19.115897Z</t>
        </is>
      </c>
      <c r="BI716" s="24" t="inlineStr">
        <is>
          <t>["same_event","same_team_same_day","same_league_same_day"]</t>
        </is>
      </c>
      <c r="BJ716" s="25" t="n"/>
      <c r="BK716" s="26" t="n">
        <v>-186</v>
      </c>
      <c r="BL716" s="27" t="n">
        <v>1.537634</v>
      </c>
      <c r="BM716" s="28" t="n">
        <v>0.65035</v>
      </c>
      <c r="BN716" s="28" t="n"/>
      <c r="BO716" s="28" t="n"/>
      <c r="BP716" s="25" t="n"/>
      <c r="BQ716" s="27" t="n">
        <v>1.537634</v>
      </c>
      <c r="BR716" s="28" t="n">
        <v>0.65</v>
      </c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2026-09-27T22:00:10.329458Z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inlineStr">
        <is>
          <t>180cf4a279d12dc0af3b5c8c38e866b5ecadd401721bac0f35ab1eaf1924e72a</t>
        </is>
      </c>
      <c r="DE716" s="24" t="inlineStr">
        <is>
          <t>/Users/vincentc9002/model-prediction/data/odds/tennis/2026-09-27/polymarket_snapshots.jsonl</t>
        </is>
      </c>
      <c r="DF716" s="24" t="inlineStr">
        <is>
          <t>1066569:2026-09-27T10:23:19.115897Z</t>
        </is>
      </c>
      <c r="DG716" s="24" t="n"/>
      <c r="DH716" s="24" t="n"/>
      <c r="DI716" s="24" t="n"/>
      <c r="DJ716" s="24" t="inlineStr">
        <is>
          <t>0.65035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"6c67e999d2a03612e30f4032c8e5e77e8becfbc79e05f4c8993e726b90d34d54", "away_team": "Lois Boisson", "event_id": "1078-2026:186195", "event_start_utc": "2026-09-27T13:30Z", "features": {"elo_p1_surface": 1546.1, "elo_p2_surface": 1519.1, "expected_games_p1": 13.05, "expected_games_p2": 11.5, "expected_total_games": 24.55, "history_matches": 16373, "min_player_matches": 13, "surface": "Hard"}, "historical_source_observation_times_verified": false, "home_team": "Fiona Crawley", "inference_inputs": {"code_sha256": {"features/elo_ratings.py": "8525faf022a6343c452286dbfeb17dbb043744c6bdabbe448b6b371216da439b", "models/tennis.py": "6c67e999d2a03612e30f4032c8e5e77e8becfbc79e05f4c8993e726b90d34d54"}, "overall_ratings": [1584.3058831867022, 1536.3599942681062], "players": ["Lois Boisson", "Fiona Crawley"], "sport": "TENNIS", "surface": "Hard", "surface_counts": [30, 10], "surface_ratings": [1546.1221399085105, 1519.134039676865]}, "market_type": "moneyline", "model_version": "tennis-surface-elo-v1", "observed_at_utc": "2026-09-27T10:29:25.669192+00:00", "probabilities": {"away": 0.5462, "home": 0.4538}, "replay_scope": "Exact full-precision serving state and rounding; upstream historical observation times are not certified.", "schema": "coded-moneyline-replay-v1", "snapshot_hash": "d8d428acdc14374a61734b91e841df0f18191b7d054ef88704f1600c532cace7", "sport": "TENNIS"}</t>
        </is>
      </c>
    </row>
    <row r="717" ht="36" customHeight="1">
      <c r="A717" s="24" t="inlineStr">
        <is>
          <t>b657448d0e9f4737</t>
        </is>
      </c>
      <c r="B717" s="24" t="inlineStr">
        <is>
          <t>2026-09-27T22:11:12.556445Z</t>
        </is>
      </c>
      <c r="C717" s="24" t="inlineStr">
        <is>
          <t>2026-09-28T03:00Z</t>
        </is>
      </c>
      <c r="D717" s="24" t="inlineStr">
        <is>
          <t>959-2026:186257</t>
        </is>
      </c>
      <c r="E717" s="24" t="inlineStr">
        <is>
          <t>TENNIS</t>
        </is>
      </c>
      <c r="F717" s="24" t="inlineStr">
        <is>
          <t>Tomas Machac</t>
        </is>
      </c>
      <c r="G717" s="24" t="inlineStr">
        <is>
          <t>Yannick Hanfmann</t>
        </is>
      </c>
      <c r="H717" s="24" t="inlineStr">
        <is>
          <t>moneyline</t>
        </is>
      </c>
      <c r="I717" s="24" t="inlineStr">
        <is>
          <t>home</t>
        </is>
      </c>
      <c r="J717" s="25" t="n"/>
      <c r="K717" s="24" t="inlineStr">
        <is>
          <t>polymarket_us</t>
        </is>
      </c>
      <c r="L717" s="26" t="n">
        <v>-133</v>
      </c>
      <c r="M717" s="27" t="n">
        <v>1.75188</v>
      </c>
      <c r="N717" s="28" t="n">
        <v>0.570815</v>
      </c>
      <c r="O717" s="28" t="n">
        <v>0.5506</v>
      </c>
      <c r="P717" s="28" t="n">
        <v>0.05</v>
      </c>
      <c r="Q717" s="28" t="n">
        <v>-0.020215</v>
      </c>
      <c r="R717" s="26" t="n">
        <v>10</v>
      </c>
      <c r="S717" s="29" t="n">
        <v>1</v>
      </c>
      <c r="T717" s="24" t="inlineStr">
        <is>
          <t>tennis-surface-elo-v1</t>
        </is>
      </c>
      <c r="U717" s="24" t="inlineStr">
        <is>
          <t>settled</t>
        </is>
      </c>
      <c r="V717" s="24" t="inlineStr">
        <is>
          <t>loss</t>
        </is>
      </c>
      <c r="W717" s="26" t="n">
        <v>1</v>
      </c>
      <c r="X717" s="26" t="n">
        <v>0</v>
      </c>
      <c r="Y717" s="25" t="n"/>
      <c r="Z717" s="26" t="n">
        <v>-133</v>
      </c>
      <c r="AA717" s="28" t="n">
        <v>0.57</v>
      </c>
      <c r="AB717" s="28" t="n">
        <v>-0.000815</v>
      </c>
      <c r="AC717" s="30" t="n">
        <v>-1</v>
      </c>
      <c r="AD717" s="24" t="inlineStr">
        <is>
          <t>2026-09-28T10:00:09.604796Z</t>
        </is>
      </c>
      <c r="AE717" s="31" t="inlineStr">
        <is>
          <t>Surface-blended Elo on Hard: Tomas Machac p=0.449 vs Yannick Hanfmann. Executable ask 0.5700 (aec-atp-yanhan-tommac-2026-09-27).</t>
        </is>
      </c>
      <c r="AF717" s="31" t="inlineStr">
        <is>
          <t>Surface-blended Elo model; singles only, WTA+ATP market coverage, not yet locked-holdout qualified -- promoted by explicit operator directive, not genuine walk-forward validation.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Tomas Machac</t>
        </is>
      </c>
      <c r="AQ717" s="24" t="inlineStr">
        <is>
          <t>Tomas Machac</t>
        </is>
      </c>
      <c r="AR717" s="24" t="inlineStr">
        <is>
          <t>Tomas Machac</t>
        </is>
      </c>
      <c r="AS717" s="24" t="inlineStr">
        <is>
          <t>Yannick Hanfmann</t>
        </is>
      </c>
      <c r="AT717" s="24" t="inlineStr">
        <is>
          <t>Yannick Hanfmann</t>
        </is>
      </c>
      <c r="AU717" s="24" t="inlineStr">
        <is>
          <t>Yannick Hanfmann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6c67e999d2a03612e30f4032c8e5e77e8becfbc79e05f4c8993e726b90d34d54</t>
        </is>
      </c>
      <c r="BB717" s="24" t="inlineStr">
        <is>
          <t>surface_blended_elo</t>
        </is>
      </c>
      <c r="BC717" s="24" t="inlineStr">
        <is>
          <t>tennis-surface-elo-v1</t>
        </is>
      </c>
      <c r="BD717" s="24" t="inlineStr">
        <is>
          <t>6c67e999d2a03612e30f4032c8e5e77e8becfbc79e05f4c8993e726b90d34d54</t>
        </is>
      </c>
      <c r="BE717" s="24" t="inlineStr">
        <is>
          <t>tennis-surface-elo-v1</t>
        </is>
      </c>
      <c r="BF717" s="24" t="inlineStr">
        <is>
          <t>1</t>
        </is>
      </c>
      <c r="BG717" s="24" t="inlineStr">
        <is>
          <t>6c67e999d2a03612e30f4032c8e5e77e8becfbc79e05f4c8993e726b90d34d54</t>
        </is>
      </c>
      <c r="BH717" s="24" t="inlineStr">
        <is>
          <t>2026-09-27T22:10:24.719703Z</t>
        </is>
      </c>
      <c r="BI717" s="24" t="inlineStr">
        <is>
          <t>["same_event","same_team_same_day","same_league_same_day"]</t>
        </is>
      </c>
      <c r="BJ717" s="25" t="n"/>
      <c r="BK717" s="26" t="n">
        <v>-133</v>
      </c>
      <c r="BL717" s="27" t="n">
        <v>1.75188</v>
      </c>
      <c r="BM717" s="28" t="n">
        <v>0.570815</v>
      </c>
      <c r="BN717" s="28" t="n"/>
      <c r="BO717" s="28" t="n"/>
      <c r="BP717" s="25" t="n"/>
      <c r="BQ717" s="27" t="n">
        <v>1.75188</v>
      </c>
      <c r="BR717" s="28" t="n">
        <v>0.57</v>
      </c>
      <c r="BS717" s="28" t="n"/>
      <c r="BT717" s="28" t="n"/>
      <c r="BU717" s="25" t="n"/>
      <c r="BV717" s="29" t="n"/>
      <c r="BW717" s="24" t="n"/>
      <c r="BX717" s="30" t="n">
        <v>1</v>
      </c>
      <c r="BY717" s="27" t="n">
        <v>-1</v>
      </c>
      <c r="BZ717" s="24" t="inlineStr">
        <is>
          <t>2026-09-28T10:00:09.604796Z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False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inlineStr">
        <is>
          <t>a6ebd8d52c392f562eec898a0563da4487f101d81e1e55c2cd5e808fc9652564</t>
        </is>
      </c>
      <c r="DE717" s="24" t="inlineStr">
        <is>
          <t>/Users/vincentc9002/model-prediction/data/odds/tennis/2026-09-27/polymarket_snapshots.jsonl</t>
        </is>
      </c>
      <c r="DF717" s="24" t="inlineStr">
        <is>
          <t>1091955:2026-09-27T22:10:24.719703Z</t>
        </is>
      </c>
      <c r="DG717" s="24" t="n"/>
      <c r="DH717" s="24" t="n"/>
      <c r="DI717" s="24" t="n"/>
      <c r="DJ717" s="24" t="inlineStr">
        <is>
          <t>0.570815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"6c67e999d2a03612e30f4032c8e5e77e8becfbc79e05f4c8993e726b90d34d54", "away_team": "Tomas Machac", "event_id": "959-2026:186257", "event_start_utc": "2026-09-28T03:00Z", "features": {"elo_p1_surface": 1577.6, "elo_p2_surface": 1622.4, "expected_games_p1": 11.94, "expected_games_p2": 13.28, "expected_total_games": 25.21, "history_matches": 11273, "min_player_matches": 127, "surface": "Hard"}, "historical_source_observation_times_verified": false, "home_team": "Yannick Hanfmann", "inference_inputs": {"code_sha256": {"features/elo_ratings.py": "8525faf022a6343c452286dbfeb17dbb043744c6bdabbe448b6b371216da439b", "models/tennis.py": "6c67e999d2a03612e30f4032c8e5e77e8becfbc79e05f4c8993e726b90d34d54"}, "overall_ratings": [1624.3959648303542, 1635.3292236996058], "players": ["Tomas Machac", "Yannick Hanfmann"], "sport": "TENNIS", "surface": "Hard", "surface_counts": [87, 101], "surface_ratings": [1577.618379236994, 1622.3663462175855]}, "market_type": "moneyline", "model_version": "tennis-surface-elo-v1", "observed_at_utc": "2026-09-27T22:11:11.907015+00:00", "probabilities": {"away": 0.4494, "home": 0.5506}, "replay_scope": "Exact full-precision serving state and rounding; upstream historical observation times are not certified.", "schema": "coded-moneyline-replay-v1", "snapshot_hash": "189fc26316848080e5ae1ede86cae9d6700396f28c8663b7e4bff9df01419b2c", "sport": "TENNIS"}</t>
        </is>
      </c>
    </row>
    <row r="718" ht="36" customHeight="1">
      <c r="A718" s="24" t="inlineStr">
        <is>
          <t>03ff4caca23c49b7</t>
        </is>
      </c>
      <c r="B718" s="24" t="inlineStr">
        <is>
          <t>2026-09-28T04:41:12.413369Z</t>
        </is>
      </c>
      <c r="C718" s="24" t="inlineStr">
        <is>
          <t>2026-09-28T06:00Z</t>
        </is>
      </c>
      <c r="D718" s="24" t="inlineStr">
        <is>
          <t>959-2026:186215</t>
        </is>
      </c>
      <c r="E718" s="24" t="inlineStr">
        <is>
          <t>TENNIS</t>
        </is>
      </c>
      <c r="F718" s="24" t="inlineStr">
        <is>
          <t>Shi Han</t>
        </is>
      </c>
      <c r="G718" s="24" t="inlineStr">
        <is>
          <t>Tereza Mihalikova</t>
        </is>
      </c>
      <c r="H718" s="24" t="inlineStr">
        <is>
          <t>moneyline</t>
        </is>
      </c>
      <c r="I718" s="24" t="inlineStr">
        <is>
          <t>home</t>
        </is>
      </c>
      <c r="J718" s="25" t="n"/>
      <c r="K718" s="24" t="inlineStr">
        <is>
          <t>polymarket_us</t>
        </is>
      </c>
      <c r="L718" s="26" t="n">
        <v>1567</v>
      </c>
      <c r="M718" s="27" t="n">
        <v>16.67</v>
      </c>
      <c r="N718" s="28" t="n">
        <v>0.059988</v>
      </c>
      <c r="O718" s="28" t="n">
        <v>0.5631</v>
      </c>
      <c r="P718" s="28" t="n">
        <v>0.05</v>
      </c>
      <c r="Q718" s="28" t="n">
        <v>0.503112</v>
      </c>
      <c r="R718" s="26" t="n">
        <v>100</v>
      </c>
      <c r="S718" s="29" t="n">
        <v>2</v>
      </c>
      <c r="T718" s="24" t="inlineStr">
        <is>
          <t>tennis-surface-elo-v1</t>
        </is>
      </c>
      <c r="U718" s="24" t="inlineStr">
        <is>
          <t>settled</t>
        </is>
      </c>
      <c r="V718" s="24" t="inlineStr">
        <is>
          <t>loss</t>
        </is>
      </c>
      <c r="W718" s="26" t="n">
        <v>1</v>
      </c>
      <c r="X718" s="26" t="n">
        <v>0</v>
      </c>
      <c r="Y718" s="25" t="n"/>
      <c r="Z718" s="26" t="n">
        <v>1567</v>
      </c>
      <c r="AA718" s="28" t="n">
        <v>0.06</v>
      </c>
      <c r="AB718" s="28" t="n">
        <v>1.2e-05</v>
      </c>
      <c r="AC718" s="30" t="n">
        <v>-2</v>
      </c>
      <c r="AD718" s="24" t="inlineStr">
        <is>
          <t>2026-09-28T10:00:11.029405Z</t>
        </is>
      </c>
      <c r="AE718" s="31" t="inlineStr">
        <is>
          <t>Surface-blended Elo on Hard: Shi Han p=0.437 vs Tereza Mihalikova. Executable ask 0.0600 (aec-wta-termih-hanshi-2026-09-28).</t>
        </is>
      </c>
      <c r="AF718" s="31" t="inlineStr">
        <is>
          <t>Surface-blended Elo model; singles only, WTA+ATP market coverage, not yet locked-holdout qualified -- promoted by explicit operator directive, not genuine walk-forward validation.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Shi Han</t>
        </is>
      </c>
      <c r="AQ718" s="24" t="inlineStr">
        <is>
          <t>Shi Han</t>
        </is>
      </c>
      <c r="AR718" s="24" t="inlineStr">
        <is>
          <t>Shi Han</t>
        </is>
      </c>
      <c r="AS718" s="24" t="inlineStr">
        <is>
          <t>Tereza Mihalikova</t>
        </is>
      </c>
      <c r="AT718" s="24" t="inlineStr">
        <is>
          <t>Tereza Mihalikova</t>
        </is>
      </c>
      <c r="AU718" s="24" t="inlineStr">
        <is>
          <t>Tereza Mihalikova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6c67e999d2a03612e30f4032c8e5e77e8becfbc79e05f4c8993e726b90d34d54</t>
        </is>
      </c>
      <c r="BB718" s="24" t="inlineStr">
        <is>
          <t>surface_blended_elo</t>
        </is>
      </c>
      <c r="BC718" s="24" t="inlineStr">
        <is>
          <t>tennis-surface-elo-v1</t>
        </is>
      </c>
      <c r="BD718" s="24" t="inlineStr">
        <is>
          <t>6c67e999d2a03612e30f4032c8e5e77e8becfbc79e05f4c8993e726b90d34d54</t>
        </is>
      </c>
      <c r="BE718" s="24" t="inlineStr">
        <is>
          <t>tennis-surface-elo-v1</t>
        </is>
      </c>
      <c r="BF718" s="24" t="inlineStr">
        <is>
          <t>1</t>
        </is>
      </c>
      <c r="BG718" s="24" t="inlineStr">
        <is>
          <t>6c67e999d2a03612e30f4032c8e5e77e8becfbc79e05f4c8993e726b90d34d54</t>
        </is>
      </c>
      <c r="BH718" s="24" t="inlineStr">
        <is>
          <t>2026-09-28T04:35:29.292139Z</t>
        </is>
      </c>
      <c r="BI718" s="24" t="inlineStr">
        <is>
          <t>["same_event","same_team_same_day","same_league_same_day"]</t>
        </is>
      </c>
      <c r="BJ718" s="25" t="n"/>
      <c r="BK718" s="26" t="n">
        <v>1567</v>
      </c>
      <c r="BL718" s="27" t="n">
        <v>16.67</v>
      </c>
      <c r="BM718" s="28" t="n">
        <v>0.059988</v>
      </c>
      <c r="BN718" s="28" t="n"/>
      <c r="BO718" s="28" t="n"/>
      <c r="BP718" s="25" t="n"/>
      <c r="BQ718" s="27" t="n">
        <v>16.67</v>
      </c>
      <c r="BR718" s="28" t="n">
        <v>0.06</v>
      </c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2026-09-28T10:00:11.029405Z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inlineStr">
        <is>
          <t>9ed861819bedfcf9cedac9d9a7e8a624e86f7eb78b075a7c25dfd702724c77c1</t>
        </is>
      </c>
      <c r="DE718" s="24" t="inlineStr">
        <is>
          <t>/Users/vincentc9002/model-prediction/data/odds/tennis/2026-09-28/polymarket_snapshots.jsonl</t>
        </is>
      </c>
      <c r="DF718" s="24" t="inlineStr">
        <is>
          <t>1096307:2026-09-28T04:35:29.292139Z</t>
        </is>
      </c>
      <c r="DG718" s="24" t="n"/>
      <c r="DH718" s="24" t="n"/>
      <c r="DI718" s="24" t="n"/>
      <c r="DJ718" s="24" t="inlineStr">
        <is>
          <t>0.059988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"6c67e999d2a03612e30f4032c8e5e77e8becfbc79e05f4c8993e726b90d34d54", "away_team": "Shi Han", "event_id": "959-2026:186215", "event_start_utc": "2026-09-28T06:00Z", "features": {"elo_p1_surface": 1443.2, "elo_p2_surface": 1484.0, "expected_games_p1": 11.47, "expected_games_p2": 12.97, "expected_total_games": 24.44, "history_matches": 16386, "min_player_matches": 1, "surface": "Hard"}, "historical_source_observation_times_verified": false, "home_team": "Tereza Mihalikova", "inference_inputs": {"code_sha256": {"features/elo_ratings.py": "8525faf022a6343c452286dbfeb17dbb043744c6bdabbe448b6b371216da439b", "models/tennis.py": "6c67e999d2a03612e30f4032c8e5e77e8becfbc79e05f4c8993e726b90d34d54"}, "overall_ratings": [1436.029592694985, 1484.0], "players": ["Shi Han", "Tereza Mihalikova"], "sport": "TENNIS", "surface": "Hard", "surface_counts": [26, 1], "surface_ratings": [1443.2356899700353, 1484.0]}, "market_type": "moneyline", "model_version": "tennis-surface-elo-v1", "observed_at_utc": "2026-09-28T04:41:11.953668+00:00", "probabilities": {"away": 0.4369, "home": 0.5631}, "replay_scope": "Exact full-precision serving state and rounding; upstream historical observation times are not certified.", "schema": "coded-moneyline-replay-v1", "snapshot_hash": "b05ca15dc7be48a036e8cf1d1ea2d40cd6ea45ad2ff0b71432f2e56b6493ffa8", "sport": "TENNIS"}</t>
        </is>
      </c>
    </row>
    <row r="719" ht="36" customHeight="1">
      <c r="A719" s="24" t="inlineStr">
        <is>
          <t>5e60f11d733a41b4</t>
        </is>
      </c>
      <c r="B719" s="24" t="inlineStr">
        <is>
          <t>2026-09-28T04:41:12.413369Z</t>
        </is>
      </c>
      <c r="C719" s="24" t="inlineStr">
        <is>
          <t>2026-09-28T06:00Z</t>
        </is>
      </c>
      <c r="D719" s="24" t="inlineStr">
        <is>
          <t>959-2026:186232</t>
        </is>
      </c>
      <c r="E719" s="24" t="inlineStr">
        <is>
          <t>TENNIS</t>
        </is>
      </c>
      <c r="F719" s="24" t="inlineStr">
        <is>
          <t>Linda Fruhvirtova</t>
        </is>
      </c>
      <c r="G719" s="24" t="inlineStr">
        <is>
          <t>Ye Shiyu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polymarket_us</t>
        </is>
      </c>
      <c r="L719" s="26" t="n">
        <v>614</v>
      </c>
      <c r="M719" s="27" t="n">
        <v>7.14</v>
      </c>
      <c r="N719" s="28" t="n">
        <v>0.140056</v>
      </c>
      <c r="O719" s="28" t="n">
        <v>0.5012</v>
      </c>
      <c r="P719" s="28" t="n">
        <v>0.05</v>
      </c>
      <c r="Q719" s="28" t="n">
        <v>0.361144</v>
      </c>
      <c r="R719" s="26" t="n">
        <v>100</v>
      </c>
      <c r="S719" s="29" t="n">
        <v>2</v>
      </c>
      <c r="T719" s="24" t="inlineStr">
        <is>
          <t>tennis-surface-elo-v1</t>
        </is>
      </c>
      <c r="U719" s="24" t="inlineStr">
        <is>
          <t>settled</t>
        </is>
      </c>
      <c r="V719" s="24" t="inlineStr">
        <is>
          <t>loss</t>
        </is>
      </c>
      <c r="W719" s="26" t="n">
        <v>1</v>
      </c>
      <c r="X719" s="26" t="n">
        <v>0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2026-09-28T10:00:12.163587Z</t>
        </is>
      </c>
      <c r="AE719" s="31" t="inlineStr">
        <is>
          <t>Surface-blended Elo on Hard: Linda Fruhvirtova p=0.499 vs Ye Shiyu. Executable ask 0.1400 (aec-wta-shiye-linfru-2026-09-28).</t>
        </is>
      </c>
      <c r="AF719" s="31" t="inlineStr">
        <is>
          <t>Surface-blended Elo model; singles only, WTA+ATP market coverage, not yet locked-holdout qualified -- promoted by explicit operator directive, not genuine walk-forward validation.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Linda Fruhvirtova</t>
        </is>
      </c>
      <c r="AQ719" s="24" t="inlineStr">
        <is>
          <t>Linda Fruhvirtova</t>
        </is>
      </c>
      <c r="AR719" s="24" t="inlineStr">
        <is>
          <t>Linda Fruhvirtova</t>
        </is>
      </c>
      <c r="AS719" s="24" t="inlineStr">
        <is>
          <t>Ye Shiyu</t>
        </is>
      </c>
      <c r="AT719" s="24" t="inlineStr">
        <is>
          <t>Ye Shiyu</t>
        </is>
      </c>
      <c r="AU719" s="24" t="inlineStr">
        <is>
          <t>Ye Shiyu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6c67e999d2a03612e30f4032c8e5e77e8becfbc79e05f4c8993e726b90d34d54</t>
        </is>
      </c>
      <c r="BB719" s="24" t="inlineStr">
        <is>
          <t>surface_blended_elo</t>
        </is>
      </c>
      <c r="BC719" s="24" t="inlineStr">
        <is>
          <t>tennis-surface-elo-v1</t>
        </is>
      </c>
      <c r="BD719" s="24" t="inlineStr">
        <is>
          <t>6c67e999d2a03612e30f4032c8e5e77e8becfbc79e05f4c8993e726b90d34d54</t>
        </is>
      </c>
      <c r="BE719" s="24" t="inlineStr">
        <is>
          <t>tennis-surface-elo-v1</t>
        </is>
      </c>
      <c r="BF719" s="24" t="inlineStr">
        <is>
          <t>1</t>
        </is>
      </c>
      <c r="BG719" s="24" t="inlineStr">
        <is>
          <t>6c67e999d2a03612e30f4032c8e5e77e8becfbc79e05f4c8993e726b90d34d54</t>
        </is>
      </c>
      <c r="BH719" s="24" t="inlineStr">
        <is>
          <t>2026-09-28T04:35:18.719975Z</t>
        </is>
      </c>
      <c r="BI719" s="24" t="inlineStr">
        <is>
          <t>["same_event","same_team_same_day","same_league_same_day"]</t>
        </is>
      </c>
      <c r="BJ719" s="25" t="n"/>
      <c r="BK719" s="26" t="n">
        <v>614</v>
      </c>
      <c r="BL719" s="27" t="n">
        <v>7.14</v>
      </c>
      <c r="BM719" s="28" t="n">
        <v>0.140056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-1</v>
      </c>
      <c r="BZ719" s="24" t="inlineStr">
        <is>
          <t>2026-09-28T10:00:12.163587Z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inlineStr">
        <is>
          <t>5f7e56de7a73739aabf8e7b0c2531e1895d18745ac023c4af64e327044a46348</t>
        </is>
      </c>
      <c r="DE719" s="24" t="inlineStr">
        <is>
          <t>/Users/vincentc9002/model-prediction/data/odds/tennis/2026-09-28/polymarket_snapshots.jsonl</t>
        </is>
      </c>
      <c r="DF719" s="24" t="inlineStr">
        <is>
          <t>1096304:2026-09-28T04:35:18.719975Z</t>
        </is>
      </c>
      <c r="DG719" s="24" t="n"/>
      <c r="DH719" s="24" t="n"/>
      <c r="DI719" s="24" t="n"/>
      <c r="DJ719" s="24" t="inlineStr">
        <is>
          <t>0.140056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"6c67e999d2a03612e30f4032c8e5e77e8becfbc79e05f4c8993e726b90d34d54", "away_team": "Linda Fruhvirtova", "event_id": "959-2026:186232", "event_start_utc": "2026-09-28T06:00Z", "features": {"elo_p1_surface": 1485.1, "elo_p2_surface": 1484.2, "expected_games_p1": 12.57, "expected_games_p2": 12.21, "expected_total_games": 24.78, "history_matches": 16386, "min_player_matches": 1, "surface": "Hard"}, "historical_source_observation_times_verified": false, "home_team": "Ye Shiyu", "inference_inputs": {"code_sha256": {"features/elo_ratings.py": "8525faf022a6343c452286dbfeb17dbb043744c6bdabbe448b6b371216da439b", "models/tennis.py": "6c67e999d2a03612e30f4032c8e5e77e8becfbc79e05f4c8993e726b90d34d54"}, "overall_ratings": [1478.5695344345186, 1484.210880712912], "players": ["Linda Fruhvirtova", "Ye Shiyu"], "sport": "TENNIS", "surface": "Hard", "surface_counts": [93, 1], "surface_ratings": [1485.0914611411267, 1484.2208232321673]}, "market_type": "moneyline", "model_version": "tennis-surface-elo-v1", "observed_at_utc": "2026-09-28T04:41:11.953668+00:00", "probabilities": {"away": 0.4988, "home": 0.5012}, "replay_scope": "Exact full-precision serving state and rounding; upstream historical observation times are not certified.", "schema": "coded-moneyline-replay-v1", "snapshot_hash": "cd05766d4e1162f72421f905b29a793b9eedfe43beef9f86bf4a8e5a024cfaa9", "sport": "TENNIS"}</t>
        </is>
      </c>
    </row>
    <row r="720" ht="36" customHeight="1">
      <c r="A720" s="24" t="inlineStr">
        <is>
          <t>10548e448b2c4b11</t>
        </is>
      </c>
      <c r="B720" s="24" t="inlineStr">
        <is>
          <t>2026-09-28T10:08:57.835325Z</t>
        </is>
      </c>
      <c r="C720" s="24" t="inlineStr">
        <is>
          <t>2026-09-28T11:30Z</t>
        </is>
      </c>
      <c r="D720" s="24" t="inlineStr">
        <is>
          <t>1001-2026:183375</t>
        </is>
      </c>
      <c r="E720" s="24" t="inlineStr">
        <is>
          <t>TENNIS</t>
        </is>
      </c>
      <c r="F720" s="24" t="inlineStr">
        <is>
          <t>Roman Safiullin</t>
        </is>
      </c>
      <c r="G720" s="24" t="inlineStr">
        <is>
          <t>Daniil Medvedev</t>
        </is>
      </c>
      <c r="H720" s="24" t="inlineStr">
        <is>
          <t>moneyline</t>
        </is>
      </c>
      <c r="I720" s="24" t="inlineStr">
        <is>
          <t>home</t>
        </is>
      </c>
      <c r="J720" s="25" t="n"/>
      <c r="K720" s="24" t="inlineStr">
        <is>
          <t>polymarket_us</t>
        </is>
      </c>
      <c r="L720" s="26" t="n">
        <v>-223</v>
      </c>
      <c r="M720" s="27" t="n">
        <v>1.44843</v>
      </c>
      <c r="N720" s="28" t="n">
        <v>0.690402</v>
      </c>
      <c r="O720" s="28" t="n">
        <v>0.7793</v>
      </c>
      <c r="P720" s="28" t="n">
        <v>0.05</v>
      </c>
      <c r="Q720" s="28" t="n">
        <v>0.088898</v>
      </c>
      <c r="R720" s="26" t="n">
        <v>64</v>
      </c>
      <c r="S720" s="29" t="n">
        <v>1.25</v>
      </c>
      <c r="T720" s="24" t="inlineStr">
        <is>
          <t>tennis-surface-elo-v1</t>
        </is>
      </c>
      <c r="U720" s="24" t="inlineStr">
        <is>
          <t>settled</t>
        </is>
      </c>
      <c r="V720" s="24" t="inlineStr">
        <is>
          <t>win</t>
        </is>
      </c>
      <c r="W720" s="26" t="n">
        <v>0</v>
      </c>
      <c r="X720" s="26" t="n">
        <v>1</v>
      </c>
      <c r="Y720" s="25" t="n"/>
      <c r="Z720" s="26" t="n">
        <v>-223</v>
      </c>
      <c r="AA720" s="28" t="n">
        <v>0.6899999999999999</v>
      </c>
      <c r="AB720" s="28" t="n">
        <v>-0.000402</v>
      </c>
      <c r="AC720" s="30" t="n">
        <v>0.5605</v>
      </c>
      <c r="AD720" s="24" t="inlineStr">
        <is>
          <t>2026-09-28T16:01:34.804789Z</t>
        </is>
      </c>
      <c r="AE720" s="31" t="inlineStr">
        <is>
          <t>Surface-blended Elo on Hard: Roman Safiullin p=0.221 vs Daniil Medvedev. Executable ask 0.6900 (aec-atp-danmed-romsaf-2026-09-28).</t>
        </is>
      </c>
      <c r="AF720" s="31" t="inlineStr">
        <is>
          <t>Surface-blended Elo model; singles only, WTA+ATP market coverage, not yet locked-holdout qualified -- promoted by explicit operator directive, not genuine walk-forward validation.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Roman Safiullin</t>
        </is>
      </c>
      <c r="AQ720" s="24" t="inlineStr">
        <is>
          <t>Roman Safiullin</t>
        </is>
      </c>
      <c r="AR720" s="24" t="inlineStr">
        <is>
          <t>Roman Safiullin</t>
        </is>
      </c>
      <c r="AS720" s="24" t="inlineStr">
        <is>
          <t>Daniil Medvedev</t>
        </is>
      </c>
      <c r="AT720" s="24" t="inlineStr">
        <is>
          <t>Daniil Medvedev</t>
        </is>
      </c>
      <c r="AU720" s="24" t="inlineStr">
        <is>
          <t>Daniil Medvedev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6c67e999d2a03612e30f4032c8e5e77e8becfbc79e05f4c8993e726b90d34d54</t>
        </is>
      </c>
      <c r="BB720" s="24" t="inlineStr">
        <is>
          <t>surface_blended_elo</t>
        </is>
      </c>
      <c r="BC720" s="24" t="inlineStr">
        <is>
          <t>tennis-surface-elo-v1</t>
        </is>
      </c>
      <c r="BD720" s="24" t="inlineStr">
        <is>
          <t>6c67e999d2a03612e30f4032c8e5e77e8becfbc79e05f4c8993e726b90d34d54</t>
        </is>
      </c>
      <c r="BE720" s="24" t="inlineStr">
        <is>
          <t>tennis-surface-elo-v1</t>
        </is>
      </c>
      <c r="BF720" s="24" t="inlineStr">
        <is>
          <t>1</t>
        </is>
      </c>
      <c r="BG720" s="24" t="inlineStr">
        <is>
          <t>6c67e999d2a03612e30f4032c8e5e77e8becfbc79e05f4c8993e726b90d34d54</t>
        </is>
      </c>
      <c r="BH720" s="24" t="inlineStr">
        <is>
          <t>2026-09-28T10:05:43.908561Z</t>
        </is>
      </c>
      <c r="BI720" s="24" t="inlineStr">
        <is>
          <t>["same_event","same_team_same_day","same_league_same_day"]</t>
        </is>
      </c>
      <c r="BJ720" s="25" t="n"/>
      <c r="BK720" s="26" t="n">
        <v>-223</v>
      </c>
      <c r="BL720" s="27" t="n">
        <v>1.44843</v>
      </c>
      <c r="BM720" s="28" t="n">
        <v>0.690402</v>
      </c>
      <c r="BN720" s="28" t="n"/>
      <c r="BO720" s="28" t="n"/>
      <c r="BP720" s="25" t="n"/>
      <c r="BQ720" s="27" t="n">
        <v>1.44843</v>
      </c>
      <c r="BR720" s="28" t="n">
        <v>0.6899999999999999</v>
      </c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inlineStr">
        <is>
          <t>8c4b3d1122d2da84189fa8ed4c35e7bb242de32296bbbc9e1acaf9525d06aa1e</t>
        </is>
      </c>
      <c r="DE720" s="24" t="inlineStr">
        <is>
          <t>/Users/vincentc9002/model-prediction/data/odds/tennis/2026-09-28/polymarket_snapshots.jsonl</t>
        </is>
      </c>
      <c r="DF720" s="24" t="inlineStr">
        <is>
          <t>1093424:2026-09-28T10:05:43.908561Z</t>
        </is>
      </c>
      <c r="DG720" s="24" t="n"/>
      <c r="DH720" s="24" t="n"/>
      <c r="DI720" s="24" t="n"/>
      <c r="DJ720" s="24" t="inlineStr">
        <is>
          <t>0.690402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"6c67e999d2a03612e30f4032c8e5e77e8becfbc79e05f4c8993e726b90d34d54", "away_team": "Roman Safiullin", "event_id": "1001-2026:183375", "event_start_utc": "2026-09-28T11:30Z", "features": {"elo_p1_surface": 1530.3, "elo_p2_surface": 1784.2, "expected_games_p1": 5.94, "expected_games_p2": 12.49, "expected_total_games": 18.44, "history_matches": 11283, "min_player_matches": 91, "surface": "Hard"}, "historical_source_observation_times_verified": false, "home_team": "Daniil Medvedev", "inference_inputs": {"code_sha256": {"features/elo_ratings.py": "8525faf022a6343c452286dbfeb17dbb043744c6bdabbe448b6b371216da439b", "models/tennis.py": "6c67e999d2a03612e30f4032c8e5e77e8becfbc79e05f4c8993e726b90d34d54"}, "overall_ratings": [1624.2895787145355, 1762.1195803946255], "players": ["Roman Safiullin", "Daniil Medvedev"], "sport": "TENNIS", "surface": "Hard", "surface_counts": [63, 131], "surface_ratings": [1530.3475271978878, 1784.2016185486902]}, "market_type": "moneyline", "model_version": "tennis-surface-elo-v1", "observed_at_utc": "2026-09-28T10:08:57.337883+00:00", "probabilities": {"away": 0.2207, "home": 0.7793}, "replay_scope": "Exact full-precision serving state and rounding; upstream historical observation times are not certified.", "schema": "coded-moneyline-replay-v1", "snapshot_hash": "0e5527d143e79617d4410d5cbdab4b40cce308a283901fc11e513f7f8697a7d0", "sport": "TENNIS"}</t>
        </is>
      </c>
    </row>
    <row r="721" ht="36" customHeight="1">
      <c r="A721" s="24" t="inlineStr">
        <is>
          <t>6539f5baf9fe4107</t>
        </is>
      </c>
      <c r="B721" s="24" t="inlineStr">
        <is>
          <t>2026-09-28T22:06:13.647851Z</t>
        </is>
      </c>
      <c r="C721" s="24" t="inlineStr">
        <is>
          <t>2026-09-29T04:30Z</t>
        </is>
      </c>
      <c r="D721" s="24" t="inlineStr">
        <is>
          <t>1028-2026:184177</t>
        </is>
      </c>
      <c r="E721" s="24" t="inlineStr">
        <is>
          <t>TENNIS</t>
        </is>
      </c>
      <c r="F721" s="24" t="inlineStr">
        <is>
          <t>Sara Sorribes Tormo</t>
        </is>
      </c>
      <c r="G721" s="24" t="inlineStr">
        <is>
          <t>Viktoria Morvayova</t>
        </is>
      </c>
      <c r="H721" s="24" t="inlineStr">
        <is>
          <t>moneyline</t>
        </is>
      </c>
      <c r="I721" s="24" t="inlineStr">
        <is>
          <t>away</t>
        </is>
      </c>
      <c r="J721" s="25" t="n"/>
      <c r="K721" s="24" t="inlineStr">
        <is>
          <t>polymarket_us</t>
        </is>
      </c>
      <c r="L721" s="26" t="n">
        <v>-525</v>
      </c>
      <c r="M721" s="27" t="n">
        <v>1.190476</v>
      </c>
      <c r="N721" s="28" t="n">
        <v>0.84</v>
      </c>
      <c r="O721" s="28" t="n">
        <v>0.6051</v>
      </c>
      <c r="P721" s="28" t="n">
        <v>0.05</v>
      </c>
      <c r="Q721" s="28" t="n">
        <v>-0.2349</v>
      </c>
      <c r="R721" s="26" t="n">
        <v>0</v>
      </c>
      <c r="S721" s="29" t="n">
        <v>1</v>
      </c>
      <c r="T721" s="24" t="inlineStr">
        <is>
          <t>tennis-surface-elo-v1</t>
        </is>
      </c>
      <c r="U721" s="24" t="inlineStr">
        <is>
          <t>settled</t>
        </is>
      </c>
      <c r="V721" s="24" t="inlineStr">
        <is>
          <t>win</t>
        </is>
      </c>
      <c r="W721" s="26" t="n">
        <v>1</v>
      </c>
      <c r="X721" s="26" t="n">
        <v>0</v>
      </c>
      <c r="Y721" s="25" t="n"/>
      <c r="Z721" s="26" t="n">
        <v>-525</v>
      </c>
      <c r="AA721" s="28" t="n">
        <v>0.84</v>
      </c>
      <c r="AB721" s="28" t="n">
        <v>0</v>
      </c>
      <c r="AC721" s="30" t="n">
        <v>0.1905</v>
      </c>
      <c r="AD721" s="24" t="inlineStr">
        <is>
          <t>2026-09-29T10:00:10.356438Z</t>
        </is>
      </c>
      <c r="AE721" s="31" t="inlineStr">
        <is>
          <t>Surface-blended Elo on Hard: Sara Sorribes Tormo p=0.605 vs Viktoria Morvayova. Executable ask 0.8400 (aec-wta-vikmor-sartor-2026-09-27).</t>
        </is>
      </c>
      <c r="AF721" s="31" t="inlineStr">
        <is>
          <t>Surface-blended Elo model; singles only, WTA+ATP market coverage, not yet locked-holdout qualified -- promoted by explicit operator directive, not genuine walk-forward validation.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Sara Sorribes Tormo</t>
        </is>
      </c>
      <c r="AQ721" s="24" t="inlineStr">
        <is>
          <t>Sara Sorribes Tormo</t>
        </is>
      </c>
      <c r="AR721" s="24" t="inlineStr">
        <is>
          <t>Sara Sorribes Tormo</t>
        </is>
      </c>
      <c r="AS721" s="24" t="inlineStr">
        <is>
          <t>Viktoria Morvayova</t>
        </is>
      </c>
      <c r="AT721" s="24" t="inlineStr">
        <is>
          <t>Viktoria Morvayova</t>
        </is>
      </c>
      <c r="AU721" s="24" t="inlineStr">
        <is>
          <t>Viktoria Morvayova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6c67e999d2a03612e30f4032c8e5e77e8becfbc79e05f4c8993e726b90d34d54</t>
        </is>
      </c>
      <c r="BB721" s="24" t="inlineStr">
        <is>
          <t>surface_blended_elo</t>
        </is>
      </c>
      <c r="BC721" s="24" t="inlineStr">
        <is>
          <t>tennis-surface-elo-v1</t>
        </is>
      </c>
      <c r="BD721" s="24" t="inlineStr">
        <is>
          <t>6c67e999d2a03612e30f4032c8e5e77e8becfbc79e05f4c8993e726b90d34d54</t>
        </is>
      </c>
      <c r="BE721" s="24" t="inlineStr">
        <is>
          <t>tennis-surface-elo-v1</t>
        </is>
      </c>
      <c r="BF721" s="24" t="inlineStr">
        <is>
          <t>1</t>
        </is>
      </c>
      <c r="BG721" s="24" t="inlineStr">
        <is>
          <t>6c67e999d2a03612e30f4032c8e5e77e8becfbc79e05f4c8993e726b90d34d54</t>
        </is>
      </c>
      <c r="BH721" s="24" t="inlineStr">
        <is>
          <t>2026-09-28T04:36:13.049487Z</t>
        </is>
      </c>
      <c r="BI721" s="24" t="inlineStr">
        <is>
          <t>["same_event","same_team_same_day","same_league_same_day"]</t>
        </is>
      </c>
      <c r="BJ721" s="25" t="n"/>
      <c r="BK721" s="26" t="n">
        <v>-525</v>
      </c>
      <c r="BL721" s="27" t="n">
        <v>1.190476</v>
      </c>
      <c r="BM721" s="28" t="n">
        <v>0.84</v>
      </c>
      <c r="BN721" s="28" t="n"/>
      <c r="BO721" s="28" t="n"/>
      <c r="BP721" s="25" t="n"/>
      <c r="BQ721" s="27" t="n">
        <v>1.190476</v>
      </c>
      <c r="BR721" s="28" t="n">
        <v>0.84</v>
      </c>
      <c r="BS721" s="28" t="n"/>
      <c r="BT721" s="28" t="n"/>
      <c r="BU721" s="25" t="n"/>
      <c r="BV721" s="29" t="n"/>
      <c r="BW721" s="24" t="n"/>
      <c r="BX721" s="30" t="n">
        <v>1</v>
      </c>
      <c r="BY721" s="27" t="n">
        <v>0.190476</v>
      </c>
      <c r="BZ721" s="24" t="inlineStr">
        <is>
          <t>2026-09-29T10:00:10.356438Z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inlineStr">
        <is>
          <t>c48d4a1d21c415f1d059fbf3d5fd83d6d09b112e0c4d89366f8b8351d2fa7791</t>
        </is>
      </c>
      <c r="DE721" s="24" t="inlineStr">
        <is>
          <t>/Users/vincentc9002/model-prediction/data/odds/tennis/2026-09-28/polymarket_snapshots.jsonl</t>
        </is>
      </c>
      <c r="DF721" s="24" t="inlineStr">
        <is>
          <t>1083357:2026-09-28T04:36:13.049487Z</t>
        </is>
      </c>
      <c r="DG721" s="24" t="n"/>
      <c r="DH721" s="24" t="n"/>
      <c r="DI721" s="24" t="n"/>
      <c r="DJ721" s="24" t="inlineStr">
        <is>
          <t>0.84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"6c67e999d2a03612e30f4032c8e5e77e8becfbc79e05f4c8993e726b90d34d54", "away_team": "Sara Sorribes Tormo", "event_id": "1028-2026:184177", "event_start_utc": "2026-09-29T04:30Z", "features": {"elo_p1_surface": 1561.1, "elo_p2_surface": 1484.1, "expected_games_p1": 13.45, "expected_games_p2": 9.84, "expected_total_games": 23.28, "history_matches": 16386, "min_player_matches": 20, "surface": "Hard"}, "historical_source_observation_times_verified": false, "home_team": "Viktoria Morvayova", "inference_inputs": {"code_sha256": {"features/elo_ratings.py": "8525faf022a6343c452286dbfeb17dbb043744c6bdabbe448b6b371216da439b", "models/tennis.py": "6c67e999d2a03612e30f4032c8e5e77e8becfbc79e05f4c8993e726b90d34d54"}, "overall_ratings": [1546.247138780325, 1481.369050886354], "players": ["Sara Sorribes Tormo", "Viktoria Morvayova"], "sport": "TENNIS", "surface": "Hard", "surface_counts": [81, 20], "surface_ratings": [1561.072430243952, 1484.1419315826226]}, "market_type": "moneyline", "model_version": "tennis-surface-elo-v1", "observed_at_utc": "2026-09-28T22:06:13.082890+00:00", "probabilities": {"away": 0.6051, "home": 0.3949}, "replay_scope": "Exact full-precision serving state and rounding; upstream historical observation times are not certified.", "schema": "coded-moneyline-replay-v1", "snapshot_hash": "0f7c37f3fa2d8017fb609b96b40edfeb6b8b328f82f1a34b6cd4337298f96b5a", "sport": "TENNIS"}</t>
        </is>
      </c>
    </row>
    <row r="722" ht="36" customHeight="1">
      <c r="A722" s="24" t="inlineStr">
        <is>
          <t>1546817933354d71</t>
        </is>
      </c>
      <c r="B722" s="24" t="inlineStr">
        <is>
          <t>2026-09-28T22:06:13.647851Z</t>
        </is>
      </c>
      <c r="C722" s="24" t="inlineStr">
        <is>
          <t>2026-09-29T03:00Z</t>
        </is>
      </c>
      <c r="D722" s="24" t="inlineStr">
        <is>
          <t>959-2026:186206</t>
        </is>
      </c>
      <c r="E722" s="24" t="inlineStr">
        <is>
          <t>TENNIS</t>
        </is>
      </c>
      <c r="F722" s="24" t="inlineStr">
        <is>
          <t>Valeria Savinykh</t>
        </is>
      </c>
      <c r="G722" s="24" t="inlineStr">
        <is>
          <t>Katarzyna Kawa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polymarket_us</t>
        </is>
      </c>
      <c r="L722" s="26" t="n">
        <v>-614</v>
      </c>
      <c r="M722" s="27" t="n">
        <v>1.162866</v>
      </c>
      <c r="N722" s="28" t="n">
        <v>0.859944</v>
      </c>
      <c r="O722" s="28" t="n">
        <v>0.6602</v>
      </c>
      <c r="P722" s="28" t="n">
        <v>0.05</v>
      </c>
      <c r="Q722" s="28" t="n">
        <v>-0.199744</v>
      </c>
      <c r="R722" s="26" t="n">
        <v>0</v>
      </c>
      <c r="S722" s="29" t="n">
        <v>1</v>
      </c>
      <c r="T722" s="24" t="inlineStr">
        <is>
          <t>tennis-surface-elo-v1</t>
        </is>
      </c>
      <c r="U722" s="24" t="inlineStr">
        <is>
          <t>settled</t>
        </is>
      </c>
      <c r="V722" s="24" t="inlineStr">
        <is>
          <t>win</t>
        </is>
      </c>
      <c r="W722" s="26" t="n">
        <v>0</v>
      </c>
      <c r="X722" s="26" t="n">
        <v>1</v>
      </c>
      <c r="Y722" s="25" t="n"/>
      <c r="Z722" s="26" t="n">
        <v>-614</v>
      </c>
      <c r="AA722" s="28" t="n">
        <v>0.86</v>
      </c>
      <c r="AB722" s="28" t="n">
        <v>5.6e-05</v>
      </c>
      <c r="AC722" s="30" t="n">
        <v>0.1629</v>
      </c>
      <c r="AD722" s="24" t="inlineStr">
        <is>
          <t>2026-09-29T10:00:11.716755Z</t>
        </is>
      </c>
      <c r="AE722" s="31" t="inlineStr">
        <is>
          <t>Surface-blended Elo on Hard: Valeria Savinykh p=0.340 vs Katarzyna Kawa. Executable ask 0.8600 (aec-wta-katkaw-valsav-2026-09-28).</t>
        </is>
      </c>
      <c r="AF722" s="31" t="inlineStr">
        <is>
          <t>Surface-blended Elo model; singles only, WTA+ATP market coverage, not yet locked-holdout qualified -- promoted by explicit operator directive, not genuine walk-forward validation.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Valeria Savinykh</t>
        </is>
      </c>
      <c r="AQ722" s="24" t="inlineStr">
        <is>
          <t>Valeria Savinykh</t>
        </is>
      </c>
      <c r="AR722" s="24" t="inlineStr">
        <is>
          <t>Valeria Savinykh</t>
        </is>
      </c>
      <c r="AS722" s="24" t="inlineStr">
        <is>
          <t>Katarzyna Kawa</t>
        </is>
      </c>
      <c r="AT722" s="24" t="inlineStr">
        <is>
          <t>Katarzyna Kawa</t>
        </is>
      </c>
      <c r="AU722" s="24" t="inlineStr">
        <is>
          <t>Katarzyna Kawa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6c67e999d2a03612e30f4032c8e5e77e8becfbc79e05f4c8993e726b90d34d54</t>
        </is>
      </c>
      <c r="BB722" s="24" t="inlineStr">
        <is>
          <t>surface_blended_elo</t>
        </is>
      </c>
      <c r="BC722" s="24" t="inlineStr">
        <is>
          <t>tennis-surface-elo-v1</t>
        </is>
      </c>
      <c r="BD722" s="24" t="inlineStr">
        <is>
          <t>6c67e999d2a03612e30f4032c8e5e77e8becfbc79e05f4c8993e726b90d34d54</t>
        </is>
      </c>
      <c r="BE722" s="24" t="inlineStr">
        <is>
          <t>tennis-surface-elo-v1</t>
        </is>
      </c>
      <c r="BF722" s="24" t="inlineStr">
        <is>
          <t>1</t>
        </is>
      </c>
      <c r="BG722" s="24" t="inlineStr">
        <is>
          <t>6c67e999d2a03612e30f4032c8e5e77e8becfbc79e05f4c8993e726b90d34d54</t>
        </is>
      </c>
      <c r="BH722" s="24" t="inlineStr">
        <is>
          <t>2026-09-28T10:04:52.495442Z</t>
        </is>
      </c>
      <c r="BI722" s="24" t="inlineStr">
        <is>
          <t>["same_event","same_team_same_day","same_league_same_day"]</t>
        </is>
      </c>
      <c r="BJ722" s="25" t="n"/>
      <c r="BK722" s="26" t="n">
        <v>-614</v>
      </c>
      <c r="BL722" s="27" t="n">
        <v>1.162866</v>
      </c>
      <c r="BM722" s="28" t="n">
        <v>0.859944</v>
      </c>
      <c r="BN722" s="28" t="n"/>
      <c r="BO722" s="28" t="n"/>
      <c r="BP722" s="25" t="n"/>
      <c r="BQ722" s="27" t="n">
        <v>1.162866</v>
      </c>
      <c r="BR722" s="28" t="n">
        <v>0.86</v>
      </c>
      <c r="BS722" s="28" t="n"/>
      <c r="BT722" s="28" t="n"/>
      <c r="BU722" s="25" t="n"/>
      <c r="BV722" s="29" t="n"/>
      <c r="BW722" s="24" t="n"/>
      <c r="BX722" s="30" t="n">
        <v>1</v>
      </c>
      <c r="BY722" s="27" t="n">
        <v>0.162866</v>
      </c>
      <c r="BZ722" s="24" t="inlineStr">
        <is>
          <t>2026-09-29T10:00:11.716755Z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False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inlineStr">
        <is>
          <t>9d6fc47da1e81065d532546e50c27cb2f96186424738488ff14505040c349c43</t>
        </is>
      </c>
      <c r="DE722" s="24" t="inlineStr">
        <is>
          <t>/Users/vincentc9002/model-prediction/data/odds/tennis/2026-09-28/polymarket_snapshots.jsonl</t>
        </is>
      </c>
      <c r="DF722" s="24" t="inlineStr">
        <is>
          <t>1108964:2026-09-28T10:04:52.495442Z</t>
        </is>
      </c>
      <c r="DG722" s="24" t="n"/>
      <c r="DH722" s="24" t="n"/>
      <c r="DI722" s="24" t="n"/>
      <c r="DJ722" s="24" t="inlineStr">
        <is>
          <t>0.859944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"6c67e999d2a03612e30f4032c8e5e77e8becfbc79e05f4c8993e726b90d34d54", "away_team": "Valeria Savinykh", "event_id": "959-2026:186206", "event_start_utc": "2026-09-29T03:00Z", "features": {"elo_p1_surface": 1435.7, "elo_p2_surface": 1557.1, "expected_games_p1": 8.72, "expected_games_p2": 13.23, "expected_total_games": 21.95, "history_matches": 16386, "min_player_matches": 9, "surface": "Hard"}, "historical_source_observation_times_verified": false, "home_team": "Katarzyna Kawa", "inference_inputs": {"code_sha256": {"features/elo_ratings.py": "8525faf022a6343c452286dbfeb17dbb043744c6bdabbe448b6b371216da439b", "models/tennis.py": "6c67e999d2a03612e30f4032c8e5e77e8becfbc79e05f4c8993e726b90d34d54"}, "overall_ratings": [1436.125827146309, 1535.2134598234998], "players": ["Valeria Savinykh", "Katarzyna Kawa"], "sport": "TENNIS", "surface": "Hard", "surface_counts": [9, 99], "surface_ratings": [1435.6911258366513, 1557.0673038435614]}, "market_type": "moneyline", "model_version": "tennis-surface-elo-v1", "observed_at_utc": "2026-09-28T22:06:13.082890+00:00", "probabilities": {"away": 0.3398, "home": 0.6602}, "replay_scope": "Exact full-precision serving state and rounding; upstream historical observation times are not certified.", "schema": "coded-moneyline-replay-v1", "snapshot_hash": "5c213b683a28b3a09417014746c49fa2d1e200e5aeb9df88ee466d71ccefe8b0", "sport": "TENNIS"}</t>
        </is>
      </c>
    </row>
    <row r="723" ht="36" customHeight="1">
      <c r="A723" s="24" t="inlineStr">
        <is>
          <t>56bd8809a65a4dd5</t>
        </is>
      </c>
      <c r="B723" s="24" t="inlineStr">
        <is>
          <t>2026-09-28T22:06:13.647851Z</t>
        </is>
      </c>
      <c r="C723" s="24" t="inlineStr">
        <is>
          <t>2026-09-29T03:00Z</t>
        </is>
      </c>
      <c r="D723" s="24" t="inlineStr">
        <is>
          <t>959-2026:186260</t>
        </is>
      </c>
      <c r="E723" s="24" t="inlineStr">
        <is>
          <t>TENNIS</t>
        </is>
      </c>
      <c r="F723" s="24" t="inlineStr">
        <is>
          <t>Arthur Gea</t>
        </is>
      </c>
      <c r="G723" s="24" t="inlineStr">
        <is>
          <t>Tomas Machac</t>
        </is>
      </c>
      <c r="H723" s="24" t="inlineStr">
        <is>
          <t>moneyline</t>
        </is>
      </c>
      <c r="I723" s="24" t="inlineStr">
        <is>
          <t>away</t>
        </is>
      </c>
      <c r="J723" s="25" t="n"/>
      <c r="K723" s="24" t="inlineStr">
        <is>
          <t>polymarket_us</t>
        </is>
      </c>
      <c r="L723" s="26" t="n">
        <v>-127</v>
      </c>
      <c r="M723" s="27" t="n">
        <v>1.787402</v>
      </c>
      <c r="N723" s="28" t="n">
        <v>0.5594710000000001</v>
      </c>
      <c r="O723" s="28" t="n">
        <v>0.5042</v>
      </c>
      <c r="P723" s="28" t="n">
        <v>0.05</v>
      </c>
      <c r="Q723" s="28" t="n">
        <v>-0.055271</v>
      </c>
      <c r="R723" s="26" t="n">
        <v>0</v>
      </c>
      <c r="S723" s="29" t="n">
        <v>1</v>
      </c>
      <c r="T723" s="24" t="inlineStr">
        <is>
          <t>tennis-surface-elo-v1</t>
        </is>
      </c>
      <c r="U723" s="24" t="inlineStr">
        <is>
          <t>settled</t>
        </is>
      </c>
      <c r="V723" s="24" t="inlineStr">
        <is>
          <t>win</t>
        </is>
      </c>
      <c r="W723" s="26" t="n">
        <v>1</v>
      </c>
      <c r="X723" s="26" t="n">
        <v>0</v>
      </c>
      <c r="Y723" s="25" t="n"/>
      <c r="Z723" s="26" t="n">
        <v>-127</v>
      </c>
      <c r="AA723" s="28" t="n">
        <v>0.5600000000000001</v>
      </c>
      <c r="AB723" s="28" t="n">
        <v>0.000529</v>
      </c>
      <c r="AC723" s="30" t="n">
        <v>0.7874</v>
      </c>
      <c r="AD723" s="24" t="inlineStr">
        <is>
          <t>2026-09-29T10:00:12.861819Z</t>
        </is>
      </c>
      <c r="AE723" s="31" t="inlineStr">
        <is>
          <t>Surface-blended Elo on Hard: Arthur Gea p=0.504 vs Tomas Machac. Executable ask 0.5600 (aec-atp-tommac-artgea-2026-09-28).</t>
        </is>
      </c>
      <c r="AF723" s="31" t="inlineStr">
        <is>
          <t>Surface-blended Elo model; singles only, WTA+ATP market coverage, not yet locked-holdout qualified -- promoted by explicit operator directive, not genuine walk-forward validation.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PAPER_CALL_LOW_EDGE</t>
        </is>
      </c>
      <c r="AP723" s="24" t="inlineStr">
        <is>
          <t>Arthur Gea</t>
        </is>
      </c>
      <c r="AQ723" s="24" t="inlineStr">
        <is>
          <t>Arthur Gea</t>
        </is>
      </c>
      <c r="AR723" s="24" t="inlineStr">
        <is>
          <t>Arthur Gea</t>
        </is>
      </c>
      <c r="AS723" s="24" t="inlineStr">
        <is>
          <t>Tomas Machac</t>
        </is>
      </c>
      <c r="AT723" s="24" t="inlineStr">
        <is>
          <t>Tomas Machac</t>
        </is>
      </c>
      <c r="AU723" s="24" t="inlineStr">
        <is>
          <t>Tomas Machac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6c67e999d2a03612e30f4032c8e5e77e8becfbc79e05f4c8993e726b90d34d54</t>
        </is>
      </c>
      <c r="BB723" s="24" t="inlineStr">
        <is>
          <t>surface_blended_elo</t>
        </is>
      </c>
      <c r="BC723" s="24" t="inlineStr">
        <is>
          <t>tennis-surface-elo-v1</t>
        </is>
      </c>
      <c r="BD723" s="24" t="inlineStr">
        <is>
          <t>6c67e999d2a03612e30f4032c8e5e77e8becfbc79e05f4c8993e726b90d34d54</t>
        </is>
      </c>
      <c r="BE723" s="24" t="inlineStr">
        <is>
          <t>tennis-surface-elo-v1</t>
        </is>
      </c>
      <c r="BF723" s="24" t="inlineStr">
        <is>
          <t>1</t>
        </is>
      </c>
      <c r="BG723" s="24" t="inlineStr">
        <is>
          <t>6c67e999d2a03612e30f4032c8e5e77e8becfbc79e05f4c8993e726b90d34d54</t>
        </is>
      </c>
      <c r="BH723" s="24" t="inlineStr">
        <is>
          <t>2026-09-28T16:09:52.129447Z</t>
        </is>
      </c>
      <c r="BI723" s="24" t="inlineStr">
        <is>
          <t>["same_event","same_team_same_day","same_league_same_day"]</t>
        </is>
      </c>
      <c r="BJ723" s="25" t="n"/>
      <c r="BK723" s="26" t="n">
        <v>-127</v>
      </c>
      <c r="BL723" s="27" t="n">
        <v>1.787402</v>
      </c>
      <c r="BM723" s="28" t="n">
        <v>0.5594710000000001</v>
      </c>
      <c r="BN723" s="28" t="n"/>
      <c r="BO723" s="28" t="n"/>
      <c r="BP723" s="25" t="n"/>
      <c r="BQ723" s="27" t="n">
        <v>1.787402</v>
      </c>
      <c r="BR723" s="28" t="n">
        <v>0.5600000000000001</v>
      </c>
      <c r="BS723" s="28" t="n"/>
      <c r="BT723" s="28" t="n"/>
      <c r="BU723" s="25" t="n"/>
      <c r="BV723" s="29" t="n"/>
      <c r="BW723" s="24" t="n"/>
      <c r="BX723" s="30" t="n">
        <v>1</v>
      </c>
      <c r="BY723" s="27" t="n">
        <v>0.787403</v>
      </c>
      <c r="BZ723" s="24" t="inlineStr">
        <is>
          <t>2026-09-29T10:00:12.861819Z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False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inlineStr">
        <is>
          <t>05dc5ee6d1048090f39be57c83d0b0302b11169dea73baf5cf7bb6f9c6231e21</t>
        </is>
      </c>
      <c r="DE723" s="24" t="inlineStr">
        <is>
          <t>/Users/vincentc9002/model-prediction/data/odds/tennis/2026-09-28/polymarket_snapshots.jsonl</t>
        </is>
      </c>
      <c r="DF723" s="24" t="inlineStr">
        <is>
          <t>1106292:2026-09-28T16:09:52.129447Z</t>
        </is>
      </c>
      <c r="DG723" s="24" t="n"/>
      <c r="DH723" s="24" t="n"/>
      <c r="DI723" s="24" t="n"/>
      <c r="DJ723" s="24" t="inlineStr">
        <is>
          <t>0.559471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"6c67e999d2a03612e30f4032c8e5e77e8becfbc79e05f4c8993e726b90d34d54", "away_team": "Arthur Gea", "event_id": "959-2026:186260", "event_start_utc": "2026-09-29T03:00Z", "features": {"elo_p1_surface": 1612.1, "elo_p2_surface": 1577.6, "expected_games_p1": 13.51, "expected_games_p2": 11.7, "expected_total_games": 25.21, "history_matches": 11283, "min_player_matches": 29, "surface": "Hard"}, "historical_source_observation_times_verified": false, "home_team": "Tomas Machac", "inference_inputs": {"code_sha256": {"features/elo_ratings.py": "8525faf022a6343c452286dbfeb17dbb043744c6bdabbe448b6b371216da439b", "models/tennis.py": "6c67e999d2a03612e30f4032c8e5e77e8becfbc79e05f4c8993e726b90d34d54"}, "overall_ratings": [1577.180467727301, 1624.3959648303542], "players": ["Arthur Gea", "Tomas Machac"], "sport": "TENNIS", "surface": "Hard", "surface_counts": [18, 87], "surface_ratings": [1612.11525193042, 1577.618379236994]}, "market_type": "moneyline", "model_version": "tennis-surface-elo-v1", "observed_at_utc": "2026-09-28T22:06:13.082890+00:00", "probabilities": {"away": 0.5042, "home": 0.4958}, "replay_scope": "Exact full-precision serving state and rounding; upstream historical observation times are not certified.", "schema": "coded-moneyline-replay-v1", "snapshot_hash": "44e0b564c22c7006f2fcda0f924b61edd5e6e52740d1c2f0aa4c2c82de2fbcc2", "sport": "TENNIS"}</t>
        </is>
      </c>
    </row>
    <row r="724" ht="36" customHeight="1">
      <c r="A724" s="24" t="inlineStr">
        <is>
          <t>99430abb1f194d8e</t>
        </is>
      </c>
      <c r="B724" s="24" t="inlineStr">
        <is>
          <t>2026-09-29T04:39:17.882350Z</t>
        </is>
      </c>
      <c r="C724" s="24" t="inlineStr">
        <is>
          <t>2026-09-29T09:00Z</t>
        </is>
      </c>
      <c r="D724" s="24" t="inlineStr">
        <is>
          <t>1078-2026:184145</t>
        </is>
      </c>
      <c r="E724" s="24" t="inlineStr">
        <is>
          <t>TENNIS</t>
        </is>
      </c>
      <c r="F724" s="24" t="inlineStr">
        <is>
          <t>Ayla Aksu</t>
        </is>
      </c>
      <c r="G724" s="24" t="inlineStr">
        <is>
          <t>Elena Pridankina</t>
        </is>
      </c>
      <c r="H724" s="24" t="inlineStr">
        <is>
          <t>moneyline</t>
        </is>
      </c>
      <c r="I724" s="24" t="inlineStr">
        <is>
          <t>home</t>
        </is>
      </c>
      <c r="J724" s="25" t="n"/>
      <c r="K724" s="24" t="inlineStr">
        <is>
          <t>polymarket_us</t>
        </is>
      </c>
      <c r="L724" s="26" t="n">
        <v>-669</v>
      </c>
      <c r="M724" s="27" t="n">
        <v>1.149477</v>
      </c>
      <c r="N724" s="28" t="n">
        <v>0.869961</v>
      </c>
      <c r="O724" s="28" t="n">
        <v>0.6188</v>
      </c>
      <c r="P724" s="28" t="n">
        <v>0.05</v>
      </c>
      <c r="Q724" s="28" t="n">
        <v>-0.251161</v>
      </c>
      <c r="R724" s="26" t="n">
        <v>0</v>
      </c>
      <c r="S724" s="29" t="n">
        <v>1</v>
      </c>
      <c r="T724" s="24" t="inlineStr">
        <is>
          <t>tennis-surface-elo-v1</t>
        </is>
      </c>
      <c r="U724" s="24" t="inlineStr">
        <is>
          <t>settled</t>
        </is>
      </c>
      <c r="V724" s="24" t="inlineStr">
        <is>
          <t>win</t>
        </is>
      </c>
      <c r="W724" s="26" t="n">
        <v>0</v>
      </c>
      <c r="X724" s="26" t="n">
        <v>1</v>
      </c>
      <c r="Y724" s="25" t="n"/>
      <c r="Z724" s="26" t="n">
        <v>-669</v>
      </c>
      <c r="AA724" s="28" t="n">
        <v>0.87</v>
      </c>
      <c r="AB724" s="28" t="n">
        <v>3.9e-05</v>
      </c>
      <c r="AC724" s="30" t="n">
        <v>0.1495</v>
      </c>
      <c r="AD724" s="24" t="inlineStr">
        <is>
          <t>2026-09-29T22:00:12.150259Z</t>
        </is>
      </c>
      <c r="AE724" s="31" t="inlineStr">
        <is>
          <t>Surface-blended Elo on Hard: Ayla Aksu p=0.381 vs Elena Pridankina. Executable ask 0.8700 (aec-wta-elepri-aylaks-2026-09-28).</t>
        </is>
      </c>
      <c r="AF724" s="31" t="inlineStr">
        <is>
          <t>Surface-blended Elo model; singles only, WTA+ATP market coverage, not yet locked-holdout qualified -- promoted by explicit operator directive, not genuine walk-forward validation.</t>
        </is>
      </c>
      <c r="AG724" s="24" t="inlineStr">
        <is>
          <t>not_applicable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Ayla Aksu</t>
        </is>
      </c>
      <c r="AQ724" s="24" t="inlineStr">
        <is>
          <t>Ayla Aksu</t>
        </is>
      </c>
      <c r="AR724" s="24" t="inlineStr">
        <is>
          <t>Ayla Aksu</t>
        </is>
      </c>
      <c r="AS724" s="24" t="inlineStr">
        <is>
          <t>Elena Pridankina</t>
        </is>
      </c>
      <c r="AT724" s="24" t="inlineStr">
        <is>
          <t>Elena Pridankina</t>
        </is>
      </c>
      <c r="AU724" s="24" t="inlineStr">
        <is>
          <t>Elena Pridankina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6c67e999d2a03612e30f4032c8e5e77e8becfbc79e05f4c8993e726b90d34d54</t>
        </is>
      </c>
      <c r="BB724" s="24" t="inlineStr">
        <is>
          <t>surface_blended_elo</t>
        </is>
      </c>
      <c r="BC724" s="24" t="inlineStr">
        <is>
          <t>tennis-surface-elo-v1</t>
        </is>
      </c>
      <c r="BD724" s="24" t="inlineStr">
        <is>
          <t>6c67e999d2a03612e30f4032c8e5e77e8becfbc79e05f4c8993e726b90d34d54</t>
        </is>
      </c>
      <c r="BE724" s="24" t="inlineStr">
        <is>
          <t>tennis-surface-elo-v1</t>
        </is>
      </c>
      <c r="BF724" s="24" t="inlineStr">
        <is>
          <t>1</t>
        </is>
      </c>
      <c r="BG724" s="24" t="inlineStr">
        <is>
          <t>6c67e999d2a03612e30f4032c8e5e77e8becfbc79e05f4c8993e726b90d34d54</t>
        </is>
      </c>
      <c r="BH724" s="24" t="inlineStr">
        <is>
          <t>2026-09-28T04:59:30.619278Z</t>
        </is>
      </c>
      <c r="BI724" s="24" t="inlineStr">
        <is>
          <t>["same_event","same_team_same_day","same_league_same_day"]</t>
        </is>
      </c>
      <c r="BJ724" s="25" t="n"/>
      <c r="BK724" s="26" t="n">
        <v>-669</v>
      </c>
      <c r="BL724" s="27" t="n">
        <v>1.149477</v>
      </c>
      <c r="BM724" s="28" t="n">
        <v>0.869961</v>
      </c>
      <c r="BN724" s="28" t="n"/>
      <c r="BO724" s="28" t="n"/>
      <c r="BP724" s="25" t="n"/>
      <c r="BQ724" s="27" t="n">
        <v>1.149477</v>
      </c>
      <c r="BR724" s="28" t="n">
        <v>0.87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0.149477</v>
      </c>
      <c r="BZ724" s="24" t="inlineStr">
        <is>
          <t>2026-09-29T22:00:12.150259Z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inlineStr">
        <is>
          <t>c6df032ee1e80871c699ead320b3fd731fd6e89d31a366205688259f743936b8</t>
        </is>
      </c>
      <c r="DE724" s="24" t="inlineStr">
        <is>
          <t>/Users/vincentc9002/model-prediction/data/odds/tennis/2026-09-29/polymarket_snapshots.jsonl</t>
        </is>
      </c>
      <c r="DF724" s="24" t="inlineStr">
        <is>
          <t>1096311:2026-09-28T04:59:30.619278Z</t>
        </is>
      </c>
      <c r="DG724" s="24" t="n"/>
      <c r="DH724" s="24" t="n"/>
      <c r="DI724" s="24" t="n"/>
      <c r="DJ724" s="24" t="inlineStr">
        <is>
          <t>0.869961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"6c67e999d2a03612e30f4032c8e5e77e8becfbc79e05f4c8993e726b90d34d54", "away_team": "Ayla Aksu", "event_id": "1078-2026:184145", "event_start_utc": "2026-09-29T09:00Z", "features": {"elo_p1_surface": 1485.1, "elo_p2_surface": 1562.3, "expected_games_p1": 10.26, "expected_games_p2": 13.26, "expected_total_games": 23.53, "history_matches": 16422, "min_player_matches": 31,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[1481.9557480585431, 1580.924983892602], "players": ["Ayla Aksu", "Elena Pridankina"], "sport": "TENNIS", "surface": "Hard", "surface_counts": [31, 69], "surface_ratings": [1485.1195468465164, 1562.2693478677668]}, "market_type": "moneyline", "model_version": "tennis-surface-elo-v1", "observed_at_utc": "2026-09-29T04:39:16.002849+00:00", "probabilities": {"away": 0.3812, "home": 0.6188}, "replay_scope": "Exact full-precision serving state and rounding; upstream historical observation times are not certified.", "schema": "coded-moneyline-replay-v1", "snapshot_hash": "461cfb06fe1f3df0c915009849bef893af2772f57f53b5f8e8d8d610a62834a2", "sport": "TENNIS"}</t>
        </is>
      </c>
    </row>
    <row r="725" ht="36" customHeight="1">
      <c r="A725" s="24" t="inlineStr">
        <is>
          <t>9a9e348b2c9e47db</t>
        </is>
      </c>
      <c r="B725" s="24" t="inlineStr">
        <is>
          <t>2026-09-29T22:06:33.788343Z</t>
        </is>
      </c>
      <c r="C725" s="24" t="inlineStr">
        <is>
          <t>2026-09-30T03:00Z</t>
        </is>
      </c>
      <c r="D725" s="24" t="inlineStr">
        <is>
          <t>959-2026:184239</t>
        </is>
      </c>
      <c r="E725" s="24" t="inlineStr">
        <is>
          <t>TENNIS</t>
        </is>
      </c>
      <c r="F725" s="24" t="inlineStr">
        <is>
          <t>Maria Timofeeva</t>
        </is>
      </c>
      <c r="G725" s="24" t="inlineStr">
        <is>
          <t>Darja Vidmanova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-150</v>
      </c>
      <c r="M725" s="27" t="n">
        <v>1.666667</v>
      </c>
      <c r="N725" s="28" t="n">
        <v>0.6</v>
      </c>
      <c r="O725" s="28" t="n">
        <v>0.6157</v>
      </c>
      <c r="P725" s="28" t="n">
        <v>0.05</v>
      </c>
      <c r="Q725" s="28" t="n">
        <v>0.0157</v>
      </c>
      <c r="R725" s="26" t="n">
        <v>28</v>
      </c>
      <c r="S725" s="29" t="n">
        <v>1</v>
      </c>
      <c r="T725" s="24" t="inlineStr">
        <is>
          <t>tennis-surface-elo-v1</t>
        </is>
      </c>
      <c r="U725" s="24" t="inlineStr">
        <is>
          <t>settled</t>
        </is>
      </c>
      <c r="V725" s="24" t="inlineStr">
        <is>
          <t>win</t>
        </is>
      </c>
      <c r="W725" s="26" t="n">
        <v>1</v>
      </c>
      <c r="X725" s="26" t="n">
        <v>0</v>
      </c>
      <c r="Y725" s="25" t="n"/>
      <c r="Z725" s="26" t="n">
        <v>-150</v>
      </c>
      <c r="AA725" s="28" t="n">
        <v>0.6</v>
      </c>
      <c r="AB725" s="28" t="n">
        <v>0</v>
      </c>
      <c r="AC725" s="30" t="n">
        <v>0.6667</v>
      </c>
      <c r="AD725" s="24" t="inlineStr">
        <is>
          <t>2026-09-30T10:00:16.532947Z</t>
        </is>
      </c>
      <c r="AE725" s="31" t="inlineStr">
        <is>
          <t>Surface-blended Elo on Hard: Maria Timofeeva p=0.616 vs Darja Vidmanova. Executable ask 0.6000 (aec-wta-darvid-martim-2026-09-28).</t>
        </is>
      </c>
      <c r="AF725" s="31" t="inlineStr">
        <is>
          <t>Surface-blended Elo model; singles only, WTA+ATP market coverage, not yet locked-holdout qualified -- promoted by explicit operator directive, not genuine walk-forward validation.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PAPER_CALL_LOW_EDGE</t>
        </is>
      </c>
      <c r="AP725" s="24" t="inlineStr">
        <is>
          <t>Maria Timofeeva</t>
        </is>
      </c>
      <c r="AQ725" s="24" t="inlineStr">
        <is>
          <t>Maria Timofeeva</t>
        </is>
      </c>
      <c r="AR725" s="24" t="inlineStr">
        <is>
          <t>Maria Timofeeva</t>
        </is>
      </c>
      <c r="AS725" s="24" t="inlineStr">
        <is>
          <t>Darja Vidmanova</t>
        </is>
      </c>
      <c r="AT725" s="24" t="inlineStr">
        <is>
          <t>Darja Vidmanova</t>
        </is>
      </c>
      <c r="AU725" s="24" t="inlineStr">
        <is>
          <t>Darja Vidmanova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6c67e999d2a03612e30f4032c8e5e77e8becfbc79e05f4c8993e726b90d34d54</t>
        </is>
      </c>
      <c r="BB725" s="24" t="inlineStr">
        <is>
          <t>surface_blended_elo</t>
        </is>
      </c>
      <c r="BC725" s="24" t="inlineStr">
        <is>
          <t>tennis-surface-elo-v1</t>
        </is>
      </c>
      <c r="BD725" s="24" t="inlineStr">
        <is>
          <t>6c67e999d2a03612e30f4032c8e5e77e8becfbc79e05f4c8993e726b90d34d54</t>
        </is>
      </c>
      <c r="BE725" s="24" t="inlineStr">
        <is>
          <t>tennis-surface-elo-v1</t>
        </is>
      </c>
      <c r="BF725" s="24" t="inlineStr">
        <is>
          <t>1</t>
        </is>
      </c>
      <c r="BG725" s="24" t="inlineStr">
        <is>
          <t>6c67e999d2a03612e30f4032c8e5e77e8becfbc79e05f4c8993e726b90d34d54</t>
        </is>
      </c>
      <c r="BH725" s="24" t="inlineStr">
        <is>
          <t>2026-09-29T04:33:46.190503Z</t>
        </is>
      </c>
      <c r="BI725" s="24" t="inlineStr">
        <is>
          <t>["same_event","same_team_same_day","same_league_same_day"]</t>
        </is>
      </c>
      <c r="BJ725" s="25" t="n"/>
      <c r="BK725" s="26" t="n">
        <v>-150</v>
      </c>
      <c r="BL725" s="27" t="n">
        <v>1.666667</v>
      </c>
      <c r="BM725" s="28" t="n">
        <v>0.6</v>
      </c>
      <c r="BN725" s="28" t="n"/>
      <c r="BO725" s="28" t="n"/>
      <c r="BP725" s="25" t="n"/>
      <c r="BQ725" s="27" t="n">
        <v>1.666667</v>
      </c>
      <c r="BR725" s="28" t="n">
        <v>0.6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0.666667</v>
      </c>
      <c r="BZ725" s="24" t="inlineStr">
        <is>
          <t>2026-09-30T10:00:16.532947Z</t>
        </is>
      </c>
      <c r="CA725" s="31" t="inlineStr">
        <is>
          <t>fixed one-unit hypothetical scoring; no real exposure or execution</t>
        </is>
      </c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inlineStr">
        <is>
          <t>a28059f8aee5b350113c4d11626cfc7996fef5795f722a5e8fb6b70a82dac1cb</t>
        </is>
      </c>
      <c r="DE725" s="24" t="inlineStr">
        <is>
          <t>/Users/vincentc9002/model-prediction/data/odds/tennis/2026-09-29/polymarket_snapshots.jsonl</t>
        </is>
      </c>
      <c r="DF725" s="24" t="inlineStr">
        <is>
          <t>1107452:2026-09-29T04:33:46.190503Z</t>
        </is>
      </c>
      <c r="DG725" s="24" t="n"/>
      <c r="DH725" s="24" t="n"/>
      <c r="DI725" s="24" t="n"/>
      <c r="DJ725" s="24" t="inlineStr">
        <is>
          <t>0.6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"6c67e999d2a03612e30f4032c8e5e77e8becfbc79e05f4c8993e726b90d34d54", "away_team": "Maria Timofeeva", "event_id": "959-2026:184239", "event_start_utc": "2026-09-30T03:00Z", "features": {"elo_p1_surface": 1687.1, "elo_p2_surface": 1607.7, "expected_games_p1": 13.45, "expected_games_p2": 9.75, "expected_total_games": 23.2, "history_matches": 16422, "min_player_matches": 58, "surface": "Hard"}, "historical_source_observation_times_verified": false, "home_team": "Darja Vidmanova", "inference_inputs": {"code_sha256": {"features/elo_ratings.py": "8525faf022a6343c452286dbfeb17dbb043744c6bdabbe448b6b371216da439b", "models/tennis.py": "6c67e999d2a03612e30f4032c8e5e77e8becfbc79e05f4c8993e726b90d34d54"}, "overall_ratings": [1692.6004209102323, 1604.5571369058425], "players": ["Maria Timofeeva", "Darja Vidmanova"], "sport": "TENNIS", "surface": "Hard", "surface_counts": [94, 54], "surface_ratings": [1687.080174091281, 1607.7355764637869]}, "market_type": "moneyline", "model_version": "tennis-surface-elo-v1", "observed_at_utc": "2026-09-29T22:06:31.290572+00:00", "probabilities": {"away": 0.6157, "home": 0.3843}, "replay_scope": "Exact full-precision serving state and rounding; upstream historical observation times are not certified.", "schema": "coded-moneyline-replay-v1", "snapshot_hash": "967597aff9517289288002c55bc9261e138c1907a70339147ac3f0d9e10a5bea", "sport": "TENNIS"}</t>
        </is>
      </c>
    </row>
    <row r="726" ht="36" customHeight="1">
      <c r="A726" s="24" t="inlineStr">
        <is>
          <t>ce3835b0fb3946b4</t>
        </is>
      </c>
      <c r="B726" s="24" t="inlineStr">
        <is>
          <t>2026-09-29T22:06:33.788343Z</t>
        </is>
      </c>
      <c r="C726" s="24" t="inlineStr">
        <is>
          <t>2026-09-30T03:00Z</t>
        </is>
      </c>
      <c r="D726" s="24" t="inlineStr">
        <is>
          <t>959-2026:184242</t>
        </is>
      </c>
      <c r="E726" s="24" t="inlineStr">
        <is>
          <t>TENNIS</t>
        </is>
      </c>
      <c r="F726" s="24" t="inlineStr">
        <is>
          <t>Sinja Kraus</t>
        </is>
      </c>
      <c r="G726" s="24" t="inlineStr">
        <is>
          <t>Maya Joint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-285</v>
      </c>
      <c r="M726" s="27" t="n">
        <v>1.350877</v>
      </c>
      <c r="N726" s="28" t="n">
        <v>0.74026</v>
      </c>
      <c r="O726" s="28" t="n">
        <v>0.5392</v>
      </c>
      <c r="P726" s="28" t="n">
        <v>0.05</v>
      </c>
      <c r="Q726" s="28" t="n">
        <v>-0.20106</v>
      </c>
      <c r="R726" s="26" t="n">
        <v>0</v>
      </c>
      <c r="S726" s="29" t="n">
        <v>1</v>
      </c>
      <c r="T726" s="24" t="inlineStr">
        <is>
          <t>tennis-surface-elo-v1</t>
        </is>
      </c>
      <c r="U726" s="24" t="inlineStr">
        <is>
          <t>settled</t>
        </is>
      </c>
      <c r="V726" s="24" t="inlineStr">
        <is>
          <t>loss</t>
        </is>
      </c>
      <c r="W726" s="26" t="n">
        <v>1</v>
      </c>
      <c r="X726" s="26" t="n">
        <v>0</v>
      </c>
      <c r="Y726" s="25" t="n"/>
      <c r="Z726" s="26" t="n">
        <v>-285</v>
      </c>
      <c r="AA726" s="28" t="n">
        <v>0.74</v>
      </c>
      <c r="AB726" s="28" t="n">
        <v>-0.00026</v>
      </c>
      <c r="AC726" s="30" t="n">
        <v>-1</v>
      </c>
      <c r="AD726" s="24" t="inlineStr">
        <is>
          <t>2026-09-30T10:00:17.665217Z</t>
        </is>
      </c>
      <c r="AE726" s="31" t="inlineStr">
        <is>
          <t>Surface-blended Elo on Hard: Sinja Kraus p=0.461 vs Maya Joint. Executable ask 0.7400 (aec-wta-mayjoi-sinkra-2026-09-28).</t>
        </is>
      </c>
      <c r="AF726" s="31" t="inlineStr">
        <is>
          <t>Surface-blended Elo model; singles only, WTA+ATP market coverage, not yet locked-holdout qualified -- promoted by explicit operator directive, not genuine walk-forward validation.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paper_call</t>
        </is>
      </c>
      <c r="AL726" s="26" t="n">
        <v>4</v>
      </c>
      <c r="AM726" s="24" t="inlineStr">
        <is>
          <t>RESEARCH_OBSERVATION</t>
        </is>
      </c>
      <c r="AN726" s="24" t="inlineStr">
        <is>
          <t>CALL</t>
        </is>
      </c>
      <c r="AO726" s="24" t="inlineStr">
        <is>
          <t>PAPER_CALL_LOW_EDGE</t>
        </is>
      </c>
      <c r="AP726" s="24" t="inlineStr">
        <is>
          <t>Sinja Kraus</t>
        </is>
      </c>
      <c r="AQ726" s="24" t="inlineStr">
        <is>
          <t>Sinja Kraus</t>
        </is>
      </c>
      <c r="AR726" s="24" t="inlineStr">
        <is>
          <t>Sinja Kraus</t>
        </is>
      </c>
      <c r="AS726" s="24" t="inlineStr">
        <is>
          <t>Maya Joint</t>
        </is>
      </c>
      <c r="AT726" s="24" t="inlineStr">
        <is>
          <t>Maya Joint</t>
        </is>
      </c>
      <c r="AU726" s="24" t="inlineStr">
        <is>
          <t>Maya Joint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6c67e999d2a03612e30f4032c8e5e77e8becfbc79e05f4c8993e726b90d34d54</t>
        </is>
      </c>
      <c r="BB726" s="24" t="inlineStr">
        <is>
          <t>surface_blended_elo</t>
        </is>
      </c>
      <c r="BC726" s="24" t="inlineStr">
        <is>
          <t>tennis-surface-elo-v1</t>
        </is>
      </c>
      <c r="BD726" s="24" t="inlineStr">
        <is>
          <t>6c67e999d2a03612e30f4032c8e5e77e8becfbc79e05f4c8993e726b90d34d54</t>
        </is>
      </c>
      <c r="BE726" s="24" t="inlineStr">
        <is>
          <t>tennis-surface-elo-v1</t>
        </is>
      </c>
      <c r="BF726" s="24" t="inlineStr">
        <is>
          <t>1</t>
        </is>
      </c>
      <c r="BG726" s="24" t="inlineStr">
        <is>
          <t>6c67e999d2a03612e30f4032c8e5e77e8becfbc79e05f4c8993e726b90d34d54</t>
        </is>
      </c>
      <c r="BH726" s="24" t="inlineStr">
        <is>
          <t>2026-09-29T10:04:13.040893Z</t>
        </is>
      </c>
      <c r="BI726" s="24" t="inlineStr">
        <is>
          <t>["same_event","same_team_same_day","same_league_same_day"]</t>
        </is>
      </c>
      <c r="BJ726" s="25" t="n"/>
      <c r="BK726" s="26" t="n">
        <v>-285</v>
      </c>
      <c r="BL726" s="27" t="n">
        <v>1.350877</v>
      </c>
      <c r="BM726" s="28" t="n">
        <v>0.74026</v>
      </c>
      <c r="BN726" s="28" t="n"/>
      <c r="BO726" s="28" t="n"/>
      <c r="BP726" s="25" t="n"/>
      <c r="BQ726" s="27" t="n">
        <v>1.350877</v>
      </c>
      <c r="BR726" s="28" t="n">
        <v>0.74</v>
      </c>
      <c r="BS726" s="28" t="n"/>
      <c r="BT726" s="28" t="n"/>
      <c r="BU726" s="25" t="n"/>
      <c r="BV726" s="29" t="n"/>
      <c r="BW726" s="24" t="n"/>
      <c r="BX726" s="30" t="n">
        <v>1</v>
      </c>
      <c r="BY726" s="27" t="n">
        <v>-1</v>
      </c>
      <c r="BZ726" s="24" t="inlineStr">
        <is>
          <t>2026-09-30T10:00:17.665217Z</t>
        </is>
      </c>
      <c r="CA726" s="31" t="inlineStr">
        <is>
          <t>fixed one-unit hypothetical scoring; no real exposure or execution</t>
        </is>
      </c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False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inlineStr">
        <is>
          <t>17038e9829465430aaacc09f1f793fb9e2f2eee9eaa8ebec0fe8b10b8350fd92</t>
        </is>
      </c>
      <c r="DE726" s="24" t="inlineStr">
        <is>
          <t>/Users/vincentc9002/model-prediction/data/odds/tennis/2026-09-29/polymarket_snapshots.jsonl</t>
        </is>
      </c>
      <c r="DF726" s="24" t="inlineStr">
        <is>
          <t>1107450:2026-09-29T10:04:13.040893Z</t>
        </is>
      </c>
      <c r="DG726" s="24" t="n"/>
      <c r="DH726" s="24" t="n"/>
      <c r="DI726" s="24" t="n"/>
      <c r="DJ726" s="24" t="inlineStr">
        <is>
          <t>0.74026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"6c67e999d2a03612e30f4032c8e5e77e8becfbc79e05f4c8993e726b90d34d54", "away_team": "Sinja Kraus", "event_id": "959-2026:184242", "event_start_utc": "2026-09-30T03:00Z", "features": {"elo_p1_surface": 1646.4, "elo_p2_surface": 1673.9, "expected_games_p1": 11.86, "expected_games_p2": 12.78, "expected_total_games": 24.64, "history_matches": 16422, "min_player_matches": 121, "surface": "Hard"}, "historical_source_observation_times_verified": false, "home_team": "Maya Joint", "inference_inputs": {"code_sha256": {"features/elo_ratings.py": "8525faf022a6343c452286dbfeb17dbb043744c6bdabbe448b6b371216da439b", "models/tennis.py": "6c67e999d2a03612e30f4032c8e5e77e8becfbc79e05f4c8993e726b90d34d54"}, "overall_ratings": [1643.3997247108, 1670.188385605911], "players": ["Sinja Kraus", "Maya Joint"], "sport": "TENNIS", "surface": "Hard", "surface_counts": [100, 118], "surface_ratings": [1646.4477207817656, 1673.8714823097537]}, "market_type": "moneyline", "model_version": "tennis-surface-elo-v1", "observed_at_utc": "2026-09-29T22:06:31.290572+00:00", "probabilities": {"away": 0.4608, "home": 0.5392}, "replay_scope": "Exact full-precision serving state and rounding; upstream historical observation times are not certified.", "schema": "coded-moneyline-replay-v1", "snapshot_hash": "b4b4894e5243ed66dbfe27162e017109722e480802588a49bc75d357e88fc2e9", "sport": "TENNIS"}</t>
        </is>
      </c>
    </row>
    <row r="727" ht="36" customHeight="1">
      <c r="A727" s="24" t="inlineStr">
        <is>
          <t>030473c8bf884ba5</t>
        </is>
      </c>
      <c r="B727" s="24" t="inlineStr">
        <is>
          <t>2026-09-29T22:06:33.788343Z</t>
        </is>
      </c>
      <c r="C727" s="24" t="inlineStr">
        <is>
          <t>2026-09-30T03:00Z</t>
        </is>
      </c>
      <c r="D727" s="24" t="inlineStr">
        <is>
          <t>959-2026:184249</t>
        </is>
      </c>
      <c r="E727" s="24" t="inlineStr">
        <is>
          <t>TENNIS</t>
        </is>
      </c>
      <c r="F727" s="24" t="inlineStr">
        <is>
          <t>Dayana Yastremska</t>
        </is>
      </c>
      <c r="G727" s="24" t="inlineStr">
        <is>
          <t>Catherine McNally</t>
        </is>
      </c>
      <c r="H727" s="24" t="inlineStr">
        <is>
          <t>moneyline</t>
        </is>
      </c>
      <c r="I727" s="24" t="inlineStr">
        <is>
          <t>home</t>
        </is>
      </c>
      <c r="J727" s="25" t="n"/>
      <c r="K727" s="24" t="inlineStr">
        <is>
          <t>polymarket_us</t>
        </is>
      </c>
      <c r="L727" s="26" t="n">
        <v>-178</v>
      </c>
      <c r="M727" s="27" t="n">
        <v>1.561798</v>
      </c>
      <c r="N727" s="28" t="n">
        <v>0.640288</v>
      </c>
      <c r="O727" s="28" t="n">
        <v>0.6468</v>
      </c>
      <c r="P727" s="28" t="n">
        <v>0.05</v>
      </c>
      <c r="Q727" s="28" t="n">
        <v>0.006512</v>
      </c>
      <c r="R727" s="26" t="n">
        <v>23</v>
      </c>
      <c r="S727" s="29" t="n">
        <v>1</v>
      </c>
      <c r="T727" s="24" t="inlineStr">
        <is>
          <t>tennis-surface-elo-v1</t>
        </is>
      </c>
      <c r="U727" s="24" t="inlineStr">
        <is>
          <t>settled</t>
        </is>
      </c>
      <c r="V727" s="24" t="inlineStr">
        <is>
          <t>loss</t>
        </is>
      </c>
      <c r="W727" s="26" t="n">
        <v>1</v>
      </c>
      <c r="X727" s="26" t="n">
        <v>0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2026-09-30T10:00:18.848582Z</t>
        </is>
      </c>
      <c r="AE727" s="31" t="inlineStr">
        <is>
          <t>Surface-blended Elo on Hard: Dayana Yastremska p=0.353 vs Catherine McNally. Executable ask 0.6400 (aec-wta-catmcn-dayyas-2026-09-28).</t>
        </is>
      </c>
      <c r="AF727" s="31" t="inlineStr">
        <is>
          <t>Surface-blended Elo model; singles only, WTA+ATP market coverage, not yet locked-holdout qualified -- promoted by explicit operator directive, not genuine walk-forward validation.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Dayana Yastremska</t>
        </is>
      </c>
      <c r="AQ727" s="24" t="inlineStr">
        <is>
          <t>Dayana Yastremska</t>
        </is>
      </c>
      <c r="AR727" s="24" t="inlineStr">
        <is>
          <t>Dayana Yastremska</t>
        </is>
      </c>
      <c r="AS727" s="24" t="inlineStr">
        <is>
          <t>Catherine McNally</t>
        </is>
      </c>
      <c r="AT727" s="24" t="inlineStr">
        <is>
          <t>Catherine McNally</t>
        </is>
      </c>
      <c r="AU727" s="24" t="inlineStr">
        <is>
          <t>Catherine McNally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6c67e999d2a03612e30f4032c8e5e77e8becfbc79e05f4c8993e726b90d34d54</t>
        </is>
      </c>
      <c r="BB727" s="24" t="inlineStr">
        <is>
          <t>surface_blended_elo</t>
        </is>
      </c>
      <c r="BC727" s="24" t="inlineStr">
        <is>
          <t>tennis-surface-elo-v1</t>
        </is>
      </c>
      <c r="BD727" s="24" t="inlineStr">
        <is>
          <t>6c67e999d2a03612e30f4032c8e5e77e8becfbc79e05f4c8993e726b90d34d54</t>
        </is>
      </c>
      <c r="BE727" s="24" t="inlineStr">
        <is>
          <t>tennis-surface-elo-v1</t>
        </is>
      </c>
      <c r="BF727" s="24" t="inlineStr">
        <is>
          <t>1</t>
        </is>
      </c>
      <c r="BG727" s="24" t="inlineStr">
        <is>
          <t>6c67e999d2a03612e30f4032c8e5e77e8becfbc79e05f4c8993e726b90d34d54</t>
        </is>
      </c>
      <c r="BH727" s="24" t="inlineStr">
        <is>
          <t>2026-09-29T10:04:13.038476Z</t>
        </is>
      </c>
      <c r="BI727" s="24" t="inlineStr">
        <is>
          <t>["same_event","same_team_same_day","same_league_same_day"]</t>
        </is>
      </c>
      <c r="BJ727" s="25" t="n"/>
      <c r="BK727" s="26" t="n">
        <v>-178</v>
      </c>
      <c r="BL727" s="27" t="n">
        <v>1.561798</v>
      </c>
      <c r="BM727" s="28" t="n">
        <v>0.640288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2026-09-30T10:00:18.848582Z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inlineStr">
        <is>
          <t>bb2a160f8f66c6508c4dbc0873068846757ddbe394de8a2cba74a6fc6c6bf1fd</t>
        </is>
      </c>
      <c r="DE727" s="24" t="inlineStr">
        <is>
          <t>/Users/vincentc9002/model-prediction/data/odds/tennis/2026-09-29/polymarket_snapshots.jsonl</t>
        </is>
      </c>
      <c r="DF727" s="24" t="inlineStr">
        <is>
          <t>1107448:2026-09-29T10:04:13.038476Z</t>
        </is>
      </c>
      <c r="DG727" s="24" t="n"/>
      <c r="DH727" s="24" t="n"/>
      <c r="DI727" s="24" t="n"/>
      <c r="DJ727" s="24" t="inlineStr">
        <is>
          <t>0.640288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"6c67e999d2a03612e30f4032c8e5e77e8becfbc79e05f4c8993e726b90d34d54", "away_team": "Dayana Yastremska", "event_id": "959-2026:184249", "event_start_utc": "2026-09-30T03:00Z", "features": {"elo_p1_surface": 1547.0, "elo_p2_surface": 1639.0, "expected_games_p1": 9.75, "expected_games_p2": 13.29, "expected_total_games": 23.03, "history_matches": 16422, "min_player_matches": 84, "surface": "Hard"}, "historical_source_observation_times_verified": false, "home_team": "Catherine McNally", "inference_inputs": {"code_sha256": {"features/elo_ratings.py": "8525faf022a6343c452286dbfeb17dbb043744c6bdabbe448b6b371216da439b", "models/tennis.py": "6c67e999d2a03612e30f4032c8e5e77e8becfbc79e05f4c8993e726b90d34d54"}, "overall_ratings": [1589.160466709593, 1719.1246979272678], "players": ["Dayana Yastremska", "Catherine McNally"], "sport": "TENNIS", "surface": "Hard", "surface_counts": [91, 67], "surface_ratings": [1546.9540764025444, 1638.951604717523]}, "market_type": "moneyline", "model_version": "tennis-surface-elo-v1", "observed_at_utc": "2026-09-29T22:06:31.290572+00:00", "probabilities": {"away": 0.3532, "home": 0.6468}, "replay_scope": "Exact full-precision serving state and rounding; upstream historical observation times are not certified.", "schema": "coded-moneyline-replay-v1", "snapshot_hash": "ec546c2b13e915f6fbd2bd33ec33b6d5d94889d75d0a985b1c68ffa444069153", "sport": "TENNIS"}</t>
        </is>
      </c>
    </row>
    <row r="728" ht="36" customHeight="1">
      <c r="A728" s="24" t="inlineStr">
        <is>
          <t>b002087f8a764f71</t>
        </is>
      </c>
      <c r="B728" s="24" t="inlineStr">
        <is>
          <t>2026-09-29T22:06:33.788343Z</t>
        </is>
      </c>
      <c r="C728" s="24" t="inlineStr">
        <is>
          <t>2026-09-30T03:00Z</t>
        </is>
      </c>
      <c r="D728" s="24" t="inlineStr">
        <is>
          <t>959-2026:184258</t>
        </is>
      </c>
      <c r="E728" s="24" t="inlineStr">
        <is>
          <t>TENNIS</t>
        </is>
      </c>
      <c r="F728" s="24" t="inlineStr">
        <is>
          <t>Anhelina Kalinina</t>
        </is>
      </c>
      <c r="G728" s="24" t="inlineStr">
        <is>
          <t>Janice Tjen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100</v>
      </c>
      <c r="M728" s="27" t="n">
        <v>2</v>
      </c>
      <c r="N728" s="28" t="n">
        <v>0.5</v>
      </c>
      <c r="O728" s="28" t="n">
        <v>0.6252</v>
      </c>
      <c r="P728" s="28" t="n">
        <v>0.05</v>
      </c>
      <c r="Q728" s="28" t="n">
        <v>0.1252</v>
      </c>
      <c r="R728" s="26" t="n">
        <v>83</v>
      </c>
      <c r="S728" s="29" t="n">
        <v>1.5</v>
      </c>
      <c r="T728" s="24" t="inlineStr">
        <is>
          <t>tennis-surface-elo-v1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100</v>
      </c>
      <c r="AA728" s="28" t="n">
        <v>0.5</v>
      </c>
      <c r="AB728" s="28" t="n">
        <v>0</v>
      </c>
      <c r="AC728" s="30" t="n">
        <v>-1.5</v>
      </c>
      <c r="AD728" s="24" t="inlineStr">
        <is>
          <t>2026-09-30T10:00:19.989462Z</t>
        </is>
      </c>
      <c r="AE728" s="31" t="inlineStr">
        <is>
          <t>Surface-blended Elo on Hard: Anhelina Kalinina p=0.625 vs Janice Tjen. Executable ask 0.5000 (aec-wta-jantje-anhkal-2026-09-28).</t>
        </is>
      </c>
      <c r="AF728" s="31" t="inlineStr">
        <is>
          <t>Surface-blended Elo model; singles only, WTA+ATP market coverage, not yet locked-holdout qualified -- promoted by explicit operator directive, not genuine walk-forward validation.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Anhelina Kalinina</t>
        </is>
      </c>
      <c r="AQ728" s="24" t="inlineStr">
        <is>
          <t>Anhelina Kalinina</t>
        </is>
      </c>
      <c r="AR728" s="24" t="inlineStr">
        <is>
          <t>Anhelina Kalinina</t>
        </is>
      </c>
      <c r="AS728" s="24" t="inlineStr">
        <is>
          <t>Janice Tjen</t>
        </is>
      </c>
      <c r="AT728" s="24" t="inlineStr">
        <is>
          <t>Janice Tjen</t>
        </is>
      </c>
      <c r="AU728" s="24" t="inlineStr">
        <is>
          <t>Janice Tjen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6c67e999d2a03612e30f4032c8e5e77e8becfbc79e05f4c8993e726b90d34d54</t>
        </is>
      </c>
      <c r="BB728" s="24" t="inlineStr">
        <is>
          <t>surface_blended_elo</t>
        </is>
      </c>
      <c r="BC728" s="24" t="inlineStr">
        <is>
          <t>tennis-surface-elo-v1</t>
        </is>
      </c>
      <c r="BD728" s="24" t="inlineStr">
        <is>
          <t>6c67e999d2a03612e30f4032c8e5e77e8becfbc79e05f4c8993e726b90d34d54</t>
        </is>
      </c>
      <c r="BE728" s="24" t="inlineStr">
        <is>
          <t>tennis-surface-elo-v1</t>
        </is>
      </c>
      <c r="BF728" s="24" t="inlineStr">
        <is>
          <t>1</t>
        </is>
      </c>
      <c r="BG728" s="24" t="inlineStr">
        <is>
          <t>6c67e999d2a03612e30f4032c8e5e77e8becfbc79e05f4c8993e726b90d34d54</t>
        </is>
      </c>
      <c r="BH728" s="24" t="inlineStr">
        <is>
          <t>2026-09-29T22:05:30.919386Z</t>
        </is>
      </c>
      <c r="BI728" s="24" t="inlineStr">
        <is>
          <t>["same_event","same_team_same_day","same_league_same_day"]</t>
        </is>
      </c>
      <c r="BJ728" s="25" t="n"/>
      <c r="BK728" s="26" t="n">
        <v>100</v>
      </c>
      <c r="BL728" s="27" t="n">
        <v>2</v>
      </c>
      <c r="BM728" s="28" t="n">
        <v>0.5</v>
      </c>
      <c r="BN728" s="28" t="n"/>
      <c r="BO728" s="28" t="n"/>
      <c r="BP728" s="25" t="n"/>
      <c r="BQ728" s="27" t="n">
        <v>2</v>
      </c>
      <c r="BR728" s="28" t="n">
        <v>0.5</v>
      </c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inlineStr">
        <is>
          <t>08c0a20dfdb40b0a2adfed0aa663c7e453b928a62b44a10edb0f15171b412527</t>
        </is>
      </c>
      <c r="DE728" s="24" t="inlineStr">
        <is>
          <t>/Users/vincentc9002/model-prediction/data/odds/tennis/2026-09-29/polymarket_snapshots.jsonl</t>
        </is>
      </c>
      <c r="DF728" s="24" t="inlineStr">
        <is>
          <t>1107460:2026-09-29T22:05:30.919386Z</t>
        </is>
      </c>
      <c r="DG728" s="24" t="n"/>
      <c r="DH728" s="24" t="n"/>
      <c r="DI728" s="24" t="n"/>
      <c r="DJ728" s="24" t="inlineStr">
        <is>
          <t>0.5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"6c67e999d2a03612e30f4032c8e5e77e8becfbc79e05f4c8993e726b90d34d54", "away_team": "Anhelina Kalinina", "event_id": "959-2026:184258", "event_start_utc": "2026-09-30T03:00Z", "features": {"elo_p1_surface": 1675.7, "elo_p2_surface": 1586.3, "expected_games_p1": 13.45, "expected_games_p2": 9.39, "expected_total_games": 22.84, "history_matches": 16422, "min_player_matches": 63,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[1651.9005355513627, 1569.5402777392492], "players": ["Anhelina Kalinina", "Janice Tjen"], "sport": "TENNIS", "surface": "Hard", "surface_counts": [102, 53], "surface_ratings": [1675.7067678700712, 1586.3061378106195]}, "market_type": "moneyline", "model_version": "tennis-surface-elo-v1", "observed_at_utc": "2026-09-29T22:06:31.290572+00:00", "probabilities": {"away": 0.6252, "home": 0.3748}, "replay_scope": "Exact full-precision serving state and rounding; upstream historical observation times are not certified.", "schema": "coded-moneyline-replay-v1", "snapshot_hash": "6b7e1678e59a80f82db020199b7c751a2f7a680ee20f15fb25cfd131119dd915", "sport": "TENNIS"}</t>
        </is>
      </c>
    </row>
    <row r="729" ht="36" customHeight="1">
      <c r="A729" s="24" t="inlineStr">
        <is>
          <t>297191218df64627</t>
        </is>
      </c>
      <c r="B729" s="24" t="inlineStr">
        <is>
          <t>2026-09-29T22:06:33.788343Z</t>
        </is>
      </c>
      <c r="C729" s="24" t="inlineStr">
        <is>
          <t>2026-09-30T02:00Z</t>
        </is>
      </c>
      <c r="D729" s="24" t="inlineStr">
        <is>
          <t>5-2026:183496</t>
        </is>
      </c>
      <c r="E729" s="24" t="inlineStr">
        <is>
          <t>TENNIS</t>
        </is>
      </c>
      <c r="F729" s="24" t="inlineStr">
        <is>
          <t>Alexander Blockx</t>
        </is>
      </c>
      <c r="G729" s="24" t="inlineStr">
        <is>
          <t>Valentin Vacherot</t>
        </is>
      </c>
      <c r="H729" s="24" t="inlineStr">
        <is>
          <t>moneyline</t>
        </is>
      </c>
      <c r="I729" s="24" t="inlineStr">
        <is>
          <t>away</t>
        </is>
      </c>
      <c r="J729" s="25" t="n"/>
      <c r="K729" s="24" t="inlineStr">
        <is>
          <t>polymarket_us</t>
        </is>
      </c>
      <c r="L729" s="26" t="n">
        <v>-144</v>
      </c>
      <c r="M729" s="27" t="n">
        <v>1.694444</v>
      </c>
      <c r="N729" s="28" t="n">
        <v>0.590164</v>
      </c>
      <c r="O729" s="28" t="n">
        <v>0.5412</v>
      </c>
      <c r="P729" s="28" t="n">
        <v>0.05</v>
      </c>
      <c r="Q729" s="28" t="n">
        <v>-0.048964</v>
      </c>
      <c r="R729" s="26" t="n">
        <v>0</v>
      </c>
      <c r="S729" s="29" t="n">
        <v>1</v>
      </c>
      <c r="T729" s="24" t="inlineStr">
        <is>
          <t>tennis-surface-elo-v1</t>
        </is>
      </c>
      <c r="U729" s="24" t="inlineStr">
        <is>
          <t>settled</t>
        </is>
      </c>
      <c r="V729" s="24" t="inlineStr">
        <is>
          <t>loss</t>
        </is>
      </c>
      <c r="W729" s="26" t="n">
        <v>0</v>
      </c>
      <c r="X729" s="26" t="n">
        <v>1</v>
      </c>
      <c r="Y729" s="25" t="n"/>
      <c r="Z729" s="26" t="n">
        <v>-144</v>
      </c>
      <c r="AA729" s="28" t="n">
        <v>0.59</v>
      </c>
      <c r="AB729" s="28" t="n">
        <v>-0.000164</v>
      </c>
      <c r="AC729" s="30" t="n">
        <v>-1</v>
      </c>
      <c r="AD729" s="24" t="inlineStr">
        <is>
          <t>2026-09-30T04:30:22.895637Z</t>
        </is>
      </c>
      <c r="AE729" s="31" t="inlineStr">
        <is>
          <t>Surface-blended Elo on Hard: Alexander Blockx p=0.541 vs Valentin Vacherot. Executable ask 0.5900 (aec-atp-valvac-aleblo-2026-09-28).</t>
        </is>
      </c>
      <c r="AF729" s="31" t="inlineStr">
        <is>
          <t>Surface-blended Elo model; singles only, WTA+ATP market coverage, not yet locked-holdout qualified -- promoted by explicit operator directive, not genuine walk-forward validation.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Alexander Blockx</t>
        </is>
      </c>
      <c r="AQ729" s="24" t="inlineStr">
        <is>
          <t>Alexander Blockx</t>
        </is>
      </c>
      <c r="AR729" s="24" t="inlineStr">
        <is>
          <t>Alexander Blockx</t>
        </is>
      </c>
      <c r="AS729" s="24" t="inlineStr">
        <is>
          <t>Valentin Vacherot</t>
        </is>
      </c>
      <c r="AT729" s="24" t="inlineStr">
        <is>
          <t>Valentin Vacherot</t>
        </is>
      </c>
      <c r="AU729" s="24" t="inlineStr">
        <is>
          <t>Valentin Vacherot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6c67e999d2a03612e30f4032c8e5e77e8becfbc79e05f4c8993e726b90d34d54</t>
        </is>
      </c>
      <c r="BB729" s="24" t="inlineStr">
        <is>
          <t>surface_blended_elo</t>
        </is>
      </c>
      <c r="BC729" s="24" t="inlineStr">
        <is>
          <t>tennis-surface-elo-v1</t>
        </is>
      </c>
      <c r="BD729" s="24" t="inlineStr">
        <is>
          <t>6c67e999d2a03612e30f4032c8e5e77e8becfbc79e05f4c8993e726b90d34d54</t>
        </is>
      </c>
      <c r="BE729" s="24" t="inlineStr">
        <is>
          <t>tennis-surface-elo-v1</t>
        </is>
      </c>
      <c r="BF729" s="24" t="inlineStr">
        <is>
          <t>1</t>
        </is>
      </c>
      <c r="BG729" s="24" t="inlineStr">
        <is>
          <t>6c67e999d2a03612e30f4032c8e5e77e8becfbc79e05f4c8993e726b90d34d54</t>
        </is>
      </c>
      <c r="BH729" s="24" t="inlineStr">
        <is>
          <t>2026-09-29T04:36:31.010229Z</t>
        </is>
      </c>
      <c r="BI729" s="24" t="inlineStr">
        <is>
          <t>["same_event","same_team_same_day","same_league_same_day"]</t>
        </is>
      </c>
      <c r="BJ729" s="25" t="n"/>
      <c r="BK729" s="26" t="n">
        <v>-144</v>
      </c>
      <c r="BL729" s="27" t="n">
        <v>1.694444</v>
      </c>
      <c r="BM729" s="28" t="n">
        <v>0.590164</v>
      </c>
      <c r="BN729" s="28" t="n"/>
      <c r="BO729" s="28" t="n"/>
      <c r="BP729" s="25" t="n"/>
      <c r="BQ729" s="27" t="n">
        <v>1.694444</v>
      </c>
      <c r="BR729" s="28" t="n">
        <v>0.59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2026-09-30T04:30:22.895637Z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inlineStr">
        <is>
          <t>0d743366ccae814c8c35f5f7df93377e8da92177da2f89c69923898f8b3e7fe6</t>
        </is>
      </c>
      <c r="DE729" s="24" t="inlineStr">
        <is>
          <t>/Users/vincentc9002/model-prediction/data/odds/tennis/2026-09-29/polymarket_snapshots.jsonl</t>
        </is>
      </c>
      <c r="DF729" s="24" t="inlineStr">
        <is>
          <t>1105284:2026-09-29T04:36:31.010229Z</t>
        </is>
      </c>
      <c r="DG729" s="24" t="n"/>
      <c r="DH729" s="24" t="n"/>
      <c r="DI729" s="24" t="n"/>
      <c r="DJ729" s="24" t="inlineStr">
        <is>
          <t>0.590164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"6c67e999d2a03612e30f4032c8e5e77e8becfbc79e05f4c8993e726b90d34d54", "away_team": "Alexander Blockx", "event_id": "5-2026:183496", "event_start_utc": "2026-09-30T02:00Z", "features": {"elo_p1_surface": 1617.2, "elo_p2_surface": 1615.1, "expected_games_p1": 13.04, "expected_games_p2": 12.52, "expected_total_games": 25.57, "history_matches": 11304, "min_player_matches": 71,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[1716.8774907684779, 1643.1624451041896], "players": ["Alexander Blockx", "Valentin Vacherot"], "sport": "TENNIS", "surface": "Hard", "surface_counts": [45, 52], "surface_ratings": [1617.164359492176, 1615.0517292634097]}, "market_type": "moneyline", "model_version": "tennis-surface-elo-v1", "observed_at_utc": "2026-09-29T22:06:31.290572+00:00", "probabilities": {"away": 0.5412, "home": 0.4588}, "replay_scope": "Exact full-precision serving state and rounding; upstream historical observation times are not certified.", "schema": "coded-moneyline-replay-v1", "snapshot_hash": "3614d860548cc75d1332a2182a5ade90413594c820cf7f2763bf34414fc23ce7", "sport": "TENNIS"}</t>
        </is>
      </c>
    </row>
    <row r="730" ht="36" customHeight="1">
      <c r="A730" s="24" t="inlineStr">
        <is>
          <t>8ef6768d83e54716</t>
        </is>
      </c>
      <c r="B730" s="24" t="inlineStr">
        <is>
          <t>2026-09-29T22:06:33.788343Z</t>
        </is>
      </c>
      <c r="C730" s="24" t="inlineStr">
        <is>
          <t>2026-09-30T03:30Z</t>
        </is>
      </c>
      <c r="D730" s="24" t="inlineStr">
        <is>
          <t>5-2026:183488</t>
        </is>
      </c>
      <c r="E730" s="24" t="inlineStr">
        <is>
          <t>TENNIS</t>
        </is>
      </c>
      <c r="F730" s="24" t="inlineStr">
        <is>
          <t>Tommy Paul</t>
        </is>
      </c>
      <c r="G730" s="24" t="inlineStr">
        <is>
          <t>Alejandro Tabilo</t>
        </is>
      </c>
      <c r="H730" s="24" t="inlineStr">
        <is>
          <t>moneyline</t>
        </is>
      </c>
      <c r="I730" s="24" t="inlineStr">
        <is>
          <t>away</t>
        </is>
      </c>
      <c r="J730" s="25" t="n"/>
      <c r="K730" s="24" t="inlineStr">
        <is>
          <t>polymarket_us</t>
        </is>
      </c>
      <c r="L730" s="26" t="n">
        <v>-245</v>
      </c>
      <c r="M730" s="27" t="n">
        <v>1.408163</v>
      </c>
      <c r="N730" s="28" t="n">
        <v>0.710145</v>
      </c>
      <c r="O730" s="28" t="n">
        <v>0.7547</v>
      </c>
      <c r="P730" s="28" t="n">
        <v>0.05</v>
      </c>
      <c r="Q730" s="28" t="n">
        <v>0.044555</v>
      </c>
      <c r="R730" s="26" t="n">
        <v>42</v>
      </c>
      <c r="S730" s="29" t="n">
        <v>1</v>
      </c>
      <c r="T730" s="24" t="inlineStr">
        <is>
          <t>tennis-surface-elo-v1</t>
        </is>
      </c>
      <c r="U730" s="24" t="inlineStr">
        <is>
          <t>settled</t>
        </is>
      </c>
      <c r="V730" s="24" t="inlineStr">
        <is>
          <t>loss</t>
        </is>
      </c>
      <c r="W730" s="26" t="n">
        <v>0</v>
      </c>
      <c r="X730" s="26" t="n">
        <v>1</v>
      </c>
      <c r="Y730" s="25" t="n"/>
      <c r="Z730" s="26" t="n">
        <v>-245</v>
      </c>
      <c r="AA730" s="28" t="n">
        <v>0.71</v>
      </c>
      <c r="AB730" s="28" t="n">
        <v>-0.000145</v>
      </c>
      <c r="AC730" s="30" t="n">
        <v>-1</v>
      </c>
      <c r="AD730" s="24" t="inlineStr">
        <is>
          <t>2026-09-30T10:00:21.158815Z</t>
        </is>
      </c>
      <c r="AE730" s="31" t="inlineStr">
        <is>
          <t>Surface-blended Elo on Hard: Tommy Paul p=0.755 vs Alejandro Tabilo. Executable ask 0.7100 (aec-atp-aletab-tompau-2026-09-28).</t>
        </is>
      </c>
      <c r="AF730" s="31" t="inlineStr">
        <is>
          <t>Surface-blended Elo model; singles only, WTA+ATP market coverage, not yet locked-holdout qualified -- promoted by explicit operator directive, not genuine walk-forward validation.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PAPER_CALL_LOW_EDGE</t>
        </is>
      </c>
      <c r="AP730" s="24" t="inlineStr">
        <is>
          <t>Tommy Paul</t>
        </is>
      </c>
      <c r="AQ730" s="24" t="inlineStr">
        <is>
          <t>Tommy Paul</t>
        </is>
      </c>
      <c r="AR730" s="24" t="inlineStr">
        <is>
          <t>Tommy Paul</t>
        </is>
      </c>
      <c r="AS730" s="24" t="inlineStr">
        <is>
          <t>Alejandro Tabilo</t>
        </is>
      </c>
      <c r="AT730" s="24" t="inlineStr">
        <is>
          <t>Alejandro Tabilo</t>
        </is>
      </c>
      <c r="AU730" s="24" t="inlineStr">
        <is>
          <t>Alejandro Tabilo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6c67e999d2a03612e30f4032c8e5e77e8becfbc79e05f4c8993e726b90d34d54</t>
        </is>
      </c>
      <c r="BB730" s="24" t="inlineStr">
        <is>
          <t>surface_blended_elo</t>
        </is>
      </c>
      <c r="BC730" s="24" t="inlineStr">
        <is>
          <t>tennis-surface-elo-v1</t>
        </is>
      </c>
      <c r="BD730" s="24" t="inlineStr">
        <is>
          <t>6c67e999d2a03612e30f4032c8e5e77e8becfbc79e05f4c8993e726b90d34d54</t>
        </is>
      </c>
      <c r="BE730" s="24" t="inlineStr">
        <is>
          <t>tennis-surface-elo-v1</t>
        </is>
      </c>
      <c r="BF730" s="24" t="inlineStr">
        <is>
          <t>1</t>
        </is>
      </c>
      <c r="BG730" s="24" t="inlineStr">
        <is>
          <t>6c67e999d2a03612e30f4032c8e5e77e8becfbc79e05f4c8993e726b90d34d54</t>
        </is>
      </c>
      <c r="BH730" s="24" t="inlineStr">
        <is>
          <t>2026-09-29T22:05:53.891076Z</t>
        </is>
      </c>
      <c r="BI730" s="24" t="inlineStr">
        <is>
          <t>["same_event","same_team_same_day","same_league_same_day"]</t>
        </is>
      </c>
      <c r="BJ730" s="25" t="n"/>
      <c r="BK730" s="26" t="n">
        <v>-245</v>
      </c>
      <c r="BL730" s="27" t="n">
        <v>1.408163</v>
      </c>
      <c r="BM730" s="28" t="n">
        <v>0.710145</v>
      </c>
      <c r="BN730" s="28" t="n"/>
      <c r="BO730" s="28" t="n"/>
      <c r="BP730" s="25" t="n"/>
      <c r="BQ730" s="27" t="n">
        <v>1.408163</v>
      </c>
      <c r="BR730" s="28" t="n">
        <v>0.71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2026-09-30T10:00:21.158815Z</t>
        </is>
      </c>
      <c r="CA730" s="31" t="inlineStr">
        <is>
          <t>fixed one-unit hypothetical scoring; no real exposure or execution</t>
        </is>
      </c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inlineStr">
        <is>
          <t>4bb083ac1ae4b164dfa1687dc99b5d897df26d5e0e15c46cb77e9caf94cb1156</t>
        </is>
      </c>
      <c r="DE730" s="24" t="inlineStr">
        <is>
          <t>/Users/vincentc9002/model-prediction/data/odds/tennis/2026-09-29/polymarket_snapshots.jsonl</t>
        </is>
      </c>
      <c r="DF730" s="24" t="inlineStr">
        <is>
          <t>1105300:2026-09-29T22:05:53.891076Z</t>
        </is>
      </c>
      <c r="DG730" s="24" t="n"/>
      <c r="DH730" s="24" t="n"/>
      <c r="DI730" s="24" t="n"/>
      <c r="DJ730" s="24" t="inlineStr">
        <is>
          <t>0.710145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"6c67e999d2a03612e30f4032c8e5e77e8becfbc79e05f4c8993e726b90d34d54", "away_team": "Tommy Paul", "event_id": "5-2026:183488", "event_start_utc": "2026-09-30T03:30Z", "features": {"elo_p1_surface": 1801.5, "elo_p2_surface": 1607.1, "expected_games_p1": 12.97, "expected_games_p2": 6.68, "expected_total_games": 19.65, "history_matches": 11304, "min_player_matches": 138, "surface": "Hard"}, "historical_source_observation_times_verified": false, "home_team": "Alejandro Tabilo", "inference_inputs": {"code_sha256": {"features/elo_ratings.py": "8525faf022a6343c452286dbfeb17dbb043744c6bdabbe448b6b371216da439b", "models/tennis.py": "6c67e999d2a03612e30f4032c8e5e77e8becfbc79e05f4c8993e726b90d34d54"}, "overall_ratings": [1812.919896591147, 1614.69833438164], "players": ["Tommy Paul", "Alejandro Tabilo"], "sport": "TENNIS", "surface": "Hard", "surface_counts": [116, 104], "surface_ratings": [1801.5485414795107, 1607.1409394443103]}, "market_type": "moneyline", "model_version": "tennis-surface-elo-v1", "observed_at_utc": "2026-09-29T22:06:31.290572+00:00", "probabilities": {"away": 0.7547, "home": 0.2453}, "replay_scope": "Exact full-precision serving state and rounding; upstream historical observation times are not certified.", "schema": "coded-moneyline-replay-v1", "snapshot_hash": "c8718c71be992cb93ce81f5a57487eba9ca53fdadbb3109d58f609e7a6ecb8cf", "sport": "TENNIS"}</t>
        </is>
      </c>
    </row>
    <row r="731" ht="36" customHeight="1">
      <c r="A731" s="24" t="inlineStr">
        <is>
          <t>9ac9bf79a5774a51</t>
        </is>
      </c>
      <c r="B731" s="24" t="inlineStr">
        <is>
          <t>2026-09-30T04:38:56.922964Z</t>
        </is>
      </c>
      <c r="C731" s="24" t="inlineStr">
        <is>
          <t>2026-09-30T09:00Z</t>
        </is>
      </c>
      <c r="D731" s="24" t="inlineStr">
        <is>
          <t>1078-2026:184136</t>
        </is>
      </c>
      <c r="E731" s="24" t="inlineStr">
        <is>
          <t>TENNIS</t>
        </is>
      </c>
      <c r="F731" s="24" t="inlineStr">
        <is>
          <t>Julia Riera</t>
        </is>
      </c>
      <c r="G731" s="24" t="inlineStr">
        <is>
          <t>Antonia Ruzic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-194</v>
      </c>
      <c r="M731" s="27" t="n">
        <v>1.515464</v>
      </c>
      <c r="N731" s="28" t="n">
        <v>0.659864</v>
      </c>
      <c r="O731" s="28" t="n">
        <v>0.6016</v>
      </c>
      <c r="P731" s="28" t="n">
        <v>0.05</v>
      </c>
      <c r="Q731" s="28" t="n">
        <v>-0.058264</v>
      </c>
      <c r="R731" s="26" t="n">
        <v>0</v>
      </c>
      <c r="S731" s="29" t="n">
        <v>1</v>
      </c>
      <c r="T731" s="24" t="inlineStr">
        <is>
          <t>tennis-surface-elo-v1</t>
        </is>
      </c>
      <c r="U731" s="24" t="inlineStr">
        <is>
          <t>settled</t>
        </is>
      </c>
      <c r="V731" s="24" t="inlineStr">
        <is>
          <t>win</t>
        </is>
      </c>
      <c r="W731" s="26" t="n">
        <v>0</v>
      </c>
      <c r="X731" s="26" t="n">
        <v>1</v>
      </c>
      <c r="Y731" s="25" t="n"/>
      <c r="Z731" s="26" t="n">
        <v>-194</v>
      </c>
      <c r="AA731" s="28" t="n">
        <v>0.66</v>
      </c>
      <c r="AB731" s="28" t="n">
        <v>0.000136</v>
      </c>
      <c r="AC731" s="30" t="n">
        <v>0.5155</v>
      </c>
      <c r="AD731" s="24" t="inlineStr">
        <is>
          <t>2026-09-30T16:00:28.188800Z</t>
        </is>
      </c>
      <c r="AE731" s="31" t="inlineStr">
        <is>
          <t>Surface-blended Elo on Hard: Julia Riera p=0.398 vs Antonia Ruzic. Executable ask 0.6600 (aec-wta-antruz-julrie-2026-09-30).</t>
        </is>
      </c>
      <c r="AF731" s="31" t="inlineStr">
        <is>
          <t>Surface-blended Elo model; singles only, WTA+ATP market coverage, not yet locked-holdout qualified -- promoted by explicit operator directive, not genuine walk-forward validation.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Julia Riera</t>
        </is>
      </c>
      <c r="AQ731" s="24" t="inlineStr">
        <is>
          <t>Julia Riera</t>
        </is>
      </c>
      <c r="AR731" s="24" t="inlineStr">
        <is>
          <t>Julia Riera</t>
        </is>
      </c>
      <c r="AS731" s="24" t="inlineStr">
        <is>
          <t>Antonia Ruzic</t>
        </is>
      </c>
      <c r="AT731" s="24" t="inlineStr">
        <is>
          <t>Antonia Ruzic</t>
        </is>
      </c>
      <c r="AU731" s="24" t="inlineStr">
        <is>
          <t>Antonia Ruzic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6c67e999d2a03612e30f4032c8e5e77e8becfbc79e05f4c8993e726b90d34d54</t>
        </is>
      </c>
      <c r="BB731" s="24" t="inlineStr">
        <is>
          <t>surface_blended_elo</t>
        </is>
      </c>
      <c r="BC731" s="24" t="inlineStr">
        <is>
          <t>tennis-surface-elo-v1</t>
        </is>
      </c>
      <c r="BD731" s="24" t="inlineStr">
        <is>
          <t>6c67e999d2a03612e30f4032c8e5e77e8becfbc79e05f4c8993e726b90d34d54</t>
        </is>
      </c>
      <c r="BE731" s="24" t="inlineStr">
        <is>
          <t>tennis-surface-elo-v1</t>
        </is>
      </c>
      <c r="BF731" s="24" t="inlineStr">
        <is>
          <t>1</t>
        </is>
      </c>
      <c r="BG731" s="24" t="inlineStr">
        <is>
          <t>6c67e999d2a03612e30f4032c8e5e77e8becfbc79e05f4c8993e726b90d34d54</t>
        </is>
      </c>
      <c r="BH731" s="24" t="inlineStr">
        <is>
          <t>2026-09-29T04:48:21.534191Z</t>
        </is>
      </c>
      <c r="BI731" s="24" t="inlineStr">
        <is>
          <t>["same_event","same_team_same_day","same_league_same_day"]</t>
        </is>
      </c>
      <c r="BJ731" s="25" t="n"/>
      <c r="BK731" s="26" t="n">
        <v>-194</v>
      </c>
      <c r="BL731" s="27" t="n">
        <v>1.515464</v>
      </c>
      <c r="BM731" s="28" t="n">
        <v>0.659864</v>
      </c>
      <c r="BN731" s="28" t="n"/>
      <c r="BO731" s="28" t="n"/>
      <c r="BP731" s="25" t="n"/>
      <c r="BQ731" s="27" t="n">
        <v>1.515464</v>
      </c>
      <c r="BR731" s="28" t="n">
        <v>0.66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0.515464</v>
      </c>
      <c r="BZ731" s="24" t="inlineStr">
        <is>
          <t>2026-09-30T16:00:28.188800Z</t>
        </is>
      </c>
      <c r="CA731" s="31" t="inlineStr">
        <is>
          <t>fixed one-unit hypothetical scoring; no real exposure or execution</t>
        </is>
      </c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inlineStr">
        <is>
          <t>837ef81038667915c2243c3a10894d9a74d74c78c5a807039a7826f03c8d17e3</t>
        </is>
      </c>
      <c r="DE731" s="24" t="inlineStr">
        <is>
          <t>/Users/vincentc9002/model-prediction/data/odds/tennis/2026-09-30/polymarket_snapshots.jsonl</t>
        </is>
      </c>
      <c r="DF731" s="24" t="inlineStr">
        <is>
          <t>1109320:2026-09-29T04:48:21.534191Z</t>
        </is>
      </c>
      <c r="DG731" s="24" t="n"/>
      <c r="DH731" s="24" t="n"/>
      <c r="DI731" s="24" t="n"/>
      <c r="DJ731" s="24" t="inlineStr">
        <is>
          <t>0.659864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"6c67e999d2a03612e30f4032c8e5e77e8becfbc79e05f4c8993e726b90d34d54", "away_team": "Julia Riera", "event_id": "1078-2026:184136", "event_start_utc": "2026-09-30T09:00Z", "features": {"elo_p1_surface": 1500.0, "elo_p2_surface": 1572.3, "expected_games_p1": 10.43, "expected_games_p2": 13.24, "expected_total_games": 23.67, "history_matches": 16452, "min_player_matches": 101, "surface": "Hard"}, "historical_source_observation_times_verified": false, "home_team": "Antonia Ruzic", "inference_inputs": {"code_sha256": {"features/elo_ratings.py": "8525faf022a6343c452286dbfeb17dbb043744c6bdabbe448b6b371216da439b", "models/tennis.py": "6c67e999d2a03612e30f4032c8e5e77e8becfbc79e05f4c8993e726b90d34d54"}, "overall_ratings": [1517.8627154301341, 1587.8501041888376], "players": ["Julia Riera", "Antonia Ruzic"], "sport": "TENNIS", "surface": "Hard", "surface_counts": [82, 86], "surface_ratings": [1499.9694969493453, 1572.3453521498336]}, "market_type": "moneyline", "model_version": "tennis-surface-elo-v1", "observed_at_utc": "2026-09-30T04:38:55.649078+00:00", "probabilities": {"away": 0.3984, "home": 0.6016}, "replay_scope": "Exact full-precision serving state and rounding; upstream historical observation times are not certified.", "schema": "coded-moneyline-replay-v1", "snapshot_hash": "4f0a4221c01a01635af1bbea1fabd875e835ac22a89e30e695a95e39ca8c1e94", "sport": "TENNIS"}</t>
        </is>
      </c>
    </row>
    <row r="732" ht="36" customHeight="1">
      <c r="A732" s="24" t="inlineStr">
        <is>
          <t>2248c667f033468d</t>
        </is>
      </c>
      <c r="B732" s="24" t="inlineStr">
        <is>
          <t>2026-09-30T04:38:56.922964Z</t>
        </is>
      </c>
      <c r="C732" s="24" t="inlineStr">
        <is>
          <t>2026-09-30T06:00Z</t>
        </is>
      </c>
      <c r="D732" s="24" t="inlineStr">
        <is>
          <t>959-2026:184240</t>
        </is>
      </c>
      <c r="E732" s="24" t="inlineStr">
        <is>
          <t>TENNIS</t>
        </is>
      </c>
      <c r="F732" s="24" t="inlineStr">
        <is>
          <t>Zeynep Sonmez</t>
        </is>
      </c>
      <c r="G732" s="24" t="inlineStr">
        <is>
          <t>Maddison Inglis</t>
        </is>
      </c>
      <c r="H732" s="24" t="inlineStr">
        <is>
          <t>moneyline</t>
        </is>
      </c>
      <c r="I732" s="24" t="inlineStr">
        <is>
          <t>away</t>
        </is>
      </c>
      <c r="J732" s="25" t="n"/>
      <c r="K732" s="24" t="inlineStr">
        <is>
          <t>polymarket_us</t>
        </is>
      </c>
      <c r="L732" s="26" t="n">
        <v>-203</v>
      </c>
      <c r="M732" s="27" t="n">
        <v>1.492611</v>
      </c>
      <c r="N732" s="28" t="n">
        <v>0.669967</v>
      </c>
      <c r="O732" s="28" t="n">
        <v>0.6325</v>
      </c>
      <c r="P732" s="28" t="n">
        <v>0.05</v>
      </c>
      <c r="Q732" s="28" t="n">
        <v>-0.037467</v>
      </c>
      <c r="R732" s="26" t="n">
        <v>1</v>
      </c>
      <c r="S732" s="29" t="n">
        <v>1</v>
      </c>
      <c r="T732" s="24" t="inlineStr">
        <is>
          <t>tennis-surface-elo-v1</t>
        </is>
      </c>
      <c r="U732" s="24" t="inlineStr">
        <is>
          <t>settled</t>
        </is>
      </c>
      <c r="V732" s="24" t="inlineStr">
        <is>
          <t>loss</t>
        </is>
      </c>
      <c r="W732" s="26" t="n">
        <v>0</v>
      </c>
      <c r="X732" s="26" t="n">
        <v>1</v>
      </c>
      <c r="Y732" s="25" t="n"/>
      <c r="Z732" s="26" t="n">
        <v>-203</v>
      </c>
      <c r="AA732" s="28" t="n">
        <v>0.67</v>
      </c>
      <c r="AB732" s="28" t="n">
        <v>3.3e-05</v>
      </c>
      <c r="AC732" s="30" t="n">
        <v>-1</v>
      </c>
      <c r="AD732" s="24" t="inlineStr">
        <is>
          <t>2026-09-30T10:00:22.495855Z</t>
        </is>
      </c>
      <c r="AE732" s="31" t="inlineStr">
        <is>
          <t>Surface-blended Elo on Hard: Zeynep Sonmez p=0.633 vs Maddison Inglis. Executable ask 0.6700 (aec-wta-mading-zeyson-2026-09-29).</t>
        </is>
      </c>
      <c r="AF732" s="31" t="inlineStr">
        <is>
          <t>Surface-blended Elo model; singles only, WTA+ATP market coverage, not yet locked-holdout qualified -- promoted by explicit operator directive, not genuine walk-forward validation.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PAPER_CALL_LOW_EDGE</t>
        </is>
      </c>
      <c r="AP732" s="24" t="inlineStr">
        <is>
          <t>Zeynep Sonmez</t>
        </is>
      </c>
      <c r="AQ732" s="24" t="inlineStr">
        <is>
          <t>Zeynep Sonmez</t>
        </is>
      </c>
      <c r="AR732" s="24" t="inlineStr">
        <is>
          <t>Zeynep Sonmez</t>
        </is>
      </c>
      <c r="AS732" s="24" t="inlineStr">
        <is>
          <t>Maddison Inglis</t>
        </is>
      </c>
      <c r="AT732" s="24" t="inlineStr">
        <is>
          <t>Maddison Inglis</t>
        </is>
      </c>
      <c r="AU732" s="24" t="inlineStr">
        <is>
          <t>Maddison Inglis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6c67e999d2a03612e30f4032c8e5e77e8becfbc79e05f4c8993e726b90d34d54</t>
        </is>
      </c>
      <c r="BB732" s="24" t="inlineStr">
        <is>
          <t>surface_blended_elo</t>
        </is>
      </c>
      <c r="BC732" s="24" t="inlineStr">
        <is>
          <t>tennis-surface-elo-v1</t>
        </is>
      </c>
      <c r="BD732" s="24" t="inlineStr">
        <is>
          <t>6c67e999d2a03612e30f4032c8e5e77e8becfbc79e05f4c8993e726b90d34d54</t>
        </is>
      </c>
      <c r="BE732" s="24" t="inlineStr">
        <is>
          <t>tennis-surface-elo-v1</t>
        </is>
      </c>
      <c r="BF732" s="24" t="inlineStr">
        <is>
          <t>1</t>
        </is>
      </c>
      <c r="BG732" s="24" t="inlineStr">
        <is>
          <t>6c67e999d2a03612e30f4032c8e5e77e8becfbc79e05f4c8993e726b90d34d54</t>
        </is>
      </c>
      <c r="BH732" s="24" t="inlineStr">
        <is>
          <t>2026-09-30T04:34:24.298837Z</t>
        </is>
      </c>
      <c r="BI732" s="24" t="inlineStr">
        <is>
          <t>["same_event","same_team_same_day","same_league_same_day"]</t>
        </is>
      </c>
      <c r="BJ732" s="25" t="n"/>
      <c r="BK732" s="26" t="n">
        <v>-203</v>
      </c>
      <c r="BL732" s="27" t="n">
        <v>1.492611</v>
      </c>
      <c r="BM732" s="28" t="n">
        <v>0.669967</v>
      </c>
      <c r="BN732" s="28" t="n"/>
      <c r="BO732" s="28" t="n"/>
      <c r="BP732" s="25" t="n"/>
      <c r="BQ732" s="27" t="n">
        <v>1.492611</v>
      </c>
      <c r="BR732" s="28" t="n">
        <v>0.67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2026-09-30T10:00:22.495855Z</t>
        </is>
      </c>
      <c r="CA732" s="31" t="inlineStr">
        <is>
          <t>fixed one-unit hypothetical scoring; no real exposure or execution</t>
        </is>
      </c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False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inlineStr">
        <is>
          <t>829424032a687ebd7e86c4c28fa6ae58dc5901f7f902377809c50e5f02bb15c8</t>
        </is>
      </c>
      <c r="DE732" s="24" t="inlineStr">
        <is>
          <t>/Users/vincentc9002/model-prediction/data/odds/tennis/2026-09-30/polymarket_snapshots.jsonl</t>
        </is>
      </c>
      <c r="DF732" s="24" t="inlineStr">
        <is>
          <t>1127152:2026-09-30T04:34:24.298837Z</t>
        </is>
      </c>
      <c r="DG732" s="24" t="n"/>
      <c r="DH732" s="24" t="n"/>
      <c r="DI732" s="24" t="n"/>
      <c r="DJ732" s="24" t="inlineStr">
        <is>
          <t>0.669967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"6c67e999d2a03612e30f4032c8e5e77e8becfbc79e05f4c8993e726b90d34d54", "away_team": "Zeynep Sonmez", "event_id": "959-2026:184240", "event_start_utc": "2026-09-30T06:00Z", "features": {"elo_p1_surface": 1651.9, "elo_p2_surface": 1580.2, "expected_games_p1": 13.44, "expected_games_p2": 10.02, "expected_total_games": 23.46, "history_matches": 16452, "min_player_matches": 70, "surface": "Hard"}, "historical_source_observation_times_verified": false, "home_team": "Maddison Inglis", "inference_inputs": {"code_sha256": {"features/elo_ratings.py": "8525faf022a6343c452286dbfeb17dbb043744c6bdabbe448b6b371216da439b", "models/tennis.py": "6c67e999d2a03612e30f4032c8e5e77e8becfbc79e05f4c8993e726b90d34d54"}, "overall_ratings": [1695.8129154653104, 1544.5975078391864], "players": ["Zeynep Sonmez", "Maddison Inglis"], "sport": "TENNIS", "surface": "Hard", "surface_counts": [108, 59], "surface_ratings": [1651.9146781795998, 1580.1796711735858]}, "market_type": "moneyline", "model_version": "tennis-surface-elo-v1", "observed_at_utc": "2026-09-30T04:38:55.649078+00:00", "probabilities": {"away": 0.6325, "home": 0.3675}, "replay_scope": "Exact full-precision serving state and rounding; upstream historical observation times are not certified.", "schema": "coded-moneyline-replay-v1", "snapshot_hash": "fa805e708abd2aa613850133241a9c4b1baad35537a3bcf93a18447d54c56cfb", "sport": "TENNIS"}</t>
        </is>
      </c>
    </row>
    <row r="733" ht="36" customHeight="1">
      <c r="A733" s="24" t="inlineStr">
        <is>
          <t>ee281498126e450c</t>
        </is>
      </c>
      <c r="B733" s="24" t="inlineStr">
        <is>
          <t>2026-09-30T10:08:54.114103Z</t>
        </is>
      </c>
      <c r="C733" s="24" t="inlineStr">
        <is>
          <t>2026-09-30T11:00Z</t>
        </is>
      </c>
      <c r="D733" s="24" t="inlineStr">
        <is>
          <t>1078-2026:184139</t>
        </is>
      </c>
      <c r="E733" s="24" t="inlineStr">
        <is>
          <t>TENNIS</t>
        </is>
      </c>
      <c r="F733" s="24" t="inlineStr">
        <is>
          <t>Anna Blinkova</t>
        </is>
      </c>
      <c r="G733" s="24" t="inlineStr">
        <is>
          <t>Viktoria Hruncakova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-669</v>
      </c>
      <c r="M733" s="27" t="n">
        <v>1.149477</v>
      </c>
      <c r="N733" s="28" t="n">
        <v>0.869961</v>
      </c>
      <c r="O733" s="28" t="n">
        <v>0.7594</v>
      </c>
      <c r="P733" s="28" t="n">
        <v>0.05</v>
      </c>
      <c r="Q733" s="28" t="n">
        <v>-0.110561</v>
      </c>
      <c r="R733" s="26" t="n">
        <v>0</v>
      </c>
      <c r="S733" s="29" t="n">
        <v>1</v>
      </c>
      <c r="T733" s="24" t="inlineStr">
        <is>
          <t>tennis-surface-elo-v1</t>
        </is>
      </c>
      <c r="U733" s="24" t="inlineStr">
        <is>
          <t>settled</t>
        </is>
      </c>
      <c r="V733" s="24" t="inlineStr">
        <is>
          <t>win</t>
        </is>
      </c>
      <c r="W733" s="26" t="n">
        <v>1</v>
      </c>
      <c r="X733" s="26" t="n">
        <v>0</v>
      </c>
      <c r="Y733" s="25" t="n"/>
      <c r="Z733" s="26" t="n">
        <v>-669</v>
      </c>
      <c r="AA733" s="28" t="n">
        <v>0.87</v>
      </c>
      <c r="AB733" s="28" t="n">
        <v>3.9e-05</v>
      </c>
      <c r="AC733" s="30" t="n">
        <v>0.1495</v>
      </c>
      <c r="AD733" s="24" t="inlineStr">
        <is>
          <t>2026-09-30T16:00:30.944037Z</t>
        </is>
      </c>
      <c r="AE733" s="31" t="inlineStr">
        <is>
          <t>Surface-blended Elo on Hard: Anna Blinkova p=0.759 vs Viktoria Hruncakova. Executable ask 0.8700 (aec-wta-vikhru-annbli-2026-09-30).</t>
        </is>
      </c>
      <c r="AF733" s="31" t="inlineStr">
        <is>
          <t>Surface-blended Elo model; singles only, WTA+ATP market coverage, not yet locked-holdout qualified -- promoted by explicit operator directive, not genuine walk-forward validation.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Anna Blinkova</t>
        </is>
      </c>
      <c r="AQ733" s="24" t="inlineStr">
        <is>
          <t>Anna Blinkova</t>
        </is>
      </c>
      <c r="AR733" s="24" t="inlineStr">
        <is>
          <t>Anna Blinkova</t>
        </is>
      </c>
      <c r="AS733" s="24" t="inlineStr">
        <is>
          <t>Viktoria Hruncakova</t>
        </is>
      </c>
      <c r="AT733" s="24" t="inlineStr">
        <is>
          <t>Viktoria Hruncakova</t>
        </is>
      </c>
      <c r="AU733" s="24" t="inlineStr">
        <is>
          <t>Viktoria Hruncakova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6c67e999d2a03612e30f4032c8e5e77e8becfbc79e05f4c8993e726b90d34d54</t>
        </is>
      </c>
      <c r="BB733" s="24" t="inlineStr">
        <is>
          <t>surface_blended_elo</t>
        </is>
      </c>
      <c r="BC733" s="24" t="inlineStr">
        <is>
          <t>tennis-surface-elo-v1</t>
        </is>
      </c>
      <c r="BD733" s="24" t="inlineStr">
        <is>
          <t>6c67e999d2a03612e30f4032c8e5e77e8becfbc79e05f4c8993e726b90d34d54</t>
        </is>
      </c>
      <c r="BE733" s="24" t="inlineStr">
        <is>
          <t>tennis-surface-elo-v1</t>
        </is>
      </c>
      <c r="BF733" s="24" t="inlineStr">
        <is>
          <t>1</t>
        </is>
      </c>
      <c r="BG733" s="24" t="inlineStr">
        <is>
          <t>6c67e999d2a03612e30f4032c8e5e77e8becfbc79e05f4c8993e726b90d34d54</t>
        </is>
      </c>
      <c r="BH733" s="24" t="inlineStr">
        <is>
          <t>2026-09-29T04:48:21.535972Z</t>
        </is>
      </c>
      <c r="BI733" s="24" t="inlineStr">
        <is>
          <t>["same_event","same_team_same_day","same_league_same_day"]</t>
        </is>
      </c>
      <c r="BJ733" s="25" t="n"/>
      <c r="BK733" s="26" t="n">
        <v>-669</v>
      </c>
      <c r="BL733" s="27" t="n">
        <v>1.149477</v>
      </c>
      <c r="BM733" s="28" t="n">
        <v>0.869961</v>
      </c>
      <c r="BN733" s="28" t="n"/>
      <c r="BO733" s="28" t="n"/>
      <c r="BP733" s="25" t="n"/>
      <c r="BQ733" s="27" t="n">
        <v>1.149477</v>
      </c>
      <c r="BR733" s="28" t="n">
        <v>0.87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0.149477</v>
      </c>
      <c r="BZ733" s="24" t="inlineStr">
        <is>
          <t>2026-09-30T16:00:30.944037Z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inlineStr">
        <is>
          <t>e4c9b0231698be9c42372844e1118cd9dd668b42b95145cd3a7ed37ddde24d0d</t>
        </is>
      </c>
      <c r="DE733" s="24" t="inlineStr">
        <is>
          <t>/Users/vincentc9002/model-prediction/data/odds/tennis/2026-09-30/polymarket_snapshots.jsonl</t>
        </is>
      </c>
      <c r="DF733" s="24" t="inlineStr">
        <is>
          <t>1110448:2026-09-29T04:48:21.535972Z</t>
        </is>
      </c>
      <c r="DG733" s="24" t="n"/>
      <c r="DH733" s="24" t="n"/>
      <c r="DI733" s="24" t="n"/>
      <c r="DJ733" s="24" t="inlineStr">
        <is>
          <t>0.869961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"6c67e999d2a03612e30f4032c8e5e77e8becfbc79e05f4c8993e726b90d34d54", "away_team": "Anna Blinkova", "event_id": "1078-2026:184139", "event_start_utc": "2026-09-30T11:00Z", "features": {"elo_p1_surface": 1645.7, "elo_p2_surface": 1442.7, "expected_games_p1": 12.73, "expected_games_p2": 5.76, "expected_total_games": 18.49, "history_matches": 16452, "min_player_matches": 42, "surface": "Hard"}, "historical_source_observation_times_verified": false, "home_team": "Viktoria Hruncakova", "inference_inputs": {"code_sha256": {"features/elo_ratings.py": "8525faf022a6343c452286dbfeb17dbb043744c6bdabbe448b6b371216da439b", "models/tennis.py": "6c67e999d2a03612e30f4032c8e5e77e8becfbc79e05f4c8993e726b90d34d54"}, "overall_ratings": [1652.7284632832987, 1455.0129193814244], "players": ["Anna Blinkova", "Viktoria Hruncakova"], "sport": "TENNIS", "surface": "Hard", "surface_counts": [132, 34], "surface_ratings": [1645.6989655325522, 1442.6560234602155]}, "market_type": "moneyline", "model_version": "tennis-surface-elo-v1", "observed_at_utc": "2026-09-30T10:08:52.888164+00:00", "probabilities": {"away": 0.7594, "home": 0.2406}, "replay_scope": "Exact full-precision serving state and rounding; upstream historical observation times are not certified.", "schema": "coded-moneyline-replay-v1", "snapshot_hash": "7e52cc71518d10ef1cc8a9c7a51e7626050b527d1bcad172cca74334bc418bfc", "sport": "TENNIS"}</t>
        </is>
      </c>
    </row>
    <row r="734" ht="36" customHeight="1">
      <c r="A734" s="24" t="inlineStr">
        <is>
          <t>e82b89554cec4a41</t>
        </is>
      </c>
      <c r="B734" s="24" t="inlineStr">
        <is>
          <t>2026-09-30T22:04:40.840360Z</t>
        </is>
      </c>
      <c r="C734" s="24" t="inlineStr">
        <is>
          <t>2026-10-01T03:00Z</t>
        </is>
      </c>
      <c r="D734" s="24" t="inlineStr">
        <is>
          <t>959-2026:184252</t>
        </is>
      </c>
      <c r="E734" s="24" t="inlineStr">
        <is>
          <t>TENNIS</t>
        </is>
      </c>
      <c r="F734" s="24" t="inlineStr">
        <is>
          <t>Robin Montgomery</t>
        </is>
      </c>
      <c r="G734" s="24" t="inlineStr">
        <is>
          <t>Katie Volynets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-133</v>
      </c>
      <c r="M734" s="27" t="n">
        <v>1.75188</v>
      </c>
      <c r="N734" s="28" t="n">
        <v>0.570815</v>
      </c>
      <c r="O734" s="28" t="n">
        <v>0.5276999999999999</v>
      </c>
      <c r="P734" s="28" t="n">
        <v>0.05</v>
      </c>
      <c r="Q734" s="28" t="n">
        <v>-0.043115</v>
      </c>
      <c r="R734" s="26" t="n">
        <v>0</v>
      </c>
      <c r="S734" s="29" t="n">
        <v>1</v>
      </c>
      <c r="T734" s="24" t="inlineStr">
        <is>
          <t>tennis-surface-elo-v1</t>
        </is>
      </c>
      <c r="U734" s="24" t="inlineStr">
        <is>
          <t>settled</t>
        </is>
      </c>
      <c r="V734" s="24" t="inlineStr">
        <is>
          <t>win</t>
        </is>
      </c>
      <c r="W734" s="26" t="n">
        <v>0</v>
      </c>
      <c r="X734" s="26" t="n">
        <v>1</v>
      </c>
      <c r="Y734" s="25" t="n"/>
      <c r="Z734" s="26" t="n">
        <v>-133</v>
      </c>
      <c r="AA734" s="28" t="n">
        <v>0.57</v>
      </c>
      <c r="AB734" s="28" t="n">
        <v>-0.000815</v>
      </c>
      <c r="AC734" s="30" t="n">
        <v>0.7519</v>
      </c>
      <c r="AD734" s="24" t="inlineStr">
        <is>
          <t>2026-10-01T10:00:15.240357Z</t>
        </is>
      </c>
      <c r="AE734" s="31" t="inlineStr">
        <is>
          <t>Surface-blended Elo on Hard: Robin Montgomery p=0.472 vs Katie Volynets. Executable ask 0.5700 (aec-wta-katvol-robmon-2026-09-29).</t>
        </is>
      </c>
      <c r="AF734" s="31" t="inlineStr">
        <is>
          <t>Surface-blended Elo model; singles only, WTA+ATP market coverage, not yet locked-holdout qualified -- promoted by explicit operator directive, not genuine walk-forward validation.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Robin Montgomery</t>
        </is>
      </c>
      <c r="AQ734" s="24" t="inlineStr">
        <is>
          <t>Robin Montgomery</t>
        </is>
      </c>
      <c r="AR734" s="24" t="inlineStr">
        <is>
          <t>Robin Montgomery</t>
        </is>
      </c>
      <c r="AS734" s="24" t="inlineStr">
        <is>
          <t>Katie Volynets</t>
        </is>
      </c>
      <c r="AT734" s="24" t="inlineStr">
        <is>
          <t>Katie Volynets</t>
        </is>
      </c>
      <c r="AU734" s="24" t="inlineStr">
        <is>
          <t>Katie Volynets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6c67e999d2a03612e30f4032c8e5e77e8becfbc79e05f4c8993e726b90d34d54</t>
        </is>
      </c>
      <c r="BB734" s="24" t="inlineStr">
        <is>
          <t>surface_blended_elo</t>
        </is>
      </c>
      <c r="BC734" s="24" t="inlineStr">
        <is>
          <t>tennis-surface-elo-v1</t>
        </is>
      </c>
      <c r="BD734" s="24" t="inlineStr">
        <is>
          <t>6c67e999d2a03612e30f4032c8e5e77e8becfbc79e05f4c8993e726b90d34d54</t>
        </is>
      </c>
      <c r="BE734" s="24" t="inlineStr">
        <is>
          <t>tennis-surface-elo-v1</t>
        </is>
      </c>
      <c r="BF734" s="24" t="inlineStr">
        <is>
          <t>1</t>
        </is>
      </c>
      <c r="BG734" s="24" t="inlineStr">
        <is>
          <t>6c67e999d2a03612e30f4032c8e5e77e8becfbc79e05f4c8993e726b90d34d54</t>
        </is>
      </c>
      <c r="BH734" s="24" t="inlineStr">
        <is>
          <t>2026-09-30T10:05:17.197375Z</t>
        </is>
      </c>
      <c r="BI734" s="24" t="inlineStr">
        <is>
          <t>["same_event","same_team_same_day","same_league_same_day"]</t>
        </is>
      </c>
      <c r="BJ734" s="25" t="n"/>
      <c r="BK734" s="26" t="n">
        <v>-133</v>
      </c>
      <c r="BL734" s="27" t="n">
        <v>1.75188</v>
      </c>
      <c r="BM734" s="28" t="n">
        <v>0.570815</v>
      </c>
      <c r="BN734" s="28" t="n"/>
      <c r="BO734" s="28" t="n"/>
      <c r="BP734" s="25" t="n"/>
      <c r="BQ734" s="27" t="n">
        <v>1.75188</v>
      </c>
      <c r="BR734" s="28" t="n">
        <v>0.57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0.751881</v>
      </c>
      <c r="BZ734" s="24" t="inlineStr">
        <is>
          <t>2026-10-01T10:00:15.240357Z</t>
        </is>
      </c>
      <c r="CA734" s="31" t="inlineStr">
        <is>
          <t>fixed one-unit hypothetical scoring; no real exposure or execution</t>
        </is>
      </c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inlineStr">
        <is>
          <t>1151d2fffb5b2632b7bf178181f66d55fe04be0f874e2164c76eeb18b3aa81c3</t>
        </is>
      </c>
      <c r="DE734" s="24" t="inlineStr">
        <is>
          <t>/Users/vincentc9002/model-prediction/data/odds/tennis/2026-09-30/polymarket_snapshots.jsonl</t>
        </is>
      </c>
      <c r="DF734" s="24" t="inlineStr">
        <is>
          <t>1127159:2026-09-30T10:05:17.197375Z</t>
        </is>
      </c>
      <c r="DG734" s="24" t="n"/>
      <c r="DH734" s="24" t="n"/>
      <c r="DI734" s="24" t="n"/>
      <c r="DJ734" s="24" t="inlineStr">
        <is>
          <t>0.570815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"6c67e999d2a03612e30f4032c8e5e77e8becfbc79e05f4c8993e726b90d34d54", "away_team": "Robin Montgomery", "event_id": "959-2026:184252", "event_start_utc": "2026-10-01T03:00Z", "features": {"elo_p1_surface": 1667.4, "elo_p2_surface": 1683.6, "expected_games_p1": 12.17, "expected_games_p2": 12.58, "expected_total_games": 24.75, "history_matches": 16452, "min_player_matches": 100, "surface": "Hard"}, "historical_source_observation_times_verified": false, "home_team": "Katie Volynets", "inference_inputs": {"code_sha256": {"features/elo_ratings.py": "8525faf022a6343c452286dbfeb17dbb043744c6bdabbe448b6b371216da439b", "models/tennis.py": "6c67e999d2a03612e30f4032c8e5e77e8becfbc79e05f4c8993e726b90d34d54"}, "overall_ratings": [1680.2319025997456, 1713.6166706481563], "players": ["Robin Montgomery", "Katie Volynets"], "sport": "TENNIS", "surface": "Hard", "surface_counts": [72, 149], "surface_ratings": [1667.4031609335257, 1683.612233047866]}, "market_type": "moneyline", "model_version": "tennis-surface-elo-v1", "observed_at_utc": "2026-09-30T22:04:40.020307+00:00", "probabilities": {"away": 0.4723, "home": 0.5277}, "replay_scope": "Exact full-precision serving state and rounding; upstream historical observation times are not certified.", "schema": "coded-moneyline-replay-v1", "snapshot_hash": "042b6e88afacd2c814889c2d869256a0449005686de65495ac462b3565fdbea3", "sport": "TENNIS"}</t>
        </is>
      </c>
    </row>
    <row r="735" ht="36" customHeight="1">
      <c r="A735" s="24" t="inlineStr">
        <is>
          <t>c8f89dd680844de6</t>
        </is>
      </c>
      <c r="B735" s="24" t="inlineStr">
        <is>
          <t>2026-09-30T22:04:40.840360Z</t>
        </is>
      </c>
      <c r="C735" s="24" t="inlineStr">
        <is>
          <t>2026-10-01T04:30Z</t>
        </is>
      </c>
      <c r="D735" s="24" t="inlineStr">
        <is>
          <t>959-2026:184244</t>
        </is>
      </c>
      <c r="E735" s="24" t="inlineStr">
        <is>
          <t>TENNIS</t>
        </is>
      </c>
      <c r="F735" s="24" t="inlineStr">
        <is>
          <t>Daria Kasatkina</t>
        </is>
      </c>
      <c r="G735" s="24" t="inlineStr">
        <is>
          <t>Paula Badosa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-233</v>
      </c>
      <c r="M735" s="27" t="n">
        <v>1.429185</v>
      </c>
      <c r="N735" s="28" t="n">
        <v>0.6997</v>
      </c>
      <c r="O735" s="28" t="n">
        <v>0.6454</v>
      </c>
      <c r="P735" s="28" t="n">
        <v>0.05</v>
      </c>
      <c r="Q735" s="28" t="n">
        <v>-0.0543</v>
      </c>
      <c r="R735" s="26" t="n">
        <v>0</v>
      </c>
      <c r="S735" s="29" t="n">
        <v>1</v>
      </c>
      <c r="T735" s="24" t="inlineStr">
        <is>
          <t>tennis-surface-elo-v1</t>
        </is>
      </c>
      <c r="U735" s="24" t="inlineStr">
        <is>
          <t>settled</t>
        </is>
      </c>
      <c r="V735" s="24" t="inlineStr">
        <is>
          <t>win</t>
        </is>
      </c>
      <c r="W735" s="26" t="n">
        <v>0</v>
      </c>
      <c r="X735" s="26" t="n">
        <v>1</v>
      </c>
      <c r="Y735" s="25" t="n"/>
      <c r="Z735" s="26" t="n">
        <v>-233</v>
      </c>
      <c r="AA735" s="28" t="n">
        <v>0.7</v>
      </c>
      <c r="AB735" s="28" t="n">
        <v>0.0003</v>
      </c>
      <c r="AC735" s="30" t="n">
        <v>0.4292</v>
      </c>
      <c r="AD735" s="24" t="inlineStr">
        <is>
          <t>2026-10-01T10:00:16.584010Z</t>
        </is>
      </c>
      <c r="AE735" s="31" t="inlineStr">
        <is>
          <t>Surface-blended Elo on Hard: Daria Kasatkina p=0.355 vs Paula Badosa. Executable ask 0.7000 (aec-wta-paubad-darkas-2026-09-28).</t>
        </is>
      </c>
      <c r="AF735" s="31" t="inlineStr">
        <is>
          <t>Surface-blended Elo model; singles only, WTA+ATP market coverage, not yet locked-holdout qualified -- promoted by explicit operator directive, not genuine walk-forward validation.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PAPER_CALL_LOW_EDGE</t>
        </is>
      </c>
      <c r="AP735" s="24" t="inlineStr">
        <is>
          <t>Daria Kasatkina</t>
        </is>
      </c>
      <c r="AQ735" s="24" t="inlineStr">
        <is>
          <t>Daria Kasatkina</t>
        </is>
      </c>
      <c r="AR735" s="24" t="inlineStr">
        <is>
          <t>Daria Kasatkina</t>
        </is>
      </c>
      <c r="AS735" s="24" t="inlineStr">
        <is>
          <t>Paula Badosa</t>
        </is>
      </c>
      <c r="AT735" s="24" t="inlineStr">
        <is>
          <t>Paula Badosa</t>
        </is>
      </c>
      <c r="AU735" s="24" t="inlineStr">
        <is>
          <t>Paula Badosa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6c67e999d2a03612e30f4032c8e5e77e8becfbc79e05f4c8993e726b90d34d54</t>
        </is>
      </c>
      <c r="BB735" s="24" t="inlineStr">
        <is>
          <t>surface_blended_elo</t>
        </is>
      </c>
      <c r="BC735" s="24" t="inlineStr">
        <is>
          <t>tennis-surface-elo-v1</t>
        </is>
      </c>
      <c r="BD735" s="24" t="inlineStr">
        <is>
          <t>6c67e999d2a03612e30f4032c8e5e77e8becfbc79e05f4c8993e726b90d34d54</t>
        </is>
      </c>
      <c r="BE735" s="24" t="inlineStr">
        <is>
          <t>tennis-surface-elo-v1</t>
        </is>
      </c>
      <c r="BF735" s="24" t="inlineStr">
        <is>
          <t>1</t>
        </is>
      </c>
      <c r="BG735" s="24" t="inlineStr">
        <is>
          <t>6c67e999d2a03612e30f4032c8e5e77e8becfbc79e05f4c8993e726b90d34d54</t>
        </is>
      </c>
      <c r="BH735" s="24" t="inlineStr">
        <is>
          <t>2026-09-30T04:35:00.156099Z</t>
        </is>
      </c>
      <c r="BI735" s="24" t="inlineStr">
        <is>
          <t>["same_event","same_team_same_day","same_league_same_day"]</t>
        </is>
      </c>
      <c r="BJ735" s="25" t="n"/>
      <c r="BK735" s="26" t="n">
        <v>-233</v>
      </c>
      <c r="BL735" s="27" t="n">
        <v>1.429185</v>
      </c>
      <c r="BM735" s="28" t="n">
        <v>0.6997</v>
      </c>
      <c r="BN735" s="28" t="n"/>
      <c r="BO735" s="28" t="n"/>
      <c r="BP735" s="25" t="n"/>
      <c r="BQ735" s="27" t="n">
        <v>1.429185</v>
      </c>
      <c r="BR735" s="28" t="n">
        <v>0.7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0.429184</v>
      </c>
      <c r="BZ735" s="24" t="inlineStr">
        <is>
          <t>2026-10-01T10:00:16.584010Z</t>
        </is>
      </c>
      <c r="CA735" s="31" t="inlineStr">
        <is>
          <t>fixed one-unit hypothetical scoring; no real exposure or execution</t>
        </is>
      </c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False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inlineStr">
        <is>
          <t>08656f15f76ce1a26a11ff1266c840d3ec1152260b2c9ef8e321fa619c64a79e</t>
        </is>
      </c>
      <c r="DE735" s="24" t="inlineStr">
        <is>
          <t>/Users/vincentc9002/model-prediction/data/odds/tennis/2026-09-30/polymarket_snapshots.jsonl</t>
        </is>
      </c>
      <c r="DF735" s="24" t="inlineStr">
        <is>
          <t>1107470:2026-09-30T04:35:00.156099Z</t>
        </is>
      </c>
      <c r="DG735" s="24" t="n"/>
      <c r="DH735" s="24" t="n"/>
      <c r="DI735" s="24" t="n"/>
      <c r="DJ735" s="24" t="inlineStr">
        <is>
          <t>0.6997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"6c67e999d2a03612e30f4032c8e5e77e8becfbc79e05f4c8993e726b90d34d54", "away_team": "Daria Kasatkina", "event_id": "959-2026:184244", "event_start_utc": "2026-10-01T04:30Z", "features": {"elo_p1_surface": 1628.7, "elo_p2_surface": 1729.9, "expected_games_p1": 9.42, "expected_games_p2": 13.28, "expected_total_games": 22.7, "history_matches": 16452, "min_player_matches": 131, "surface": "Hard"}, "historical_source_observation_times_verified": false, "home_team": "Paula Badosa", "inference_inputs": {"code_sha256": {"features/elo_ratings.py": "8525faf022a6343c452286dbfeb17dbb043744c6bdabbe448b6b371216da439b", "models/tennis.py": "6c67e999d2a03612e30f4032c8e5e77e8becfbc79e05f4c8993e726b90d34d54"}, "overall_ratings": [1630.9482251578836, 1742.898462040827], "players": ["Daria Kasatkina", "Paula Badosa"], "sport": "TENNIS", "surface": "Hard", "surface_counts": [106, 104], "surface_ratings": [1628.6903208457495, 1729.9468362413982]}, "market_type": "moneyline", "model_version": "tennis-surface-elo-v1", "observed_at_utc": "2026-09-30T22:04:40.020307+00:00", "probabilities": {"away": 0.3546, "home": 0.6454}, "replay_scope": "Exact full-precision serving state and rounding; upstream historical observation times are not certified.", "schema": "coded-moneyline-replay-v1", "snapshot_hash": "fb0968d4d6a665c3dfb2be1fa0cb1ad4d6f14c3a25873c1ec3ce12cd84b22c68", "sport": "TENNIS"}</t>
        </is>
      </c>
    </row>
    <row r="736" ht="36" customHeight="1">
      <c r="A736" s="24" t="inlineStr">
        <is>
          <t>dd8c282e0d634460</t>
        </is>
      </c>
      <c r="B736" s="24" t="inlineStr">
        <is>
          <t>2026-09-30T22:04:40.840360Z</t>
        </is>
      </c>
      <c r="C736" s="24" t="inlineStr">
        <is>
          <t>2026-10-01T03:00Z</t>
        </is>
      </c>
      <c r="D736" s="24" t="inlineStr">
        <is>
          <t>959-2026:183458</t>
        </is>
      </c>
      <c r="E736" s="24" t="inlineStr">
        <is>
          <t>TENNIS</t>
        </is>
      </c>
      <c r="F736" s="24" t="inlineStr">
        <is>
          <t>Mariano Navone</t>
        </is>
      </c>
      <c r="G736" s="24" t="inlineStr">
        <is>
          <t>Alex de Minaur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-400</v>
      </c>
      <c r="M736" s="27" t="n">
        <v>1.25</v>
      </c>
      <c r="N736" s="28" t="n">
        <v>0.8</v>
      </c>
      <c r="O736" s="28" t="n">
        <v>0.704</v>
      </c>
      <c r="P736" s="28" t="n">
        <v>0.05</v>
      </c>
      <c r="Q736" s="28" t="n">
        <v>-0.096</v>
      </c>
      <c r="R736" s="26" t="n">
        <v>0</v>
      </c>
      <c r="S736" s="29" t="n">
        <v>1</v>
      </c>
      <c r="T736" s="24" t="inlineStr">
        <is>
          <t>tennis-surface-elo-v1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1</v>
      </c>
      <c r="Y736" s="25" t="n"/>
      <c r="Z736" s="26" t="n">
        <v>-400</v>
      </c>
      <c r="AA736" s="28" t="n">
        <v>0.8</v>
      </c>
      <c r="AB736" s="28" t="n">
        <v>0</v>
      </c>
      <c r="AC736" s="30" t="n">
        <v>0.25</v>
      </c>
      <c r="AD736" s="24" t="inlineStr">
        <is>
          <t>2026-10-01T10:00:17.775697Z</t>
        </is>
      </c>
      <c r="AE736" s="31" t="inlineStr">
        <is>
          <t>Surface-blended Elo on Hard: Mariano Navone p=0.296 vs Alex de Minaur. Executable ask 0.8000 (aec-atp-alemin-marnav-2026-09-28).</t>
        </is>
      </c>
      <c r="AF736" s="31" t="inlineStr">
        <is>
          <t>Surface-blended Elo model; singles only, WTA+ATP market coverage, not yet locked-holdout qualified -- promoted by explicit operator directive, not genuine walk-forward validation.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PAPER_CALL_LOW_EDGE</t>
        </is>
      </c>
      <c r="AP736" s="24" t="inlineStr">
        <is>
          <t>Mariano Navone</t>
        </is>
      </c>
      <c r="AQ736" s="24" t="inlineStr">
        <is>
          <t>Mariano Navone</t>
        </is>
      </c>
      <c r="AR736" s="24" t="inlineStr">
        <is>
          <t>Mariano Navone</t>
        </is>
      </c>
      <c r="AS736" s="24" t="inlineStr">
        <is>
          <t>Alex de Minaur</t>
        </is>
      </c>
      <c r="AT736" s="24" t="inlineStr">
        <is>
          <t>Alex de Minaur</t>
        </is>
      </c>
      <c r="AU736" s="24" t="inlineStr">
        <is>
          <t>Alex de Minaur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6c67e999d2a03612e30f4032c8e5e77e8becfbc79e05f4c8993e726b90d34d54</t>
        </is>
      </c>
      <c r="BB736" s="24" t="inlineStr">
        <is>
          <t>surface_blended_elo</t>
        </is>
      </c>
      <c r="BC736" s="24" t="inlineStr">
        <is>
          <t>tennis-surface-elo-v1</t>
        </is>
      </c>
      <c r="BD736" s="24" t="inlineStr">
        <is>
          <t>6c67e999d2a03612e30f4032c8e5e77e8becfbc79e05f4c8993e726b90d34d54</t>
        </is>
      </c>
      <c r="BE736" s="24" t="inlineStr">
        <is>
          <t>tennis-surface-elo-v1</t>
        </is>
      </c>
      <c r="BF736" s="24" t="inlineStr">
        <is>
          <t>1</t>
        </is>
      </c>
      <c r="BG736" s="24" t="inlineStr">
        <is>
          <t>6c67e999d2a03612e30f4032c8e5e77e8becfbc79e05f4c8993e726b90d34d54</t>
        </is>
      </c>
      <c r="BH736" s="24" t="inlineStr">
        <is>
          <t>2026-09-30T16:56:05.385437Z</t>
        </is>
      </c>
      <c r="BI736" s="24" t="inlineStr">
        <is>
          <t>["same_event","same_team_same_day","same_league_same_day"]</t>
        </is>
      </c>
      <c r="BJ736" s="25" t="n"/>
      <c r="BK736" s="26" t="n">
        <v>-400</v>
      </c>
      <c r="BL736" s="27" t="n">
        <v>1.25</v>
      </c>
      <c r="BM736" s="28" t="n">
        <v>0.8</v>
      </c>
      <c r="BN736" s="28" t="n"/>
      <c r="BO736" s="28" t="n"/>
      <c r="BP736" s="25" t="n"/>
      <c r="BQ736" s="27" t="n">
        <v>1.25</v>
      </c>
      <c r="BR736" s="28" t="n">
        <v>0.8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0.25</v>
      </c>
      <c r="BZ736" s="24" t="inlineStr">
        <is>
          <t>2026-10-01T10:00:17.775697Z</t>
        </is>
      </c>
      <c r="CA736" s="31" t="inlineStr">
        <is>
          <t>fixed one-unit hypothetical scoring; no real exposure or execution</t>
        </is>
      </c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False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inlineStr">
        <is>
          <t>dc05bede91effe690666c716fc96637060eb82b8abbd88d60ac7c9e885a4998a</t>
        </is>
      </c>
      <c r="DE736" s="24" t="inlineStr">
        <is>
          <t>/Users/vincentc9002/model-prediction/data/odds/tennis/2026-09-30/polymarket_snapshots.jsonl</t>
        </is>
      </c>
      <c r="DF736" s="24" t="inlineStr">
        <is>
          <t>1106613:2026-09-30T16:56:05.385437Z</t>
        </is>
      </c>
      <c r="DG736" s="24" t="n"/>
      <c r="DH736" s="24" t="n"/>
      <c r="DI736" s="24" t="n"/>
      <c r="DJ736" s="24" t="inlineStr">
        <is>
          <t>0.8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"6c67e999d2a03612e30f4032c8e5e77e8becfbc79e05f4c8993e726b90d34d54", "away_team": "Mariano Navone", "event_id": "959-2026:183458", "event_start_utc": "2026-10-01T03:00Z", "features": {"elo_p1_surface": 1578.1, "elo_p2_surface": 1744.4, "expected_games_p1": 8.13, "expected_games_p2": 13.12, "expected_total_games": 21.25, "history_matches": 11311, "min_player_matches": 137, "surface": "Hard"}, "historical_source_observation_times_verified": false, "home_team": "Alex de Minaur", "inference_inputs": {"code_sha256": {"features/elo_ratings.py": "8525faf022a6343c452286dbfeb17dbb043744c6bdabbe448b6b371216da439b", "models/tennis.py": "6c67e999d2a03612e30f4032c8e5e77e8becfbc79e05f4c8993e726b90d34d54"}, "overall_ratings": [1639.6388478772622, 1746.1815326985816], "players": ["Mariano Navone", "Alex de Minaur"], "sport": "TENNIS", "surface": "Hard", "surface_counts": [97, 127], "surface_ratings": [1578.077864591016, 1744.4457092477196]}, "market_type": "moneyline", "model_version": "tennis-surface-elo-v1", "observed_at_utc": "2026-09-30T22:04:40.020307+00:00", "probabilities": {"away": 0.296, "home": 0.704}, "replay_scope": "Exact full-precision serving state and rounding; upstream historical observation times are not certified.", "schema": "coded-moneyline-replay-v1", "snapshot_hash": "946fb11c03c0db6587bbfed48bf7a9b25f8acf5854ced486b509324fd974bd96", "sport": "TENNIS"}</t>
        </is>
      </c>
    </row>
    <row r="737" ht="36" customHeight="1">
      <c r="A737" s="24" t="inlineStr">
        <is>
          <t>2c16f02e462e44da</t>
        </is>
      </c>
      <c r="B737" s="24" t="inlineStr">
        <is>
          <t>2026-09-30T22:04:40.840360Z</t>
        </is>
      </c>
      <c r="C737" s="24" t="inlineStr">
        <is>
          <t>2026-10-01T04:30Z</t>
        </is>
      </c>
      <c r="D737" s="24" t="inlineStr">
        <is>
          <t>959-2026:183445</t>
        </is>
      </c>
      <c r="E737" s="24" t="inlineStr">
        <is>
          <t>TENNIS</t>
        </is>
      </c>
      <c r="F737" s="24" t="inlineStr">
        <is>
          <t>Quentin Halys</t>
        </is>
      </c>
      <c r="G737" s="24" t="inlineStr">
        <is>
          <t>Ignacio Buse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-122</v>
      </c>
      <c r="M737" s="27" t="n">
        <v>1.819672</v>
      </c>
      <c r="N737" s="28" t="n">
        <v>0.54955</v>
      </c>
      <c r="O737" s="28" t="n">
        <v>0.5248</v>
      </c>
      <c r="P737" s="28" t="n">
        <v>0.05</v>
      </c>
      <c r="Q737" s="28" t="n">
        <v>-0.02475</v>
      </c>
      <c r="R737" s="26" t="n">
        <v>8</v>
      </c>
      <c r="S737" s="29" t="n">
        <v>1</v>
      </c>
      <c r="T737" s="24" t="inlineStr">
        <is>
          <t>tennis-surface-elo-v1</t>
        </is>
      </c>
      <c r="U737" s="24" t="inlineStr">
        <is>
          <t>settled</t>
        </is>
      </c>
      <c r="V737" s="24" t="inlineStr">
        <is>
          <t>win</t>
        </is>
      </c>
      <c r="W737" s="26" t="n">
        <v>1</v>
      </c>
      <c r="X737" s="26" t="n">
        <v>0</v>
      </c>
      <c r="Y737" s="25" t="n"/>
      <c r="Z737" s="26" t="n">
        <v>-122</v>
      </c>
      <c r="AA737" s="28" t="n">
        <v>0.55</v>
      </c>
      <c r="AB737" s="28" t="n">
        <v>0.00045</v>
      </c>
      <c r="AC737" s="30" t="n">
        <v>0.8197</v>
      </c>
      <c r="AD737" s="24" t="inlineStr">
        <is>
          <t>2026-10-01T10:00:18.917491Z</t>
        </is>
      </c>
      <c r="AE737" s="31" t="inlineStr">
        <is>
          <t>Surface-blended Elo on Hard: Quentin Halys p=0.525 vs Ignacio Buse. Executable ask 0.5500 (aec-atp-ignbus-quehal-2026-09-28).</t>
        </is>
      </c>
      <c r="AF737" s="31" t="inlineStr">
        <is>
          <t>Surface-blended Elo model; singles only, WTA+ATP market coverage, not yet locked-holdout qualified -- promoted by explicit operator directive, not genuine walk-forward validation.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Quentin Halys</t>
        </is>
      </c>
      <c r="AQ737" s="24" t="inlineStr">
        <is>
          <t>Quentin Halys</t>
        </is>
      </c>
      <c r="AR737" s="24" t="inlineStr">
        <is>
          <t>Quentin Halys</t>
        </is>
      </c>
      <c r="AS737" s="24" t="inlineStr">
        <is>
          <t>Ignacio Buse</t>
        </is>
      </c>
      <c r="AT737" s="24" t="inlineStr">
        <is>
          <t>Ignacio Buse</t>
        </is>
      </c>
      <c r="AU737" s="24" t="inlineStr">
        <is>
          <t>Ignacio Buse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6c67e999d2a03612e30f4032c8e5e77e8becfbc79e05f4c8993e726b90d34d54</t>
        </is>
      </c>
      <c r="BB737" s="24" t="inlineStr">
        <is>
          <t>surface_blended_elo</t>
        </is>
      </c>
      <c r="BC737" s="24" t="inlineStr">
        <is>
          <t>tennis-surface-elo-v1</t>
        </is>
      </c>
      <c r="BD737" s="24" t="inlineStr">
        <is>
          <t>6c67e999d2a03612e30f4032c8e5e77e8becfbc79e05f4c8993e726b90d34d54</t>
        </is>
      </c>
      <c r="BE737" s="24" t="inlineStr">
        <is>
          <t>tennis-surface-elo-v1</t>
        </is>
      </c>
      <c r="BF737" s="24" t="inlineStr">
        <is>
          <t>1</t>
        </is>
      </c>
      <c r="BG737" s="24" t="inlineStr">
        <is>
          <t>6c67e999d2a03612e30f4032c8e5e77e8becfbc79e05f4c8993e726b90d34d54</t>
        </is>
      </c>
      <c r="BH737" s="24" t="inlineStr">
        <is>
          <t>2026-09-30T10:06:23.068950Z</t>
        </is>
      </c>
      <c r="BI737" s="24" t="inlineStr">
        <is>
          <t>["same_event","same_team_same_day","same_league_same_day"]</t>
        </is>
      </c>
      <c r="BJ737" s="25" t="n"/>
      <c r="BK737" s="26" t="n">
        <v>-122</v>
      </c>
      <c r="BL737" s="27" t="n">
        <v>1.819672</v>
      </c>
      <c r="BM737" s="28" t="n">
        <v>0.54955</v>
      </c>
      <c r="BN737" s="28" t="n"/>
      <c r="BO737" s="28" t="n"/>
      <c r="BP737" s="25" t="n"/>
      <c r="BQ737" s="27" t="n">
        <v>1.819672</v>
      </c>
      <c r="BR737" s="28" t="n">
        <v>0.55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0.819671</v>
      </c>
      <c r="BZ737" s="24" t="inlineStr">
        <is>
          <t>2026-10-01T10:00:18.917491Z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inlineStr">
        <is>
          <t>96af4248d865e6e5985caa8a4a514aaacc11c57d03df27d173b9c1185faf502b</t>
        </is>
      </c>
      <c r="DE737" s="24" t="inlineStr">
        <is>
          <t>/Users/vincentc9002/model-prediction/data/odds/tennis/2026-09-30/polymarket_snapshots.jsonl</t>
        </is>
      </c>
      <c r="DF737" s="24" t="inlineStr">
        <is>
          <t>1106611:2026-09-30T10:06:23.068950Z</t>
        </is>
      </c>
      <c r="DG737" s="24" t="n"/>
      <c r="DH737" s="24" t="n"/>
      <c r="DI737" s="24" t="n"/>
      <c r="DJ737" s="24" t="inlineStr">
        <is>
          <t>0.54955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"6c67e999d2a03612e30f4032c8e5e77e8becfbc79e05f4c8993e726b90d34d54", "away_team": "Quentin Halys", "event_id": "959-2026:183445", "event_start_utc": "2026-10-01T04:30Z", "features": {"elo_p1_surface": 1619.2, "elo_p2_surface": 1583.1, "expected_games_p1": 13.53, "expected_games_p2": 11.66, "expected_total_games": 25.18, "history_matches": 11311, "min_player_matches": 64, "surface": "Hard"}, "historical_source_observation_times_verified": false, "home_team": "Ignacio Buse", "inference_inputs": {"code_sha256": {"features/elo_ratings.py": "8525faf022a6343c452286dbfeb17dbb043744c6bdabbe448b6b371216da439b", "models/tennis.py": "6c67e999d2a03612e30f4032c8e5e77e8becfbc79e05f4c8993e726b90d34d54"}, "overall_ratings": [1634.5913777439334, 1641.0361677454368], "players": ["Quentin Halys", "Ignacio Buse"], "sport": "TENNIS", "surface": "Hard", "surface_counts": [97, 37], "surface_ratings": [1619.1642429692338, 1583.0765501226804]}, "market_type": "moneyline", "model_version": "tennis-surface-elo-v1", "observed_at_utc": "2026-09-30T22:04:40.020307+00:00", "probabilities": {"away": 0.5248, "home": 0.4752}, "replay_scope": "Exact full-precision serving state and rounding; upstream historical observation times are not certified.", "schema": "coded-moneyline-replay-v1", "snapshot_hash": "7765901e2b5e8c3899842a88b8f3b9cbdb09cb7c11e21044501701cef39ab461", "sport": "TENNIS"}</t>
        </is>
      </c>
    </row>
    <row r="738" ht="36" customHeight="1">
      <c r="A738" s="24" t="inlineStr">
        <is>
          <t>a33310240b364bb2</t>
        </is>
      </c>
      <c r="B738" s="24" t="inlineStr">
        <is>
          <t>2026-09-30T22:04:40.840360Z</t>
        </is>
      </c>
      <c r="C738" s="24" t="inlineStr">
        <is>
          <t>2026-10-01T02:00Z</t>
        </is>
      </c>
      <c r="D738" s="24" t="inlineStr">
        <is>
          <t>5-2026:183485</t>
        </is>
      </c>
      <c r="E738" s="24" t="inlineStr">
        <is>
          <t>TENNIS</t>
        </is>
      </c>
      <c r="F738" s="24" t="inlineStr">
        <is>
          <t>Arthur Fery</t>
        </is>
      </c>
      <c r="G738" s="24" t="inlineStr">
        <is>
          <t>Jaime Faria</t>
        </is>
      </c>
      <c r="H738" s="24" t="inlineStr">
        <is>
          <t>moneyline</t>
        </is>
      </c>
      <c r="I738" s="24" t="inlineStr">
        <is>
          <t>away</t>
        </is>
      </c>
      <c r="J738" s="25" t="n"/>
      <c r="K738" s="24" t="inlineStr">
        <is>
          <t>polymarket_us</t>
        </is>
      </c>
      <c r="L738" s="26" t="n">
        <v>104</v>
      </c>
      <c r="M738" s="27" t="n">
        <v>2.04</v>
      </c>
      <c r="N738" s="28" t="n">
        <v>0.490196</v>
      </c>
      <c r="O738" s="28" t="n">
        <v>0.5453</v>
      </c>
      <c r="P738" s="28" t="n">
        <v>0.05</v>
      </c>
      <c r="Q738" s="28" t="n">
        <v>0.055104</v>
      </c>
      <c r="R738" s="26" t="n">
        <v>48</v>
      </c>
      <c r="S738" s="29" t="n">
        <v>1</v>
      </c>
      <c r="T738" s="24" t="inlineStr">
        <is>
          <t>tennis-surface-elo-v1</t>
        </is>
      </c>
      <c r="U738" s="24" t="inlineStr">
        <is>
          <t>settled</t>
        </is>
      </c>
      <c r="V738" s="24" t="inlineStr">
        <is>
          <t>loss</t>
        </is>
      </c>
      <c r="W738" s="26" t="n">
        <v>0</v>
      </c>
      <c r="X738" s="26" t="n">
        <v>1</v>
      </c>
      <c r="Y738" s="25" t="n"/>
      <c r="Z738" s="26" t="n">
        <v>104</v>
      </c>
      <c r="AA738" s="28" t="n">
        <v>0.49</v>
      </c>
      <c r="AB738" s="28" t="n">
        <v>-0.000196</v>
      </c>
      <c r="AC738" s="30" t="n">
        <v>-1</v>
      </c>
      <c r="AD738" s="24" t="inlineStr">
        <is>
          <t>2026-10-01T04:30:28.383540Z</t>
        </is>
      </c>
      <c r="AE738" s="31" t="inlineStr">
        <is>
          <t>Surface-blended Elo on Hard: Arthur Fery p=0.545 vs Jaime Faria. Executable ask 0.4900 (aec-atp-jaifar-artfer-2026-09-30).</t>
        </is>
      </c>
      <c r="AF738" s="31" t="inlineStr">
        <is>
          <t>Surface-blended Elo model; singles only, WTA+ATP market coverage, not yet locked-holdout qualified -- promoted by explicit operator directive, not genuine walk-forward validation.</t>
        </is>
      </c>
      <c r="AG738" s="24" t="inlineStr">
        <is>
          <t>review_required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Arthur Fery</t>
        </is>
      </c>
      <c r="AQ738" s="24" t="inlineStr">
        <is>
          <t>Arthur Fery</t>
        </is>
      </c>
      <c r="AR738" s="24" t="inlineStr">
        <is>
          <t>Arthur Fery</t>
        </is>
      </c>
      <c r="AS738" s="24" t="inlineStr">
        <is>
          <t>Jaime Faria</t>
        </is>
      </c>
      <c r="AT738" s="24" t="inlineStr">
        <is>
          <t>Jaime Faria</t>
        </is>
      </c>
      <c r="AU738" s="24" t="inlineStr">
        <is>
          <t>Jaime Faria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6c67e999d2a03612e30f4032c8e5e77e8becfbc79e05f4c8993e726b90d34d54</t>
        </is>
      </c>
      <c r="BB738" s="24" t="inlineStr">
        <is>
          <t>surface_blended_elo</t>
        </is>
      </c>
      <c r="BC738" s="24" t="inlineStr">
        <is>
          <t>tennis-surface-elo-v1</t>
        </is>
      </c>
      <c r="BD738" s="24" t="inlineStr">
        <is>
          <t>6c67e999d2a03612e30f4032c8e5e77e8becfbc79e05f4c8993e726b90d34d54</t>
        </is>
      </c>
      <c r="BE738" s="24" t="inlineStr">
        <is>
          <t>tennis-surface-elo-v1</t>
        </is>
      </c>
      <c r="BF738" s="24" t="inlineStr">
        <is>
          <t>1</t>
        </is>
      </c>
      <c r="BG738" s="24" t="inlineStr">
        <is>
          <t>6c67e999d2a03612e30f4032c8e5e77e8becfbc79e05f4c8993e726b90d34d54</t>
        </is>
      </c>
      <c r="BH738" s="24" t="inlineStr">
        <is>
          <t>2026-09-30T22:03:48.034046Z</t>
        </is>
      </c>
      <c r="BI738" s="24" t="inlineStr">
        <is>
          <t>["same_event","same_team_same_day","same_league_same_day"]</t>
        </is>
      </c>
      <c r="BJ738" s="25" t="n"/>
      <c r="BK738" s="26" t="n">
        <v>104</v>
      </c>
      <c r="BL738" s="27" t="n">
        <v>2.04</v>
      </c>
      <c r="BM738" s="28" t="n">
        <v>0.490196</v>
      </c>
      <c r="BN738" s="28" t="n"/>
      <c r="BO738" s="28" t="n"/>
      <c r="BP738" s="25" t="n"/>
      <c r="BQ738" s="27" t="n">
        <v>2.04</v>
      </c>
      <c r="BR738" s="28" t="n">
        <v>0.49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inlineStr">
        <is>
          <t>646646b004e710e326d610d394cc27192678c1f5783796cb82fe6e650fd508bf</t>
        </is>
      </c>
      <c r="DE738" s="24" t="inlineStr">
        <is>
          <t>/Users/vincentc9002/model-prediction/data/odds/tennis/2026-09-30/polymarket_snapshots.jsonl</t>
        </is>
      </c>
      <c r="DF738" s="24" t="inlineStr">
        <is>
          <t>1141874:2026-09-30T22:03:48.034046Z</t>
        </is>
      </c>
      <c r="DG738" s="24" t="n"/>
      <c r="DH738" s="24" t="n"/>
      <c r="DI738" s="24" t="n"/>
      <c r="DJ738" s="24" t="inlineStr">
        <is>
          <t>0.490196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"6c67e999d2a03612e30f4032c8e5e77e8becfbc79e05f4c8993e726b90d34d54", "away_team": "Arthur Fery", "event_id": "5-2026:183485", "event_start_utc": "2026-10-01T02:00Z", "features": {"elo_p1_surface": 1614.4, "elo_p2_surface": 1582.5, "expected_games_p1": 13.48, "expected_games_p2": 11.78, "expected_total_games": 25.26, "history_matches": 11311, "min_player_matches": 38, "surface": "Hard"}, "historical_source_observation_times_verified": false, "home_team": "Jaime Faria", "inference_inputs": {"code_sha256": {"features/elo_ratings.py": "8525faf022a6343c452286dbfeb17dbb043744c6bdabbe448b6b371216da439b", "models/tennis.py": "6c67e999d2a03612e30f4032c8e5e77e8becfbc79e05f4c8993e726b90d34d54"}, "overall_ratings": [1669.5953648135828, 1659.3796764662136], "players": ["Arthur Fery", "Jaime Faria"], "sport": "TENNIS", "surface": "Hard", "surface_counts": [24, 50], "surface_ratings": [1614.3624808339305, 1582.493334933869]}, "market_type": "moneyline", "model_version": "tennis-surface-elo-v1", "observed_at_utc": "2026-09-30T22:04:40.020307+00:00", "probabilities": {"away": 0.5453, "home": 0.4547}, "replay_scope": "Exact full-precision serving state and rounding; upstream historical observation times are not certified.", "schema": "coded-moneyline-replay-v1", "snapshot_hash": "626dcbafb3bdd5432dff0255f564582b04c21a90c61f435780ce52d322363faf", "sport": "TENNIS"}</t>
        </is>
      </c>
    </row>
    <row r="739" ht="36" customHeight="1">
      <c r="A739" s="24" t="inlineStr">
        <is>
          <t>fb62bef9d98e4ef2</t>
        </is>
      </c>
      <c r="B739" s="24" t="inlineStr">
        <is>
          <t>2026-09-30T22:04:40.840360Z</t>
        </is>
      </c>
      <c r="C739" s="24" t="inlineStr">
        <is>
          <t>2026-10-01T02:00Z</t>
        </is>
      </c>
      <c r="D739" s="24" t="inlineStr">
        <is>
          <t>5-2026:183486</t>
        </is>
      </c>
      <c r="E739" s="24" t="inlineStr">
        <is>
          <t>TENNIS</t>
        </is>
      </c>
      <c r="F739" s="24" t="inlineStr">
        <is>
          <t>Jaume Munar</t>
        </is>
      </c>
      <c r="G739" s="24" t="inlineStr">
        <is>
          <t>Taylor Fritz</t>
        </is>
      </c>
      <c r="H739" s="24" t="inlineStr">
        <is>
          <t>moneyline</t>
        </is>
      </c>
      <c r="I739" s="24" t="inlineStr">
        <is>
          <t>home</t>
        </is>
      </c>
      <c r="J739" s="25" t="n"/>
      <c r="K739" s="24" t="inlineStr">
        <is>
          <t>polymarket_us</t>
        </is>
      </c>
      <c r="L739" s="26" t="n">
        <v>-426</v>
      </c>
      <c r="M739" s="27" t="n">
        <v>1.234742</v>
      </c>
      <c r="N739" s="28" t="n">
        <v>0.809886</v>
      </c>
      <c r="O739" s="28" t="n">
        <v>0.6669</v>
      </c>
      <c r="P739" s="28" t="n">
        <v>0.05</v>
      </c>
      <c r="Q739" s="28" t="n">
        <v>-0.142986</v>
      </c>
      <c r="R739" s="26" t="n">
        <v>0</v>
      </c>
      <c r="S739" s="29" t="n">
        <v>1</v>
      </c>
      <c r="T739" s="24" t="inlineStr">
        <is>
          <t>tennis-surface-elo-v1</t>
        </is>
      </c>
      <c r="U739" s="24" t="inlineStr">
        <is>
          <t>settled</t>
        </is>
      </c>
      <c r="V739" s="24" t="inlineStr">
        <is>
          <t>loss</t>
        </is>
      </c>
      <c r="W739" s="26" t="n">
        <v>1</v>
      </c>
      <c r="X739" s="26" t="n">
        <v>0</v>
      </c>
      <c r="Y739" s="25" t="n"/>
      <c r="Z739" s="26" t="n">
        <v>-426</v>
      </c>
      <c r="AA739" s="28" t="n">
        <v>0.8100000000000001</v>
      </c>
      <c r="AB739" s="28" t="n">
        <v>0.000114</v>
      </c>
      <c r="AC739" s="30" t="n">
        <v>-1</v>
      </c>
      <c r="AD739" s="24" t="inlineStr">
        <is>
          <t>2026-10-01T10:00:20.056373Z</t>
        </is>
      </c>
      <c r="AE739" s="31" t="inlineStr">
        <is>
          <t>Surface-blended Elo on Hard: Jaume Munar p=0.333 vs Taylor Fritz. Executable ask 0.8100 (aec-atp-tayfri-jaumun-2026-09-29).</t>
        </is>
      </c>
      <c r="AF739" s="31" t="inlineStr">
        <is>
          <t>Surface-blended Elo model; singles only, WTA+ATP market coverage, not yet locked-holdout qualified -- promoted by explicit operator directive, not genuine walk-forward validation.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Jaume Munar</t>
        </is>
      </c>
      <c r="AQ739" s="24" t="inlineStr">
        <is>
          <t>Jaume Munar</t>
        </is>
      </c>
      <c r="AR739" s="24" t="inlineStr">
        <is>
          <t>Jaume Munar</t>
        </is>
      </c>
      <c r="AS739" s="24" t="inlineStr">
        <is>
          <t>Taylor Fritz</t>
        </is>
      </c>
      <c r="AT739" s="24" t="inlineStr">
        <is>
          <t>Taylor Fritz</t>
        </is>
      </c>
      <c r="AU739" s="24" t="inlineStr">
        <is>
          <t>Taylor Fritz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6c67e999d2a03612e30f4032c8e5e77e8becfbc79e05f4c8993e726b90d34d54</t>
        </is>
      </c>
      <c r="BB739" s="24" t="inlineStr">
        <is>
          <t>surface_blended_elo</t>
        </is>
      </c>
      <c r="BC739" s="24" t="inlineStr">
        <is>
          <t>tennis-surface-elo-v1</t>
        </is>
      </c>
      <c r="BD739" s="24" t="inlineStr">
        <is>
          <t>6c67e999d2a03612e30f4032c8e5e77e8becfbc79e05f4c8993e726b90d34d54</t>
        </is>
      </c>
      <c r="BE739" s="24" t="inlineStr">
        <is>
          <t>tennis-surface-elo-v1</t>
        </is>
      </c>
      <c r="BF739" s="24" t="inlineStr">
        <is>
          <t>1</t>
        </is>
      </c>
      <c r="BG739" s="24" t="inlineStr">
        <is>
          <t>6c67e999d2a03612e30f4032c8e5e77e8becfbc79e05f4c8993e726b90d34d54</t>
        </is>
      </c>
      <c r="BH739" s="24" t="inlineStr">
        <is>
          <t>2026-09-30T04:36:29.061395Z</t>
        </is>
      </c>
      <c r="BI739" s="24" t="inlineStr">
        <is>
          <t>["same_event","same_team_same_day","same_league_same_day"]</t>
        </is>
      </c>
      <c r="BJ739" s="25" t="n"/>
      <c r="BK739" s="26" t="n">
        <v>-426</v>
      </c>
      <c r="BL739" s="27" t="n">
        <v>1.234742</v>
      </c>
      <c r="BM739" s="28" t="n">
        <v>0.809886</v>
      </c>
      <c r="BN739" s="28" t="n"/>
      <c r="BO739" s="28" t="n"/>
      <c r="BP739" s="25" t="n"/>
      <c r="BQ739" s="27" t="n">
        <v>1.234742</v>
      </c>
      <c r="BR739" s="28" t="n">
        <v>0.8100000000000001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2026-10-01T10:00:20.056373Z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False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inlineStr">
        <is>
          <t>9fa8a50ab920d5db176f4cf8473b7b96a1bb5061fb8d9cef25d8f3e676f53c17</t>
        </is>
      </c>
      <c r="DE739" s="24" t="inlineStr">
        <is>
          <t>/Users/vincentc9002/model-prediction/data/odds/tennis/2026-09-30/polymarket_snapshots.jsonl</t>
        </is>
      </c>
      <c r="DF739" s="24" t="inlineStr">
        <is>
          <t>1126617:2026-09-30T04:36:29.061395Z</t>
        </is>
      </c>
      <c r="DG739" s="24" t="n"/>
      <c r="DH739" s="24" t="n"/>
      <c r="DI739" s="24" t="n"/>
      <c r="DJ739" s="24" t="inlineStr">
        <is>
          <t>0.809886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"6c67e999d2a03612e30f4032c8e5e77e8becfbc79e05f4c8993e726b90d34d54", "away_team": "Jaume Munar", "event_id": "5-2026:183486", "event_start_utc": "2026-10-01T02:00Z", "features": {"elo_p1_surface": 1643.8, "elo_p2_surface": 1749.1, "expected_games_p1": 10.05, "expected_games_p2": 13.47, "expected_total_games": 23.52, "history_matches": 11311, "min_player_matches": 130, "surface": "Hard"}, "historical_source_observation_times_verified": false, "home_team": "Taylor Fritz", "inference_inputs": {"code_sha256": {"features/elo_ratings.py": "8525faf022a6343c452286dbfeb17dbb043744c6bdabbe448b6b371216da439b", "models/tennis.py": "6c67e999d2a03612e30f4032c8e5e77e8becfbc79e05f4c8993e726b90d34d54"}, "overall_ratings": [1621.6855790766922, 1786.8075539776612], "players": ["Jaume Munar", "Taylor Fritz"], "sport": "TENNIS", "surface": "Hard", "surface_counts": [84, 124], "surface_ratings": [1643.8169089487747, 1749.1356166366859]}, "market_type": "moneyline", "model_version": "tennis-surface-elo-v1", "observed_at_utc": "2026-09-30T22:04:40.020307+00:00", "probabilities": {"away": 0.3331, "home": 0.6669}, "replay_scope": "Exact full-precision serving state and rounding; upstream historical observation times are not certified.", "schema": "coded-moneyline-replay-v1", "snapshot_hash": "8a996d28afed6abf2591632bfd56342b412ec8ddde83d52c8bbadc7549996db9", "sport": "TENNIS"}</t>
        </is>
      </c>
    </row>
    <row r="740" ht="36" customHeight="1">
      <c r="A740" s="24" t="inlineStr">
        <is>
          <t>c754482408e845f3</t>
        </is>
      </c>
      <c r="B740" s="24" t="inlineStr">
        <is>
          <t>2026-09-30T22:04:40.840360Z</t>
        </is>
      </c>
      <c r="C740" s="24" t="inlineStr">
        <is>
          <t>2026-10-01T02:00Z</t>
        </is>
      </c>
      <c r="D740" s="24" t="inlineStr">
        <is>
          <t>5-2026:183492</t>
        </is>
      </c>
      <c r="E740" s="24" t="inlineStr">
        <is>
          <t>TENNIS</t>
        </is>
      </c>
      <c r="F740" s="24" t="inlineStr">
        <is>
          <t>Casper Ruud</t>
        </is>
      </c>
      <c r="G740" s="24" t="inlineStr">
        <is>
          <t>Luciano Darderi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polymarket_us</t>
        </is>
      </c>
      <c r="L740" s="26" t="n">
        <v>203</v>
      </c>
      <c r="M740" s="27" t="n">
        <v>3.03</v>
      </c>
      <c r="N740" s="28" t="n">
        <v>0.330033</v>
      </c>
      <c r="O740" s="28" t="n">
        <v>0.5247000000000001</v>
      </c>
      <c r="P740" s="28" t="n">
        <v>0.05</v>
      </c>
      <c r="Q740" s="28" t="n">
        <v>0.194667</v>
      </c>
      <c r="R740" s="26" t="n">
        <v>100</v>
      </c>
      <c r="S740" s="29" t="n">
        <v>2</v>
      </c>
      <c r="T740" s="24" t="inlineStr">
        <is>
          <t>tennis-surface-elo-v1</t>
        </is>
      </c>
      <c r="U740" s="24" t="inlineStr">
        <is>
          <t>settled</t>
        </is>
      </c>
      <c r="V740" s="24" t="inlineStr">
        <is>
          <t>win</t>
        </is>
      </c>
      <c r="W740" s="26" t="n">
        <v>0</v>
      </c>
      <c r="X740" s="26" t="n">
        <v>1</v>
      </c>
      <c r="Y740" s="25" t="n"/>
      <c r="Z740" s="26" t="n">
        <v>203</v>
      </c>
      <c r="AA740" s="28" t="n">
        <v>0.33</v>
      </c>
      <c r="AB740" s="28" t="n">
        <v>-3.3e-05</v>
      </c>
      <c r="AC740" s="30" t="n">
        <v>4.06</v>
      </c>
      <c r="AD740" s="24" t="inlineStr">
        <is>
          <t>2026-10-01T04:30:29.621173Z</t>
        </is>
      </c>
      <c r="AE740" s="31" t="inlineStr">
        <is>
          <t>Surface-blended Elo on Hard: Casper Ruud p=0.475 vs Luciano Darderi. Executable ask 0.3300 (aec-atp-lucdar-casruu-2026-09-28).</t>
        </is>
      </c>
      <c r="AF740" s="31" t="inlineStr">
        <is>
          <t>Surface-blended Elo model; singles only, WTA+ATP market coverage, not yet locked-holdout qualified -- promoted by explicit operator directive, not genuine walk-forward validation.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Casper Ruud</t>
        </is>
      </c>
      <c r="AQ740" s="24" t="inlineStr">
        <is>
          <t>Casper Ruud</t>
        </is>
      </c>
      <c r="AR740" s="24" t="inlineStr">
        <is>
          <t>Casper Ruud</t>
        </is>
      </c>
      <c r="AS740" s="24" t="inlineStr">
        <is>
          <t>Luciano Darderi</t>
        </is>
      </c>
      <c r="AT740" s="24" t="inlineStr">
        <is>
          <t>Luciano Darderi</t>
        </is>
      </c>
      <c r="AU740" s="24" t="inlineStr">
        <is>
          <t>Luciano Darderi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6c67e999d2a03612e30f4032c8e5e77e8becfbc79e05f4c8993e726b90d34d54</t>
        </is>
      </c>
      <c r="BB740" s="24" t="inlineStr">
        <is>
          <t>surface_blended_elo</t>
        </is>
      </c>
      <c r="BC740" s="24" t="inlineStr">
        <is>
          <t>tennis-surface-elo-v1</t>
        </is>
      </c>
      <c r="BD740" s="24" t="inlineStr">
        <is>
          <t>6c67e999d2a03612e30f4032c8e5e77e8becfbc79e05f4c8993e726b90d34d54</t>
        </is>
      </c>
      <c r="BE740" s="24" t="inlineStr">
        <is>
          <t>tennis-surface-elo-v1</t>
        </is>
      </c>
      <c r="BF740" s="24" t="inlineStr">
        <is>
          <t>1</t>
        </is>
      </c>
      <c r="BG740" s="24" t="inlineStr">
        <is>
          <t>6c67e999d2a03612e30f4032c8e5e77e8becfbc79e05f4c8993e726b90d34d54</t>
        </is>
      </c>
      <c r="BH740" s="24" t="inlineStr">
        <is>
          <t>2026-09-30T04:36:40.230091Z</t>
        </is>
      </c>
      <c r="BI740" s="24" t="inlineStr">
        <is>
          <t>["same_event","same_team_same_day","same_league_same_day"]</t>
        </is>
      </c>
      <c r="BJ740" s="25" t="n"/>
      <c r="BK740" s="26" t="n">
        <v>203</v>
      </c>
      <c r="BL740" s="27" t="n">
        <v>3.03</v>
      </c>
      <c r="BM740" s="28" t="n">
        <v>0.330033</v>
      </c>
      <c r="BN740" s="28" t="n"/>
      <c r="BO740" s="28" t="n"/>
      <c r="BP740" s="25" t="n"/>
      <c r="BQ740" s="27" t="n">
        <v>3.03</v>
      </c>
      <c r="BR740" s="28" t="n">
        <v>0.33</v>
      </c>
      <c r="BS740" s="28" t="n"/>
      <c r="BT740" s="28" t="n"/>
      <c r="BU740" s="25" t="n"/>
      <c r="BV740" s="29" t="n"/>
      <c r="BW740" s="24" t="n"/>
      <c r="BX740" s="30" t="n">
        <v>1</v>
      </c>
      <c r="BY740" s="27" t="n">
        <v>2.03</v>
      </c>
      <c r="BZ740" s="24" t="inlineStr">
        <is>
          <t>2026-10-01T04:30:29.621173Z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inlineStr">
        <is>
          <t>9486a4166f9093ec5eb4699bd772d33a4c557c6505bf52752d4dfa81adb34388</t>
        </is>
      </c>
      <c r="DE740" s="24" t="inlineStr">
        <is>
          <t>/Users/vincentc9002/model-prediction/data/odds/tennis/2026-09-30/polymarket_snapshots.jsonl</t>
        </is>
      </c>
      <c r="DF740" s="24" t="inlineStr">
        <is>
          <t>1105294:2026-09-30T04:36:40.230091Z</t>
        </is>
      </c>
      <c r="DG740" s="24" t="n"/>
      <c r="DH740" s="24" t="n"/>
      <c r="DI740" s="24" t="n"/>
      <c r="DJ740" s="24" t="inlineStr">
        <is>
          <t>0.330033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"6c67e999d2a03612e30f4032c8e5e77e8becfbc79e05f4c8993e726b90d34d54", "away_team": "Casper Ruud", "event_id": "5-2026:183492", "event_start_utc": "2026-10-01T02:00Z", "features": {"elo_p1_surface": 1611.4, "elo_p2_surface": 1649.0, "expected_games_p1": 12.13, "expected_games_p2": 13.2, "expected_total_games": 25.33, "history_matches": 11311, "min_player_matches": 161, "surface": "Hard"}, "historical_source_observation_times_verified": false, "home_team": "Luciano Darderi", "inference_inputs": {"code_sha256": {"features/elo_ratings.py": "8525faf022a6343c452286dbfeb17dbb043744c6bdabbe448b6b371216da439b", "models/tennis.py": "6c67e999d2a03612e30f4032c8e5e77e8becfbc79e05f4c8993e726b90d34d54"}, "overall_ratings": [1730.118352942698, 1695.7561924044892], "players": ["Casper Ruud", "Luciano Darderi"], "sport": "TENNIS", "surface": "Hard", "surface_counts": [89, 107], "surface_ratings": [1611.3693859775349, 1649.0375864531911]}, "market_type": "moneyline", "model_version": "tennis-surface-elo-v1", "observed_at_utc": "2026-09-30T22:04:40.020307+00:00", "probabilities": {"away": 0.4753, "home": 0.5247}, "replay_scope": "Exact full-precision serving state and rounding; upstream historical observation times are not certified.", "schema": "coded-moneyline-replay-v1", "snapshot_hash": "8ef16bdc9839de0b4c655be0241046bacd4c2bf34321237aa1efc3c239785aa6", "sport": "TENNIS"}</t>
        </is>
      </c>
    </row>
    <row r="741" ht="36" customHeight="1">
      <c r="A741" s="24" t="inlineStr">
        <is>
          <t>467fabc5ef9643b8</t>
        </is>
      </c>
      <c r="B741" s="24" t="inlineStr">
        <is>
          <t>2026-10-01T04:39:44.984346Z</t>
        </is>
      </c>
      <c r="C741" s="24" t="inlineStr">
        <is>
          <t>2026-10-01T07:30Z</t>
        </is>
      </c>
      <c r="D741" s="24" t="inlineStr">
        <is>
          <t>959-2026:184292</t>
        </is>
      </c>
      <c r="E741" s="24" t="inlineStr">
        <is>
          <t>TENNIS</t>
        </is>
      </c>
      <c r="F741" s="24" t="inlineStr">
        <is>
          <t>Kamilla Rakhimova</t>
        </is>
      </c>
      <c r="G741" s="24" t="inlineStr">
        <is>
          <t>Marina Bassols Ribera</t>
        </is>
      </c>
      <c r="H741" s="24" t="inlineStr">
        <is>
          <t>moneyline</t>
        </is>
      </c>
      <c r="I741" s="24" t="inlineStr">
        <is>
          <t>away</t>
        </is>
      </c>
      <c r="J741" s="25" t="n"/>
      <c r="K741" s="24" t="inlineStr">
        <is>
          <t>polymarket_us</t>
        </is>
      </c>
      <c r="L741" s="26" t="n">
        <v>-270</v>
      </c>
      <c r="M741" s="27" t="n">
        <v>1.37037</v>
      </c>
      <c r="N741" s="28" t="n">
        <v>0.72973</v>
      </c>
      <c r="O741" s="28" t="n">
        <v>0.6268</v>
      </c>
      <c r="P741" s="28" t="n">
        <v>0.05</v>
      </c>
      <c r="Q741" s="28" t="n">
        <v>-0.10293</v>
      </c>
      <c r="R741" s="26" t="n">
        <v>0</v>
      </c>
      <c r="S741" s="29" t="n">
        <v>1</v>
      </c>
      <c r="T741" s="24" t="inlineStr">
        <is>
          <t>tennis-surface-elo-v1</t>
        </is>
      </c>
      <c r="U741" s="24" t="inlineStr">
        <is>
          <t>settled</t>
        </is>
      </c>
      <c r="V741" s="24" t="inlineStr">
        <is>
          <t>win</t>
        </is>
      </c>
      <c r="W741" s="26" t="n">
        <v>1</v>
      </c>
      <c r="X741" s="26" t="n">
        <v>0</v>
      </c>
      <c r="Y741" s="25" t="n"/>
      <c r="Z741" s="26" t="n">
        <v>-270</v>
      </c>
      <c r="AA741" s="28" t="n">
        <v>0.73</v>
      </c>
      <c r="AB741" s="28" t="n">
        <v>0.00027</v>
      </c>
      <c r="AC741" s="30" t="n">
        <v>0.3704</v>
      </c>
      <c r="AD741" s="24" t="inlineStr">
        <is>
          <t>2026-10-01T10:00:21.192768Z</t>
        </is>
      </c>
      <c r="AE741" s="31" t="inlineStr">
        <is>
          <t>Surface-blended Elo on Hard: Kamilla Rakhimova p=0.627 vs Marina Bassols Ribera. Executable ask 0.7300 (aec-wta-marrib-kamrak-2026-09-29).</t>
        </is>
      </c>
      <c r="AF741" s="31" t="inlineStr">
        <is>
          <t>Surface-blended Elo model; singles only, WTA+ATP market coverage, not yet locked-holdout qualified -- promoted by explicit operator directive, not genuine walk-forward validation.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PAPER_CALL_LOW_EDGE</t>
        </is>
      </c>
      <c r="AP741" s="24" t="inlineStr">
        <is>
          <t>Kamilla Rakhimova</t>
        </is>
      </c>
      <c r="AQ741" s="24" t="inlineStr">
        <is>
          <t>Kamilla Rakhimova</t>
        </is>
      </c>
      <c r="AR741" s="24" t="inlineStr">
        <is>
          <t>Kamilla Rakhimova</t>
        </is>
      </c>
      <c r="AS741" s="24" t="inlineStr">
        <is>
          <t>Marina Bassols Ribera</t>
        </is>
      </c>
      <c r="AT741" s="24" t="inlineStr">
        <is>
          <t>Marina Bassols Ribera</t>
        </is>
      </c>
      <c r="AU741" s="24" t="inlineStr">
        <is>
          <t>Marina Bassols Ribera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6c67e999d2a03612e30f4032c8e5e77e8becfbc79e05f4c8993e726b90d34d54</t>
        </is>
      </c>
      <c r="BB741" s="24" t="inlineStr">
        <is>
          <t>surface_blended_elo</t>
        </is>
      </c>
      <c r="BC741" s="24" t="inlineStr">
        <is>
          <t>tennis-surface-elo-v1</t>
        </is>
      </c>
      <c r="BD741" s="24" t="inlineStr">
        <is>
          <t>6c67e999d2a03612e30f4032c8e5e77e8becfbc79e05f4c8993e726b90d34d54</t>
        </is>
      </c>
      <c r="BE741" s="24" t="inlineStr">
        <is>
          <t>tennis-surface-elo-v1</t>
        </is>
      </c>
      <c r="BF741" s="24" t="inlineStr">
        <is>
          <t>1</t>
        </is>
      </c>
      <c r="BG741" s="24" t="inlineStr">
        <is>
          <t>6c67e999d2a03612e30f4032c8e5e77e8becfbc79e05f4c8993e726b90d34d54</t>
        </is>
      </c>
      <c r="BH741" s="24" t="inlineStr">
        <is>
          <t>2026-10-01T04:36:11.897842Z</t>
        </is>
      </c>
      <c r="BI741" s="24" t="inlineStr">
        <is>
          <t>["same_event","same_team_same_day","same_league_same_day"]</t>
        </is>
      </c>
      <c r="BJ741" s="25" t="n"/>
      <c r="BK741" s="26" t="n">
        <v>-270</v>
      </c>
      <c r="BL741" s="27" t="n">
        <v>1.37037</v>
      </c>
      <c r="BM741" s="28" t="n">
        <v>0.72973</v>
      </c>
      <c r="BN741" s="28" t="n"/>
      <c r="BO741" s="28" t="n"/>
      <c r="BP741" s="25" t="n"/>
      <c r="BQ741" s="27" t="n">
        <v>1.37037</v>
      </c>
      <c r="BR741" s="28" t="n">
        <v>0.73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0.37037</v>
      </c>
      <c r="BZ741" s="24" t="inlineStr">
        <is>
          <t>2026-10-01T10:00:21.192768Z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False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inlineStr">
        <is>
          <t>7cb63ed997f1fc642130376b4538147e20f2c6430f33ec830af5a0b7cc96c3ea</t>
        </is>
      </c>
      <c r="DE741" s="24" t="inlineStr">
        <is>
          <t>/Users/vincentc9002/model-prediction/data/odds/tennis/2026-10-01/polymarket_snapshots.jsonl</t>
        </is>
      </c>
      <c r="DF741" s="24" t="inlineStr">
        <is>
          <t>1127158:2026-10-01T04:36:11.897842Z</t>
        </is>
      </c>
      <c r="DG741" s="24" t="n"/>
      <c r="DH741" s="24" t="n"/>
      <c r="DI741" s="24" t="n"/>
      <c r="DJ741" s="24" t="inlineStr">
        <is>
          <t>0.72973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"6c67e999d2a03612e30f4032c8e5e77e8becfbc79e05f4c8993e726b90d34d54", "away_team": "Kamilla Rakhimova", "event_id": "959-2026:184292", "event_start_utc": "2026-10-01T07:30Z", "features": {"elo_p1_surface": 1622.1, "elo_p2_surface": 1516.0, "expected_games_p1": 13.42, "expected_games_p2": 8.79, "expected_total_games": 22.21, "history_matches": 16479, "min_player_matches": 82, "surface": "Hard"}, "historical_source_observation_times_verified": false, "home_team": "Marina Bassols Ribera", "inference_inputs": {"code_sha256": {"features/elo_ratings.py": "8525faf022a6343c452286dbfeb17dbb043744c6bdabbe448b6b371216da439b", "models/tennis.py": "6c67e999d2a03612e30f4032c8e5e77e8becfbc79e05f4c8993e726b90d34d54"}, "overall_ratings": [1631.9337995482274, 1573.975598626627], "players": ["Kamilla Rakhimova", "Marina Bassols Ribera"], "sport": "TENNIS", "surface": "Hard", "surface_counts": [152, 62], "surface_ratings": [1622.1112068498694, 1515.9880738356026]}, "market_type": "moneyline", "model_version": "tennis-surface-elo-v1", "observed_at_utc": "2026-10-01T04:39:44.091070+00:00", "probabilities": {"away": 0.6268, "home": 0.3732}, "replay_scope": "Exact full-precision serving state and rounding; upstream historical observation times are not certified.", "schema": "coded-moneyline-replay-v1", "snapshot_hash": "09691de7d82e03ed01586a1bfe81526211414d336697d6c9d3d6423097803c2b", "sport": "TENNIS"}</t>
        </is>
      </c>
    </row>
    <row r="742" ht="36" customHeight="1">
      <c r="A742" s="24" t="inlineStr">
        <is>
          <t>38cb8086851b4103</t>
        </is>
      </c>
      <c r="B742" s="24" t="inlineStr">
        <is>
          <t>2026-10-01T10:09:47.462658Z</t>
        </is>
      </c>
      <c r="C742" s="24" t="inlineStr">
        <is>
          <t>2026-10-01T10:20Z</t>
        </is>
      </c>
      <c r="D742" s="24" t="inlineStr">
        <is>
          <t>959-2026:184232</t>
        </is>
      </c>
      <c r="E742" s="24" t="inlineStr">
        <is>
          <t>TENNIS</t>
        </is>
      </c>
      <c r="F742" s="24" t="inlineStr">
        <is>
          <t>Camila Osorio</t>
        </is>
      </c>
      <c r="G742" s="24" t="inlineStr">
        <is>
          <t>Lanlana Tararudee</t>
        </is>
      </c>
      <c r="H742" s="24" t="inlineStr">
        <is>
          <t>moneyline</t>
        </is>
      </c>
      <c r="I742" s="24" t="inlineStr">
        <is>
          <t>home</t>
        </is>
      </c>
      <c r="J742" s="25" t="n"/>
      <c r="K742" s="24" t="inlineStr">
        <is>
          <t>polymarket_us</t>
        </is>
      </c>
      <c r="L742" s="26" t="n">
        <v>-108</v>
      </c>
      <c r="M742" s="27" t="n">
        <v>1.925926</v>
      </c>
      <c r="N742" s="28" t="n">
        <v>0.519231</v>
      </c>
      <c r="O742" s="28" t="n">
        <v>0.5758</v>
      </c>
      <c r="P742" s="28" t="n">
        <v>0.05</v>
      </c>
      <c r="Q742" s="28" t="n">
        <v>0.056569</v>
      </c>
      <c r="R742" s="26" t="n">
        <v>48</v>
      </c>
      <c r="S742" s="29" t="n">
        <v>1</v>
      </c>
      <c r="T742" s="24" t="inlineStr">
        <is>
          <t>tennis-surface-elo-v1</t>
        </is>
      </c>
      <c r="U742" s="24" t="inlineStr">
        <is>
          <t>settled</t>
        </is>
      </c>
      <c r="V742" s="24" t="inlineStr">
        <is>
          <t>loss</t>
        </is>
      </c>
      <c r="W742" s="26" t="n">
        <v>1</v>
      </c>
      <c r="X742" s="26" t="n">
        <v>0</v>
      </c>
      <c r="Y742" s="25" t="n"/>
      <c r="Z742" s="26" t="n">
        <v>-108</v>
      </c>
      <c r="AA742" s="28" t="n">
        <v>0.52</v>
      </c>
      <c r="AB742" s="28" t="n">
        <v>0.000769</v>
      </c>
      <c r="AC742" s="30" t="n">
        <v>-1</v>
      </c>
      <c r="AD742" s="24" t="inlineStr">
        <is>
          <t>2026-10-01T16:00:14.715212Z</t>
        </is>
      </c>
      <c r="AE742" s="31" t="inlineStr">
        <is>
          <t>Surface-blended Elo on Hard: Camila Osorio p=0.424 vs Lanlana Tararudee. Executable ask 0.5200 (aec-wta-lantar-camoso-2026-09-28).</t>
        </is>
      </c>
      <c r="AF742" s="31" t="inlineStr">
        <is>
          <t>Surface-blended Elo model; singles only, WTA+ATP market coverage, not yet locked-holdout qualified -- promoted by explicit operator directive, not genuine walk-forward validation.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Camila Osorio</t>
        </is>
      </c>
      <c r="AQ742" s="24" t="inlineStr">
        <is>
          <t>Camila Osorio</t>
        </is>
      </c>
      <c r="AR742" s="24" t="inlineStr">
        <is>
          <t>Camila Osorio</t>
        </is>
      </c>
      <c r="AS742" s="24" t="inlineStr">
        <is>
          <t>Lanlana Tararudee</t>
        </is>
      </c>
      <c r="AT742" s="24" t="inlineStr">
        <is>
          <t>Lanlana Tararudee</t>
        </is>
      </c>
      <c r="AU742" s="24" t="inlineStr">
        <is>
          <t>Lanlana Tararudee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6c67e999d2a03612e30f4032c8e5e77e8becfbc79e05f4c8993e726b90d34d54</t>
        </is>
      </c>
      <c r="BB742" s="24" t="inlineStr">
        <is>
          <t>surface_blended_elo</t>
        </is>
      </c>
      <c r="BC742" s="24" t="inlineStr">
        <is>
          <t>tennis-surface-elo-v1</t>
        </is>
      </c>
      <c r="BD742" s="24" t="inlineStr">
        <is>
          <t>6c67e999d2a03612e30f4032c8e5e77e8becfbc79e05f4c8993e726b90d34d54</t>
        </is>
      </c>
      <c r="BE742" s="24" t="inlineStr">
        <is>
          <t>tennis-surface-elo-v1</t>
        </is>
      </c>
      <c r="BF742" s="24" t="inlineStr">
        <is>
          <t>1</t>
        </is>
      </c>
      <c r="BG742" s="24" t="inlineStr">
        <is>
          <t>6c67e999d2a03612e30f4032c8e5e77e8becfbc79e05f4c8993e726b90d34d54</t>
        </is>
      </c>
      <c r="BH742" s="24" t="inlineStr">
        <is>
          <t>2026-10-01T10:06:29.126215Z</t>
        </is>
      </c>
      <c r="BI742" s="24" t="inlineStr">
        <is>
          <t>["same_event","same_team_same_day","same_league_same_day"]</t>
        </is>
      </c>
      <c r="BJ742" s="25" t="n"/>
      <c r="BK742" s="26" t="n">
        <v>-108</v>
      </c>
      <c r="BL742" s="27" t="n">
        <v>1.925926</v>
      </c>
      <c r="BM742" s="28" t="n">
        <v>0.519231</v>
      </c>
      <c r="BN742" s="28" t="n"/>
      <c r="BO742" s="28" t="n"/>
      <c r="BP742" s="25" t="n"/>
      <c r="BQ742" s="27" t="n">
        <v>1.925926</v>
      </c>
      <c r="BR742" s="28" t="n">
        <v>0.52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inlineStr">
        <is>
          <t>6998e7b17a66aa900ac59bfb443df442ce2f5d93c55b1069ff7103abd7289f98</t>
        </is>
      </c>
      <c r="DE742" s="24" t="inlineStr">
        <is>
          <t>/Users/vincentc9002/model-prediction/data/odds/tennis/2026-10-01/polymarket_snapshots.jsonl</t>
        </is>
      </c>
      <c r="DF742" s="24" t="inlineStr">
        <is>
          <t>1107472:2026-10-01T10:06:29.126215Z</t>
        </is>
      </c>
      <c r="DG742" s="24" t="n"/>
      <c r="DH742" s="24" t="n"/>
      <c r="DI742" s="24" t="n"/>
      <c r="DJ742" s="24" t="inlineStr">
        <is>
          <t>0.519231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"6c67e999d2a03612e30f4032c8e5e77e8becfbc79e05f4c8993e726b90d34d54", "away_team": "Camila Osorio", "event_id": "959-2026:184232", "event_start_utc": "2026-10-01T10:20Z", "features": {"elo_p1_surface": 1638.1, "elo_p2_surface": 1696.1, "expected_games_p1": 10.92, "expected_games_p2": 13.15, "expected_total_games": 24.07, "history_matches": 16479, "min_player_matches": 90, "surface": "Hard"}, "historical_source_observation_times_verified": false, "home_team": "Lanlana Tararudee", "inference_inputs": {"code_sha256": {"features/elo_ratings.py": "8525faf022a6343c452286dbfeb17dbb043744c6bdabbe448b6b371216da439b", "models/tennis.py": "6c67e999d2a03612e30f4032c8e5e77e8becfbc79e05f4c8993e726b90d34d54"}, "overall_ratings": [1637.8495399062929, 1678.6876301596753], "players": ["Camila Osorio", "Lanlana Tararudee"], "sport": "TENNIS", "surface": "Hard", "surface_counts": [108, 78], "surface_ratings": [1638.1213101239657, 1696.112803965635]}, "market_type": "moneyline", "model_version": "tennis-surface-elo-v1", "observed_at_utc": "2026-10-01T10:09:46.212195+00:00", "probabilities": {"away": 0.4242, "home": 0.5758}, "replay_scope": "Exact full-precision serving state and rounding; upstream historical observation times are not certified.", "schema": "coded-moneyline-replay-v1", "snapshot_hash": "0b710d704be6a4edb9da5ccce2416302d40670d512faa47d13e24a47f7b99a5e", "sport": "TENNIS"}</t>
        </is>
      </c>
    </row>
    <row r="743" ht="36" customHeight="1">
      <c r="A743" s="24" t="inlineStr">
        <is>
          <t>1c9f9be9e2c84096</t>
        </is>
      </c>
      <c r="B743" s="24" t="inlineStr">
        <is>
          <t>2026-10-01T10:09:47.462658Z</t>
        </is>
      </c>
      <c r="C743" s="24" t="inlineStr">
        <is>
          <t>2026-10-01T11:00Z</t>
        </is>
      </c>
      <c r="D743" s="24" t="inlineStr">
        <is>
          <t>959-2026:183438</t>
        </is>
      </c>
      <c r="E743" s="24" t="inlineStr">
        <is>
          <t>TENNIS</t>
        </is>
      </c>
      <c r="F743" s="24" t="inlineStr">
        <is>
          <t>Hubert Hurkacz</t>
        </is>
      </c>
      <c r="G743" s="24" t="inlineStr">
        <is>
          <t>Learner Tien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polymarket_us</t>
        </is>
      </c>
      <c r="L743" s="26" t="n">
        <v>-163</v>
      </c>
      <c r="M743" s="27" t="n">
        <v>1.613497</v>
      </c>
      <c r="N743" s="28" t="n">
        <v>0.619772</v>
      </c>
      <c r="O743" s="28" t="n">
        <v>0.6682</v>
      </c>
      <c r="P743" s="28" t="n">
        <v>0.05</v>
      </c>
      <c r="Q743" s="28" t="n">
        <v>0.048428</v>
      </c>
      <c r="R743" s="26" t="n">
        <v>44</v>
      </c>
      <c r="S743" s="29" t="n">
        <v>1</v>
      </c>
      <c r="T743" s="24" t="inlineStr">
        <is>
          <t>tennis-surface-elo-v1</t>
        </is>
      </c>
      <c r="U743" s="24" t="inlineStr">
        <is>
          <t>settled</t>
        </is>
      </c>
      <c r="V743" s="24" t="inlineStr">
        <is>
          <t>loss</t>
        </is>
      </c>
      <c r="W743" s="26" t="n">
        <v>1</v>
      </c>
      <c r="X743" s="26" t="n">
        <v>0</v>
      </c>
      <c r="Y743" s="25" t="n"/>
      <c r="Z743" s="26" t="n">
        <v>-163</v>
      </c>
      <c r="AA743" s="28" t="n">
        <v>0.62</v>
      </c>
      <c r="AB743" s="28" t="n">
        <v>0.000228</v>
      </c>
      <c r="AC743" s="30" t="n">
        <v>-1</v>
      </c>
      <c r="AD743" s="24" t="inlineStr">
        <is>
          <t>2026-10-01T16:00:15.919270Z</t>
        </is>
      </c>
      <c r="AE743" s="31" t="inlineStr">
        <is>
          <t>Surface-blended Elo on Hard: Hubert Hurkacz p=0.332 vs Learner Tien. Executable ask 0.6200 (aec-atp-leatie-hubhur-2026-09-28).</t>
        </is>
      </c>
      <c r="AF743" s="31" t="inlineStr">
        <is>
          <t>Surface-blended Elo model; singles only, WTA+ATP market coverage, not yet locked-holdout qualified -- promoted by explicit operator directive, not genuine walk-forward validation.</t>
        </is>
      </c>
      <c r="AG743" s="24" t="inlineStr">
        <is>
          <t>review_required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PAPER_CALL_LOW_EDGE</t>
        </is>
      </c>
      <c r="AP743" s="24" t="inlineStr">
        <is>
          <t>Hubert Hurkacz</t>
        </is>
      </c>
      <c r="AQ743" s="24" t="inlineStr">
        <is>
          <t>Hubert Hurkacz</t>
        </is>
      </c>
      <c r="AR743" s="24" t="inlineStr">
        <is>
          <t>Hubert Hurkacz</t>
        </is>
      </c>
      <c r="AS743" s="24" t="inlineStr">
        <is>
          <t>Learner Tien</t>
        </is>
      </c>
      <c r="AT743" s="24" t="inlineStr">
        <is>
          <t>Learner Tien</t>
        </is>
      </c>
      <c r="AU743" s="24" t="inlineStr">
        <is>
          <t>Learner Tien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6c67e999d2a03612e30f4032c8e5e77e8becfbc79e05f4c8993e726b90d34d54</t>
        </is>
      </c>
      <c r="BB743" s="24" t="inlineStr">
        <is>
          <t>surface_blended_elo</t>
        </is>
      </c>
      <c r="BC743" s="24" t="inlineStr">
        <is>
          <t>tennis-surface-elo-v1</t>
        </is>
      </c>
      <c r="BD743" s="24" t="inlineStr">
        <is>
          <t>6c67e999d2a03612e30f4032c8e5e77e8becfbc79e05f4c8993e726b90d34d54</t>
        </is>
      </c>
      <c r="BE743" s="24" t="inlineStr">
        <is>
          <t>tennis-surface-elo-v1</t>
        </is>
      </c>
      <c r="BF743" s="24" t="inlineStr">
        <is>
          <t>1</t>
        </is>
      </c>
      <c r="BG743" s="24" t="inlineStr">
        <is>
          <t>6c67e999d2a03612e30f4032c8e5e77e8becfbc79e05f4c8993e726b90d34d54</t>
        </is>
      </c>
      <c r="BH743" s="24" t="inlineStr">
        <is>
          <t>2026-10-01T10:07:02.011216Z</t>
        </is>
      </c>
      <c r="BI743" s="24" t="inlineStr">
        <is>
          <t>["same_event","same_team_same_day","same_league_same_day"]</t>
        </is>
      </c>
      <c r="BJ743" s="25" t="n"/>
      <c r="BK743" s="26" t="n">
        <v>-163</v>
      </c>
      <c r="BL743" s="27" t="n">
        <v>1.613497</v>
      </c>
      <c r="BM743" s="28" t="n">
        <v>0.619772</v>
      </c>
      <c r="BN743" s="28" t="n"/>
      <c r="BO743" s="28" t="n"/>
      <c r="BP743" s="25" t="n"/>
      <c r="BQ743" s="27" t="n">
        <v>1.613497</v>
      </c>
      <c r="BR743" s="28" t="n">
        <v>0.62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-1</v>
      </c>
      <c r="BZ743" s="24" t="inlineStr">
        <is>
          <t>2026-10-01T16:00:15.919270Z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inlineStr">
        <is>
          <t>e87aca1a0864ecaf9e3190d711d12f50aded0f8bd955dc2344b1499069b7fc9d</t>
        </is>
      </c>
      <c r="DE743" s="24" t="inlineStr">
        <is>
          <t>/Users/vincentc9002/model-prediction/data/odds/tennis/2026-10-01/polymarket_snapshots.jsonl</t>
        </is>
      </c>
      <c r="DF743" s="24" t="inlineStr">
        <is>
          <t>1106602:2026-10-01T10:07:02.011216Z</t>
        </is>
      </c>
      <c r="DG743" s="24" t="n"/>
      <c r="DH743" s="24" t="n"/>
      <c r="DI743" s="24" t="n"/>
      <c r="DJ743" s="24" t="inlineStr">
        <is>
          <t>0.619772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"6c67e999d2a03612e30f4032c8e5e77e8becfbc79e05f4c8993e726b90d34d54", "away_team": "Hubert Hurkacz", "event_id": "959-2026:183438", "event_start_utc": "2026-10-01T11:00Z", "features": {"elo_p1_surface": 1619.3, "elo_p2_surface": 1761.8, "expected_games_p1": 8.85, "expected_games_p2": 13.29, "expected_total_games": 22.15, "history_matches": 11322, "min_player_matches": 108, "surface": "Hard"}, "historical_source_observation_times_verified": false, "home_team": "Learner Tien", "inference_inputs": {"code_sha256": {"features/elo_ratings.py": "8525faf022a6343c452286dbfeb17dbb043744c6bdabbe448b6b371216da439b", "models/tennis.py": "6c67e999d2a03612e30f4032c8e5e77e8becfbc79e05f4c8993e726b90d34d54"}, "overall_ratings": [1697.22760498312, 1778.1775804859772], "players": ["Hubert Hurkacz", "Learner Tien"], "sport": "TENNIS", "surface": "Hard", "surface_counts": [58, 97], "surface_ratings": [1619.2568731589743, 1761.8457074961836]}, "market_type": "moneyline", "model_version": "tennis-surface-elo-v1", "observed_at_utc": "2026-10-01T10:09:46.212195+00:00", "probabilities": {"away": 0.3318, "home": 0.6682}, "replay_scope": "Exact full-precision serving state and rounding; upstream historical observation times are not certified.", "schema": "coded-moneyline-replay-v1", "snapshot_hash": "b81080825dea0c562e6e1ad27ef7d8929d4551941d3c30cae6bc375380c918b1", "sport": "TENNIS"}</t>
        </is>
      </c>
    </row>
    <row r="744" ht="36" customHeight="1">
      <c r="A744" s="24" t="inlineStr">
        <is>
          <t>2e7354af61734186</t>
        </is>
      </c>
      <c r="B744" s="24" t="inlineStr">
        <is>
          <t>2026-10-01T22:06:47.003722Z</t>
        </is>
      </c>
      <c r="C744" s="24" t="inlineStr">
        <is>
          <t>2026-10-02T03:00Z</t>
        </is>
      </c>
      <c r="D744" s="24" t="inlineStr">
        <is>
          <t>1028-2026:184196</t>
        </is>
      </c>
      <c r="E744" s="24" t="inlineStr">
        <is>
          <t>TENNIS</t>
        </is>
      </c>
      <c r="F744" s="24" t="inlineStr">
        <is>
          <t>Emerson Jones</t>
        </is>
      </c>
      <c r="G744" s="24" t="inlineStr">
        <is>
          <t>Kyoka Okamura</t>
        </is>
      </c>
      <c r="H744" s="24" t="inlineStr">
        <is>
          <t>moneyline</t>
        </is>
      </c>
      <c r="I744" s="24" t="inlineStr">
        <is>
          <t>home</t>
        </is>
      </c>
      <c r="J744" s="25" t="n"/>
      <c r="K744" s="24" t="inlineStr">
        <is>
          <t>polymarket_us</t>
        </is>
      </c>
      <c r="L744" s="26" t="n">
        <v>376</v>
      </c>
      <c r="M744" s="27" t="n">
        <v>4.76</v>
      </c>
      <c r="N744" s="28" t="n">
        <v>0.210084</v>
      </c>
      <c r="O744" s="28" t="n">
        <v>0.5085</v>
      </c>
      <c r="P744" s="28" t="n">
        <v>0.05</v>
      </c>
      <c r="Q744" s="28" t="n">
        <v>0.298416</v>
      </c>
      <c r="R744" s="26" t="n">
        <v>100</v>
      </c>
      <c r="S744" s="29" t="n">
        <v>2</v>
      </c>
      <c r="T744" s="24" t="inlineStr">
        <is>
          <t>tennis-surface-elo-v1</t>
        </is>
      </c>
      <c r="U744" s="24" t="inlineStr">
        <is>
          <t>settled</t>
        </is>
      </c>
      <c r="V744" s="24" t="inlineStr">
        <is>
          <t>loss</t>
        </is>
      </c>
      <c r="W744" s="26" t="n">
        <v>1</v>
      </c>
      <c r="X744" s="26" t="n">
        <v>0</v>
      </c>
      <c r="Y744" s="25" t="n"/>
      <c r="Z744" s="26" t="n">
        <v>376</v>
      </c>
      <c r="AA744" s="28" t="n">
        <v>0.21</v>
      </c>
      <c r="AB744" s="28" t="n">
        <v>-8.4e-05</v>
      </c>
      <c r="AC744" s="30" t="n">
        <v>-2</v>
      </c>
      <c r="AD744" s="24" t="inlineStr">
        <is>
          <t>2026-10-02T10:00:15.261655Z</t>
        </is>
      </c>
      <c r="AE744" s="31" t="inlineStr">
        <is>
          <t>Surface-blended Elo on Hard: Emerson Jones p=0.491 vs Kyoka Okamura. Executable ask 0.2100 (aec-wta-kyooka-emejon-2026-10-01).</t>
        </is>
      </c>
      <c r="AF744" s="31" t="inlineStr">
        <is>
          <t>Surface-blended Elo model; singles only, WTA+ATP market coverage, not yet locked-holdout qualified -- promoted by explicit operator directive, not genuine walk-forward validation.</t>
        </is>
      </c>
      <c r="AG744" s="24" t="inlineStr">
        <is>
          <t>review_required</t>
        </is>
      </c>
      <c r="AH744" s="24" t="n"/>
      <c r="AI744" s="31" t="n"/>
      <c r="AJ744" s="31" t="n"/>
      <c r="AK744" s="24" t="inlineStr">
        <is>
          <t>paper_call</t>
        </is>
      </c>
      <c r="AL744" s="26" t="n">
        <v>4</v>
      </c>
      <c r="AM744" s="24" t="inlineStr">
        <is>
          <t>RESEARCH_OBSERVATION</t>
        </is>
      </c>
      <c r="AN744" s="24" t="inlineStr">
        <is>
          <t>CALL</t>
        </is>
      </c>
      <c r="AO744" s="24" t="inlineStr">
        <is>
          <t>PAPER_CALL_LOW_EDGE</t>
        </is>
      </c>
      <c r="AP744" s="24" t="inlineStr">
        <is>
          <t>Emerson Jones</t>
        </is>
      </c>
      <c r="AQ744" s="24" t="inlineStr">
        <is>
          <t>Emerson Jones</t>
        </is>
      </c>
      <c r="AR744" s="24" t="inlineStr">
        <is>
          <t>Emerson Jones</t>
        </is>
      </c>
      <c r="AS744" s="24" t="inlineStr">
        <is>
          <t>Kyoka Okamura</t>
        </is>
      </c>
      <c r="AT744" s="24" t="inlineStr">
        <is>
          <t>Kyoka Okamura</t>
        </is>
      </c>
      <c r="AU744" s="24" t="inlineStr">
        <is>
          <t>Kyoka Okamura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6c67e999d2a03612e30f4032c8e5e77e8becfbc79e05f4c8993e726b90d34d54</t>
        </is>
      </c>
      <c r="BB744" s="24" t="inlineStr">
        <is>
          <t>surface_blended_elo</t>
        </is>
      </c>
      <c r="BC744" s="24" t="inlineStr">
        <is>
          <t>tennis-surface-elo-v1</t>
        </is>
      </c>
      <c r="BD744" s="24" t="inlineStr">
        <is>
          <t>6c67e999d2a03612e30f4032c8e5e77e8becfbc79e05f4c8993e726b90d34d54</t>
        </is>
      </c>
      <c r="BE744" s="24" t="inlineStr">
        <is>
          <t>tennis-surface-elo-v1</t>
        </is>
      </c>
      <c r="BF744" s="24" t="inlineStr">
        <is>
          <t>1</t>
        </is>
      </c>
      <c r="BG744" s="24" t="inlineStr">
        <is>
          <t>6c67e999d2a03612e30f4032c8e5e77e8becfbc79e05f4c8993e726b90d34d54</t>
        </is>
      </c>
      <c r="BH744" s="24" t="inlineStr">
        <is>
          <t>2026-10-01T22:05:51.053145Z</t>
        </is>
      </c>
      <c r="BI744" s="24" t="inlineStr">
        <is>
          <t>["same_event","same_team_same_day","same_league_same_day"]</t>
        </is>
      </c>
      <c r="BJ744" s="25" t="n"/>
      <c r="BK744" s="26" t="n">
        <v>376</v>
      </c>
      <c r="BL744" s="27" t="n">
        <v>4.76</v>
      </c>
      <c r="BM744" s="28" t="n">
        <v>0.210084</v>
      </c>
      <c r="BN744" s="28" t="n"/>
      <c r="BO744" s="28" t="n"/>
      <c r="BP744" s="25" t="n"/>
      <c r="BQ744" s="27" t="n">
        <v>4.76</v>
      </c>
      <c r="BR744" s="28" t="n">
        <v>0.21</v>
      </c>
      <c r="BS744" s="28" t="n"/>
      <c r="BT744" s="28" t="n"/>
      <c r="BU744" s="25" t="n"/>
      <c r="BV744" s="29" t="n"/>
      <c r="BW744" s="24" t="n"/>
      <c r="BX744" s="30" t="n">
        <v>1</v>
      </c>
      <c r="BY744" s="27" t="n">
        <v>-1</v>
      </c>
      <c r="BZ744" s="24" t="inlineStr">
        <is>
          <t>2026-10-02T10:00:15.261655Z</t>
        </is>
      </c>
      <c r="CA744" s="31" t="inlineStr">
        <is>
          <t>fixed one-unit hypothetical scoring; no real exposure or execution</t>
        </is>
      </c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inlineStr">
        <is>
          <t>a0f5a47a4e4ee56f8d4c6adc81678219911e2010324dacb184319058fb5d5155</t>
        </is>
      </c>
      <c r="DE744" s="24" t="inlineStr">
        <is>
          <t>/Users/vincentc9002/model-prediction/data/odds/tennis/2026-10-01/polymarket_snapshots.jsonl</t>
        </is>
      </c>
      <c r="DF744" s="24" t="inlineStr">
        <is>
          <t>1155198:2026-10-01T22:05:51.053145Z</t>
        </is>
      </c>
      <c r="DG744" s="24" t="n"/>
      <c r="DH744" s="24" t="n"/>
      <c r="DI744" s="24" t="n"/>
      <c r="DJ744" s="24" t="inlineStr">
        <is>
          <t>0.210084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"6c67e999d2a03612e30f4032c8e5e77e8becfbc79e05f4c8993e726b90d34d54", "away_team": "Emerson Jones", "event_id": "1028-2026:184196", "event_start_utc": "2026-10-02T03:00Z", "features": {"elo_p1_surface": 1511.8, "elo_p2_surface": 1521.3, "expected_games_p1": 12.34, "expected_games_p2": 12.44, "expected_total_games": 24.78, "history_matches": 16479, "min_player_matches": 35,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[1508.1473495850478, 1507.000238911501], "players": ["Emerson Jones", "Kyoka Okamura"], "sport": "TENNIS", "surface": "Hard", "surface_counts": [28, 45], "surface_ratings": [1511.8033731885434, 1521.2554382285248]}, "market_type": "moneyline", "model_version": "tennis-surface-elo-v1", "observed_at_utc": "2026-10-01T22:06:45.383901+00:00", "probabilities": {"away": 0.4915, "home": 0.5085}, "replay_scope": "Exact full-precision serving state and rounding; upstream historical observation times are not certified.", "schema": "coded-moneyline-replay-v1", "snapshot_hash": "96c815773973b5d675243ef4a8291f08f9ab2c4bfe86eb5e149048f978f9558a", "sport": "TENNIS"}</t>
        </is>
      </c>
    </row>
    <row r="745" ht="36" customHeight="1">
      <c r="A745" s="24" t="inlineStr">
        <is>
          <t>cabc9717c11843f4</t>
        </is>
      </c>
      <c r="B745" s="24" t="inlineStr">
        <is>
          <t>2026-10-01T22:06:47.003722Z</t>
        </is>
      </c>
      <c r="C745" s="24" t="inlineStr">
        <is>
          <t>2026-10-02T03:00Z</t>
        </is>
      </c>
      <c r="D745" s="24" t="inlineStr">
        <is>
          <t>959-2026:184300</t>
        </is>
      </c>
      <c r="E745" s="24" t="inlineStr">
        <is>
          <t>TENNIS</t>
        </is>
      </c>
      <c r="F745" s="24" t="inlineStr">
        <is>
          <t>Diana Shnaider</t>
        </is>
      </c>
      <c r="G745" s="24" t="inlineStr">
        <is>
          <t>Janice Tjen</t>
        </is>
      </c>
      <c r="H745" s="24" t="inlineStr">
        <is>
          <t>moneyline</t>
        </is>
      </c>
      <c r="I745" s="24" t="inlineStr">
        <is>
          <t>away</t>
        </is>
      </c>
      <c r="J745" s="25" t="n"/>
      <c r="K745" s="24" t="inlineStr">
        <is>
          <t>polymarket_us</t>
        </is>
      </c>
      <c r="L745" s="26" t="n">
        <v>-270</v>
      </c>
      <c r="M745" s="27" t="n">
        <v>1.37037</v>
      </c>
      <c r="N745" s="28" t="n">
        <v>0.72973</v>
      </c>
      <c r="O745" s="28" t="n">
        <v>0.7242</v>
      </c>
      <c r="P745" s="28" t="n">
        <v>0.05</v>
      </c>
      <c r="Q745" s="28" t="n">
        <v>-0.00553</v>
      </c>
      <c r="R745" s="26" t="n">
        <v>17</v>
      </c>
      <c r="S745" s="29" t="n">
        <v>1</v>
      </c>
      <c r="T745" s="24" t="inlineStr">
        <is>
          <t>tennis-surface-elo-v1</t>
        </is>
      </c>
      <c r="U745" s="24" t="inlineStr">
        <is>
          <t>settled</t>
        </is>
      </c>
      <c r="V745" s="24" t="inlineStr">
        <is>
          <t>win</t>
        </is>
      </c>
      <c r="W745" s="26" t="n">
        <v>1</v>
      </c>
      <c r="X745" s="26" t="n">
        <v>0</v>
      </c>
      <c r="Y745" s="25" t="n"/>
      <c r="Z745" s="26" t="n">
        <v>-270</v>
      </c>
      <c r="AA745" s="28" t="n">
        <v>0.73</v>
      </c>
      <c r="AB745" s="28" t="n">
        <v>0.00027</v>
      </c>
      <c r="AC745" s="30" t="n">
        <v>0.3704</v>
      </c>
      <c r="AD745" s="24" t="inlineStr">
        <is>
          <t>2026-10-02T04:30:21.067047Z</t>
        </is>
      </c>
      <c r="AE745" s="31" t="inlineStr">
        <is>
          <t>Surface-blended Elo on Hard: Diana Shnaider p=0.724 vs Janice Tjen. Executable ask 0.7300 (aec-wta-jantje-diashn-2026-10-01).</t>
        </is>
      </c>
      <c r="AF745" s="31" t="inlineStr">
        <is>
          <t>Surface-blended Elo model; singles only, WTA+ATP market coverage, not yet locked-holdout qualified -- promoted by explicit operator directive, not genuine walk-forward validation.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Diana Shnaider</t>
        </is>
      </c>
      <c r="AQ745" s="24" t="inlineStr">
        <is>
          <t>Diana Shnaider</t>
        </is>
      </c>
      <c r="AR745" s="24" t="inlineStr">
        <is>
          <t>Diana Shnaider</t>
        </is>
      </c>
      <c r="AS745" s="24" t="inlineStr">
        <is>
          <t>Janice Tjen</t>
        </is>
      </c>
      <c r="AT745" s="24" t="inlineStr">
        <is>
          <t>Janice Tjen</t>
        </is>
      </c>
      <c r="AU745" s="24" t="inlineStr">
        <is>
          <t>Janice Tjen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6c67e999d2a03612e30f4032c8e5e77e8becfbc79e05f4c8993e726b90d34d54</t>
        </is>
      </c>
      <c r="BB745" s="24" t="inlineStr">
        <is>
          <t>surface_blended_elo</t>
        </is>
      </c>
      <c r="BC745" s="24" t="inlineStr">
        <is>
          <t>tennis-surface-elo-v1</t>
        </is>
      </c>
      <c r="BD745" s="24" t="inlineStr">
        <is>
          <t>6c67e999d2a03612e30f4032c8e5e77e8becfbc79e05f4c8993e726b90d34d54</t>
        </is>
      </c>
      <c r="BE745" s="24" t="inlineStr">
        <is>
          <t>tennis-surface-elo-v1</t>
        </is>
      </c>
      <c r="BF745" s="24" t="inlineStr">
        <is>
          <t>1</t>
        </is>
      </c>
      <c r="BG745" s="24" t="inlineStr">
        <is>
          <t>6c67e999d2a03612e30f4032c8e5e77e8becfbc79e05f4c8993e726b90d34d54</t>
        </is>
      </c>
      <c r="BH745" s="24" t="inlineStr">
        <is>
          <t>2026-10-01T22:06:03.936471Z</t>
        </is>
      </c>
      <c r="BI745" s="24" t="inlineStr">
        <is>
          <t>["same_event","same_team_same_day","same_league_same_day"]</t>
        </is>
      </c>
      <c r="BJ745" s="25" t="n"/>
      <c r="BK745" s="26" t="n">
        <v>-270</v>
      </c>
      <c r="BL745" s="27" t="n">
        <v>1.37037</v>
      </c>
      <c r="BM745" s="28" t="n">
        <v>0.72973</v>
      </c>
      <c r="BN745" s="28" t="n"/>
      <c r="BO745" s="28" t="n"/>
      <c r="BP745" s="25" t="n"/>
      <c r="BQ745" s="27" t="n">
        <v>1.37037</v>
      </c>
      <c r="BR745" s="28" t="n">
        <v>0.73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0.37037</v>
      </c>
      <c r="BZ745" s="24" t="inlineStr">
        <is>
          <t>2026-10-02T04:30:21.067047Z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False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inlineStr">
        <is>
          <t>1643c8bcae8795fb6f7e4d790015a427881943165a8cd8803bcb3f3cf5ed9005</t>
        </is>
      </c>
      <c r="DE745" s="24" t="inlineStr">
        <is>
          <t>/Users/vincentc9002/model-prediction/data/odds/tennis/2026-10-01/polymarket_snapshots.jsonl</t>
        </is>
      </c>
      <c r="DF745" s="24" t="inlineStr">
        <is>
          <t>1142989:2026-10-01T22:06:03.936471Z</t>
        </is>
      </c>
      <c r="DG745" s="24" t="n"/>
      <c r="DH745" s="24" t="n"/>
      <c r="DI745" s="24" t="n"/>
      <c r="DJ745" s="24" t="inlineStr">
        <is>
          <t>0.72973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"6c67e999d2a03612e30f4032c8e5e77e8becfbc79e05f4c8993e726b90d34d54", "away_team": "Diana Shnaider", "event_id": "959-2026:184300", "event_start_utc": "2026-10-02T03:00Z", "features": {"elo_p1_surface": 1758.1, "elo_p2_surface": 1606.3, "expected_games_p1": 13.14, "expected_games_p2": 7.24, "expected_total_games": 20.38, "history_matches": 16479, "min_player_matches": 64, "surface": "Hard"}, "historical_source_observation_times_verified": false, "home_team": "Janice Tjen", "inference_inputs": {"code_sha256": {"features/elo_ratings.py": "8525faf022a6343c452286dbfeb17dbb043744c6bdabbe448b6b371216da439b", "models/tennis.py": "6c67e999d2a03612e30f4032c8e5e77e8becfbc79e05f4c8993e726b90d34d54"}, "overall_ratings": [1802.1449949563475, 1589.2636249084396], "players": ["Diana Shnaider", "Janice Tjen"], "sport": "TENNIS", "surface": "Hard", "surface_counts": [139, 54], "surface_ratings": [1758.0611108242606, 1606.334667489744]}, "market_type": "moneyline", "model_version": "tennis-surface-elo-v1", "observed_at_utc": "2026-10-01T22:06:45.383901+00:00", "probabilities": {"away": 0.7242, "home": 0.2758}, "replay_scope": "Exact full-precision serving state and rounding; upstream historical observation times are not certified.", "schema": "coded-moneyline-replay-v1", "snapshot_hash": "2f6b63dadfbccef0285eee09fd5d07caf680c917a4d92a555267ddde747456f4", "sport": "TENNIS"}</t>
        </is>
      </c>
    </row>
    <row r="746" ht="36" customHeight="1">
      <c r="A746" s="24" t="inlineStr">
        <is>
          <t>9b98e28058454561</t>
        </is>
      </c>
      <c r="B746" s="24" t="inlineStr">
        <is>
          <t>2026-10-01T22:06:47.003722Z</t>
        </is>
      </c>
      <c r="C746" s="24" t="inlineStr">
        <is>
          <t>2026-10-02T03:00Z</t>
        </is>
      </c>
      <c r="D746" s="24" t="inlineStr">
        <is>
          <t>959-2026:184303</t>
        </is>
      </c>
      <c r="E746" s="24" t="inlineStr">
        <is>
          <t>TENNIS</t>
        </is>
      </c>
      <c r="F746" s="24" t="inlineStr">
        <is>
          <t>Mirra Andreeva</t>
        </is>
      </c>
      <c r="G746" s="24" t="inlineStr">
        <is>
          <t>Yuan Yue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polymarket_us</t>
        </is>
      </c>
      <c r="L746" s="26" t="n">
        <v>-1329</v>
      </c>
      <c r="M746" s="27" t="n">
        <v>1.075245</v>
      </c>
      <c r="N746" s="28" t="n">
        <v>0.930021</v>
      </c>
      <c r="O746" s="28" t="n">
        <v>0.8481</v>
      </c>
      <c r="P746" s="28" t="n">
        <v>0.05</v>
      </c>
      <c r="Q746" s="28" t="n">
        <v>-0.08192099999999999</v>
      </c>
      <c r="R746" s="26" t="n">
        <v>0</v>
      </c>
      <c r="S746" s="29" t="n">
        <v>1</v>
      </c>
      <c r="T746" s="24" t="inlineStr">
        <is>
          <t>tennis-surface-elo-v1</t>
        </is>
      </c>
      <c r="U746" s="24" t="inlineStr">
        <is>
          <t>settled</t>
        </is>
      </c>
      <c r="V746" s="24" t="inlineStr">
        <is>
          <t>win</t>
        </is>
      </c>
      <c r="W746" s="26" t="n">
        <v>1</v>
      </c>
      <c r="X746" s="26" t="n">
        <v>0</v>
      </c>
      <c r="Y746" s="25" t="n"/>
      <c r="Z746" s="26" t="n">
        <v>-1329</v>
      </c>
      <c r="AA746" s="28" t="n">
        <v>0.93</v>
      </c>
      <c r="AB746" s="28" t="n">
        <v>-2.1e-05</v>
      </c>
      <c r="AC746" s="30" t="n">
        <v>0.0752</v>
      </c>
      <c r="AD746" s="24" t="inlineStr">
        <is>
          <t>2026-10-02T10:00:16.381013Z</t>
        </is>
      </c>
      <c r="AE746" s="31" t="inlineStr">
        <is>
          <t>Surface-blended Elo on Hard: Mirra Andreeva p=0.848 vs Yuan Yue. Executable ask 0.9300 (aec-wta-yueyua-mirand-2026-10-01).</t>
        </is>
      </c>
      <c r="AF746" s="31" t="inlineStr">
        <is>
          <t>Surface-blended Elo model; singles only, WTA+ATP market coverage, not yet locked-holdout qualified -- promoted by explicit operator directive, not genuine walk-forward validation.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paper_call</t>
        </is>
      </c>
      <c r="AL746" s="26" t="n">
        <v>4</v>
      </c>
      <c r="AM746" s="24" t="inlineStr">
        <is>
          <t>RESEARCH_OBSERVATION</t>
        </is>
      </c>
      <c r="AN746" s="24" t="inlineStr">
        <is>
          <t>CALL</t>
        </is>
      </c>
      <c r="AO746" s="24" t="inlineStr">
        <is>
          <t>PAPER_CALL_LOW_EDGE</t>
        </is>
      </c>
      <c r="AP746" s="24" t="inlineStr">
        <is>
          <t>Mirra Andreeva</t>
        </is>
      </c>
      <c r="AQ746" s="24" t="inlineStr">
        <is>
          <t>Mirra Andreeva</t>
        </is>
      </c>
      <c r="AR746" s="24" t="inlineStr">
        <is>
          <t>Mirra Andreeva</t>
        </is>
      </c>
      <c r="AS746" s="24" t="inlineStr">
        <is>
          <t>Yuan Yue</t>
        </is>
      </c>
      <c r="AT746" s="24" t="inlineStr">
        <is>
          <t>Yuan Yue</t>
        </is>
      </c>
      <c r="AU746" s="24" t="inlineStr">
        <is>
          <t>Yuan Yue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6c67e999d2a03612e30f4032c8e5e77e8becfbc79e05f4c8993e726b90d34d54</t>
        </is>
      </c>
      <c r="BB746" s="24" t="inlineStr">
        <is>
          <t>surface_blended_elo</t>
        </is>
      </c>
      <c r="BC746" s="24" t="inlineStr">
        <is>
          <t>tennis-surface-elo-v1</t>
        </is>
      </c>
      <c r="BD746" s="24" t="inlineStr">
        <is>
          <t>6c67e999d2a03612e30f4032c8e5e77e8becfbc79e05f4c8993e726b90d34d54</t>
        </is>
      </c>
      <c r="BE746" s="24" t="inlineStr">
        <is>
          <t>tennis-surface-elo-v1</t>
        </is>
      </c>
      <c r="BF746" s="24" t="inlineStr">
        <is>
          <t>1</t>
        </is>
      </c>
      <c r="BG746" s="24" t="inlineStr">
        <is>
          <t>6c67e999d2a03612e30f4032c8e5e77e8becfbc79e05f4c8993e726b90d34d54</t>
        </is>
      </c>
      <c r="BH746" s="24" t="inlineStr">
        <is>
          <t>2026-10-01T16:06:06.093576Z</t>
        </is>
      </c>
      <c r="BI746" s="24" t="inlineStr">
        <is>
          <t>["same_event","same_team_same_day","same_league_same_day"]</t>
        </is>
      </c>
      <c r="BJ746" s="25" t="n"/>
      <c r="BK746" s="26" t="n">
        <v>-1329</v>
      </c>
      <c r="BL746" s="27" t="n">
        <v>1.075245</v>
      </c>
      <c r="BM746" s="28" t="n">
        <v>0.930021</v>
      </c>
      <c r="BN746" s="28" t="n"/>
      <c r="BO746" s="28" t="n"/>
      <c r="BP746" s="25" t="n"/>
      <c r="BQ746" s="27" t="n">
        <v>1.075245</v>
      </c>
      <c r="BR746" s="28" t="n">
        <v>0.93</v>
      </c>
      <c r="BS746" s="28" t="n"/>
      <c r="BT746" s="28" t="n"/>
      <c r="BU746" s="25" t="n"/>
      <c r="BV746" s="29" t="n"/>
      <c r="BW746" s="24" t="n"/>
      <c r="BX746" s="30" t="n">
        <v>1</v>
      </c>
      <c r="BY746" s="27" t="n">
        <v>0.07524500000000001</v>
      </c>
      <c r="BZ746" s="24" t="inlineStr">
        <is>
          <t>2026-10-02T10:00:16.381013Z</t>
        </is>
      </c>
      <c r="CA746" s="31" t="inlineStr">
        <is>
          <t>fixed one-unit hypothetical scoring; no real exposure or execution</t>
        </is>
      </c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False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inlineStr">
        <is>
          <t>896073f99d082222fb6c5af7885abd926c91cfbf1e6a21e94cf3bcead34b90a7</t>
        </is>
      </c>
      <c r="DE746" s="24" t="inlineStr">
        <is>
          <t>/Users/vincentc9002/model-prediction/data/odds/tennis/2026-10-01/polymarket_snapshots.jsonl</t>
        </is>
      </c>
      <c r="DF746" s="24" t="inlineStr">
        <is>
          <t>1144292:2026-10-01T16:06:06.093576Z</t>
        </is>
      </c>
      <c r="DG746" s="24" t="n"/>
      <c r="DH746" s="24" t="n"/>
      <c r="DI746" s="24" t="n"/>
      <c r="DJ746" s="24" t="inlineStr">
        <is>
          <t>0.930021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"6c67e999d2a03612e30f4032c8e5e77e8becfbc79e05f4c8993e726b90d34d54", "away_team": "Mirra Andreeva", "event_id": "959-2026:184303", "event_start_utc": "2026-10-02T03:00Z", "features": {"elo_p1_surface": 1818.3, "elo_p2_surface": 1546.3, "expected_games_p1": 12.32, "expected_games_p2": 4.25, "expected_total_games": 16.57, "history_matches": 16479, "min_player_matches": 143, "surface": "Hard"}, "historical_source_observation_times_verified": false, "home_team": "Yuan Yue", "inference_inputs": {"code_sha256": {"features/elo_ratings.py": "8525faf022a6343c452286dbfeb17dbb043744c6bdabbe448b6b371216da439b", "models/tennis.py": "6c67e999d2a03612e30f4032c8e5e77e8becfbc79e05f4c8993e726b90d34d54"}, "overall_ratings": [1890.993966534324, 1509.4951219992129], "players": ["Mirra Andreeva", "Yuan Yue"], "sport": "TENNIS", "surface": "Hard", "surface_counts": [117, 124], "surface_ratings": [1818.3373915397729, 1546.3475202365846]}, "market_type": "moneyline", "model_version": "tennis-surface-elo-v1", "observed_at_utc": "2026-10-01T22:06:45.383901+00:00", "probabilities": {"away": 0.8481, "home": 0.1519}, "replay_scope": "Exact full-precision serving state and rounding; upstream historical observation times are not certified.", "schema": "coded-moneyline-replay-v1", "snapshot_hash": "34c09c2e45dc1361c2de15b8ea04a24cedc8525bfd54a418cbc39dff309daf3f", "sport": "TENNIS"}</t>
        </is>
      </c>
    </row>
    <row r="747" ht="36" customHeight="1">
      <c r="A747" s="24" t="inlineStr">
        <is>
          <t>7d8ab00f9b8a486b</t>
        </is>
      </c>
      <c r="B747" s="24" t="inlineStr">
        <is>
          <t>2026-10-01T22:06:47.003722Z</t>
        </is>
      </c>
      <c r="C747" s="24" t="inlineStr">
        <is>
          <t>2026-10-02T03:00Z</t>
        </is>
      </c>
      <c r="D747" s="24" t="inlineStr">
        <is>
          <t>959-2026:184308</t>
        </is>
      </c>
      <c r="E747" s="24" t="inlineStr">
        <is>
          <t>TENNIS</t>
        </is>
      </c>
      <c r="F747" s="24" t="inlineStr">
        <is>
          <t>Liudmila Samsonova</t>
        </is>
      </c>
      <c r="G747" s="24" t="inlineStr">
        <is>
          <t>Linda Fruhvirtova</t>
        </is>
      </c>
      <c r="H747" s="24" t="inlineStr">
        <is>
          <t>moneyline</t>
        </is>
      </c>
      <c r="I747" s="24" t="inlineStr">
        <is>
          <t>away</t>
        </is>
      </c>
      <c r="J747" s="25" t="n"/>
      <c r="K747" s="24" t="inlineStr">
        <is>
          <t>polymarket_us</t>
        </is>
      </c>
      <c r="L747" s="26" t="n">
        <v>-355</v>
      </c>
      <c r="M747" s="27" t="n">
        <v>1.28169</v>
      </c>
      <c r="N747" s="28" t="n">
        <v>0.78022</v>
      </c>
      <c r="O747" s="28" t="n">
        <v>0.6866</v>
      </c>
      <c r="P747" s="28" t="n">
        <v>0.05</v>
      </c>
      <c r="Q747" s="28" t="n">
        <v>-0.09361999999999999</v>
      </c>
      <c r="R747" s="26" t="n">
        <v>0</v>
      </c>
      <c r="S747" s="29" t="n">
        <v>1</v>
      </c>
      <c r="T747" s="24" t="inlineStr">
        <is>
          <t>tennis-surface-elo-v1</t>
        </is>
      </c>
      <c r="U747" s="24" t="inlineStr">
        <is>
          <t>settled</t>
        </is>
      </c>
      <c r="V747" s="24" t="inlineStr">
        <is>
          <t>win</t>
        </is>
      </c>
      <c r="W747" s="26" t="n">
        <v>1</v>
      </c>
      <c r="X747" s="26" t="n">
        <v>0</v>
      </c>
      <c r="Y747" s="25" t="n"/>
      <c r="Z747" s="26" t="n">
        <v>-355</v>
      </c>
      <c r="AA747" s="28" t="n">
        <v>0.78</v>
      </c>
      <c r="AB747" s="28" t="n">
        <v>-0.00022</v>
      </c>
      <c r="AC747" s="30" t="n">
        <v>0.2817</v>
      </c>
      <c r="AD747" s="24" t="inlineStr">
        <is>
          <t>2026-10-02T10:00:17.497164Z</t>
        </is>
      </c>
      <c r="AE747" s="31" t="inlineStr">
        <is>
          <t>Surface-blended Elo on Hard: Liudmila Samsonova p=0.687 vs Linda Fruhvirtova. Executable ask 0.7800 (aec-wta-linfru-liusam-2026-10-01).</t>
        </is>
      </c>
      <c r="AF747" s="31" t="inlineStr">
        <is>
          <t>Surface-blended Elo model; singles only, WTA+ATP market coverage, not yet locked-holdout qualified -- promoted by explicit operator directive, not genuine walk-forward validation.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PAPER_CALL_LOW_EDGE</t>
        </is>
      </c>
      <c r="AP747" s="24" t="inlineStr">
        <is>
          <t>Liudmila Samsonova</t>
        </is>
      </c>
      <c r="AQ747" s="24" t="inlineStr">
        <is>
          <t>Liudmila Samsonova</t>
        </is>
      </c>
      <c r="AR747" s="24" t="inlineStr">
        <is>
          <t>Liudmila Samsonova</t>
        </is>
      </c>
      <c r="AS747" s="24" t="inlineStr">
        <is>
          <t>Linda Fruhvirtova</t>
        </is>
      </c>
      <c r="AT747" s="24" t="inlineStr">
        <is>
          <t>Linda Fruhvirtova</t>
        </is>
      </c>
      <c r="AU747" s="24" t="inlineStr">
        <is>
          <t>Linda Fruhvirtova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6c67e999d2a03612e30f4032c8e5e77e8becfbc79e05f4c8993e726b90d34d54</t>
        </is>
      </c>
      <c r="BB747" s="24" t="inlineStr">
        <is>
          <t>surface_blended_elo</t>
        </is>
      </c>
      <c r="BC747" s="24" t="inlineStr">
        <is>
          <t>tennis-surface-elo-v1</t>
        </is>
      </c>
      <c r="BD747" s="24" t="inlineStr">
        <is>
          <t>6c67e999d2a03612e30f4032c8e5e77e8becfbc79e05f4c8993e726b90d34d54</t>
        </is>
      </c>
      <c r="BE747" s="24" t="inlineStr">
        <is>
          <t>tennis-surface-elo-v1</t>
        </is>
      </c>
      <c r="BF747" s="24" t="inlineStr">
        <is>
          <t>1</t>
        </is>
      </c>
      <c r="BG747" s="24" t="inlineStr">
        <is>
          <t>6c67e999d2a03612e30f4032c8e5e77e8becfbc79e05f4c8993e726b90d34d54</t>
        </is>
      </c>
      <c r="BH747" s="24" t="inlineStr">
        <is>
          <t>2026-10-01T04:36:23.591460Z</t>
        </is>
      </c>
      <c r="BI747" s="24" t="inlineStr">
        <is>
          <t>["same_event","same_team_same_day","same_league_same_day"]</t>
        </is>
      </c>
      <c r="BJ747" s="25" t="n"/>
      <c r="BK747" s="26" t="n">
        <v>-355</v>
      </c>
      <c r="BL747" s="27" t="n">
        <v>1.28169</v>
      </c>
      <c r="BM747" s="28" t="n">
        <v>0.78022</v>
      </c>
      <c r="BN747" s="28" t="n"/>
      <c r="BO747" s="28" t="n"/>
      <c r="BP747" s="25" t="n"/>
      <c r="BQ747" s="27" t="n">
        <v>1.28169</v>
      </c>
      <c r="BR747" s="28" t="n">
        <v>0.78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0.28169</v>
      </c>
      <c r="BZ747" s="24" t="inlineStr">
        <is>
          <t>2026-10-02T10:00:17.497164Z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inlineStr">
        <is>
          <t>6fbb32d54a2d2c77218de776aa736651a4fa689bcf119e2a59aed5db2375eeec</t>
        </is>
      </c>
      <c r="DE747" s="24" t="inlineStr">
        <is>
          <t>/Users/vincentc9002/model-prediction/data/odds/tennis/2026-10-01/polymarket_snapshots.jsonl</t>
        </is>
      </c>
      <c r="DF747" s="24" t="inlineStr">
        <is>
          <t>1144203:2026-10-01T04:36:23.591460Z</t>
        </is>
      </c>
      <c r="DG747" s="24" t="n"/>
      <c r="DH747" s="24" t="n"/>
      <c r="DI747" s="24" t="n"/>
      <c r="DJ747" s="24" t="inlineStr">
        <is>
          <t>0.78022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"6c67e999d2a03612e30f4032c8e5e77e8becfbc79e05f4c8993e726b90d34d54", "away_team": "Liudmila Samsonova", "event_id": "959-2026:184308", "event_start_utc": "2026-10-02T03:00Z", "features": {"elo_p1_surface": 1629.7, "elo_p2_surface": 1507.8, "expected_games_p1": 13.34, "expected_games_p2": 8.24, "expected_total_games": 21.58, "history_matches": 16479, "min_player_matches": 128, "surface": "Hard"}, "historical_source_observation_times_verified": false, "home_team": "Linda Fruhvirtova", "inference_inputs": {"code_sha256": {"features/elo_ratings.py": "8525faf022a6343c452286dbfeb17dbb043744c6bdabbe448b6b371216da439b", "models/tennis.py": "6c67e999d2a03612e30f4032c8e5e77e8becfbc79e05f4c8993e726b90d34d54"}, "overall_ratings": [1679.9633764025155, 1501.7846244210846], "players": ["Liudmila Samsonova", "Linda Fruhvirtova"], "sport": "TENNIS", "surface": "Hard", "surface_counts": [107, 96], "surface_ratings": [1629.6756471493866, 1507.8138531728362]}, "market_type": "moneyline", "model_version": "tennis-surface-elo-v1", "observed_at_utc": "2026-10-01T22:06:45.383901+00:00", "probabilities": {"away": 0.6866, "home": 0.3134}, "replay_scope": "Exact full-precision serving state and rounding; upstream historical observation times are not certified.", "schema": "coded-moneyline-replay-v1", "snapshot_hash": "5fb92193991f166ead4706931ac4fd451542bfee8396767a66ac146b37779846", "sport": "TENNIS"}</t>
        </is>
      </c>
    </row>
    <row r="748" ht="36" customHeight="1">
      <c r="A748" s="24" t="inlineStr">
        <is>
          <t>041b9d3328174c50</t>
        </is>
      </c>
      <c r="B748" s="24" t="inlineStr">
        <is>
          <t>2026-10-01T22:06:47.003722Z</t>
        </is>
      </c>
      <c r="C748" s="24" t="inlineStr">
        <is>
          <t>2026-10-02T04:30Z</t>
        </is>
      </c>
      <c r="D748" s="24" t="inlineStr">
        <is>
          <t>959-2026:184305</t>
        </is>
      </c>
      <c r="E748" s="24" t="inlineStr">
        <is>
          <t>TENNIS</t>
        </is>
      </c>
      <c r="F748" s="24" t="inlineStr">
        <is>
          <t>Diane Parry</t>
        </is>
      </c>
      <c r="G748" s="24" t="inlineStr">
        <is>
          <t>Taylah Preston</t>
        </is>
      </c>
      <c r="H748" s="24" t="inlineStr">
        <is>
          <t>moneyline</t>
        </is>
      </c>
      <c r="I748" s="24" t="inlineStr">
        <is>
          <t>away</t>
        </is>
      </c>
      <c r="J748" s="25" t="n"/>
      <c r="K748" s="24" t="inlineStr">
        <is>
          <t>polymarket_us</t>
        </is>
      </c>
      <c r="L748" s="26" t="n">
        <v>-156</v>
      </c>
      <c r="M748" s="27" t="n">
        <v>1.641026</v>
      </c>
      <c r="N748" s="28" t="n">
        <v>0.609375</v>
      </c>
      <c r="O748" s="28" t="n">
        <v>0.6839</v>
      </c>
      <c r="P748" s="28" t="n">
        <v>0.05</v>
      </c>
      <c r="Q748" s="28" t="n">
        <v>0.07452499999999999</v>
      </c>
      <c r="R748" s="26" t="n">
        <v>57</v>
      </c>
      <c r="S748" s="29" t="n">
        <v>1.25</v>
      </c>
      <c r="T748" s="24" t="inlineStr">
        <is>
          <t>tennis-surface-elo-v1</t>
        </is>
      </c>
      <c r="U748" s="24" t="inlineStr">
        <is>
          <t>settled</t>
        </is>
      </c>
      <c r="V748" s="24" t="inlineStr">
        <is>
          <t>loss</t>
        </is>
      </c>
      <c r="W748" s="26" t="n">
        <v>0</v>
      </c>
      <c r="X748" s="26" t="n">
        <v>1</v>
      </c>
      <c r="Y748" s="25" t="n"/>
      <c r="Z748" s="26" t="n">
        <v>-156</v>
      </c>
      <c r="AA748" s="28" t="n">
        <v>0.61</v>
      </c>
      <c r="AB748" s="28" t="n">
        <v>0.000625</v>
      </c>
      <c r="AC748" s="30" t="n">
        <v>-1.25</v>
      </c>
      <c r="AD748" s="24" t="inlineStr">
        <is>
          <t>2026-10-02T10:00:18.780398Z</t>
        </is>
      </c>
      <c r="AE748" s="31" t="inlineStr">
        <is>
          <t>Surface-blended Elo on Hard: Diane Parry p=0.684 vs Taylah Preston. Executable ask 0.6100 (aec-wta-taypre-diapar-2026-10-01).</t>
        </is>
      </c>
      <c r="AF748" s="31" t="inlineStr">
        <is>
          <t>Surface-blended Elo model; singles only, WTA+ATP market coverage, not yet locked-holdout qualified -- promoted by explicit operator directive, not genuine walk-forward validation.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PAPER_CALL_STALE_DATA</t>
        </is>
      </c>
      <c r="AP748" s="24" t="inlineStr">
        <is>
          <t>Diane Parry</t>
        </is>
      </c>
      <c r="AQ748" s="24" t="inlineStr">
        <is>
          <t>Diane Parry</t>
        </is>
      </c>
      <c r="AR748" s="24" t="inlineStr">
        <is>
          <t>Diane Parry</t>
        </is>
      </c>
      <c r="AS748" s="24" t="inlineStr">
        <is>
          <t>Taylah Preston</t>
        </is>
      </c>
      <c r="AT748" s="24" t="inlineStr">
        <is>
          <t>Taylah Preston</t>
        </is>
      </c>
      <c r="AU748" s="24" t="inlineStr">
        <is>
          <t>Taylah Preston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6c67e999d2a03612e30f4032c8e5e77e8becfbc79e05f4c8993e726b90d34d54</t>
        </is>
      </c>
      <c r="BB748" s="24" t="inlineStr">
        <is>
          <t>surface_blended_elo</t>
        </is>
      </c>
      <c r="BC748" s="24" t="inlineStr">
        <is>
          <t>tennis-surface-elo-v1</t>
        </is>
      </c>
      <c r="BD748" s="24" t="inlineStr">
        <is>
          <t>6c67e999d2a03612e30f4032c8e5e77e8becfbc79e05f4c8993e726b90d34d54</t>
        </is>
      </c>
      <c r="BE748" s="24" t="inlineStr">
        <is>
          <t>tennis-surface-elo-v1</t>
        </is>
      </c>
      <c r="BF748" s="24" t="inlineStr">
        <is>
          <t>1</t>
        </is>
      </c>
      <c r="BG748" s="24" t="inlineStr">
        <is>
          <t>6c67e999d2a03612e30f4032c8e5e77e8becfbc79e05f4c8993e726b90d34d54</t>
        </is>
      </c>
      <c r="BH748" s="24" t="inlineStr">
        <is>
          <t>2026-10-01T04:36:23.574884Z</t>
        </is>
      </c>
      <c r="BI748" s="24" t="inlineStr">
        <is>
          <t>["same_event","same_team_same_day","same_league_same_day"]</t>
        </is>
      </c>
      <c r="BJ748" s="25" t="n"/>
      <c r="BK748" s="26" t="n">
        <v>-156</v>
      </c>
      <c r="BL748" s="27" t="n">
        <v>1.641026</v>
      </c>
      <c r="BM748" s="28" t="n">
        <v>0.609375</v>
      </c>
      <c r="BN748" s="28" t="n"/>
      <c r="BO748" s="28" t="n"/>
      <c r="BP748" s="25" t="n"/>
      <c r="BQ748" s="27" t="n">
        <v>1.641026</v>
      </c>
      <c r="BR748" s="28" t="n">
        <v>0.61</v>
      </c>
      <c r="BS748" s="28" t="n"/>
      <c r="BT748" s="28" t="n"/>
      <c r="BU748" s="25" t="n"/>
      <c r="BV748" s="29" t="n"/>
      <c r="BW748" s="24" t="n"/>
      <c r="BX748" s="30" t="n">
        <v>1</v>
      </c>
      <c r="BY748" s="27" t="n">
        <v>-1</v>
      </c>
      <c r="BZ748" s="24" t="inlineStr">
        <is>
          <t>2026-10-02T10:00:18.780398Z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inlineStr">
        <is>
          <t>a1b2f4732871cbe2e952dc918b02982245b0ac7720d76d2acb83f78d41c564dd</t>
        </is>
      </c>
      <c r="DE748" s="24" t="inlineStr">
        <is>
          <t>/Users/vincentc9002/model-prediction/data/odds/tennis/2026-10-01/polymarket_snapshots.jsonl</t>
        </is>
      </c>
      <c r="DF748" s="24" t="inlineStr">
        <is>
          <t>1144430:2026-10-01T04:36:23.574884Z</t>
        </is>
      </c>
      <c r="DG748" s="24" t="n"/>
      <c r="DH748" s="24" t="n"/>
      <c r="DI748" s="24" t="n"/>
      <c r="DJ748" s="24" t="inlineStr">
        <is>
          <t>0.609375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"6c67e999d2a03612e30f4032c8e5e77e8becfbc79e05f4c8993e726b90d34d54", "away_team": "Diane Parry", "event_id": "959-2026:184305", "event_start_utc": "2026-10-02T04:30Z", "features": {"elo_p1_surface": 1662.9, "elo_p2_surface": 1540.5, "expected_games_p1": 13.34, "expected_games_p2": 8.22, "expected_total_games": 21.56, "history_matches": 16479, "min_player_matches": 80, "surface": "Hard"}, "historical_source_observation_times_verified": false, "home_team": "Taylah Preston", "inference_inputs": {"code_sha256": {"features/elo_ratings.py": "8525faf022a6343c452286dbfeb17dbb043744c6bdabbe448b6b371216da439b", "models/tennis.py": "6c67e999d2a03612e30f4032c8e5e77e8becfbc79e05f4c8993e726b90d34d54"}, "overall_ratings": [1713.490670332329, 1543.5285304170661], "players": ["Diane Parry", "Taylah Preston"], "sport": "TENNIS", "surface": "Hard", "surface_counts": [113, 63], "surface_ratings": [1662.8956130368042, 1540.4766989716763]}, "market_type": "moneyline", "model_version": "tennis-surface-elo-v1", "observed_at_utc": "2026-10-01T22:06:45.383901+00:00", "probabilities": {"away": 0.6839, "home": 0.3161}, "replay_scope": "Exact full-precision serving state and rounding; upstream historical observation times are not certified.", "schema": "coded-moneyline-replay-v1", "snapshot_hash": "1b07ee7bd82a68a6c27d8379160358b6905e5d385863ab787dd105d4f6ca2d25", "sport": "TENNIS"}</t>
        </is>
      </c>
    </row>
    <row r="749" ht="36" customHeight="1">
      <c r="A749" s="24" t="inlineStr">
        <is>
          <t>d5a07fe69dbe4434</t>
        </is>
      </c>
      <c r="B749" s="24" t="inlineStr">
        <is>
          <t>2026-10-01T22:06:47.003722Z</t>
        </is>
      </c>
      <c r="C749" s="24" t="inlineStr">
        <is>
          <t>2026-10-02T04:30Z</t>
        </is>
      </c>
      <c r="D749" s="24" t="inlineStr">
        <is>
          <t>959-2026:184318</t>
        </is>
      </c>
      <c r="E749" s="24" t="inlineStr">
        <is>
          <t>TENNIS</t>
        </is>
      </c>
      <c r="F749" s="24" t="inlineStr">
        <is>
          <t>Elena-Gabriela Ruse</t>
        </is>
      </c>
      <c r="G749" s="24" t="inlineStr">
        <is>
          <t>Linda Noskova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polymarket_us</t>
        </is>
      </c>
      <c r="L749" s="26" t="n">
        <v>-2400</v>
      </c>
      <c r="M749" s="27" t="n">
        <v>1.041667</v>
      </c>
      <c r="N749" s="28" t="n">
        <v>0.96</v>
      </c>
      <c r="O749" s="28" t="n">
        <v>0.6656</v>
      </c>
      <c r="P749" s="28" t="n">
        <v>0.05</v>
      </c>
      <c r="Q749" s="28" t="n">
        <v>-0.2944</v>
      </c>
      <c r="R749" s="26" t="n">
        <v>0</v>
      </c>
      <c r="S749" s="29" t="n">
        <v>1</v>
      </c>
      <c r="T749" s="24" t="inlineStr">
        <is>
          <t>tennis-surface-elo-v1</t>
        </is>
      </c>
      <c r="U749" s="24" t="inlineStr">
        <is>
          <t>settled</t>
        </is>
      </c>
      <c r="V749" s="24" t="inlineStr">
        <is>
          <t>win</t>
        </is>
      </c>
      <c r="W749" s="26" t="n">
        <v>0</v>
      </c>
      <c r="X749" s="26" t="n">
        <v>1</v>
      </c>
      <c r="Y749" s="25" t="n"/>
      <c r="Z749" s="26" t="n">
        <v>-2400</v>
      </c>
      <c r="AA749" s="28" t="n">
        <v>0.96</v>
      </c>
      <c r="AB749" s="28" t="n">
        <v>0</v>
      </c>
      <c r="AC749" s="30" t="n">
        <v>0.0417</v>
      </c>
      <c r="AD749" s="24" t="inlineStr">
        <is>
          <t>2026-10-02T10:00:19.919628Z</t>
        </is>
      </c>
      <c r="AE749" s="31" t="inlineStr">
        <is>
          <t>Surface-blended Elo on Hard: Elena-Gabriela Ruse p=0.334 vs Linda Noskova. Executable ask 0.9600 (aec-wta-linnos-gabrus-2026-10-01).</t>
        </is>
      </c>
      <c r="AF749" s="31" t="inlineStr">
        <is>
          <t>Surface-blended Elo model; singles only, WTA+ATP market coverage, not yet locked-holdout qualified -- promoted by explicit operator directive, not genuine walk-forward validation.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Elena-Gabriela Ruse</t>
        </is>
      </c>
      <c r="AQ749" s="24" t="inlineStr">
        <is>
          <t>Elena-Gabriela Ruse</t>
        </is>
      </c>
      <c r="AR749" s="24" t="inlineStr">
        <is>
          <t>Elena-Gabriela Ruse</t>
        </is>
      </c>
      <c r="AS749" s="24" t="inlineStr">
        <is>
          <t>Linda Noskova</t>
        </is>
      </c>
      <c r="AT749" s="24" t="inlineStr">
        <is>
          <t>Linda Noskova</t>
        </is>
      </c>
      <c r="AU749" s="24" t="inlineStr">
        <is>
          <t>Linda Noskova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6c67e999d2a03612e30f4032c8e5e77e8becfbc79e05f4c8993e726b90d34d54</t>
        </is>
      </c>
      <c r="BB749" s="24" t="inlineStr">
        <is>
          <t>surface_blended_elo</t>
        </is>
      </c>
      <c r="BC749" s="24" t="inlineStr">
        <is>
          <t>tennis-surface-elo-v1</t>
        </is>
      </c>
      <c r="BD749" s="24" t="inlineStr">
        <is>
          <t>6c67e999d2a03612e30f4032c8e5e77e8becfbc79e05f4c8993e726b90d34d54</t>
        </is>
      </c>
      <c r="BE749" s="24" t="inlineStr">
        <is>
          <t>tennis-surface-elo-v1</t>
        </is>
      </c>
      <c r="BF749" s="24" t="inlineStr">
        <is>
          <t>1</t>
        </is>
      </c>
      <c r="BG749" s="24" t="inlineStr">
        <is>
          <t>6c67e999d2a03612e30f4032c8e5e77e8becfbc79e05f4c8993e726b90d34d54</t>
        </is>
      </c>
      <c r="BH749" s="24" t="inlineStr">
        <is>
          <t>2026-09-30T04:49:00.920880Z</t>
        </is>
      </c>
      <c r="BI749" s="24" t="inlineStr">
        <is>
          <t>["same_event","same_team_same_day","same_league_same_day"]</t>
        </is>
      </c>
      <c r="BJ749" s="25" t="n"/>
      <c r="BK749" s="26" t="n">
        <v>-2400</v>
      </c>
      <c r="BL749" s="27" t="n">
        <v>1.041667</v>
      </c>
      <c r="BM749" s="28" t="n">
        <v>0.96</v>
      </c>
      <c r="BN749" s="28" t="n"/>
      <c r="BO749" s="28" t="n"/>
      <c r="BP749" s="25" t="n"/>
      <c r="BQ749" s="27" t="n">
        <v>1.041667</v>
      </c>
      <c r="BR749" s="28" t="n">
        <v>0.96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0.041667</v>
      </c>
      <c r="BZ749" s="24" t="inlineStr">
        <is>
          <t>2026-10-02T10:00:19.919628Z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inlineStr">
        <is>
          <t>6ea824b3c7c527e72a71d898fb1c482ad80f47cdbba2635ec34ebb3afcfa135c</t>
        </is>
      </c>
      <c r="DE749" s="24" t="inlineStr">
        <is>
          <t>/Users/vincentc9002/model-prediction/data/odds/tennis/2026-10-01/polymarket_snapshots.jsonl</t>
        </is>
      </c>
      <c r="DF749" s="24" t="inlineStr">
        <is>
          <t>1142692:2026-09-30T04:49:00.920880Z</t>
        </is>
      </c>
      <c r="DG749" s="24" t="n"/>
      <c r="DH749" s="24" t="n"/>
      <c r="DI749" s="24" t="n"/>
      <c r="DJ749" s="24" t="inlineStr">
        <is>
          <t>0.96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"6c67e999d2a03612e30f4032c8e5e77e8becfbc79e05f4c8993e726b90d34d54", "away_team": "Elena-Gabriela Ruse", "event_id": "959-2026:184318", "event_start_utc": "2026-10-02T04:30Z", "features": {"elo_p1_surface": 1711.5, "elo_p2_surface": 1798.2, "expected_games_p1": 9.93, "expected_games_p2": 13.28, "expected_total_games": 23.22, "history_matches": 16479, "min_player_matches": 139, "surface": "Hard"}, "historical_source_observation_times_verified": false, "home_team": "Linda Noskova", "inference_inputs": {"code_sha256": {"features/elo_ratings.py": "8525faf022a6343c452286dbfeb17dbb043744c6bdabbe448b6b371216da439b", "models/tennis.py": "6c67e999d2a03612e30f4032c8e5e77e8becfbc79e05f4c8993e726b90d34d54"}, "overall_ratings": [1710.1971385646716, 1929.4115522771754], "players": ["Elena-Gabriela Ruse", "Linda Noskova"], "sport": "TENNIS", "surface": "Hard", "surface_counts": [113, 115], "surface_ratings": [1711.4977109793901, 1798.1840038504702]}, "market_type": "moneyline", "model_version": "tennis-surface-elo-v1", "observed_at_utc": "2026-10-01T22:06:45.383901+00:00", "probabilities": {"away": 0.3344, "home": 0.6656}, "replay_scope": "Exact full-precision serving state and rounding; upstream historical observation times are not certified.", "schema": "coded-moneyline-replay-v1", "snapshot_hash": "e950951095220f6fbdf82a491dc04193088e7814c443403e3d19a41ab6717620", "sport": "TENNIS"}</t>
        </is>
      </c>
    </row>
    <row r="750" ht="36" customHeight="1">
      <c r="A750" s="24" t="inlineStr">
        <is>
          <t>8a34ded547ae459f</t>
        </is>
      </c>
      <c r="B750" s="24" t="inlineStr">
        <is>
          <t>2026-10-01T22:06:47.003722Z</t>
        </is>
      </c>
      <c r="C750" s="24" t="inlineStr">
        <is>
          <t>2026-10-02T03:30Z</t>
        </is>
      </c>
      <c r="D750" s="24" t="inlineStr">
        <is>
          <t>5-2026:183506</t>
        </is>
      </c>
      <c r="E750" s="24" t="inlineStr">
        <is>
          <t>TENNIS</t>
        </is>
      </c>
      <c r="F750" s="24" t="inlineStr">
        <is>
          <t>Stefanos Tsitsipas</t>
        </is>
      </c>
      <c r="G750" s="24" t="inlineStr">
        <is>
          <t>Valentin Vacherot</t>
        </is>
      </c>
      <c r="H750" s="24" t="inlineStr">
        <is>
          <t>moneyline</t>
        </is>
      </c>
      <c r="I750" s="24" t="inlineStr">
        <is>
          <t>away</t>
        </is>
      </c>
      <c r="J750" s="25" t="n"/>
      <c r="K750" s="24" t="inlineStr">
        <is>
          <t>polymarket_us</t>
        </is>
      </c>
      <c r="L750" s="26" t="n">
        <v>-150</v>
      </c>
      <c r="M750" s="27" t="n">
        <v>1.666667</v>
      </c>
      <c r="N750" s="28" t="n">
        <v>0.6</v>
      </c>
      <c r="O750" s="28" t="n">
        <v>0.5745</v>
      </c>
      <c r="P750" s="28" t="n">
        <v>0.05</v>
      </c>
      <c r="Q750" s="28" t="n">
        <v>-0.0255</v>
      </c>
      <c r="R750" s="26" t="n">
        <v>7</v>
      </c>
      <c r="S750" s="29" t="n">
        <v>1</v>
      </c>
      <c r="T750" s="24" t="inlineStr">
        <is>
          <t>tennis-surface-elo-v1</t>
        </is>
      </c>
      <c r="U750" s="24" t="inlineStr">
        <is>
          <t>settled</t>
        </is>
      </c>
      <c r="V750" s="24" t="inlineStr">
        <is>
          <t>loss</t>
        </is>
      </c>
      <c r="W750" s="26" t="n">
        <v>0</v>
      </c>
      <c r="X750" s="26" t="n">
        <v>1</v>
      </c>
      <c r="Y750" s="25" t="n"/>
      <c r="Z750" s="26" t="n">
        <v>-150</v>
      </c>
      <c r="AA750" s="28" t="n">
        <v>0.6</v>
      </c>
      <c r="AB750" s="28" t="n">
        <v>0</v>
      </c>
      <c r="AC750" s="30" t="n">
        <v>-1</v>
      </c>
      <c r="AD750" s="24" t="inlineStr">
        <is>
          <t>2026-10-02T10:00:21.062560Z</t>
        </is>
      </c>
      <c r="AE750" s="31" t="inlineStr">
        <is>
          <t>Surface-blended Elo on Hard: Stefanos Tsitsipas p=0.574 vs Valentin Vacherot. Executable ask 0.6000 (aec-atp-valvac-stetsi-2026-10-01).</t>
        </is>
      </c>
      <c r="AF750" s="31" t="inlineStr">
        <is>
          <t>Surface-blended Elo model; singles only, WTA+ATP market coverage, not yet locked-holdout qualified -- promoted by explicit operator directive, not genuine walk-forward validation.</t>
        </is>
      </c>
      <c r="AG750" s="24" t="inlineStr">
        <is>
          <t>review_required</t>
        </is>
      </c>
      <c r="AH750" s="24" t="n"/>
      <c r="AI750" s="31" t="n"/>
      <c r="AJ750" s="31" t="n"/>
      <c r="AK750" s="24" t="inlineStr">
        <is>
          <t>paper_call</t>
        </is>
      </c>
      <c r="AL750" s="26" t="n">
        <v>4</v>
      </c>
      <c r="AM750" s="24" t="inlineStr">
        <is>
          <t>RESEARCH_OBSERVATION</t>
        </is>
      </c>
      <c r="AN750" s="24" t="inlineStr">
        <is>
          <t>CALL</t>
        </is>
      </c>
      <c r="AO750" s="24" t="inlineStr">
        <is>
          <t>PAPER_CALL_LOW_EDGE</t>
        </is>
      </c>
      <c r="AP750" s="24" t="inlineStr">
        <is>
          <t>Stefanos Tsitsipas</t>
        </is>
      </c>
      <c r="AQ750" s="24" t="inlineStr">
        <is>
          <t>Stefanos Tsitsipas</t>
        </is>
      </c>
      <c r="AR750" s="24" t="inlineStr">
        <is>
          <t>Stefanos Tsitsipas</t>
        </is>
      </c>
      <c r="AS750" s="24" t="inlineStr">
        <is>
          <t>Valentin Vacherot</t>
        </is>
      </c>
      <c r="AT750" s="24" t="inlineStr">
        <is>
          <t>Valentin Vacherot</t>
        </is>
      </c>
      <c r="AU750" s="24" t="inlineStr">
        <is>
          <t>Valentin Vacherot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6c67e999d2a03612e30f4032c8e5e77e8becfbc79e05f4c8993e726b90d34d54</t>
        </is>
      </c>
      <c r="BB750" s="24" t="inlineStr">
        <is>
          <t>surface_blended_elo</t>
        </is>
      </c>
      <c r="BC750" s="24" t="inlineStr">
        <is>
          <t>tennis-surface-elo-v1</t>
        </is>
      </c>
      <c r="BD750" s="24" t="inlineStr">
        <is>
          <t>6c67e999d2a03612e30f4032c8e5e77e8becfbc79e05f4c8993e726b90d34d54</t>
        </is>
      </c>
      <c r="BE750" s="24" t="inlineStr">
        <is>
          <t>tennis-surface-elo-v1</t>
        </is>
      </c>
      <c r="BF750" s="24" t="inlineStr">
        <is>
          <t>1</t>
        </is>
      </c>
      <c r="BG750" s="24" t="inlineStr">
        <is>
          <t>6c67e999d2a03612e30f4032c8e5e77e8becfbc79e05f4c8993e726b90d34d54</t>
        </is>
      </c>
      <c r="BH750" s="24" t="inlineStr">
        <is>
          <t>2026-10-01T10:07:46.103793Z</t>
        </is>
      </c>
      <c r="BI750" s="24" t="inlineStr">
        <is>
          <t>["same_event","same_team_same_day","same_league_same_day"]</t>
        </is>
      </c>
      <c r="BJ750" s="25" t="n"/>
      <c r="BK750" s="26" t="n">
        <v>-150</v>
      </c>
      <c r="BL750" s="27" t="n">
        <v>1.666667</v>
      </c>
      <c r="BM750" s="28" t="n">
        <v>0.6</v>
      </c>
      <c r="BN750" s="28" t="n"/>
      <c r="BO750" s="28" t="n"/>
      <c r="BP750" s="25" t="n"/>
      <c r="BQ750" s="27" t="n">
        <v>1.666667</v>
      </c>
      <c r="BR750" s="28" t="n">
        <v>0.6</v>
      </c>
      <c r="BS750" s="28" t="n"/>
      <c r="BT750" s="28" t="n"/>
      <c r="BU750" s="25" t="n"/>
      <c r="BV750" s="29" t="n"/>
      <c r="BW750" s="24" t="n"/>
      <c r="BX750" s="30" t="n">
        <v>1</v>
      </c>
      <c r="BY750" s="27" t="n">
        <v>-1</v>
      </c>
      <c r="BZ750" s="24" t="inlineStr">
        <is>
          <t>2026-10-02T10:00:21.062560Z</t>
        </is>
      </c>
      <c r="CA750" s="31" t="inlineStr">
        <is>
          <t>fixed one-unit hypothetical scoring; no real exposure or execution</t>
        </is>
      </c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False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inlineStr">
        <is>
          <t>e99f42a53b47f3d639765149de74f92ac453324ed1e0c79b10c25e7aa24e5ea4</t>
        </is>
      </c>
      <c r="DE750" s="24" t="inlineStr">
        <is>
          <t>/Users/vincentc9002/model-prediction/data/odds/tennis/2026-10-01/polymarket_snapshots.jsonl</t>
        </is>
      </c>
      <c r="DF750" s="24" t="inlineStr">
        <is>
          <t>1155065:2026-10-01T10:07:46.103793Z</t>
        </is>
      </c>
      <c r="DG750" s="24" t="n"/>
      <c r="DH750" s="24" t="n"/>
      <c r="DI750" s="24" t="n"/>
      <c r="DJ750" s="24" t="inlineStr">
        <is>
          <t>0.6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"6c67e999d2a03612e30f4032c8e5e77e8becfbc79e05f4c8993e726b90d34d54", "away_team": "Stefanos Tsitsipas", "event_id": "5-2026:183506", "event_start_utc": "2026-10-02T03:30Z", "features": {"elo_p1_surface": 1680.0, "elo_p2_surface": 1631.1, "expected_games_p1": 13.63, "expected_games_p2": 11.28, "expected_total_games": 24.91, "history_matches": 11322, "min_player_matches": 76, "surface": "Hard"}, "historical_source_observation_times_verified": false, "home_team": "Valentin Vacherot", "inference_inputs": {"code_sha256": {"features/elo_ratings.py": "8525faf022a6343c452286dbfeb17dbb043744c6bdabbe448b6b371216da439b", "models/tennis.py": "6c67e999d2a03612e30f4032c8e5e77e8becfbc79e05f4c8993e726b90d34d54"}, "overall_ratings": [1729.5469277383972, 1662.5071109282967], "players": ["Stefanos Tsitsipas", "Valentin Vacherot"], "sport": "TENNIS", "surface": "Hard", "surface_counts": [83, 53], "surface_ratings": [1679.9967270924114, 1631.149018281788]}, "market_type": "moneyline", "model_version": "tennis-surface-elo-v1", "observed_at_utc": "2026-10-01T22:06:45.383901+00:00", "probabilities": {"away": 0.5745, "home": 0.4255}, "replay_scope": "Exact full-precision serving state and rounding; upstream historical observation times are not certified.", "schema": "coded-moneyline-replay-v1", "snapshot_hash": "c4d5f060e64eadf98eef09dac01a2b7539a37e8dcff3270ecc81c8a21701fc55", "sport": "TENNIS"}</t>
        </is>
      </c>
    </row>
    <row r="751" ht="36" customHeight="1">
      <c r="A751" s="24" t="inlineStr">
        <is>
          <t>7761e186ed3f4568</t>
        </is>
      </c>
      <c r="B751" s="24" t="inlineStr">
        <is>
          <t>2026-10-02T04:39:34.646986Z</t>
        </is>
      </c>
      <c r="C751" s="24" t="inlineStr">
        <is>
          <t>2026-10-02T06:00Z</t>
        </is>
      </c>
      <c r="D751" s="24" t="inlineStr">
        <is>
          <t>959-2026:184304</t>
        </is>
      </c>
      <c r="E751" s="24" t="inlineStr">
        <is>
          <t>TENNIS</t>
        </is>
      </c>
      <c r="F751" s="24" t="inlineStr">
        <is>
          <t>Polina Kudermetova</t>
        </is>
      </c>
      <c r="G751" s="24" t="inlineStr">
        <is>
          <t>Clara Tauson</t>
        </is>
      </c>
      <c r="H751" s="24" t="inlineStr">
        <is>
          <t>moneyline</t>
        </is>
      </c>
      <c r="I751" s="24" t="inlineStr">
        <is>
          <t>home</t>
        </is>
      </c>
      <c r="J751" s="25" t="n"/>
      <c r="K751" s="24" t="inlineStr">
        <is>
          <t>polymarket_us</t>
        </is>
      </c>
      <c r="L751" s="26" t="n">
        <v>-170</v>
      </c>
      <c r="M751" s="27" t="n">
        <v>1.588235</v>
      </c>
      <c r="N751" s="28" t="n">
        <v>0.62963</v>
      </c>
      <c r="O751" s="28" t="n">
        <v>0.5616</v>
      </c>
      <c r="P751" s="28" t="n">
        <v>0.05</v>
      </c>
      <c r="Q751" s="28" t="n">
        <v>-0.06802999999999999</v>
      </c>
      <c r="R751" s="26" t="n">
        <v>0</v>
      </c>
      <c r="S751" s="29" t="n">
        <v>1</v>
      </c>
      <c r="T751" s="24" t="inlineStr">
        <is>
          <t>tennis-surface-elo-v1</t>
        </is>
      </c>
      <c r="U751" s="24" t="inlineStr">
        <is>
          <t>settled</t>
        </is>
      </c>
      <c r="V751" s="24" t="inlineStr">
        <is>
          <t>loss</t>
        </is>
      </c>
      <c r="W751" s="26" t="n">
        <v>1</v>
      </c>
      <c r="X751" s="26" t="n">
        <v>0</v>
      </c>
      <c r="Y751" s="25" t="n"/>
      <c r="Z751" s="26" t="n">
        <v>-170</v>
      </c>
      <c r="AA751" s="28" t="n">
        <v>0.63</v>
      </c>
      <c r="AB751" s="28" t="n">
        <v>0.00037</v>
      </c>
      <c r="AC751" s="30" t="n">
        <v>-1</v>
      </c>
      <c r="AD751" s="24" t="inlineStr">
        <is>
          <t>2026-10-02T10:00:22.202368Z</t>
        </is>
      </c>
      <c r="AE751" s="31" t="inlineStr">
        <is>
          <t>Surface-blended Elo on Hard: Polina Kudermetova p=0.438 vs Clara Tauson. Executable ask 0.6300 (aec-wta-clatau-polkud-2026-10-01).</t>
        </is>
      </c>
      <c r="AF751" s="31" t="inlineStr">
        <is>
          <t>Surface-blended Elo model; singles only, WTA+ATP market coverage, not yet locked-holdout qualified -- promoted by explicit operator directive, not genuine walk-forward validation.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Polina Kudermetova</t>
        </is>
      </c>
      <c r="AQ751" s="24" t="inlineStr">
        <is>
          <t>Polina Kudermetova</t>
        </is>
      </c>
      <c r="AR751" s="24" t="inlineStr">
        <is>
          <t>Polina Kudermetova</t>
        </is>
      </c>
      <c r="AS751" s="24" t="inlineStr">
        <is>
          <t>Clara Tauson</t>
        </is>
      </c>
      <c r="AT751" s="24" t="inlineStr">
        <is>
          <t>Clara Tauson</t>
        </is>
      </c>
      <c r="AU751" s="24" t="inlineStr">
        <is>
          <t>Clara Tauson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6c67e999d2a03612e30f4032c8e5e77e8becfbc79e05f4c8993e726b90d34d54</t>
        </is>
      </c>
      <c r="BB751" s="24" t="inlineStr">
        <is>
          <t>surface_blended_elo</t>
        </is>
      </c>
      <c r="BC751" s="24" t="inlineStr">
        <is>
          <t>tennis-surface-elo-v1</t>
        </is>
      </c>
      <c r="BD751" s="24" t="inlineStr">
        <is>
          <t>6c67e999d2a03612e30f4032c8e5e77e8becfbc79e05f4c8993e726b90d34d54</t>
        </is>
      </c>
      <c r="BE751" s="24" t="inlineStr">
        <is>
          <t>tennis-surface-elo-v1</t>
        </is>
      </c>
      <c r="BF751" s="24" t="inlineStr">
        <is>
          <t>1</t>
        </is>
      </c>
      <c r="BG751" s="24" t="inlineStr">
        <is>
          <t>6c67e999d2a03612e30f4032c8e5e77e8becfbc79e05f4c8993e726b90d34d54</t>
        </is>
      </c>
      <c r="BH751" s="24" t="inlineStr">
        <is>
          <t>2026-10-02T04:35:39.306018Z</t>
        </is>
      </c>
      <c r="BI751" s="24" t="inlineStr">
        <is>
          <t>["same_event","same_team_same_day","same_league_same_day"]</t>
        </is>
      </c>
      <c r="BJ751" s="25" t="n"/>
      <c r="BK751" s="26" t="n">
        <v>-170</v>
      </c>
      <c r="BL751" s="27" t="n">
        <v>1.588235</v>
      </c>
      <c r="BM751" s="28" t="n">
        <v>0.62963</v>
      </c>
      <c r="BN751" s="28" t="n"/>
      <c r="BO751" s="28" t="n"/>
      <c r="BP751" s="25" t="n"/>
      <c r="BQ751" s="27" t="n">
        <v>1.588235</v>
      </c>
      <c r="BR751" s="28" t="n">
        <v>0.63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-1</v>
      </c>
      <c r="BZ751" s="24" t="inlineStr">
        <is>
          <t>2026-10-02T10:00:22.202368Z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inlineStr">
        <is>
          <t>13ed5949c82da0781ecf49e70b7e7029c03b2f180ef5e3cd374ce84b05e4db34</t>
        </is>
      </c>
      <c r="DE751" s="24" t="inlineStr">
        <is>
          <t>/Users/vincentc9002/model-prediction/data/odds/tennis/2026-10-02/polymarket_snapshots.jsonl</t>
        </is>
      </c>
      <c r="DF751" s="24" t="inlineStr">
        <is>
          <t>1143963:2026-10-02T04:35:39.306018Z</t>
        </is>
      </c>
      <c r="DG751" s="24" t="n"/>
      <c r="DH751" s="24" t="n"/>
      <c r="DI751" s="24" t="n"/>
      <c r="DJ751" s="24" t="inlineStr">
        <is>
          <t>0.62963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"6c67e999d2a03612e30f4032c8e5e77e8becfbc79e05f4c8993e726b90d34d54", "away_team": "Polina Kudermetova", "event_id": "959-2026:184304", "event_start_utc": "2026-10-02T06:00Z", "features": {"elo_p1_surface": 1591.0, "elo_p2_surface": 1637.9, "expected_games_p1": 11.27, "expected_games_p2": 13.05, "expected_total_games": 24.32, "history_matches": 16501, "min_player_matches": 145, "surface": "Hard"}, "historical_source_observation_times_verified": false, "home_team": "Clara Tauson", "inference_inputs": {"code_sha256": {"features/elo_ratings.py": "8525faf022a6343c452286dbfeb17dbb043744c6bdabbe448b6b371216da439b", "models/tennis.py": "6c67e999d2a03612e30f4032c8e5e77e8becfbc79e05f4c8993e726b90d34d54"}, "overall_ratings": [1609.293191044593, 1640.0318613635504], "players": ["Polina Kudermetova", "Clara Tauson"], "sport": "TENNIS", "surface": "Hard", "surface_counts": [125, 124], "surface_ratings": [1590.9732070948132, 1637.8853018048637]}, "market_type": "moneyline", "model_version": "tennis-surface-elo-v1", "observed_at_utc": "2026-10-02T04:39:34.151636+00:00", "probabilities": {"away": 0.4384, "home": 0.5616}, "replay_scope": "Exact full-precision serving state and rounding; upstream historical observation times are not certified.", "schema": "coded-moneyline-replay-v1", "snapshot_hash": "7d13099c38a18c61e2ef8180ce11c30d8a39a667e074b62c46c85504f42ebfc7", "sport": "TENNIS"}</t>
        </is>
      </c>
    </row>
    <row r="752" ht="36" customHeight="1">
      <c r="A752" s="24" t="inlineStr">
        <is>
          <t>d64cb55ec00d45e2</t>
        </is>
      </c>
      <c r="B752" s="24" t="inlineStr">
        <is>
          <t>2026-10-02T04:39:34.646986Z</t>
        </is>
      </c>
      <c r="C752" s="24" t="inlineStr">
        <is>
          <t>2026-10-02T05:00Z</t>
        </is>
      </c>
      <c r="D752" s="24" t="inlineStr">
        <is>
          <t>959-2026:183439</t>
        </is>
      </c>
      <c r="E752" s="24" t="inlineStr">
        <is>
          <t>TENNIS</t>
        </is>
      </c>
      <c r="F752" s="24" t="inlineStr">
        <is>
          <t>Karen Khachanov</t>
        </is>
      </c>
      <c r="G752" s="24" t="inlineStr">
        <is>
          <t>Alex Molcan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polymarket_us</t>
        </is>
      </c>
      <c r="L752" s="26" t="n">
        <v>-355</v>
      </c>
      <c r="M752" s="27" t="n">
        <v>1.28169</v>
      </c>
      <c r="N752" s="28" t="n">
        <v>0.78022</v>
      </c>
      <c r="O752" s="28" t="n">
        <v>0.539</v>
      </c>
      <c r="P752" s="28" t="n">
        <v>0.05</v>
      </c>
      <c r="Q752" s="28" t="n">
        <v>-0.24122</v>
      </c>
      <c r="R752" s="26" t="n">
        <v>0</v>
      </c>
      <c r="S752" s="29" t="n">
        <v>1</v>
      </c>
      <c r="T752" s="24" t="inlineStr">
        <is>
          <t>tennis-surface-elo-v1</t>
        </is>
      </c>
      <c r="U752" s="24" t="inlineStr">
        <is>
          <t>settled</t>
        </is>
      </c>
      <c r="V752" s="24" t="inlineStr">
        <is>
          <t>win</t>
        </is>
      </c>
      <c r="W752" s="26" t="n">
        <v>1</v>
      </c>
      <c r="X752" s="26" t="n">
        <v>0</v>
      </c>
      <c r="Y752" s="25" t="n"/>
      <c r="Z752" s="26" t="n">
        <v>-355</v>
      </c>
      <c r="AA752" s="28" t="n">
        <v>0.78</v>
      </c>
      <c r="AB752" s="28" t="n">
        <v>-0.00022</v>
      </c>
      <c r="AC752" s="30" t="n">
        <v>0.2817</v>
      </c>
      <c r="AD752" s="24" t="inlineStr">
        <is>
          <t>2026-10-02T10:00:23.401206Z</t>
        </is>
      </c>
      <c r="AE752" s="31" t="inlineStr">
        <is>
          <t>Surface-blended Elo on Hard: Karen Khachanov p=0.539 vs Alex Molcan. Executable ask 0.7800 (aec-atp-alemol-karkha-2026-10-01).</t>
        </is>
      </c>
      <c r="AF752" s="31" t="inlineStr">
        <is>
          <t>Surface-blended Elo model; singles only, WTA+ATP market coverage, not yet locked-holdout qualified -- promoted by explicit operator directive, not genuine walk-forward validation.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Karen Khachanov</t>
        </is>
      </c>
      <c r="AQ752" s="24" t="inlineStr">
        <is>
          <t>Karen Khachanov</t>
        </is>
      </c>
      <c r="AR752" s="24" t="inlineStr">
        <is>
          <t>Karen Khachanov</t>
        </is>
      </c>
      <c r="AS752" s="24" t="inlineStr">
        <is>
          <t>Alex Molcan</t>
        </is>
      </c>
      <c r="AT752" s="24" t="inlineStr">
        <is>
          <t>Alex Molcan</t>
        </is>
      </c>
      <c r="AU752" s="24" t="inlineStr">
        <is>
          <t>Alex Molcan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6c67e999d2a03612e30f4032c8e5e77e8becfbc79e05f4c8993e726b90d34d54</t>
        </is>
      </c>
      <c r="BB752" s="24" t="inlineStr">
        <is>
          <t>surface_blended_elo</t>
        </is>
      </c>
      <c r="BC752" s="24" t="inlineStr">
        <is>
          <t>tennis-surface-elo-v1</t>
        </is>
      </c>
      <c r="BD752" s="24" t="inlineStr">
        <is>
          <t>6c67e999d2a03612e30f4032c8e5e77e8becfbc79e05f4c8993e726b90d34d54</t>
        </is>
      </c>
      <c r="BE752" s="24" t="inlineStr">
        <is>
          <t>tennis-surface-elo-v1</t>
        </is>
      </c>
      <c r="BF752" s="24" t="inlineStr">
        <is>
          <t>1</t>
        </is>
      </c>
      <c r="BG752" s="24" t="inlineStr">
        <is>
          <t>6c67e999d2a03612e30f4032c8e5e77e8becfbc79e05f4c8993e726b90d34d54</t>
        </is>
      </c>
      <c r="BH752" s="24" t="inlineStr">
        <is>
          <t>2026-10-02T04:36:37.348358Z</t>
        </is>
      </c>
      <c r="BI752" s="24" t="inlineStr">
        <is>
          <t>["same_event","same_team_same_day","same_league_same_day"]</t>
        </is>
      </c>
      <c r="BJ752" s="25" t="n"/>
      <c r="BK752" s="26" t="n">
        <v>-355</v>
      </c>
      <c r="BL752" s="27" t="n">
        <v>1.28169</v>
      </c>
      <c r="BM752" s="28" t="n">
        <v>0.78022</v>
      </c>
      <c r="BN752" s="28" t="n"/>
      <c r="BO752" s="28" t="n"/>
      <c r="BP752" s="25" t="n"/>
      <c r="BQ752" s="27" t="n">
        <v>1.28169</v>
      </c>
      <c r="BR752" s="28" t="n">
        <v>0.78</v>
      </c>
      <c r="BS752" s="28" t="n"/>
      <c r="BT752" s="28" t="n"/>
      <c r="BU752" s="25" t="n"/>
      <c r="BV752" s="29" t="n"/>
      <c r="BW752" s="24" t="n"/>
      <c r="BX752" s="30" t="n">
        <v>1</v>
      </c>
      <c r="BY752" s="27" t="n">
        <v>0.28169</v>
      </c>
      <c r="BZ752" s="24" t="inlineStr">
        <is>
          <t>2026-10-02T10:00:23.401206Z</t>
        </is>
      </c>
      <c r="CA752" s="31" t="inlineStr">
        <is>
          <t>fixed one-unit hypothetical scoring; no real exposure or execution</t>
        </is>
      </c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inlineStr">
        <is>
          <t>893d32e908f09c891f2416403acc03442f5457f454ce9d46e1b888f86528cf10</t>
        </is>
      </c>
      <c r="DE752" s="24" t="inlineStr">
        <is>
          <t>/Users/vincentc9002/model-prediction/data/odds/tennis/2026-10-02/polymarket_snapshots.jsonl</t>
        </is>
      </c>
      <c r="DF752" s="24" t="inlineStr">
        <is>
          <t>1154608:2026-10-02T04:36:37.348358Z</t>
        </is>
      </c>
      <c r="DG752" s="24" t="n"/>
      <c r="DH752" s="24" t="n"/>
      <c r="DI752" s="24" t="n"/>
      <c r="DJ752" s="24" t="inlineStr">
        <is>
          <t>0.78022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"6c67e999d2a03612e30f4032c8e5e77e8becfbc79e05f4c8993e726b90d34d54", "away_team": "Karen Khachanov", "event_id": "959-2026:183439", "event_start_utc": "2026-10-02T05:00Z", "features": {"elo_p1_surface": 1670.6, "elo_p2_surface": 1641.0, "expected_games_p1": 13.46, "expected_games_p2": 11.84, "expected_total_games": 25.3, "history_matches": 11341, "min_player_matches": 44, "surface": "Hard"}, "historical_source_observation_times_verified": false, "home_team": "Alex Molcan", "inference_inputs": {"code_sha256": {"features/elo_ratings.py": "8525faf022a6343c452286dbfeb17dbb043744c6bdabbe448b6b371216da439b", "models/tennis.py": "6c67e999d2a03612e30f4032c8e5e77e8becfbc79e05f4c8993e726b90d34d54"}, "overall_ratings": [1701.4583116299657, 1665.9369548540383], "players": ["Karen Khachanov", "Alex Molcan"], "sport": "TENNIS", "surface": "Hard", "surface_counts": [100, 32], "surface_ratings": [1670.6392262069603, 1640.9920076951132]}, "market_type": "moneyline", "model_version": "tennis-surface-elo-v1", "observed_at_utc": "2026-10-02T04:39:34.151636+00:00", "probabilities": {"away": 0.539, "home": 0.461}, "replay_scope": "Exact full-precision serving state and rounding; upstream historical observation times are not certified.", "schema": "coded-moneyline-replay-v1", "snapshot_hash": "2aa73a246e73bcf07cdb1788f45befed4b459eecd50c4195756d1082dbafa42c", "sport": "TENNIS"}</t>
        </is>
      </c>
    </row>
    <row r="753" ht="36" customHeight="1">
      <c r="A753" s="24" t="inlineStr">
        <is>
          <t>a3eb6c266e894373</t>
        </is>
      </c>
      <c r="B753" s="24" t="inlineStr">
        <is>
          <t>2026-10-02T10:08:29.815155Z</t>
        </is>
      </c>
      <c r="C753" s="24" t="inlineStr">
        <is>
          <t>2026-10-02T12:00Z</t>
        </is>
      </c>
      <c r="D753" s="24" t="inlineStr">
        <is>
          <t>1078-2026:184149</t>
        </is>
      </c>
      <c r="E753" s="24" t="inlineStr">
        <is>
          <t>TENNIS</t>
        </is>
      </c>
      <c r="F753" s="24" t="inlineStr">
        <is>
          <t>Erika Andreeva</t>
        </is>
      </c>
      <c r="G753" s="24" t="inlineStr">
        <is>
          <t>Elena Pridankina</t>
        </is>
      </c>
      <c r="H753" s="24" t="inlineStr">
        <is>
          <t>moneyline</t>
        </is>
      </c>
      <c r="I753" s="24" t="inlineStr">
        <is>
          <t>home</t>
        </is>
      </c>
      <c r="J753" s="25" t="n"/>
      <c r="K753" s="24" t="inlineStr">
        <is>
          <t>polymarket_us</t>
        </is>
      </c>
      <c r="L753" s="26" t="n">
        <v>104</v>
      </c>
      <c r="M753" s="27" t="n">
        <v>2.04</v>
      </c>
      <c r="N753" s="28" t="n">
        <v>0.490196</v>
      </c>
      <c r="O753" s="28" t="n">
        <v>0.633</v>
      </c>
      <c r="P753" s="28" t="n">
        <v>0.05</v>
      </c>
      <c r="Q753" s="28" t="n">
        <v>0.142804</v>
      </c>
      <c r="R753" s="26" t="n">
        <v>91</v>
      </c>
      <c r="S753" s="29" t="n">
        <v>1.5</v>
      </c>
      <c r="T753" s="24" t="inlineStr">
        <is>
          <t>tennis-surface-elo-v1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</v>
      </c>
      <c r="X753" s="26" t="n">
        <v>0</v>
      </c>
      <c r="Y753" s="25" t="n"/>
      <c r="Z753" s="26" t="n">
        <v>104</v>
      </c>
      <c r="AA753" s="28" t="n">
        <v>0.49</v>
      </c>
      <c r="AB753" s="28" t="n">
        <v>-0.000196</v>
      </c>
      <c r="AC753" s="30" t="n">
        <v>-1.5</v>
      </c>
      <c r="AD753" s="24" t="inlineStr">
        <is>
          <t>2026-10-02T16:00:15.091920Z</t>
        </is>
      </c>
      <c r="AE753" s="31" t="inlineStr">
        <is>
          <t>Surface-blended Elo on Hard: Erika Andreeva p=0.367 vs Elena Pridankina. Executable ask 0.4900 (aec-wta-elepri-eriand-2026-10-02).</t>
        </is>
      </c>
      <c r="AF753" s="31" t="inlineStr">
        <is>
          <t>Surface-blended Elo model; singles only, WTA+ATP market coverage, not yet locked-holdout qualified -- promoted by explicit operator directive, not genuine walk-forward validation.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Erika Andreeva</t>
        </is>
      </c>
      <c r="AQ753" s="24" t="inlineStr">
        <is>
          <t>Erika Andreeva</t>
        </is>
      </c>
      <c r="AR753" s="24" t="inlineStr">
        <is>
          <t>Erika Andreeva</t>
        </is>
      </c>
      <c r="AS753" s="24" t="inlineStr">
        <is>
          <t>Elena Pridankina</t>
        </is>
      </c>
      <c r="AT753" s="24" t="inlineStr">
        <is>
          <t>Elena Pridankina</t>
        </is>
      </c>
      <c r="AU753" s="24" t="inlineStr">
        <is>
          <t>Elena Pridankina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6c67e999d2a03612e30f4032c8e5e77e8becfbc79e05f4c8993e726b90d34d54</t>
        </is>
      </c>
      <c r="BB753" s="24" t="inlineStr">
        <is>
          <t>surface_blended_elo</t>
        </is>
      </c>
      <c r="BC753" s="24" t="inlineStr">
        <is>
          <t>tennis-surface-elo-v1</t>
        </is>
      </c>
      <c r="BD753" s="24" t="inlineStr">
        <is>
          <t>6c67e999d2a03612e30f4032c8e5e77e8becfbc79e05f4c8993e726b90d34d54</t>
        </is>
      </c>
      <c r="BE753" s="24" t="inlineStr">
        <is>
          <t>tennis-surface-elo-v1</t>
        </is>
      </c>
      <c r="BF753" s="24" t="inlineStr">
        <is>
          <t>1</t>
        </is>
      </c>
      <c r="BG753" s="24" t="inlineStr">
        <is>
          <t>6c67e999d2a03612e30f4032c8e5e77e8becfbc79e05f4c8993e726b90d34d54</t>
        </is>
      </c>
      <c r="BH753" s="24" t="inlineStr">
        <is>
          <t>2026-10-02T04:36:00.799294Z</t>
        </is>
      </c>
      <c r="BI753" s="24" t="inlineStr">
        <is>
          <t>["same_event","same_team_same_day","same_league_same_day"]</t>
        </is>
      </c>
      <c r="BJ753" s="25" t="n"/>
      <c r="BK753" s="26" t="n">
        <v>104</v>
      </c>
      <c r="BL753" s="27" t="n">
        <v>2.04</v>
      </c>
      <c r="BM753" s="28" t="n">
        <v>0.490196</v>
      </c>
      <c r="BN753" s="28" t="n"/>
      <c r="BO753" s="28" t="n"/>
      <c r="BP753" s="25" t="n"/>
      <c r="BQ753" s="27" t="n">
        <v>2.04</v>
      </c>
      <c r="BR753" s="28" t="n">
        <v>0.49</v>
      </c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inlineStr">
        <is>
          <t>1f9ca39eba0c7a891af5115b918a0d2a1ed4d50f88d538e4b66906fd7b05fed7</t>
        </is>
      </c>
      <c r="DE753" s="24" t="inlineStr">
        <is>
          <t>/Users/vincentc9002/model-prediction/data/odds/tennis/2026-10-02/polymarket_snapshots.jsonl</t>
        </is>
      </c>
      <c r="DF753" s="24" t="inlineStr">
        <is>
          <t>1144970:2026-10-02T04:36:00.799294Z</t>
        </is>
      </c>
      <c r="DG753" s="24" t="n"/>
      <c r="DH753" s="24" t="n"/>
      <c r="DI753" s="24" t="n"/>
      <c r="DJ753" s="24" t="inlineStr">
        <is>
          <t>0.490196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"6c67e999d2a03612e30f4032c8e5e77e8becfbc79e05f4c8993e726b90d34d54", "away_team": "Erika Andreeva", "event_id": "1078-2026:184149", "event_start_utc": "2026-10-02T12:00Z", "features": {"elo_p1_surface": 1507.4, "elo_p2_surface": 1589.7, "expected_games_p1": 10.09, "expected_games_p2": 13.28, "expected_total_games": 23.36, "history_matches": 16501, "min_player_matches": 84, "surface": "Hard"}, "historical_source_observation_times_verified": false, "home_team": "Elena Pridankina", "inference_inputs": {"code_sha256": {"features/elo_ratings.py": "8525faf022a6343c452286dbfeb17dbb043744c6bdabbe448b6b371216da439b", "models/tennis.py": "6c67e999d2a03612e30f4032c8e5e77e8becfbc79e05f4c8993e726b90d34d54"}, "overall_ratings": [1481.0198386409395, 1607.434279890883], "players": ["Erika Andreeva", "Elena Pridankina"], "sport": "TENNIS", "surface": "Hard", "surface_counts": [93, 71], "surface_ratings": [1507.42702480076, 1589.7243137954717]}, "market_type": "moneyline", "model_version": "tennis-surface-elo-v1", "observed_at_utc": "2026-10-02T10:08:29.291477+00:00", "probabilities": {"away": 0.367, "home": 0.633}, "replay_scope": "Exact full-precision serving state and rounding; upstream historical observation times are not certified.", "schema": "coded-moneyline-replay-v1", "snapshot_hash": "4ba9ef71dac116569c494ec5dfad43e5ca9916b9aafc49893e88e37c4669fc1a", "sport": "TENNIS"}</t>
        </is>
      </c>
    </row>
    <row r="754" ht="36" customHeight="1">
      <c r="A754" s="24" t="inlineStr">
        <is>
          <t>789874b4d44d41a2</t>
        </is>
      </c>
      <c r="B754" s="24" t="inlineStr">
        <is>
          <t>2026-10-02T10:08:29.815155Z</t>
        </is>
      </c>
      <c r="C754" s="24" t="inlineStr">
        <is>
          <t>2026-10-02T12:00Z</t>
        </is>
      </c>
      <c r="D754" s="24" t="inlineStr">
        <is>
          <t>1078-2026:184147</t>
        </is>
      </c>
      <c r="E754" s="24" t="inlineStr">
        <is>
          <t>TENNIS</t>
        </is>
      </c>
      <c r="F754" s="24" t="inlineStr">
        <is>
          <t>Lucrezia Stefanini</t>
        </is>
      </c>
      <c r="G754" s="24" t="inlineStr">
        <is>
          <t>Leolia Jeanjean</t>
        </is>
      </c>
      <c r="H754" s="24" t="inlineStr">
        <is>
          <t>moneyline</t>
        </is>
      </c>
      <c r="I754" s="24" t="inlineStr">
        <is>
          <t>away</t>
        </is>
      </c>
      <c r="J754" s="25" t="n"/>
      <c r="K754" s="24" t="inlineStr">
        <is>
          <t>polymarket_us</t>
        </is>
      </c>
      <c r="L754" s="26" t="n">
        <v>-117</v>
      </c>
      <c r="M754" s="27" t="n">
        <v>1.854701</v>
      </c>
      <c r="N754" s="28" t="n">
        <v>0.539171</v>
      </c>
      <c r="O754" s="28" t="n">
        <v>0.5194</v>
      </c>
      <c r="P754" s="28" t="n">
        <v>0.05</v>
      </c>
      <c r="Q754" s="28" t="n">
        <v>-0.019771</v>
      </c>
      <c r="R754" s="26" t="n">
        <v>10</v>
      </c>
      <c r="S754" s="29" t="n">
        <v>1</v>
      </c>
      <c r="T754" s="24" t="inlineStr">
        <is>
          <t>tennis-surface-elo-v1</t>
        </is>
      </c>
      <c r="U754" s="24" t="inlineStr">
        <is>
          <t>settled</t>
        </is>
      </c>
      <c r="V754" s="24" t="inlineStr">
        <is>
          <t>loss</t>
        </is>
      </c>
      <c r="W754" s="26" t="n">
        <v>0</v>
      </c>
      <c r="X754" s="26" t="n">
        <v>1</v>
      </c>
      <c r="Y754" s="25" t="n"/>
      <c r="Z754" s="26" t="n">
        <v>-117</v>
      </c>
      <c r="AA754" s="28" t="n">
        <v>0.54</v>
      </c>
      <c r="AB754" s="28" t="n">
        <v>0.000829</v>
      </c>
      <c r="AC754" s="30" t="n">
        <v>-1</v>
      </c>
      <c r="AD754" s="24" t="inlineStr">
        <is>
          <t>2026-10-02T22:00:14.414207Z</t>
        </is>
      </c>
      <c r="AE754" s="31" t="inlineStr">
        <is>
          <t>Surface-blended Elo on Hard: Lucrezia Stefanini p=0.519 vs Leolia Jeanjean. Executable ask 0.5400 (aec-wta-leojea-lucste-2026-10-02).</t>
        </is>
      </c>
      <c r="AF754" s="31" t="inlineStr">
        <is>
          <t>Surface-blended Elo model; singles only, WTA+ATP market coverage, not yet locked-holdout qualified -- promoted by explicit operator directive, not genuine walk-forward validation.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Lucrezia Stefanini</t>
        </is>
      </c>
      <c r="AQ754" s="24" t="inlineStr">
        <is>
          <t>Lucrezia Stefanini</t>
        </is>
      </c>
      <c r="AR754" s="24" t="inlineStr">
        <is>
          <t>Lucrezia Stefanini</t>
        </is>
      </c>
      <c r="AS754" s="24" t="inlineStr">
        <is>
          <t>Leolia Jeanjean</t>
        </is>
      </c>
      <c r="AT754" s="24" t="inlineStr">
        <is>
          <t>Leolia Jeanjean</t>
        </is>
      </c>
      <c r="AU754" s="24" t="inlineStr">
        <is>
          <t>Leolia Jeanjean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6c67e999d2a03612e30f4032c8e5e77e8becfbc79e05f4c8993e726b90d34d54</t>
        </is>
      </c>
      <c r="BB754" s="24" t="inlineStr">
        <is>
          <t>surface_blended_elo</t>
        </is>
      </c>
      <c r="BC754" s="24" t="inlineStr">
        <is>
          <t>tennis-surface-elo-v1</t>
        </is>
      </c>
      <c r="BD754" s="24" t="inlineStr">
        <is>
          <t>6c67e999d2a03612e30f4032c8e5e77e8becfbc79e05f4c8993e726b90d34d54</t>
        </is>
      </c>
      <c r="BE754" s="24" t="inlineStr">
        <is>
          <t>tennis-surface-elo-v1</t>
        </is>
      </c>
      <c r="BF754" s="24" t="inlineStr">
        <is>
          <t>1</t>
        </is>
      </c>
      <c r="BG754" s="24" t="inlineStr">
        <is>
          <t>6c67e999d2a03612e30f4032c8e5e77e8becfbc79e05f4c8993e726b90d34d54</t>
        </is>
      </c>
      <c r="BH754" s="24" t="inlineStr">
        <is>
          <t>2026-10-02T10:05:22.031160Z</t>
        </is>
      </c>
      <c r="BI754" s="24" t="inlineStr">
        <is>
          <t>["same_event","same_team_same_day","same_league_same_day"]</t>
        </is>
      </c>
      <c r="BJ754" s="25" t="n"/>
      <c r="BK754" s="26" t="n">
        <v>-117</v>
      </c>
      <c r="BL754" s="27" t="n">
        <v>1.854701</v>
      </c>
      <c r="BM754" s="28" t="n">
        <v>0.539171</v>
      </c>
      <c r="BN754" s="28" t="n"/>
      <c r="BO754" s="28" t="n"/>
      <c r="BP754" s="25" t="n"/>
      <c r="BQ754" s="27" t="n">
        <v>1.854701</v>
      </c>
      <c r="BR754" s="28" t="n">
        <v>0.54</v>
      </c>
      <c r="BS754" s="28" t="n"/>
      <c r="BT754" s="28" t="n"/>
      <c r="BU754" s="25" t="n"/>
      <c r="BV754" s="29" t="n"/>
      <c r="BW754" s="24" t="n"/>
      <c r="BX754" s="30" t="n">
        <v>1</v>
      </c>
      <c r="BY754" s="27" t="n">
        <v>-1</v>
      </c>
      <c r="BZ754" s="24" t="inlineStr">
        <is>
          <t>2026-10-02T22:00:14.414207Z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inlineStr">
        <is>
          <t>f0742e31060046ab405be854f7850dbd903a6bc7ed2eb2f6cb5031a751e1e45f</t>
        </is>
      </c>
      <c r="DE754" s="24" t="inlineStr">
        <is>
          <t>/Users/vincentc9002/model-prediction/data/odds/tennis/2026-10-02/polymarket_snapshots.jsonl</t>
        </is>
      </c>
      <c r="DF754" s="24" t="inlineStr">
        <is>
          <t>1150178:2026-10-02T10:05:22.031160Z</t>
        </is>
      </c>
      <c r="DG754" s="24" t="n"/>
      <c r="DH754" s="24" t="n"/>
      <c r="DI754" s="24" t="n"/>
      <c r="DJ754" s="24" t="inlineStr">
        <is>
          <t>0.539171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"6c67e999d2a03612e30f4032c8e5e77e8becfbc79e05f4c8993e726b90d34d54", "away_team": "Lucrezia Stefanini", "event_id": "1078-2026:184147", "event_start_utc": "2026-10-02T12:00Z", "features": {"elo_p1_surface": 1604.2, "elo_p2_surface": 1577.5, "expected_games_p1": 13.05, "expected_games_p2": 11.51, "expected_total_games": 24.56, "history_matches": 16501, "min_player_matches": 122, "surface": "Hard"}, "historical_source_observation_times_verified": false, "home_team": "Leolia Jeanjean", "inference_inputs": {"code_sha256": {"features/elo_ratings.py": "8525faf022a6343c452286dbfeb17dbb043744c6bdabbe448b6b371216da439b", "models/tennis.py": "6c67e999d2a03612e30f4032c8e5e77e8becfbc79e05f4c8993e726b90d34d54"}, "overall_ratings": [1610.6766429818795, 1634.8574430640908], "players": ["Lucrezia Stefanini", "Leolia Jeanjean"], "sport": "TENNIS", "surface": "Hard", "surface_counts": [95, 99], "surface_ratings": [1604.245199538312, 1577.4548516414675]}, "market_type": "moneyline", "model_version": "tennis-surface-elo-v1", "observed_at_utc": "2026-10-02T10:08:29.291477+00:00", "probabilities": {"away": 0.5194, "home": 0.4806}, "replay_scope": "Exact full-precision serving state and rounding; upstream historical observation times are not certified.", "schema": "coded-moneyline-replay-v1", "snapshot_hash": "27b24a6ec159eacbb6205b86b81898cc4fb9c801954df4fe3ff00302f5253af8", "sport": "TENNIS"}</t>
        </is>
      </c>
    </row>
    <row r="755" ht="36" customHeight="1">
      <c r="A755" s="24" t="inlineStr">
        <is>
          <t>52cb223c2f474de5</t>
        </is>
      </c>
      <c r="B755" s="24" t="inlineStr">
        <is>
          <t>2026-10-02T10:08:29.815155Z</t>
        </is>
      </c>
      <c r="C755" s="24" t="inlineStr">
        <is>
          <t>2026-10-02T11:00Z</t>
        </is>
      </c>
      <c r="D755" s="24" t="inlineStr">
        <is>
          <t>959-2026:184295</t>
        </is>
      </c>
      <c r="E755" s="24" t="inlineStr">
        <is>
          <t>TENNIS</t>
        </is>
      </c>
      <c r="F755" s="24" t="inlineStr">
        <is>
          <t>Aryna Sabalenka</t>
        </is>
      </c>
      <c r="G755" s="24" t="inlineStr">
        <is>
          <t>Renata Zarazua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polymarket_us</t>
        </is>
      </c>
      <c r="L755" s="26" t="n">
        <v>-3233</v>
      </c>
      <c r="M755" s="27" t="n">
        <v>1.030931</v>
      </c>
      <c r="N755" s="28" t="n">
        <v>0.969997</v>
      </c>
      <c r="O755" s="28" t="n">
        <v>0.9633</v>
      </c>
      <c r="P755" s="28" t="n">
        <v>0.05</v>
      </c>
      <c r="Q755" s="28" t="n">
        <v>-0.006697</v>
      </c>
      <c r="R755" s="26" t="n">
        <v>17</v>
      </c>
      <c r="S755" s="29" t="n">
        <v>1</v>
      </c>
      <c r="T755" s="24" t="inlineStr">
        <is>
          <t>tennis-surface-elo-v1</t>
        </is>
      </c>
      <c r="U755" s="24" t="inlineStr">
        <is>
          <t>settled</t>
        </is>
      </c>
      <c r="V755" s="24" t="inlineStr">
        <is>
          <t>win</t>
        </is>
      </c>
      <c r="W755" s="26" t="n">
        <v>1</v>
      </c>
      <c r="X755" s="26" t="n">
        <v>0</v>
      </c>
      <c r="Y755" s="25" t="n"/>
      <c r="Z755" s="26" t="n">
        <v>-3233</v>
      </c>
      <c r="AA755" s="28" t="n">
        <v>0.97</v>
      </c>
      <c r="AB755" s="28" t="n">
        <v>3e-06</v>
      </c>
      <c r="AC755" s="30" t="n">
        <v>0.0309</v>
      </c>
      <c r="AD755" s="24" t="inlineStr">
        <is>
          <t>2026-10-02T16:00:16.335848Z</t>
        </is>
      </c>
      <c r="AE755" s="31" t="inlineStr">
        <is>
          <t>Surface-blended Elo on Hard: Aryna Sabalenka p=0.963 vs Renata Zarazua. Executable ask 0.9700 (aec-wta-renzar-arysab-2026-10-01).</t>
        </is>
      </c>
      <c r="AF755" s="31" t="inlineStr">
        <is>
          <t>Surface-blended Elo model; singles only, WTA+ATP market coverage, not yet locked-holdout qualified -- promoted by explicit operator directive, not genuine walk-forward validation.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Aryna Sabalenka</t>
        </is>
      </c>
      <c r="AQ755" s="24" t="inlineStr">
        <is>
          <t>Aryna Sabalenka</t>
        </is>
      </c>
      <c r="AR755" s="24" t="inlineStr">
        <is>
          <t>Aryna Sabalenka</t>
        </is>
      </c>
      <c r="AS755" s="24" t="inlineStr">
        <is>
          <t>Renata Zarazua</t>
        </is>
      </c>
      <c r="AT755" s="24" t="inlineStr">
        <is>
          <t>Renata Zarazua</t>
        </is>
      </c>
      <c r="AU755" s="24" t="inlineStr">
        <is>
          <t>Renata Zarazua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6c67e999d2a03612e30f4032c8e5e77e8becfbc79e05f4c8993e726b90d34d54</t>
        </is>
      </c>
      <c r="BB755" s="24" t="inlineStr">
        <is>
          <t>surface_blended_elo</t>
        </is>
      </c>
      <c r="BC755" s="24" t="inlineStr">
        <is>
          <t>tennis-surface-elo-v1</t>
        </is>
      </c>
      <c r="BD755" s="24" t="inlineStr">
        <is>
          <t>6c67e999d2a03612e30f4032c8e5e77e8becfbc79e05f4c8993e726b90d34d54</t>
        </is>
      </c>
      <c r="BE755" s="24" t="inlineStr">
        <is>
          <t>tennis-surface-elo-v1</t>
        </is>
      </c>
      <c r="BF755" s="24" t="inlineStr">
        <is>
          <t>1</t>
        </is>
      </c>
      <c r="BG755" s="24" t="inlineStr">
        <is>
          <t>6c67e999d2a03612e30f4032c8e5e77e8becfbc79e05f4c8993e726b90d34d54</t>
        </is>
      </c>
      <c r="BH755" s="24" t="inlineStr">
        <is>
          <t>2026-10-02T10:05:22.036763Z</t>
        </is>
      </c>
      <c r="BI755" s="24" t="inlineStr">
        <is>
          <t>["same_event","same_team_same_day","same_league_same_day"]</t>
        </is>
      </c>
      <c r="BJ755" s="25" t="n"/>
      <c r="BK755" s="26" t="n">
        <v>-3233</v>
      </c>
      <c r="BL755" s="27" t="n">
        <v>1.030931</v>
      </c>
      <c r="BM755" s="28" t="n">
        <v>0.969997</v>
      </c>
      <c r="BN755" s="28" t="n"/>
      <c r="BO755" s="28" t="n"/>
      <c r="BP755" s="25" t="n"/>
      <c r="BQ755" s="27" t="n">
        <v>1.030931</v>
      </c>
      <c r="BR755" s="28" t="n">
        <v>0.97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0.030931</v>
      </c>
      <c r="BZ755" s="24" t="inlineStr">
        <is>
          <t>2026-10-02T16:00:16.335848Z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inlineStr">
        <is>
          <t>043fc7a6c39793fadd0e0524e053d622bd46fad082380883e3bd14dd299be32e</t>
        </is>
      </c>
      <c r="DE755" s="24" t="inlineStr">
        <is>
          <t>/Users/vincentc9002/model-prediction/data/odds/tennis/2026-10-02/polymarket_snapshots.jsonl</t>
        </is>
      </c>
      <c r="DF755" s="24" t="inlineStr">
        <is>
          <t>1145755:2026-10-02T10:05:22.036763Z</t>
        </is>
      </c>
      <c r="DG755" s="24" t="n"/>
      <c r="DH755" s="24" t="n"/>
      <c r="DI755" s="24" t="n"/>
      <c r="DJ755" s="24" t="inlineStr">
        <is>
          <t>0.969997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"6c67e999d2a03612e30f4032c8e5e77e8becfbc79e05f4c8993e726b90d34d54", "away_team": "Aryna Sabalenka", "event_id": "959-2026:184295", "event_start_utc": "2026-10-02T11:00Z", "features": {"elo_p1_surface": 2056.4, "elo_p2_surface": 1478.5, "expected_games_p1": 12.05, "expected_games_p2": 2.85, "expected_total_games": 14.9, "history_matches": 16501, "min_player_matches": 144, "surface": "Hard"}, "historical_source_observation_times_verified": false, "home_team": "Renata Zarazua", "inference_inputs": {"code_sha256": {"features/elo_ratings.py": "8525faf022a6343c452286dbfeb17dbb043744c6bdabbe448b6b371216da439b", "models/tennis.py": "6c67e999d2a03612e30f4032c8e5e77e8becfbc79e05f4c8993e726b90d34d54"}, "overall_ratings": [2024.5702862719572, 1490.1362889683137], "players": ["Aryna Sabalenka", "Renata Zarazua"], "sport": "TENNIS", "surface": "Hard", "surface_counts": [139, 115], "surface_ratings": [2056.4035409038943, 1478.4978239587986]}, "market_type": "moneyline", "model_version": "tennis-surface-elo-v1", "observed_at_utc": "2026-10-02T10:08:29.291477+00:00", "probabilities": {"away": 0.9633, "home": 0.0367}, "replay_scope": "Exact full-precision serving state and rounding; upstream historical observation times are not certified.", "schema": "coded-moneyline-replay-v1", "snapshot_hash": "6b8d4323c3b368b72a848948bd097cde00df63579ecc9cdf93682a79ea926ad8", "sport": "TENNIS"}</t>
        </is>
      </c>
    </row>
    <row r="756" ht="36" customHeight="1">
      <c r="A756" s="24" t="inlineStr">
        <is>
          <t>dd8d9292e18040df</t>
        </is>
      </c>
      <c r="B756" s="24" t="inlineStr">
        <is>
          <t>2026-10-02T10:08:29.815155Z</t>
        </is>
      </c>
      <c r="C756" s="24" t="inlineStr">
        <is>
          <t>2026-10-02T12:30Z</t>
        </is>
      </c>
      <c r="D756" s="24" t="inlineStr">
        <is>
          <t>959-2026:183453</t>
        </is>
      </c>
      <c r="E756" s="24" t="inlineStr">
        <is>
          <t>TENNIS</t>
        </is>
      </c>
      <c r="F756" s="24" t="inlineStr">
        <is>
          <t>Novak Djokovic</t>
        </is>
      </c>
      <c r="G756" s="24" t="inlineStr">
        <is>
          <t>Bu Yunchaokete</t>
        </is>
      </c>
      <c r="H756" s="24" t="inlineStr">
        <is>
          <t>moneyline</t>
        </is>
      </c>
      <c r="I756" s="24" t="inlineStr">
        <is>
          <t>away</t>
        </is>
      </c>
      <c r="J756" s="25" t="n"/>
      <c r="K756" s="24" t="inlineStr">
        <is>
          <t>polymarket_us</t>
        </is>
      </c>
      <c r="L756" s="26" t="n">
        <v>-335</v>
      </c>
      <c r="M756" s="27" t="n">
        <v>1.298507</v>
      </c>
      <c r="N756" s="28" t="n">
        <v>0.770115</v>
      </c>
      <c r="O756" s="28" t="n">
        <v>0.8448</v>
      </c>
      <c r="P756" s="28" t="n">
        <v>0.05</v>
      </c>
      <c r="Q756" s="28" t="n">
        <v>0.074685</v>
      </c>
      <c r="R756" s="26" t="n">
        <v>57</v>
      </c>
      <c r="S756" s="29" t="n">
        <v>1.25</v>
      </c>
      <c r="T756" s="24" t="inlineStr">
        <is>
          <t>tennis-surface-elo-v1</t>
        </is>
      </c>
      <c r="U756" s="24" t="inlineStr">
        <is>
          <t>settled</t>
        </is>
      </c>
      <c r="V756" s="24" t="inlineStr">
        <is>
          <t>win</t>
        </is>
      </c>
      <c r="W756" s="26" t="n">
        <v>1</v>
      </c>
      <c r="X756" s="26" t="n">
        <v>0</v>
      </c>
      <c r="Y756" s="25" t="n"/>
      <c r="Z756" s="26" t="n">
        <v>-335</v>
      </c>
      <c r="AA756" s="28" t="n">
        <v>0.77</v>
      </c>
      <c r="AB756" s="28" t="n">
        <v>-0.000115</v>
      </c>
      <c r="AC756" s="30" t="n">
        <v>0.3731</v>
      </c>
      <c r="AD756" s="24" t="inlineStr">
        <is>
          <t>2026-10-02T16:00:17.495856Z</t>
        </is>
      </c>
      <c r="AE756" s="31" t="inlineStr">
        <is>
          <t>Surface-blended Elo on Hard: Novak Djokovic p=0.845 vs Bu Yunchaokete. Executable ask 0.7700 (aec-atp-yunbu-novdjo-2026-10-01).</t>
        </is>
      </c>
      <c r="AF756" s="31" t="inlineStr">
        <is>
          <t>Surface-blended Elo model; singles only, WTA+ATP market coverage, not yet locked-holdout qualified -- promoted by explicit operator directive, not genuine walk-forward validation.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Novak Djokovic</t>
        </is>
      </c>
      <c r="AQ756" s="24" t="inlineStr">
        <is>
          <t>Novak Djokovic</t>
        </is>
      </c>
      <c r="AR756" s="24" t="inlineStr">
        <is>
          <t>Novak Djokovic</t>
        </is>
      </c>
      <c r="AS756" s="24" t="inlineStr">
        <is>
          <t>Bu Yunchaokete</t>
        </is>
      </c>
      <c r="AT756" s="24" t="inlineStr">
        <is>
          <t>Bu Yunchaokete</t>
        </is>
      </c>
      <c r="AU756" s="24" t="inlineStr">
        <is>
          <t>Bu Yunchaokete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6c67e999d2a03612e30f4032c8e5e77e8becfbc79e05f4c8993e726b90d34d54</t>
        </is>
      </c>
      <c r="BB756" s="24" t="inlineStr">
        <is>
          <t>surface_blended_elo</t>
        </is>
      </c>
      <c r="BC756" s="24" t="inlineStr">
        <is>
          <t>tennis-surface-elo-v1</t>
        </is>
      </c>
      <c r="BD756" s="24" t="inlineStr">
        <is>
          <t>6c67e999d2a03612e30f4032c8e5e77e8becfbc79e05f4c8993e726b90d34d54</t>
        </is>
      </c>
      <c r="BE756" s="24" t="inlineStr">
        <is>
          <t>tennis-surface-elo-v1</t>
        </is>
      </c>
      <c r="BF756" s="24" t="inlineStr">
        <is>
          <t>1</t>
        </is>
      </c>
      <c r="BG756" s="24" t="inlineStr">
        <is>
          <t>6c67e999d2a03612e30f4032c8e5e77e8becfbc79e05f4c8993e726b90d34d54</t>
        </is>
      </c>
      <c r="BH756" s="24" t="inlineStr">
        <is>
          <t>2026-10-02T10:06:06.206735Z</t>
        </is>
      </c>
      <c r="BI756" s="24" t="inlineStr">
        <is>
          <t>["same_event","same_team_same_day","same_league_same_day"]</t>
        </is>
      </c>
      <c r="BJ756" s="25" t="n"/>
      <c r="BK756" s="26" t="n">
        <v>-335</v>
      </c>
      <c r="BL756" s="27" t="n">
        <v>1.298507</v>
      </c>
      <c r="BM756" s="28" t="n">
        <v>0.770115</v>
      </c>
      <c r="BN756" s="28" t="n"/>
      <c r="BO756" s="28" t="n"/>
      <c r="BP756" s="25" t="n"/>
      <c r="BQ756" s="27" t="n">
        <v>1.298507</v>
      </c>
      <c r="BR756" s="28" t="n">
        <v>0.77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inlineStr">
        <is>
          <t>0c07cd292534a0ef85d630c5161de30641bdfa6d25f6f60a31a6689b56c0f5f8</t>
        </is>
      </c>
      <c r="DE756" s="24" t="inlineStr">
        <is>
          <t>/Users/vincentc9002/model-prediction/data/odds/tennis/2026-10-02/polymarket_snapshots.jsonl</t>
        </is>
      </c>
      <c r="DF756" s="24" t="inlineStr">
        <is>
          <t>1144887:2026-10-02T10:06:06.206735Z</t>
        </is>
      </c>
      <c r="DG756" s="24" t="n"/>
      <c r="DH756" s="24" t="n"/>
      <c r="DI756" s="24" t="n"/>
      <c r="DJ756" s="24" t="inlineStr">
        <is>
          <t>0.770115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"6c67e999d2a03612e30f4032c8e5e77e8becfbc79e05f4c8993e726b90d34d54", "away_team": "Novak Djokovic", "event_id": "959-2026:183453", "event_start_utc": "2026-10-02T12:30Z", "features": {"elo_p1_surface": 1819.3, "elo_p2_surface": 1540.1, "expected_games_p1": 12.38, "expected_games_p2": 4.82, "expected_total_games": 17.21, "history_matches": 11341, "min_player_matches": 86, "surface": "Hard"}, "historical_source_observation_times_verified": false, "home_team": "Bu Yunchaokete", "inference_inputs": {"code_sha256": {"features/elo_ratings.py": "8525faf022a6343c452286dbfeb17dbb043744c6bdabbe448b6b371216da439b", "models/tennis.py": "6c67e999d2a03612e30f4032c8e5e77e8becfbc79e05f4c8993e726b90d34d54"}, "overall_ratings": [1871.8944494809791, 1542.983826737946], "players": ["Novak Djokovic", "Bu Yunchaokete"], "sport": "TENNIS", "surface": "Hard", "surface_counts": [68, 70], "surface_ratings": [1819.2822385084503, 1540.082973318543]}, "market_type": "moneyline", "model_version": "tennis-surface-elo-v1", "observed_at_utc": "2026-10-02T10:08:29.291477+00:00", "probabilities": {"away": 0.8448, "home": 0.1552}, "replay_scope": "Exact full-precision serving state and rounding; upstream historical observation times are not certified.", "schema": "coded-moneyline-replay-v1", "snapshot_hash": "588b978915677e565a5c36481ded91af73abb48d14e97365feb7ae13b51e401e", "sport": "TENNIS"}</t>
        </is>
      </c>
    </row>
    <row r="757" ht="36" customHeight="1">
      <c r="A757" s="24" t="inlineStr">
        <is>
          <t>babdf28364534a33</t>
        </is>
      </c>
      <c r="B757" s="24" t="inlineStr">
        <is>
          <t>2026-10-02T22:06:17.437510Z</t>
        </is>
      </c>
      <c r="C757" s="24" t="inlineStr">
        <is>
          <t>2026-10-03T03:00Z</t>
        </is>
      </c>
      <c r="D757" s="24" t="inlineStr">
        <is>
          <t>959-2026:184311</t>
        </is>
      </c>
      <c r="E757" s="24" t="inlineStr">
        <is>
          <t>TENNIS</t>
        </is>
      </c>
      <c r="F757" s="24" t="inlineStr">
        <is>
          <t>Camila Osorio</t>
        </is>
      </c>
      <c r="G757" s="24" t="inlineStr">
        <is>
          <t>Coco Gauff</t>
        </is>
      </c>
      <c r="H757" s="24" t="inlineStr">
        <is>
          <t>moneyline</t>
        </is>
      </c>
      <c r="I757" s="24" t="inlineStr">
        <is>
          <t>home</t>
        </is>
      </c>
      <c r="J757" s="25" t="n"/>
      <c r="K757" s="24" t="inlineStr">
        <is>
          <t>polymarket_us</t>
        </is>
      </c>
      <c r="L757" s="26" t="n">
        <v>-1011</v>
      </c>
      <c r="M757" s="27" t="n">
        <v>1.098912</v>
      </c>
      <c r="N757" s="28" t="n">
        <v>0.909991</v>
      </c>
      <c r="O757" s="28" t="n">
        <v>0.8575</v>
      </c>
      <c r="P757" s="28" t="n">
        <v>0.05</v>
      </c>
      <c r="Q757" s="28" t="n">
        <v>-0.052491</v>
      </c>
      <c r="R757" s="26" t="n">
        <v>0</v>
      </c>
      <c r="S757" s="29" t="n">
        <v>1</v>
      </c>
      <c r="T757" s="24" t="inlineStr">
        <is>
          <t>tennis-surface-elo-v1</t>
        </is>
      </c>
      <c r="U757" s="24" t="inlineStr">
        <is>
          <t>settled</t>
        </is>
      </c>
      <c r="V757" s="24" t="inlineStr">
        <is>
          <t>win</t>
        </is>
      </c>
      <c r="W757" s="26" t="n">
        <v>0</v>
      </c>
      <c r="X757" s="26" t="n">
        <v>1</v>
      </c>
      <c r="Y757" s="25" t="n"/>
      <c r="Z757" s="26" t="n">
        <v>-1011</v>
      </c>
      <c r="AA757" s="28" t="n">
        <v>0.91</v>
      </c>
      <c r="AB757" s="28" t="n">
        <v>9e-06</v>
      </c>
      <c r="AC757" s="30" t="n">
        <v>0.0989</v>
      </c>
      <c r="AD757" s="24" t="inlineStr">
        <is>
          <t>2026-10-03T10:00:12.406266Z</t>
        </is>
      </c>
      <c r="AE757" s="31" t="inlineStr">
        <is>
          <t>Surface-blended Elo on Hard: Camila Osorio p=0.143 vs Coco Gauff. Executable ask 0.9100 (aec-wta-cocgau-camoso-2026-10-02).</t>
        </is>
      </c>
      <c r="AF757" s="31" t="inlineStr">
        <is>
          <t>Surface-blended Elo model; singles only, WTA+ATP market coverage, not yet locked-holdout qualified -- promoted by explicit operator directive, not genuine walk-forward validation.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Camila Osorio</t>
        </is>
      </c>
      <c r="AQ757" s="24" t="inlineStr">
        <is>
          <t>Camila Osorio</t>
        </is>
      </c>
      <c r="AR757" s="24" t="inlineStr">
        <is>
          <t>Camila Osorio</t>
        </is>
      </c>
      <c r="AS757" s="24" t="inlineStr">
        <is>
          <t>Coco Gauff</t>
        </is>
      </c>
      <c r="AT757" s="24" t="inlineStr">
        <is>
          <t>Coco Gauff</t>
        </is>
      </c>
      <c r="AU757" s="24" t="inlineStr">
        <is>
          <t>Coco Gauff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6c67e999d2a03612e30f4032c8e5e77e8becfbc79e05f4c8993e726b90d34d54</t>
        </is>
      </c>
      <c r="BB757" s="24" t="inlineStr">
        <is>
          <t>surface_blended_elo</t>
        </is>
      </c>
      <c r="BC757" s="24" t="inlineStr">
        <is>
          <t>tennis-surface-elo-v1</t>
        </is>
      </c>
      <c r="BD757" s="24" t="inlineStr">
        <is>
          <t>6c67e999d2a03612e30f4032c8e5e77e8becfbc79e05f4c8993e726b90d34d54</t>
        </is>
      </c>
      <c r="BE757" s="24" t="inlineStr">
        <is>
          <t>tennis-surface-elo-v1</t>
        </is>
      </c>
      <c r="BF757" s="24" t="inlineStr">
        <is>
          <t>1</t>
        </is>
      </c>
      <c r="BG757" s="24" t="inlineStr">
        <is>
          <t>6c67e999d2a03612e30f4032c8e5e77e8becfbc79e05f4c8993e726b90d34d54</t>
        </is>
      </c>
      <c r="BH757" s="24" t="inlineStr">
        <is>
          <t>2026-10-02T22:05:47.471414Z</t>
        </is>
      </c>
      <c r="BI757" s="24" t="inlineStr">
        <is>
          <t>["same_event","same_team_same_day","same_league_same_day"]</t>
        </is>
      </c>
      <c r="BJ757" s="25" t="n"/>
      <c r="BK757" s="26" t="n">
        <v>-1011</v>
      </c>
      <c r="BL757" s="27" t="n">
        <v>1.098912</v>
      </c>
      <c r="BM757" s="28" t="n">
        <v>0.909991</v>
      </c>
      <c r="BN757" s="28" t="n"/>
      <c r="BO757" s="28" t="n"/>
      <c r="BP757" s="25" t="n"/>
      <c r="BQ757" s="27" t="n">
        <v>1.098912</v>
      </c>
      <c r="BR757" s="28" t="n">
        <v>0.91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0.098912</v>
      </c>
      <c r="BZ757" s="24" t="inlineStr">
        <is>
          <t>2026-10-03T10:00:12.406266Z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inlineStr">
        <is>
          <t>dea528fdd833965931d56061e4d585a02ebdbdd1b1cde05e1cf0f7be588fc87f</t>
        </is>
      </c>
      <c r="DE757" s="24" t="inlineStr">
        <is>
          <t>/Users/vincentc9002/model-prediction/data/odds/tennis/2026-10-02/polymarket_snapshots.jsonl</t>
        </is>
      </c>
      <c r="DF757" s="24" t="inlineStr">
        <is>
          <t>1156516:2026-10-02T22:05:47.471414Z</t>
        </is>
      </c>
      <c r="DG757" s="24" t="n"/>
      <c r="DH757" s="24" t="n"/>
      <c r="DI757" s="24" t="n"/>
      <c r="DJ757" s="24" t="inlineStr">
        <is>
          <t>0.909991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"6c67e999d2a03612e30f4032c8e5e77e8becfbc79e05f4c8993e726b90d34d54", "away_team": "Camila Osorio", "event_id": "959-2026:184311", "event_start_utc": "2026-10-03T03:00Z", "features": {"elo_p1_surface": 1656.8, "elo_p2_surface": 1954.6, "expected_games_p1": 4.21, "expected_games_p2": 12.21, "expected_total_games": 16.41, "history_matches": 16501, "min_player_matches": 142,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[1655.7215899804492, 2011.17203052355], "players": ["Camila Osorio", "Coco Gauff"], "sport": "TENNIS", "surface": "Hard", "surface_counts": [109, 125], "surface_ratings": [1656.76738943513, 1954.6405075761952]}, "market_type": "moneyline", "model_version": "tennis-surface-elo-v1", "observed_at_utc": "2026-10-02T22:06:16.879941+00:00", "probabilities": {"away": 0.1425, "home": 0.8575}, "replay_scope": "Exact full-precision serving state and rounding; upstream historical observation times are not certified.", "schema": "coded-moneyline-replay-v1", "snapshot_hash": "25538ca4fb0fceaff55589fbaebabb11f8c9fdd5bccfe37b04f397d0877dd3cc", "sport": "TENNIS"}</t>
        </is>
      </c>
    </row>
    <row r="758" ht="36" customHeight="1">
      <c r="A758" s="24" t="inlineStr">
        <is>
          <t>ced26ecdde3743c0</t>
        </is>
      </c>
      <c r="B758" s="24" t="inlineStr">
        <is>
          <t>2026-10-02T22:06:17.437510Z</t>
        </is>
      </c>
      <c r="C758" s="24" t="inlineStr">
        <is>
          <t>2026-10-03T05:00Z</t>
        </is>
      </c>
      <c r="D758" s="24" t="inlineStr">
        <is>
          <t>959-2026:183444</t>
        </is>
      </c>
      <c r="E758" s="24" t="inlineStr">
        <is>
          <t>TENNIS</t>
        </is>
      </c>
      <c r="F758" s="24" t="inlineStr">
        <is>
          <t>Roman Safiullin</t>
        </is>
      </c>
      <c r="G758" s="24" t="inlineStr">
        <is>
          <t>Andrey Rublev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polymarket_us</t>
        </is>
      </c>
      <c r="L758" s="26" t="n">
        <v>-133</v>
      </c>
      <c r="M758" s="27" t="n">
        <v>1.75188</v>
      </c>
      <c r="N758" s="28" t="n">
        <v>0.570815</v>
      </c>
      <c r="O758" s="28" t="n">
        <v>0.6924</v>
      </c>
      <c r="P758" s="28" t="n">
        <v>0.05</v>
      </c>
      <c r="Q758" s="28" t="n">
        <v>0.121585</v>
      </c>
      <c r="R758" s="26" t="n">
        <v>81</v>
      </c>
      <c r="S758" s="29" t="n">
        <v>1.5</v>
      </c>
      <c r="T758" s="24" t="inlineStr">
        <is>
          <t>tennis-surface-elo-v1</t>
        </is>
      </c>
      <c r="U758" s="24" t="inlineStr">
        <is>
          <t>settled</t>
        </is>
      </c>
      <c r="V758" s="24" t="inlineStr">
        <is>
          <t>win</t>
        </is>
      </c>
      <c r="W758" s="26" t="n">
        <v>0</v>
      </c>
      <c r="X758" s="26" t="n">
        <v>1</v>
      </c>
      <c r="Y758" s="25" t="n"/>
      <c r="Z758" s="26" t="n">
        <v>-133</v>
      </c>
      <c r="AA758" s="28" t="n">
        <v>0.57</v>
      </c>
      <c r="AB758" s="28" t="n">
        <v>-0.000815</v>
      </c>
      <c r="AC758" s="30" t="n">
        <v>1.1278</v>
      </c>
      <c r="AD758" s="24" t="inlineStr">
        <is>
          <t>2026-10-03T10:00:13.754452Z</t>
        </is>
      </c>
      <c r="AE758" s="31" t="inlineStr">
        <is>
          <t>Surface-blended Elo on Hard: Roman Safiullin p=0.308 vs Andrey Rublev. Executable ask 0.5700 (aec-atp-andrub-romsaf-2026-10-02).</t>
        </is>
      </c>
      <c r="AF758" s="31" t="inlineStr">
        <is>
          <t>Surface-blended Elo model; singles only, WTA+ATP market coverage, not yet locked-holdout qualified -- promoted by explicit operator directive, not genuine walk-forward validation.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PAPER_CALL_STALE_DATA</t>
        </is>
      </c>
      <c r="AP758" s="24" t="inlineStr">
        <is>
          <t>Roman Safiullin</t>
        </is>
      </c>
      <c r="AQ758" s="24" t="inlineStr">
        <is>
          <t>Roman Safiullin</t>
        </is>
      </c>
      <c r="AR758" s="24" t="inlineStr">
        <is>
          <t>Roman Safiullin</t>
        </is>
      </c>
      <c r="AS758" s="24" t="inlineStr">
        <is>
          <t>Andrey Rublev</t>
        </is>
      </c>
      <c r="AT758" s="24" t="inlineStr">
        <is>
          <t>Andrey Rublev</t>
        </is>
      </c>
      <c r="AU758" s="24" t="inlineStr">
        <is>
          <t>Andrey Rublev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6c67e999d2a03612e30f4032c8e5e77e8becfbc79e05f4c8993e726b90d34d54</t>
        </is>
      </c>
      <c r="BB758" s="24" t="inlineStr">
        <is>
          <t>surface_blended_elo</t>
        </is>
      </c>
      <c r="BC758" s="24" t="inlineStr">
        <is>
          <t>tennis-surface-elo-v1</t>
        </is>
      </c>
      <c r="BD758" s="24" t="inlineStr">
        <is>
          <t>6c67e999d2a03612e30f4032c8e5e77e8becfbc79e05f4c8993e726b90d34d54</t>
        </is>
      </c>
      <c r="BE758" s="24" t="inlineStr">
        <is>
          <t>tennis-surface-elo-v1</t>
        </is>
      </c>
      <c r="BF758" s="24" t="inlineStr">
        <is>
          <t>1</t>
        </is>
      </c>
      <c r="BG758" s="24" t="inlineStr">
        <is>
          <t>6c67e999d2a03612e30f4032c8e5e77e8becfbc79e05f4c8993e726b90d34d54</t>
        </is>
      </c>
      <c r="BH758" s="24" t="inlineStr">
        <is>
          <t>2026-10-02T04:37:50.365666Z</t>
        </is>
      </c>
      <c r="BI758" s="24" t="inlineStr">
        <is>
          <t>["same_event","same_team_same_day","same_league_same_day"]</t>
        </is>
      </c>
      <c r="BJ758" s="25" t="n"/>
      <c r="BK758" s="26" t="n">
        <v>-133</v>
      </c>
      <c r="BL758" s="27" t="n">
        <v>1.75188</v>
      </c>
      <c r="BM758" s="28" t="n">
        <v>0.570815</v>
      </c>
      <c r="BN758" s="28" t="n"/>
      <c r="BO758" s="28" t="n"/>
      <c r="BP758" s="25" t="n"/>
      <c r="BQ758" s="27" t="n">
        <v>1.75188</v>
      </c>
      <c r="BR758" s="28" t="n">
        <v>0.57</v>
      </c>
      <c r="BS758" s="28" t="n"/>
      <c r="BT758" s="28" t="n"/>
      <c r="BU758" s="25" t="n"/>
      <c r="BV758" s="29" t="n"/>
      <c r="BW758" s="24" t="n"/>
      <c r="BX758" s="30" t="n">
        <v>1</v>
      </c>
      <c r="BY758" s="27" t="n">
        <v>0.751881</v>
      </c>
      <c r="BZ758" s="24" t="inlineStr">
        <is>
          <t>2026-10-03T10:00:13.754452Z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inlineStr">
        <is>
          <t>110b2bd0a77c423b33ccdc4d4b7084d07bc245c720022c3bea731302beea7137</t>
        </is>
      </c>
      <c r="DE758" s="24" t="inlineStr">
        <is>
          <t>/Users/vincentc9002/model-prediction/data/odds/tennis/2026-10-02/polymarket_snapshots.jsonl</t>
        </is>
      </c>
      <c r="DF758" s="24" t="inlineStr">
        <is>
          <t>1156416:2026-10-02T04:37:50.365666Z</t>
        </is>
      </c>
      <c r="DG758" s="24" t="n"/>
      <c r="DH758" s="24" t="n"/>
      <c r="DI758" s="24" t="n"/>
      <c r="DJ758" s="24" t="inlineStr">
        <is>
          <t>0.570815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"6c67e999d2a03612e30f4032c8e5e77e8becfbc79e05f4c8993e726b90d34d54", "away_team": "Roman Safiullin", "event_id": "959-2026:183444", "event_start_utc": "2026-10-03T05:00Z", "features": {"elo_p1_surface": 1547.3, "elo_p2_surface": 1710.3, "expected_games_p1": 8.23, "expected_games_p2": 13.14, "expected_total_games": 21.38, "history_matches": 11341, "min_player_matches": 93, "surface": "Hard"}, "historical_source_observation_times_verified": false, "home_team": "Andrey Rublev", "inference_inputs": {"code_sha256": {"features/elo_ratings.py": "8525faf022a6343c452286dbfeb17dbb043744c6bdabbe448b6b371216da439b", "models/tennis.py": "6c67e999d2a03612e30f4032c8e5e77e8becfbc79e05f4c8993e726b90d34d54"}, "overall_ratings": [1636.7222525994312, 1733.0925927180713], "players": ["Roman Safiullin", "Andrey Rublev"], "sport": "TENNIS", "surface": "Hard", "surface_counts": [65, 120], "surface_ratings": [1547.31264591742, 1710.3483294036837]}, "market_type": "moneyline", "model_version": "tennis-surface-elo-v1", "observed_at_utc": "2026-10-02T22:06:16.879941+00:00", "probabilities": {"away": 0.3076, "home": 0.6924}, "replay_scope": "Exact full-precision serving state and rounding; upstream historical observation times are not certified.", "schema": "coded-moneyline-replay-v1", "snapshot_hash": "2833644aa43575306d8a0ec5d904435a48860654d40b3f63f3a20ea6384fb869", "sport": "TENNIS"}</t>
        </is>
      </c>
    </row>
    <row r="759" ht="36" customHeight="1">
      <c r="A759" s="24" t="inlineStr">
        <is>
          <t>18cbc84991e6472f</t>
        </is>
      </c>
      <c r="B759" s="24" t="inlineStr">
        <is>
          <t>2026-10-02T22:06:17.437510Z</t>
        </is>
      </c>
      <c r="C759" s="24" t="inlineStr">
        <is>
          <t>2026-10-03T03:30Z</t>
        </is>
      </c>
      <c r="D759" s="24" t="inlineStr">
        <is>
          <t>5-2026:183501</t>
        </is>
      </c>
      <c r="E759" s="24" t="inlineStr">
        <is>
          <t>TENNIS</t>
        </is>
      </c>
      <c r="F759" s="24" t="inlineStr">
        <is>
          <t>Matteo Arnaldi</t>
        </is>
      </c>
      <c r="G759" s="24" t="inlineStr">
        <is>
          <t>Carlos Alcaraz</t>
        </is>
      </c>
      <c r="H759" s="24" t="inlineStr">
        <is>
          <t>moneyline</t>
        </is>
      </c>
      <c r="I759" s="24" t="inlineStr">
        <is>
          <t>home</t>
        </is>
      </c>
      <c r="J759" s="25" t="n"/>
      <c r="K759" s="24" t="inlineStr">
        <is>
          <t>polymarket_us</t>
        </is>
      </c>
      <c r="L759" s="26" t="n">
        <v>-1150</v>
      </c>
      <c r="M759" s="27" t="n">
        <v>1.086957</v>
      </c>
      <c r="N759" s="28" t="n">
        <v>0.92</v>
      </c>
      <c r="O759" s="28" t="n">
        <v>0.9447</v>
      </c>
      <c r="P759" s="28" t="n">
        <v>0.05</v>
      </c>
      <c r="Q759" s="28" t="n">
        <v>0.0247</v>
      </c>
      <c r="R759" s="26" t="n">
        <v>32</v>
      </c>
      <c r="S759" s="29" t="n">
        <v>1</v>
      </c>
      <c r="T759" s="24" t="inlineStr">
        <is>
          <t>tennis-surface-elo-v1</t>
        </is>
      </c>
      <c r="U759" s="24" t="inlineStr">
        <is>
          <t>settled</t>
        </is>
      </c>
      <c r="V759" s="24" t="inlineStr">
        <is>
          <t>win</t>
        </is>
      </c>
      <c r="W759" s="26" t="n">
        <v>0</v>
      </c>
      <c r="X759" s="26" t="n">
        <v>1</v>
      </c>
      <c r="Y759" s="25" t="n"/>
      <c r="Z759" s="26" t="n">
        <v>-1150</v>
      </c>
      <c r="AA759" s="28" t="n">
        <v>0.92</v>
      </c>
      <c r="AB759" s="28" t="n">
        <v>0</v>
      </c>
      <c r="AC759" s="30" t="n">
        <v>0.08699999999999999</v>
      </c>
      <c r="AD759" s="24" t="inlineStr">
        <is>
          <t>2026-10-03T10:00:14.920190Z</t>
        </is>
      </c>
      <c r="AE759" s="31" t="inlineStr">
        <is>
          <t>Surface-blended Elo on Hard: Matteo Arnaldi p=0.055 vs Carlos Alcaraz. Executable ask 0.9200 (aec-atp-caralc-matarn-2026-10-02).</t>
        </is>
      </c>
      <c r="AF759" s="31" t="inlineStr">
        <is>
          <t>Surface-blended Elo model; singles only, WTA+ATP market coverage, not yet locked-holdout qualified -- promoted by explicit operator directive, not genuine walk-forward validation.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Matteo Arnaldi</t>
        </is>
      </c>
      <c r="AQ759" s="24" t="inlineStr">
        <is>
          <t>Matteo Arnaldi</t>
        </is>
      </c>
      <c r="AR759" s="24" t="inlineStr">
        <is>
          <t>Matteo Arnaldi</t>
        </is>
      </c>
      <c r="AS759" s="24" t="inlineStr">
        <is>
          <t>Carlos Alcaraz</t>
        </is>
      </c>
      <c r="AT759" s="24" t="inlineStr">
        <is>
          <t>Carlos Alcaraz</t>
        </is>
      </c>
      <c r="AU759" s="24" t="inlineStr">
        <is>
          <t>Carlos Alcaraz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6c67e999d2a03612e30f4032c8e5e77e8becfbc79e05f4c8993e726b90d34d54</t>
        </is>
      </c>
      <c r="BB759" s="24" t="inlineStr">
        <is>
          <t>surface_blended_elo</t>
        </is>
      </c>
      <c r="BC759" s="24" t="inlineStr">
        <is>
          <t>tennis-surface-elo-v1</t>
        </is>
      </c>
      <c r="BD759" s="24" t="inlineStr">
        <is>
          <t>6c67e999d2a03612e30f4032c8e5e77e8becfbc79e05f4c8993e726b90d34d54</t>
        </is>
      </c>
      <c r="BE759" s="24" t="inlineStr">
        <is>
          <t>tennis-surface-elo-v1</t>
        </is>
      </c>
      <c r="BF759" s="24" t="inlineStr">
        <is>
          <t>1</t>
        </is>
      </c>
      <c r="BG759" s="24" t="inlineStr">
        <is>
          <t>6c67e999d2a03612e30f4032c8e5e77e8becfbc79e05f4c8993e726b90d34d54</t>
        </is>
      </c>
      <c r="BH759" s="24" t="inlineStr">
        <is>
          <t>2026-10-02T16:07:01.394026Z</t>
        </is>
      </c>
      <c r="BI759" s="24" t="inlineStr">
        <is>
          <t>["same_event","same_team_same_day","same_league_same_day"]</t>
        </is>
      </c>
      <c r="BJ759" s="25" t="n"/>
      <c r="BK759" s="26" t="n">
        <v>-1150</v>
      </c>
      <c r="BL759" s="27" t="n">
        <v>1.086957</v>
      </c>
      <c r="BM759" s="28" t="n">
        <v>0.92</v>
      </c>
      <c r="BN759" s="28" t="n"/>
      <c r="BO759" s="28" t="n"/>
      <c r="BP759" s="25" t="n"/>
      <c r="BQ759" s="27" t="n">
        <v>1.086957</v>
      </c>
      <c r="BR759" s="28" t="n">
        <v>0.92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0.08695700000000001</v>
      </c>
      <c r="BZ759" s="24" t="inlineStr">
        <is>
          <t>2026-10-03T10:00:14.920190Z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inlineStr">
        <is>
          <t>a4121840ab3bdcd09342f5ad8cebd8934a8f6c77c9e8564caa078ca2538760b5</t>
        </is>
      </c>
      <c r="DE759" s="24" t="inlineStr">
        <is>
          <t>/Users/vincentc9002/model-prediction/data/odds/tennis/2026-10-02/polymarket_snapshots.jsonl</t>
        </is>
      </c>
      <c r="DF759" s="24" t="inlineStr">
        <is>
          <t>1156489:2026-10-02T16:07:01.394026Z</t>
        </is>
      </c>
      <c r="DG759" s="24" t="n"/>
      <c r="DH759" s="24" t="n"/>
      <c r="DI759" s="24" t="n"/>
      <c r="DJ759" s="24" t="inlineStr">
        <is>
          <t>0.92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"6c67e999d2a03612e30f4032c8e5e77e8becfbc79e05f4c8993e726b90d34d54", "away_team": "Matteo Arnaldi", "event_id": "5-2026:183501", "event_start_utc": "2026-10-03T03:30Z", "features": {"elo_p1_surface": 1484.1, "elo_p2_surface": 1982.0, "expected_games_p1": 3.25, "expected_games_p2": 12.05, "expected_total_games": 15.3, "history_matches": 11341, "min_player_matches": 132, "surface": "Hard"}, "historical_source_observation_times_verified": false, "home_team": "Carlos Alcaraz", "inference_inputs": {"code_sha256": {"features/elo_ratings.py": "8525faf022a6343c452286dbfeb17dbb043744c6bdabbe448b6b371216da439b", "models/tennis.py": "6c67e999d2a03612e30f4032c8e5e77e8becfbc79e05f4c8993e726b90d34d54"}, "overall_ratings": [1557.9380577824404, 2046.6508772149728], "players": ["Matteo Arnaldi", "Carlos Alcaraz"], "sport": "TENNIS", "surface": "Hard", "surface_counts": [82, 117], "surface_ratings": [1484.1330753574596, 1981.9985267653747]}, "market_type": "moneyline", "model_version": "tennis-surface-elo-v1", "observed_at_utc": "2026-10-02T22:06:16.879941+00:00", "probabilities": {"away": 0.0553, "home": 0.9447}, "replay_scope": "Exact full-precision serving state and rounding; upstream historical observation times are not certified.", "schema": "coded-moneyline-replay-v1", "snapshot_hash": "0b8cde7953d86d3e6e25faf102beac4e95035841170e56c1015838b92b0cbf6b", "sport": "TENNIS"}</t>
        </is>
      </c>
    </row>
    <row r="760" ht="36" customHeight="1">
      <c r="A760" s="24" t="inlineStr">
        <is>
          <t>636ef478bbf945ba</t>
        </is>
      </c>
      <c r="B760" s="24" t="inlineStr">
        <is>
          <t>2026-10-03T05:25:43.406230Z</t>
        </is>
      </c>
      <c r="C760" s="24" t="inlineStr">
        <is>
          <t>2026-10-03T07:00Z</t>
        </is>
      </c>
      <c r="D760" s="24" t="inlineStr">
        <is>
          <t>959-2026:184324</t>
        </is>
      </c>
      <c r="E760" s="24" t="inlineStr">
        <is>
          <t>TENNIS</t>
        </is>
      </c>
      <c r="F760" s="24" t="inlineStr">
        <is>
          <t>Anna Kalinskaya</t>
        </is>
      </c>
      <c r="G760" s="24" t="inlineStr">
        <is>
          <t>Zheng Qinwen</t>
        </is>
      </c>
      <c r="H760" s="24" t="inlineStr">
        <is>
          <t>moneyline</t>
        </is>
      </c>
      <c r="I760" s="24" t="inlineStr">
        <is>
          <t>home</t>
        </is>
      </c>
      <c r="J760" s="25" t="n"/>
      <c r="K760" s="24" t="inlineStr">
        <is>
          <t>polymarket_us</t>
        </is>
      </c>
      <c r="L760" s="26" t="n">
        <v>-163</v>
      </c>
      <c r="M760" s="27" t="n">
        <v>1.613497</v>
      </c>
      <c r="N760" s="28" t="n">
        <v>0.619772</v>
      </c>
      <c r="O760" s="28" t="n">
        <v>0.5567</v>
      </c>
      <c r="P760" s="28" t="n">
        <v>0.05</v>
      </c>
      <c r="Q760" s="28" t="n">
        <v>-0.063072</v>
      </c>
      <c r="R760" s="26" t="n">
        <v>0</v>
      </c>
      <c r="S760" s="29" t="n">
        <v>1</v>
      </c>
      <c r="T760" s="24" t="inlineStr">
        <is>
          <t>tennis-surface-elo-v1</t>
        </is>
      </c>
      <c r="U760" s="24" t="inlineStr">
        <is>
          <t>settled</t>
        </is>
      </c>
      <c r="V760" s="24" t="inlineStr">
        <is>
          <t>win</t>
        </is>
      </c>
      <c r="W760" s="26" t="n">
        <v>0</v>
      </c>
      <c r="X760" s="26" t="n">
        <v>1</v>
      </c>
      <c r="Y760" s="25" t="n"/>
      <c r="Z760" s="26" t="n"/>
      <c r="AA760" s="28" t="n"/>
      <c r="AB760" s="28" t="n"/>
      <c r="AC760" s="30" t="n">
        <v>0.6135</v>
      </c>
      <c r="AD760" s="24" t="inlineStr">
        <is>
          <t>2026-10-03T16:00:13.631396Z</t>
        </is>
      </c>
      <c r="AE760" s="31" t="inlineStr">
        <is>
          <t>Surface-blended Elo on Hard: Anna Kalinskaya p=0.443 vs Zheng Qinwen. Executable ask 0.6200 (aec-wta-qinzhe-annkal-2026-10-01).</t>
        </is>
      </c>
      <c r="AF760" s="31" t="inlineStr">
        <is>
          <t>Surface-blended Elo model; singles only, WTA+ATP market coverage, not yet locked-holdout qualified -- promoted by explicit operator directive, not genuine walk-forward validation.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Anna Kalinskaya</t>
        </is>
      </c>
      <c r="AQ760" s="24" t="inlineStr">
        <is>
          <t>Anna Kalinskaya</t>
        </is>
      </c>
      <c r="AR760" s="24" t="inlineStr">
        <is>
          <t>Anna Kalinskaya</t>
        </is>
      </c>
      <c r="AS760" s="24" t="inlineStr">
        <is>
          <t>Zheng Qinwen</t>
        </is>
      </c>
      <c r="AT760" s="24" t="inlineStr">
        <is>
          <t>Zheng Qinwen</t>
        </is>
      </c>
      <c r="AU760" s="24" t="inlineStr">
        <is>
          <t>Zheng Qinwen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6c67e999d2a03612e30f4032c8e5e77e8becfbc79e05f4c8993e726b90d34d54</t>
        </is>
      </c>
      <c r="BB760" s="24" t="inlineStr">
        <is>
          <t>surface_blended_elo</t>
        </is>
      </c>
      <c r="BC760" s="24" t="inlineStr">
        <is>
          <t>tennis-surface-elo-v1</t>
        </is>
      </c>
      <c r="BD760" s="24" t="inlineStr">
        <is>
          <t>6c67e999d2a03612e30f4032c8e5e77e8becfbc79e05f4c8993e726b90d34d54</t>
        </is>
      </c>
      <c r="BE760" s="24" t="inlineStr">
        <is>
          <t>tennis-surface-elo-v1</t>
        </is>
      </c>
      <c r="BF760" s="24" t="inlineStr">
        <is>
          <t>1</t>
        </is>
      </c>
      <c r="BG760" s="24" t="inlineStr">
        <is>
          <t>6c67e999d2a03612e30f4032c8e5e77e8becfbc79e05f4c8993e726b90d34d54</t>
        </is>
      </c>
      <c r="BH760" s="24" t="inlineStr">
        <is>
          <t>2026-10-03T05:22:32.013848Z</t>
        </is>
      </c>
      <c r="BI760" s="24" t="inlineStr">
        <is>
          <t>["same_event","same_team_same_day","same_league_same_day"]</t>
        </is>
      </c>
      <c r="BJ760" s="25" t="n"/>
      <c r="BK760" s="26" t="n">
        <v>-163</v>
      </c>
      <c r="BL760" s="27" t="n">
        <v>1.613497</v>
      </c>
      <c r="BM760" s="28" t="n">
        <v>0.619772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0.613497</v>
      </c>
      <c r="BZ760" s="24" t="inlineStr">
        <is>
          <t>2026-10-03T16:00:13.631396Z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False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inlineStr">
        <is>
          <t>79e141bcc20f7fcc17f4ef09eae792d18ba93d17b4687c69a9ba63e508f66a1d</t>
        </is>
      </c>
      <c r="DE760" s="24" t="inlineStr">
        <is>
          <t>/Users/vincentc9002/model-prediction/data/odds/tennis/2026-10-03/polymarket_snapshots.jsonl</t>
        </is>
      </c>
      <c r="DF760" s="24" t="inlineStr">
        <is>
          <t>1155082:2026-10-03T05:22:32.013848Z</t>
        </is>
      </c>
      <c r="DG760" s="24" t="n"/>
      <c r="DH760" s="24" t="n"/>
      <c r="DI760" s="24" t="n"/>
      <c r="DJ760" s="24" t="inlineStr">
        <is>
          <t>0.619772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"6c67e999d2a03612e30f4032c8e5e77e8becfbc79e05f4c8993e726b90d34d54", "away_team": "Anna Kalinskaya", "event_id": "959-2026:184324", "event_start_utc": "2026-10-03T07:00Z", "features": {"elo_p1_surface": 1743.8, "elo_p2_surface": 1795.9, "expected_games_p1": 11.11, "expected_games_p2": 13.1, "expected_total_games": 24.21, "history_matches": 16523, "min_player_matches": 129, "surface": "Hard"}, "historical_source_observation_times_verified": false, "home_team": "Zheng Qinwen", "inference_inputs": {"code_sha256": {"features/elo_ratings.py": "8525faf022a6343c452286dbfeb17dbb043744c6bdabbe448b6b371216da439b", "models/tennis.py": "6c67e999d2a03612e30f4032c8e5e77e8becfbc79e05f4c8993e726b90d34d54"}, "overall_ratings": [1789.9381232260348, 1792.1294681625193], "players": ["Anna Kalinskaya", "Zheng Qinwen"], "sport": "TENNIS", "surface": "Hard", "surface_counts": [113, 97], "surface_ratings": [1743.7633549496709, 1795.8746000929868]}, "market_type": "moneyline", "model_version": "tennis-surface-elo-v1", "observed_at_utc": "2026-10-03T05:25:42.237063+00:00", "probabilities": {"away": 0.4433, "home": 0.5567}, "replay_scope": "Exact full-precision serving state and rounding; upstream historical observation times are not certified.", "schema": "coded-moneyline-replay-v1", "snapshot_hash": "fd04a4d300a54ffe13c276174b7c5e22760655bd0d9c182ebe5bf25e0f58b546", "sport": "TENNIS"}</t>
        </is>
      </c>
    </row>
    <row r="761" ht="36" customHeight="1">
      <c r="A761" s="24" t="inlineStr">
        <is>
          <t>5503b8e2d0fa4037</t>
        </is>
      </c>
      <c r="B761" s="24" t="inlineStr">
        <is>
          <t>2026-10-03T05:25:43.406230Z</t>
        </is>
      </c>
      <c r="C761" s="24" t="inlineStr">
        <is>
          <t>2026-10-03T06:30Z</t>
        </is>
      </c>
      <c r="D761" s="24" t="inlineStr">
        <is>
          <t>1029-2026:186277</t>
        </is>
      </c>
      <c r="E761" s="24" t="inlineStr">
        <is>
          <t>TENNIS</t>
        </is>
      </c>
      <c r="F761" s="24" t="inlineStr">
        <is>
          <t>Chengyiyi Yuan</t>
        </is>
      </c>
      <c r="G761" s="24" t="inlineStr">
        <is>
          <t>Shi Han</t>
        </is>
      </c>
      <c r="H761" s="24" t="inlineStr">
        <is>
          <t>moneyline</t>
        </is>
      </c>
      <c r="I761" s="24" t="inlineStr">
        <is>
          <t>away</t>
        </is>
      </c>
      <c r="J761" s="25" t="n"/>
      <c r="K761" s="24" t="inlineStr">
        <is>
          <t>polymarket_us</t>
        </is>
      </c>
      <c r="L761" s="26" t="n">
        <v>614</v>
      </c>
      <c r="M761" s="27" t="n">
        <v>7.14</v>
      </c>
      <c r="N761" s="28" t="n">
        <v>0.140056</v>
      </c>
      <c r="O761" s="28" t="n">
        <v>0.5135</v>
      </c>
      <c r="P761" s="28" t="n">
        <v>0.05</v>
      </c>
      <c r="Q761" s="28" t="n">
        <v>0.373444</v>
      </c>
      <c r="R761" s="26" t="n">
        <v>100</v>
      </c>
      <c r="S761" s="29" t="n">
        <v>2</v>
      </c>
      <c r="T761" s="24" t="inlineStr">
        <is>
          <t>tennis-surface-elo-v1</t>
        </is>
      </c>
      <c r="U761" s="24" t="inlineStr">
        <is>
          <t>settled</t>
        </is>
      </c>
      <c r="V761" s="24" t="inlineStr">
        <is>
          <t>loss</t>
        </is>
      </c>
      <c r="W761" s="26" t="n">
        <v>0</v>
      </c>
      <c r="X761" s="26" t="n">
        <v>1</v>
      </c>
      <c r="Y761" s="25" t="n"/>
      <c r="Z761" s="26" t="n">
        <v>614</v>
      </c>
      <c r="AA761" s="28" t="n">
        <v>0.14</v>
      </c>
      <c r="AB761" s="28" t="n">
        <v>-5.6e-05</v>
      </c>
      <c r="AC761" s="30" t="n">
        <v>-2</v>
      </c>
      <c r="AD761" s="24" t="inlineStr">
        <is>
          <t>2026-10-04T20:16:29.888668Z</t>
        </is>
      </c>
      <c r="AE761" s="31" t="inlineStr">
        <is>
          <t>Surface-blended Elo on Hard: Chengyiyi Yuan p=0.513 vs Shi Han. Executable ask 0.1400 (aec-wta-hanshi-cheyua-2026-10-02).</t>
        </is>
      </c>
      <c r="AF761" s="31" t="inlineStr">
        <is>
          <t>Surface-blended Elo model; singles only, WTA+ATP market coverage, not yet locked-holdout qualified -- promoted by explicit operator directive, not genuine walk-forward validation.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Chengyiyi Yuan</t>
        </is>
      </c>
      <c r="AQ761" s="24" t="inlineStr">
        <is>
          <t>Chengyiyi Yuan</t>
        </is>
      </c>
      <c r="AR761" s="24" t="inlineStr">
        <is>
          <t>Chengyiyi Yuan</t>
        </is>
      </c>
      <c r="AS761" s="24" t="inlineStr">
        <is>
          <t>Shi Han</t>
        </is>
      </c>
      <c r="AT761" s="24" t="inlineStr">
        <is>
          <t>Shi Han</t>
        </is>
      </c>
      <c r="AU761" s="24" t="inlineStr">
        <is>
          <t>Shi Han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6c67e999d2a03612e30f4032c8e5e77e8becfbc79e05f4c8993e726b90d34d54</t>
        </is>
      </c>
      <c r="BB761" s="24" t="inlineStr">
        <is>
          <t>surface_blended_elo</t>
        </is>
      </c>
      <c r="BC761" s="24" t="inlineStr">
        <is>
          <t>tennis-surface-elo-v1</t>
        </is>
      </c>
      <c r="BD761" s="24" t="inlineStr">
        <is>
          <t>6c67e999d2a03612e30f4032c8e5e77e8becfbc79e05f4c8993e726b90d34d54</t>
        </is>
      </c>
      <c r="BE761" s="24" t="inlineStr">
        <is>
          <t>tennis-surface-elo-v1</t>
        </is>
      </c>
      <c r="BF761" s="24" t="inlineStr">
        <is>
          <t>1</t>
        </is>
      </c>
      <c r="BG761" s="24" t="inlineStr">
        <is>
          <t>6c67e999d2a03612e30f4032c8e5e77e8becfbc79e05f4c8993e726b90d34d54</t>
        </is>
      </c>
      <c r="BH761" s="24" t="inlineStr">
        <is>
          <t>2026-10-03T05:22:36.852229Z</t>
        </is>
      </c>
      <c r="BI761" s="24" t="inlineStr">
        <is>
          <t>["same_event","same_team_same_day","same_league_same_day"]</t>
        </is>
      </c>
      <c r="BJ761" s="25" t="n"/>
      <c r="BK761" s="26" t="n">
        <v>614</v>
      </c>
      <c r="BL761" s="27" t="n">
        <v>7.14</v>
      </c>
      <c r="BM761" s="28" t="n">
        <v>0.140056</v>
      </c>
      <c r="BN761" s="28" t="n"/>
      <c r="BO761" s="28" t="n"/>
      <c r="BP761" s="25" t="n"/>
      <c r="BQ761" s="27" t="n">
        <v>7.14</v>
      </c>
      <c r="BR761" s="28" t="n">
        <v>0.14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2026-10-04T20:16:29.888668Z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True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inlineStr">
        <is>
          <t>03ab17ae54b921c2e0b929173832ee177e7dae92d9b7cc2f4b81b9fa1355de7b</t>
        </is>
      </c>
      <c r="DE761" s="24" t="inlineStr">
        <is>
          <t>/Users/vincentc9002/model-prediction/data/odds/tennis/2026-10-03/polymarket_snapshots.jsonl</t>
        </is>
      </c>
      <c r="DF761" s="24" t="inlineStr">
        <is>
          <t>1165979:2026-10-03T05:22:36.852229Z</t>
        </is>
      </c>
      <c r="DG761" s="24" t="n"/>
      <c r="DH761" s="24" t="n"/>
      <c r="DI761" s="24" t="n"/>
      <c r="DJ761" s="24" t="inlineStr">
        <is>
          <t>0.140056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"6c67e999d2a03612e30f4032c8e5e77e8becfbc79e05f4c8993e726b90d34d54", "away_team": "Chengyiyi Yuan", "event_id": "1029-2026:186277", "event_start_utc": "2026-10-03T06:30Z", "features": {"elo_p1_surface": 1485.1, "elo_p2_surface": 1476.5, "expected_games_p1": 12.73, "expected_games_p2": 12.01, "expected_total_games": 24.75, "history_matches": 16523, "min_player_matches": 9,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[1482.1664523578993, 1470.2072405467911], "players": ["Chengyiyi Yuan", "Shi Han"], "sport": "TENNIS", "surface": "Hard", "surface_counts": [9, 29], "surface_ratings": [1485.1410908254647, 1476.5213980513674]}, "market_type": "moneyline", "model_version": "tennis-surface-elo-v1", "observed_at_utc": "2026-10-03T05:25:42.237063+00:00", "probabilities": {"away": 0.5135, "home": 0.4865}, "replay_scope": "Exact full-precision serving state and rounding; upstream historical observation times are not certified.", "schema": "coded-moneyline-replay-v1", "snapshot_hash": "0b6d73bfcae2d0661b6a3eac94a3b7c544cb685cab167fb9057f11a9b1873053", "sport": "TENNIS"}</t>
        </is>
      </c>
    </row>
    <row r="762" ht="36" customHeight="1">
      <c r="A762" s="24" t="inlineStr">
        <is>
          <t>85b1f9ee74e4418b</t>
        </is>
      </c>
      <c r="B762" s="24" t="inlineStr">
        <is>
          <t>2026-10-03T05:25:43.406230Z</t>
        </is>
      </c>
      <c r="C762" s="24" t="inlineStr">
        <is>
          <t>2026-10-03T08:00Z</t>
        </is>
      </c>
      <c r="D762" s="24" t="inlineStr">
        <is>
          <t>1029-2026:186275</t>
        </is>
      </c>
      <c r="E762" s="24" t="inlineStr">
        <is>
          <t>TENNIS</t>
        </is>
      </c>
      <c r="F762" s="24" t="inlineStr">
        <is>
          <t>Kristiana Sidorova</t>
        </is>
      </c>
      <c r="G762" s="24" t="inlineStr">
        <is>
          <t>Katarina Zavatska</t>
        </is>
      </c>
      <c r="H762" s="24" t="inlineStr">
        <is>
          <t>moneyline</t>
        </is>
      </c>
      <c r="I762" s="24" t="inlineStr">
        <is>
          <t>away</t>
        </is>
      </c>
      <c r="J762" s="25" t="n"/>
      <c r="K762" s="24" t="inlineStr">
        <is>
          <t>polymarket_us</t>
        </is>
      </c>
      <c r="L762" s="26" t="n">
        <v>-186</v>
      </c>
      <c r="M762" s="27" t="n">
        <v>1.537634</v>
      </c>
      <c r="N762" s="28" t="n">
        <v>0.65035</v>
      </c>
      <c r="O762" s="28" t="n">
        <v>0.6519</v>
      </c>
      <c r="P762" s="28" t="n">
        <v>0.05</v>
      </c>
      <c r="Q762" s="28" t="n">
        <v>0.00155</v>
      </c>
      <c r="R762" s="26" t="n">
        <v>21</v>
      </c>
      <c r="S762" s="29" t="n">
        <v>1</v>
      </c>
      <c r="T762" s="24" t="inlineStr">
        <is>
          <t>tennis-surface-elo-v1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1</v>
      </c>
      <c r="Y762" s="25" t="n"/>
      <c r="Z762" s="26" t="n">
        <v>-186</v>
      </c>
      <c r="AA762" s="28" t="n">
        <v>0.65</v>
      </c>
      <c r="AB762" s="28" t="n">
        <v>-0.00035</v>
      </c>
      <c r="AC762" s="30" t="n">
        <v>-1</v>
      </c>
      <c r="AD762" s="24" t="inlineStr">
        <is>
          <t>2026-10-04T20:16:37.351291Z</t>
        </is>
      </c>
      <c r="AE762" s="31" t="inlineStr">
        <is>
          <t>Surface-blended Elo on Hard: Kristiana Sidorova p=0.652 vs Katarina Zavatska. Executable ask 0.6500 (aec-wta-katzav-krisid-2026-10-02).</t>
        </is>
      </c>
      <c r="AF762" s="31" t="inlineStr">
        <is>
          <t>Surface-blended Elo model; singles only, WTA+ATP market coverage, not yet locked-holdout qualified -- promoted by explicit operator directive, not genuine walk-forward validation.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Kristiana Sidorova</t>
        </is>
      </c>
      <c r="AQ762" s="24" t="inlineStr">
        <is>
          <t>Kristiana Sidorova</t>
        </is>
      </c>
      <c r="AR762" s="24" t="inlineStr">
        <is>
          <t>Kristiana Sidorova</t>
        </is>
      </c>
      <c r="AS762" s="24" t="inlineStr">
        <is>
          <t>Katarina Zavatska</t>
        </is>
      </c>
      <c r="AT762" s="24" t="inlineStr">
        <is>
          <t>Katarina Zavatska</t>
        </is>
      </c>
      <c r="AU762" s="24" t="inlineStr">
        <is>
          <t>Katarina Zavatska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6c67e999d2a03612e30f4032c8e5e77e8becfbc79e05f4c8993e726b90d34d54</t>
        </is>
      </c>
      <c r="BB762" s="24" t="inlineStr">
        <is>
          <t>surface_blended_elo</t>
        </is>
      </c>
      <c r="BC762" s="24" t="inlineStr">
        <is>
          <t>tennis-surface-elo-v1</t>
        </is>
      </c>
      <c r="BD762" s="24" t="inlineStr">
        <is>
          <t>6c67e999d2a03612e30f4032c8e5e77e8becfbc79e05f4c8993e726b90d34d54</t>
        </is>
      </c>
      <c r="BE762" s="24" t="inlineStr">
        <is>
          <t>tennis-surface-elo-v1</t>
        </is>
      </c>
      <c r="BF762" s="24" t="inlineStr">
        <is>
          <t>1</t>
        </is>
      </c>
      <c r="BG762" s="24" t="inlineStr">
        <is>
          <t>6c67e999d2a03612e30f4032c8e5e77e8becfbc79e05f4c8993e726b90d34d54</t>
        </is>
      </c>
      <c r="BH762" s="24" t="inlineStr">
        <is>
          <t>2026-10-03T05:22:54.175468Z</t>
        </is>
      </c>
      <c r="BI762" s="24" t="inlineStr">
        <is>
          <t>["same_event","same_team_same_day","same_league_same_day"]</t>
        </is>
      </c>
      <c r="BJ762" s="25" t="n"/>
      <c r="BK762" s="26" t="n">
        <v>-186</v>
      </c>
      <c r="BL762" s="27" t="n">
        <v>1.537634</v>
      </c>
      <c r="BM762" s="28" t="n">
        <v>0.65035</v>
      </c>
      <c r="BN762" s="28" t="n"/>
      <c r="BO762" s="28" t="n"/>
      <c r="BP762" s="25" t="n"/>
      <c r="BQ762" s="27" t="n">
        <v>1.537634</v>
      </c>
      <c r="BR762" s="28" t="n">
        <v>0.65</v>
      </c>
      <c r="BS762" s="28" t="n"/>
      <c r="BT762" s="28" t="n"/>
      <c r="BU762" s="25" t="n"/>
      <c r="BV762" s="29" t="n"/>
      <c r="BW762" s="24" t="n"/>
      <c r="BX762" s="30" t="n">
        <v>1</v>
      </c>
      <c r="BY762" s="27" t="n">
        <v>-1</v>
      </c>
      <c r="BZ762" s="24" t="inlineStr">
        <is>
          <t>2026-10-04T20:16:37.351291Z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inlineStr">
        <is>
          <t>96c94aaeab6932e633e0cad206f7764cbc552bf757db24209ac06197dce8f5b7</t>
        </is>
      </c>
      <c r="DE762" s="24" t="inlineStr">
        <is>
          <t>/Users/vincentc9002/model-prediction/data/odds/tennis/2026-10-03/polymarket_snapshots.jsonl</t>
        </is>
      </c>
      <c r="DF762" s="24" t="inlineStr">
        <is>
          <t>1165975:2026-10-03T05:22:54.175468Z</t>
        </is>
      </c>
      <c r="DG762" s="24" t="n"/>
      <c r="DH762" s="24" t="n"/>
      <c r="DI762" s="24" t="n"/>
      <c r="DJ762" s="24" t="inlineStr">
        <is>
          <t>0.65035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"6c67e999d2a03612e30f4032c8e5e77e8becfbc79e05f4c8993e726b90d34d54", "away_team": "Kristiana Sidorova", "event_id": "1029-2026:186275", "event_start_utc": "2026-10-03T08:00Z", "features": {"elo_p1_surface": 1550.4, "elo_p2_surface": 1436.9, "expected_games_p1": 13.39, "expected_games_p2": 8.53, "expected_total_games": 21.91, "history_matches": 16523, "min_player_matches": 12, "surface": "Hard"}, "historical_source_observation_times_verified": false, "home_team": "Katarina Zavatska", "inference_inputs": {"code_sha256": {"features/elo_ratings.py": "8525faf022a6343c452286dbfeb17dbb043744c6bdabbe448b6b371216da439b", "models/tennis.py": "6c67e999d2a03612e30f4032c8e5e77e8becfbc79e05f4c8993e726b90d34d54"}, "overall_ratings": [1549.9990657011906, 1449.3020579905256], "players": ["Kristiana Sidorova", "Katarina Zavatska"], "sport": "TENNIS", "surface": "Hard", "surface_counts": [12, 50], "surface_ratings": [1550.4171593680117, 1436.8859325255792]}, "market_type": "moneyline", "model_version": "tennis-surface-elo-v1", "observed_at_utc": "2026-10-03T05:25:42.237063+00:00", "probabilities": {"away": 0.6519, "home": 0.3481}, "replay_scope": "Exact full-precision serving state and rounding; upstream historical observation times are not certified.", "schema": "coded-moneyline-replay-v1", "snapshot_hash": "91d05ca3ac04b896a07b2147ebf39505445cb67ff7d08c48d4b6e6aba803ee23", "sport": "TENNIS"}</t>
        </is>
      </c>
    </row>
    <row r="763" ht="36" customHeight="1">
      <c r="A763" s="24" t="inlineStr">
        <is>
          <t>cae416b9819d44da</t>
        </is>
      </c>
      <c r="B763" s="24" t="inlineStr">
        <is>
          <t>2026-10-03T10:53:30.512918Z</t>
        </is>
      </c>
      <c r="C763" s="24" t="inlineStr">
        <is>
          <t>2026-10-03T11:10Z</t>
        </is>
      </c>
      <c r="D763" s="24" t="inlineStr">
        <is>
          <t>959-2026:184321</t>
        </is>
      </c>
      <c r="E763" s="24" t="inlineStr">
        <is>
          <t>TENNIS</t>
        </is>
      </c>
      <c r="F763" s="24" t="inlineStr">
        <is>
          <t>Kimberly Birrell</t>
        </is>
      </c>
      <c r="G763" s="24" t="inlineStr">
        <is>
          <t>Marie Bouzkova</t>
        </is>
      </c>
      <c r="H763" s="24" t="inlineStr">
        <is>
          <t>moneyline</t>
        </is>
      </c>
      <c r="I763" s="24" t="inlineStr">
        <is>
          <t>home</t>
        </is>
      </c>
      <c r="J763" s="25" t="n"/>
      <c r="K763" s="24" t="inlineStr">
        <is>
          <t>polymarket_us</t>
        </is>
      </c>
      <c r="L763" s="26" t="n">
        <v>-213</v>
      </c>
      <c r="M763" s="27" t="n">
        <v>1.469484</v>
      </c>
      <c r="N763" s="28" t="n">
        <v>0.680511</v>
      </c>
      <c r="O763" s="28" t="n">
        <v>0.5541</v>
      </c>
      <c r="P763" s="28" t="n">
        <v>0.05</v>
      </c>
      <c r="Q763" s="28" t="n">
        <v>-0.126411</v>
      </c>
      <c r="R763" s="26" t="n">
        <v>0</v>
      </c>
      <c r="S763" s="29" t="n">
        <v>1</v>
      </c>
      <c r="T763" s="24" t="inlineStr">
        <is>
          <t>tennis-surface-elo-v1</t>
        </is>
      </c>
      <c r="U763" s="24" t="inlineStr">
        <is>
          <t>settled</t>
        </is>
      </c>
      <c r="V763" s="24" t="inlineStr">
        <is>
          <t>win</t>
        </is>
      </c>
      <c r="W763" s="26" t="n">
        <v>0</v>
      </c>
      <c r="X763" s="26" t="n">
        <v>1</v>
      </c>
      <c r="Y763" s="25" t="n"/>
      <c r="Z763" s="26" t="n">
        <v>-213</v>
      </c>
      <c r="AA763" s="28" t="n">
        <v>0.68</v>
      </c>
      <c r="AB763" s="28" t="n">
        <v>-0.000511</v>
      </c>
      <c r="AC763" s="30" t="n">
        <v>0.4695</v>
      </c>
      <c r="AD763" s="24" t="inlineStr">
        <is>
          <t>2026-10-03T16:00:14.890685Z</t>
        </is>
      </c>
      <c r="AE763" s="31" t="inlineStr">
        <is>
          <t>Surface-blended Elo on Hard: Kimberly Birrell p=0.446 vs Marie Bouzkova. Executable ask 0.6800 (aec-wta-marbou-kimbir-2026-10-01).</t>
        </is>
      </c>
      <c r="AF763" s="31" t="inlineStr">
        <is>
          <t>Surface-blended Elo model; singles only, WTA+ATP market coverage, not yet locked-holdout qualified -- promoted by explicit operator directive, not genuine walk-forward validation.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Kimberly Birrell</t>
        </is>
      </c>
      <c r="AQ763" s="24" t="inlineStr">
        <is>
          <t>Kimberly Birrell</t>
        </is>
      </c>
      <c r="AR763" s="24" t="inlineStr">
        <is>
          <t>Kimberly Birrell</t>
        </is>
      </c>
      <c r="AS763" s="24" t="inlineStr">
        <is>
          <t>Marie Bouzkova</t>
        </is>
      </c>
      <c r="AT763" s="24" t="inlineStr">
        <is>
          <t>Marie Bouzkova</t>
        </is>
      </c>
      <c r="AU763" s="24" t="inlineStr">
        <is>
          <t>Marie Bouzkova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6c67e999d2a03612e30f4032c8e5e77e8becfbc79e05f4c8993e726b90d34d54</t>
        </is>
      </c>
      <c r="BB763" s="24" t="inlineStr">
        <is>
          <t>surface_blended_elo</t>
        </is>
      </c>
      <c r="BC763" s="24" t="inlineStr">
        <is>
          <t>tennis-surface-elo-v1</t>
        </is>
      </c>
      <c r="BD763" s="24" t="inlineStr">
        <is>
          <t>6c67e999d2a03612e30f4032c8e5e77e8becfbc79e05f4c8993e726b90d34d54</t>
        </is>
      </c>
      <c r="BE763" s="24" t="inlineStr">
        <is>
          <t>tennis-surface-elo-v1</t>
        </is>
      </c>
      <c r="BF763" s="24" t="inlineStr">
        <is>
          <t>1</t>
        </is>
      </c>
      <c r="BG763" s="24" t="inlineStr">
        <is>
          <t>6c67e999d2a03612e30f4032c8e5e77e8becfbc79e05f4c8993e726b90d34d54</t>
        </is>
      </c>
      <c r="BH763" s="24" t="inlineStr">
        <is>
          <t>2026-10-03T10:50:29.162047Z</t>
        </is>
      </c>
      <c r="BI763" s="24" t="inlineStr">
        <is>
          <t>["same_event","same_team_same_day","same_league_same_day"]</t>
        </is>
      </c>
      <c r="BJ763" s="25" t="n"/>
      <c r="BK763" s="26" t="n">
        <v>-213</v>
      </c>
      <c r="BL763" s="27" t="n">
        <v>1.469484</v>
      </c>
      <c r="BM763" s="28" t="n">
        <v>0.680511</v>
      </c>
      <c r="BN763" s="28" t="n"/>
      <c r="BO763" s="28" t="n"/>
      <c r="BP763" s="25" t="n"/>
      <c r="BQ763" s="27" t="n">
        <v>1.469484</v>
      </c>
      <c r="BR763" s="28" t="n">
        <v>0.68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0.469484</v>
      </c>
      <c r="BZ763" s="24" t="inlineStr">
        <is>
          <t>2026-10-03T16:00:14.890685Z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False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inlineStr">
        <is>
          <t>2f2434efb6f25db1b492d89d773f5073f31b5fc78e464031b55afe3d84f561ef</t>
        </is>
      </c>
      <c r="DE763" s="24" t="inlineStr">
        <is>
          <t>/Users/vincentc9002/model-prediction/data/odds/tennis/2026-10-03/polymarket_snapshots.jsonl</t>
        </is>
      </c>
      <c r="DF763" s="24" t="inlineStr">
        <is>
          <t>1155856:2026-10-03T10:50:29.162047Z</t>
        </is>
      </c>
      <c r="DG763" s="24" t="n"/>
      <c r="DH763" s="24" t="n"/>
      <c r="DI763" s="24" t="n"/>
      <c r="DJ763" s="24" t="inlineStr">
        <is>
          <t>0.680511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"6c67e999d2a03612e30f4032c8e5e77e8becfbc79e05f4c8993e726b90d34d54", "away_team": "Kimberly Birrell", "event_id": "959-2026:184321", "event_start_utc": "2026-10-03T11:10Z", "features": {"elo_p1_surface": 1687.5, "elo_p2_surface": 1710.3, "expected_games_p1": 11.99, "expected_games_p2": 12.7, "expected_total_games": 24.69, "history_matches": 16523, "min_player_matches": 148, "surface": "Hard"}, "historical_source_observation_times_verified": false, "home_team": "Marie Bouzkova", "inference_inputs": {"code_sha256": {"features/elo_ratings.py": "8525faf022a6343c452286dbfeb17dbb043744c6bdabbe448b6b371216da439b", "models/tennis.py": "6c67e999d2a03612e30f4032c8e5e77e8becfbc79e05f4c8993e726b90d34d54"}, "overall_ratings": [1688.031579876193, 1771.089717765218], "players": ["Kimberly Birrell", "Marie Bouzkova"], "sport": "TENNIS", "surface": "Hard", "surface_counts": [114, 115], "surface_ratings": [1687.4715731849758, 1710.277082505908]}, "market_type": "moneyline", "model_version": "tennis-surface-elo-v1", "observed_at_utc": "2026-10-03T10:53:27.918199+00:00", "probabilities": {"away": 0.4459, "home": 0.5541}, "replay_scope": "Exact full-precision serving state and rounding; upstream historical observation times are not certified.", "schema": "coded-moneyline-replay-v1", "snapshot_hash": "4b816ae35ccfd112e809900507e7eb923d19f1428a06941df167403afa929a8b", "sport": "TENNIS"}</t>
        </is>
      </c>
    </row>
    <row r="764" ht="36" customHeight="1">
      <c r="A764" s="24" t="inlineStr">
        <is>
          <t>3f549f7c2f8f48f8</t>
        </is>
      </c>
      <c r="B764" s="24" t="inlineStr">
        <is>
          <t>2026-10-03T22:32:35.202943Z</t>
        </is>
      </c>
      <c r="C764" s="24" t="inlineStr">
        <is>
          <t>2026-10-04T03:00Z</t>
        </is>
      </c>
      <c r="D764" s="24" t="inlineStr">
        <is>
          <t>959-2026:184342</t>
        </is>
      </c>
      <c r="E764" s="24" t="inlineStr">
        <is>
          <t>TENNIS</t>
        </is>
      </c>
      <c r="F764" s="24" t="inlineStr">
        <is>
          <t>Dayana Yastremska</t>
        </is>
      </c>
      <c r="G764" s="24" t="inlineStr">
        <is>
          <t>Sinja Kraus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polymarket_us</t>
        </is>
      </c>
      <c r="L764" s="26" t="n">
        <v>-4900</v>
      </c>
      <c r="M764" s="27" t="n">
        <v>1.020408</v>
      </c>
      <c r="N764" s="28" t="n">
        <v>0.98</v>
      </c>
      <c r="O764" s="28" t="n">
        <v>0.6143999999999999</v>
      </c>
      <c r="P764" s="28" t="n">
        <v>0.05</v>
      </c>
      <c r="Q764" s="28" t="n">
        <v>-0.3656</v>
      </c>
      <c r="R764" s="26" t="n">
        <v>0</v>
      </c>
      <c r="S764" s="29" t="n">
        <v>1</v>
      </c>
      <c r="T764" s="24" t="inlineStr">
        <is>
          <t>tennis-surface-elo-v1</t>
        </is>
      </c>
      <c r="U764" s="24" t="inlineStr">
        <is>
          <t>settled</t>
        </is>
      </c>
      <c r="V764" s="24" t="inlineStr">
        <is>
          <t>win</t>
        </is>
      </c>
      <c r="W764" s="26" t="n">
        <v>0</v>
      </c>
      <c r="X764" s="26" t="n">
        <v>1</v>
      </c>
      <c r="Y764" s="25" t="n"/>
      <c r="Z764" s="26" t="n">
        <v>-4900</v>
      </c>
      <c r="AA764" s="28" t="n">
        <v>0.98</v>
      </c>
      <c r="AB764" s="28" t="n">
        <v>0</v>
      </c>
      <c r="AC764" s="30" t="n">
        <v>0.0204</v>
      </c>
      <c r="AD764" s="24" t="inlineStr">
        <is>
          <t>2026-10-04T20:43:40.574742Z</t>
        </is>
      </c>
      <c r="AE764" s="31" t="inlineStr">
        <is>
          <t>Surface-blended Elo on Hard: Dayana Yastremska p=0.386 vs Sinja Kraus. Executable ask 0.9800 (aec-wta-sinkra-dayyas-2026-10-03).</t>
        </is>
      </c>
      <c r="AF764" s="31" t="inlineStr">
        <is>
          <t>Surface-blended Elo model; singles only, WTA+ATP market coverage, not yet locked-holdout qualified -- promoted by explicit operator directive, not genuine walk-forward validation.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Dayana Yastremska</t>
        </is>
      </c>
      <c r="AQ764" s="24" t="inlineStr">
        <is>
          <t>Dayana Yastremska</t>
        </is>
      </c>
      <c r="AR764" s="24" t="inlineStr">
        <is>
          <t>Dayana Yastremska</t>
        </is>
      </c>
      <c r="AS764" s="24" t="inlineStr">
        <is>
          <t>Sinja Kraus</t>
        </is>
      </c>
      <c r="AT764" s="24" t="inlineStr">
        <is>
          <t>Sinja Kraus</t>
        </is>
      </c>
      <c r="AU764" s="24" t="inlineStr">
        <is>
          <t>Sinja Kraus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6c67e999d2a03612e30f4032c8e5e77e8becfbc79e05f4c8993e726b90d34d54</t>
        </is>
      </c>
      <c r="BB764" s="24" t="inlineStr">
        <is>
          <t>surface_blended_elo</t>
        </is>
      </c>
      <c r="BC764" s="24" t="inlineStr">
        <is>
          <t>tennis-surface-elo-v1</t>
        </is>
      </c>
      <c r="BD764" s="24" t="inlineStr">
        <is>
          <t>6c67e999d2a03612e30f4032c8e5e77e8becfbc79e05f4c8993e726b90d34d54</t>
        </is>
      </c>
      <c r="BE764" s="24" t="inlineStr">
        <is>
          <t>tennis-surface-elo-v1</t>
        </is>
      </c>
      <c r="BF764" s="24" t="inlineStr">
        <is>
          <t>1</t>
        </is>
      </c>
      <c r="BG764" s="24" t="inlineStr">
        <is>
          <t>6c67e999d2a03612e30f4032c8e5e77e8becfbc79e05f4c8993e726b90d34d54</t>
        </is>
      </c>
      <c r="BH764" s="24" t="inlineStr">
        <is>
          <t>2026-10-02T06:00:17.476066Z</t>
        </is>
      </c>
      <c r="BI764" s="24" t="inlineStr">
        <is>
          <t>["same_event","same_team_same_day","same_league_same_day"]</t>
        </is>
      </c>
      <c r="BJ764" s="25" t="n"/>
      <c r="BK764" s="26" t="n">
        <v>-4900</v>
      </c>
      <c r="BL764" s="27" t="n">
        <v>1.020408</v>
      </c>
      <c r="BM764" s="28" t="n">
        <v>0.98</v>
      </c>
      <c r="BN764" s="28" t="n"/>
      <c r="BO764" s="28" t="n"/>
      <c r="BP764" s="25" t="n"/>
      <c r="BQ764" s="27" t="n">
        <v>1.020408</v>
      </c>
      <c r="BR764" s="28" t="n">
        <v>0.98</v>
      </c>
      <c r="BS764" s="28" t="n"/>
      <c r="BT764" s="28" t="n"/>
      <c r="BU764" s="25" t="n"/>
      <c r="BV764" s="29" t="n"/>
      <c r="BW764" s="24" t="n"/>
      <c r="BX764" s="30" t="n">
        <v>1</v>
      </c>
      <c r="BY764" s="27" t="n">
        <v>0.020408</v>
      </c>
      <c r="BZ764" s="24" t="inlineStr">
        <is>
          <t>2026-10-04T20:43:40.574742Z</t>
        </is>
      </c>
      <c r="CA764" s="31" t="inlineStr">
        <is>
          <t>fixed one-unit hypothetical scoring; no real exposure or execution</t>
        </is>
      </c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inlineStr">
        <is>
          <t>2f5924a6141c05ef1d4c3596674d5d134bcbad411d4737c5b632dfb16507f5da</t>
        </is>
      </c>
      <c r="DE764" s="24" t="inlineStr">
        <is>
          <t>/Users/vincentc9002/model-prediction/data/odds/tennis/2026-10-03/polymarket_snapshots.jsonl</t>
        </is>
      </c>
      <c r="DF764" s="24" t="inlineStr">
        <is>
          <t>1164934:2026-10-02T06:00:17.476066Z</t>
        </is>
      </c>
      <c r="DG764" s="24" t="n"/>
      <c r="DH764" s="24" t="n"/>
      <c r="DI764" s="24" t="n"/>
      <c r="DJ764" s="24" t="inlineStr">
        <is>
          <t>0.98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"6c67e999d2a03612e30f4032c8e5e77e8becfbc79e05f4c8993e726b90d34d54", "away_team": "Dayana Yastremska", "event_id": "959-2026:184342", "event_start_utc": "2026-10-04T03:00Z", "features": {"elo_p1_surface": 1587.7, "elo_p2_surface": 1680.3, "expected_games_p1": 9.72, "expected_games_p2": 13.29, "expected_total_games": 23.01, "history_matches": 16523, "min_player_matches": 123, "surface": "Hard"}, "historical_source_observation_times_verified": false, "home_team": "Sinja Kraus", "inference_inputs": {"code_sha256": {"features/elo_ratings.py": "8525faf022a6343c452286dbfeb17dbb043744c6bdabbe448b6b371216da439b", "models/tennis.py": "6c67e999d2a03612e30f4032c8e5e77e8becfbc79e05f4c8993e726b90d34d54"}, "overall_ratings": [1631.8211471111172, 1680.9962973047204], "players": ["Dayana Yastremska", "Sinja Kraus"], "sport": "TENNIS", "surface": "Hard", "surface_counts": [93, 102], "surface_ratings": [1587.6716286005817, 1680.2559900037375]}, "market_type": "moneyline", "model_version": "tennis-surface-elo-v1", "observed_at_utc": "2026-10-03T22:32:34.081541+00:00", "probabilities": {"away": 0.3856, "home": 0.6144}, "replay_scope": "Exact full-precision serving state and rounding; upstream historical observation times are not certified.", "schema": "coded-moneyline-replay-v1", "snapshot_hash": "1966e4b4ca75bbe7fadfe9ab2f351d7098d897b03d248d87a1c26c97343d5e8e", "sport": "TENNIS"}</t>
        </is>
      </c>
    </row>
    <row r="765" ht="36" customHeight="1">
      <c r="A765" s="24" t="inlineStr">
        <is>
          <t>f4069d2d41254bb9</t>
        </is>
      </c>
      <c r="B765" s="24" t="inlineStr">
        <is>
          <t>2026-10-05T10:48:10.581312Z</t>
        </is>
      </c>
      <c r="C765" s="24" t="inlineStr">
        <is>
          <t>2026-10-05T12:30Z</t>
        </is>
      </c>
      <c r="D765" s="24" t="inlineStr">
        <is>
          <t>959-2026:184332</t>
        </is>
      </c>
      <c r="E765" s="24" t="inlineStr">
        <is>
          <t>TENNIS</t>
        </is>
      </c>
      <c r="F765" s="24" t="inlineStr">
        <is>
          <t>Xinran Sun</t>
        </is>
      </c>
      <c r="G765" s="24" t="inlineStr">
        <is>
          <t>Coco Gauff</t>
        </is>
      </c>
      <c r="H765" s="24" t="inlineStr">
        <is>
          <t>moneyline</t>
        </is>
      </c>
      <c r="I765" s="24" t="inlineStr">
        <is>
          <t>home</t>
        </is>
      </c>
      <c r="J765" s="25" t="n"/>
      <c r="K765" s="24" t="inlineStr">
        <is>
          <t>polymarket_us</t>
        </is>
      </c>
      <c r="L765" s="26" t="n">
        <v>-1329</v>
      </c>
      <c r="M765" s="27" t="n">
        <v>1.075245</v>
      </c>
      <c r="N765" s="28" t="n">
        <v>0.930021</v>
      </c>
      <c r="O765" s="28" t="n">
        <v>0.9232</v>
      </c>
      <c r="P765" s="28" t="n">
        <v>0.05</v>
      </c>
      <c r="Q765" s="28" t="n">
        <v>-0.006821</v>
      </c>
      <c r="R765" s="26" t="n">
        <v>17</v>
      </c>
      <c r="S765" s="29" t="n">
        <v>1</v>
      </c>
      <c r="T765" s="24" t="inlineStr">
        <is>
          <t>tennis-surface-elo-v1</t>
        </is>
      </c>
      <c r="U765" s="24" t="inlineStr">
        <is>
          <t>settled</t>
        </is>
      </c>
      <c r="V765" s="24" t="inlineStr">
        <is>
          <t>win</t>
        </is>
      </c>
      <c r="W765" s="26" t="n">
        <v>0</v>
      </c>
      <c r="X765" s="26" t="n">
        <v>1</v>
      </c>
      <c r="Y765" s="25" t="n"/>
      <c r="Z765" s="26" t="n">
        <v>-1329</v>
      </c>
      <c r="AA765" s="28" t="n">
        <v>0.93</v>
      </c>
      <c r="AB765" s="28" t="n">
        <v>-2.1e-05</v>
      </c>
      <c r="AC765" s="30" t="n">
        <v>0.0752</v>
      </c>
      <c r="AD765" s="24" t="inlineStr">
        <is>
          <t>2026-10-05T16:00:28.701821Z</t>
        </is>
      </c>
      <c r="AE765" s="31" t="inlineStr">
        <is>
          <t>Surface-blended Elo on Hard: Xinran Sun p=0.077 vs Coco Gauff. Executable ask 0.9300 (aec-wta-cocgau-xinsun-2026-10-04).</t>
        </is>
      </c>
      <c r="AF765" s="31" t="inlineStr">
        <is>
          <t>Surface-blended Elo model; singles only, WTA+ATP market coverage, not yet locked-holdout qualified -- promoted by explicit operator directive, not genuine walk-forward validation.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Xinran Sun</t>
        </is>
      </c>
      <c r="AQ765" s="24" t="inlineStr">
        <is>
          <t>Xinran Sun</t>
        </is>
      </c>
      <c r="AR765" s="24" t="inlineStr">
        <is>
          <t>Xinran Sun</t>
        </is>
      </c>
      <c r="AS765" s="24" t="inlineStr">
        <is>
          <t>Coco Gauff</t>
        </is>
      </c>
      <c r="AT765" s="24" t="inlineStr">
        <is>
          <t>Coco Gauff</t>
        </is>
      </c>
      <c r="AU765" s="24" t="inlineStr">
        <is>
          <t>Coco Gauff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6c67e999d2a03612e30f4032c8e5e77e8becfbc79e05f4c8993e726b90d34d54</t>
        </is>
      </c>
      <c r="BB765" s="24" t="inlineStr">
        <is>
          <t>surface_blended_elo</t>
        </is>
      </c>
      <c r="BC765" s="24" t="inlineStr">
        <is>
          <t>tennis-surface-elo-v1</t>
        </is>
      </c>
      <c r="BD765" s="24" t="inlineStr">
        <is>
          <t>6c67e999d2a03612e30f4032c8e5e77e8becfbc79e05f4c8993e726b90d34d54</t>
        </is>
      </c>
      <c r="BE765" s="24" t="inlineStr">
        <is>
          <t>tennis-surface-elo-v1</t>
        </is>
      </c>
      <c r="BF765" s="24" t="inlineStr">
        <is>
          <t>1</t>
        </is>
      </c>
      <c r="BG765" s="24" t="inlineStr">
        <is>
          <t>6c67e999d2a03612e30f4032c8e5e77e8becfbc79e05f4c8993e726b90d34d54</t>
        </is>
      </c>
      <c r="BH765" s="24" t="inlineStr">
        <is>
          <t>2026-10-05T10:16:20.428333Z</t>
        </is>
      </c>
      <c r="BI765" s="24" t="inlineStr">
        <is>
          <t>["same_event","same_team_same_day","same_league_same_day"]</t>
        </is>
      </c>
      <c r="BJ765" s="25" t="n"/>
      <c r="BK765" s="26" t="n">
        <v>-1329</v>
      </c>
      <c r="BL765" s="27" t="n">
        <v>1.075245</v>
      </c>
      <c r="BM765" s="28" t="n">
        <v>0.930021</v>
      </c>
      <c r="BN765" s="28" t="n"/>
      <c r="BO765" s="28" t="n"/>
      <c r="BP765" s="25" t="n"/>
      <c r="BQ765" s="27" t="n">
        <v>1.075245</v>
      </c>
      <c r="BR765" s="28" t="n">
        <v>0.93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0.07524500000000001</v>
      </c>
      <c r="BZ765" s="24" t="inlineStr">
        <is>
          <t>2026-10-05T16:00:28.701821Z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False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inlineStr">
        <is>
          <t>93e67c1a6e7ff8be600e9a28a56eebd412c49419256cdcb3fa3cf7cb19002f3f</t>
        </is>
      </c>
      <c r="DE765" s="24" t="inlineStr">
        <is>
          <t>E:\model-prediction\data\odds\tennis\2026-10-05\polymarket_snapshots.jsonl</t>
        </is>
      </c>
      <c r="DF765" s="24" t="inlineStr">
        <is>
          <t>1183526:2026-10-05T10:16:20.428333Z</t>
        </is>
      </c>
      <c r="DG765" s="24" t="n"/>
      <c r="DH765" s="24" t="n"/>
      <c r="DI765" s="24" t="n"/>
      <c r="DJ765" s="24" t="n"/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"6c67e999d2a03612e30f4032c8e5e77e8becfbc79e05f4c8993e726b90d34d54", "away_team": "Xinran Sun", "event_id": "959-2026:184332", "event_start_utc": "2026-10-05T12:30Z", "features": {"elo_p1_surface": 1540.9, "elo_p2_surface": 1959.5, "expected_games_p1": 3.34, "expected_games_p2": 12.07, "expected_total_games": 15.4, "history_matches": 16571, "min_player_matches": 4, "surface": "Hard"}, "historical_source_observation_times_verified": false, "home_team": "Coco Gauff", "inference_inputs": {"code_sha256": {"features/elo_ratings.py": "8525faf022a6343c452286dbfeb17dbb043744c6bdabbe448b6b371216da439b", "models/tennis.py": "6c67e999d2a03612e30f4032c8e5e77e8becfbc79e05f4c8993e726b90d34d54"}, "overall_ratings": [1540.810708926752, 2014.834215373506], "players": ["Xinran Sun", "Coco Gauff"], "sport": "TENNIS", "surface": "Hard", "surface_counts": [4, 126], "surface_ratings": [1540.867333964622, 1959.5222892957752]}, "market_type": "moneyline", "model_version": "tennis-surface-elo-v1", "observed_at_utc": "2026-10-05T10:48:07.366276+00:00", "probabilities": {"away": 0.0768, "home": 0.9232}, "replay_scope": "Exact full-precision serving state and rounding; upstream historical observation times are not certified.", "schema": "coded-moneyline-replay-v1", "snapshot_hash": "71db531abe1cc090230d816cd74f413847a76be07179f68e7371e121e24b1ccb", "sport": "TENNIS"}</t>
        </is>
      </c>
    </row>
    <row r="766" ht="36" customHeight="1">
      <c r="A766" s="24" t="inlineStr">
        <is>
          <t>c55f77bd27bf4c45</t>
        </is>
      </c>
      <c r="B766" s="24" t="inlineStr">
        <is>
          <t>2026-10-05T10:48:10.581312Z</t>
        </is>
      </c>
      <c r="C766" s="24" t="inlineStr">
        <is>
          <t>2026-10-05T11:00Z</t>
        </is>
      </c>
      <c r="D766" s="24" t="inlineStr">
        <is>
          <t>1036-2026:185238</t>
        </is>
      </c>
      <c r="E766" s="24" t="inlineStr">
        <is>
          <t>TENNIS</t>
        </is>
      </c>
      <c r="F766" s="24" t="inlineStr">
        <is>
          <t>Suzan Lamens</t>
        </is>
      </c>
      <c r="G766" s="24" t="inlineStr">
        <is>
          <t>Polina Iatcenko</t>
        </is>
      </c>
      <c r="H766" s="24" t="inlineStr">
        <is>
          <t>moneyline</t>
        </is>
      </c>
      <c r="I766" s="24" t="inlineStr">
        <is>
          <t>home</t>
        </is>
      </c>
      <c r="J766" s="25" t="n"/>
      <c r="K766" s="24" t="inlineStr">
        <is>
          <t>polymarket_us</t>
        </is>
      </c>
      <c r="L766" s="26" t="n">
        <v>-113</v>
      </c>
      <c r="M766" s="27" t="n">
        <v>1.884956</v>
      </c>
      <c r="N766" s="28" t="n">
        <v>0.530516</v>
      </c>
      <c r="O766" s="28" t="n">
        <v>0.5891</v>
      </c>
      <c r="P766" s="28" t="n">
        <v>0.05</v>
      </c>
      <c r="Q766" s="28" t="n">
        <v>0.058584</v>
      </c>
      <c r="R766" s="26" t="n">
        <v>49</v>
      </c>
      <c r="S766" s="29" t="n">
        <v>1</v>
      </c>
      <c r="T766" s="24" t="inlineStr">
        <is>
          <t>tennis-surface-elo-v1</t>
        </is>
      </c>
      <c r="U766" s="24" t="inlineStr">
        <is>
          <t>settled</t>
        </is>
      </c>
      <c r="V766" s="24" t="inlineStr">
        <is>
          <t>win</t>
        </is>
      </c>
      <c r="W766" s="26" t="n">
        <v>0</v>
      </c>
      <c r="X766" s="26" t="n">
        <v>1</v>
      </c>
      <c r="Y766" s="25" t="n"/>
      <c r="Z766" s="26" t="n">
        <v>-113</v>
      </c>
      <c r="AA766" s="28" t="n">
        <v>0.53</v>
      </c>
      <c r="AB766" s="28" t="n">
        <v>-0.000516</v>
      </c>
      <c r="AC766" s="30" t="n">
        <v>0.885</v>
      </c>
      <c r="AD766" s="24" t="inlineStr">
        <is>
          <t>2026-10-05T16:00:34.333740Z</t>
        </is>
      </c>
      <c r="AE766" s="31" t="inlineStr">
        <is>
          <t>Surface-blended Elo on Hard: Suzan Lamens p=0.411 vs Polina Iatcenko. Executable ask 0.5300 (aec-wta-poliat-suzlam-2026-10-05).</t>
        </is>
      </c>
      <c r="AF766" s="31" t="inlineStr">
        <is>
          <t>Surface-blended Elo model; singles only, WTA+ATP market coverage, not yet locked-holdout qualified -- promoted by explicit operator directive, not genuine walk-forward validation.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model_qualified</t>
        </is>
      </c>
      <c r="AL766" s="26" t="n">
        <v>4</v>
      </c>
      <c r="AM766" s="24" t="inlineStr">
        <is>
          <t>QUALIFIED_SHADOW_CALL</t>
        </is>
      </c>
      <c r="AN766" s="24" t="inlineStr">
        <is>
          <t>CALL</t>
        </is>
      </c>
      <c r="AO766" s="24" t="inlineStr">
        <is>
          <t>QUALIFIED</t>
        </is>
      </c>
      <c r="AP766" s="24" t="inlineStr">
        <is>
          <t>Suzan Lamens</t>
        </is>
      </c>
      <c r="AQ766" s="24" t="inlineStr">
        <is>
          <t>Suzan Lamens</t>
        </is>
      </c>
      <c r="AR766" s="24" t="inlineStr">
        <is>
          <t>Suzan Lamens</t>
        </is>
      </c>
      <c r="AS766" s="24" t="inlineStr">
        <is>
          <t>Polina Iatcenko</t>
        </is>
      </c>
      <c r="AT766" s="24" t="inlineStr">
        <is>
          <t>Polina Iatcenko</t>
        </is>
      </c>
      <c r="AU766" s="24" t="inlineStr">
        <is>
          <t>Polina Iatcenko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6c67e999d2a03612e30f4032c8e5e77e8becfbc79e05f4c8993e726b90d34d54</t>
        </is>
      </c>
      <c r="BB766" s="24" t="inlineStr">
        <is>
          <t>surface_blended_elo</t>
        </is>
      </c>
      <c r="BC766" s="24" t="inlineStr">
        <is>
          <t>tennis-surface-elo-v1</t>
        </is>
      </c>
      <c r="BD766" s="24" t="inlineStr">
        <is>
          <t>6c67e999d2a03612e30f4032c8e5e77e8becfbc79e05f4c8993e726b90d34d54</t>
        </is>
      </c>
      <c r="BE766" s="24" t="inlineStr">
        <is>
          <t>tennis-surface-elo-v1</t>
        </is>
      </c>
      <c r="BF766" s="24" t="inlineStr">
        <is>
          <t>1</t>
        </is>
      </c>
      <c r="BG766" s="24" t="inlineStr">
        <is>
          <t>6c67e999d2a03612e30f4032c8e5e77e8becfbc79e05f4c8993e726b90d34d54</t>
        </is>
      </c>
      <c r="BH766" s="24" t="inlineStr">
        <is>
          <t>2026-10-05T10:16:10.318759Z</t>
        </is>
      </c>
      <c r="BI766" s="24" t="inlineStr">
        <is>
          <t>["same_event","same_team_same_day","same_league_same_day"]</t>
        </is>
      </c>
      <c r="BJ766" s="25" t="n"/>
      <c r="BK766" s="26" t="n">
        <v>-113</v>
      </c>
      <c r="BL766" s="27" t="n">
        <v>1.884956</v>
      </c>
      <c r="BM766" s="28" t="n">
        <v>0.530516</v>
      </c>
      <c r="BN766" s="28" t="n"/>
      <c r="BO766" s="28" t="n"/>
      <c r="BP766" s="25" t="n"/>
      <c r="BQ766" s="27" t="n">
        <v>1.884956</v>
      </c>
      <c r="BR766" s="28" t="n">
        <v>0.53</v>
      </c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inlineStr">
        <is>
          <t>e6963ed4652bffcd8c84436883894196ebf5b71e66e24963924faf35b1c0a649</t>
        </is>
      </c>
      <c r="DE766" s="24" t="inlineStr">
        <is>
          <t>E:\model-prediction\data\odds\tennis\2026-10-05\polymarket_snapshots.jsonl</t>
        </is>
      </c>
      <c r="DF766" s="24" t="inlineStr">
        <is>
          <t>1207494:2026-10-05T10:16:10.318759Z</t>
        </is>
      </c>
      <c r="DG766" s="24" t="n"/>
      <c r="DH766" s="24" t="n"/>
      <c r="DI766" s="24" t="n"/>
      <c r="DJ766" s="24" t="n"/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"6c67e999d2a03612e30f4032c8e5e77e8becfbc79e05f4c8993e726b90d34d54", "away_team": "Suzan Lamens", "event_id": "1036-2026:185238", "event_start_utc": "2026-10-05T11:00Z", "features": {"elo_p1_surface": 1496.5, "elo_p2_surface": 1562.4, "expected_games_p1": 10.65, "expected_games_p2": 13.21, "expected_total_games": 23.86, "history_matches": 16571, "min_player_matches": 34, "surface": "Hard"}, "historical_source_observation_times_verified": false, "home_team": "Polina Iatcenko", "inference_inputs": {"code_sha256": {"features/elo_ratings.py": "8525faf022a6343c452286dbfeb17dbb043744c6bdabbe448b6b371216da439b", "models/tennis.py": "6c67e999d2a03612e30f4032c8e5e77e8becfbc79e05f4c8993e726b90d34d54"}, "overall_ratings": [1520.8655369292, 1568.5515519875587], "players": ["Suzan Lamens", "Polina Iatcenko"], "sport": "TENNIS", "surface": "Hard", "surface_counts": [120, 30], "surface_ratings": [1496.5046978533414, 1562.410595875763]}, "market_type": "moneyline", "model_version": "tennis-surface-elo-v1", "observed_at_utc": "2026-10-05T10:48:07.366276+00:00", "probabilities": {"away": 0.4109, "home": 0.5891}, "replay_scope": "Exact full-precision serving state and rounding; upstream historical observation times are not certified.", "schema": "coded-moneyline-replay-v1", "snapshot_hash": "a11de863889e44dea69a8542217860651411ca7df8ac94010c576700b548e67e", "sport": "TENNIS"}</t>
        </is>
      </c>
    </row>
    <row r="767" ht="36" customHeight="1">
      <c r="A767" s="24" t="inlineStr">
        <is>
          <t>3ccb3cc6a0914baf</t>
        </is>
      </c>
      <c r="B767" s="24" t="inlineStr">
        <is>
          <t>2026-10-05T10:48:10.581312Z</t>
        </is>
      </c>
      <c r="C767" s="24" t="inlineStr">
        <is>
          <t>2026-10-05T12:30Z</t>
        </is>
      </c>
      <c r="D767" s="24" t="inlineStr">
        <is>
          <t>1036-2026:185236</t>
        </is>
      </c>
      <c r="E767" s="24" t="inlineStr">
        <is>
          <t>TENNIS</t>
        </is>
      </c>
      <c r="F767" s="24" t="inlineStr">
        <is>
          <t>Himeno Sakatsume</t>
        </is>
      </c>
      <c r="G767" s="24" t="inlineStr">
        <is>
          <t>Dominika Salkova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polymarket_us</t>
        </is>
      </c>
      <c r="L767" s="26" t="n">
        <v>-108</v>
      </c>
      <c r="M767" s="27" t="n">
        <v>1.925926</v>
      </c>
      <c r="N767" s="28" t="n">
        <v>0.519231</v>
      </c>
      <c r="O767" s="28" t="n">
        <v>0.5517</v>
      </c>
      <c r="P767" s="28" t="n">
        <v>0.05</v>
      </c>
      <c r="Q767" s="28" t="n">
        <v>0.032469</v>
      </c>
      <c r="R767" s="26" t="n">
        <v>36</v>
      </c>
      <c r="S767" s="29" t="n">
        <v>1</v>
      </c>
      <c r="T767" s="24" t="inlineStr">
        <is>
          <t>tennis-surface-elo-v1</t>
        </is>
      </c>
      <c r="U767" s="24" t="inlineStr">
        <is>
          <t>settled</t>
        </is>
      </c>
      <c r="V767" s="24" t="inlineStr">
        <is>
          <t>win</t>
        </is>
      </c>
      <c r="W767" s="26" t="n">
        <v>1</v>
      </c>
      <c r="X767" s="26" t="n">
        <v>0</v>
      </c>
      <c r="Y767" s="25" t="n"/>
      <c r="Z767" s="26" t="n">
        <v>-108</v>
      </c>
      <c r="AA767" s="28" t="n">
        <v>0.52</v>
      </c>
      <c r="AB767" s="28" t="n">
        <v>0.000769</v>
      </c>
      <c r="AC767" s="30" t="n">
        <v>0.9258999999999999</v>
      </c>
      <c r="AD767" s="24" t="inlineStr">
        <is>
          <t>2026-10-05T16:00:39.916075Z</t>
        </is>
      </c>
      <c r="AE767" s="31" t="inlineStr">
        <is>
          <t>Surface-blended Elo on Hard: Himeno Sakatsume p=0.552 vs Dominika Salkova. Executable ask 0.5200 (aec-wta-domsal-himsak-2026-10-05).</t>
        </is>
      </c>
      <c r="AF767" s="31" t="inlineStr">
        <is>
          <t>Surface-blended Elo model; singles only, WTA+ATP market coverage, not yet locked-holdout qualified -- promoted by explicit operator directive, not genuine walk-forward validation.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PAPER_CALL_LOW_EDGE</t>
        </is>
      </c>
      <c r="AP767" s="24" t="inlineStr">
        <is>
          <t>Himeno Sakatsume</t>
        </is>
      </c>
      <c r="AQ767" s="24" t="inlineStr">
        <is>
          <t>Himeno Sakatsume</t>
        </is>
      </c>
      <c r="AR767" s="24" t="inlineStr">
        <is>
          <t>Himeno Sakatsume</t>
        </is>
      </c>
      <c r="AS767" s="24" t="inlineStr">
        <is>
          <t>Dominika Salkova</t>
        </is>
      </c>
      <c r="AT767" s="24" t="inlineStr">
        <is>
          <t>Dominika Salkova</t>
        </is>
      </c>
      <c r="AU767" s="24" t="inlineStr">
        <is>
          <t>Dominika Salkova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6c67e999d2a03612e30f4032c8e5e77e8becfbc79e05f4c8993e726b90d34d54</t>
        </is>
      </c>
      <c r="BB767" s="24" t="inlineStr">
        <is>
          <t>surface_blended_elo</t>
        </is>
      </c>
      <c r="BC767" s="24" t="inlineStr">
        <is>
          <t>tennis-surface-elo-v1</t>
        </is>
      </c>
      <c r="BD767" s="24" t="inlineStr">
        <is>
          <t>6c67e999d2a03612e30f4032c8e5e77e8becfbc79e05f4c8993e726b90d34d54</t>
        </is>
      </c>
      <c r="BE767" s="24" t="inlineStr">
        <is>
          <t>tennis-surface-elo-v1</t>
        </is>
      </c>
      <c r="BF767" s="24" t="inlineStr">
        <is>
          <t>1</t>
        </is>
      </c>
      <c r="BG767" s="24" t="inlineStr">
        <is>
          <t>6c67e999d2a03612e30f4032c8e5e77e8becfbc79e05f4c8993e726b90d34d54</t>
        </is>
      </c>
      <c r="BH767" s="24" t="inlineStr">
        <is>
          <t>2026-10-05T10:16:10.323758Z</t>
        </is>
      </c>
      <c r="BI767" s="24" t="inlineStr">
        <is>
          <t>["same_event","same_team_same_day","same_league_same_day"]</t>
        </is>
      </c>
      <c r="BJ767" s="25" t="n"/>
      <c r="BK767" s="26" t="n">
        <v>-108</v>
      </c>
      <c r="BL767" s="27" t="n">
        <v>1.925926</v>
      </c>
      <c r="BM767" s="28" t="n">
        <v>0.519231</v>
      </c>
      <c r="BN767" s="28" t="n"/>
      <c r="BO767" s="28" t="n"/>
      <c r="BP767" s="25" t="n"/>
      <c r="BQ767" s="27" t="n">
        <v>1.925926</v>
      </c>
      <c r="BR767" s="28" t="n">
        <v>0.52</v>
      </c>
      <c r="BS767" s="28" t="n"/>
      <c r="BT767" s="28" t="n"/>
      <c r="BU767" s="25" t="n"/>
      <c r="BV767" s="29" t="n"/>
      <c r="BW767" s="24" t="n"/>
      <c r="BX767" s="30" t="n">
        <v>1</v>
      </c>
      <c r="BY767" s="27" t="n">
        <v>0.925925</v>
      </c>
      <c r="BZ767" s="24" t="inlineStr">
        <is>
          <t>2026-10-05T16:00:39.916075Z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inlineStr">
        <is>
          <t>6ab1a300e81e2c4f9bd25e74923ee84bcde5ab2e624a69029d531f62b42516f6</t>
        </is>
      </c>
      <c r="DE767" s="24" t="inlineStr">
        <is>
          <t>E:\model-prediction\data\odds\tennis\2026-10-05\polymarket_snapshots.jsonl</t>
        </is>
      </c>
      <c r="DF767" s="24" t="inlineStr">
        <is>
          <t>1207497:2026-10-05T10:16:10.323758Z</t>
        </is>
      </c>
      <c r="DG767" s="24" t="n"/>
      <c r="DH767" s="24" t="n"/>
      <c r="DI767" s="24" t="n"/>
      <c r="DJ767" s="24" t="n"/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"6c67e999d2a03612e30f4032c8e5e77e8becfbc79e05f4c8993e726b90d34d54", "away_team": "Himeno Sakatsume", "event_id": "1036-2026:185236", "event_start_utc": "2026-10-05T12:30Z", "features": {"elo_p1_surface": 1565.4, "elo_p2_surface": 1523.5, "expected_games_p1": 13.24, "expected_games_p2": 11.04, "expected_total_games": 24.27, "history_matches": 16571, "min_player_matches": 63, "surface": "Hard"}, "historical_source_observation_times_verified": false, "home_team": "Dominika Salkova", "inference_inputs": {"code_sha256": {"features/elo_ratings.py": "8525faf022a6343c452286dbfeb17dbb043744c6bdabbe448b6b371216da439b", "models/tennis.py": "6c67e999d2a03612e30f4032c8e5e77e8becfbc79e05f4c8993e726b90d34d54"}, "overall_ratings": [1548.8115291795582, 1524.7030186977788], "players": ["Himeno Sakatsume", "Dominika Salkova"], "sport": "TENNIS", "surface": "Hard", "surface_counts": [54, 88], "surface_ratings": [1565.3927319683619, 1523.455598984694]}, "market_type": "moneyline", "model_version": "tennis-surface-elo-v1", "observed_at_utc": "2026-10-05T10:48:07.366276+00:00", "probabilities": {"away": 0.5517, "home": 0.4483}, "replay_scope": "Exact full-precision serving state and rounding; upstream historical observation times are not certified.", "schema": "coded-moneyline-replay-v1", "snapshot_hash": "e5ea18f6a45088890203e144850da0ce9a319a7314daab91cbfaed533161abc8", "sport": "TENNIS"}</t>
        </is>
      </c>
    </row>
    <row r="768" ht="36" customHeight="1">
      <c r="A768" s="24" t="inlineStr">
        <is>
          <t>296f8a200de84c42</t>
        </is>
      </c>
      <c r="B768" s="24" t="inlineStr">
        <is>
          <t>2026-10-05T10:48:10.581312Z</t>
        </is>
      </c>
      <c r="C768" s="24" t="inlineStr">
        <is>
          <t>2026-10-05T11:00Z</t>
        </is>
      </c>
      <c r="D768" s="24" t="inlineStr">
        <is>
          <t>959-2026:183467</t>
        </is>
      </c>
      <c r="E768" s="24" t="inlineStr">
        <is>
          <t>TENNIS</t>
        </is>
      </c>
      <c r="F768" s="24" t="inlineStr">
        <is>
          <t>Daniil Medvedev</t>
        </is>
      </c>
      <c r="G768" s="24" t="inlineStr">
        <is>
          <t>Novak Djokovic</t>
        </is>
      </c>
      <c r="H768" s="24" t="inlineStr">
        <is>
          <t>moneyline</t>
        </is>
      </c>
      <c r="I768" s="24" t="inlineStr">
        <is>
          <t>home</t>
        </is>
      </c>
      <c r="J768" s="25" t="n"/>
      <c r="K768" s="24" t="inlineStr">
        <is>
          <t>polymarket_us</t>
        </is>
      </c>
      <c r="L768" s="26" t="n">
        <v>122</v>
      </c>
      <c r="M768" s="27" t="n">
        <v>2.22</v>
      </c>
      <c r="N768" s="28" t="n">
        <v>0.45045</v>
      </c>
      <c r="O768" s="28" t="n">
        <v>0.5643</v>
      </c>
      <c r="P768" s="28" t="n">
        <v>0.05</v>
      </c>
      <c r="Q768" s="28" t="n">
        <v>0.11385</v>
      </c>
      <c r="R768" s="26" t="n">
        <v>77</v>
      </c>
      <c r="S768" s="29" t="n">
        <v>1.5</v>
      </c>
      <c r="T768" s="24" t="inlineStr">
        <is>
          <t>tennis-surface-elo-v1</t>
        </is>
      </c>
      <c r="U768" s="24" t="inlineStr">
        <is>
          <t>settled</t>
        </is>
      </c>
      <c r="V768" s="24" t="inlineStr">
        <is>
          <t>win</t>
        </is>
      </c>
      <c r="W768" s="26" t="n">
        <v>0</v>
      </c>
      <c r="X768" s="26" t="n">
        <v>1</v>
      </c>
      <c r="Y768" s="25" t="n"/>
      <c r="Z768" s="26" t="n">
        <v>122</v>
      </c>
      <c r="AA768" s="28" t="n">
        <v>0.45</v>
      </c>
      <c r="AB768" s="28" t="n">
        <v>-0.00045</v>
      </c>
      <c r="AC768" s="30" t="n">
        <v>1.83</v>
      </c>
      <c r="AD768" s="24" t="inlineStr">
        <is>
          <t>2026-10-05T16:00:45.556134Z</t>
        </is>
      </c>
      <c r="AE768" s="31" t="inlineStr">
        <is>
          <t>Surface-blended Elo on Hard: Daniil Medvedev p=0.436 vs Novak Djokovic. Executable ask 0.4500 (aec-atp-novdjo-danmed-2026-10-05).</t>
        </is>
      </c>
      <c r="AF768" s="31" t="inlineStr">
        <is>
          <t>Surface-blended Elo model; singles only, WTA+ATP market coverage, not yet locked-holdout qualified -- promoted by explicit operator directive, not genuine walk-forward validation.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Daniil Medvedev</t>
        </is>
      </c>
      <c r="AQ768" s="24" t="inlineStr">
        <is>
          <t>Daniil Medvedev</t>
        </is>
      </c>
      <c r="AR768" s="24" t="inlineStr">
        <is>
          <t>Daniil Medvedev</t>
        </is>
      </c>
      <c r="AS768" s="24" t="inlineStr">
        <is>
          <t>Novak Djokovic</t>
        </is>
      </c>
      <c r="AT768" s="24" t="inlineStr">
        <is>
          <t>Novak Djokovic</t>
        </is>
      </c>
      <c r="AU768" s="24" t="inlineStr">
        <is>
          <t>Novak Djokovic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6c67e999d2a03612e30f4032c8e5e77e8becfbc79e05f4c8993e726b90d34d54</t>
        </is>
      </c>
      <c r="BB768" s="24" t="inlineStr">
        <is>
          <t>surface_blended_elo</t>
        </is>
      </c>
      <c r="BC768" s="24" t="inlineStr">
        <is>
          <t>tennis-surface-elo-v1</t>
        </is>
      </c>
      <c r="BD768" s="24" t="inlineStr">
        <is>
          <t>6c67e999d2a03612e30f4032c8e5e77e8becfbc79e05f4c8993e726b90d34d54</t>
        </is>
      </c>
      <c r="BE768" s="24" t="inlineStr">
        <is>
          <t>tennis-surface-elo-v1</t>
        </is>
      </c>
      <c r="BF768" s="24" t="inlineStr">
        <is>
          <t>1</t>
        </is>
      </c>
      <c r="BG768" s="24" t="inlineStr">
        <is>
          <t>6c67e999d2a03612e30f4032c8e5e77e8becfbc79e05f4c8993e726b90d34d54</t>
        </is>
      </c>
      <c r="BH768" s="24" t="inlineStr">
        <is>
          <t>2026-10-05T10:24:33.644543Z</t>
        </is>
      </c>
      <c r="BI768" s="24" t="inlineStr">
        <is>
          <t>["same_event","same_team_same_day","same_league_same_day"]</t>
        </is>
      </c>
      <c r="BJ768" s="25" t="n"/>
      <c r="BK768" s="26" t="n">
        <v>122</v>
      </c>
      <c r="BL768" s="27" t="n">
        <v>2.22</v>
      </c>
      <c r="BM768" s="28" t="n">
        <v>0.45045</v>
      </c>
      <c r="BN768" s="28" t="n"/>
      <c r="BO768" s="28" t="n"/>
      <c r="BP768" s="25" t="n"/>
      <c r="BQ768" s="27" t="n">
        <v>2.22</v>
      </c>
      <c r="BR768" s="28" t="n">
        <v>0.45</v>
      </c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inlineStr">
        <is>
          <t>a33437feb4c253335346adf4a24ff757e29739c593eeeaf5f955710d56c84c00</t>
        </is>
      </c>
      <c r="DE768" s="24" t="inlineStr">
        <is>
          <t>E:\model-prediction\data\odds\tennis\2026-10-05\polymarket_snapshots.jsonl</t>
        </is>
      </c>
      <c r="DF768" s="24" t="inlineStr">
        <is>
          <t>1208370:2026-10-05T10:24:33.644543Z</t>
        </is>
      </c>
      <c r="DG768" s="24" t="n"/>
      <c r="DH768" s="24" t="n"/>
      <c r="DI768" s="24" t="n"/>
      <c r="DJ768" s="24" t="n"/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"6c67e999d2a03612e30f4032c8e5e77e8becfbc79e05f4c8993e726b90d34d54", "away_team": "Daniil Medvedev", "event_id": "959-2026:183467", "event_start_utc": "2026-10-05T11:00Z", "features": {"elo_p1_surface": 1817.5, "elo_p2_surface": 1843.5, "expected_games_p1": 12.43, "expected_games_p2": 13.04, "expected_total_games": 25.48, "history_matches": 11365, "min_player_matches": 119, "surface": "Hard"}, "historical_source_observation_times_verified": false, "home_team": "Novak Djokovic", "inference_inputs": {"code_sha256": {"features/elo_ratings.py": "8525faf022a6343c452286dbfeb17dbb043744c6bdabbe448b6b371216da439b", "models/tennis.py": "6c67e999d2a03612e30f4032c8e5e77e8becfbc79e05f4c8993e726b90d34d54"}, "overall_ratings": [1804.0063217502814, 1896.0293104044842], "players": ["Daniil Medvedev", "Novak Djokovic"], "sport": "TENNIS", "surface": "Hard", "surface_counts": [135, 70], "surface_ratings": [1817.522103478462, 1843.54184162348]}, "market_type": "moneyline", "model_version": "tennis-surface-elo-v1", "observed_at_utc": "2026-10-05T10:48:07.366276+00:00", "probabilities": {"away": 0.4357, "home": 0.5643}, "replay_scope": "Exact full-precision serving state and rounding; upstream historical observation times are not certified.", "schema": "coded-moneyline-replay-v1", "snapshot_hash": "abe38c06f4f63c6a901220e9b32dec38a70e16586d14c5eab6b911c40785cb3e", "sport": "TENNIS"}</t>
        </is>
      </c>
    </row>
    <row r="769" ht="36" customHeight="1">
      <c r="A769" s="24" t="inlineStr">
        <is>
          <t>202692af99a1478a</t>
        </is>
      </c>
      <c r="B769" s="24" t="inlineStr">
        <is>
          <t>2026-10-05T10:48:10.581312Z</t>
        </is>
      </c>
      <c r="C769" s="24" t="inlineStr">
        <is>
          <t>2026-10-05T11:10Z</t>
        </is>
      </c>
      <c r="D769" s="24" t="inlineStr">
        <is>
          <t>315-2026:186293</t>
        </is>
      </c>
      <c r="E769" s="24" t="inlineStr">
        <is>
          <t>TENNIS</t>
        </is>
      </c>
      <c r="F769" s="24" t="inlineStr">
        <is>
          <t>Nishesh Basavareddy</t>
        </is>
      </c>
      <c r="G769" s="24" t="inlineStr">
        <is>
          <t>Kimmer Coppejans</t>
        </is>
      </c>
      <c r="H769" s="24" t="inlineStr">
        <is>
          <t>moneyline</t>
        </is>
      </c>
      <c r="I769" s="24" t="inlineStr">
        <is>
          <t>away</t>
        </is>
      </c>
      <c r="J769" s="25" t="n"/>
      <c r="K769" s="24" t="inlineStr">
        <is>
          <t>polymarket_us</t>
        </is>
      </c>
      <c r="L769" s="26" t="n">
        <v>-567</v>
      </c>
      <c r="M769" s="27" t="n">
        <v>1.176367</v>
      </c>
      <c r="N769" s="28" t="n">
        <v>0.850075</v>
      </c>
      <c r="O769" s="28" t="n">
        <v>0.6581</v>
      </c>
      <c r="P769" s="28" t="n">
        <v>0.05</v>
      </c>
      <c r="Q769" s="28" t="n">
        <v>-0.191975</v>
      </c>
      <c r="R769" s="26" t="n">
        <v>0</v>
      </c>
      <c r="S769" s="29" t="n">
        <v>1</v>
      </c>
      <c r="T769" s="24" t="inlineStr">
        <is>
          <t>tennis-surface-elo-v1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1</v>
      </c>
      <c r="Y769" s="25" t="n"/>
      <c r="Z769" s="26" t="n">
        <v>-567</v>
      </c>
      <c r="AA769" s="28" t="n">
        <v>0.85</v>
      </c>
      <c r="AB769" s="28" t="n">
        <v>-7.499999999999999e-05</v>
      </c>
      <c r="AC769" s="30" t="n">
        <v>-1</v>
      </c>
      <c r="AD769" s="24" t="inlineStr">
        <is>
          <t>2026-10-05T16:00:51.073849Z</t>
        </is>
      </c>
      <c r="AE769" s="31" t="inlineStr">
        <is>
          <t>Surface-blended Elo on Hard: Nishesh Basavareddy p=0.658 vs Kimmer Coppejans. Executable ask 0.8500 (aec-atp-kimcop-nisbas-2026-10-05).</t>
        </is>
      </c>
      <c r="AF769" s="31" t="inlineStr">
        <is>
          <t>Surface-blended Elo model; singles only, WTA+ATP market coverage, not yet locked-holdout qualified -- promoted by explicit operator directive, not genuine walk-forward validation.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Nishesh Basavareddy</t>
        </is>
      </c>
      <c r="AQ769" s="24" t="inlineStr">
        <is>
          <t>Nishesh Basavareddy</t>
        </is>
      </c>
      <c r="AR769" s="24" t="inlineStr">
        <is>
          <t>Nishesh Basavareddy</t>
        </is>
      </c>
      <c r="AS769" s="24" t="inlineStr">
        <is>
          <t>Kimmer Coppejans</t>
        </is>
      </c>
      <c r="AT769" s="24" t="inlineStr">
        <is>
          <t>Kimmer Coppejans</t>
        </is>
      </c>
      <c r="AU769" s="24" t="inlineStr">
        <is>
          <t>Kimmer Coppejans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6c67e999d2a03612e30f4032c8e5e77e8becfbc79e05f4c8993e726b90d34d54</t>
        </is>
      </c>
      <c r="BB769" s="24" t="inlineStr">
        <is>
          <t>surface_blended_elo</t>
        </is>
      </c>
      <c r="BC769" s="24" t="inlineStr">
        <is>
          <t>tennis-surface-elo-v1</t>
        </is>
      </c>
      <c r="BD769" s="24" t="inlineStr">
        <is>
          <t>6c67e999d2a03612e30f4032c8e5e77e8becfbc79e05f4c8993e726b90d34d54</t>
        </is>
      </c>
      <c r="BE769" s="24" t="inlineStr">
        <is>
          <t>tennis-surface-elo-v1</t>
        </is>
      </c>
      <c r="BF769" s="24" t="inlineStr">
        <is>
          <t>1</t>
        </is>
      </c>
      <c r="BG769" s="24" t="inlineStr">
        <is>
          <t>6c67e999d2a03612e30f4032c8e5e77e8becfbc79e05f4c8993e726b90d34d54</t>
        </is>
      </c>
      <c r="BH769" s="24" t="inlineStr">
        <is>
          <t>2026-10-05T10:22:33.909637Z</t>
        </is>
      </c>
      <c r="BI769" s="24" t="inlineStr">
        <is>
          <t>["same_event","same_team_same_day","same_league_same_day"]</t>
        </is>
      </c>
      <c r="BJ769" s="25" t="n"/>
      <c r="BK769" s="26" t="n">
        <v>-567</v>
      </c>
      <c r="BL769" s="27" t="n">
        <v>1.176367</v>
      </c>
      <c r="BM769" s="28" t="n">
        <v>0.850075</v>
      </c>
      <c r="BN769" s="28" t="n"/>
      <c r="BO769" s="28" t="n"/>
      <c r="BP769" s="25" t="n"/>
      <c r="BQ769" s="27" t="n">
        <v>1.176367</v>
      </c>
      <c r="BR769" s="28" t="n">
        <v>0.85</v>
      </c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2026-10-05T16:00:51.073849Z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inlineStr">
        <is>
          <t>6970d0882ccc54e09dcad3602857004b877e12ff5d7cb84269f3028a22e30b26</t>
        </is>
      </c>
      <c r="DE769" s="24" t="inlineStr">
        <is>
          <t>E:\model-prediction\data\odds\tennis\2026-10-05\polymarket_snapshots.jsonl</t>
        </is>
      </c>
      <c r="DF769" s="24" t="inlineStr">
        <is>
          <t>1206280:2026-10-05T10:22:33.909637Z</t>
        </is>
      </c>
      <c r="DG769" s="24" t="n"/>
      <c r="DH769" s="24" t="n"/>
      <c r="DI769" s="24" t="n"/>
      <c r="DJ769" s="24" t="n"/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"6c67e999d2a03612e30f4032c8e5e77e8becfbc79e05f4c8993e726b90d34d54", "away_team": "Nishesh Basavareddy", "event_id": "315-2026:186293", "event_start_utc": "2026-10-05T11:10Z", "features": {"elo_p1_surface": 1579.9, "elo_p2_surface": 1482.6, "expected_games_p1": 13.7, "expected_games_p2": 9.69, "expected_total_games": 23.39, "history_matches": 11365, "min_player_matches": 20, "surface": "Hard"}, "historical_source_observation_times_verified": false, "home_team": "Kimmer Coppejans", "inference_inputs": {"code_sha256": {"features/elo_ratings.py": "8525faf022a6343c452286dbfeb17dbb043744c6bdabbe448b6b371216da439b", "models/tennis.py": "6c67e999d2a03612e30f4032c8e5e77e8becfbc79e05f4c8993e726b90d34d54"}, "overall_ratings": [1597.416126080688, 1464.200818509645], "players": ["Nishesh Basavareddy", "Kimmer Coppejans"], "sport": "TENNIS", "surface": "Hard", "surface_counts": [54, 15], "surface_ratings": [1579.894806887748, 1482.600336521304]}, "market_type": "moneyline", "model_version": "tennis-surface-elo-v1", "observed_at_utc": "2026-10-05T10:48:07.366276+00:00", "probabilities": {"away": 0.6581, "home": 0.3419}, "replay_scope": "Exact full-precision serving state and rounding; upstream historical observation times are not certified.", "schema": "coded-moneyline-replay-v1", "snapshot_hash": "e179146db05042abba506bd9f4a1154af72a6dcb3780dc15e8122bf471091d62", "sport": "TENNIS"}</t>
        </is>
      </c>
    </row>
    <row r="770" ht="36" customHeight="1">
      <c r="A770" s="24" t="inlineStr">
        <is>
          <t>309a6dc476af42fa</t>
        </is>
      </c>
      <c r="B770" s="24" t="inlineStr">
        <is>
          <t>2026-10-05T10:48:10.581312Z</t>
        </is>
      </c>
      <c r="C770" s="24" t="inlineStr">
        <is>
          <t>2026-10-05T11:10Z</t>
        </is>
      </c>
      <c r="D770" s="24" t="inlineStr">
        <is>
          <t>315-2026:186300</t>
        </is>
      </c>
      <c r="E770" s="24" t="inlineStr">
        <is>
          <t>TENNIS</t>
        </is>
      </c>
      <c r="F770" s="24" t="inlineStr">
        <is>
          <t>Lloyd Harris</t>
        </is>
      </c>
      <c r="G770" s="24" t="inlineStr">
        <is>
          <t>Alex Bolt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polymarket_us</t>
        </is>
      </c>
      <c r="L770" s="26" t="n">
        <v>-426</v>
      </c>
      <c r="M770" s="27" t="n">
        <v>1.234742</v>
      </c>
      <c r="N770" s="28" t="n">
        <v>0.809886</v>
      </c>
      <c r="O770" s="28" t="n">
        <v>0.6731</v>
      </c>
      <c r="P770" s="28" t="n">
        <v>0.05</v>
      </c>
      <c r="Q770" s="28" t="n">
        <v>-0.136786</v>
      </c>
      <c r="R770" s="26" t="n">
        <v>0</v>
      </c>
      <c r="S770" s="29" t="n">
        <v>1</v>
      </c>
      <c r="T770" s="24" t="inlineStr">
        <is>
          <t>tennis-surface-elo-v1</t>
        </is>
      </c>
      <c r="U770" s="24" t="inlineStr">
        <is>
          <t>settled</t>
        </is>
      </c>
      <c r="V770" s="24" t="inlineStr">
        <is>
          <t>win</t>
        </is>
      </c>
      <c r="W770" s="26" t="n">
        <v>1</v>
      </c>
      <c r="X770" s="26" t="n">
        <v>0</v>
      </c>
      <c r="Y770" s="25" t="n"/>
      <c r="Z770" s="26" t="n">
        <v>-426</v>
      </c>
      <c r="AA770" s="28" t="n">
        <v>0.8100000000000001</v>
      </c>
      <c r="AB770" s="28" t="n">
        <v>0.000114</v>
      </c>
      <c r="AC770" s="30" t="n">
        <v>0.2347</v>
      </c>
      <c r="AD770" s="24" t="inlineStr">
        <is>
          <t>2026-10-05T16:00:56.771105Z</t>
        </is>
      </c>
      <c r="AE770" s="31" t="inlineStr">
        <is>
          <t>Surface-blended Elo on Hard: Lloyd Harris p=0.673 vs Alex Bolt. Executable ask 0.8100 (aec-atp-alebol-llohar-2026-10-05).</t>
        </is>
      </c>
      <c r="AF770" s="31" t="inlineStr">
        <is>
          <t>Surface-blended Elo model; singles only, WTA+ATP market coverage, not yet locked-holdout qualified -- promoted by explicit operator directive, not genuine walk-forward validation.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PAPER_CALL_LOW_EDGE</t>
        </is>
      </c>
      <c r="AP770" s="24" t="inlineStr">
        <is>
          <t>Lloyd Harris</t>
        </is>
      </c>
      <c r="AQ770" s="24" t="inlineStr">
        <is>
          <t>Lloyd Harris</t>
        </is>
      </c>
      <c r="AR770" s="24" t="inlineStr">
        <is>
          <t>Lloyd Harris</t>
        </is>
      </c>
      <c r="AS770" s="24" t="inlineStr">
        <is>
          <t>Alex Bolt</t>
        </is>
      </c>
      <c r="AT770" s="24" t="inlineStr">
        <is>
          <t>Alex Bolt</t>
        </is>
      </c>
      <c r="AU770" s="24" t="inlineStr">
        <is>
          <t>Alex Bolt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6c67e999d2a03612e30f4032c8e5e77e8becfbc79e05f4c8993e726b90d34d54</t>
        </is>
      </c>
      <c r="BB770" s="24" t="inlineStr">
        <is>
          <t>surface_blended_elo</t>
        </is>
      </c>
      <c r="BC770" s="24" t="inlineStr">
        <is>
          <t>tennis-surface-elo-v1</t>
        </is>
      </c>
      <c r="BD770" s="24" t="inlineStr">
        <is>
          <t>6c67e999d2a03612e30f4032c8e5e77e8becfbc79e05f4c8993e726b90d34d54</t>
        </is>
      </c>
      <c r="BE770" s="24" t="inlineStr">
        <is>
          <t>tennis-surface-elo-v1</t>
        </is>
      </c>
      <c r="BF770" s="24" t="inlineStr">
        <is>
          <t>1</t>
        </is>
      </c>
      <c r="BG770" s="24" t="inlineStr">
        <is>
          <t>6c67e999d2a03612e30f4032c8e5e77e8becfbc79e05f4c8993e726b90d34d54</t>
        </is>
      </c>
      <c r="BH770" s="24" t="inlineStr">
        <is>
          <t>2026-10-05T10:21:43.510453Z</t>
        </is>
      </c>
      <c r="BI770" s="24" t="inlineStr">
        <is>
          <t>["same_event","same_team_same_day","same_league_same_day"]</t>
        </is>
      </c>
      <c r="BJ770" s="25" t="n"/>
      <c r="BK770" s="26" t="n">
        <v>-426</v>
      </c>
      <c r="BL770" s="27" t="n">
        <v>1.234742</v>
      </c>
      <c r="BM770" s="28" t="n">
        <v>0.809886</v>
      </c>
      <c r="BN770" s="28" t="n"/>
      <c r="BO770" s="28" t="n"/>
      <c r="BP770" s="25" t="n"/>
      <c r="BQ770" s="27" t="n">
        <v>1.234742</v>
      </c>
      <c r="BR770" s="28" t="n">
        <v>0.8100000000000001</v>
      </c>
      <c r="BS770" s="28" t="n"/>
      <c r="BT770" s="28" t="n"/>
      <c r="BU770" s="25" t="n"/>
      <c r="BV770" s="29" t="n"/>
      <c r="BW770" s="24" t="n"/>
      <c r="BX770" s="30" t="n">
        <v>1</v>
      </c>
      <c r="BY770" s="27" t="n">
        <v>0.234742</v>
      </c>
      <c r="BZ770" s="24" t="inlineStr">
        <is>
          <t>2026-10-05T16:00:56.771105Z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False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inlineStr">
        <is>
          <t>a3ced04221f911b1a520985b438ada581caa4f54b50c038117044f2414586612</t>
        </is>
      </c>
      <c r="DE770" s="24" t="inlineStr">
        <is>
          <t>E:\model-prediction\data\odds\tennis\2026-10-05\polymarket_snapshots.jsonl</t>
        </is>
      </c>
      <c r="DF770" s="24" t="inlineStr">
        <is>
          <t>1206290:2026-10-05T10:21:43.510453Z</t>
        </is>
      </c>
      <c r="DG770" s="24" t="n"/>
      <c r="DH770" s="24" t="n"/>
      <c r="DI770" s="24" t="n"/>
      <c r="DJ770" s="24" t="n"/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"6c67e999d2a03612e30f4032c8e5e77e8becfbc79e05f4c8993e726b90d34d54", "away_team": "Lloyd Harris", "event_id": "315-2026:186300", "event_start_utc": "2026-10-05T11:10Z", "features": {"elo_p1_surface": 1607.5, "elo_p2_surface": 1496.8, "expected_games_p1": 13.64, "expected_games_p2": 9.24, "expected_total_games": 22.88, "history_matches": 11365, "min_player_matches": 46, "surface": "Hard"}, "historical_source_observation_times_verified": false, "home_team": "Alex Bolt", "inference_inputs": {"code_sha256": {"features/elo_ratings.py": "8525faf022a6343c452286dbfeb17dbb043744c6bdabbe448b6b371216da439b", "models/tennis.py": "6c67e999d2a03612e30f4032c8e5e77e8becfbc79e05f4c8993e726b90d34d54"}, "overall_ratings": [1632.565097337149, 1488.619755486916], "players": ["Lloyd Harris", "Alex Bolt"], "sport": "TENNIS", "surface": "Hard", "surface_counts": [27, 33], "surface_ratings": [1607.544615064761, 1496.825832800046]}, "market_type": "moneyline", "model_version": "tennis-surface-elo-v1", "observed_at_utc": "2026-10-05T10:48:07.366276+00:00", "probabilities": {"away": 0.6731, "home": 0.3269}, "replay_scope": "Exact full-precision serving state and rounding; upstream historical observation times are not certified.", "schema": "coded-moneyline-replay-v1", "snapshot_hash": "4f3b03e1b32a32d9ab2dbd2babc24f941cad4ec9469cf4391eb33da096d22b77", "sport": "TENNIS"}</t>
        </is>
      </c>
    </row>
    <row r="771" ht="36" customHeight="1">
      <c r="A771" s="24" t="inlineStr">
        <is>
          <t>99571923c6444f48</t>
        </is>
      </c>
      <c r="B771" s="24" t="inlineStr">
        <is>
          <t>2026-10-05T22:23:45.549967Z</t>
        </is>
      </c>
      <c r="C771" s="24" t="inlineStr">
        <is>
          <t>2026-10-06T03:00Z</t>
        </is>
      </c>
      <c r="D771" s="24" t="inlineStr">
        <is>
          <t>959-2026:184343</t>
        </is>
      </c>
      <c r="E771" s="24" t="inlineStr">
        <is>
          <t>TENNIS</t>
        </is>
      </c>
      <c r="F771" s="24" t="inlineStr">
        <is>
          <t>Mirra Andreeva</t>
        </is>
      </c>
      <c r="G771" s="24" t="inlineStr">
        <is>
          <t>Daria Snigur</t>
        </is>
      </c>
      <c r="H771" s="24" t="inlineStr">
        <is>
          <t>moneyline</t>
        </is>
      </c>
      <c r="I771" s="24" t="inlineStr">
        <is>
          <t>away</t>
        </is>
      </c>
      <c r="J771" s="25" t="n"/>
      <c r="K771" s="24" t="inlineStr">
        <is>
          <t>polymarket_us</t>
        </is>
      </c>
      <c r="L771" s="26" t="n">
        <v>-567</v>
      </c>
      <c r="M771" s="27" t="n">
        <v>1.176367</v>
      </c>
      <c r="N771" s="28" t="n">
        <v>0.850075</v>
      </c>
      <c r="O771" s="28" t="n">
        <v>0.6294999999999999</v>
      </c>
      <c r="P771" s="28" t="n">
        <v>0.05</v>
      </c>
      <c r="Q771" s="28" t="n">
        <v>-0.220575</v>
      </c>
      <c r="R771" s="26" t="n">
        <v>0</v>
      </c>
      <c r="S771" s="29" t="n">
        <v>1</v>
      </c>
      <c r="T771" s="24" t="inlineStr">
        <is>
          <t>tennis-surface-elo-v1</t>
        </is>
      </c>
      <c r="U771" s="24" t="inlineStr">
        <is>
          <t>settled</t>
        </is>
      </c>
      <c r="V771" s="24" t="inlineStr">
        <is>
          <t>win</t>
        </is>
      </c>
      <c r="W771" s="26" t="n">
        <v>1</v>
      </c>
      <c r="X771" s="26" t="n">
        <v>0</v>
      </c>
      <c r="Y771" s="25" t="n"/>
      <c r="Z771" s="26" t="n">
        <v>-567</v>
      </c>
      <c r="AA771" s="28" t="n">
        <v>0.85</v>
      </c>
      <c r="AB771" s="28" t="n">
        <v>-7.499999999999999e-05</v>
      </c>
      <c r="AC771" s="30" t="n">
        <v>0.1764</v>
      </c>
      <c r="AD771" s="24" t="inlineStr">
        <is>
          <t>2026-10-06T04:31:32.398694Z</t>
        </is>
      </c>
      <c r="AE771" s="31" t="inlineStr">
        <is>
          <t>Surface-blended Elo on Hard: Mirra Andreeva p=0.629 vs Daria Snigur. Executable ask 0.8500 (aec-wta-darsni-mirand-2026-10-05).</t>
        </is>
      </c>
      <c r="AF771" s="31" t="inlineStr">
        <is>
          <t>Surface-blended Elo model; singles only, WTA+ATP market coverage, not yet locked-holdout qualified -- promoted by explicit operator directive, not genuine walk-forward validation.</t>
        </is>
      </c>
      <c r="AG771" s="24" t="inlineStr">
        <is>
          <t>not_applicable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PAPER_CALL_LOW_EDGE</t>
        </is>
      </c>
      <c r="AP771" s="24" t="inlineStr">
        <is>
          <t>Mirra Andreeva</t>
        </is>
      </c>
      <c r="AQ771" s="24" t="inlineStr">
        <is>
          <t>Mirra Andreeva</t>
        </is>
      </c>
      <c r="AR771" s="24" t="inlineStr">
        <is>
          <t>Mirra Andreeva</t>
        </is>
      </c>
      <c r="AS771" s="24" t="inlineStr">
        <is>
          <t>Daria Snigur</t>
        </is>
      </c>
      <c r="AT771" s="24" t="inlineStr">
        <is>
          <t>Daria Snigur</t>
        </is>
      </c>
      <c r="AU771" s="24" t="inlineStr">
        <is>
          <t>Daria Snigur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6c67e999d2a03612e30f4032c8e5e77e8becfbc79e05f4c8993e726b90d34d54</t>
        </is>
      </c>
      <c r="BB771" s="24" t="inlineStr">
        <is>
          <t>surface_blended_elo</t>
        </is>
      </c>
      <c r="BC771" s="24" t="inlineStr">
        <is>
          <t>tennis-surface-elo-v1</t>
        </is>
      </c>
      <c r="BD771" s="24" t="inlineStr">
        <is>
          <t>6c67e999d2a03612e30f4032c8e5e77e8becfbc79e05f4c8993e726b90d34d54</t>
        </is>
      </c>
      <c r="BE771" s="24" t="inlineStr">
        <is>
          <t>tennis-surface-elo-v1</t>
        </is>
      </c>
      <c r="BF771" s="24" t="inlineStr">
        <is>
          <t>1</t>
        </is>
      </c>
      <c r="BG771" s="24" t="inlineStr">
        <is>
          <t>6c67e999d2a03612e30f4032c8e5e77e8becfbc79e05f4c8993e726b90d34d54</t>
        </is>
      </c>
      <c r="BH771" s="24" t="inlineStr">
        <is>
          <t>2026-10-05T22:18:24.158869Z</t>
        </is>
      </c>
      <c r="BI771" s="24" t="inlineStr">
        <is>
          <t>["same_event","same_team_same_day","same_league_same_day"]</t>
        </is>
      </c>
      <c r="BJ771" s="25" t="n"/>
      <c r="BK771" s="26" t="n">
        <v>-567</v>
      </c>
      <c r="BL771" s="27" t="n">
        <v>1.176367</v>
      </c>
      <c r="BM771" s="28" t="n">
        <v>0.850075</v>
      </c>
      <c r="BN771" s="28" t="n"/>
      <c r="BO771" s="28" t="n"/>
      <c r="BP771" s="25" t="n"/>
      <c r="BQ771" s="27" t="n">
        <v>1.176367</v>
      </c>
      <c r="BR771" s="28" t="n">
        <v>0.85</v>
      </c>
      <c r="BS771" s="28" t="n"/>
      <c r="BT771" s="28" t="n"/>
      <c r="BU771" s="25" t="n"/>
      <c r="BV771" s="29" t="n"/>
      <c r="BW771" s="24" t="n"/>
      <c r="BX771" s="30" t="n">
        <v>1</v>
      </c>
      <c r="BY771" s="27" t="n">
        <v>0.176367</v>
      </c>
      <c r="BZ771" s="24" t="inlineStr">
        <is>
          <t>2026-10-06T04:31:32.398694Z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inlineStr">
        <is>
          <t>469d319d1c331ffeeafc6ad78ac4df5caa0270a4099b09869c86fd37c391152f</t>
        </is>
      </c>
      <c r="DE771" s="24" t="inlineStr">
        <is>
          <t>E:\model-prediction\data\odds\tennis\2026-10-05\polymarket_snapshots.jsonl</t>
        </is>
      </c>
      <c r="DF771" s="24" t="inlineStr">
        <is>
          <t>1205777:2026-10-05T22:18:24.158869Z</t>
        </is>
      </c>
      <c r="DG771" s="24" t="n"/>
      <c r="DH771" s="24" t="n"/>
      <c r="DI771" s="24" t="n"/>
      <c r="DJ771" s="24" t="n"/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"6c67e999d2a03612e30f4032c8e5e77e8becfbc79e05f4c8993e726b90d34d54", "away_team": "Mirra Andreeva", "event_id": "959-2026:184343", "event_start_utc": "2026-10-06T03:00Z", "features": {"elo_p1_surface": 1831.1, "elo_p2_surface": 1751.8, "expected_games_p1": 13.45, "expected_games_p2": 9.75, "expected_total_games": 23.2, "history_matches": 16571, "min_player_matches": 89, "surface": "Hard"}, "historical_source_observation_times_verified": false, "home_team": "Daria Snigur", "inference_inputs": {"code_sha256": {"features/elo_ratings.py": "8525faf022a6343c452286dbfeb17dbb043744c6bdabbe448b6b371216da439b", "models/tennis.py": "6c67e999d2a03612e30f4032c8e5e77e8becfbc79e05f4c8993e726b90d34d54"}, "overall_ratings": [1899.8472717895681, 1764.4303754034456], "players": ["Mirra Andreeva", "Daria Snigur"], "sport": "TENNIS", "surface": "Hard", "surface_counts": [119, 60], "surface_ratings": [1831.0711829171541, 1751.82068355836]}, "market_type": "moneyline", "model_version": "tennis-surface-elo-v1", "observed_at_utc": "2026-10-05T22:23:41.871278+00:00", "probabilities": {"away": 0.6295, "home": 0.3705}, "replay_scope": "Exact full-precision serving state and rounding; upstream historical observation times are not certified.", "schema": "coded-moneyline-replay-v1", "snapshot_hash": "be727ce746ea2e3a867bebe7c837eed78b941d9039fb5c89adc5a21ed7ccb3e0", "sport": "TENNIS"}</t>
        </is>
      </c>
    </row>
    <row r="772" ht="36" customHeight="1">
      <c r="A772" s="24" t="inlineStr">
        <is>
          <t>9b34cf4a44c5416d</t>
        </is>
      </c>
      <c r="B772" s="24" t="inlineStr">
        <is>
          <t>2026-10-05T22:23:45.549967Z</t>
        </is>
      </c>
      <c r="C772" s="24" t="inlineStr">
        <is>
          <t>2026-10-07T04:00Z</t>
        </is>
      </c>
      <c r="D772" s="24" t="inlineStr">
        <is>
          <t>959-2026:184345</t>
        </is>
      </c>
      <c r="E772" s="24" t="inlineStr">
        <is>
          <t>TENNIS</t>
        </is>
      </c>
      <c r="F772" s="24" t="inlineStr">
        <is>
          <t>Iga Swiatek</t>
        </is>
      </c>
      <c r="G772" s="24" t="inlineStr">
        <is>
          <t>Iva Jovic</t>
        </is>
      </c>
      <c r="H772" s="24" t="inlineStr">
        <is>
          <t>moneyline</t>
        </is>
      </c>
      <c r="I772" s="24" t="inlineStr">
        <is>
          <t>away</t>
        </is>
      </c>
      <c r="J772" s="25" t="n"/>
      <c r="K772" s="24" t="inlineStr">
        <is>
          <t>polymarket_us</t>
        </is>
      </c>
      <c r="L772" s="26" t="n">
        <v>-203</v>
      </c>
      <c r="M772" s="27" t="n">
        <v>1.492611</v>
      </c>
      <c r="N772" s="28" t="n">
        <v>0.669967</v>
      </c>
      <c r="O772" s="28" t="n">
        <v>0.6331</v>
      </c>
      <c r="P772" s="28" t="n">
        <v>0.05</v>
      </c>
      <c r="Q772" s="28" t="n">
        <v>-0.036867</v>
      </c>
      <c r="R772" s="26" t="n">
        <v>2</v>
      </c>
      <c r="S772" s="29" t="n">
        <v>1</v>
      </c>
      <c r="T772" s="24" t="inlineStr">
        <is>
          <t>tennis-surface-elo-v1</t>
        </is>
      </c>
      <c r="U772" s="24" t="inlineStr">
        <is>
          <t>open</t>
        </is>
      </c>
      <c r="V772" s="24" t="n"/>
      <c r="W772" s="26" t="n"/>
      <c r="X772" s="26" t="n"/>
      <c r="Y772" s="25" t="n"/>
      <c r="Z772" s="26" t="n"/>
      <c r="AA772" s="28" t="n"/>
      <c r="AB772" s="28" t="n"/>
      <c r="AC772" s="30" t="n"/>
      <c r="AD772" s="24" t="n"/>
      <c r="AE772" s="31" t="inlineStr">
        <is>
          <t>Surface-blended Elo on Hard: Iga Swiatek p=0.633 vs Iva Jovic. Executable ask 0.6700 (aec-wta-ivajov-igaswi-2026-10-05).</t>
        </is>
      </c>
      <c r="AF772" s="31" t="inlineStr">
        <is>
          <t>Surface-blended Elo model; singles only, WTA+ATP market coverage, not yet locked-holdout qualified -- promoted by explicit operator directive, not genuine walk-forward validation.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Iga Swiatek</t>
        </is>
      </c>
      <c r="AQ772" s="24" t="inlineStr">
        <is>
          <t>Iga Swiatek</t>
        </is>
      </c>
      <c r="AR772" s="24" t="inlineStr">
        <is>
          <t>Iga Swiatek</t>
        </is>
      </c>
      <c r="AS772" s="24" t="inlineStr">
        <is>
          <t>Iva Jovic</t>
        </is>
      </c>
      <c r="AT772" s="24" t="inlineStr">
        <is>
          <t>Iva Jovic</t>
        </is>
      </c>
      <c r="AU772" s="24" t="inlineStr">
        <is>
          <t>Iva Jovic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6c67e999d2a03612e30f4032c8e5e77e8becfbc79e05f4c8993e726b90d34d54</t>
        </is>
      </c>
      <c r="BB772" s="24" t="inlineStr">
        <is>
          <t>surface_blended_elo</t>
        </is>
      </c>
      <c r="BC772" s="24" t="inlineStr">
        <is>
          <t>tennis-surface-elo-v1</t>
        </is>
      </c>
      <c r="BD772" s="24" t="inlineStr">
        <is>
          <t>6c67e999d2a03612e30f4032c8e5e77e8becfbc79e05f4c8993e726b90d34d54</t>
        </is>
      </c>
      <c r="BE772" s="24" t="inlineStr">
        <is>
          <t>tennis-surface-elo-v1</t>
        </is>
      </c>
      <c r="BF772" s="24" t="inlineStr">
        <is>
          <t>1</t>
        </is>
      </c>
      <c r="BG772" s="24" t="inlineStr">
        <is>
          <t>6c67e999d2a03612e30f4032c8e5e77e8becfbc79e05f4c8993e726b90d34d54</t>
        </is>
      </c>
      <c r="BH772" s="24" t="inlineStr">
        <is>
          <t>2026-10-05T10:17:40.081465Z</t>
        </is>
      </c>
      <c r="BI772" s="24" t="inlineStr">
        <is>
          <t>["same_event","same_team_same_day","same_league_same_day"]</t>
        </is>
      </c>
      <c r="BJ772" s="25" t="n"/>
      <c r="BK772" s="26" t="n">
        <v>-203</v>
      </c>
      <c r="BL772" s="27" t="n">
        <v>1.492611</v>
      </c>
      <c r="BM772" s="28" t="n">
        <v>0.669967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False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inlineStr">
        <is>
          <t>f163c2ad342331c83af4afba699178f967b246a126cd32c2a33ad2822e88e77e</t>
        </is>
      </c>
      <c r="DE772" s="24" t="inlineStr">
        <is>
          <t>E:\model-prediction\data\odds\tennis\2026-10-05\polymarket_snapshots.jsonl</t>
        </is>
      </c>
      <c r="DF772" s="24" t="inlineStr">
        <is>
          <t>1221809:2026-10-05T10:17:40.081465Z</t>
        </is>
      </c>
      <c r="DG772" s="24" t="n"/>
      <c r="DH772" s="24" t="n"/>
      <c r="DI772" s="24" t="n"/>
      <c r="DJ772" s="24" t="n"/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"6c67e999d2a03612e30f4032c8e5e77e8becfbc79e05f4c8993e726b90d34d54", "away_team": "Iga Swiatek", "event_id": "959-2026:184345", "event_start_utc": "2026-10-07T04:00Z", "features": {"elo_p1_surface": 1898.9, "elo_p2_surface": 1803.0, "expected_games_p1": 13.45, "expected_games_p2": 9.16, "expected_total_games": 22.6, "history_matches": 16571, "min_player_matches": 102, "surface": "Hard"}, "historical_source_observation_times_verified": false, "home_team": "Iva Jovic", "inference_inputs": {"code_sha256": {"features/elo_ratings.py": "8525faf022a6343c452286dbfeb17dbb043744c6bdabbe448b6b371216da439b", "models/tennis.py": "6c67e999d2a03612e30f4032c8e5e77e8becfbc79e05f4c8993e726b90d34d54"}, "overall_ratings": [1952.8720154716507, 1853.0731796417183], "players": ["Iga Swiatek", "Iva Jovic"], "sport": "TENNIS", "surface": "Hard", "surface_counts": [128, 84], "surface_ratings": [1898.8539881420177, 1803.0284932401182]}, "market_type": "moneyline", "model_version": "tennis-surface-elo-v1", "observed_at_utc": "2026-10-05T22:23:41.871278+00:00", "probabilities": {"away": 0.6331, "home": 0.3669}, "replay_scope": "Exact full-precision serving state and rounding; upstream historical observation times are not certified.", "schema": "coded-moneyline-replay-v1", "snapshot_hash": "97a424f926e7383d06a3606ad83490bd476df6340b768daa94c7cafb1eabe3be", "sport": "TENNIS"}</t>
        </is>
      </c>
    </row>
    <row r="773" ht="36" customHeight="1">
      <c r="A773" s="24" t="inlineStr">
        <is>
          <t>c6c7e02fd3504472</t>
        </is>
      </c>
      <c r="B773" s="24" t="inlineStr">
        <is>
          <t>2026-10-05T22:23:45.549967Z</t>
        </is>
      </c>
      <c r="C773" s="24" t="inlineStr">
        <is>
          <t>2026-10-07T04:00Z</t>
        </is>
      </c>
      <c r="D773" s="24" t="inlineStr">
        <is>
          <t>959-2026:184355</t>
        </is>
      </c>
      <c r="E773" s="24" t="inlineStr">
        <is>
          <t>TENNIS</t>
        </is>
      </c>
      <c r="F773" s="24" t="inlineStr">
        <is>
          <t>Zheng Qinwen</t>
        </is>
      </c>
      <c r="G773" s="24" t="inlineStr">
        <is>
          <t>Alina Charaeva</t>
        </is>
      </c>
      <c r="H773" s="24" t="inlineStr">
        <is>
          <t>moneyline</t>
        </is>
      </c>
      <c r="I773" s="24" t="inlineStr">
        <is>
          <t>away</t>
        </is>
      </c>
      <c r="J773" s="25" t="n"/>
      <c r="K773" s="24" t="inlineStr">
        <is>
          <t>polymarket_us</t>
        </is>
      </c>
      <c r="L773" s="26" t="n">
        <v>-426</v>
      </c>
      <c r="M773" s="27" t="n">
        <v>1.234742</v>
      </c>
      <c r="N773" s="28" t="n">
        <v>0.809886</v>
      </c>
      <c r="O773" s="28" t="n">
        <v>0.6885</v>
      </c>
      <c r="P773" s="28" t="n">
        <v>0.05</v>
      </c>
      <c r="Q773" s="28" t="n">
        <v>-0.121386</v>
      </c>
      <c r="R773" s="26" t="n">
        <v>0</v>
      </c>
      <c r="S773" s="29" t="n">
        <v>1</v>
      </c>
      <c r="T773" s="24" t="inlineStr">
        <is>
          <t>tennis-surface-elo-v1</t>
        </is>
      </c>
      <c r="U773" s="24" t="inlineStr">
        <is>
          <t>open</t>
        </is>
      </c>
      <c r="V773" s="24" t="n"/>
      <c r="W773" s="26" t="n"/>
      <c r="X773" s="26" t="n"/>
      <c r="Y773" s="25" t="n"/>
      <c r="Z773" s="26" t="n"/>
      <c r="AA773" s="28" t="n"/>
      <c r="AB773" s="28" t="n"/>
      <c r="AC773" s="30" t="n"/>
      <c r="AD773" s="24" t="n"/>
      <c r="AE773" s="31" t="inlineStr">
        <is>
          <t>Surface-blended Elo on Hard: Zheng Qinwen p=0.689 vs Alina Charaeva. Executable ask 0.8100 (aec-wta-alicha-qinzhe-2026-10-05).</t>
        </is>
      </c>
      <c r="AF773" s="31" t="inlineStr">
        <is>
          <t>Surface-blended Elo model; singles only, WTA+ATP market coverage, not yet locked-holdout qualified -- promoted by explicit operator directive, not genuine walk-forward validation.</t>
        </is>
      </c>
      <c r="AG773" s="24" t="inlineStr">
        <is>
          <t>not_applicable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Zheng Qinwen</t>
        </is>
      </c>
      <c r="AQ773" s="24" t="inlineStr">
        <is>
          <t>Zheng Qinwen</t>
        </is>
      </c>
      <c r="AR773" s="24" t="inlineStr">
        <is>
          <t>Zheng Qinwen</t>
        </is>
      </c>
      <c r="AS773" s="24" t="inlineStr">
        <is>
          <t>Alina Charaeva</t>
        </is>
      </c>
      <c r="AT773" s="24" t="inlineStr">
        <is>
          <t>Alina Charaeva</t>
        </is>
      </c>
      <c r="AU773" s="24" t="inlineStr">
        <is>
          <t>Alina Charaeva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6c67e999d2a03612e30f4032c8e5e77e8becfbc79e05f4c8993e726b90d34d54</t>
        </is>
      </c>
      <c r="BB773" s="24" t="inlineStr">
        <is>
          <t>surface_blended_elo</t>
        </is>
      </c>
      <c r="BC773" s="24" t="inlineStr">
        <is>
          <t>tennis-surface-elo-v1</t>
        </is>
      </c>
      <c r="BD773" s="24" t="inlineStr">
        <is>
          <t>6c67e999d2a03612e30f4032c8e5e77e8becfbc79e05f4c8993e726b90d34d54</t>
        </is>
      </c>
      <c r="BE773" s="24" t="inlineStr">
        <is>
          <t>tennis-surface-elo-v1</t>
        </is>
      </c>
      <c r="BF773" s="24" t="inlineStr">
        <is>
          <t>1</t>
        </is>
      </c>
      <c r="BG773" s="24" t="inlineStr">
        <is>
          <t>6c67e999d2a03612e30f4032c8e5e77e8becfbc79e05f4c8993e726b90d34d54</t>
        </is>
      </c>
      <c r="BH773" s="24" t="inlineStr">
        <is>
          <t>2026-10-05T10:17:40.092539Z</t>
        </is>
      </c>
      <c r="BI773" s="24" t="inlineStr">
        <is>
          <t>["same_event","same_team_same_day","same_league_same_day"]</t>
        </is>
      </c>
      <c r="BJ773" s="25" t="n"/>
      <c r="BK773" s="26" t="n">
        <v>-426</v>
      </c>
      <c r="BL773" s="27" t="n">
        <v>1.234742</v>
      </c>
      <c r="BM773" s="28" t="n">
        <v>0.809886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inlineStr">
        <is>
          <t>15ad84d40ce95ea5cc1de2c4dbfb8a83907dee4b7a26d2aab751f9e597f4684c</t>
        </is>
      </c>
      <c r="DE773" s="24" t="inlineStr">
        <is>
          <t>E:\model-prediction\data\odds\tennis\2026-10-05\polymarket_snapshots.jsonl</t>
        </is>
      </c>
      <c r="DF773" s="24" t="inlineStr">
        <is>
          <t>1222199:2026-10-05T10:17:40.092539Z</t>
        </is>
      </c>
      <c r="DG773" s="24" t="n"/>
      <c r="DH773" s="24" t="n"/>
      <c r="DI773" s="24" t="n"/>
      <c r="DJ773" s="24" t="n"/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"6c67e999d2a03612e30f4032c8e5e77e8becfbc79e05f4c8993e726b90d34d54", "away_team": "Zheng Qinwen", "event_id": "959-2026:184355", "event_start_utc": "2026-10-07T04:00Z", "features": {"elo_p1_surface": 1809.5, "elo_p2_surface": 1666.9, "expected_games_p1": 13.21, "expected_games_p2": 7.53, "expected_total_games": 20.74, "history_matches": 16571, "min_player_matches": 101, "surface": "Hard"}, "historical_source_observation_times_verified": false, "home_team": "Alina Charaeva", "inference_inputs": {"code_sha256": {"features/elo_ratings.py": "8525faf022a6343c452286dbfeb17dbb043744c6bdabbe448b6b371216da439b", "models/tennis.py": "6c67e999d2a03612e30f4032c8e5e77e8becfbc79e05f4c8993e726b90d34d54"}, "overall_ratings": [1808.028554336971, 1682.8170799775314], "players": ["Zheng Qinwen", "Alina Charaeva"], "sport": "TENNIS", "surface": "Hard", "surface_counts": [98, 87], "surface_ratings": [1809.4926238525684, 1666.931452974246]}, "market_type": "moneyline", "model_version": "tennis-surface-elo-v1", "observed_at_utc": "2026-10-05T22:23:41.871278+00:00", "probabilities": {"away": 0.6885, "home": 0.3115}, "replay_scope": "Exact full-precision serving state and rounding; upstream historical observation times are not certified.", "schema": "coded-moneyline-replay-v1", "snapshot_hash": "c0227776923ff145c34b41f17e00d915bb7a3e48d163a0ecabda34555ac27464", "sport": "TENNIS"}</t>
        </is>
      </c>
    </row>
    <row r="774" ht="36" customHeight="1">
      <c r="A774" s="24" t="inlineStr">
        <is>
          <t>0ad9e8672d514ef8</t>
        </is>
      </c>
      <c r="B774" s="24" t="inlineStr">
        <is>
          <t>2026-10-05T22:23:45.549967Z</t>
        </is>
      </c>
      <c r="C774" s="24" t="inlineStr">
        <is>
          <t>2026-10-06T02:00Z</t>
        </is>
      </c>
      <c r="D774" s="24" t="inlineStr">
        <is>
          <t>1029-2026:185280</t>
        </is>
      </c>
      <c r="E774" s="24" t="inlineStr">
        <is>
          <t>TENNIS</t>
        </is>
      </c>
      <c r="F774" s="24" t="inlineStr">
        <is>
          <t>Linda Fruhvirtova</t>
        </is>
      </c>
      <c r="G774" s="24" t="inlineStr">
        <is>
          <t>Mananchaya Sawangkaew</t>
        </is>
      </c>
      <c r="H774" s="24" t="inlineStr">
        <is>
          <t>moneyline</t>
        </is>
      </c>
      <c r="I774" s="24" t="inlineStr">
        <is>
          <t>home</t>
        </is>
      </c>
      <c r="J774" s="25" t="n"/>
      <c r="K774" s="24" t="inlineStr">
        <is>
          <t>polymarket_us</t>
        </is>
      </c>
      <c r="L774" s="26" t="n">
        <v>-163</v>
      </c>
      <c r="M774" s="27" t="n">
        <v>1.613497</v>
      </c>
      <c r="N774" s="28" t="n">
        <v>0.619772</v>
      </c>
      <c r="O774" s="28" t="n">
        <v>0.6632</v>
      </c>
      <c r="P774" s="28" t="n">
        <v>0.05</v>
      </c>
      <c r="Q774" s="28" t="n">
        <v>0.043428</v>
      </c>
      <c r="R774" s="26" t="n">
        <v>42</v>
      </c>
      <c r="S774" s="29" t="n">
        <v>1</v>
      </c>
      <c r="T774" s="24" t="inlineStr">
        <is>
          <t>tennis-surface-elo-v1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>
        <v>-163</v>
      </c>
      <c r="AA774" s="28" t="n">
        <v>0.62</v>
      </c>
      <c r="AB774" s="28" t="n">
        <v>0.000228</v>
      </c>
      <c r="AC774" s="30" t="n">
        <v>-1</v>
      </c>
      <c r="AD774" s="24" t="inlineStr">
        <is>
          <t>2026-10-06T05:32:35.041838Z</t>
        </is>
      </c>
      <c r="AE774" s="31" t="inlineStr">
        <is>
          <t>Surface-blended Elo on Hard: Linda Fruhvirtova p=0.337 vs Mananchaya Sawangkaew. Executable ask 0.6200 (aec-wta-mansaw-linfru-2026-10-04).</t>
        </is>
      </c>
      <c r="AF774" s="31" t="inlineStr">
        <is>
          <t>Surface-blended Elo model; singles only, WTA+ATP market coverage, not yet locked-holdout qualified -- promoted by explicit operator directive, not genuine walk-forward validation.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PAPER_CALL_LOW_EDGE</t>
        </is>
      </c>
      <c r="AP774" s="24" t="inlineStr">
        <is>
          <t>Linda Fruhvirtova</t>
        </is>
      </c>
      <c r="AQ774" s="24" t="inlineStr">
        <is>
          <t>Linda Fruhvirtova</t>
        </is>
      </c>
      <c r="AR774" s="24" t="inlineStr">
        <is>
          <t>Linda Fruhvirtova</t>
        </is>
      </c>
      <c r="AS774" s="24" t="inlineStr">
        <is>
          <t>Mananchaya Sawangkaew</t>
        </is>
      </c>
      <c r="AT774" s="24" t="inlineStr">
        <is>
          <t>Mananchaya Sawangkaew</t>
        </is>
      </c>
      <c r="AU774" s="24" t="inlineStr">
        <is>
          <t>Mananchaya Sawangkaew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6c67e999d2a03612e30f4032c8e5e77e8becfbc79e05f4c8993e726b90d34d54</t>
        </is>
      </c>
      <c r="BB774" s="24" t="inlineStr">
        <is>
          <t>surface_blended_elo</t>
        </is>
      </c>
      <c r="BC774" s="24" t="inlineStr">
        <is>
          <t>tennis-surface-elo-v1</t>
        </is>
      </c>
      <c r="BD774" s="24" t="inlineStr">
        <is>
          <t>6c67e999d2a03612e30f4032c8e5e77e8becfbc79e05f4c8993e726b90d34d54</t>
        </is>
      </c>
      <c r="BE774" s="24" t="inlineStr">
        <is>
          <t>tennis-surface-elo-v1</t>
        </is>
      </c>
      <c r="BF774" s="24" t="inlineStr">
        <is>
          <t>1</t>
        </is>
      </c>
      <c r="BG774" s="24" t="inlineStr">
        <is>
          <t>6c67e999d2a03612e30f4032c8e5e77e8becfbc79e05f4c8993e726b90d34d54</t>
        </is>
      </c>
      <c r="BH774" s="24" t="inlineStr">
        <is>
          <t>2026-10-05T22:18:03.095753Z</t>
        </is>
      </c>
      <c r="BI774" s="24" t="inlineStr">
        <is>
          <t>["same_event","same_team_same_day","same_league_same_day"]</t>
        </is>
      </c>
      <c r="BJ774" s="25" t="n"/>
      <c r="BK774" s="26" t="n">
        <v>-163</v>
      </c>
      <c r="BL774" s="27" t="n">
        <v>1.613497</v>
      </c>
      <c r="BM774" s="28" t="n">
        <v>0.619772</v>
      </c>
      <c r="BN774" s="28" t="n"/>
      <c r="BO774" s="28" t="n"/>
      <c r="BP774" s="25" t="n"/>
      <c r="BQ774" s="27" t="n">
        <v>1.613497</v>
      </c>
      <c r="BR774" s="28" t="n">
        <v>0.62</v>
      </c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2026-10-06T05:32:35.041838Z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inlineStr">
        <is>
          <t>85873f4a48cd882343c6fde187eef36828021b6c557b5a24ec9679067fd47431</t>
        </is>
      </c>
      <c r="DE774" s="24" t="inlineStr">
        <is>
          <t>E:\model-prediction\data\odds\tennis\2026-10-05\polymarket_snapshots.jsonl</t>
        </is>
      </c>
      <c r="DF774" s="24" t="inlineStr">
        <is>
          <t>1198947:2026-10-05T22:18:03.095753Z</t>
        </is>
      </c>
      <c r="DG774" s="24" t="n"/>
      <c r="DH774" s="24" t="n"/>
      <c r="DI774" s="24" t="n"/>
      <c r="DJ774" s="24" t="n"/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"6c67e999d2a03612e30f4032c8e5e77e8becfbc79e05f4c8993e726b90d34d54", "away_team": "Linda Fruhvirtova", "event_id": "1029-2026:185280", "event_start_utc": "2026-10-06T02:00Z", "features": {"elo_p1_surface": 1497.2, "elo_p2_surface": 1597.0, "expected_games_p1": 9.47, "expected_games_p2": 13.29, "expected_total_games": 22.76, "history_matches": 16571, "min_player_matches": 79, "surface": "Hard"}, "historical_source_observation_times_verified": false, "home_team": "Mananchaya Sawangkaew", "inference_inputs": {"code_sha256": {"features/elo_ratings.py": "8525faf022a6343c452286dbfeb17dbb043744c6bdabbe448b6b371216da439b", "models/tennis.py": "6c67e999d2a03612e30f4032c8e5e77e8becfbc79e05f4c8993e726b90d34d54"}, "overall_ratings": [1493.3391008953408, 1651.5735375648671], "players": ["Linda Fruhvirtova", "Mananchaya Sawangkaew"], "sport": "TENNIS", "surface": "Hard", "surface_counts": [97, 65], "surface_ratings": [1497.2064508927388, 1597.0194630192725]}, "market_type": "moneyline", "model_version": "tennis-surface-elo-v1", "observed_at_utc": "2026-10-05T22:23:41.871278+00:00", "probabilities": {"away": 0.3368, "home": 0.6632}, "replay_scope": "Exact full-precision serving state and rounding; upstream historical observation times are not certified.", "schema": "coded-moneyline-replay-v1", "snapshot_hash": "f9f03a36e763202979f1939d0d8432aceca07b80769c9cb8c6ab87527fb0fde2", "sport": "TENNIS"}</t>
        </is>
      </c>
    </row>
    <row r="775" ht="36" customHeight="1">
      <c r="A775" s="24" t="inlineStr">
        <is>
          <t>4579f5c0936b431e</t>
        </is>
      </c>
      <c r="B775" s="24" t="inlineStr">
        <is>
          <t>2026-10-05T22:23:45.549967Z</t>
        </is>
      </c>
      <c r="C775" s="24" t="inlineStr">
        <is>
          <t>2026-10-06T02:00Z</t>
        </is>
      </c>
      <c r="D775" s="24" t="inlineStr">
        <is>
          <t>1029-2026:185279</t>
        </is>
      </c>
      <c r="E775" s="24" t="inlineStr">
        <is>
          <t>TENNIS</t>
        </is>
      </c>
      <c r="F775" s="24" t="inlineStr">
        <is>
          <t>Aliona Falei</t>
        </is>
      </c>
      <c r="G775" s="24" t="inlineStr">
        <is>
          <t>Guo Hanyu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polymarket_us</t>
        </is>
      </c>
      <c r="L775" s="26" t="n">
        <v>-122</v>
      </c>
      <c r="M775" s="27" t="n">
        <v>1.819672</v>
      </c>
      <c r="N775" s="28" t="n">
        <v>0.54955</v>
      </c>
      <c r="O775" s="28" t="n">
        <v>0.5011</v>
      </c>
      <c r="P775" s="28" t="n">
        <v>0.05</v>
      </c>
      <c r="Q775" s="28" t="n">
        <v>-0.04845</v>
      </c>
      <c r="R775" s="26" t="n">
        <v>0</v>
      </c>
      <c r="S775" s="29" t="n">
        <v>1</v>
      </c>
      <c r="T775" s="24" t="inlineStr">
        <is>
          <t>tennis-surface-elo-v1</t>
        </is>
      </c>
      <c r="U775" s="24" t="inlineStr">
        <is>
          <t>settled</t>
        </is>
      </c>
      <c r="V775" s="24" t="inlineStr">
        <is>
          <t>win</t>
        </is>
      </c>
      <c r="W775" s="26" t="n">
        <v>1</v>
      </c>
      <c r="X775" s="26" t="n">
        <v>0</v>
      </c>
      <c r="Y775" s="25" t="n"/>
      <c r="Z775" s="26" t="n">
        <v>-122</v>
      </c>
      <c r="AA775" s="28" t="n">
        <v>0.55</v>
      </c>
      <c r="AB775" s="28" t="n">
        <v>0.00045</v>
      </c>
      <c r="AC775" s="30" t="n">
        <v>0.8197</v>
      </c>
      <c r="AD775" s="24" t="inlineStr">
        <is>
          <t>2026-10-06T05:45:35.984338Z</t>
        </is>
      </c>
      <c r="AE775" s="31" t="inlineStr">
        <is>
          <t>Surface-blended Elo on Hard: Aliona Falei p=0.501 vs Guo Hanyu. Executable ask 0.5500 (aec-wta-hanguo-alifal-2026-10-04).</t>
        </is>
      </c>
      <c r="AF775" s="31" t="inlineStr">
        <is>
          <t>Surface-blended Elo model; singles only, WTA+ATP market coverage, not yet locked-holdout qualified -- promoted by explicit operator directive, not genuine walk-forward validation.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Aliona Falei</t>
        </is>
      </c>
      <c r="AQ775" s="24" t="inlineStr">
        <is>
          <t>Aliona Falei</t>
        </is>
      </c>
      <c r="AR775" s="24" t="inlineStr">
        <is>
          <t>Aliona Falei</t>
        </is>
      </c>
      <c r="AS775" s="24" t="inlineStr">
        <is>
          <t>Guo Hanyu</t>
        </is>
      </c>
      <c r="AT775" s="24" t="inlineStr">
        <is>
          <t>Guo Hanyu</t>
        </is>
      </c>
      <c r="AU775" s="24" t="inlineStr">
        <is>
          <t>Guo Hanyu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6c67e999d2a03612e30f4032c8e5e77e8becfbc79e05f4c8993e726b90d34d54</t>
        </is>
      </c>
      <c r="BB775" s="24" t="inlineStr">
        <is>
          <t>surface_blended_elo</t>
        </is>
      </c>
      <c r="BC775" s="24" t="inlineStr">
        <is>
          <t>tennis-surface-elo-v1</t>
        </is>
      </c>
      <c r="BD775" s="24" t="inlineStr">
        <is>
          <t>6c67e999d2a03612e30f4032c8e5e77e8becfbc79e05f4c8993e726b90d34d54</t>
        </is>
      </c>
      <c r="BE775" s="24" t="inlineStr">
        <is>
          <t>tennis-surface-elo-v1</t>
        </is>
      </c>
      <c r="BF775" s="24" t="inlineStr">
        <is>
          <t>1</t>
        </is>
      </c>
      <c r="BG775" s="24" t="inlineStr">
        <is>
          <t>6c67e999d2a03612e30f4032c8e5e77e8becfbc79e05f4c8993e726b90d34d54</t>
        </is>
      </c>
      <c r="BH775" s="24" t="inlineStr">
        <is>
          <t>2026-10-05T16:19:35.364140Z</t>
        </is>
      </c>
      <c r="BI775" s="24" t="inlineStr">
        <is>
          <t>["same_event","same_team_same_day","same_league_same_day"]</t>
        </is>
      </c>
      <c r="BJ775" s="25" t="n"/>
      <c r="BK775" s="26" t="n">
        <v>-122</v>
      </c>
      <c r="BL775" s="27" t="n">
        <v>1.819672</v>
      </c>
      <c r="BM775" s="28" t="n">
        <v>0.54955</v>
      </c>
      <c r="BN775" s="28" t="n"/>
      <c r="BO775" s="28" t="n"/>
      <c r="BP775" s="25" t="n"/>
      <c r="BQ775" s="27" t="n">
        <v>1.819672</v>
      </c>
      <c r="BR775" s="28" t="n">
        <v>0.55</v>
      </c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0.819671</v>
      </c>
      <c r="BZ775" s="24" t="inlineStr">
        <is>
          <t>2026-10-06T05:45:35.984338Z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inlineStr">
        <is>
          <t>3371ceedf1e1b149ca44dafc2647bd2a7f6aa50166ae8785817f3a947373196a</t>
        </is>
      </c>
      <c r="DE775" s="24" t="inlineStr">
        <is>
          <t>E:\model-prediction\data\odds\tennis\2026-10-05\polymarket_snapshots.jsonl</t>
        </is>
      </c>
      <c r="DF775" s="24" t="inlineStr">
        <is>
          <t>1198957:2026-10-05T16:19:35.364140Z</t>
        </is>
      </c>
      <c r="DG775" s="24" t="n"/>
      <c r="DH775" s="24" t="n"/>
      <c r="DI775" s="24" t="n"/>
      <c r="DJ775" s="24" t="n"/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"6c67e999d2a03612e30f4032c8e5e77e8becfbc79e05f4c8993e726b90d34d54", "away_team": "Aliona Falei", "event_id": "1029-2026:185279", "event_start_utc": "2026-10-06T02:00Z", "features": {"elo_p1_surface": 1513.6, "elo_p2_surface": 1503.8, "expected_games_p1": 12.76, "expected_games_p2": 11.98, "expected_total_games": 24.74, "history_matches": 16571, "min_player_matches": 39, "surface": "Hard"}, "historical_source_observation_times_verified": false, "home_team": "Guo Hanyu", "inference_inputs": {"code_sha256": {"features/elo_ratings.py": "8525faf022a6343c452286dbfeb17dbb043744c6bdabbe448b6b371216da439b", "models/tennis.py": "6c67e999d2a03612e30f4032c8e5e77e8becfbc79e05f4c8993e726b90d34d54"}, "overall_ratings": [1504.1283771109017, 1516.929205256077], "players": ["Aliona Falei", "Guo Hanyu"], "sport": "TENNIS", "surface": "Hard", "surface_counts": [37, 35], "surface_ratings": [1513.6375258533587, 1503.8259931150653]}, "market_type": "moneyline", "model_version": "tennis-surface-elo-v1", "observed_at_utc": "2026-10-05T22:23:41.871278+00:00", "probabilities": {"away": 0.5011, "home": 0.4989}, "replay_scope": "Exact full-precision serving state and rounding; upstream historical observation times are not certified.", "schema": "coded-moneyline-replay-v1", "snapshot_hash": "8013e71569a3576aa205b3726b2d909bd1416f57e4b8c3e5d64be36c02fcd9fc", "sport": "TENNIS"}</t>
        </is>
      </c>
    </row>
    <row r="776" ht="36" customHeight="1">
      <c r="A776" s="24" t="inlineStr">
        <is>
          <t>69010b62475741ab</t>
        </is>
      </c>
      <c r="B776" s="24" t="inlineStr">
        <is>
          <t>2026-10-05T22:23:45.549967Z</t>
        </is>
      </c>
      <c r="C776" s="24" t="inlineStr">
        <is>
          <t>2026-10-06T02:00Z</t>
        </is>
      </c>
      <c r="D776" s="24" t="inlineStr">
        <is>
          <t>1029-2026:185288</t>
        </is>
      </c>
      <c r="E776" s="24" t="inlineStr">
        <is>
          <t>TENNIS</t>
        </is>
      </c>
      <c r="F776" s="24" t="inlineStr">
        <is>
          <t>Bai Zhuoxuan</t>
        </is>
      </c>
      <c r="G776" s="24" t="inlineStr">
        <is>
          <t>Moyuka Uchijima</t>
        </is>
      </c>
      <c r="H776" s="24" t="inlineStr">
        <is>
          <t>moneyline</t>
        </is>
      </c>
      <c r="I776" s="24" t="inlineStr">
        <is>
          <t>home</t>
        </is>
      </c>
      <c r="J776" s="25" t="n"/>
      <c r="K776" s="24" t="inlineStr">
        <is>
          <t>polymarket_us</t>
        </is>
      </c>
      <c r="L776" s="26" t="n">
        <v>-108</v>
      </c>
      <c r="M776" s="27" t="n">
        <v>1.925926</v>
      </c>
      <c r="N776" s="28" t="n">
        <v>0.519231</v>
      </c>
      <c r="O776" s="28" t="n">
        <v>0.5619</v>
      </c>
      <c r="P776" s="28" t="n">
        <v>0.05</v>
      </c>
      <c r="Q776" s="28" t="n">
        <v>0.042669</v>
      </c>
      <c r="R776" s="26" t="n">
        <v>41</v>
      </c>
      <c r="S776" s="29" t="n">
        <v>1</v>
      </c>
      <c r="T776" s="24" t="inlineStr">
        <is>
          <t>tennis-surface-elo-v1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</v>
      </c>
      <c r="X776" s="26" t="n">
        <v>0</v>
      </c>
      <c r="Y776" s="25" t="n"/>
      <c r="Z776" s="26" t="n">
        <v>-108</v>
      </c>
      <c r="AA776" s="28" t="n">
        <v>0.52</v>
      </c>
      <c r="AB776" s="28" t="n">
        <v>0.000769</v>
      </c>
      <c r="AC776" s="30" t="n">
        <v>-1</v>
      </c>
      <c r="AD776" s="24" t="inlineStr">
        <is>
          <t>2026-10-06T05:32:40.888742Z</t>
        </is>
      </c>
      <c r="AE776" s="31" t="inlineStr">
        <is>
          <t>Surface-blended Elo on Hard: Bai Zhuoxuan p=0.438 vs Moyuka Uchijima. Executable ask 0.5200 (aec-wta-moyuch-zhubai-2026-10-04).</t>
        </is>
      </c>
      <c r="AF776" s="31" t="inlineStr">
        <is>
          <t>Surface-blended Elo model; singles only, WTA+ATP market coverage, not yet locked-holdout qualified -- promoted by explicit operator directive, not genuine walk-forward validation.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PAPER_CALL_LOW_EDGE</t>
        </is>
      </c>
      <c r="AP776" s="24" t="inlineStr">
        <is>
          <t>Bai Zhuoxuan</t>
        </is>
      </c>
      <c r="AQ776" s="24" t="inlineStr">
        <is>
          <t>Bai Zhuoxuan</t>
        </is>
      </c>
      <c r="AR776" s="24" t="inlineStr">
        <is>
          <t>Bai Zhuoxuan</t>
        </is>
      </c>
      <c r="AS776" s="24" t="inlineStr">
        <is>
          <t>Moyuka Uchijima</t>
        </is>
      </c>
      <c r="AT776" s="24" t="inlineStr">
        <is>
          <t>Moyuka Uchijima</t>
        </is>
      </c>
      <c r="AU776" s="24" t="inlineStr">
        <is>
          <t>Moyuka Uchijima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6c67e999d2a03612e30f4032c8e5e77e8becfbc79e05f4c8993e726b90d34d54</t>
        </is>
      </c>
      <c r="BB776" s="24" t="inlineStr">
        <is>
          <t>surface_blended_elo</t>
        </is>
      </c>
      <c r="BC776" s="24" t="inlineStr">
        <is>
          <t>tennis-surface-elo-v1</t>
        </is>
      </c>
      <c r="BD776" s="24" t="inlineStr">
        <is>
          <t>6c67e999d2a03612e30f4032c8e5e77e8becfbc79e05f4c8993e726b90d34d54</t>
        </is>
      </c>
      <c r="BE776" s="24" t="inlineStr">
        <is>
          <t>tennis-surface-elo-v1</t>
        </is>
      </c>
      <c r="BF776" s="24" t="inlineStr">
        <is>
          <t>1</t>
        </is>
      </c>
      <c r="BG776" s="24" t="inlineStr">
        <is>
          <t>6c67e999d2a03612e30f4032c8e5e77e8becfbc79e05f4c8993e726b90d34d54</t>
        </is>
      </c>
      <c r="BH776" s="24" t="inlineStr">
        <is>
          <t>2026-10-05T10:17:10.813738Z</t>
        </is>
      </c>
      <c r="BI776" s="24" t="inlineStr">
        <is>
          <t>["same_event","same_team_same_day","same_league_same_day"]</t>
        </is>
      </c>
      <c r="BJ776" s="25" t="n"/>
      <c r="BK776" s="26" t="n">
        <v>-108</v>
      </c>
      <c r="BL776" s="27" t="n">
        <v>1.925926</v>
      </c>
      <c r="BM776" s="28" t="n">
        <v>0.519231</v>
      </c>
      <c r="BN776" s="28" t="n"/>
      <c r="BO776" s="28" t="n"/>
      <c r="BP776" s="25" t="n"/>
      <c r="BQ776" s="27" t="n">
        <v>1.925926</v>
      </c>
      <c r="BR776" s="28" t="n">
        <v>0.52</v>
      </c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2026-10-06T05:32:40.888742Z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inlineStr">
        <is>
          <t>920523033f1cb52878bab3d752e9bce1e1361cdc3a84c9e0f2a0473feaacd97e</t>
        </is>
      </c>
      <c r="DE776" s="24" t="inlineStr">
        <is>
          <t>E:\model-prediction\data\odds\tennis\2026-10-05\polymarket_snapshots.jsonl</t>
        </is>
      </c>
      <c r="DF776" s="24" t="inlineStr">
        <is>
          <t>1198950:2026-10-05T10:17:10.813738Z</t>
        </is>
      </c>
      <c r="DG776" s="24" t="n"/>
      <c r="DH776" s="24" t="n"/>
      <c r="DI776" s="24" t="n"/>
      <c r="DJ776" s="24" t="n"/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"6c67e999d2a03612e30f4032c8e5e77e8becfbc79e05f4c8993e726b90d34d54", "away_team": "Bai Zhuoxuan", "event_id": "1029-2026:185288", "event_start_utc": "2026-10-06T02:00Z", "features": {"elo_p1_surface": 1546.9, "elo_p2_surface": 1608.5, "expected_games_p1": 10.79, "expected_games_p2": 13.18, "expected_total_games": 23.98, "history_matches": 16571, "min_player_matches": 43, "surface": "Hard"}, "historical_source_observation_times_verified": false, "home_team": "Moyuka Uchijima", "inference_inputs": {"code_sha256": {"features/elo_ratings.py": "8525faf022a6343c452286dbfeb17dbb043744c6bdabbe448b6b371216da439b", "models/tennis.py": "6c67e999d2a03612e30f4032c8e5e77e8becfbc79e05f4c8993e726b90d34d54"}, "overall_ratings": [1548.50709975653, 1537.9756954848926], "players": ["Bai Zhuoxuan", "Moyuka Uchijima"], "sport": "TENNIS", "surface": "Hard", "surface_counts": [32, 111], "surface_ratings": [1546.910585682138, 1608.5253358987543]}, "market_type": "moneyline", "model_version": "tennis-surface-elo-v1", "observed_at_utc": "2026-10-05T22:23:41.871278+00:00", "probabilities": {"away": 0.4381, "home": 0.5619}, "replay_scope": "Exact full-precision serving state and rounding; upstream historical observation times are not certified.", "schema": "coded-moneyline-replay-v1", "snapshot_hash": "71691ab2f455ffa494d36d801c640c35a1de4a7be043d165c4316733476ff663", "sport": "TENNIS"}</t>
        </is>
      </c>
    </row>
    <row r="777" ht="36" customHeight="1">
      <c r="A777" s="24" t="inlineStr">
        <is>
          <t>7476cf88dd1f4bf1</t>
        </is>
      </c>
      <c r="B777" s="24" t="inlineStr">
        <is>
          <t>2026-10-05T22:23:45.549967Z</t>
        </is>
      </c>
      <c r="C777" s="24" t="inlineStr">
        <is>
          <t>2026-10-06T03:30Z</t>
        </is>
      </c>
      <c r="D777" s="24" t="inlineStr">
        <is>
          <t>1029-2026:185286</t>
        </is>
      </c>
      <c r="E777" s="24" t="inlineStr">
        <is>
          <t>TENNIS</t>
        </is>
      </c>
      <c r="F777" s="24" t="inlineStr">
        <is>
          <t>Renata Zarazua</t>
        </is>
      </c>
      <c r="G777" s="24" t="inlineStr">
        <is>
          <t>Shi Han</t>
        </is>
      </c>
      <c r="H777" s="24" t="inlineStr">
        <is>
          <t>moneyline</t>
        </is>
      </c>
      <c r="I777" s="24" t="inlineStr">
        <is>
          <t>home</t>
        </is>
      </c>
      <c r="J777" s="25" t="n"/>
      <c r="K777" s="24" t="inlineStr">
        <is>
          <t>polymarket_us</t>
        </is>
      </c>
      <c r="L777" s="26" t="n">
        <v>117</v>
      </c>
      <c r="M777" s="27" t="n">
        <v>2.17</v>
      </c>
      <c r="N777" s="28" t="n">
        <v>0.460829</v>
      </c>
      <c r="O777" s="28" t="n">
        <v>0.5329</v>
      </c>
      <c r="P777" s="28" t="n">
        <v>0.05</v>
      </c>
      <c r="Q777" s="28" t="n">
        <v>0.072071</v>
      </c>
      <c r="R777" s="26" t="n">
        <v>56</v>
      </c>
      <c r="S777" s="29" t="n">
        <v>1.25</v>
      </c>
      <c r="T777" s="24" t="inlineStr">
        <is>
          <t>tennis-surface-elo-v1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</v>
      </c>
      <c r="X777" s="26" t="n">
        <v>0</v>
      </c>
      <c r="Y777" s="25" t="n"/>
      <c r="Z777" s="26" t="n"/>
      <c r="AA777" s="28" t="n"/>
      <c r="AB777" s="28" t="n"/>
      <c r="AC777" s="30" t="n">
        <v>-1.25</v>
      </c>
      <c r="AD777" s="24" t="inlineStr">
        <is>
          <t>2026-10-06T05:32:46.433323Z</t>
        </is>
      </c>
      <c r="AE777" s="31" t="inlineStr">
        <is>
          <t>Surface-blended Elo on Hard: Renata Zarazua p=0.467 vs Shi Han. Executable ask 0.4600 (aec-wta-hanshi-renzar-2026-10-05).</t>
        </is>
      </c>
      <c r="AF777" s="31" t="inlineStr">
        <is>
          <t>Surface-blended Elo model; singles only, WTA+ATP market coverage, not yet locked-holdout qualified -- promoted by explicit operator directive, not genuine walk-forward validation.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Renata Zarazua</t>
        </is>
      </c>
      <c r="AQ777" s="24" t="inlineStr">
        <is>
          <t>Renata Zarazua</t>
        </is>
      </c>
      <c r="AR777" s="24" t="inlineStr">
        <is>
          <t>Renata Zarazua</t>
        </is>
      </c>
      <c r="AS777" s="24" t="inlineStr">
        <is>
          <t>Shi Han</t>
        </is>
      </c>
      <c r="AT777" s="24" t="inlineStr">
        <is>
          <t>Shi Han</t>
        </is>
      </c>
      <c r="AU777" s="24" t="inlineStr">
        <is>
          <t>Shi Han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6c67e999d2a03612e30f4032c8e5e77e8becfbc79e05f4c8993e726b90d34d54</t>
        </is>
      </c>
      <c r="BB777" s="24" t="inlineStr">
        <is>
          <t>surface_blended_elo</t>
        </is>
      </c>
      <c r="BC777" s="24" t="inlineStr">
        <is>
          <t>tennis-surface-elo-v1</t>
        </is>
      </c>
      <c r="BD777" s="24" t="inlineStr">
        <is>
          <t>6c67e999d2a03612e30f4032c8e5e77e8becfbc79e05f4c8993e726b90d34d54</t>
        </is>
      </c>
      <c r="BE777" s="24" t="inlineStr">
        <is>
          <t>tennis-surface-elo-v1</t>
        </is>
      </c>
      <c r="BF777" s="24" t="inlineStr">
        <is>
          <t>1</t>
        </is>
      </c>
      <c r="BG777" s="24" t="inlineStr">
        <is>
          <t>6c67e999d2a03612e30f4032c8e5e77e8becfbc79e05f4c8993e726b90d34d54</t>
        </is>
      </c>
      <c r="BH777" s="24" t="inlineStr">
        <is>
          <t>2026-10-05T22:19:04.602660Z</t>
        </is>
      </c>
      <c r="BI777" s="24" t="inlineStr">
        <is>
          <t>["same_event","same_team_same_day","same_league_same_day"]</t>
        </is>
      </c>
      <c r="BJ777" s="25" t="n"/>
      <c r="BK777" s="26" t="n">
        <v>117</v>
      </c>
      <c r="BL777" s="27" t="n">
        <v>2.17</v>
      </c>
      <c r="BM777" s="28" t="n">
        <v>0.460829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2026-10-06T05:32:46.433323Z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inlineStr">
        <is>
          <t>384e5a376facabd96c00e973a222395f11f322fb00d7ae0ac1f1e94b476d7ad6</t>
        </is>
      </c>
      <c r="DE777" s="24" t="inlineStr">
        <is>
          <t>E:\model-prediction\data\odds\tennis\2026-10-05\polymarket_snapshots.jsonl</t>
        </is>
      </c>
      <c r="DF777" s="24" t="inlineStr">
        <is>
          <t>1220426:2026-10-05T22:19:04.602660Z</t>
        </is>
      </c>
      <c r="DG777" s="24" t="n"/>
      <c r="DH777" s="24" t="n"/>
      <c r="DI777" s="24" t="n"/>
      <c r="DJ777" s="24" t="n"/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"6c67e999d2a03612e30f4032c8e5e77e8becfbc79e05f4c8993e726b90d34d54", "away_team": "Renata Zarazua", "event_id": "1029-2026:185286", "event_start_utc": "2026-10-06T03:30Z", "features": {"elo_p1_surface": 1477.4, "elo_p2_surface": 1505.7, "expected_games_p1": 11.84, "expected_games_p2": 12.79, "expected_total_games": 24.63, "history_matches": 16571, "min_player_matches": 32, "surface": "Hard"}, "historical_source_observation_times_verified": false, "home_team": "Shi Han", "inference_inputs": {"code_sha256": {"features/elo_ratings.py": "8525faf022a6343c452286dbfeb17dbb043744c6bdabbe448b6b371216da439b", "models/tennis.py": "6c67e999d2a03612e30f4032c8e5e77e8becfbc79e05f4c8993e726b90d34d54"}, "overall_ratings": [1488.7254340823863, 1499.696065367084], "players": ["Renata Zarazua", "Shi Han"], "sport": "TENNIS", "surface": "Hard", "surface_counts": [116, 31], "surface_ratings": [1477.3884883424832, 1505.6548089081293]}, "market_type": "moneyline", "model_version": "tennis-surface-elo-v1", "observed_at_utc": "2026-10-05T22:23:41.871278+00:00", "probabilities": {"away": 0.4671, "home": 0.5329}, "replay_scope": "Exact full-precision serving state and rounding; upstream historical observation times are not certified.", "schema": "coded-moneyline-replay-v1", "snapshot_hash": "d5c46b32545ccb297009c591e2594cbab624e65d55823d6e563c45b02ce2bb14", "sport": "TENNIS"}</t>
        </is>
      </c>
    </row>
    <row r="778" ht="36" customHeight="1">
      <c r="A778" s="24" t="inlineStr">
        <is>
          <t>ebe36505ee5b4d0d</t>
        </is>
      </c>
      <c r="B778" s="24" t="inlineStr">
        <is>
          <t>2026-10-05T22:23:45.549967Z</t>
        </is>
      </c>
      <c r="C778" s="24" t="inlineStr">
        <is>
          <t>2026-10-06T03:30Z</t>
        </is>
      </c>
      <c r="D778" s="24" t="inlineStr">
        <is>
          <t>1029-2026:185277</t>
        </is>
      </c>
      <c r="E778" s="24" t="inlineStr">
        <is>
          <t>TENNIS</t>
        </is>
      </c>
      <c r="F778" s="24" t="inlineStr">
        <is>
          <t>Darja Vidmanova</t>
        </is>
      </c>
      <c r="G778" s="24" t="inlineStr">
        <is>
          <t>Kyoka Okamura</t>
        </is>
      </c>
      <c r="H778" s="24" t="inlineStr">
        <is>
          <t>moneyline</t>
        </is>
      </c>
      <c r="I778" s="24" t="inlineStr">
        <is>
          <t>away</t>
        </is>
      </c>
      <c r="J778" s="25" t="n"/>
      <c r="K778" s="24" t="inlineStr">
        <is>
          <t>polymarket_us</t>
        </is>
      </c>
      <c r="L778" s="26" t="n">
        <v>-426</v>
      </c>
      <c r="M778" s="27" t="n">
        <v>1.234742</v>
      </c>
      <c r="N778" s="28" t="n">
        <v>0.809886</v>
      </c>
      <c r="O778" s="28" t="n">
        <v>0.5863</v>
      </c>
      <c r="P778" s="28" t="n">
        <v>0.05</v>
      </c>
      <c r="Q778" s="28" t="n">
        <v>-0.223586</v>
      </c>
      <c r="R778" s="26" t="n">
        <v>0</v>
      </c>
      <c r="S778" s="29" t="n">
        <v>1</v>
      </c>
      <c r="T778" s="24" t="inlineStr">
        <is>
          <t>tennis-surface-elo-v1</t>
        </is>
      </c>
      <c r="U778" s="24" t="inlineStr">
        <is>
          <t>open</t>
        </is>
      </c>
      <c r="V778" s="24" t="n"/>
      <c r="W778" s="26" t="n"/>
      <c r="X778" s="26" t="n"/>
      <c r="Y778" s="25" t="n"/>
      <c r="Z778" s="26" t="n"/>
      <c r="AA778" s="28" t="n"/>
      <c r="AB778" s="28" t="n"/>
      <c r="AC778" s="30" t="n"/>
      <c r="AD778" s="24" t="n"/>
      <c r="AE778" s="31" t="inlineStr">
        <is>
          <t>Surface-blended Elo on Hard: Darja Vidmanova p=0.586 vs Kyoka Okamura. Executable ask 0.8100 (aec-wta-kyooka-darvid-2026-10-05).</t>
        </is>
      </c>
      <c r="AF778" s="31" t="inlineStr">
        <is>
          <t>Surface-blended Elo model; singles only, WTA+ATP market coverage, not yet locked-holdout qualified -- promoted by explicit operator directive, not genuine walk-forward validation.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Darja Vidmanova</t>
        </is>
      </c>
      <c r="AQ778" s="24" t="inlineStr">
        <is>
          <t>Darja Vidmanova</t>
        </is>
      </c>
      <c r="AR778" s="24" t="inlineStr">
        <is>
          <t>Darja Vidmanova</t>
        </is>
      </c>
      <c r="AS778" s="24" t="inlineStr">
        <is>
          <t>Kyoka Okamura</t>
        </is>
      </c>
      <c r="AT778" s="24" t="inlineStr">
        <is>
          <t>Kyoka Okamura</t>
        </is>
      </c>
      <c r="AU778" s="24" t="inlineStr">
        <is>
          <t>Kyoka Okamura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6c67e999d2a03612e30f4032c8e5e77e8becfbc79e05f4c8993e726b90d34d54</t>
        </is>
      </c>
      <c r="BB778" s="24" t="inlineStr">
        <is>
          <t>surface_blended_elo</t>
        </is>
      </c>
      <c r="BC778" s="24" t="inlineStr">
        <is>
          <t>tennis-surface-elo-v1</t>
        </is>
      </c>
      <c r="BD778" s="24" t="inlineStr">
        <is>
          <t>6c67e999d2a03612e30f4032c8e5e77e8becfbc79e05f4c8993e726b90d34d54</t>
        </is>
      </c>
      <c r="BE778" s="24" t="inlineStr">
        <is>
          <t>tennis-surface-elo-v1</t>
        </is>
      </c>
      <c r="BF778" s="24" t="inlineStr">
        <is>
          <t>1</t>
        </is>
      </c>
      <c r="BG778" s="24" t="inlineStr">
        <is>
          <t>6c67e999d2a03612e30f4032c8e5e77e8becfbc79e05f4c8993e726b90d34d54</t>
        </is>
      </c>
      <c r="BH778" s="24" t="inlineStr">
        <is>
          <t>2026-10-05T22:19:14.678172Z</t>
        </is>
      </c>
      <c r="BI778" s="24" t="inlineStr">
        <is>
          <t>["same_event","same_team_same_day","same_league_same_day"]</t>
        </is>
      </c>
      <c r="BJ778" s="25" t="n"/>
      <c r="BK778" s="26" t="n">
        <v>-426</v>
      </c>
      <c r="BL778" s="27" t="n">
        <v>1.234742</v>
      </c>
      <c r="BM778" s="28" t="n">
        <v>0.809886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inlineStr">
        <is>
          <t>5e01a14342370b0adc96b774ca55ae0481889ebdfd8ba2f0d0e93fa05e4b4a5a</t>
        </is>
      </c>
      <c r="DE778" s="24" t="inlineStr">
        <is>
          <t>E:\model-prediction\data\odds\tennis\2026-10-05\polymarket_snapshots.jsonl</t>
        </is>
      </c>
      <c r="DF778" s="24" t="inlineStr">
        <is>
          <t>1220422:2026-10-05T22:19:14.678172Z</t>
        </is>
      </c>
      <c r="DG778" s="24" t="n"/>
      <c r="DH778" s="24" t="n"/>
      <c r="DI778" s="24" t="n"/>
      <c r="DJ778" s="24" t="n"/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"6c67e999d2a03612e30f4032c8e5e77e8becfbc79e05f4c8993e726b90d34d54", "away_team": "Darja Vidmanova", "event_id": "1029-2026:185277", "event_start_utc": "2026-10-06T03:30Z", "features": {"elo_p1_surface": 1595.3, "elo_p2_surface": 1538.4, "expected_games_p1": 13.37, "expected_games_p2": 10.54, "expected_total_games": 23.9, "history_matches": 16571, "min_player_matches": 51, "surface": "Hard"}, "historical_source_observation_times_verified": false, "home_team": "Kyoka Okamura", "inference_inputs": {"code_sha256": {"features/elo_ratings.py": "8525faf022a6343c452286dbfeb17dbb043744c6bdabbe448b6b371216da439b", "models/tennis.py": "6c67e999d2a03612e30f4032c8e5e77e8becfbc79e05f4c8993e726b90d34d54"}, "overall_ratings": [1592.5270638263394, 1525.5630255760532], "players": ["Darja Vidmanova", "Kyoka Okamura"], "sport": "TENNIS", "surface": "Hard", "surface_counts": [55, 48], "surface_ratings": [1595.3273054506635, 1538.3690057954188]}, "market_type": "moneyline", "model_version": "tennis-surface-elo-v1", "observed_at_utc": "2026-10-05T22:23:41.871278+00:00", "probabilities": {"away": 0.5863, "home": 0.4137}, "replay_scope": "Exact full-precision serving state and rounding; upstream historical observation times are not certified.", "schema": "coded-moneyline-replay-v1", "snapshot_hash": "2d4a53e9a236dde05bbdc79e3ef86b5576250af8c9fb432da9d2708fe849b842", "sport": "TENNIS"}</t>
        </is>
      </c>
    </row>
    <row r="779" ht="36" customHeight="1">
      <c r="A779" s="24" t="inlineStr">
        <is>
          <t>bc457dbe5b784944</t>
        </is>
      </c>
      <c r="B779" s="24" t="inlineStr">
        <is>
          <t>2026-10-05T22:23:45.549967Z</t>
        </is>
      </c>
      <c r="C779" s="24" t="inlineStr">
        <is>
          <t>2026-10-06T03:30Z</t>
        </is>
      </c>
      <c r="D779" s="24" t="inlineStr">
        <is>
          <t>1029-2026:185276</t>
        </is>
      </c>
      <c r="E779" s="24" t="inlineStr">
        <is>
          <t>TENNIS</t>
        </is>
      </c>
      <c r="F779" s="24" t="inlineStr">
        <is>
          <t>Zheng Wushuang</t>
        </is>
      </c>
      <c r="G779" s="24" t="inlineStr">
        <is>
          <t>Oleksandra Oliynykova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polymarket_us</t>
        </is>
      </c>
      <c r="L779" s="26" t="n">
        <v>-270</v>
      </c>
      <c r="M779" s="27" t="n">
        <v>1.37037</v>
      </c>
      <c r="N779" s="28" t="n">
        <v>0.72973</v>
      </c>
      <c r="O779" s="28" t="n">
        <v>0.6519</v>
      </c>
      <c r="P779" s="28" t="n">
        <v>0.05</v>
      </c>
      <c r="Q779" s="28" t="n">
        <v>-0.07783</v>
      </c>
      <c r="R779" s="26" t="n">
        <v>0</v>
      </c>
      <c r="S779" s="29" t="n">
        <v>1</v>
      </c>
      <c r="T779" s="24" t="inlineStr">
        <is>
          <t>tennis-surface-elo-v1</t>
        </is>
      </c>
      <c r="U779" s="24" t="inlineStr">
        <is>
          <t>open</t>
        </is>
      </c>
      <c r="V779" s="24" t="n"/>
      <c r="W779" s="26" t="n"/>
      <c r="X779" s="26" t="n"/>
      <c r="Y779" s="25" t="n"/>
      <c r="Z779" s="26" t="n"/>
      <c r="AA779" s="28" t="n"/>
      <c r="AB779" s="28" t="n"/>
      <c r="AC779" s="30" t="n"/>
      <c r="AD779" s="24" t="n"/>
      <c r="AE779" s="31" t="inlineStr">
        <is>
          <t>Surface-blended Elo on Hard: Zheng Wushuang p=0.348 vs Oleksandra Oliynykova. Executable ask 0.7300 (aec-wta-oleoli-wuszhe-2026-10-05).</t>
        </is>
      </c>
      <c r="AF779" s="31" t="inlineStr">
        <is>
          <t>Surface-blended Elo model; singles only, WTA+ATP market coverage, not yet locked-holdout qualified -- promoted by explicit operator directive, not genuine walk-forward validation.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Zheng Wushuang</t>
        </is>
      </c>
      <c r="AQ779" s="24" t="inlineStr">
        <is>
          <t>Zheng Wushuang</t>
        </is>
      </c>
      <c r="AR779" s="24" t="inlineStr">
        <is>
          <t>Zheng Wushuang</t>
        </is>
      </c>
      <c r="AS779" s="24" t="inlineStr">
        <is>
          <t>Oleksandra Oliynykova</t>
        </is>
      </c>
      <c r="AT779" s="24" t="inlineStr">
        <is>
          <t>Oleksandra Oliynykova</t>
        </is>
      </c>
      <c r="AU779" s="24" t="inlineStr">
        <is>
          <t>Oleksandra Oliynykova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6c67e999d2a03612e30f4032c8e5e77e8becfbc79e05f4c8993e726b90d34d54</t>
        </is>
      </c>
      <c r="BB779" s="24" t="inlineStr">
        <is>
          <t>surface_blended_elo</t>
        </is>
      </c>
      <c r="BC779" s="24" t="inlineStr">
        <is>
          <t>tennis-surface-elo-v1</t>
        </is>
      </c>
      <c r="BD779" s="24" t="inlineStr">
        <is>
          <t>6c67e999d2a03612e30f4032c8e5e77e8becfbc79e05f4c8993e726b90d34d54</t>
        </is>
      </c>
      <c r="BE779" s="24" t="inlineStr">
        <is>
          <t>tennis-surface-elo-v1</t>
        </is>
      </c>
      <c r="BF779" s="24" t="inlineStr">
        <is>
          <t>1</t>
        </is>
      </c>
      <c r="BG779" s="24" t="inlineStr">
        <is>
          <t>6c67e999d2a03612e30f4032c8e5e77e8becfbc79e05f4c8993e726b90d34d54</t>
        </is>
      </c>
      <c r="BH779" s="24" t="inlineStr">
        <is>
          <t>2026-10-05T16:20:15.723186Z</t>
        </is>
      </c>
      <c r="BI779" s="24" t="inlineStr">
        <is>
          <t>["same_event","same_team_same_day","same_league_same_day"]</t>
        </is>
      </c>
      <c r="BJ779" s="25" t="n"/>
      <c r="BK779" s="26" t="n">
        <v>-270</v>
      </c>
      <c r="BL779" s="27" t="n">
        <v>1.37037</v>
      </c>
      <c r="BM779" s="28" t="n">
        <v>0.72973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inlineStr">
        <is>
          <t>8e1f765ce001e27a984b866816dcc9af06e214239702a27c6e429221957fd73a</t>
        </is>
      </c>
      <c r="DE779" s="24" t="inlineStr">
        <is>
          <t>E:\model-prediction\data\odds\tennis\2026-10-05\polymarket_snapshots.jsonl</t>
        </is>
      </c>
      <c r="DF779" s="24" t="inlineStr">
        <is>
          <t>1220436:2026-10-05T16:20:15.723186Z</t>
        </is>
      </c>
      <c r="DG779" s="24" t="n"/>
      <c r="DH779" s="24" t="n"/>
      <c r="DI779" s="24" t="n"/>
      <c r="DJ779" s="24" t="n"/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"6c67e999d2a03612e30f4032c8e5e77e8becfbc79e05f4c8993e726b90d34d54", "away_team": "Zheng Wushuang", "event_id": "1029-2026:185276", "event_start_utc": "2026-10-06T03:30Z", "features": {"elo_p1_surface": 1521.8, "elo_p2_surface": 1627.2, "expected_games_p1": 9.28, "expected_games_p2": 13.28, "expected_total_games": 22.55, "history_matches": 16571, "min_player_matches": 25, "surface": "Hard"}, "historical_source_observation_times_verified": false, "home_team": "Oleksandra Oliynykova", "inference_inputs": {"code_sha256": {"features/elo_ratings.py": "8525faf022a6343c452286dbfeb17dbb043744c6bdabbe448b6b371216da439b", "models/tennis.py": "6c67e999d2a03612e30f4032c8e5e77e8becfbc79e05f4c8993e726b90d34d54"}, "overall_ratings": [1521.6601673994435, 1639.4538024384037], "players": ["Zheng Wushuang", "Oleksandra Oliynykova"], "sport": "TENNIS", "surface": "Hard", "surface_counts": [25, 76], "surface_ratings": [1521.8397437085816, 1627.1897100700014]}, "market_type": "moneyline", "model_version": "tennis-surface-elo-v1", "observed_at_utc": "2026-10-05T22:23:41.871278+00:00", "probabilities": {"away": 0.3481, "home": 0.6519}, "replay_scope": "Exact full-precision serving state and rounding; upstream historical observation times are not certified.", "schema": "coded-moneyline-replay-v1", "snapshot_hash": "b412e6e9abf3f2a95e0f1ffd4efe5acaa88572611ef9b23da8934c796eaa4f47", "sport": "TENNIS"}</t>
        </is>
      </c>
    </row>
    <row r="780" ht="36" customHeight="1">
      <c r="A780" s="24" t="inlineStr">
        <is>
          <t>5340fc7d2e5b4963</t>
        </is>
      </c>
      <c r="B780" s="24" t="inlineStr">
        <is>
          <t>2026-10-05T22:23:45.549967Z</t>
        </is>
      </c>
      <c r="C780" s="24" t="inlineStr">
        <is>
          <t>2026-10-06T05:00Z</t>
        </is>
      </c>
      <c r="D780" s="24" t="inlineStr">
        <is>
          <t>1029-2026:185272</t>
        </is>
      </c>
      <c r="E780" s="24" t="inlineStr">
        <is>
          <t>TENNIS</t>
        </is>
      </c>
      <c r="F780" s="24" t="inlineStr">
        <is>
          <t>Shao Yushan</t>
        </is>
      </c>
      <c r="G780" s="24" t="inlineStr">
        <is>
          <t>Yulia Putintseva</t>
        </is>
      </c>
      <c r="H780" s="24" t="inlineStr">
        <is>
          <t>moneyline</t>
        </is>
      </c>
      <c r="I780" s="24" t="inlineStr">
        <is>
          <t>home</t>
        </is>
      </c>
      <c r="J780" s="25" t="n"/>
      <c r="K780" s="24" t="inlineStr">
        <is>
          <t>polymarket_us</t>
        </is>
      </c>
      <c r="L780" s="26" t="n">
        <v>-1567</v>
      </c>
      <c r="M780" s="27" t="n">
        <v>1.063816</v>
      </c>
      <c r="N780" s="28" t="n">
        <v>0.940012</v>
      </c>
      <c r="O780" s="28" t="n">
        <v>0.7322</v>
      </c>
      <c r="P780" s="28" t="n">
        <v>0.05</v>
      </c>
      <c r="Q780" s="28" t="n">
        <v>-0.207812</v>
      </c>
      <c r="R780" s="26" t="n">
        <v>0</v>
      </c>
      <c r="S780" s="29" t="n">
        <v>1</v>
      </c>
      <c r="T780" s="24" t="inlineStr">
        <is>
          <t>tennis-surface-elo-v1</t>
        </is>
      </c>
      <c r="U780" s="24" t="inlineStr">
        <is>
          <t>open</t>
        </is>
      </c>
      <c r="V780" s="24" t="n"/>
      <c r="W780" s="26" t="n"/>
      <c r="X780" s="26" t="n"/>
      <c r="Y780" s="25" t="n"/>
      <c r="Z780" s="26" t="n"/>
      <c r="AA780" s="28" t="n"/>
      <c r="AB780" s="28" t="n"/>
      <c r="AC780" s="30" t="n"/>
      <c r="AD780" s="24" t="n"/>
      <c r="AE780" s="31" t="inlineStr">
        <is>
          <t>Surface-blended Elo on Hard: Shao Yushan p=0.268 vs Yulia Putintseva. Executable ask 0.9400 (aec-wta-yulput-yussha-2026-10-04).</t>
        </is>
      </c>
      <c r="AF780" s="31" t="inlineStr">
        <is>
          <t>Surface-blended Elo model; singles only, WTA+ATP market coverage, not yet locked-holdout qualified -- promoted by explicit operator directive, not genuine walk-forward validation.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Shao Yushan</t>
        </is>
      </c>
      <c r="AQ780" s="24" t="inlineStr">
        <is>
          <t>Shao Yushan</t>
        </is>
      </c>
      <c r="AR780" s="24" t="inlineStr">
        <is>
          <t>Shao Yushan</t>
        </is>
      </c>
      <c r="AS780" s="24" t="inlineStr">
        <is>
          <t>Yulia Putintseva</t>
        </is>
      </c>
      <c r="AT780" s="24" t="inlineStr">
        <is>
          <t>Yulia Putintseva</t>
        </is>
      </c>
      <c r="AU780" s="24" t="inlineStr">
        <is>
          <t>Yulia Putintseva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6c67e999d2a03612e30f4032c8e5e77e8becfbc79e05f4c8993e726b90d34d54</t>
        </is>
      </c>
      <c r="BB780" s="24" t="inlineStr">
        <is>
          <t>surface_blended_elo</t>
        </is>
      </c>
      <c r="BC780" s="24" t="inlineStr">
        <is>
          <t>tennis-surface-elo-v1</t>
        </is>
      </c>
      <c r="BD780" s="24" t="inlineStr">
        <is>
          <t>6c67e999d2a03612e30f4032c8e5e77e8becfbc79e05f4c8993e726b90d34d54</t>
        </is>
      </c>
      <c r="BE780" s="24" t="inlineStr">
        <is>
          <t>tennis-surface-elo-v1</t>
        </is>
      </c>
      <c r="BF780" s="24" t="inlineStr">
        <is>
          <t>1</t>
        </is>
      </c>
      <c r="BG780" s="24" t="inlineStr">
        <is>
          <t>6c67e999d2a03612e30f4032c8e5e77e8becfbc79e05f4c8993e726b90d34d54</t>
        </is>
      </c>
      <c r="BH780" s="24" t="inlineStr">
        <is>
          <t>2026-10-05T10:17:00.721020Z</t>
        </is>
      </c>
      <c r="BI780" s="24" t="inlineStr">
        <is>
          <t>["same_event","same_team_same_day","same_league_same_day"]</t>
        </is>
      </c>
      <c r="BJ780" s="25" t="n"/>
      <c r="BK780" s="26" t="n">
        <v>-1567</v>
      </c>
      <c r="BL780" s="27" t="n">
        <v>1.063816</v>
      </c>
      <c r="BM780" s="28" t="n">
        <v>0.940012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False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inlineStr">
        <is>
          <t>5461c251dcc95cddac373abcb1c3fdd1ab45ee3d20554e209f4dd881f5c47045</t>
        </is>
      </c>
      <c r="DE780" s="24" t="inlineStr">
        <is>
          <t>E:\model-prediction\data\odds\tennis\2026-10-05\polymarket_snapshots.jsonl</t>
        </is>
      </c>
      <c r="DF780" s="24" t="inlineStr">
        <is>
          <t>1198953:2026-10-05T10:17:00.721020Z</t>
        </is>
      </c>
      <c r="DG780" s="24" t="n"/>
      <c r="DH780" s="24" t="n"/>
      <c r="DI780" s="24" t="n"/>
      <c r="DJ780" s="24" t="n"/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"6c67e999d2a03612e30f4032c8e5e77e8becfbc79e05f4c8993e726b90d34d54", "away_team": "Shao Yushan", "event_id": "1029-2026:185272", "event_start_utc": "2026-10-06T05:00Z", "features": {"elo_p1_surface": 1460.7, "elo_p2_surface": 1638.8, "expected_games_p1": 6.91, "expected_games_p2": 12.87, "expected_total_games": 19.77, "history_matches": 16571, "min_player_matches": 3, "surface": "Hard"}, "historical_source_observation_times_verified": false, "home_team": "Yulia Putintseva", "inference_inputs": {"code_sha256": {"features/elo_ratings.py": "8525faf022a6343c452286dbfeb17dbb043744c6bdabbe448b6b371216da439b", "models/tennis.py": "6c67e999d2a03612e30f4032c8e5e77e8becfbc79e05f4c8993e726b90d34d54"}, "overall_ratings": [1460.149837643288, 1622.9901290263363], "players": ["Shao Yushan", "Yulia Putintseva"], "sport": "TENNIS", "surface": "Hard", "surface_counts": [3, 117], "surface_ratings": [1460.7071550638293, 1638.8228655268704]}, "market_type": "moneyline", "model_version": "tennis-surface-elo-v1", "observed_at_utc": "2026-10-05T22:23:41.871278+00:00", "probabilities": {"away": 0.2678, "home": 0.7322}, "replay_scope": "Exact full-precision serving state and rounding; upstream historical observation times are not certified.", "schema": "coded-moneyline-replay-v1", "snapshot_hash": "c7e9c4c8420269472c7b23cc06090cef3c25d9787c6772b31aae029334a80675", "sport": "TENNIS"}</t>
        </is>
      </c>
    </row>
    <row r="781" ht="36" customHeight="1">
      <c r="A781" s="24" t="inlineStr">
        <is>
          <t>ec2a2dd849474b81</t>
        </is>
      </c>
      <c r="B781" s="24" t="inlineStr">
        <is>
          <t>2026-10-05T22:23:45.549967Z</t>
        </is>
      </c>
      <c r="C781" s="24" t="inlineStr">
        <is>
          <t>2026-10-06T05:00Z</t>
        </is>
      </c>
      <c r="D781" s="24" t="inlineStr">
        <is>
          <t>1029-2026:185273</t>
        </is>
      </c>
      <c r="E781" s="24" t="inlineStr">
        <is>
          <t>TENNIS</t>
        </is>
      </c>
      <c r="F781" s="24" t="inlineStr">
        <is>
          <t>Mai Hontama</t>
        </is>
      </c>
      <c r="G781" s="24" t="inlineStr">
        <is>
          <t>Emerson Jones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-138</v>
      </c>
      <c r="M781" s="27" t="n">
        <v>1.724638</v>
      </c>
      <c r="N781" s="28" t="n">
        <v>0.579832</v>
      </c>
      <c r="O781" s="28" t="n">
        <v>0.5089</v>
      </c>
      <c r="P781" s="28" t="n">
        <v>0.05</v>
      </c>
      <c r="Q781" s="28" t="n">
        <v>-0.070932</v>
      </c>
      <c r="R781" s="26" t="n">
        <v>0</v>
      </c>
      <c r="S781" s="29" t="n">
        <v>1</v>
      </c>
      <c r="T781" s="24" t="inlineStr">
        <is>
          <t>tennis-surface-elo-v1</t>
        </is>
      </c>
      <c r="U781" s="24" t="inlineStr">
        <is>
          <t>open</t>
        </is>
      </c>
      <c r="V781" s="24" t="n"/>
      <c r="W781" s="26" t="n"/>
      <c r="X781" s="26" t="n"/>
      <c r="Y781" s="25" t="n"/>
      <c r="Z781" s="26" t="n"/>
      <c r="AA781" s="28" t="n"/>
      <c r="AB781" s="28" t="n"/>
      <c r="AC781" s="30" t="n"/>
      <c r="AD781" s="24" t="n"/>
      <c r="AE781" s="31" t="inlineStr">
        <is>
          <t>Surface-blended Elo on Hard: Mai Hontama p=0.491 vs Emerson Jones. Executable ask 0.5800 (aec-wta-emejon-maihon-2026-10-04).</t>
        </is>
      </c>
      <c r="AF781" s="31" t="inlineStr">
        <is>
          <t>Surface-blended Elo model; singles only, WTA+ATP market coverage, not yet locked-holdout qualified -- promoted by explicit operator directive, not genuine walk-forward validation.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Mai Hontama</t>
        </is>
      </c>
      <c r="AQ781" s="24" t="inlineStr">
        <is>
          <t>Mai Hontama</t>
        </is>
      </c>
      <c r="AR781" s="24" t="inlineStr">
        <is>
          <t>Mai Hontama</t>
        </is>
      </c>
      <c r="AS781" s="24" t="inlineStr">
        <is>
          <t>Emerson Jones</t>
        </is>
      </c>
      <c r="AT781" s="24" t="inlineStr">
        <is>
          <t>Emerson Jones</t>
        </is>
      </c>
      <c r="AU781" s="24" t="inlineStr">
        <is>
          <t>Emerson Jones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6c67e999d2a03612e30f4032c8e5e77e8becfbc79e05f4c8993e726b90d34d54</t>
        </is>
      </c>
      <c r="BB781" s="24" t="inlineStr">
        <is>
          <t>surface_blended_elo</t>
        </is>
      </c>
      <c r="BC781" s="24" t="inlineStr">
        <is>
          <t>tennis-surface-elo-v1</t>
        </is>
      </c>
      <c r="BD781" s="24" t="inlineStr">
        <is>
          <t>6c67e999d2a03612e30f4032c8e5e77e8becfbc79e05f4c8993e726b90d34d54</t>
        </is>
      </c>
      <c r="BE781" s="24" t="inlineStr">
        <is>
          <t>tennis-surface-elo-v1</t>
        </is>
      </c>
      <c r="BF781" s="24" t="inlineStr">
        <is>
          <t>1</t>
        </is>
      </c>
      <c r="BG781" s="24" t="inlineStr">
        <is>
          <t>6c67e999d2a03612e30f4032c8e5e77e8becfbc79e05f4c8993e726b90d34d54</t>
        </is>
      </c>
      <c r="BH781" s="24" t="inlineStr">
        <is>
          <t>2026-10-05T10:17:20.879103Z</t>
        </is>
      </c>
      <c r="BI781" s="24" t="inlineStr">
        <is>
          <t>["same_event","same_team_same_day","same_league_same_day"]</t>
        </is>
      </c>
      <c r="BJ781" s="25" t="n"/>
      <c r="BK781" s="26" t="n">
        <v>-138</v>
      </c>
      <c r="BL781" s="27" t="n">
        <v>1.724638</v>
      </c>
      <c r="BM781" s="28" t="n">
        <v>0.579832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inlineStr">
        <is>
          <t>bd3f6590bb31304e2dcc25bae28a1a3c525008a6dc5c706afad551c4ee041bbd</t>
        </is>
      </c>
      <c r="DE781" s="24" t="inlineStr">
        <is>
          <t>E:\model-prediction\data\odds\tennis\2026-10-05\polymarket_snapshots.jsonl</t>
        </is>
      </c>
      <c r="DF781" s="24" t="inlineStr">
        <is>
          <t>1198949:2026-10-05T10:17:20.879103Z</t>
        </is>
      </c>
      <c r="DG781" s="24" t="n"/>
      <c r="DH781" s="24" t="n"/>
      <c r="DI781" s="24" t="n"/>
      <c r="DJ781" s="24" t="n"/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"6c67e999d2a03612e30f4032c8e5e77e8becfbc79e05f4c8993e726b90d34d54", "away_team": "Mai Hontama", "event_id": "1029-2026:185273", "event_start_utc": "2026-10-06T05:00Z", "features": {"elo_p1_surface": 1504.5, "elo_p2_surface": 1513.9, "expected_games_p1": 12.34, "expected_games_p2": 12.44, "expected_total_games": 24.78, "history_matches": 16571, "min_player_matches": 37, "surface": "Hard"}, "historical_source_observation_times_verified": false, "home_team": "Emerson Jones", "inference_inputs": {"code_sha256": {"features/elo_ratings.py": "8525faf022a6343c452286dbfeb17dbb043744c6bdabbe448b6b371216da439b", "models/tennis.py": "6c67e999d2a03612e30f4032c8e5e77e8becfbc79e05f4c8993e726b90d34d54"}, "overall_ratings": [1509.5331080299509, 1509.570806534977], "players": ["Mai Hontama", "Emerson Jones"], "sport": "TENNIS", "surface": "Hard", "surface_counts": [91, 30], "surface_ratings": [1504.474669170171, 1513.8734018301245]}, "market_type": "moneyline", "model_version": "tennis-surface-elo-v1", "observed_at_utc": "2026-10-05T22:23:41.871278+00:00", "probabilities": {"away": 0.4911, "home": 0.5089}, "replay_scope": "Exact full-precision serving state and rounding; upstream historical observation times are not certified.", "schema": "coded-moneyline-replay-v1", "snapshot_hash": "50097fbbdd7638fbaf03132d91d8195207339441441b0080ab49fca6b7820372", "sport": "TENNIS"}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2026-10-06T05:45:36Z</dcterms:created>
  <dcterms:modified xmlns:dcterms="http://purl.org/dc/terms/" xmlns:xsi="http://www.w3.org/2001/XMLSchema-instance" xsi:type="dcterms:W3CDTF">2026-10-06T05:45:36Z</dcterms:modified>
</cp:coreProperties>
</file>