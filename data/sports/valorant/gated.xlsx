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right" vertical="top"/>
    </xf>
    <xf numFmtId="1" fontId="1" fillId="0" borderId="0" applyAlignment="1" pivotButton="0" quotePrefix="0" xfId="0">
      <alignment horizontal="right" vertical="top"/>
    </xf>
    <xf numFmtId="165" fontId="1" fillId="0" borderId="0" applyAlignment="1" pivotButton="0" quotePrefix="0" xfId="0">
      <alignment horizontal="right" vertical="top"/>
    </xf>
    <xf numFmtId="10" fontId="1" fillId="0" borderId="0" applyAlignment="1" pivotButton="0" quotePrefix="0" xfId="0">
      <alignment horizontal="right" vertical="top"/>
    </xf>
    <xf numFmtId="2" fontId="1" fillId="0" borderId="0" applyAlignment="1" pivotButton="0" quotePrefix="0" xfId="0">
      <alignment horizontal="right" vertical="top"/>
    </xf>
    <xf numFmtId="166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Q115" headerRowCount="1">
  <autoFilter ref="A1:DQ115"/>
  <tableColumns count="121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  <tableColumn id="121" name="model_input_snapshot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COUNTA('Picks'!$A$2:$A$115)</f>
        <v/>
      </c>
      <c r="C4" s="6">
        <f>COUNTIF('Picks'!$U$2:$U$115,"open")</f>
        <v/>
      </c>
      <c r="E4" s="6">
        <f>COUNTIF('Picks'!$U$2:$U$115,"settled")</f>
        <v/>
      </c>
      <c r="G4" s="6">
        <f>IF(COUNTIFS('Picks'!$U$2:$U$115,"settled",'Picks'!$V$2:$V$115,"win")+COUNTIFS('Picks'!$U$2:$U$115,"settled",'Picks'!$V$2:$V$115,"loss")&gt;=$L$2,"Ready","Insufficient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COUNTIF('Picks'!$BX$2:$BX$115,"&gt;0")</f>
        <v/>
      </c>
      <c r="C7" s="6">
        <f>COUNTIFS('Picks'!$BX$2:$BX$115,"&gt;0",'Picks'!$V$2:$V$115,"win")&amp;"-"&amp;COUNTIFS('Picks'!$BX$2:$BX$115,"&gt;0",'Picks'!$V$2:$V$115,"loss")</f>
        <v/>
      </c>
      <c r="E7" s="7">
        <f>IFERROR(COUNTIFS('Picks'!$BX$2:$BX$115,"&gt;0",'Picks'!$V$2:$V$115,"win")/(COUNTIFS('Picks'!$BX$2:$BX$115,"&gt;0",'Picks'!$V$2:$V$115,"win")+COUNTIFS('Picks'!$BX$2:$BX$115,"&gt;0",'Picks'!$V$2:$V$115,"loss")),0)</f>
        <v/>
      </c>
      <c r="G7" s="7">
        <f>IFERROR(SUM('Picks'!$BY$2:$BY$115)/SUM('Picks'!$BX$2:$BX$115),0)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SUM('Picks'!$BY$2:$BY$115)</f>
        <v/>
      </c>
      <c r="C10" s="9">
        <f>IFERROR(AVERAGEIF('Picks'!$AB$2:$AB$115,"&lt;&gt;",'Picks'!$AB$2:$AB$115),0)</f>
        <v/>
      </c>
      <c r="E10" s="6">
        <f>COUNTIFS('Picks'!$AM$2:$AM$115,"QUALIFIED_SHADOW_CALL",'Picks'!$U$2:$U$115,"settled")</f>
        <v/>
      </c>
      <c r="G10" s="8">
        <f>SUMIFS('Picks'!$AC$2:$AC$115,'Picks'!$AM$2:$AM$115,"QUALIFIED_SHADOW_CALL")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COUNTIFS('Picks'!$H$2:$H$115,$A14,'Picks'!$U$2:$U$115,"settled")</f>
        <v/>
      </c>
      <c r="C14" s="13">
        <f>COUNTIFS('Picks'!$H$2:$H$115,$A14,'Picks'!$U$2:$U$115,"settled",'Picks'!$V$2:$V$115,"win")</f>
        <v/>
      </c>
      <c r="D14" s="13">
        <f>COUNTIFS('Picks'!$H$2:$H$115,$A14,'Picks'!$U$2:$U$115,"settled",'Picks'!$V$2:$V$115,"loss")</f>
        <v/>
      </c>
      <c r="E14" s="14">
        <f>IFERROR(C14/(C14+D14),0)</f>
        <v/>
      </c>
      <c r="F14" s="15">
        <f>SUMIFS('Picks'!$BY$2:$BY$115,'Picks'!$H$2:$H$115,$A14)</f>
        <v/>
      </c>
      <c r="G14" s="16">
        <f>IFERROR(AVERAGEIFS('Picks'!$AB$2:$AB$115,'Picks'!$H$2:$H$115,$A14,'Picks'!$U$2:$U$115,"settled"),0)</f>
        <v/>
      </c>
    </row>
    <row r="15">
      <c r="A15" s="17" t="inlineStr">
        <is>
          <t>spread</t>
        </is>
      </c>
      <c r="B15" s="18">
        <f>COUNTIFS('Picks'!$H$2:$H$115,$A15,'Picks'!$U$2:$U$115,"settled")</f>
        <v/>
      </c>
      <c r="C15" s="18">
        <f>COUNTIFS('Picks'!$H$2:$H$115,$A15,'Picks'!$U$2:$U$115,"settled",'Picks'!$V$2:$V$115,"win")</f>
        <v/>
      </c>
      <c r="D15" s="18">
        <f>COUNTIFS('Picks'!$H$2:$H$115,$A15,'Picks'!$U$2:$U$115,"settled",'Picks'!$V$2:$V$115,"loss")</f>
        <v/>
      </c>
      <c r="E15" s="19">
        <f>IFERROR(C15/(C15+D15),0)</f>
        <v/>
      </c>
      <c r="F15" s="20">
        <f>SUMIFS('Picks'!$BY$2:$BY$115,'Picks'!$H$2:$H$115,$A15)</f>
        <v/>
      </c>
      <c r="G15" s="21">
        <f>IFERROR(AVERAGEIFS('Picks'!$AB$2:$AB$115,'Picks'!$H$2:$H$115,$A15,'Picks'!$U$2:$U$115,"settled"),0)</f>
        <v/>
      </c>
    </row>
    <row r="16">
      <c r="A16" s="12" t="inlineStr">
        <is>
          <t>total</t>
        </is>
      </c>
      <c r="B16" s="13">
        <f>COUNTIFS('Picks'!$H$2:$H$115,$A16,'Picks'!$U$2:$U$115,"settled")</f>
        <v/>
      </c>
      <c r="C16" s="13">
        <f>COUNTIFS('Picks'!$H$2:$H$115,$A16,'Picks'!$U$2:$U$115,"settled",'Picks'!$V$2:$V$115,"win")</f>
        <v/>
      </c>
      <c r="D16" s="13">
        <f>COUNTIFS('Picks'!$H$2:$H$115,$A16,'Picks'!$U$2:$U$115,"settled",'Picks'!$V$2:$V$115,"loss")</f>
        <v/>
      </c>
      <c r="E16" s="14">
        <f>IFERROR(C16/(C16+D16),0)</f>
        <v/>
      </c>
      <c r="F16" s="15">
        <f>SUMIFS('Picks'!$BY$2:$BY$115,'Picks'!$H$2:$H$115,$A16)</f>
        <v/>
      </c>
      <c r="G16" s="16">
        <f>IFERROR(AVERAGEIFS('Picks'!$AB$2:$AB$115,'Picks'!$H$2:$H$115,$A16,'Picks'!$U$2:$U$115,"settled"),0)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  <row r="2" ht="36" customHeight="1">
      <c r="A2" s="24" t="inlineStr">
        <is>
          <t>993252575c7e4976</t>
        </is>
      </c>
      <c r="B2" s="24" t="inlineStr">
        <is>
          <t>2026-08-04T16:54:18.134287Z</t>
        </is>
      </c>
      <c r="C2" s="24" t="inlineStr">
        <is>
          <t>2026-08-04T18:00:00Z</t>
        </is>
      </c>
      <c r="D2" s="24" t="inlineStr">
        <is>
          <t>68698</t>
        </is>
      </c>
      <c r="E2" s="24" t="inlineStr">
        <is>
          <t>VALORANT</t>
        </is>
      </c>
      <c r="F2" s="24" t="inlineStr">
        <is>
          <t>Twisted Minds Orchid</t>
        </is>
      </c>
      <c r="G2" s="24" t="inlineStr">
        <is>
          <t>SK Nebula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-163</v>
      </c>
      <c r="M2" s="27" t="n">
        <v>1.613497</v>
      </c>
      <c r="N2" s="28" t="n">
        <v>0.619772</v>
      </c>
      <c r="O2" s="28" t="n">
        <v>0.64657</v>
      </c>
      <c r="P2" s="28" t="n"/>
      <c r="Q2" s="28" t="n">
        <v>0.026798</v>
      </c>
      <c r="R2" s="26" t="n">
        <v>33</v>
      </c>
      <c r="S2" s="29" t="n">
        <v>1.75</v>
      </c>
      <c r="T2" s="24" t="inlineStr">
        <is>
          <t>valorant-tiered-elo-v6</t>
        </is>
      </c>
      <c r="U2" s="24" t="inlineStr">
        <is>
          <t>settled</t>
        </is>
      </c>
      <c r="V2" s="24" t="inlineStr">
        <is>
          <t>loss</t>
        </is>
      </c>
      <c r="W2" s="26" t="n">
        <v>1</v>
      </c>
      <c r="X2" s="26" t="n">
        <v>0</v>
      </c>
      <c r="Y2" s="25" t="n"/>
      <c r="Z2" s="26" t="n">
        <v>-170</v>
      </c>
      <c r="AA2" s="28" t="n">
        <v>0.63</v>
      </c>
      <c r="AB2" s="28" t="n">
        <v>0.010228</v>
      </c>
      <c r="AC2" s="30" t="n">
        <v>-1.75</v>
      </c>
      <c r="AD2" s="24" t="inlineStr">
        <is>
          <t>2026-08-04T22:00:12.102961Z</t>
        </is>
      </c>
      <c r="AE2" s="31" t="inlineStr">
        <is>
          <t>Neutral Elo baseline; executable ask 0.6200 (market_slug=aec-valorant-skn-tmo-2026-08-04).</t>
        </is>
      </c>
      <c r="AF2" s="31" t="inlineStr">
        <is>
          <t>Config-promoted esports baseline; gates enforced at log time.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Twisted Minds Orchid</t>
        </is>
      </c>
      <c r="AQ2" s="24" t="inlineStr">
        <is>
          <t>Twisted Minds Orchid</t>
        </is>
      </c>
      <c r="AR2" s="24" t="inlineStr">
        <is>
          <t>Twisted Minds Orchid</t>
        </is>
      </c>
      <c r="AS2" s="24" t="inlineStr">
        <is>
          <t>SK Nebula</t>
        </is>
      </c>
      <c r="AT2" s="24" t="inlineStr">
        <is>
          <t>SK Nebula</t>
        </is>
      </c>
      <c r="AU2" s="24" t="inlineStr">
        <is>
          <t>SK Nebula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2a3a3c0d919df15db76d78df508a996bd8f684ec881c5b644b1e53da56868427</t>
        </is>
      </c>
      <c r="BB2" s="24" t="inlineStr">
        <is>
          <t>neutral_elo</t>
        </is>
      </c>
      <c r="BC2" s="24" t="inlineStr">
        <is>
          <t>valorant-tiered-elo-v6</t>
        </is>
      </c>
      <c r="BD2" s="24" t="inlineStr">
        <is>
          <t>2a3a3c0d919df15db76d78df508a996bd8f684ec881c5b644b1e53da56868427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valorant-tiered-elo-v6</t>
        </is>
      </c>
      <c r="BH2" s="24" t="inlineStr">
        <is>
          <t>2026-08-04T16:54:14.515679Z</t>
        </is>
      </c>
      <c r="BI2" s="24" t="inlineStr">
        <is>
          <t>["same_event","same_team_same_day","same_league_same_day"]</t>
        </is>
      </c>
      <c r="BJ2" s="25" t="n"/>
      <c r="BK2" s="26" t="n">
        <v>-163</v>
      </c>
      <c r="BL2" s="27" t="n">
        <v>1.613497</v>
      </c>
      <c r="BM2" s="28" t="n">
        <v>0.619772</v>
      </c>
      <c r="BN2" s="28" t="n"/>
      <c r="BO2" s="28" t="n"/>
      <c r="BP2" s="25" t="n"/>
      <c r="BQ2" s="27" t="n">
        <v>1.588235</v>
      </c>
      <c r="BR2" s="28" t="n">
        <v>0.63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inlineStr">
        <is>
          <t>True</t>
        </is>
      </c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inlineStr">
        <is>
          <t>0.619772</t>
        </is>
      </c>
      <c r="DK2" s="24" t="n"/>
      <c r="DL2" s="24" t="n"/>
      <c r="DM2" s="24" t="n"/>
      <c r="DN2" s="24" t="n"/>
      <c r="DO2" s="24" t="n"/>
      <c r="DP2" s="24" t="n"/>
      <c r="DQ2" s="24" t="n"/>
    </row>
    <row r="3" ht="36" customHeight="1">
      <c r="A3" s="24" t="inlineStr">
        <is>
          <t>fbbd225f128542cc</t>
        </is>
      </c>
      <c r="B3" s="24" t="inlineStr">
        <is>
          <t>2026-08-05T04:38:20.842798Z</t>
        </is>
      </c>
      <c r="C3" s="24" t="inlineStr">
        <is>
          <t>2026-08-05T10:00:00Z</t>
        </is>
      </c>
      <c r="D3" s="24" t="inlineStr">
        <is>
          <t>69540</t>
        </is>
      </c>
      <c r="E3" s="24" t="inlineStr">
        <is>
          <t>VALORANT</t>
        </is>
      </c>
      <c r="F3" s="24" t="inlineStr">
        <is>
          <t>KeepBest Gaming</t>
        </is>
      </c>
      <c r="G3" s="24" t="inlineStr">
        <is>
          <t>TEC Esports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122</v>
      </c>
      <c r="M3" s="27" t="n">
        <v>2.22</v>
      </c>
      <c r="N3" s="28" t="n">
        <v>0.45045</v>
      </c>
      <c r="O3" s="28" t="n">
        <v>0.575198</v>
      </c>
      <c r="P3" s="28" t="n"/>
      <c r="Q3" s="28" t="n">
        <v>0.124748</v>
      </c>
      <c r="R3" s="26" t="n">
        <v>82</v>
      </c>
      <c r="S3" s="29" t="n">
        <v>1.25</v>
      </c>
      <c r="T3" s="24" t="inlineStr">
        <is>
          <t>valorant-tiered-elo-v6</t>
        </is>
      </c>
      <c r="U3" s="24" t="inlineStr">
        <is>
          <t>settled</t>
        </is>
      </c>
      <c r="V3" s="24" t="inlineStr">
        <is>
          <t>loss</t>
        </is>
      </c>
      <c r="W3" s="26" t="n">
        <v>0</v>
      </c>
      <c r="X3" s="26" t="n">
        <v>1</v>
      </c>
      <c r="Y3" s="25" t="n"/>
      <c r="Z3" s="26" t="n">
        <v>122</v>
      </c>
      <c r="AA3" s="28" t="n">
        <v>0.45</v>
      </c>
      <c r="AB3" s="28" t="n">
        <v>-0.00045</v>
      </c>
      <c r="AC3" s="30" t="n">
        <v>-1.25</v>
      </c>
      <c r="AD3" s="24" t="inlineStr">
        <is>
          <t>2026-08-05T13:52:01.477710Z</t>
        </is>
      </c>
      <c r="AE3" s="31" t="inlineStr">
        <is>
          <t>Neutral Elo baseline; executable ask 0.4500 (market_slug=aec-valorant-tec-kbg-2026-08-05).</t>
        </is>
      </c>
      <c r="AF3" s="31" t="inlineStr">
        <is>
          <t>Config-promoted esports baseline; gates enforced at log time.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KeepBest Gaming</t>
        </is>
      </c>
      <c r="AQ3" s="24" t="inlineStr">
        <is>
          <t>KeepBest Gaming</t>
        </is>
      </c>
      <c r="AR3" s="24" t="inlineStr">
        <is>
          <t>KeepBest Gaming</t>
        </is>
      </c>
      <c r="AS3" s="24" t="inlineStr">
        <is>
          <t>TEC Esports</t>
        </is>
      </c>
      <c r="AT3" s="24" t="inlineStr">
        <is>
          <t>TEC Esports</t>
        </is>
      </c>
      <c r="AU3" s="24" t="inlineStr">
        <is>
          <t>TEC Esports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186664e065cb2f3876c035d1fafb20f41e71ec1c33421a9590b0fc42032b5796</t>
        </is>
      </c>
      <c r="BB3" s="24" t="inlineStr">
        <is>
          <t>neutral_elo</t>
        </is>
      </c>
      <c r="BC3" s="24" t="inlineStr">
        <is>
          <t>valorant-tiered-elo-v6</t>
        </is>
      </c>
      <c r="BD3" s="24" t="inlineStr">
        <is>
          <t>186664e065cb2f3876c035d1fafb20f41e71ec1c33421a9590b0fc42032b5796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valorant-tiered-elo-v6</t>
        </is>
      </c>
      <c r="BH3" s="24" t="inlineStr">
        <is>
          <t>2026-08-05T04:38:10.028876Z</t>
        </is>
      </c>
      <c r="BI3" s="24" t="inlineStr">
        <is>
          <t>["same_event","same_team_same_day","same_league_same_day"]</t>
        </is>
      </c>
      <c r="BJ3" s="25" t="n"/>
      <c r="BK3" s="26" t="n">
        <v>122</v>
      </c>
      <c r="BL3" s="27" t="n">
        <v>2.22</v>
      </c>
      <c r="BM3" s="28" t="n">
        <v>0.45045</v>
      </c>
      <c r="BN3" s="28" t="n"/>
      <c r="BO3" s="28" t="n"/>
      <c r="BP3" s="25" t="n"/>
      <c r="BQ3" s="27" t="n">
        <v>2.22</v>
      </c>
      <c r="BR3" s="28" t="n">
        <v>0.45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inlineStr">
        <is>
          <t>True</t>
        </is>
      </c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inlineStr">
        <is>
          <t>0.45045</t>
        </is>
      </c>
      <c r="DK3" s="24" t="n"/>
      <c r="DL3" s="24" t="n"/>
      <c r="DM3" s="24" t="n"/>
      <c r="DN3" s="24" t="n"/>
      <c r="DO3" s="24" t="n"/>
      <c r="DP3" s="24" t="n"/>
      <c r="DQ3" s="24" t="n"/>
    </row>
    <row r="4" ht="36" customHeight="1">
      <c r="A4" s="24" t="inlineStr">
        <is>
          <t>4afe1804253940e0</t>
        </is>
      </c>
      <c r="B4" s="24" t="inlineStr">
        <is>
          <t>2026-08-06T00:24:39.463638Z</t>
        </is>
      </c>
      <c r="C4" s="24" t="inlineStr">
        <is>
          <t>2026-08-06T15:00:00Z</t>
        </is>
      </c>
      <c r="D4" s="24" t="inlineStr">
        <is>
          <t>70724</t>
        </is>
      </c>
      <c r="E4" s="24" t="inlineStr">
        <is>
          <t>VALORANT</t>
        </is>
      </c>
      <c r="F4" s="24" t="inlineStr">
        <is>
          <t>Eintracht Frankfurt</t>
        </is>
      </c>
      <c r="G4" s="24" t="inlineStr">
        <is>
          <t>GIANTX</t>
        </is>
      </c>
      <c r="H4" s="24" t="inlineStr">
        <is>
          <t>moneyline</t>
        </is>
      </c>
      <c r="I4" s="24" t="inlineStr">
        <is>
          <t>away</t>
        </is>
      </c>
      <c r="J4" s="25" t="n"/>
      <c r="K4" s="24" t="inlineStr">
        <is>
          <t>polymarket_us</t>
        </is>
      </c>
      <c r="L4" s="26" t="n">
        <v>138</v>
      </c>
      <c r="M4" s="27" t="n">
        <v>2.38</v>
      </c>
      <c r="N4" s="28" t="n">
        <v>0.420168</v>
      </c>
      <c r="O4" s="28" t="n">
        <v>0.695761</v>
      </c>
      <c r="P4" s="28" t="n"/>
      <c r="Q4" s="28" t="n">
        <v>0.275593</v>
      </c>
      <c r="R4" s="26" t="n">
        <v>100</v>
      </c>
      <c r="S4" s="29" t="n">
        <v>2</v>
      </c>
      <c r="T4" s="24" t="inlineStr">
        <is>
          <t>valorant-tiered-elo-v6</t>
        </is>
      </c>
      <c r="U4" s="24" t="inlineStr">
        <is>
          <t>settled</t>
        </is>
      </c>
      <c r="V4" s="24" t="inlineStr">
        <is>
          <t>loss</t>
        </is>
      </c>
      <c r="W4" s="26" t="n">
        <v>0</v>
      </c>
      <c r="X4" s="26" t="n">
        <v>1</v>
      </c>
      <c r="Y4" s="25" t="n"/>
      <c r="Z4" s="26" t="n"/>
      <c r="AA4" s="28" t="n"/>
      <c r="AB4" s="28" t="n"/>
      <c r="AC4" s="30" t="n">
        <v>-2</v>
      </c>
      <c r="AD4" s="24" t="inlineStr">
        <is>
          <t>2026-08-06T18:57:16.552761Z</t>
        </is>
      </c>
      <c r="AE4" s="31" t="inlineStr">
        <is>
          <t>Neutral Elo baseline; executable ask 0.4200 (market_slug=aec-valorant-gx-sge-2026-08-06).</t>
        </is>
      </c>
      <c r="AF4" s="31" t="inlineStr">
        <is>
          <t>Config-promoted esports baseline; gates enforced at log time.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Eintracht Frankfurt</t>
        </is>
      </c>
      <c r="AQ4" s="24" t="inlineStr">
        <is>
          <t>Eintracht Frankfurt</t>
        </is>
      </c>
      <c r="AR4" s="24" t="inlineStr">
        <is>
          <t>Eintracht Frankfurt</t>
        </is>
      </c>
      <c r="AS4" s="24" t="inlineStr">
        <is>
          <t>GIANTX</t>
        </is>
      </c>
      <c r="AT4" s="24" t="inlineStr">
        <is>
          <t>GIANTX</t>
        </is>
      </c>
      <c r="AU4" s="24" t="inlineStr">
        <is>
          <t>GIANTX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4df5f295a2b28e76007c7dffc3ff6e8d7c876b7734ec9c379c78b6dce8cd27b3</t>
        </is>
      </c>
      <c r="BB4" s="24" t="inlineStr">
        <is>
          <t>neutral_elo</t>
        </is>
      </c>
      <c r="BC4" s="24" t="inlineStr">
        <is>
          <t>valorant-tiered-elo-v6</t>
        </is>
      </c>
      <c r="BD4" s="24" t="inlineStr">
        <is>
          <t>4df5f295a2b28e76007c7dffc3ff6e8d7c876b7734ec9c379c78b6dce8cd27b3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valorant-tiered-elo-v6</t>
        </is>
      </c>
      <c r="BH4" s="24" t="inlineStr">
        <is>
          <t>2026-08-06T00:24:37.569959Z</t>
        </is>
      </c>
      <c r="BI4" s="24" t="inlineStr">
        <is>
          <t>["same_event","same_team_same_day","same_league_same_day"]</t>
        </is>
      </c>
      <c r="BJ4" s="25" t="n"/>
      <c r="BK4" s="26" t="n">
        <v>138</v>
      </c>
      <c r="BL4" s="27" t="n">
        <v>2.38</v>
      </c>
      <c r="BM4" s="28" t="n">
        <v>0.420168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True</t>
        </is>
      </c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inlineStr">
        <is>
          <t>0.420168</t>
        </is>
      </c>
      <c r="DK4" s="24" t="n"/>
      <c r="DL4" s="24" t="n"/>
      <c r="DM4" s="24" t="n"/>
      <c r="DN4" s="24" t="n"/>
      <c r="DO4" s="24" t="n"/>
      <c r="DP4" s="24" t="n"/>
      <c r="DQ4" s="24" t="n"/>
    </row>
    <row r="5" ht="36" customHeight="1">
      <c r="A5" s="24" t="inlineStr">
        <is>
          <t>9ac66283b1f0467b</t>
        </is>
      </c>
      <c r="B5" s="24" t="inlineStr">
        <is>
          <t>2026-08-06T00:24:39.463638Z</t>
        </is>
      </c>
      <c r="C5" s="24" t="inlineStr">
        <is>
          <t>2026-08-06T18:00:00Z</t>
        </is>
      </c>
      <c r="D5" s="24" t="inlineStr">
        <is>
          <t>70912</t>
        </is>
      </c>
      <c r="E5" s="24" t="inlineStr">
        <is>
          <t>VALORANT</t>
        </is>
      </c>
      <c r="F5" s="24" t="inlineStr">
        <is>
          <t>Joblife</t>
        </is>
      </c>
      <c r="G5" s="24" t="inlineStr">
        <is>
          <t>Natus Vincere</t>
        </is>
      </c>
      <c r="H5" s="24" t="inlineStr">
        <is>
          <t>moneyline</t>
        </is>
      </c>
      <c r="I5" s="24" t="inlineStr">
        <is>
          <t>away</t>
        </is>
      </c>
      <c r="J5" s="25" t="n"/>
      <c r="K5" s="24" t="inlineStr">
        <is>
          <t>polymarket_us</t>
        </is>
      </c>
      <c r="L5" s="26" t="n">
        <v>178</v>
      </c>
      <c r="M5" s="27" t="n">
        <v>2.78</v>
      </c>
      <c r="N5" s="28" t="n">
        <v>0.359712</v>
      </c>
      <c r="O5" s="28" t="n">
        <v>0.563029</v>
      </c>
      <c r="P5" s="28" t="n"/>
      <c r="Q5" s="28" t="n">
        <v>0.203317</v>
      </c>
      <c r="R5" s="26" t="n">
        <v>100</v>
      </c>
      <c r="S5" s="29" t="n">
        <v>1</v>
      </c>
      <c r="T5" s="24" t="inlineStr">
        <is>
          <t>valorant-tiered-elo-v6</t>
        </is>
      </c>
      <c r="U5" s="24" t="inlineStr">
        <is>
          <t>settled</t>
        </is>
      </c>
      <c r="V5" s="24" t="inlineStr">
        <is>
          <t>win</t>
        </is>
      </c>
      <c r="W5" s="26" t="n">
        <v>1</v>
      </c>
      <c r="X5" s="26" t="n">
        <v>0</v>
      </c>
      <c r="Y5" s="25" t="n"/>
      <c r="Z5" s="26" t="n"/>
      <c r="AA5" s="28" t="n"/>
      <c r="AB5" s="28" t="n"/>
      <c r="AC5" s="30" t="n">
        <v>1.78</v>
      </c>
      <c r="AD5" s="24" t="inlineStr">
        <is>
          <t>2026-08-07T06:01:54.163030Z</t>
        </is>
      </c>
      <c r="AE5" s="31" t="inlineStr">
        <is>
          <t>Neutral Elo baseline; executable ask 0.3600 (market_slug=aec-valorant-navi-jl-2026-08-06).</t>
        </is>
      </c>
      <c r="AF5" s="31" t="inlineStr">
        <is>
          <t>Config-promoted esports baseline; gates enforced at log time.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Joblife</t>
        </is>
      </c>
      <c r="AQ5" s="24" t="inlineStr">
        <is>
          <t>Joblife</t>
        </is>
      </c>
      <c r="AR5" s="24" t="inlineStr">
        <is>
          <t>Joblife</t>
        </is>
      </c>
      <c r="AS5" s="24" t="inlineStr">
        <is>
          <t>Natus Vincere</t>
        </is>
      </c>
      <c r="AT5" s="24" t="inlineStr">
        <is>
          <t>Natus Vincere</t>
        </is>
      </c>
      <c r="AU5" s="24" t="inlineStr">
        <is>
          <t>Natus Vincere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4df5f295a2b28e76007c7dffc3ff6e8d7c876b7734ec9c379c78b6dce8cd27b3</t>
        </is>
      </c>
      <c r="BB5" s="24" t="inlineStr">
        <is>
          <t>neutral_elo</t>
        </is>
      </c>
      <c r="BC5" s="24" t="inlineStr">
        <is>
          <t>valorant-tiered-elo-v6</t>
        </is>
      </c>
      <c r="BD5" s="24" t="inlineStr">
        <is>
          <t>4df5f295a2b28e76007c7dffc3ff6e8d7c876b7734ec9c379c78b6dce8cd27b3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valorant-tiered-elo-v6</t>
        </is>
      </c>
      <c r="BH5" s="24" t="inlineStr">
        <is>
          <t>2026-08-06T00:24:38.040365Z</t>
        </is>
      </c>
      <c r="BI5" s="24" t="inlineStr">
        <is>
          <t>["same_event","same_team_same_day","same_league_same_day"]</t>
        </is>
      </c>
      <c r="BJ5" s="25" t="n"/>
      <c r="BK5" s="26" t="n">
        <v>178</v>
      </c>
      <c r="BL5" s="27" t="n">
        <v>2.78</v>
      </c>
      <c r="BM5" s="28" t="n">
        <v>0.359712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True</t>
        </is>
      </c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inlineStr">
        <is>
          <t>0.359712</t>
        </is>
      </c>
      <c r="DK5" s="24" t="n"/>
      <c r="DL5" s="24" t="n"/>
      <c r="DM5" s="24" t="n"/>
      <c r="DN5" s="24" t="n"/>
      <c r="DO5" s="24" t="n"/>
      <c r="DP5" s="24" t="n"/>
      <c r="DQ5" s="24" t="n"/>
    </row>
    <row r="6" ht="36" customHeight="1">
      <c r="A6" s="24" t="inlineStr">
        <is>
          <t>33fe14e66f0c4a77</t>
        </is>
      </c>
      <c r="B6" s="24" t="inlineStr">
        <is>
          <t>2026-08-06T19:00:18.001858Z</t>
        </is>
      </c>
      <c r="C6" s="24" t="inlineStr">
        <is>
          <t>2026-08-06T21:00:00Z</t>
        </is>
      </c>
      <c r="D6" s="24" t="inlineStr">
        <is>
          <t>71315</t>
        </is>
      </c>
      <c r="E6" s="24" t="inlineStr">
        <is>
          <t>VALORANT</t>
        </is>
      </c>
      <c r="F6" s="24" t="inlineStr">
        <is>
          <t>FURIA Esports</t>
        </is>
      </c>
      <c r="G6" s="24" t="inlineStr">
        <is>
          <t>Evil Geniuses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117</v>
      </c>
      <c r="M6" s="27" t="n">
        <v>2.17</v>
      </c>
      <c r="N6" s="28" t="n">
        <v>0.460829</v>
      </c>
      <c r="O6" s="28" t="n">
        <v>0.615411</v>
      </c>
      <c r="P6" s="28" t="n"/>
      <c r="Q6" s="28" t="n">
        <v>0.154582</v>
      </c>
      <c r="R6" s="26" t="n">
        <v>97</v>
      </c>
      <c r="S6" s="29" t="n">
        <v>1.5</v>
      </c>
      <c r="T6" s="24" t="inlineStr">
        <is>
          <t>valorant-tiered-elo-v6</t>
        </is>
      </c>
      <c r="U6" s="24" t="inlineStr">
        <is>
          <t>settled</t>
        </is>
      </c>
      <c r="V6" s="24" t="inlineStr">
        <is>
          <t>win</t>
        </is>
      </c>
      <c r="W6" s="26" t="n">
        <v>0</v>
      </c>
      <c r="X6" s="26" t="n">
        <v>1</v>
      </c>
      <c r="Y6" s="25" t="n"/>
      <c r="Z6" s="26" t="n">
        <v>117</v>
      </c>
      <c r="AA6" s="28" t="n">
        <v>0.46</v>
      </c>
      <c r="AB6" s="28" t="n">
        <v>-0.000829</v>
      </c>
      <c r="AC6" s="30" t="n">
        <v>1.755</v>
      </c>
      <c r="AD6" s="24" t="inlineStr">
        <is>
          <t>2026-08-07T06:01:55.454308Z</t>
        </is>
      </c>
      <c r="AE6" s="31" t="inlineStr">
        <is>
          <t>Neutral Elo baseline; executable ask 0.4600 (market_slug=aec-valorant-eg-fur-2026-08-06).</t>
        </is>
      </c>
      <c r="AF6" s="31" t="inlineStr">
        <is>
          <t>Config-promoted esports baseline; gates enforced at log time.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FURIA Esports</t>
        </is>
      </c>
      <c r="AQ6" s="24" t="inlineStr">
        <is>
          <t>FURIA Esports</t>
        </is>
      </c>
      <c r="AR6" s="24" t="inlineStr">
        <is>
          <t>FURIA Esports</t>
        </is>
      </c>
      <c r="AS6" s="24" t="inlineStr">
        <is>
          <t>Evil Geniuses</t>
        </is>
      </c>
      <c r="AT6" s="24" t="inlineStr">
        <is>
          <t>Evil Geniuses</t>
        </is>
      </c>
      <c r="AU6" s="24" t="inlineStr">
        <is>
          <t>Evil Geniuses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b32c21f8580cb36d2689c3449e18565f3db3f1690f09f65a3c552f717e24b35d</t>
        </is>
      </c>
      <c r="BB6" s="24" t="inlineStr">
        <is>
          <t>neutral_elo</t>
        </is>
      </c>
      <c r="BC6" s="24" t="inlineStr">
        <is>
          <t>valorant-tiered-elo-v6</t>
        </is>
      </c>
      <c r="BD6" s="24" t="inlineStr">
        <is>
          <t>b32c21f8580cb36d2689c3449e18565f3db3f1690f09f65a3c552f717e24b35d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valorant-tiered-elo-v6</t>
        </is>
      </c>
      <c r="BH6" s="24" t="inlineStr">
        <is>
          <t>2026-08-06T19:00:13.149018Z</t>
        </is>
      </c>
      <c r="BI6" s="24" t="inlineStr">
        <is>
          <t>["same_event","same_team_same_day","same_league_same_day"]</t>
        </is>
      </c>
      <c r="BJ6" s="25" t="n"/>
      <c r="BK6" s="26" t="n">
        <v>117</v>
      </c>
      <c r="BL6" s="27" t="n">
        <v>2.17</v>
      </c>
      <c r="BM6" s="28" t="n">
        <v>0.460829</v>
      </c>
      <c r="BN6" s="28" t="n"/>
      <c r="BO6" s="28" t="n"/>
      <c r="BP6" s="25" t="n"/>
      <c r="BQ6" s="27" t="n">
        <v>2.17</v>
      </c>
      <c r="BR6" s="28" t="n">
        <v>0.46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True</t>
        </is>
      </c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inlineStr">
        <is>
          <t>0.460829</t>
        </is>
      </c>
      <c r="DK6" s="24" t="n"/>
      <c r="DL6" s="24" t="n"/>
      <c r="DM6" s="24" t="n"/>
      <c r="DN6" s="24" t="n"/>
      <c r="DO6" s="24" t="n"/>
      <c r="DP6" s="24" t="n"/>
      <c r="DQ6" s="24" t="n"/>
    </row>
    <row r="7" ht="36" customHeight="1">
      <c r="A7" s="24" t="inlineStr">
        <is>
          <t>ccd5f17eb0c54739</t>
        </is>
      </c>
      <c r="B7" s="24" t="inlineStr">
        <is>
          <t>2026-08-07T09:11:28.912966Z</t>
        </is>
      </c>
      <c r="C7" s="24" t="inlineStr">
        <is>
          <t>2026-08-07T11:00:00Z</t>
        </is>
      </c>
      <c r="D7" s="24" t="inlineStr">
        <is>
          <t>71752</t>
        </is>
      </c>
      <c r="E7" s="24" t="inlineStr">
        <is>
          <t>VALORANT</t>
        </is>
      </c>
      <c r="F7" s="24" t="inlineStr">
        <is>
          <t>FULL SENSE</t>
        </is>
      </c>
      <c r="G7" s="24" t="inlineStr">
        <is>
          <t>Gen.G Esports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-156</v>
      </c>
      <c r="M7" s="27" t="n">
        <v>1.641026</v>
      </c>
      <c r="N7" s="28" t="n">
        <v>0.609375</v>
      </c>
      <c r="O7" s="28" t="n">
        <v>0.781485</v>
      </c>
      <c r="P7" s="28" t="n"/>
      <c r="Q7" s="28" t="n">
        <v>0.17211</v>
      </c>
      <c r="R7" s="26" t="n">
        <v>100</v>
      </c>
      <c r="S7" s="29" t="n">
        <v>2</v>
      </c>
      <c r="T7" s="24" t="inlineStr">
        <is>
          <t>valorant-tiered-elo-v6</t>
        </is>
      </c>
      <c r="U7" s="24" t="inlineStr">
        <is>
          <t>settled</t>
        </is>
      </c>
      <c r="V7" s="24" t="inlineStr">
        <is>
          <t>win</t>
        </is>
      </c>
      <c r="W7" s="26" t="n">
        <v>0</v>
      </c>
      <c r="X7" s="26" t="n">
        <v>1</v>
      </c>
      <c r="Y7" s="25" t="n"/>
      <c r="Z7" s="26" t="n">
        <v>-156</v>
      </c>
      <c r="AA7" s="28" t="n">
        <v>0.61</v>
      </c>
      <c r="AB7" s="28" t="n">
        <v>0.000625</v>
      </c>
      <c r="AC7" s="30" t="n">
        <v>1.2821</v>
      </c>
      <c r="AD7" s="24" t="inlineStr">
        <is>
          <t>2026-08-07T15:20:06.633818Z</t>
        </is>
      </c>
      <c r="AE7" s="31" t="inlineStr">
        <is>
          <t>Neutral Elo baseline; executable ask 0.6100 (market_slug=aec-valorant-geng-fs-2026-08-07).</t>
        </is>
      </c>
      <c r="AF7" s="31" t="inlineStr">
        <is>
          <t>Config-promoted esports baseline; gates enforced at log time.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FULL SENSE</t>
        </is>
      </c>
      <c r="AQ7" s="24" t="inlineStr">
        <is>
          <t>FULL SENSE</t>
        </is>
      </c>
      <c r="AR7" s="24" t="inlineStr">
        <is>
          <t>FULL SENSE</t>
        </is>
      </c>
      <c r="AS7" s="24" t="inlineStr">
        <is>
          <t>Gen.G Esports</t>
        </is>
      </c>
      <c r="AT7" s="24" t="inlineStr">
        <is>
          <t>Gen.G Esports</t>
        </is>
      </c>
      <c r="AU7" s="24" t="inlineStr">
        <is>
          <t>Gen.G Esports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42b19475ad40d4c6f417c5f7897f490415fd91fcca876fa2415c941da1fd3bc7</t>
        </is>
      </c>
      <c r="BB7" s="24" t="inlineStr">
        <is>
          <t>neutral_elo</t>
        </is>
      </c>
      <c r="BC7" s="24" t="inlineStr">
        <is>
          <t>valorant-tiered-elo-v6</t>
        </is>
      </c>
      <c r="BD7" s="24" t="inlineStr">
        <is>
          <t>42b19475ad40d4c6f417c5f7897f490415fd91fcca876fa2415c941da1fd3bc7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valorant-tiered-elo-v6</t>
        </is>
      </c>
      <c r="BH7" s="24" t="inlineStr">
        <is>
          <t>2026-08-07T09:11:21.351080Z</t>
        </is>
      </c>
      <c r="BI7" s="24" t="inlineStr">
        <is>
          <t>["same_event","same_team_same_day","same_league_same_day"]</t>
        </is>
      </c>
      <c r="BJ7" s="25" t="n"/>
      <c r="BK7" s="26" t="n">
        <v>-156</v>
      </c>
      <c r="BL7" s="27" t="n">
        <v>1.641026</v>
      </c>
      <c r="BM7" s="28" t="n">
        <v>0.609375</v>
      </c>
      <c r="BN7" s="28" t="n"/>
      <c r="BO7" s="28" t="n"/>
      <c r="BP7" s="25" t="n"/>
      <c r="BQ7" s="27" t="n">
        <v>1.641026</v>
      </c>
      <c r="BR7" s="28" t="n">
        <v>0.61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True</t>
        </is>
      </c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inlineStr">
        <is>
          <t>0.609375</t>
        </is>
      </c>
      <c r="DK7" s="24" t="n"/>
      <c r="DL7" s="24" t="n"/>
      <c r="DM7" s="24" t="n"/>
      <c r="DN7" s="24" t="n"/>
      <c r="DO7" s="24" t="n"/>
      <c r="DP7" s="24" t="n"/>
      <c r="DQ7" s="24" t="n"/>
    </row>
    <row r="8" ht="36" customHeight="1">
      <c r="A8" s="24" t="inlineStr">
        <is>
          <t>94a64e146f5740da</t>
        </is>
      </c>
      <c r="B8" s="24" t="inlineStr">
        <is>
          <t>2026-08-07T15:24:00.757019Z</t>
        </is>
      </c>
      <c r="C8" s="24" t="inlineStr">
        <is>
          <t>2026-08-07T18:00:00Z</t>
        </is>
      </c>
      <c r="D8" s="24" t="inlineStr">
        <is>
          <t>72078</t>
        </is>
      </c>
      <c r="E8" s="24" t="inlineStr">
        <is>
          <t>VALORANT</t>
        </is>
      </c>
      <c r="F8" s="24" t="inlineStr">
        <is>
          <t>Enterprise Esports</t>
        </is>
      </c>
      <c r="G8" s="24" t="inlineStr">
        <is>
          <t>Fnatic</t>
        </is>
      </c>
      <c r="H8" s="24" t="inlineStr">
        <is>
          <t>moneyline</t>
        </is>
      </c>
      <c r="I8" s="24" t="inlineStr">
        <is>
          <t>away</t>
        </is>
      </c>
      <c r="J8" s="25" t="n"/>
      <c r="K8" s="24" t="inlineStr">
        <is>
          <t>polymarket_us</t>
        </is>
      </c>
      <c r="L8" s="26" t="n">
        <v>178</v>
      </c>
      <c r="M8" s="27" t="n">
        <v>2.78</v>
      </c>
      <c r="N8" s="28" t="n">
        <v>0.359712</v>
      </c>
      <c r="O8" s="28" t="n">
        <v>0.743264</v>
      </c>
      <c r="P8" s="28" t="n"/>
      <c r="Q8" s="28" t="n">
        <v>0.383552</v>
      </c>
      <c r="R8" s="26" t="n">
        <v>100</v>
      </c>
      <c r="S8" s="29" t="n">
        <v>2</v>
      </c>
      <c r="T8" s="24" t="inlineStr">
        <is>
          <t>valorant-tiered-elo-v6</t>
        </is>
      </c>
      <c r="U8" s="24" t="inlineStr">
        <is>
          <t>settled</t>
        </is>
      </c>
      <c r="V8" s="24" t="inlineStr">
        <is>
          <t>win</t>
        </is>
      </c>
      <c r="W8" s="26" t="n">
        <v>1</v>
      </c>
      <c r="X8" s="26" t="n">
        <v>0</v>
      </c>
      <c r="Y8" s="25" t="n"/>
      <c r="Z8" s="26" t="n">
        <v>178</v>
      </c>
      <c r="AA8" s="28" t="n">
        <v>0.36</v>
      </c>
      <c r="AB8" s="28" t="n">
        <v>0.000288</v>
      </c>
      <c r="AC8" s="30" t="n">
        <v>3.56</v>
      </c>
      <c r="AD8" s="24" t="inlineStr">
        <is>
          <t>2026-08-07T21:55:39.052370Z</t>
        </is>
      </c>
      <c r="AE8" s="31" t="inlineStr">
        <is>
          <t>Neutral Elo baseline; executable ask 0.3600 (market_slug=aec-valorant-fnc-ep-2026-08-07).</t>
        </is>
      </c>
      <c r="AF8" s="31" t="inlineStr">
        <is>
          <t>Config-promoted esports baseline; gates enforced at log time.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Enterprise Esports</t>
        </is>
      </c>
      <c r="AQ8" s="24" t="inlineStr">
        <is>
          <t>Enterprise Esports</t>
        </is>
      </c>
      <c r="AR8" s="24" t="inlineStr">
        <is>
          <t>Enterprise Esports</t>
        </is>
      </c>
      <c r="AS8" s="24" t="inlineStr">
        <is>
          <t>Fnatic</t>
        </is>
      </c>
      <c r="AT8" s="24" t="inlineStr">
        <is>
          <t>Fnatic</t>
        </is>
      </c>
      <c r="AU8" s="24" t="inlineStr">
        <is>
          <t>Fnatic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81f6739aa819ab85b1d04cc8b0c18852e0f247d6e491c0f3ef1b501fc8699698</t>
        </is>
      </c>
      <c r="BB8" s="24" t="inlineStr">
        <is>
          <t>neutral_elo</t>
        </is>
      </c>
      <c r="BC8" s="24" t="inlineStr">
        <is>
          <t>valorant-tiered-elo-v6</t>
        </is>
      </c>
      <c r="BD8" s="24" t="inlineStr">
        <is>
          <t>81f6739aa819ab85b1d04cc8b0c18852e0f247d6e491c0f3ef1b501fc8699698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valorant-tiered-elo-v6</t>
        </is>
      </c>
      <c r="BH8" s="24" t="inlineStr">
        <is>
          <t>2026-08-07T15:23:54.113763Z</t>
        </is>
      </c>
      <c r="BI8" s="24" t="inlineStr">
        <is>
          <t>["same_event","same_team_same_day","same_league_same_day"]</t>
        </is>
      </c>
      <c r="BJ8" s="25" t="n"/>
      <c r="BK8" s="26" t="n">
        <v>178</v>
      </c>
      <c r="BL8" s="27" t="n">
        <v>2.78</v>
      </c>
      <c r="BM8" s="28" t="n">
        <v>0.359712</v>
      </c>
      <c r="BN8" s="28" t="n"/>
      <c r="BO8" s="28" t="n"/>
      <c r="BP8" s="25" t="n"/>
      <c r="BQ8" s="27" t="n">
        <v>2.78</v>
      </c>
      <c r="BR8" s="28" t="n">
        <v>0.36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True</t>
        </is>
      </c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inlineStr">
        <is>
          <t>0.359712</t>
        </is>
      </c>
      <c r="DK8" s="24" t="n"/>
      <c r="DL8" s="24" t="n"/>
      <c r="DM8" s="24" t="n"/>
      <c r="DN8" s="24" t="n"/>
      <c r="DO8" s="24" t="n"/>
      <c r="DP8" s="24" t="n"/>
      <c r="DQ8" s="24" t="n"/>
    </row>
    <row r="9" ht="36" customHeight="1">
      <c r="A9" s="24" t="inlineStr">
        <is>
          <t>e501297caddc4e51</t>
        </is>
      </c>
      <c r="B9" s="24" t="inlineStr">
        <is>
          <t>2026-08-09T17:08:20.055519Z</t>
        </is>
      </c>
      <c r="C9" s="24" t="inlineStr">
        <is>
          <t>2026-08-09T18:00:00Z</t>
        </is>
      </c>
      <c r="D9" s="24" t="inlineStr">
        <is>
          <t>74609</t>
        </is>
      </c>
      <c r="E9" s="24" t="inlineStr">
        <is>
          <t>VALORANT</t>
        </is>
      </c>
      <c r="F9" s="24" t="inlineStr">
        <is>
          <t>Enterprise Esports</t>
        </is>
      </c>
      <c r="G9" s="24" t="inlineStr">
        <is>
          <t>Gentle Mates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150</v>
      </c>
      <c r="M9" s="27" t="n">
        <v>2.5</v>
      </c>
      <c r="N9" s="28" t="n">
        <v>0.4</v>
      </c>
      <c r="O9" s="28" t="n">
        <v>0.804725</v>
      </c>
      <c r="P9" s="28" t="n"/>
      <c r="Q9" s="28" t="n">
        <v>0.404725</v>
      </c>
      <c r="R9" s="26" t="n">
        <v>100</v>
      </c>
      <c r="S9" s="29" t="n">
        <v>2</v>
      </c>
      <c r="T9" s="24" t="inlineStr">
        <is>
          <t>valorant-tiered-elo-v6</t>
        </is>
      </c>
      <c r="U9" s="24" t="inlineStr">
        <is>
          <t>settled</t>
        </is>
      </c>
      <c r="V9" s="24" t="inlineStr">
        <is>
          <t>win</t>
        </is>
      </c>
      <c r="W9" s="26" t="n">
        <v>1</v>
      </c>
      <c r="X9" s="26" t="n">
        <v>0</v>
      </c>
      <c r="Y9" s="25" t="n"/>
      <c r="Z9" s="26" t="n">
        <v>150</v>
      </c>
      <c r="AA9" s="28" t="n">
        <v>0.4</v>
      </c>
      <c r="AB9" s="28" t="n">
        <v>0</v>
      </c>
      <c r="AC9" s="30" t="n">
        <v>3</v>
      </c>
      <c r="AD9" s="24" t="inlineStr">
        <is>
          <t>2026-08-09T20:26:25.086079Z</t>
        </is>
      </c>
      <c r="AE9" s="31" t="inlineStr">
        <is>
          <t>Neutral Elo baseline; executable ask 0.4000 (market_slug=aec-valorant-gm-ep-2026-08-09).</t>
        </is>
      </c>
      <c r="AF9" s="31" t="inlineStr">
        <is>
          <t>Config-promoted esports baseline; gates enforced at log time.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Enterprise Esports</t>
        </is>
      </c>
      <c r="AQ9" s="24" t="inlineStr">
        <is>
          <t>Enterprise Esports</t>
        </is>
      </c>
      <c r="AR9" s="24" t="inlineStr">
        <is>
          <t>Enterprise Esports</t>
        </is>
      </c>
      <c r="AS9" s="24" t="inlineStr">
        <is>
          <t>Gentle Mates</t>
        </is>
      </c>
      <c r="AT9" s="24" t="inlineStr">
        <is>
          <t>Gentle Mates</t>
        </is>
      </c>
      <c r="AU9" s="24" t="inlineStr">
        <is>
          <t>Gentle Mates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43316dd49e7f9b1a20757c6d2b94b720f27a77b2c5fd90af5fff6a8c8dacabc4</t>
        </is>
      </c>
      <c r="BB9" s="24" t="inlineStr">
        <is>
          <t>neutral_elo</t>
        </is>
      </c>
      <c r="BC9" s="24" t="inlineStr">
        <is>
          <t>valorant-tiered-elo-v6</t>
        </is>
      </c>
      <c r="BD9" s="24" t="inlineStr">
        <is>
          <t>43316dd49e7f9b1a20757c6d2b94b720f27a77b2c5fd90af5fff6a8c8dacabc4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valorant-tiered-elo-v6</t>
        </is>
      </c>
      <c r="BH9" s="24" t="inlineStr">
        <is>
          <t>2026-08-09T17:08:10.558137Z</t>
        </is>
      </c>
      <c r="BI9" s="24" t="inlineStr">
        <is>
          <t>["same_event","same_team_same_day","same_league_same_day"]</t>
        </is>
      </c>
      <c r="BJ9" s="25" t="n"/>
      <c r="BK9" s="26" t="n">
        <v>150</v>
      </c>
      <c r="BL9" s="27" t="n">
        <v>2.5</v>
      </c>
      <c r="BM9" s="28" t="n">
        <v>0.4</v>
      </c>
      <c r="BN9" s="28" t="n"/>
      <c r="BO9" s="28" t="n"/>
      <c r="BP9" s="25" t="n"/>
      <c r="BQ9" s="27" t="n">
        <v>2.5</v>
      </c>
      <c r="BR9" s="28" t="n">
        <v>0.4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True</t>
        </is>
      </c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inlineStr">
        <is>
          <t>0.4</t>
        </is>
      </c>
      <c r="DK9" s="24" t="n"/>
      <c r="DL9" s="24" t="n"/>
      <c r="DM9" s="24" t="n"/>
      <c r="DN9" s="24" t="n"/>
      <c r="DO9" s="24" t="n"/>
      <c r="DP9" s="24" t="n"/>
      <c r="DQ9" s="24" t="n"/>
    </row>
    <row r="10" ht="36" customHeight="1">
      <c r="A10" s="24" t="inlineStr">
        <is>
          <t>7ab28900c23e400a</t>
        </is>
      </c>
      <c r="B10" s="24" t="inlineStr">
        <is>
          <t>2026-08-10T16:36:45.039622Z</t>
        </is>
      </c>
      <c r="C10" s="24" t="inlineStr">
        <is>
          <t>2026-08-10T22:00:00Z</t>
        </is>
      </c>
      <c r="D10" s="24" t="inlineStr">
        <is>
          <t>75255</t>
        </is>
      </c>
      <c r="E10" s="24" t="inlineStr">
        <is>
          <t>VALORANT</t>
        </is>
      </c>
      <c r="F10" s="24" t="inlineStr">
        <is>
          <t>Olimpo Gold</t>
        </is>
      </c>
      <c r="G10" s="24" t="inlineStr">
        <is>
          <t>NPC Team</t>
        </is>
      </c>
      <c r="H10" s="24" t="inlineStr">
        <is>
          <t>moneyline</t>
        </is>
      </c>
      <c r="I10" s="24" t="inlineStr">
        <is>
          <t>away</t>
        </is>
      </c>
      <c r="J10" s="25" t="n"/>
      <c r="K10" s="24" t="inlineStr">
        <is>
          <t>polymarket_us</t>
        </is>
      </c>
      <c r="L10" s="26" t="n">
        <v>150</v>
      </c>
      <c r="M10" s="27" t="n">
        <v>2.5</v>
      </c>
      <c r="N10" s="28" t="n">
        <v>0.4</v>
      </c>
      <c r="O10" s="28" t="n">
        <v>0.559409</v>
      </c>
      <c r="P10" s="28" t="n"/>
      <c r="Q10" s="28" t="n">
        <v>0.159409</v>
      </c>
      <c r="R10" s="26" t="n">
        <v>100</v>
      </c>
      <c r="S10" s="29" t="n">
        <v>1</v>
      </c>
      <c r="T10" s="24" t="inlineStr">
        <is>
          <t>valorant-tiered-elo-v6</t>
        </is>
      </c>
      <c r="U10" s="24" t="inlineStr">
        <is>
          <t>settled</t>
        </is>
      </c>
      <c r="V10" s="24" t="inlineStr">
        <is>
          <t>loss</t>
        </is>
      </c>
      <c r="W10" s="26" t="n">
        <v>0</v>
      </c>
      <c r="X10" s="26" t="n">
        <v>1</v>
      </c>
      <c r="Y10" s="25" t="n"/>
      <c r="Z10" s="26" t="n">
        <v>150</v>
      </c>
      <c r="AA10" s="28" t="n">
        <v>0.4</v>
      </c>
      <c r="AB10" s="28" t="n">
        <v>0</v>
      </c>
      <c r="AC10" s="30" t="n">
        <v>-1</v>
      </c>
      <c r="AD10" s="24" t="inlineStr">
        <is>
          <t>2026-08-11T13:09:08.912134Z</t>
        </is>
      </c>
      <c r="AE10" s="31" t="inlineStr">
        <is>
          <t>Neutral Elo baseline; executable ask 0.4000 (market_slug=aec-valorant-ntp-og-2026-08-10).</t>
        </is>
      </c>
      <c r="AF10" s="31" t="inlineStr">
        <is>
          <t>Config-promoted esports baseline; gates enforced at log time.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Olimpo Gold</t>
        </is>
      </c>
      <c r="AQ10" s="24" t="inlineStr">
        <is>
          <t>Olimpo Gold</t>
        </is>
      </c>
      <c r="AR10" s="24" t="inlineStr">
        <is>
          <t>Olimpo Gold</t>
        </is>
      </c>
      <c r="AS10" s="24" t="inlineStr">
        <is>
          <t>NPC Team</t>
        </is>
      </c>
      <c r="AT10" s="24" t="inlineStr">
        <is>
          <t>NPC Team</t>
        </is>
      </c>
      <c r="AU10" s="24" t="inlineStr">
        <is>
          <t>NPC Team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2bc5ea39dc27eb41c7f3cbd9b58da9bee3940cd90f1ffefbd7b6a82f96fdee45</t>
        </is>
      </c>
      <c r="BB10" s="24" t="inlineStr">
        <is>
          <t>neutral_elo</t>
        </is>
      </c>
      <c r="BC10" s="24" t="inlineStr">
        <is>
          <t>valorant-tiered-elo-v6</t>
        </is>
      </c>
      <c r="BD10" s="24" t="inlineStr">
        <is>
          <t>2bc5ea39dc27eb41c7f3cbd9b58da9bee3940cd90f1ffefbd7b6a82f96fdee45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valorant-tiered-elo-v6</t>
        </is>
      </c>
      <c r="BH10" s="24" t="inlineStr">
        <is>
          <t>2026-08-10T16:36:32.706040Z</t>
        </is>
      </c>
      <c r="BI10" s="24" t="inlineStr">
        <is>
          <t>["same_event","same_team_same_day","same_league_same_day"]</t>
        </is>
      </c>
      <c r="BJ10" s="25" t="n"/>
      <c r="BK10" s="26" t="n">
        <v>150</v>
      </c>
      <c r="BL10" s="27" t="n">
        <v>2.5</v>
      </c>
      <c r="BM10" s="28" t="n">
        <v>0.4</v>
      </c>
      <c r="BN10" s="28" t="n"/>
      <c r="BO10" s="28" t="n"/>
      <c r="BP10" s="25" t="n"/>
      <c r="BQ10" s="27" t="n">
        <v>2.5</v>
      </c>
      <c r="BR10" s="28" t="n">
        <v>0.4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True</t>
        </is>
      </c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inlineStr">
        <is>
          <t>0.4</t>
        </is>
      </c>
      <c r="DK10" s="24" t="n"/>
      <c r="DL10" s="24" t="n"/>
      <c r="DM10" s="24" t="n"/>
      <c r="DN10" s="24" t="n"/>
      <c r="DO10" s="24" t="n"/>
      <c r="DP10" s="24" t="n"/>
      <c r="DQ10" s="24" t="n"/>
    </row>
    <row r="11" ht="36" customHeight="1">
      <c r="A11" s="24" t="inlineStr">
        <is>
          <t>eb53910bc62343f1</t>
        </is>
      </c>
      <c r="B11" s="24" t="inlineStr">
        <is>
          <t>2026-08-10T16:36:45.039622Z</t>
        </is>
      </c>
      <c r="C11" s="24" t="inlineStr">
        <is>
          <t>2026-08-11T01:00:00Z</t>
        </is>
      </c>
      <c r="D11" s="24" t="inlineStr">
        <is>
          <t>75257</t>
        </is>
      </c>
      <c r="E11" s="24" t="inlineStr">
        <is>
          <t>VALORANT</t>
        </is>
      </c>
      <c r="F11" s="24" t="inlineStr">
        <is>
          <t>FUSION X</t>
        </is>
      </c>
      <c r="G11" s="24" t="inlineStr">
        <is>
          <t>MYVRA GC</t>
        </is>
      </c>
      <c r="H11" s="24" t="inlineStr">
        <is>
          <t>moneyline</t>
        </is>
      </c>
      <c r="I11" s="24" t="inlineStr">
        <is>
          <t>home</t>
        </is>
      </c>
      <c r="J11" s="25" t="n"/>
      <c r="K11" s="24" t="inlineStr">
        <is>
          <t>polymarket_us</t>
        </is>
      </c>
      <c r="L11" s="26" t="n">
        <v>-178</v>
      </c>
      <c r="M11" s="27" t="n">
        <v>1.561798</v>
      </c>
      <c r="N11" s="28" t="n">
        <v>0.640288</v>
      </c>
      <c r="O11" s="28" t="n">
        <v>0.750891</v>
      </c>
      <c r="P11" s="28" t="n"/>
      <c r="Q11" s="28" t="n">
        <v>0.110603</v>
      </c>
      <c r="R11" s="26" t="n">
        <v>75</v>
      </c>
      <c r="S11" s="29" t="n">
        <v>2</v>
      </c>
      <c r="T11" s="24" t="inlineStr">
        <is>
          <t>valorant-tiered-elo-v6</t>
        </is>
      </c>
      <c r="U11" s="24" t="inlineStr">
        <is>
          <t>settled</t>
        </is>
      </c>
      <c r="V11" s="24" t="inlineStr">
        <is>
          <t>loss</t>
        </is>
      </c>
      <c r="W11" s="26" t="n">
        <v>1</v>
      </c>
      <c r="X11" s="26" t="n">
        <v>0</v>
      </c>
      <c r="Y11" s="25" t="n"/>
      <c r="Z11" s="26" t="n">
        <v>-178</v>
      </c>
      <c r="AA11" s="28" t="n">
        <v>0.64</v>
      </c>
      <c r="AB11" s="28" t="n">
        <v>-0.000288</v>
      </c>
      <c r="AC11" s="30" t="n">
        <v>-2</v>
      </c>
      <c r="AD11" s="24" t="inlineStr">
        <is>
          <t>2026-08-13T05:35:03.453400Z</t>
        </is>
      </c>
      <c r="AE11" s="31" t="inlineStr">
        <is>
          <t>Neutral Elo baseline; executable ask 0.6400 (market_slug=aec-valorant-myvgc-fsnx-2026-08-11).</t>
        </is>
      </c>
      <c r="AF11" s="31" t="inlineStr">
        <is>
          <t>Config-promoted esports baseline; gates enforced at log time.</t>
        </is>
      </c>
      <c r="AG11" s="24" t="inlineStr">
        <is>
          <t>review_required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FUSION X</t>
        </is>
      </c>
      <c r="AQ11" s="24" t="inlineStr">
        <is>
          <t>FUSION X</t>
        </is>
      </c>
      <c r="AR11" s="24" t="inlineStr">
        <is>
          <t>FUSION X</t>
        </is>
      </c>
      <c r="AS11" s="24" t="inlineStr">
        <is>
          <t>MYVRA GC</t>
        </is>
      </c>
      <c r="AT11" s="24" t="inlineStr">
        <is>
          <t>MYVRA GC</t>
        </is>
      </c>
      <c r="AU11" s="24" t="inlineStr">
        <is>
          <t>MYVRA GC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2bc5ea39dc27eb41c7f3cbd9b58da9bee3940cd90f1ffefbd7b6a82f96fdee45</t>
        </is>
      </c>
      <c r="BB11" s="24" t="inlineStr">
        <is>
          <t>neutral_elo</t>
        </is>
      </c>
      <c r="BC11" s="24" t="inlineStr">
        <is>
          <t>valorant-tiered-elo-v6</t>
        </is>
      </c>
      <c r="BD11" s="24" t="inlineStr">
        <is>
          <t>2bc5ea39dc27eb41c7f3cbd9b58da9bee3940cd90f1ffefbd7b6a82f96fdee45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valorant-tiered-elo-v6</t>
        </is>
      </c>
      <c r="BH11" s="24" t="inlineStr">
        <is>
          <t>2026-08-10T16:36:36.768051Z</t>
        </is>
      </c>
      <c r="BI11" s="24" t="inlineStr">
        <is>
          <t>["same_event","same_team_same_day","same_league_same_day"]</t>
        </is>
      </c>
      <c r="BJ11" s="25" t="n"/>
      <c r="BK11" s="26" t="n">
        <v>-178</v>
      </c>
      <c r="BL11" s="27" t="n">
        <v>1.561798</v>
      </c>
      <c r="BM11" s="28" t="n">
        <v>0.640288</v>
      </c>
      <c r="BN11" s="28" t="n"/>
      <c r="BO11" s="28" t="n"/>
      <c r="BP11" s="25" t="n"/>
      <c r="BQ11" s="27" t="n">
        <v>1.561798</v>
      </c>
      <c r="BR11" s="28" t="n">
        <v>0.64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True</t>
        </is>
      </c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inlineStr">
        <is>
          <t>0.640288</t>
        </is>
      </c>
      <c r="DK11" s="24" t="n"/>
      <c r="DL11" s="24" t="n"/>
      <c r="DM11" s="24" t="n"/>
      <c r="DN11" s="24" t="n"/>
      <c r="DO11" s="24" t="n"/>
      <c r="DP11" s="24" t="n"/>
      <c r="DQ11" s="24" t="n"/>
    </row>
    <row r="12" ht="36" customHeight="1">
      <c r="A12" s="24" t="inlineStr">
        <is>
          <t>ad7e3212cc9a4377</t>
        </is>
      </c>
      <c r="B12" s="24" t="inlineStr">
        <is>
          <t>2026-08-10T16:36:45.039622Z</t>
        </is>
      </c>
      <c r="C12" s="24" t="inlineStr">
        <is>
          <t>2026-08-11T10:00:00Z</t>
        </is>
      </c>
      <c r="D12" s="24" t="inlineStr">
        <is>
          <t>77309</t>
        </is>
      </c>
      <c r="E12" s="24" t="inlineStr">
        <is>
          <t>VALORANT</t>
        </is>
      </c>
      <c r="F12" s="24" t="inlineStr">
        <is>
          <t>Dragon Ranger Gaming</t>
        </is>
      </c>
      <c r="G12" s="24" t="inlineStr">
        <is>
          <t>Trace Esports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156</v>
      </c>
      <c r="M12" s="27" t="n">
        <v>2.56</v>
      </c>
      <c r="N12" s="28" t="n">
        <v>0.390625</v>
      </c>
      <c r="O12" s="28" t="n">
        <v>0.521278</v>
      </c>
      <c r="P12" s="28" t="n"/>
      <c r="Q12" s="28" t="n">
        <v>0.130653</v>
      </c>
      <c r="R12" s="26" t="n">
        <v>85</v>
      </c>
      <c r="S12" s="29" t="n">
        <v>1</v>
      </c>
      <c r="T12" s="24" t="inlineStr">
        <is>
          <t>valorant-tiered-elo-v6</t>
        </is>
      </c>
      <c r="U12" s="24" t="inlineStr">
        <is>
          <t>settled</t>
        </is>
      </c>
      <c r="V12" s="24" t="inlineStr">
        <is>
          <t>win</t>
        </is>
      </c>
      <c r="W12" s="26" t="n">
        <v>0</v>
      </c>
      <c r="X12" s="26" t="n">
        <v>1</v>
      </c>
      <c r="Y12" s="25" t="n"/>
      <c r="Z12" s="26" t="n"/>
      <c r="AA12" s="28" t="n"/>
      <c r="AB12" s="28" t="n"/>
      <c r="AC12" s="30" t="n">
        <v>1.56</v>
      </c>
      <c r="AD12" s="24" t="inlineStr">
        <is>
          <t>2026-08-11T16:30:37.306342Z</t>
        </is>
      </c>
      <c r="AE12" s="31" t="inlineStr">
        <is>
          <t>Neutral Elo baseline; executable ask 0.3900 (market_slug=aec-valorant-te-drg-2026-08-11).</t>
        </is>
      </c>
      <c r="AF12" s="31" t="inlineStr">
        <is>
          <t>Config-promoted esports baseline; gates enforced at log time.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Dragon Ranger Gaming</t>
        </is>
      </c>
      <c r="AQ12" s="24" t="inlineStr">
        <is>
          <t>Dragon Ranger Gaming</t>
        </is>
      </c>
      <c r="AR12" s="24" t="inlineStr">
        <is>
          <t>Dragon Ranger Gaming</t>
        </is>
      </c>
      <c r="AS12" s="24" t="inlineStr">
        <is>
          <t>Trace Esports</t>
        </is>
      </c>
      <c r="AT12" s="24" t="inlineStr">
        <is>
          <t>Trace Esports</t>
        </is>
      </c>
      <c r="AU12" s="24" t="inlineStr">
        <is>
          <t>Trace Esports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2bc5ea39dc27eb41c7f3cbd9b58da9bee3940cd90f1ffefbd7b6a82f96fdee45</t>
        </is>
      </c>
      <c r="BB12" s="24" t="inlineStr">
        <is>
          <t>neutral_elo</t>
        </is>
      </c>
      <c r="BC12" s="24" t="inlineStr">
        <is>
          <t>valorant-tiered-elo-v6</t>
        </is>
      </c>
      <c r="BD12" s="24" t="inlineStr">
        <is>
          <t>2bc5ea39dc27eb41c7f3cbd9b58da9bee3940cd90f1ffefbd7b6a82f96fdee45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valorant-tiered-elo-v6</t>
        </is>
      </c>
      <c r="BH12" s="24" t="inlineStr">
        <is>
          <t>2026-08-10T16:36:39.099981Z</t>
        </is>
      </c>
      <c r="BI12" s="24" t="inlineStr">
        <is>
          <t>["same_event","same_team_same_day","same_league_same_day"]</t>
        </is>
      </c>
      <c r="BJ12" s="25" t="n"/>
      <c r="BK12" s="26" t="n">
        <v>156</v>
      </c>
      <c r="BL12" s="27" t="n">
        <v>2.56</v>
      </c>
      <c r="BM12" s="28" t="n">
        <v>0.390625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True</t>
        </is>
      </c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inlineStr">
        <is>
          <t>0.390625</t>
        </is>
      </c>
      <c r="DK12" s="24" t="n"/>
      <c r="DL12" s="24" t="n"/>
      <c r="DM12" s="24" t="n"/>
      <c r="DN12" s="24" t="n"/>
      <c r="DO12" s="24" t="n"/>
      <c r="DP12" s="24" t="n"/>
      <c r="DQ12" s="24" t="n"/>
    </row>
    <row r="13" ht="36" customHeight="1">
      <c r="A13" s="24" t="inlineStr">
        <is>
          <t>cf3f1e94a7fd4909</t>
        </is>
      </c>
      <c r="B13" s="24" t="inlineStr">
        <is>
          <t>2026-08-12T14:37:16.864247Z</t>
        </is>
      </c>
      <c r="C13" s="24" t="inlineStr">
        <is>
          <t>2026-08-12T15:00:00Z</t>
        </is>
      </c>
      <c r="D13" s="24" t="inlineStr">
        <is>
          <t>76905</t>
        </is>
      </c>
      <c r="E13" s="24" t="inlineStr">
        <is>
          <t>VALORANT</t>
        </is>
      </c>
      <c r="F13" s="24" t="inlineStr">
        <is>
          <t>Gentle Mates</t>
        </is>
      </c>
      <c r="G13" s="24" t="inlineStr">
        <is>
          <t>Eintracht Frankfurt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223</v>
      </c>
      <c r="M13" s="27" t="n">
        <v>3.23</v>
      </c>
      <c r="N13" s="28" t="n">
        <v>0.309598</v>
      </c>
      <c r="O13" s="28" t="n">
        <v>0.601267</v>
      </c>
      <c r="P13" s="28" t="n"/>
      <c r="Q13" s="28" t="n">
        <v>0.291669</v>
      </c>
      <c r="R13" s="26" t="n">
        <v>100</v>
      </c>
      <c r="S13" s="29" t="n">
        <v>1.25</v>
      </c>
      <c r="T13" s="24" t="inlineStr">
        <is>
          <t>valorant-tiered-elo-v6</t>
        </is>
      </c>
      <c r="U13" s="24" t="inlineStr">
        <is>
          <t>settled</t>
        </is>
      </c>
      <c r="V13" s="24" t="inlineStr">
        <is>
          <t>win</t>
        </is>
      </c>
      <c r="W13" s="26" t="n">
        <v>0</v>
      </c>
      <c r="X13" s="26" t="n">
        <v>1</v>
      </c>
      <c r="Y13" s="25" t="n"/>
      <c r="Z13" s="26" t="n">
        <v>223</v>
      </c>
      <c r="AA13" s="28" t="n">
        <v>0.31</v>
      </c>
      <c r="AB13" s="28" t="n">
        <v>0.000402</v>
      </c>
      <c r="AC13" s="30" t="n">
        <v>2.7875</v>
      </c>
      <c r="AD13" s="24" t="inlineStr">
        <is>
          <t>2026-08-12T17:41:06.337138Z</t>
        </is>
      </c>
      <c r="AE13" s="31" t="inlineStr">
        <is>
          <t>Neutral Elo baseline; executable ask 0.3100 (market_slug=aec-valorant-sge-gm-2026-08-12).</t>
        </is>
      </c>
      <c r="AF13" s="31" t="inlineStr">
        <is>
          <t>Config-promoted esports baseline; gates enforced at log time.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Gentle Mates</t>
        </is>
      </c>
      <c r="AQ13" s="24" t="inlineStr">
        <is>
          <t>Gentle Mates</t>
        </is>
      </c>
      <c r="AR13" s="24" t="inlineStr">
        <is>
          <t>Gentle Mates</t>
        </is>
      </c>
      <c r="AS13" s="24" t="inlineStr">
        <is>
          <t>Eintracht Frankfurt</t>
        </is>
      </c>
      <c r="AT13" s="24" t="inlineStr">
        <is>
          <t>Eintracht Frankfurt</t>
        </is>
      </c>
      <c r="AU13" s="24" t="inlineStr">
        <is>
          <t>Eintracht Frankfurt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544d1cd34df6c8d22913af55b6e1b019f8a76a060474a2450daa185b339b6d8d</t>
        </is>
      </c>
      <c r="BB13" s="24" t="inlineStr">
        <is>
          <t>neutral_elo</t>
        </is>
      </c>
      <c r="BC13" s="24" t="inlineStr">
        <is>
          <t>valorant-tiered-elo-v6</t>
        </is>
      </c>
      <c r="BD13" s="24" t="inlineStr">
        <is>
          <t>544d1cd34df6c8d22913af55b6e1b019f8a76a060474a2450daa185b339b6d8d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valorant-tiered-elo-v6</t>
        </is>
      </c>
      <c r="BH13" s="24" t="inlineStr">
        <is>
          <t>2026-08-12T14:37:09.887094Z</t>
        </is>
      </c>
      <c r="BI13" s="24" t="inlineStr">
        <is>
          <t>["same_event","same_team_same_day","same_league_same_day"]</t>
        </is>
      </c>
      <c r="BJ13" s="25" t="n"/>
      <c r="BK13" s="26" t="n">
        <v>223</v>
      </c>
      <c r="BL13" s="27" t="n">
        <v>3.23</v>
      </c>
      <c r="BM13" s="28" t="n">
        <v>0.309598</v>
      </c>
      <c r="BN13" s="28" t="n"/>
      <c r="BO13" s="28" t="n"/>
      <c r="BP13" s="25" t="n"/>
      <c r="BQ13" s="27" t="n">
        <v>3.23</v>
      </c>
      <c r="BR13" s="28" t="n">
        <v>0.31</v>
      </c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True</t>
        </is>
      </c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inlineStr">
        <is>
          <t>0.309598</t>
        </is>
      </c>
      <c r="DK13" s="24" t="n"/>
      <c r="DL13" s="24" t="n"/>
      <c r="DM13" s="24" t="n"/>
      <c r="DN13" s="24" t="n"/>
      <c r="DO13" s="24" t="n"/>
      <c r="DP13" s="24" t="n"/>
      <c r="DQ13" s="24" t="n"/>
    </row>
    <row r="14" ht="36" customHeight="1">
      <c r="A14" s="24" t="inlineStr">
        <is>
          <t>57e3e8d6743c492f</t>
        </is>
      </c>
      <c r="B14" s="24" t="inlineStr">
        <is>
          <t>2026-08-12T17:44:36.247336Z</t>
        </is>
      </c>
      <c r="C14" s="24" t="inlineStr">
        <is>
          <t>2026-08-12T18:00:00Z</t>
        </is>
      </c>
      <c r="D14" s="24" t="inlineStr">
        <is>
          <t>76535</t>
        </is>
      </c>
      <c r="E14" s="24" t="inlineStr">
        <is>
          <t>VALORANT</t>
        </is>
      </c>
      <c r="F14" s="24" t="inlineStr">
        <is>
          <t>Natus Vincere</t>
        </is>
      </c>
      <c r="G14" s="24" t="inlineStr">
        <is>
          <t>Team Heretics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-138</v>
      </c>
      <c r="M14" s="27" t="n">
        <v>1.724638</v>
      </c>
      <c r="N14" s="28" t="n">
        <v>0.579832</v>
      </c>
      <c r="O14" s="28" t="n">
        <v>0.642814</v>
      </c>
      <c r="P14" s="28" t="n"/>
      <c r="Q14" s="28" t="n">
        <v>0.062982</v>
      </c>
      <c r="R14" s="26" t="n">
        <v>51</v>
      </c>
      <c r="S14" s="29" t="n">
        <v>1.5</v>
      </c>
      <c r="T14" s="24" t="inlineStr">
        <is>
          <t>valorant-tiered-elo-v6</t>
        </is>
      </c>
      <c r="U14" s="24" t="inlineStr">
        <is>
          <t>settled</t>
        </is>
      </c>
      <c r="V14" s="24" t="inlineStr">
        <is>
          <t>win</t>
        </is>
      </c>
      <c r="W14" s="26" t="n">
        <v>0</v>
      </c>
      <c r="X14" s="26" t="n">
        <v>1</v>
      </c>
      <c r="Y14" s="25" t="n"/>
      <c r="Z14" s="26" t="n">
        <v>-138</v>
      </c>
      <c r="AA14" s="28" t="n">
        <v>0.58</v>
      </c>
      <c r="AB14" s="28" t="n">
        <v>0.000168</v>
      </c>
      <c r="AC14" s="30" t="n">
        <v>1.087</v>
      </c>
      <c r="AD14" s="24" t="inlineStr">
        <is>
          <t>2026-08-12T21:16:01.922323Z</t>
        </is>
      </c>
      <c r="AE14" s="31" t="inlineStr">
        <is>
          <t>Neutral Elo baseline; executable ask 0.5800 (market_slug=aec-valorant-th-navi-2026-08-12).</t>
        </is>
      </c>
      <c r="AF14" s="31" t="inlineStr">
        <is>
          <t>Config-promoted esports baseline; gates enforced at log time.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Natus Vincere</t>
        </is>
      </c>
      <c r="AQ14" s="24" t="inlineStr">
        <is>
          <t>Natus Vincere</t>
        </is>
      </c>
      <c r="AR14" s="24" t="inlineStr">
        <is>
          <t>Natus Vincere</t>
        </is>
      </c>
      <c r="AS14" s="24" t="inlineStr">
        <is>
          <t>Team Heretics</t>
        </is>
      </c>
      <c r="AT14" s="24" t="inlineStr">
        <is>
          <t>Team Heretics</t>
        </is>
      </c>
      <c r="AU14" s="24" t="inlineStr">
        <is>
          <t>Team Heretics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3e30c9a8fb6f01c0c89924e36259c4ce725d15ed0ed8c2c80c389169eabcc95f</t>
        </is>
      </c>
      <c r="BB14" s="24" t="inlineStr">
        <is>
          <t>neutral_elo</t>
        </is>
      </c>
      <c r="BC14" s="24" t="inlineStr">
        <is>
          <t>valorant-tiered-elo-v6</t>
        </is>
      </c>
      <c r="BD14" s="24" t="inlineStr">
        <is>
          <t>3e30c9a8fb6f01c0c89924e36259c4ce725d15ed0ed8c2c80c389169eabcc95f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valorant-tiered-elo-v6</t>
        </is>
      </c>
      <c r="BH14" s="24" t="inlineStr">
        <is>
          <t>2026-08-12T17:44:26.441713Z</t>
        </is>
      </c>
      <c r="BI14" s="24" t="inlineStr">
        <is>
          <t>["same_event","same_team_same_day","same_league_same_day"]</t>
        </is>
      </c>
      <c r="BJ14" s="25" t="n"/>
      <c r="BK14" s="26" t="n">
        <v>-138</v>
      </c>
      <c r="BL14" s="27" t="n">
        <v>1.724638</v>
      </c>
      <c r="BM14" s="28" t="n">
        <v>0.579832</v>
      </c>
      <c r="BN14" s="28" t="n"/>
      <c r="BO14" s="28" t="n"/>
      <c r="BP14" s="25" t="n"/>
      <c r="BQ14" s="27" t="n">
        <v>1.724638</v>
      </c>
      <c r="BR14" s="28" t="n">
        <v>0.58</v>
      </c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True</t>
        </is>
      </c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inlineStr">
        <is>
          <t>0.579832</t>
        </is>
      </c>
      <c r="DK14" s="24" t="n"/>
      <c r="DL14" s="24" t="n"/>
      <c r="DM14" s="24" t="n"/>
      <c r="DN14" s="24" t="n"/>
      <c r="DO14" s="24" t="n"/>
      <c r="DP14" s="24" t="n"/>
      <c r="DQ14" s="24" t="n"/>
    </row>
    <row r="15" ht="36" customHeight="1">
      <c r="A15" s="24" t="inlineStr">
        <is>
          <t>f12c407eb5fa422e</t>
        </is>
      </c>
      <c r="B15" s="24" t="inlineStr">
        <is>
          <t>2026-08-12T21:33:44.211826Z</t>
        </is>
      </c>
      <c r="C15" s="24" t="inlineStr">
        <is>
          <t>2026-08-12T23:30:00Z</t>
        </is>
      </c>
      <c r="D15" s="24" t="inlineStr">
        <is>
          <t>78205</t>
        </is>
      </c>
      <c r="E15" s="24" t="inlineStr">
        <is>
          <t>VALORANT</t>
        </is>
      </c>
      <c r="F15" s="24" t="inlineStr">
        <is>
          <t>The Spiders</t>
        </is>
      </c>
      <c r="G15" s="24" t="inlineStr">
        <is>
          <t>MVSK Secret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203</v>
      </c>
      <c r="M15" s="27" t="n">
        <v>3.03</v>
      </c>
      <c r="N15" s="28" t="n">
        <v>0.330033</v>
      </c>
      <c r="O15" s="28" t="n">
        <v>0.519894</v>
      </c>
      <c r="P15" s="28" t="n"/>
      <c r="Q15" s="28" t="n">
        <v>0.189861</v>
      </c>
      <c r="R15" s="26" t="n">
        <v>100</v>
      </c>
      <c r="S15" s="29" t="n">
        <v>1</v>
      </c>
      <c r="T15" s="24" t="inlineStr">
        <is>
          <t>valorant-tiered-elo-v6</t>
        </is>
      </c>
      <c r="U15" s="24" t="inlineStr">
        <is>
          <t>settled</t>
        </is>
      </c>
      <c r="V15" s="24" t="inlineStr">
        <is>
          <t>loss</t>
        </is>
      </c>
      <c r="W15" s="26" t="n">
        <v>1</v>
      </c>
      <c r="X15" s="26" t="n">
        <v>0</v>
      </c>
      <c r="Y15" s="25" t="n"/>
      <c r="Z15" s="26" t="n">
        <v>203</v>
      </c>
      <c r="AA15" s="28" t="n">
        <v>0.33</v>
      </c>
      <c r="AB15" s="28" t="n">
        <v>-3.3e-05</v>
      </c>
      <c r="AC15" s="30" t="n">
        <v>-1</v>
      </c>
      <c r="AD15" s="24" t="inlineStr">
        <is>
          <t>2026-08-13T05:35:04.870447Z</t>
        </is>
      </c>
      <c r="AE15" s="31" t="inlineStr">
        <is>
          <t>Neutral Elo baseline; executable ask 0.3300 (market_slug=aec-valorant-mvs-spi-2026-08-12).</t>
        </is>
      </c>
      <c r="AF15" s="31" t="inlineStr">
        <is>
          <t>Config-promoted esports baseline; gates enforced at log time.</t>
        </is>
      </c>
      <c r="AG15" s="24" t="inlineStr">
        <is>
          <t>review_required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The Spiders</t>
        </is>
      </c>
      <c r="AQ15" s="24" t="inlineStr">
        <is>
          <t>The Spiders</t>
        </is>
      </c>
      <c r="AR15" s="24" t="inlineStr">
        <is>
          <t>The Spiders</t>
        </is>
      </c>
      <c r="AS15" s="24" t="inlineStr">
        <is>
          <t>MVSK Secret</t>
        </is>
      </c>
      <c r="AT15" s="24" t="inlineStr">
        <is>
          <t>MVSK Secret</t>
        </is>
      </c>
      <c r="AU15" s="24" t="inlineStr">
        <is>
          <t>MVSK Secret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b58416f26420ee9d55d05ce1518c442566f4b73f4e41b9531abbe4559267bbea</t>
        </is>
      </c>
      <c r="BB15" s="24" t="inlineStr">
        <is>
          <t>neutral_elo</t>
        </is>
      </c>
      <c r="BC15" s="24" t="inlineStr">
        <is>
          <t>valorant-tiered-elo-v6</t>
        </is>
      </c>
      <c r="BD15" s="24" t="inlineStr">
        <is>
          <t>b58416f26420ee9d55d05ce1518c442566f4b73f4e41b9531abbe4559267bbea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valorant-tiered-elo-v6</t>
        </is>
      </c>
      <c r="BH15" s="24" t="inlineStr">
        <is>
          <t>2026-08-12T21:33:38.241347Z</t>
        </is>
      </c>
      <c r="BI15" s="24" t="inlineStr">
        <is>
          <t>["same_event","same_team_same_day","same_league_same_day"]</t>
        </is>
      </c>
      <c r="BJ15" s="25" t="n"/>
      <c r="BK15" s="26" t="n">
        <v>203</v>
      </c>
      <c r="BL15" s="27" t="n">
        <v>3.03</v>
      </c>
      <c r="BM15" s="28" t="n">
        <v>0.330033</v>
      </c>
      <c r="BN15" s="28" t="n"/>
      <c r="BO15" s="28" t="n"/>
      <c r="BP15" s="25" t="n"/>
      <c r="BQ15" s="27" t="n">
        <v>3.03</v>
      </c>
      <c r="BR15" s="28" t="n">
        <v>0.33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True</t>
        </is>
      </c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inlineStr">
        <is>
          <t>0.330033</t>
        </is>
      </c>
      <c r="DK15" s="24" t="n"/>
      <c r="DL15" s="24" t="n"/>
      <c r="DM15" s="24" t="n"/>
      <c r="DN15" s="24" t="n"/>
      <c r="DO15" s="24" t="n"/>
      <c r="DP15" s="24" t="n"/>
      <c r="DQ15" s="24" t="n"/>
    </row>
    <row r="16" ht="36" customHeight="1">
      <c r="A16" s="24" t="inlineStr">
        <is>
          <t>ac40560f7d5149c4</t>
        </is>
      </c>
      <c r="B16" s="24" t="inlineStr">
        <is>
          <t>2026-08-12T21:33:44.211826Z</t>
        </is>
      </c>
      <c r="C16" s="24" t="inlineStr">
        <is>
          <t>2026-08-14T00:00:00Z</t>
        </is>
      </c>
      <c r="D16" s="24" t="inlineStr">
        <is>
          <t>78063</t>
        </is>
      </c>
      <c r="E16" s="24" t="inlineStr">
        <is>
          <t>VALORANT</t>
        </is>
      </c>
      <c r="F16" s="24" t="inlineStr">
        <is>
          <t>M80</t>
        </is>
      </c>
      <c r="G16" s="24" t="inlineStr">
        <is>
          <t>Team Envy</t>
        </is>
      </c>
      <c r="H16" s="24" t="inlineStr">
        <is>
          <t>moneyline</t>
        </is>
      </c>
      <c r="I16" s="24" t="inlineStr">
        <is>
          <t>away</t>
        </is>
      </c>
      <c r="J16" s="25" t="n"/>
      <c r="K16" s="24" t="inlineStr">
        <is>
          <t>polymarket_us</t>
        </is>
      </c>
      <c r="L16" s="26" t="n">
        <v>-144</v>
      </c>
      <c r="M16" s="27" t="n">
        <v>1.694444</v>
      </c>
      <c r="N16" s="28" t="n">
        <v>0.590164</v>
      </c>
      <c r="O16" s="28" t="n">
        <v>0.7639010000000001</v>
      </c>
      <c r="P16" s="28" t="n"/>
      <c r="Q16" s="28" t="n">
        <v>0.173737</v>
      </c>
      <c r="R16" s="26" t="n">
        <v>100</v>
      </c>
      <c r="S16" s="29" t="n">
        <v>2</v>
      </c>
      <c r="T16" s="24" t="inlineStr">
        <is>
          <t>valorant-tiered-elo-v6</t>
        </is>
      </c>
      <c r="U16" s="24" t="inlineStr">
        <is>
          <t>settled</t>
        </is>
      </c>
      <c r="V16" s="24" t="inlineStr">
        <is>
          <t>loss</t>
        </is>
      </c>
      <c r="W16" s="26" t="n">
        <v>0</v>
      </c>
      <c r="X16" s="26" t="n">
        <v>1</v>
      </c>
      <c r="Y16" s="25" t="n"/>
      <c r="Z16" s="26" t="n">
        <v>-150</v>
      </c>
      <c r="AA16" s="28" t="n">
        <v>0.6</v>
      </c>
      <c r="AB16" s="28" t="n">
        <v>0.009835999999999999</v>
      </c>
      <c r="AC16" s="30" t="n">
        <v>-2</v>
      </c>
      <c r="AD16" s="24" t="inlineStr">
        <is>
          <t>2026-08-14T02:23:13.160526Z</t>
        </is>
      </c>
      <c r="AE16" s="31" t="inlineStr">
        <is>
          <t>Neutral Elo baseline; executable ask 0.5900 (market_slug=aec-valorant-nv-m80-2026-08-14).</t>
        </is>
      </c>
      <c r="AF16" s="31" t="inlineStr">
        <is>
          <t>Config-promoted esports baseline; gates enforced at log time.</t>
        </is>
      </c>
      <c r="AG16" s="24" t="inlineStr">
        <is>
          <t>review_required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3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M80</t>
        </is>
      </c>
      <c r="AQ16" s="24" t="inlineStr">
        <is>
          <t>M80</t>
        </is>
      </c>
      <c r="AR16" s="24" t="inlineStr">
        <is>
          <t>M80</t>
        </is>
      </c>
      <c r="AS16" s="24" t="inlineStr">
        <is>
          <t>Team Envy</t>
        </is>
      </c>
      <c r="AT16" s="24" t="inlineStr">
        <is>
          <t>Team Envy</t>
        </is>
      </c>
      <c r="AU16" s="24" t="inlineStr">
        <is>
          <t>Team Envy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b58416f26420ee9d55d05ce1518c442566f4b73f4e41b9531abbe4559267bbea</t>
        </is>
      </c>
      <c r="BB16" s="24" t="inlineStr">
        <is>
          <t>neutral_elo</t>
        </is>
      </c>
      <c r="BC16" s="24" t="inlineStr">
        <is>
          <t>valorant-tiered-elo-v6</t>
        </is>
      </c>
      <c r="BD16" s="24" t="inlineStr">
        <is>
          <t>b58416f26420ee9d55d05ce1518c442566f4b73f4e41b9531abbe4559267bbea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valorant-tiered-elo-v6</t>
        </is>
      </c>
      <c r="BH16" s="24" t="inlineStr">
        <is>
          <t>2026-08-12T21:33:44.207376Z</t>
        </is>
      </c>
      <c r="BI16" s="24" t="inlineStr">
        <is>
          <t>["same_event","same_team_same_day","same_league_same_day"]</t>
        </is>
      </c>
      <c r="BJ16" s="25" t="n"/>
      <c r="BK16" s="26" t="n">
        <v>-144</v>
      </c>
      <c r="BL16" s="27" t="n">
        <v>1.694444</v>
      </c>
      <c r="BM16" s="28" t="n">
        <v>0.590164</v>
      </c>
      <c r="BN16" s="28" t="n"/>
      <c r="BO16" s="28" t="n"/>
      <c r="BP16" s="25" t="n"/>
      <c r="BQ16" s="27" t="n">
        <v>1.666667</v>
      </c>
      <c r="BR16" s="28" t="n">
        <v>0.6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True</t>
        </is>
      </c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inlineStr">
        <is>
          <t>0.590164</t>
        </is>
      </c>
      <c r="DK16" s="24" t="n"/>
      <c r="DL16" s="24" t="n"/>
      <c r="DM16" s="24" t="n"/>
      <c r="DN16" s="24" t="n"/>
      <c r="DO16" s="24" t="n"/>
      <c r="DP16" s="24" t="n"/>
      <c r="DQ16" s="24" t="n"/>
    </row>
    <row r="17" ht="36" customHeight="1">
      <c r="A17" s="24" t="inlineStr">
        <is>
          <t>04690384ff704ac0</t>
        </is>
      </c>
      <c r="B17" s="24" t="inlineStr">
        <is>
          <t>2026-08-13T07:33:38.167763Z</t>
        </is>
      </c>
      <c r="C17" s="24" t="inlineStr">
        <is>
          <t>2026-08-13T08:00:00Z</t>
        </is>
      </c>
      <c r="D17" s="24" t="inlineStr">
        <is>
          <t>77171</t>
        </is>
      </c>
      <c r="E17" s="24" t="inlineStr">
        <is>
          <t>VALORANT</t>
        </is>
      </c>
      <c r="F17" s="24" t="inlineStr">
        <is>
          <t>ONSIDE GAMING</t>
        </is>
      </c>
      <c r="G17" s="24" t="inlineStr">
        <is>
          <t>Kiwoom DRX</t>
        </is>
      </c>
      <c r="H17" s="24" t="inlineStr">
        <is>
          <t>moneyline</t>
        </is>
      </c>
      <c r="I17" s="24" t="inlineStr">
        <is>
          <t>away</t>
        </is>
      </c>
      <c r="J17" s="25" t="n"/>
      <c r="K17" s="24" t="inlineStr">
        <is>
          <t>polymarket_us</t>
        </is>
      </c>
      <c r="L17" s="26" t="n">
        <v>122</v>
      </c>
      <c r="M17" s="27" t="n">
        <v>2.22</v>
      </c>
      <c r="N17" s="28" t="n">
        <v>0.45045</v>
      </c>
      <c r="O17" s="28" t="n">
        <v>0.577877</v>
      </c>
      <c r="P17" s="28" t="n"/>
      <c r="Q17" s="28" t="n">
        <v>0.127427</v>
      </c>
      <c r="R17" s="26" t="n">
        <v>84</v>
      </c>
      <c r="S17" s="29" t="n">
        <v>1.25</v>
      </c>
      <c r="T17" s="24" t="inlineStr">
        <is>
          <t>valorant-tiered-elo-v6</t>
        </is>
      </c>
      <c r="U17" s="24" t="inlineStr">
        <is>
          <t>settled</t>
        </is>
      </c>
      <c r="V17" s="24" t="inlineStr">
        <is>
          <t>loss</t>
        </is>
      </c>
      <c r="W17" s="26" t="n">
        <v>0</v>
      </c>
      <c r="X17" s="26" t="n">
        <v>1</v>
      </c>
      <c r="Y17" s="25" t="n"/>
      <c r="Z17" s="26" t="n">
        <v>122</v>
      </c>
      <c r="AA17" s="28" t="n">
        <v>0.45</v>
      </c>
      <c r="AB17" s="28" t="n">
        <v>-0.00045</v>
      </c>
      <c r="AC17" s="30" t="n">
        <v>-1.25</v>
      </c>
      <c r="AD17" s="24" t="inlineStr">
        <is>
          <t>2026-08-13T10:07:19.927616Z</t>
        </is>
      </c>
      <c r="AE17" s="31" t="inlineStr">
        <is>
          <t>Neutral Elo baseline; executable ask 0.4500 (market_slug=aec-valorant-krx-osg-2026-08-13).</t>
        </is>
      </c>
      <c r="AF17" s="31" t="inlineStr">
        <is>
          <t>Config-promoted esports baseline; gates enforced at log time.</t>
        </is>
      </c>
      <c r="AG17" s="24" t="inlineStr">
        <is>
          <t>review_required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3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ONSIDE GAMING</t>
        </is>
      </c>
      <c r="AQ17" s="24" t="inlineStr">
        <is>
          <t>ONSIDE GAMING</t>
        </is>
      </c>
      <c r="AR17" s="24" t="inlineStr">
        <is>
          <t>ONSIDE GAMING</t>
        </is>
      </c>
      <c r="AS17" s="24" t="inlineStr">
        <is>
          <t>Kiwoom DRX</t>
        </is>
      </c>
      <c r="AT17" s="24" t="inlineStr">
        <is>
          <t>Kiwoom DRX</t>
        </is>
      </c>
      <c r="AU17" s="24" t="inlineStr">
        <is>
          <t>Kiwoom DRX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9a4dfa85f36adcfca5ea0511c0f369e0181e4aa5804896696079fbe36b54d3d2</t>
        </is>
      </c>
      <c r="BB17" s="24" t="inlineStr">
        <is>
          <t>neutral_elo</t>
        </is>
      </c>
      <c r="BC17" s="24" t="inlineStr">
        <is>
          <t>valorant-tiered-elo-v6</t>
        </is>
      </c>
      <c r="BD17" s="24" t="inlineStr">
        <is>
          <t>9a4dfa85f36adcfca5ea0511c0f369e0181e4aa5804896696079fbe36b54d3d2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valorant-tiered-elo-v6</t>
        </is>
      </c>
      <c r="BH17" s="24" t="inlineStr">
        <is>
          <t>2026-08-13T07:33:28.262454Z</t>
        </is>
      </c>
      <c r="BI17" s="24" t="inlineStr">
        <is>
          <t>["same_event","same_team_same_day","same_league_same_day"]</t>
        </is>
      </c>
      <c r="BJ17" s="25" t="n"/>
      <c r="BK17" s="26" t="n">
        <v>122</v>
      </c>
      <c r="BL17" s="27" t="n">
        <v>2.22</v>
      </c>
      <c r="BM17" s="28" t="n">
        <v>0.45045</v>
      </c>
      <c r="BN17" s="28" t="n"/>
      <c r="BO17" s="28" t="n"/>
      <c r="BP17" s="25" t="n"/>
      <c r="BQ17" s="27" t="n">
        <v>2.22</v>
      </c>
      <c r="BR17" s="28" t="n">
        <v>0.45</v>
      </c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True</t>
        </is>
      </c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inlineStr">
        <is>
          <t>0.45045</t>
        </is>
      </c>
      <c r="DK17" s="24" t="n"/>
      <c r="DL17" s="24" t="n"/>
      <c r="DM17" s="24" t="n"/>
      <c r="DN17" s="24" t="n"/>
      <c r="DO17" s="24" t="n"/>
      <c r="DP17" s="24" t="n"/>
      <c r="DQ17" s="24" t="n"/>
    </row>
    <row r="18" ht="36" customHeight="1">
      <c r="A18" s="24" t="inlineStr">
        <is>
          <t>1482f36956e24813</t>
        </is>
      </c>
      <c r="B18" s="24" t="inlineStr">
        <is>
          <t>2026-08-13T10:40:22.988810Z</t>
        </is>
      </c>
      <c r="C18" s="24" t="inlineStr">
        <is>
          <t>2026-08-13T11:00:00Z</t>
        </is>
      </c>
      <c r="D18" s="24" t="inlineStr">
        <is>
          <t>77227</t>
        </is>
      </c>
      <c r="E18" s="24" t="inlineStr">
        <is>
          <t>VALORANT</t>
        </is>
      </c>
      <c r="F18" s="24" t="inlineStr">
        <is>
          <t>Sharper Esport</t>
        </is>
      </c>
      <c r="G18" s="24" t="inlineStr">
        <is>
          <t>Rex Regum Qeon</t>
        </is>
      </c>
      <c r="H18" s="24" t="inlineStr">
        <is>
          <t>moneyline</t>
        </is>
      </c>
      <c r="I18" s="24" t="inlineStr">
        <is>
          <t>away</t>
        </is>
      </c>
      <c r="J18" s="25" t="n"/>
      <c r="K18" s="24" t="inlineStr">
        <is>
          <t>polymarket_us</t>
        </is>
      </c>
      <c r="L18" s="26" t="n">
        <v>178</v>
      </c>
      <c r="M18" s="27" t="n">
        <v>2.78</v>
      </c>
      <c r="N18" s="28" t="n">
        <v>0.359712</v>
      </c>
      <c r="O18" s="28" t="n">
        <v>0.5357769999999999</v>
      </c>
      <c r="P18" s="28" t="n"/>
      <c r="Q18" s="28" t="n">
        <v>0.176065</v>
      </c>
      <c r="R18" s="26" t="n">
        <v>100</v>
      </c>
      <c r="S18" s="29" t="n">
        <v>1</v>
      </c>
      <c r="T18" s="24" t="inlineStr">
        <is>
          <t>valorant-tiered-elo-v6</t>
        </is>
      </c>
      <c r="U18" s="24" t="inlineStr">
        <is>
          <t>settled</t>
        </is>
      </c>
      <c r="V18" s="24" t="inlineStr">
        <is>
          <t>win</t>
        </is>
      </c>
      <c r="W18" s="26" t="n">
        <v>1</v>
      </c>
      <c r="X18" s="26" t="n">
        <v>0</v>
      </c>
      <c r="Y18" s="25" t="n"/>
      <c r="Z18" s="26" t="n">
        <v>113</v>
      </c>
      <c r="AA18" s="28" t="n">
        <v>0.47</v>
      </c>
      <c r="AB18" s="28" t="n">
        <v>0.110288</v>
      </c>
      <c r="AC18" s="30" t="n">
        <v>1.78</v>
      </c>
      <c r="AD18" s="24" t="inlineStr">
        <is>
          <t>2026-08-13T13:43:46.349925Z</t>
        </is>
      </c>
      <c r="AE18" s="31" t="inlineStr">
        <is>
          <t>Neutral Elo baseline; executable ask 0.3600 (market_slug=aec-valorant-rrq-spe-2026-08-13).</t>
        </is>
      </c>
      <c r="AF18" s="31" t="inlineStr">
        <is>
          <t>Config-promoted esports baseline; gates enforced at log time.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3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Sharper Esport</t>
        </is>
      </c>
      <c r="AQ18" s="24" t="inlineStr">
        <is>
          <t>Sharper Esport</t>
        </is>
      </c>
      <c r="AR18" s="24" t="inlineStr">
        <is>
          <t>Sharper Esport</t>
        </is>
      </c>
      <c r="AS18" s="24" t="inlineStr">
        <is>
          <t>Rex Regum Qeon</t>
        </is>
      </c>
      <c r="AT18" s="24" t="inlineStr">
        <is>
          <t>Rex Regum Qeon</t>
        </is>
      </c>
      <c r="AU18" s="24" t="inlineStr">
        <is>
          <t>Rex Regum Qeon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34c63be26d0e2cc14119f679adaf024aa89287fce612ad18898d49f1dee15418</t>
        </is>
      </c>
      <c r="BB18" s="24" t="inlineStr">
        <is>
          <t>neutral_elo</t>
        </is>
      </c>
      <c r="BC18" s="24" t="inlineStr">
        <is>
          <t>valorant-tiered-elo-v6</t>
        </is>
      </c>
      <c r="BD18" s="24" t="inlineStr">
        <is>
          <t>34c63be26d0e2cc14119f679adaf024aa89287fce612ad18898d49f1dee15418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valorant-tiered-elo-v6</t>
        </is>
      </c>
      <c r="BH18" s="24" t="inlineStr">
        <is>
          <t>2026-08-13T10:40:13.696977Z</t>
        </is>
      </c>
      <c r="BI18" s="24" t="inlineStr">
        <is>
          <t>["same_event","same_team_same_day","same_league_same_day"]</t>
        </is>
      </c>
      <c r="BJ18" s="25" t="n"/>
      <c r="BK18" s="26" t="n">
        <v>178</v>
      </c>
      <c r="BL18" s="27" t="n">
        <v>2.78</v>
      </c>
      <c r="BM18" s="28" t="n">
        <v>0.359712</v>
      </c>
      <c r="BN18" s="28" t="n"/>
      <c r="BO18" s="28" t="n"/>
      <c r="BP18" s="25" t="n"/>
      <c r="BQ18" s="27" t="n">
        <v>2.13</v>
      </c>
      <c r="BR18" s="28" t="n">
        <v>0.47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True</t>
        </is>
      </c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inlineStr">
        <is>
          <t>0.359712</t>
        </is>
      </c>
      <c r="DK18" s="24" t="n"/>
      <c r="DL18" s="24" t="n"/>
      <c r="DM18" s="24" t="n"/>
      <c r="DN18" s="24" t="n"/>
      <c r="DO18" s="24" t="n"/>
      <c r="DP18" s="24" t="n"/>
      <c r="DQ18" s="24" t="n"/>
    </row>
    <row r="19" ht="36" customHeight="1">
      <c r="A19" s="24" t="inlineStr">
        <is>
          <t>4f966ce4648f49ec</t>
        </is>
      </c>
      <c r="B19" s="24" t="inlineStr">
        <is>
          <t>2026-08-13T13:47:19.845301Z</t>
        </is>
      </c>
      <c r="C19" s="24" t="inlineStr">
        <is>
          <t>2026-08-13T15:00:00Z</t>
        </is>
      </c>
      <c r="D19" s="24" t="inlineStr">
        <is>
          <t>77363</t>
        </is>
      </c>
      <c r="E19" s="24" t="inlineStr">
        <is>
          <t>VALORANT</t>
        </is>
      </c>
      <c r="F19" s="24" t="inlineStr">
        <is>
          <t>Pcific Esports</t>
        </is>
      </c>
      <c r="G19" s="24" t="inlineStr">
        <is>
          <t>Joblife</t>
        </is>
      </c>
      <c r="H19" s="24" t="inlineStr">
        <is>
          <t>moneyline</t>
        </is>
      </c>
      <c r="I19" s="24" t="inlineStr">
        <is>
          <t>home</t>
        </is>
      </c>
      <c r="J19" s="25" t="n"/>
      <c r="K19" s="24" t="inlineStr">
        <is>
          <t>polymarket_us</t>
        </is>
      </c>
      <c r="L19" s="26" t="n">
        <v>-233</v>
      </c>
      <c r="M19" s="27" t="n">
        <v>1.429185</v>
      </c>
      <c r="N19" s="28" t="n">
        <v>0.6997</v>
      </c>
      <c r="O19" s="28" t="n">
        <v>0.83509</v>
      </c>
      <c r="P19" s="28" t="n"/>
      <c r="Q19" s="28" t="n">
        <v>0.13539</v>
      </c>
      <c r="R19" s="26" t="n">
        <v>88</v>
      </c>
      <c r="S19" s="29" t="n">
        <v>2</v>
      </c>
      <c r="T19" s="24" t="inlineStr">
        <is>
          <t>valorant-tiered-elo-v6</t>
        </is>
      </c>
      <c r="U19" s="24" t="inlineStr">
        <is>
          <t>settled</t>
        </is>
      </c>
      <c r="V19" s="24" t="inlineStr">
        <is>
          <t>win</t>
        </is>
      </c>
      <c r="W19" s="26" t="n">
        <v>0</v>
      </c>
      <c r="X19" s="26" t="n">
        <v>1</v>
      </c>
      <c r="Y19" s="25" t="n"/>
      <c r="Z19" s="26" t="n">
        <v>-233</v>
      </c>
      <c r="AA19" s="28" t="n">
        <v>0.7</v>
      </c>
      <c r="AB19" s="28" t="n">
        <v>0.0003</v>
      </c>
      <c r="AC19" s="30" t="n">
        <v>0.8584000000000001</v>
      </c>
      <c r="AD19" s="24" t="inlineStr">
        <is>
          <t>2026-08-13T19:19:49.538140Z</t>
        </is>
      </c>
      <c r="AE19" s="31" t="inlineStr">
        <is>
          <t>Neutral Elo baseline; executable ask 0.7000 (market_slug=aec-valorant-jl-pcfic-2026-08-13).</t>
        </is>
      </c>
      <c r="AF19" s="31" t="inlineStr">
        <is>
          <t>Config-promoted esports baseline; gates enforced at log time.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3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Pcific Esports</t>
        </is>
      </c>
      <c r="AQ19" s="24" t="inlineStr">
        <is>
          <t>Pcific Esports</t>
        </is>
      </c>
      <c r="AR19" s="24" t="inlineStr">
        <is>
          <t>Pcific Esports</t>
        </is>
      </c>
      <c r="AS19" s="24" t="inlineStr">
        <is>
          <t>Joblife</t>
        </is>
      </c>
      <c r="AT19" s="24" t="inlineStr">
        <is>
          <t>Joblife</t>
        </is>
      </c>
      <c r="AU19" s="24" t="inlineStr">
        <is>
          <t>Joblife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da0677ab8abe2b527063872e9a3414ee4e73a14497c101342ddcfce29bd189b4</t>
        </is>
      </c>
      <c r="BB19" s="24" t="inlineStr">
        <is>
          <t>neutral_elo</t>
        </is>
      </c>
      <c r="BC19" s="24" t="inlineStr">
        <is>
          <t>valorant-tiered-elo-v6</t>
        </is>
      </c>
      <c r="BD19" s="24" t="inlineStr">
        <is>
          <t>da0677ab8abe2b527063872e9a3414ee4e73a14497c101342ddcfce29bd189b4</t>
        </is>
      </c>
      <c r="BE19" s="24" t="inlineStr">
        <is>
          <t>1</t>
        </is>
      </c>
      <c r="BF19" s="24" t="inlineStr">
        <is>
          <t>1</t>
        </is>
      </c>
      <c r="BG19" s="24" t="inlineStr">
        <is>
          <t>valorant-tiered-elo-v6</t>
        </is>
      </c>
      <c r="BH19" s="24" t="inlineStr">
        <is>
          <t>2026-08-13T13:47:13.179473Z</t>
        </is>
      </c>
      <c r="BI19" s="24" t="inlineStr">
        <is>
          <t>["same_event","same_team_same_day","same_league_same_day"]</t>
        </is>
      </c>
      <c r="BJ19" s="25" t="n"/>
      <c r="BK19" s="26" t="n">
        <v>-233</v>
      </c>
      <c r="BL19" s="27" t="n">
        <v>1.429185</v>
      </c>
      <c r="BM19" s="28" t="n">
        <v>0.6997</v>
      </c>
      <c r="BN19" s="28" t="n"/>
      <c r="BO19" s="28" t="n"/>
      <c r="BP19" s="25" t="n"/>
      <c r="BQ19" s="27" t="n">
        <v>1.429185</v>
      </c>
      <c r="BR19" s="28" t="n">
        <v>0.7</v>
      </c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True</t>
        </is>
      </c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inlineStr">
        <is>
          <t>0.6997</t>
        </is>
      </c>
      <c r="DK19" s="24" t="n"/>
      <c r="DL19" s="24" t="n"/>
      <c r="DM19" s="24" t="n"/>
      <c r="DN19" s="24" t="n"/>
      <c r="DO19" s="24" t="n"/>
      <c r="DP19" s="24" t="n"/>
      <c r="DQ19" s="24" t="n"/>
    </row>
    <row r="20" ht="36" customHeight="1">
      <c r="A20" s="24" t="inlineStr">
        <is>
          <t>0728924806414578</t>
        </is>
      </c>
      <c r="B20" s="24" t="inlineStr">
        <is>
          <t>2026-08-13T17:16:26.831639Z</t>
        </is>
      </c>
      <c r="C20" s="24" t="inlineStr">
        <is>
          <t>2026-08-13T18:00:00Z</t>
        </is>
      </c>
      <c r="D20" s="24" t="inlineStr">
        <is>
          <t>77546</t>
        </is>
      </c>
      <c r="E20" s="24" t="inlineStr">
        <is>
          <t>VALORANT</t>
        </is>
      </c>
      <c r="F20" s="24" t="inlineStr">
        <is>
          <t>Gentle Mates GC</t>
        </is>
      </c>
      <c r="G20" s="24" t="inlineStr">
        <is>
          <t>FOKUS Sakura</t>
        </is>
      </c>
      <c r="H20" s="24" t="inlineStr">
        <is>
          <t>moneyline</t>
        </is>
      </c>
      <c r="I20" s="24" t="inlineStr">
        <is>
          <t>away</t>
        </is>
      </c>
      <c r="J20" s="25" t="n"/>
      <c r="K20" s="24" t="inlineStr">
        <is>
          <t>polymarket_us</t>
        </is>
      </c>
      <c r="L20" s="26" t="n">
        <v>-144</v>
      </c>
      <c r="M20" s="27" t="n">
        <v>1.694444</v>
      </c>
      <c r="N20" s="28" t="n">
        <v>0.590164</v>
      </c>
      <c r="O20" s="28" t="n">
        <v>0.687518</v>
      </c>
      <c r="P20" s="28" t="n"/>
      <c r="Q20" s="28" t="n">
        <v>0.097354</v>
      </c>
      <c r="R20" s="26" t="n">
        <v>69</v>
      </c>
      <c r="S20" s="29" t="n">
        <v>2</v>
      </c>
      <c r="T20" s="24" t="inlineStr">
        <is>
          <t>valorant-tiered-elo-v6</t>
        </is>
      </c>
      <c r="U20" s="24" t="inlineStr">
        <is>
          <t>settled</t>
        </is>
      </c>
      <c r="V20" s="24" t="inlineStr">
        <is>
          <t>win</t>
        </is>
      </c>
      <c r="W20" s="26" t="n">
        <v>1</v>
      </c>
      <c r="X20" s="26" t="n">
        <v>0</v>
      </c>
      <c r="Y20" s="25" t="n"/>
      <c r="Z20" s="26" t="n">
        <v>-144</v>
      </c>
      <c r="AA20" s="28" t="n">
        <v>0.59</v>
      </c>
      <c r="AB20" s="28" t="n">
        <v>-0.000164</v>
      </c>
      <c r="AC20" s="30" t="n">
        <v>1.3889</v>
      </c>
      <c r="AD20" s="24" t="inlineStr">
        <is>
          <t>2026-08-13T23:18:01.776885Z</t>
        </is>
      </c>
      <c r="AE20" s="31" t="inlineStr">
        <is>
          <t>Neutral Elo baseline; executable ask 0.5900 (market_slug=aec-valorant-fso-m8gc-2026-08-13).</t>
        </is>
      </c>
      <c r="AF20" s="31" t="inlineStr">
        <is>
          <t>Config-promoted esports baseline; gates enforced at log time.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3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Gentle Mates GC</t>
        </is>
      </c>
      <c r="AQ20" s="24" t="inlineStr">
        <is>
          <t>Gentle Mates GC</t>
        </is>
      </c>
      <c r="AR20" s="24" t="inlineStr">
        <is>
          <t>Gentle Mates GC</t>
        </is>
      </c>
      <c r="AS20" s="24" t="inlineStr">
        <is>
          <t>FOKUS Sakura</t>
        </is>
      </c>
      <c r="AT20" s="24" t="inlineStr">
        <is>
          <t>FOKUS Sakura</t>
        </is>
      </c>
      <c r="AU20" s="24" t="inlineStr">
        <is>
          <t>FOKUS Sakura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b7c1dabbbbc9554691b923884077a0c9e2fdb894454c83cbe181c9fcf1b2e71f</t>
        </is>
      </c>
      <c r="BB20" s="24" t="inlineStr">
        <is>
          <t>neutral_elo</t>
        </is>
      </c>
      <c r="BC20" s="24" t="inlineStr">
        <is>
          <t>valorant-tiered-elo-v6</t>
        </is>
      </c>
      <c r="BD20" s="24" t="inlineStr">
        <is>
          <t>b7c1dabbbbc9554691b923884077a0c9e2fdb894454c83cbe181c9fcf1b2e71f</t>
        </is>
      </c>
      <c r="BE20" s="24" t="inlineStr">
        <is>
          <t>1</t>
        </is>
      </c>
      <c r="BF20" s="24" t="inlineStr">
        <is>
          <t>1</t>
        </is>
      </c>
      <c r="BG20" s="24" t="inlineStr">
        <is>
          <t>valorant-tiered-elo-v6</t>
        </is>
      </c>
      <c r="BH20" s="24" t="inlineStr">
        <is>
          <t>2026-08-13T17:16:20.850586Z</t>
        </is>
      </c>
      <c r="BI20" s="24" t="inlineStr">
        <is>
          <t>["same_event","same_team_same_day","same_league_same_day"]</t>
        </is>
      </c>
      <c r="BJ20" s="25" t="n"/>
      <c r="BK20" s="26" t="n">
        <v>-144</v>
      </c>
      <c r="BL20" s="27" t="n">
        <v>1.694444</v>
      </c>
      <c r="BM20" s="28" t="n">
        <v>0.590164</v>
      </c>
      <c r="BN20" s="28" t="n"/>
      <c r="BO20" s="28" t="n"/>
      <c r="BP20" s="25" t="n"/>
      <c r="BQ20" s="27" t="n">
        <v>1.694444</v>
      </c>
      <c r="BR20" s="28" t="n">
        <v>0.59</v>
      </c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True</t>
        </is>
      </c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inlineStr">
        <is>
          <t>0.590164</t>
        </is>
      </c>
      <c r="DK20" s="24" t="n"/>
      <c r="DL20" s="24" t="n"/>
      <c r="DM20" s="24" t="n"/>
      <c r="DN20" s="24" t="n"/>
      <c r="DO20" s="24" t="n"/>
      <c r="DP20" s="24" t="n"/>
      <c r="DQ20" s="24" t="n"/>
    </row>
    <row r="21" ht="36" customHeight="1">
      <c r="A21" s="24" t="inlineStr">
        <is>
          <t>cad6e380f8e34b01</t>
        </is>
      </c>
      <c r="B21" s="24" t="inlineStr">
        <is>
          <t>2026-08-13T20:15:25.038456Z</t>
        </is>
      </c>
      <c r="C21" s="24" t="inlineStr">
        <is>
          <t>2026-08-13T21:00:00Z</t>
        </is>
      </c>
      <c r="D21" s="24" t="inlineStr">
        <is>
          <t>77923</t>
        </is>
      </c>
      <c r="E21" s="24" t="inlineStr">
        <is>
          <t>VALORANT</t>
        </is>
      </c>
      <c r="F21" s="24" t="inlineStr">
        <is>
          <t>BESTIA</t>
        </is>
      </c>
      <c r="G21" s="24" t="inlineStr">
        <is>
          <t>KRÜ Esports</t>
        </is>
      </c>
      <c r="H21" s="24" t="inlineStr">
        <is>
          <t>moneyline</t>
        </is>
      </c>
      <c r="I21" s="24" t="inlineStr">
        <is>
          <t>away</t>
        </is>
      </c>
      <c r="J21" s="25" t="n"/>
      <c r="K21" s="24" t="inlineStr">
        <is>
          <t>polymarket_us</t>
        </is>
      </c>
      <c r="L21" s="26" t="n">
        <v>170</v>
      </c>
      <c r="M21" s="27" t="n">
        <v>2.7</v>
      </c>
      <c r="N21" s="28" t="n">
        <v>0.37037</v>
      </c>
      <c r="O21" s="28" t="n">
        <v>0.724374</v>
      </c>
      <c r="P21" s="28" t="n"/>
      <c r="Q21" s="28" t="n">
        <v>0.354004</v>
      </c>
      <c r="R21" s="26" t="n">
        <v>100</v>
      </c>
      <c r="S21" s="29" t="n">
        <v>2</v>
      </c>
      <c r="T21" s="24" t="inlineStr">
        <is>
          <t>valorant-tiered-elo-v6</t>
        </is>
      </c>
      <c r="U21" s="24" t="inlineStr">
        <is>
          <t>settled</t>
        </is>
      </c>
      <c r="V21" s="24" t="inlineStr">
        <is>
          <t>loss</t>
        </is>
      </c>
      <c r="W21" s="26" t="n">
        <v>0</v>
      </c>
      <c r="X21" s="26" t="n">
        <v>1</v>
      </c>
      <c r="Y21" s="25" t="n"/>
      <c r="Z21" s="26" t="n">
        <v>170</v>
      </c>
      <c r="AA21" s="28" t="n">
        <v>0.37</v>
      </c>
      <c r="AB21" s="28" t="n">
        <v>-0.00037</v>
      </c>
      <c r="AC21" s="30" t="n">
        <v>-2</v>
      </c>
      <c r="AD21" s="24" t="inlineStr">
        <is>
          <t>2026-08-14T02:23:14.607617Z</t>
        </is>
      </c>
      <c r="AE21" s="31" t="inlineStr">
        <is>
          <t>Neutral Elo baseline; executable ask 0.3700 (market_slug=aec-valorant-kr-bst-2026-08-13).</t>
        </is>
      </c>
      <c r="AF21" s="31" t="inlineStr">
        <is>
          <t>Config-promoted esports baseline; gates enforced at log time.</t>
        </is>
      </c>
      <c r="AG21" s="24" t="inlineStr">
        <is>
          <t>review_required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3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BESTIA</t>
        </is>
      </c>
      <c r="AQ21" s="24" t="inlineStr">
        <is>
          <t>BESTIA</t>
        </is>
      </c>
      <c r="AR21" s="24" t="inlineStr">
        <is>
          <t>BESTIA</t>
        </is>
      </c>
      <c r="AS21" s="24" t="inlineStr">
        <is>
          <t>KRÜ Esports</t>
        </is>
      </c>
      <c r="AT21" s="24" t="inlineStr">
        <is>
          <t>KRÜ Esports</t>
        </is>
      </c>
      <c r="AU21" s="24" t="inlineStr">
        <is>
          <t>KRÜ Esports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5bbf61826ad50ebb0ce71d774b0815f20c3999fa14c6bb5fef835f4876caaa18</t>
        </is>
      </c>
      <c r="BB21" s="24" t="inlineStr">
        <is>
          <t>neutral_elo</t>
        </is>
      </c>
      <c r="BC21" s="24" t="inlineStr">
        <is>
          <t>valorant-tiered-elo-v6</t>
        </is>
      </c>
      <c r="BD21" s="24" t="inlineStr">
        <is>
          <t>5bbf61826ad50ebb0ce71d774b0815f20c3999fa14c6bb5fef835f4876caaa18</t>
        </is>
      </c>
      <c r="BE21" s="24" t="inlineStr">
        <is>
          <t>1</t>
        </is>
      </c>
      <c r="BF21" s="24" t="inlineStr">
        <is>
          <t>1</t>
        </is>
      </c>
      <c r="BG21" s="24" t="inlineStr">
        <is>
          <t>valorant-tiered-elo-v6</t>
        </is>
      </c>
      <c r="BH21" s="24" t="inlineStr">
        <is>
          <t>2026-08-13T20:15:18.918970Z</t>
        </is>
      </c>
      <c r="BI21" s="24" t="inlineStr">
        <is>
          <t>["same_event","same_team_same_day","same_league_same_day"]</t>
        </is>
      </c>
      <c r="BJ21" s="25" t="n"/>
      <c r="BK21" s="26" t="n">
        <v>170</v>
      </c>
      <c r="BL21" s="27" t="n">
        <v>2.7</v>
      </c>
      <c r="BM21" s="28" t="n">
        <v>0.37037</v>
      </c>
      <c r="BN21" s="28" t="n"/>
      <c r="BO21" s="28" t="n"/>
      <c r="BP21" s="25" t="n"/>
      <c r="BQ21" s="27" t="n">
        <v>2.7</v>
      </c>
      <c r="BR21" s="28" t="n">
        <v>0.37</v>
      </c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True</t>
        </is>
      </c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inlineStr">
        <is>
          <t>0.37037</t>
        </is>
      </c>
      <c r="DK21" s="24" t="n"/>
      <c r="DL21" s="24" t="n"/>
      <c r="DM21" s="24" t="n"/>
      <c r="DN21" s="24" t="n"/>
      <c r="DO21" s="24" t="n"/>
      <c r="DP21" s="24" t="n"/>
      <c r="DQ21" s="24" t="n"/>
    </row>
    <row r="22" ht="36" customHeight="1">
      <c r="A22" s="24" t="inlineStr">
        <is>
          <t>5c0c49a114294168</t>
        </is>
      </c>
      <c r="B22" s="24" t="inlineStr">
        <is>
          <t>2026-08-14T07:41:59.802132Z</t>
        </is>
      </c>
      <c r="C22" s="24" t="inlineStr">
        <is>
          <t>2026-08-14T08:00:00Z</t>
        </is>
      </c>
      <c r="D22" s="24" t="inlineStr">
        <is>
          <t>79716</t>
        </is>
      </c>
      <c r="E22" s="24" t="inlineStr">
        <is>
          <t>VALORANT</t>
        </is>
      </c>
      <c r="F22" s="24" t="inlineStr">
        <is>
          <t>JD Gaming</t>
        </is>
      </c>
      <c r="G22" s="24" t="inlineStr">
        <is>
          <t>Nova Esports</t>
        </is>
      </c>
      <c r="H22" s="24" t="inlineStr">
        <is>
          <t>moneyline</t>
        </is>
      </c>
      <c r="I22" s="24" t="inlineStr">
        <is>
          <t>home</t>
        </is>
      </c>
      <c r="J22" s="25" t="n"/>
      <c r="K22" s="24" t="inlineStr">
        <is>
          <t>polymarket_us</t>
        </is>
      </c>
      <c r="L22" s="26" t="n">
        <v>-223</v>
      </c>
      <c r="M22" s="27" t="n">
        <v>1.44843</v>
      </c>
      <c r="N22" s="28" t="n">
        <v>0.690402</v>
      </c>
      <c r="O22" s="28" t="n">
        <v>0.794306</v>
      </c>
      <c r="P22" s="28" t="n"/>
      <c r="Q22" s="28" t="n">
        <v>0.103904</v>
      </c>
      <c r="R22" s="26" t="n">
        <v>72</v>
      </c>
      <c r="S22" s="29" t="n">
        <v>2</v>
      </c>
      <c r="T22" s="24" t="inlineStr">
        <is>
          <t>valorant-tiered-elo-v6</t>
        </is>
      </c>
      <c r="U22" s="24" t="inlineStr">
        <is>
          <t>settled</t>
        </is>
      </c>
      <c r="V22" s="24" t="inlineStr">
        <is>
          <t>loss</t>
        </is>
      </c>
      <c r="W22" s="26" t="n">
        <v>1</v>
      </c>
      <c r="X22" s="26" t="n">
        <v>0</v>
      </c>
      <c r="Y22" s="25" t="n"/>
      <c r="Z22" s="26" t="n">
        <v>-223</v>
      </c>
      <c r="AA22" s="28" t="n">
        <v>0.6899999999999999</v>
      </c>
      <c r="AB22" s="28" t="n">
        <v>-0.000402</v>
      </c>
      <c r="AC22" s="30" t="n">
        <v>-2</v>
      </c>
      <c r="AD22" s="24" t="inlineStr">
        <is>
          <t>2026-08-14T10:46:02.986367Z</t>
        </is>
      </c>
      <c r="AE22" s="31" t="inlineStr">
        <is>
          <t>Neutral Elo baseline; executable ask 0.6900 (market_slug=aec-valorant-nova-jdg-2026-08-14).</t>
        </is>
      </c>
      <c r="AF22" s="31" t="inlineStr">
        <is>
          <t>Config-promoted esports baseline; gates enforced at log time.</t>
        </is>
      </c>
      <c r="AG22" s="24" t="inlineStr">
        <is>
          <t>review_required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3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JD Gaming</t>
        </is>
      </c>
      <c r="AQ22" s="24" t="inlineStr">
        <is>
          <t>JD Gaming</t>
        </is>
      </c>
      <c r="AR22" s="24" t="inlineStr">
        <is>
          <t>JD Gaming</t>
        </is>
      </c>
      <c r="AS22" s="24" t="inlineStr">
        <is>
          <t>Nova Esports</t>
        </is>
      </c>
      <c r="AT22" s="24" t="inlineStr">
        <is>
          <t>Nova Esports</t>
        </is>
      </c>
      <c r="AU22" s="24" t="inlineStr">
        <is>
          <t>Nova Esports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8c19e0e07693dafb9fbb3e27dd05f3040444d8db46bc32f448a5a875fe850dff</t>
        </is>
      </c>
      <c r="BB22" s="24" t="inlineStr">
        <is>
          <t>neutral_elo</t>
        </is>
      </c>
      <c r="BC22" s="24" t="inlineStr">
        <is>
          <t>valorant-tiered-elo-v6</t>
        </is>
      </c>
      <c r="BD22" s="24" t="inlineStr">
        <is>
          <t>8c19e0e07693dafb9fbb3e27dd05f3040444d8db46bc32f448a5a875fe850dff</t>
        </is>
      </c>
      <c r="BE22" s="24" t="inlineStr">
        <is>
          <t>1</t>
        </is>
      </c>
      <c r="BF22" s="24" t="inlineStr">
        <is>
          <t>1</t>
        </is>
      </c>
      <c r="BG22" s="24" t="inlineStr">
        <is>
          <t>valorant-tiered-elo-v6</t>
        </is>
      </c>
      <c r="BH22" s="24" t="inlineStr">
        <is>
          <t>2026-08-14T07:41:48.013521Z</t>
        </is>
      </c>
      <c r="BI22" s="24" t="inlineStr">
        <is>
          <t>["same_event","same_team_same_day","same_league_same_day"]</t>
        </is>
      </c>
      <c r="BJ22" s="25" t="n"/>
      <c r="BK22" s="26" t="n">
        <v>-223</v>
      </c>
      <c r="BL22" s="27" t="n">
        <v>1.44843</v>
      </c>
      <c r="BM22" s="28" t="n">
        <v>0.690402</v>
      </c>
      <c r="BN22" s="28" t="n"/>
      <c r="BO22" s="28" t="n"/>
      <c r="BP22" s="25" t="n"/>
      <c r="BQ22" s="27" t="n">
        <v>1.44843</v>
      </c>
      <c r="BR22" s="28" t="n">
        <v>0.6899999999999999</v>
      </c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inlineStr">
        <is>
          <t>True</t>
        </is>
      </c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inlineStr">
        <is>
          <t>0.690402</t>
        </is>
      </c>
      <c r="DK22" s="24" t="n"/>
      <c r="DL22" s="24" t="n"/>
      <c r="DM22" s="24" t="n"/>
      <c r="DN22" s="24" t="n"/>
      <c r="DO22" s="24" t="n"/>
      <c r="DP22" s="24" t="n"/>
      <c r="DQ22" s="24" t="n"/>
    </row>
    <row r="23" ht="36" customHeight="1">
      <c r="A23" s="24" t="inlineStr">
        <is>
          <t>9648a0f4ec624d9c</t>
        </is>
      </c>
      <c r="B23" s="24" t="inlineStr">
        <is>
          <t>2026-08-14T10:49:40.794541Z</t>
        </is>
      </c>
      <c r="C23" s="24" t="inlineStr">
        <is>
          <t>2026-08-14T11:00:00Z</t>
        </is>
      </c>
      <c r="D23" s="24" t="inlineStr">
        <is>
          <t>78288</t>
        </is>
      </c>
      <c r="E23" s="24" t="inlineStr">
        <is>
          <t>VALORANT</t>
        </is>
      </c>
      <c r="F23" s="24" t="inlineStr">
        <is>
          <t>Xipto Esports</t>
        </is>
      </c>
      <c r="G23" s="24" t="inlineStr">
        <is>
          <t>Team Secret</t>
        </is>
      </c>
      <c r="H23" s="24" t="inlineStr">
        <is>
          <t>moneyline</t>
        </is>
      </c>
      <c r="I23" s="24" t="inlineStr">
        <is>
          <t>away</t>
        </is>
      </c>
      <c r="J23" s="25" t="n"/>
      <c r="K23" s="24" t="inlineStr">
        <is>
          <t>polymarket_us</t>
        </is>
      </c>
      <c r="L23" s="26" t="n">
        <v>100</v>
      </c>
      <c r="M23" s="27" t="n">
        <v>2</v>
      </c>
      <c r="N23" s="28" t="n">
        <v>0.5</v>
      </c>
      <c r="O23" s="28" t="n">
        <v>0.53207</v>
      </c>
      <c r="P23" s="28" t="n"/>
      <c r="Q23" s="28" t="n">
        <v>0.03207</v>
      </c>
      <c r="R23" s="26" t="n">
        <v>36</v>
      </c>
      <c r="S23" s="29" t="n">
        <v>1</v>
      </c>
      <c r="T23" s="24" t="inlineStr">
        <is>
          <t>valorant-tiered-elo-v6</t>
        </is>
      </c>
      <c r="U23" s="24" t="inlineStr">
        <is>
          <t>settled</t>
        </is>
      </c>
      <c r="V23" s="24" t="inlineStr">
        <is>
          <t>loss</t>
        </is>
      </c>
      <c r="W23" s="26" t="n">
        <v>0</v>
      </c>
      <c r="X23" s="26" t="n">
        <v>1</v>
      </c>
      <c r="Y23" s="25" t="n"/>
      <c r="Z23" s="26" t="n">
        <v>117</v>
      </c>
      <c r="AA23" s="28" t="n">
        <v>0.46</v>
      </c>
      <c r="AB23" s="28" t="n">
        <v>-0.04</v>
      </c>
      <c r="AC23" s="30" t="n">
        <v>-1</v>
      </c>
      <c r="AD23" s="24" t="inlineStr">
        <is>
          <t>2026-08-14T13:54:37.023764Z</t>
        </is>
      </c>
      <c r="AE23" s="31" t="inlineStr">
        <is>
          <t>Neutral Elo baseline; executable ask 0.5000 (market_slug=aec-valorant-ts-xe-2026-08-14).</t>
        </is>
      </c>
      <c r="AF23" s="31" t="inlineStr">
        <is>
          <t>Config-promoted esports baseline; gates enforced at log time.</t>
        </is>
      </c>
      <c r="AG23" s="24" t="inlineStr">
        <is>
          <t>review_required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3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Xipto Esports</t>
        </is>
      </c>
      <c r="AQ23" s="24" t="inlineStr">
        <is>
          <t>Xipto Esports</t>
        </is>
      </c>
      <c r="AR23" s="24" t="inlineStr">
        <is>
          <t>Xipto Esports</t>
        </is>
      </c>
      <c r="AS23" s="24" t="inlineStr">
        <is>
          <t>Team Secret</t>
        </is>
      </c>
      <c r="AT23" s="24" t="inlineStr">
        <is>
          <t>Team Secret</t>
        </is>
      </c>
      <c r="AU23" s="24" t="inlineStr">
        <is>
          <t>Team Secret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8141afc28a422f86e849f82582efcf40b8cc94fed38d7a025f285e80e257f2c6</t>
        </is>
      </c>
      <c r="BB23" s="24" t="inlineStr">
        <is>
          <t>neutral_elo</t>
        </is>
      </c>
      <c r="BC23" s="24" t="inlineStr">
        <is>
          <t>valorant-tiered-elo-v6</t>
        </is>
      </c>
      <c r="BD23" s="24" t="inlineStr">
        <is>
          <t>8141afc28a422f86e849f82582efcf40b8cc94fed38d7a025f285e80e257f2c6</t>
        </is>
      </c>
      <c r="BE23" s="24" t="inlineStr">
        <is>
          <t>1</t>
        </is>
      </c>
      <c r="BF23" s="24" t="inlineStr">
        <is>
          <t>1</t>
        </is>
      </c>
      <c r="BG23" s="24" t="inlineStr">
        <is>
          <t>valorant-tiered-elo-v6</t>
        </is>
      </c>
      <c r="BH23" s="24" t="inlineStr">
        <is>
          <t>2026-08-14T10:49:32.736371Z</t>
        </is>
      </c>
      <c r="BI23" s="24" t="inlineStr">
        <is>
          <t>["same_event","same_team_same_day","same_league_same_day"]</t>
        </is>
      </c>
      <c r="BJ23" s="25" t="n"/>
      <c r="BK23" s="26" t="n">
        <v>100</v>
      </c>
      <c r="BL23" s="27" t="n">
        <v>2</v>
      </c>
      <c r="BM23" s="28" t="n">
        <v>0.5</v>
      </c>
      <c r="BN23" s="28" t="n"/>
      <c r="BO23" s="28" t="n"/>
      <c r="BP23" s="25" t="n"/>
      <c r="BQ23" s="27" t="n">
        <v>2.17</v>
      </c>
      <c r="BR23" s="28" t="n">
        <v>0.46</v>
      </c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inlineStr">
        <is>
          <t>True</t>
        </is>
      </c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inlineStr">
        <is>
          <t>0.5</t>
        </is>
      </c>
      <c r="DK23" s="24" t="n"/>
      <c r="DL23" s="24" t="n"/>
      <c r="DM23" s="24" t="n"/>
      <c r="DN23" s="24" t="n"/>
      <c r="DO23" s="24" t="n"/>
      <c r="DP23" s="24" t="n"/>
      <c r="DQ23" s="24" t="n"/>
    </row>
    <row r="24" ht="36" customHeight="1">
      <c r="A24" s="24" t="inlineStr">
        <is>
          <t>d74f75f0de7a4988</t>
        </is>
      </c>
      <c r="B24" s="24" t="inlineStr">
        <is>
          <t>2026-08-14T13:58:26.227194Z</t>
        </is>
      </c>
      <c r="C24" s="24" t="inlineStr">
        <is>
          <t>2026-08-14T15:00:00Z</t>
        </is>
      </c>
      <c r="D24" s="24" t="inlineStr">
        <is>
          <t>80237</t>
        </is>
      </c>
      <c r="E24" s="24" t="inlineStr">
        <is>
          <t>VALORANT</t>
        </is>
      </c>
      <c r="F24" s="24" t="inlineStr">
        <is>
          <t>Team Heretics</t>
        </is>
      </c>
      <c r="G24" s="24" t="inlineStr">
        <is>
          <t>Eintracht Frankfurt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212</v>
      </c>
      <c r="M24" s="27" t="n">
        <v>3.12</v>
      </c>
      <c r="N24" s="28" t="n">
        <v>0.320513</v>
      </c>
      <c r="O24" s="28" t="n">
        <v>0.578388</v>
      </c>
      <c r="P24" s="28" t="n"/>
      <c r="Q24" s="28" t="n">
        <v>0.257875</v>
      </c>
      <c r="R24" s="26" t="n">
        <v>100</v>
      </c>
      <c r="S24" s="29" t="n">
        <v>1.25</v>
      </c>
      <c r="T24" s="24" t="inlineStr">
        <is>
          <t>valorant-tiered-elo-v6</t>
        </is>
      </c>
      <c r="U24" s="24" t="inlineStr">
        <is>
          <t>settled</t>
        </is>
      </c>
      <c r="V24" s="24" t="inlineStr">
        <is>
          <t>win</t>
        </is>
      </c>
      <c r="W24" s="26" t="n">
        <v>0</v>
      </c>
      <c r="X24" s="26" t="n">
        <v>1</v>
      </c>
      <c r="Y24" s="25" t="n"/>
      <c r="Z24" s="26" t="n">
        <v>212</v>
      </c>
      <c r="AA24" s="28" t="n">
        <v>0.32</v>
      </c>
      <c r="AB24" s="28" t="n">
        <v>-0.000513</v>
      </c>
      <c r="AC24" s="30" t="n">
        <v>2.65</v>
      </c>
      <c r="AD24" s="24" t="inlineStr">
        <is>
          <t>2026-08-14T18:41:57.242918Z</t>
        </is>
      </c>
      <c r="AE24" s="31" t="inlineStr">
        <is>
          <t>Neutral Elo baseline; executable ask 0.3200 (market_slug=aec-valorant-sge-th-2026-08-14).</t>
        </is>
      </c>
      <c r="AF24" s="31" t="inlineStr">
        <is>
          <t>Config-promoted esports baseline; gates enforced at log time.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model_qualified</t>
        </is>
      </c>
      <c r="AL24" s="26" t="n">
        <v>3</v>
      </c>
      <c r="AM24" s="24" t="inlineStr">
        <is>
          <t>QUALIFIED_SHADOW_CALL</t>
        </is>
      </c>
      <c r="AN24" s="24" t="inlineStr">
        <is>
          <t>CALL</t>
        </is>
      </c>
      <c r="AO24" s="24" t="inlineStr">
        <is>
          <t>QUALIFIED</t>
        </is>
      </c>
      <c r="AP24" s="24" t="inlineStr">
        <is>
          <t>Team Heretics</t>
        </is>
      </c>
      <c r="AQ24" s="24" t="inlineStr">
        <is>
          <t>Team Heretics</t>
        </is>
      </c>
      <c r="AR24" s="24" t="inlineStr">
        <is>
          <t>Team Heretics</t>
        </is>
      </c>
      <c r="AS24" s="24" t="inlineStr">
        <is>
          <t>Eintracht Frankfurt</t>
        </is>
      </c>
      <c r="AT24" s="24" t="inlineStr">
        <is>
          <t>Eintracht Frankfurt</t>
        </is>
      </c>
      <c r="AU24" s="24" t="inlineStr">
        <is>
          <t>Eintracht Frankfurt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87d32dac6d16407d97939b04fd5904d501e28934e29662ed5624e342545b1551</t>
        </is>
      </c>
      <c r="BB24" s="24" t="inlineStr">
        <is>
          <t>neutral_elo</t>
        </is>
      </c>
      <c r="BC24" s="24" t="inlineStr">
        <is>
          <t>valorant-tiered-elo-v6</t>
        </is>
      </c>
      <c r="BD24" s="24" t="inlineStr">
        <is>
          <t>87d32dac6d16407d97939b04fd5904d501e28934e29662ed5624e342545b1551</t>
        </is>
      </c>
      <c r="BE24" s="24" t="inlineStr">
        <is>
          <t>1</t>
        </is>
      </c>
      <c r="BF24" s="24" t="inlineStr">
        <is>
          <t>1</t>
        </is>
      </c>
      <c r="BG24" s="24" t="inlineStr">
        <is>
          <t>valorant-tiered-elo-v6</t>
        </is>
      </c>
      <c r="BH24" s="24" t="inlineStr">
        <is>
          <t>2026-08-14T13:58:18.865513Z</t>
        </is>
      </c>
      <c r="BI24" s="24" t="inlineStr">
        <is>
          <t>["same_event","same_team_same_day","same_league_same_day"]</t>
        </is>
      </c>
      <c r="BJ24" s="25" t="n"/>
      <c r="BK24" s="26" t="n">
        <v>212</v>
      </c>
      <c r="BL24" s="27" t="n">
        <v>3.12</v>
      </c>
      <c r="BM24" s="28" t="n">
        <v>0.320513</v>
      </c>
      <c r="BN24" s="28" t="n"/>
      <c r="BO24" s="28" t="n"/>
      <c r="BP24" s="25" t="n"/>
      <c r="BQ24" s="27" t="n">
        <v>3.12</v>
      </c>
      <c r="BR24" s="28" t="n">
        <v>0.32</v>
      </c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True</t>
        </is>
      </c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inlineStr">
        <is>
          <t>0.320513</t>
        </is>
      </c>
      <c r="DK24" s="24" t="n"/>
      <c r="DL24" s="24" t="n"/>
      <c r="DM24" s="24" t="n"/>
      <c r="DN24" s="24" t="n"/>
      <c r="DO24" s="24" t="n"/>
      <c r="DP24" s="24" t="n"/>
      <c r="DQ24" s="24" t="n"/>
    </row>
    <row r="25" ht="36" customHeight="1">
      <c r="A25" s="24" t="inlineStr">
        <is>
          <t>3f922512fed24f09</t>
        </is>
      </c>
      <c r="B25" s="24" t="inlineStr">
        <is>
          <t>2026-08-14T17:06:00.787922Z</t>
        </is>
      </c>
      <c r="C25" s="24" t="inlineStr">
        <is>
          <t>2026-08-14T18:00:00Z</t>
        </is>
      </c>
      <c r="D25" s="24" t="inlineStr">
        <is>
          <t>80938</t>
        </is>
      </c>
      <c r="E25" s="24" t="inlineStr">
        <is>
          <t>VALORANT</t>
        </is>
      </c>
      <c r="F25" s="24" t="inlineStr">
        <is>
          <t>Fnatic</t>
        </is>
      </c>
      <c r="G25" s="24" t="inlineStr">
        <is>
          <t>Joblife</t>
        </is>
      </c>
      <c r="H25" s="24" t="inlineStr">
        <is>
          <t>moneyline</t>
        </is>
      </c>
      <c r="I25" s="24" t="inlineStr">
        <is>
          <t>home</t>
        </is>
      </c>
      <c r="J25" s="25" t="n"/>
      <c r="K25" s="24" t="inlineStr">
        <is>
          <t>polymarket_us</t>
        </is>
      </c>
      <c r="L25" s="26" t="n">
        <v>170</v>
      </c>
      <c r="M25" s="27" t="n">
        <v>2.7</v>
      </c>
      <c r="N25" s="28" t="n">
        <v>0.37037</v>
      </c>
      <c r="O25" s="28" t="n">
        <v>0.621108</v>
      </c>
      <c r="P25" s="28" t="n"/>
      <c r="Q25" s="28" t="n">
        <v>0.250738</v>
      </c>
      <c r="R25" s="26" t="n">
        <v>100</v>
      </c>
      <c r="S25" s="29" t="n">
        <v>1.5</v>
      </c>
      <c r="T25" s="24" t="inlineStr">
        <is>
          <t>valorant-tiered-elo-v6</t>
        </is>
      </c>
      <c r="U25" s="24" t="inlineStr">
        <is>
          <t>settled</t>
        </is>
      </c>
      <c r="V25" s="24" t="inlineStr">
        <is>
          <t>win</t>
        </is>
      </c>
      <c r="W25" s="26" t="n">
        <v>0</v>
      </c>
      <c r="X25" s="26" t="n">
        <v>1</v>
      </c>
      <c r="Y25" s="25" t="n"/>
      <c r="Z25" s="26" t="n">
        <v>170</v>
      </c>
      <c r="AA25" s="28" t="n">
        <v>0.37</v>
      </c>
      <c r="AB25" s="28" t="n">
        <v>-0.00037</v>
      </c>
      <c r="AC25" s="30" t="n">
        <v>2.55</v>
      </c>
      <c r="AD25" s="24" t="inlineStr">
        <is>
          <t>2026-08-14T20:42:07.924518Z</t>
        </is>
      </c>
      <c r="AE25" s="31" t="inlineStr">
        <is>
          <t>Neutral Elo baseline; executable ask 0.3700 (market_slug=aec-valorant-jl-fnc-2026-08-14).</t>
        </is>
      </c>
      <c r="AF25" s="31" t="inlineStr">
        <is>
          <t>Config-promoted esports baseline; gates enforced at log time.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model_qualified</t>
        </is>
      </c>
      <c r="AL25" s="26" t="n">
        <v>3</v>
      </c>
      <c r="AM25" s="24" t="inlineStr">
        <is>
          <t>QUALIFIED_SHADOW_CALL</t>
        </is>
      </c>
      <c r="AN25" s="24" t="inlineStr">
        <is>
          <t>CALL</t>
        </is>
      </c>
      <c r="AO25" s="24" t="inlineStr">
        <is>
          <t>QUALIFIED</t>
        </is>
      </c>
      <c r="AP25" s="24" t="inlineStr">
        <is>
          <t>Fnatic</t>
        </is>
      </c>
      <c r="AQ25" s="24" t="inlineStr">
        <is>
          <t>Fnatic</t>
        </is>
      </c>
      <c r="AR25" s="24" t="inlineStr">
        <is>
          <t>Fnatic</t>
        </is>
      </c>
      <c r="AS25" s="24" t="inlineStr">
        <is>
          <t>Joblife</t>
        </is>
      </c>
      <c r="AT25" s="24" t="inlineStr">
        <is>
          <t>Joblife</t>
        </is>
      </c>
      <c r="AU25" s="24" t="inlineStr">
        <is>
          <t>Joblife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1f6bd84cbe3d69fe7d88e593e38f4ada2172690460cd9e4d28c765d4253550c7</t>
        </is>
      </c>
      <c r="BB25" s="24" t="inlineStr">
        <is>
          <t>neutral_elo</t>
        </is>
      </c>
      <c r="BC25" s="24" t="inlineStr">
        <is>
          <t>valorant-tiered-elo-v6</t>
        </is>
      </c>
      <c r="BD25" s="24" t="inlineStr">
        <is>
          <t>1f6bd84cbe3d69fe7d88e593e38f4ada2172690460cd9e4d28c765d4253550c7</t>
        </is>
      </c>
      <c r="BE25" s="24" t="inlineStr">
        <is>
          <t>1</t>
        </is>
      </c>
      <c r="BF25" s="24" t="inlineStr">
        <is>
          <t>1</t>
        </is>
      </c>
      <c r="BG25" s="24" t="inlineStr">
        <is>
          <t>valorant-tiered-elo-v6</t>
        </is>
      </c>
      <c r="BH25" s="24" t="inlineStr">
        <is>
          <t>2026-08-14T17:05:54.311970Z</t>
        </is>
      </c>
      <c r="BI25" s="24" t="inlineStr">
        <is>
          <t>["same_event","same_team_same_day","same_league_same_day"]</t>
        </is>
      </c>
      <c r="BJ25" s="25" t="n"/>
      <c r="BK25" s="26" t="n">
        <v>170</v>
      </c>
      <c r="BL25" s="27" t="n">
        <v>2.7</v>
      </c>
      <c r="BM25" s="28" t="n">
        <v>0.37037</v>
      </c>
      <c r="BN25" s="28" t="n"/>
      <c r="BO25" s="28" t="n"/>
      <c r="BP25" s="25" t="n"/>
      <c r="BQ25" s="27" t="n">
        <v>2.7</v>
      </c>
      <c r="BR25" s="28" t="n">
        <v>0.37</v>
      </c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inlineStr">
        <is>
          <t>True</t>
        </is>
      </c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 t="n"/>
      <c r="DJ25" s="24" t="inlineStr">
        <is>
          <t>0.37037</t>
        </is>
      </c>
      <c r="DK25" s="24" t="n"/>
      <c r="DL25" s="24" t="n"/>
      <c r="DM25" s="24" t="n"/>
      <c r="DN25" s="24" t="n"/>
      <c r="DO25" s="24" t="n"/>
      <c r="DP25" s="24" t="n"/>
      <c r="DQ25" s="24" t="n"/>
    </row>
    <row r="26" ht="36" customHeight="1">
      <c r="A26" s="24" t="inlineStr">
        <is>
          <t>e20bed0553e547ed</t>
        </is>
      </c>
      <c r="B26" s="24" t="inlineStr">
        <is>
          <t>2026-08-14T17:06:00.787922Z</t>
        </is>
      </c>
      <c r="C26" s="24" t="inlineStr">
        <is>
          <t>2026-08-14T18:00:00Z</t>
        </is>
      </c>
      <c r="D26" s="24" t="inlineStr">
        <is>
          <t>78828</t>
        </is>
      </c>
      <c r="E26" s="24" t="inlineStr">
        <is>
          <t>VALORANT</t>
        </is>
      </c>
      <c r="F26" s="24" t="inlineStr">
        <is>
          <t>SK Nebula</t>
        </is>
      </c>
      <c r="G26" s="24" t="inlineStr">
        <is>
          <t>Twisted Minds Orchid</t>
        </is>
      </c>
      <c r="H26" s="24" t="inlineStr">
        <is>
          <t>moneyline</t>
        </is>
      </c>
      <c r="I26" s="24" t="inlineStr">
        <is>
          <t>home</t>
        </is>
      </c>
      <c r="J26" s="25" t="n"/>
      <c r="K26" s="24" t="inlineStr">
        <is>
          <t>polymarket_us</t>
        </is>
      </c>
      <c r="L26" s="26" t="n">
        <v>108</v>
      </c>
      <c r="M26" s="27" t="n">
        <v>2.08</v>
      </c>
      <c r="N26" s="28" t="n">
        <v>0.480769</v>
      </c>
      <c r="O26" s="28" t="n">
        <v>0.5419079999999999</v>
      </c>
      <c r="P26" s="28" t="n"/>
      <c r="Q26" s="28" t="n">
        <v>0.061139</v>
      </c>
      <c r="R26" s="26" t="n">
        <v>51</v>
      </c>
      <c r="S26" s="29" t="n">
        <v>1</v>
      </c>
      <c r="T26" s="24" t="inlineStr">
        <is>
          <t>valorant-tiered-elo-v6</t>
        </is>
      </c>
      <c r="U26" s="24" t="inlineStr">
        <is>
          <t>settled</t>
        </is>
      </c>
      <c r="V26" s="24" t="inlineStr">
        <is>
          <t>loss</t>
        </is>
      </c>
      <c r="W26" s="26" t="n">
        <v>1</v>
      </c>
      <c r="X26" s="26" t="n">
        <v>0</v>
      </c>
      <c r="Y26" s="25" t="n"/>
      <c r="Z26" s="26" t="n">
        <v>108</v>
      </c>
      <c r="AA26" s="28" t="n">
        <v>0.48</v>
      </c>
      <c r="AB26" s="28" t="n">
        <v>-0.000769</v>
      </c>
      <c r="AC26" s="30" t="n">
        <v>-1</v>
      </c>
      <c r="AD26" s="24" t="inlineStr">
        <is>
          <t>2026-08-14T20:42:09.297256Z</t>
        </is>
      </c>
      <c r="AE26" s="31" t="inlineStr">
        <is>
          <t>Neutral Elo baseline; executable ask 0.4800 (market_slug=aec-valorant-tmo-skn-2026-08-14).</t>
        </is>
      </c>
      <c r="AF26" s="31" t="inlineStr">
        <is>
          <t>Config-promoted esports baseline; gates enforced at log time.</t>
        </is>
      </c>
      <c r="AG26" s="24" t="inlineStr">
        <is>
          <t>review_required</t>
        </is>
      </c>
      <c r="AH26" s="24" t="n"/>
      <c r="AI26" s="31" t="n"/>
      <c r="AJ26" s="31" t="n"/>
      <c r="AK26" s="24" t="inlineStr">
        <is>
          <t>model_qualified</t>
        </is>
      </c>
      <c r="AL26" s="26" t="n">
        <v>3</v>
      </c>
      <c r="AM26" s="24" t="inlineStr">
        <is>
          <t>QUALIFIED_SHADOW_CALL</t>
        </is>
      </c>
      <c r="AN26" s="24" t="inlineStr">
        <is>
          <t>CALL</t>
        </is>
      </c>
      <c r="AO26" s="24" t="inlineStr">
        <is>
          <t>QUALIFIED</t>
        </is>
      </c>
      <c r="AP26" s="24" t="inlineStr">
        <is>
          <t>SK Nebula</t>
        </is>
      </c>
      <c r="AQ26" s="24" t="inlineStr">
        <is>
          <t>SK Nebula</t>
        </is>
      </c>
      <c r="AR26" s="24" t="inlineStr">
        <is>
          <t>SK Nebula</t>
        </is>
      </c>
      <c r="AS26" s="24" t="inlineStr">
        <is>
          <t>Twisted Minds Orchid</t>
        </is>
      </c>
      <c r="AT26" s="24" t="inlineStr">
        <is>
          <t>Twisted Minds Orchid</t>
        </is>
      </c>
      <c r="AU26" s="24" t="inlineStr">
        <is>
          <t>Twisted Minds Orchid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1f6bd84cbe3d69fe7d88e593e38f4ada2172690460cd9e4d28c765d4253550c7</t>
        </is>
      </c>
      <c r="BB26" s="24" t="inlineStr">
        <is>
          <t>neutral_elo</t>
        </is>
      </c>
      <c r="BC26" s="24" t="inlineStr">
        <is>
          <t>valorant-tiered-elo-v6</t>
        </is>
      </c>
      <c r="BD26" s="24" t="inlineStr">
        <is>
          <t>1f6bd84cbe3d69fe7d88e593e38f4ada2172690460cd9e4d28c765d4253550c7</t>
        </is>
      </c>
      <c r="BE26" s="24" t="inlineStr">
        <is>
          <t>1</t>
        </is>
      </c>
      <c r="BF26" s="24" t="inlineStr">
        <is>
          <t>1</t>
        </is>
      </c>
      <c r="BG26" s="24" t="inlineStr">
        <is>
          <t>valorant-tiered-elo-v6</t>
        </is>
      </c>
      <c r="BH26" s="24" t="inlineStr">
        <is>
          <t>2026-08-14T17:05:54.784712Z</t>
        </is>
      </c>
      <c r="BI26" s="24" t="inlineStr">
        <is>
          <t>["same_event","same_team_same_day","same_league_same_day"]</t>
        </is>
      </c>
      <c r="BJ26" s="25" t="n"/>
      <c r="BK26" s="26" t="n">
        <v>108</v>
      </c>
      <c r="BL26" s="27" t="n">
        <v>2.08</v>
      </c>
      <c r="BM26" s="28" t="n">
        <v>0.480769</v>
      </c>
      <c r="BN26" s="28" t="n"/>
      <c r="BO26" s="28" t="n"/>
      <c r="BP26" s="25" t="n"/>
      <c r="BQ26" s="27" t="n">
        <v>2.08</v>
      </c>
      <c r="BR26" s="28" t="n">
        <v>0.48</v>
      </c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inlineStr">
        <is>
          <t>True</t>
        </is>
      </c>
      <c r="CT26" s="24" t="n"/>
      <c r="CU26" s="24" t="n"/>
      <c r="CV26" s="24" t="n"/>
      <c r="CW26" s="24" t="n"/>
      <c r="CX26" s="24" t="n"/>
      <c r="CY26" s="24" t="n"/>
      <c r="CZ26" s="24" t="n"/>
      <c r="DA26" s="24" t="n"/>
      <c r="DB26" s="24" t="n"/>
      <c r="DC26" s="24" t="n"/>
      <c r="DD26" s="24" t="n"/>
      <c r="DE26" s="24" t="n"/>
      <c r="DF26" s="24" t="n"/>
      <c r="DG26" s="24" t="n"/>
      <c r="DH26" s="24" t="n"/>
      <c r="DI26" s="24" t="n"/>
      <c r="DJ26" s="24" t="inlineStr">
        <is>
          <t>0.480769</t>
        </is>
      </c>
      <c r="DK26" s="24" t="n"/>
      <c r="DL26" s="24" t="n"/>
      <c r="DM26" s="24" t="n"/>
      <c r="DN26" s="24" t="n"/>
      <c r="DO26" s="24" t="n"/>
      <c r="DP26" s="24" t="n"/>
      <c r="DQ26" s="24" t="n"/>
    </row>
    <row r="27" ht="36" customHeight="1">
      <c r="A27" s="24" t="inlineStr">
        <is>
          <t>50d9ffd2bc324846</t>
        </is>
      </c>
      <c r="B27" s="24" t="inlineStr">
        <is>
          <t>2026-08-14T20:44:21.829342Z</t>
        </is>
      </c>
      <c r="C27" s="24" t="inlineStr">
        <is>
          <t>2026-08-14T21:00:00Z</t>
        </is>
      </c>
      <c r="D27" s="24" t="inlineStr">
        <is>
          <t>79349</t>
        </is>
      </c>
      <c r="E27" s="24" t="inlineStr">
        <is>
          <t>VALORANT</t>
        </is>
      </c>
      <c r="F27" s="24" t="inlineStr">
        <is>
          <t>2GAME Esports</t>
        </is>
      </c>
      <c r="G27" s="24" t="inlineStr">
        <is>
          <t>FURIA Esports</t>
        </is>
      </c>
      <c r="H27" s="24" t="inlineStr">
        <is>
          <t>moneyline</t>
        </is>
      </c>
      <c r="I27" s="24" t="inlineStr">
        <is>
          <t>away</t>
        </is>
      </c>
      <c r="J27" s="25" t="n"/>
      <c r="K27" s="24" t="inlineStr">
        <is>
          <t>polymarket_us</t>
        </is>
      </c>
      <c r="L27" s="26" t="n">
        <v>122</v>
      </c>
      <c r="M27" s="27" t="n">
        <v>2.22</v>
      </c>
      <c r="N27" s="28" t="n">
        <v>0.45045</v>
      </c>
      <c r="O27" s="28" t="n">
        <v>0.774983</v>
      </c>
      <c r="P27" s="28" t="n"/>
      <c r="Q27" s="28" t="n">
        <v>0.324533</v>
      </c>
      <c r="R27" s="26" t="n">
        <v>100</v>
      </c>
      <c r="S27" s="29" t="n">
        <v>2</v>
      </c>
      <c r="T27" s="24" t="inlineStr">
        <is>
          <t>valorant-tiered-elo-v6</t>
        </is>
      </c>
      <c r="U27" s="24" t="inlineStr">
        <is>
          <t>settled</t>
        </is>
      </c>
      <c r="V27" s="24" t="inlineStr">
        <is>
          <t>loss</t>
        </is>
      </c>
      <c r="W27" s="26" t="n">
        <v>0</v>
      </c>
      <c r="X27" s="26" t="n">
        <v>1</v>
      </c>
      <c r="Y27" s="25" t="n"/>
      <c r="Z27" s="26" t="n">
        <v>122</v>
      </c>
      <c r="AA27" s="28" t="n">
        <v>0.45</v>
      </c>
      <c r="AB27" s="28" t="n">
        <v>-0.00045</v>
      </c>
      <c r="AC27" s="30" t="n">
        <v>-2</v>
      </c>
      <c r="AD27" s="24" t="inlineStr">
        <is>
          <t>2026-08-15T02:12:01.733383Z</t>
        </is>
      </c>
      <c r="AE27" s="31" t="inlineStr">
        <is>
          <t>Neutral Elo baseline; executable ask 0.4500 (market_slug=aec-valorant-fur-2game-2026-08-14).</t>
        </is>
      </c>
      <c r="AF27" s="31" t="inlineStr">
        <is>
          <t>Config-promoted esports baseline; gates enforced at log time.</t>
        </is>
      </c>
      <c r="AG27" s="24" t="inlineStr">
        <is>
          <t>review_required</t>
        </is>
      </c>
      <c r="AH27" s="24" t="n"/>
      <c r="AI27" s="31" t="n"/>
      <c r="AJ27" s="31" t="n"/>
      <c r="AK27" s="24" t="inlineStr">
        <is>
          <t>model_qualified</t>
        </is>
      </c>
      <c r="AL27" s="26" t="n">
        <v>3</v>
      </c>
      <c r="AM27" s="24" t="inlineStr">
        <is>
          <t>QUALIFIED_SHADOW_CALL</t>
        </is>
      </c>
      <c r="AN27" s="24" t="inlineStr">
        <is>
          <t>CALL</t>
        </is>
      </c>
      <c r="AO27" s="24" t="inlineStr">
        <is>
          <t>QUALIFIED</t>
        </is>
      </c>
      <c r="AP27" s="24" t="inlineStr">
        <is>
          <t>2GAME Esports</t>
        </is>
      </c>
      <c r="AQ27" s="24" t="inlineStr">
        <is>
          <t>2GAME Esports</t>
        </is>
      </c>
      <c r="AR27" s="24" t="inlineStr">
        <is>
          <t>2GAME Esports</t>
        </is>
      </c>
      <c r="AS27" s="24" t="inlineStr">
        <is>
          <t>FURIA Esports</t>
        </is>
      </c>
      <c r="AT27" s="24" t="inlineStr">
        <is>
          <t>FURIA Esports</t>
        </is>
      </c>
      <c r="AU27" s="24" t="inlineStr">
        <is>
          <t>FURIA Esports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bd8831975baa7ecb2da7bb1c699d74573c3f775685818cfb2e808f6b431e3b09</t>
        </is>
      </c>
      <c r="BB27" s="24" t="inlineStr">
        <is>
          <t>neutral_elo</t>
        </is>
      </c>
      <c r="BC27" s="24" t="inlineStr">
        <is>
          <t>valorant-tiered-elo-v6</t>
        </is>
      </c>
      <c r="BD27" s="24" t="inlineStr">
        <is>
          <t>bd8831975baa7ecb2da7bb1c699d74573c3f775685818cfb2e808f6b431e3b09</t>
        </is>
      </c>
      <c r="BE27" s="24" t="inlineStr">
        <is>
          <t>1</t>
        </is>
      </c>
      <c r="BF27" s="24" t="inlineStr">
        <is>
          <t>1</t>
        </is>
      </c>
      <c r="BG27" s="24" t="inlineStr">
        <is>
          <t>valorant-tiered-elo-v6</t>
        </is>
      </c>
      <c r="BH27" s="24" t="inlineStr">
        <is>
          <t>2026-08-14T20:44:15.737591Z</t>
        </is>
      </c>
      <c r="BI27" s="24" t="inlineStr">
        <is>
          <t>["same_event","same_team_same_day","same_league_same_day"]</t>
        </is>
      </c>
      <c r="BJ27" s="25" t="n"/>
      <c r="BK27" s="26" t="n">
        <v>122</v>
      </c>
      <c r="BL27" s="27" t="n">
        <v>2.22</v>
      </c>
      <c r="BM27" s="28" t="n">
        <v>0.45045</v>
      </c>
      <c r="BN27" s="28" t="n"/>
      <c r="BO27" s="28" t="n"/>
      <c r="BP27" s="25" t="n"/>
      <c r="BQ27" s="27" t="n">
        <v>2.22</v>
      </c>
      <c r="BR27" s="28" t="n">
        <v>0.45</v>
      </c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inlineStr">
        <is>
          <t>True</t>
        </is>
      </c>
      <c r="CT27" s="24" t="n"/>
      <c r="CU27" s="24" t="n"/>
      <c r="CV27" s="24" t="n"/>
      <c r="CW27" s="24" t="n"/>
      <c r="CX27" s="24" t="n"/>
      <c r="CY27" s="24" t="n"/>
      <c r="CZ27" s="24" t="n"/>
      <c r="DA27" s="24" t="n"/>
      <c r="DB27" s="24" t="n"/>
      <c r="DC27" s="24" t="n"/>
      <c r="DD27" s="24" t="n"/>
      <c r="DE27" s="24" t="n"/>
      <c r="DF27" s="24" t="n"/>
      <c r="DG27" s="24" t="n"/>
      <c r="DH27" s="24" t="n"/>
      <c r="DI27" s="24" t="n"/>
      <c r="DJ27" s="24" t="inlineStr">
        <is>
          <t>0.45045</t>
        </is>
      </c>
      <c r="DK27" s="24" t="n"/>
      <c r="DL27" s="24" t="n"/>
      <c r="DM27" s="24" t="n"/>
      <c r="DN27" s="24" t="n"/>
      <c r="DO27" s="24" t="n"/>
      <c r="DP27" s="24" t="n"/>
      <c r="DQ27" s="24" t="n"/>
    </row>
    <row r="28" ht="36" customHeight="1">
      <c r="A28" s="24" t="inlineStr">
        <is>
          <t>b4be9c8feb4e405f</t>
        </is>
      </c>
      <c r="B28" s="24" t="inlineStr">
        <is>
          <t>2026-08-15T05:20:54.696146Z</t>
        </is>
      </c>
      <c r="C28" s="24" t="inlineStr">
        <is>
          <t>2026-08-15T08:00:00Z</t>
        </is>
      </c>
      <c r="D28" s="24" t="inlineStr">
        <is>
          <t>80469</t>
        </is>
      </c>
      <c r="E28" s="24" t="inlineStr">
        <is>
          <t>VALORANT</t>
        </is>
      </c>
      <c r="F28" s="24" t="inlineStr">
        <is>
          <t>ZETA DIVISION</t>
        </is>
      </c>
      <c r="G28" s="24" t="inlineStr">
        <is>
          <t>Kiwoom DRX</t>
        </is>
      </c>
      <c r="H28" s="24" t="inlineStr">
        <is>
          <t>moneyline</t>
        </is>
      </c>
      <c r="I28" s="24" t="inlineStr">
        <is>
          <t>home</t>
        </is>
      </c>
      <c r="J28" s="25" t="n"/>
      <c r="K28" s="24" t="inlineStr">
        <is>
          <t>polymarket_us</t>
        </is>
      </c>
      <c r="L28" s="26" t="n">
        <v>-178</v>
      </c>
      <c r="M28" s="27" t="n">
        <v>1.561798</v>
      </c>
      <c r="N28" s="28" t="n">
        <v>0.640288</v>
      </c>
      <c r="O28" s="28" t="n">
        <v>0.711854</v>
      </c>
      <c r="P28" s="28" t="n"/>
      <c r="Q28" s="28" t="n">
        <v>0.071566</v>
      </c>
      <c r="R28" s="26" t="n">
        <v>56</v>
      </c>
      <c r="S28" s="29" t="n">
        <v>2</v>
      </c>
      <c r="T28" s="24" t="inlineStr">
        <is>
          <t>valorant-tiered-elo-v6</t>
        </is>
      </c>
      <c r="U28" s="24" t="inlineStr">
        <is>
          <t>settled</t>
        </is>
      </c>
      <c r="V28" s="24" t="inlineStr">
        <is>
          <t>win</t>
        </is>
      </c>
      <c r="W28" s="26" t="n">
        <v>0</v>
      </c>
      <c r="X28" s="26" t="n">
        <v>1</v>
      </c>
      <c r="Y28" s="25" t="n"/>
      <c r="Z28" s="26" t="n">
        <v>-178</v>
      </c>
      <c r="AA28" s="28" t="n">
        <v>0.64</v>
      </c>
      <c r="AB28" s="28" t="n">
        <v>-0.000288</v>
      </c>
      <c r="AC28" s="30" t="n">
        <v>1.1236</v>
      </c>
      <c r="AD28" s="24" t="inlineStr">
        <is>
          <t>2026-08-15T11:32:17.275646Z</t>
        </is>
      </c>
      <c r="AE28" s="31" t="inlineStr">
        <is>
          <t>Neutral Elo baseline; executable ask 0.6400 (market_slug=aec-valorant-krx-zeta-2026-08-15).</t>
        </is>
      </c>
      <c r="AF28" s="31" t="inlineStr">
        <is>
          <t>Config-promoted esports baseline; gates enforced at log time.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model_qualified</t>
        </is>
      </c>
      <c r="AL28" s="26" t="n">
        <v>3</v>
      </c>
      <c r="AM28" s="24" t="inlineStr">
        <is>
          <t>QUALIFIED_SHADOW_CALL</t>
        </is>
      </c>
      <c r="AN28" s="24" t="inlineStr">
        <is>
          <t>CALL</t>
        </is>
      </c>
      <c r="AO28" s="24" t="inlineStr">
        <is>
          <t>QUALIFIED</t>
        </is>
      </c>
      <c r="AP28" s="24" t="inlineStr">
        <is>
          <t>ZETA DIVISION</t>
        </is>
      </c>
      <c r="AQ28" s="24" t="inlineStr">
        <is>
          <t>ZETA DIVISION</t>
        </is>
      </c>
      <c r="AR28" s="24" t="inlineStr">
        <is>
          <t>ZETA DIVISION</t>
        </is>
      </c>
      <c r="AS28" s="24" t="inlineStr">
        <is>
          <t>Kiwoom DRX</t>
        </is>
      </c>
      <c r="AT28" s="24" t="inlineStr">
        <is>
          <t>Kiwoom DRX</t>
        </is>
      </c>
      <c r="AU28" s="24" t="inlineStr">
        <is>
          <t>Kiwoom DRX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8b71ae02e72f80de437779cc960074152e30dab093868ebe7cf80ceb18d75304</t>
        </is>
      </c>
      <c r="BB28" s="24" t="inlineStr">
        <is>
          <t>neutral_elo</t>
        </is>
      </c>
      <c r="BC28" s="24" t="inlineStr">
        <is>
          <t>valorant-tiered-elo-v6</t>
        </is>
      </c>
      <c r="BD28" s="24" t="inlineStr">
        <is>
          <t>8b71ae02e72f80de437779cc960074152e30dab093868ebe7cf80ceb18d75304</t>
        </is>
      </c>
      <c r="BE28" s="24" t="inlineStr">
        <is>
          <t>1</t>
        </is>
      </c>
      <c r="BF28" s="24" t="inlineStr">
        <is>
          <t>1</t>
        </is>
      </c>
      <c r="BG28" s="24" t="inlineStr">
        <is>
          <t>valorant-tiered-elo-v6</t>
        </is>
      </c>
      <c r="BH28" s="24" t="inlineStr">
        <is>
          <t>2026-08-15T05:20:46.056599Z</t>
        </is>
      </c>
      <c r="BI28" s="24" t="inlineStr">
        <is>
          <t>["same_event","same_team_same_day","same_league_same_day"]</t>
        </is>
      </c>
      <c r="BJ28" s="25" t="n"/>
      <c r="BK28" s="26" t="n">
        <v>-178</v>
      </c>
      <c r="BL28" s="27" t="n">
        <v>1.561798</v>
      </c>
      <c r="BM28" s="28" t="n">
        <v>0.640288</v>
      </c>
      <c r="BN28" s="28" t="n"/>
      <c r="BO28" s="28" t="n"/>
      <c r="BP28" s="25" t="n"/>
      <c r="BQ28" s="27" t="n">
        <v>1.561798</v>
      </c>
      <c r="BR28" s="28" t="n">
        <v>0.64</v>
      </c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inlineStr">
        <is>
          <t>True</t>
        </is>
      </c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 t="n"/>
      <c r="DD28" s="24" t="n"/>
      <c r="DE28" s="24" t="n"/>
      <c r="DF28" s="24" t="n"/>
      <c r="DG28" s="24" t="n"/>
      <c r="DH28" s="24" t="n"/>
      <c r="DI28" s="24" t="n"/>
      <c r="DJ28" s="24" t="inlineStr">
        <is>
          <t>0.640288</t>
        </is>
      </c>
      <c r="DK28" s="24" t="n"/>
      <c r="DL28" s="24" t="n"/>
      <c r="DM28" s="24" t="n"/>
      <c r="DN28" s="24" t="n"/>
      <c r="DO28" s="24" t="n"/>
      <c r="DP28" s="24" t="n"/>
      <c r="DQ28" s="24" t="n"/>
    </row>
    <row r="29" ht="36" customHeight="1">
      <c r="A29" s="24" t="inlineStr">
        <is>
          <t>7bc9379890bf4087</t>
        </is>
      </c>
      <c r="B29" s="24" t="inlineStr">
        <is>
          <t>2026-08-15T08:28:05.506193Z</t>
        </is>
      </c>
      <c r="C29" s="24" t="inlineStr">
        <is>
          <t>2026-08-15T11:00:00Z</t>
        </is>
      </c>
      <c r="D29" s="24" t="inlineStr">
        <is>
          <t>80491</t>
        </is>
      </c>
      <c r="E29" s="24" t="inlineStr">
        <is>
          <t>VALORANT</t>
        </is>
      </c>
      <c r="F29" s="24" t="inlineStr">
        <is>
          <t>DetonatioN FocusMe</t>
        </is>
      </c>
      <c r="G29" s="24" t="inlineStr">
        <is>
          <t>Sharper Esport</t>
        </is>
      </c>
      <c r="H29" s="24" t="inlineStr">
        <is>
          <t>moneyline</t>
        </is>
      </c>
      <c r="I29" s="24" t="inlineStr">
        <is>
          <t>home</t>
        </is>
      </c>
      <c r="J29" s="25" t="n"/>
      <c r="K29" s="24" t="inlineStr">
        <is>
          <t>polymarket_us</t>
        </is>
      </c>
      <c r="L29" s="26" t="n">
        <v>150</v>
      </c>
      <c r="M29" s="27" t="n">
        <v>2.5</v>
      </c>
      <c r="N29" s="28" t="n">
        <v>0.4</v>
      </c>
      <c r="O29" s="28" t="n">
        <v>0.7594109999999999</v>
      </c>
      <c r="P29" s="28" t="n"/>
      <c r="Q29" s="28" t="n">
        <v>0.359411</v>
      </c>
      <c r="R29" s="26" t="n">
        <v>100</v>
      </c>
      <c r="S29" s="29" t="n">
        <v>2</v>
      </c>
      <c r="T29" s="24" t="inlineStr">
        <is>
          <t>valorant-tiered-elo-v6</t>
        </is>
      </c>
      <c r="U29" s="24" t="inlineStr">
        <is>
          <t>settled</t>
        </is>
      </c>
      <c r="V29" s="24" t="inlineStr">
        <is>
          <t>win</t>
        </is>
      </c>
      <c r="W29" s="26" t="n">
        <v>0</v>
      </c>
      <c r="X29" s="26" t="n">
        <v>1</v>
      </c>
      <c r="Y29" s="25" t="n"/>
      <c r="Z29" s="26" t="n">
        <v>150</v>
      </c>
      <c r="AA29" s="28" t="n">
        <v>0.4</v>
      </c>
      <c r="AB29" s="28" t="n">
        <v>0</v>
      </c>
      <c r="AC29" s="30" t="n">
        <v>3</v>
      </c>
      <c r="AD29" s="24" t="inlineStr">
        <is>
          <t>2026-08-15T14:40:33.604113Z</t>
        </is>
      </c>
      <c r="AE29" s="31" t="inlineStr">
        <is>
          <t>Neutral Elo baseline; executable ask 0.4000 (market_slug=aec-valorant-spe-dfm-2026-08-15).</t>
        </is>
      </c>
      <c r="AF29" s="31" t="inlineStr">
        <is>
          <t>Config-promoted esports baseline; gates enforced at log time.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model_qualified</t>
        </is>
      </c>
      <c r="AL29" s="26" t="n">
        <v>3</v>
      </c>
      <c r="AM29" s="24" t="inlineStr">
        <is>
          <t>QUALIFIED_SHADOW_CALL</t>
        </is>
      </c>
      <c r="AN29" s="24" t="inlineStr">
        <is>
          <t>CALL</t>
        </is>
      </c>
      <c r="AO29" s="24" t="inlineStr">
        <is>
          <t>QUALIFIED</t>
        </is>
      </c>
      <c r="AP29" s="24" t="inlineStr">
        <is>
          <t>DetonatioN FocusMe</t>
        </is>
      </c>
      <c r="AQ29" s="24" t="inlineStr">
        <is>
          <t>DetonatioN FocusMe</t>
        </is>
      </c>
      <c r="AR29" s="24" t="inlineStr">
        <is>
          <t>DetonatioN FocusMe</t>
        </is>
      </c>
      <c r="AS29" s="24" t="inlineStr">
        <is>
          <t>Sharper Esport</t>
        </is>
      </c>
      <c r="AT29" s="24" t="inlineStr">
        <is>
          <t>Sharper Esport</t>
        </is>
      </c>
      <c r="AU29" s="24" t="inlineStr">
        <is>
          <t>Sharper Esport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2141a8607abd2e9ca2f36722766c530120867a2b2cd5683a4b099684683f58ef</t>
        </is>
      </c>
      <c r="BB29" s="24" t="inlineStr">
        <is>
          <t>neutral_elo</t>
        </is>
      </c>
      <c r="BC29" s="24" t="inlineStr">
        <is>
          <t>valorant-tiered-elo-v6</t>
        </is>
      </c>
      <c r="BD29" s="24" t="inlineStr">
        <is>
          <t>2141a8607abd2e9ca2f36722766c530120867a2b2cd5683a4b099684683f58ef</t>
        </is>
      </c>
      <c r="BE29" s="24" t="inlineStr">
        <is>
          <t>1</t>
        </is>
      </c>
      <c r="BF29" s="24" t="inlineStr">
        <is>
          <t>1</t>
        </is>
      </c>
      <c r="BG29" s="24" t="inlineStr">
        <is>
          <t>valorant-tiered-elo-v6</t>
        </is>
      </c>
      <c r="BH29" s="24" t="inlineStr">
        <is>
          <t>2026-08-15T08:27:56.986681Z</t>
        </is>
      </c>
      <c r="BI29" s="24" t="inlineStr">
        <is>
          <t>["same_event","same_team_same_day","same_league_same_day"]</t>
        </is>
      </c>
      <c r="BJ29" s="25" t="n"/>
      <c r="BK29" s="26" t="n">
        <v>150</v>
      </c>
      <c r="BL29" s="27" t="n">
        <v>2.5</v>
      </c>
      <c r="BM29" s="28" t="n">
        <v>0.4</v>
      </c>
      <c r="BN29" s="28" t="n"/>
      <c r="BO29" s="28" t="n"/>
      <c r="BP29" s="25" t="n"/>
      <c r="BQ29" s="27" t="n">
        <v>2.5</v>
      </c>
      <c r="BR29" s="28" t="n">
        <v>0.4</v>
      </c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inlineStr">
        <is>
          <t>True</t>
        </is>
      </c>
      <c r="CT29" s="24" t="n"/>
      <c r="CU29" s="24" t="n"/>
      <c r="CV29" s="24" t="n"/>
      <c r="CW29" s="24" t="n"/>
      <c r="CX29" s="24" t="n"/>
      <c r="CY29" s="24" t="n"/>
      <c r="CZ29" s="24" t="n"/>
      <c r="DA29" s="24" t="n"/>
      <c r="DB29" s="24" t="n"/>
      <c r="DC29" s="24" t="n"/>
      <c r="DD29" s="24" t="n"/>
      <c r="DE29" s="24" t="n"/>
      <c r="DF29" s="24" t="n"/>
      <c r="DG29" s="24" t="n"/>
      <c r="DH29" s="24" t="n"/>
      <c r="DI29" s="24" t="n"/>
      <c r="DJ29" s="24" t="inlineStr">
        <is>
          <t>0.4</t>
        </is>
      </c>
      <c r="DK29" s="24" t="n"/>
      <c r="DL29" s="24" t="n"/>
      <c r="DM29" s="24" t="n"/>
      <c r="DN29" s="24" t="n"/>
      <c r="DO29" s="24" t="n"/>
      <c r="DP29" s="24" t="n"/>
      <c r="DQ29" s="24" t="n"/>
    </row>
    <row r="30" ht="36" customHeight="1">
      <c r="A30" s="24" t="inlineStr">
        <is>
          <t>25a700492b9d480b</t>
        </is>
      </c>
      <c r="B30" s="24" t="inlineStr">
        <is>
          <t>2026-08-15T21:07:37.341184Z</t>
        </is>
      </c>
      <c r="C30" s="24" t="inlineStr">
        <is>
          <t>2026-08-16T00:00:00Z</t>
        </is>
      </c>
      <c r="D30" s="24" t="inlineStr">
        <is>
          <t>81159</t>
        </is>
      </c>
      <c r="E30" s="24" t="inlineStr">
        <is>
          <t>VALORANT</t>
        </is>
      </c>
      <c r="F30" s="24" t="inlineStr">
        <is>
          <t>Sentinels</t>
        </is>
      </c>
      <c r="G30" s="24" t="inlineStr">
        <is>
          <t>Team Envy</t>
        </is>
      </c>
      <c r="H30" s="24" t="inlineStr">
        <is>
          <t>moneyline</t>
        </is>
      </c>
      <c r="I30" s="24" t="inlineStr">
        <is>
          <t>home</t>
        </is>
      </c>
      <c r="J30" s="25" t="n"/>
      <c r="K30" s="24" t="inlineStr">
        <is>
          <t>polymarket_us</t>
        </is>
      </c>
      <c r="L30" s="26" t="n">
        <v>194</v>
      </c>
      <c r="M30" s="27" t="n">
        <v>2.94</v>
      </c>
      <c r="N30" s="28" t="n">
        <v>0.340136</v>
      </c>
      <c r="O30" s="28" t="n">
        <v>0.578012</v>
      </c>
      <c r="P30" s="28" t="n"/>
      <c r="Q30" s="28" t="n">
        <v>0.237876</v>
      </c>
      <c r="R30" s="26" t="n">
        <v>100</v>
      </c>
      <c r="S30" s="29" t="n">
        <v>1.25</v>
      </c>
      <c r="T30" s="24" t="inlineStr">
        <is>
          <t>valorant-tiered-elo-v6</t>
        </is>
      </c>
      <c r="U30" s="24" t="inlineStr">
        <is>
          <t>settled</t>
        </is>
      </c>
      <c r="V30" s="24" t="inlineStr">
        <is>
          <t>win</t>
        </is>
      </c>
      <c r="W30" s="26" t="n">
        <v>0</v>
      </c>
      <c r="X30" s="26" t="n">
        <v>1</v>
      </c>
      <c r="Y30" s="25" t="n"/>
      <c r="Z30" s="26" t="n">
        <v>194</v>
      </c>
      <c r="AA30" s="28" t="n">
        <v>0.34</v>
      </c>
      <c r="AB30" s="28" t="n">
        <v>-0.000136</v>
      </c>
      <c r="AC30" s="30" t="n">
        <v>2.425</v>
      </c>
      <c r="AD30" s="24" t="inlineStr">
        <is>
          <t>2026-08-16T03:17:26.219862Z</t>
        </is>
      </c>
      <c r="AE30" s="31" t="inlineStr">
        <is>
          <t>Neutral Elo baseline; executable ask 0.3400 (market_slug=aec-valorant-nv-sen-2026-08-16).</t>
        </is>
      </c>
      <c r="AF30" s="31" t="inlineStr">
        <is>
          <t>Config-promoted esports baseline; gates enforced at log time.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model_qualified</t>
        </is>
      </c>
      <c r="AL30" s="26" t="n">
        <v>3</v>
      </c>
      <c r="AM30" s="24" t="inlineStr">
        <is>
          <t>QUALIFIED_SHADOW_CALL</t>
        </is>
      </c>
      <c r="AN30" s="24" t="inlineStr">
        <is>
          <t>CALL</t>
        </is>
      </c>
      <c r="AO30" s="24" t="inlineStr">
        <is>
          <t>QUALIFIED</t>
        </is>
      </c>
      <c r="AP30" s="24" t="inlineStr">
        <is>
          <t>Sentinels</t>
        </is>
      </c>
      <c r="AQ30" s="24" t="inlineStr">
        <is>
          <t>Sentinels</t>
        </is>
      </c>
      <c r="AR30" s="24" t="inlineStr">
        <is>
          <t>Sentinels</t>
        </is>
      </c>
      <c r="AS30" s="24" t="inlineStr">
        <is>
          <t>Team Envy</t>
        </is>
      </c>
      <c r="AT30" s="24" t="inlineStr">
        <is>
          <t>Team Envy</t>
        </is>
      </c>
      <c r="AU30" s="24" t="inlineStr">
        <is>
          <t>Team Envy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dbb3b6433bcdb4df5be47396fdb9949d7f012e879f379e2ba9e1ee5253efe89b</t>
        </is>
      </c>
      <c r="BB30" s="24" t="inlineStr">
        <is>
          <t>neutral_elo</t>
        </is>
      </c>
      <c r="BC30" s="24" t="inlineStr">
        <is>
          <t>valorant-tiered-elo-v6</t>
        </is>
      </c>
      <c r="BD30" s="24" t="inlineStr">
        <is>
          <t>dbb3b6433bcdb4df5be47396fdb9949d7f012e879f379e2ba9e1ee5253efe89b</t>
        </is>
      </c>
      <c r="BE30" s="24" t="inlineStr">
        <is>
          <t>1</t>
        </is>
      </c>
      <c r="BF30" s="24" t="inlineStr">
        <is>
          <t>1</t>
        </is>
      </c>
      <c r="BG30" s="24" t="inlineStr">
        <is>
          <t>valorant-tiered-elo-v6</t>
        </is>
      </c>
      <c r="BH30" s="24" t="inlineStr">
        <is>
          <t>2026-08-15T21:07:31.641095Z</t>
        </is>
      </c>
      <c r="BI30" s="24" t="inlineStr">
        <is>
          <t>["same_event","same_team_same_day","same_league_same_day"]</t>
        </is>
      </c>
      <c r="BJ30" s="25" t="n"/>
      <c r="BK30" s="26" t="n">
        <v>194</v>
      </c>
      <c r="BL30" s="27" t="n">
        <v>2.94</v>
      </c>
      <c r="BM30" s="28" t="n">
        <v>0.340136</v>
      </c>
      <c r="BN30" s="28" t="n"/>
      <c r="BO30" s="28" t="n"/>
      <c r="BP30" s="25" t="n"/>
      <c r="BQ30" s="27" t="n">
        <v>2.94</v>
      </c>
      <c r="BR30" s="28" t="n">
        <v>0.34</v>
      </c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inlineStr">
        <is>
          <t>True</t>
        </is>
      </c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inlineStr">
        <is>
          <t>0.340136</t>
        </is>
      </c>
      <c r="DK30" s="24" t="n"/>
      <c r="DL30" s="24" t="n"/>
      <c r="DM30" s="24" t="n"/>
      <c r="DN30" s="24" t="n"/>
      <c r="DO30" s="24" t="n"/>
      <c r="DP30" s="24" t="n"/>
      <c r="DQ30" s="24" t="n"/>
    </row>
    <row r="31" ht="36" customHeight="1">
      <c r="A31" s="24" t="inlineStr">
        <is>
          <t>77dfd6ce92ff4556</t>
        </is>
      </c>
      <c r="B31" s="24" t="inlineStr">
        <is>
          <t>2026-08-16T06:25:42.422956Z</t>
        </is>
      </c>
      <c r="C31" s="24" t="inlineStr">
        <is>
          <t>2026-08-16T08:00:00Z</t>
        </is>
      </c>
      <c r="D31" s="24" t="inlineStr">
        <is>
          <t>81283</t>
        </is>
      </c>
      <c r="E31" s="24" t="inlineStr">
        <is>
          <t>VALORANT</t>
        </is>
      </c>
      <c r="F31" s="24" t="inlineStr">
        <is>
          <t>TEC Esports</t>
        </is>
      </c>
      <c r="G31" s="24" t="inlineStr">
        <is>
          <t>Nova Esports</t>
        </is>
      </c>
      <c r="H31" s="24" t="inlineStr">
        <is>
          <t>moneyline</t>
        </is>
      </c>
      <c r="I31" s="24" t="inlineStr">
        <is>
          <t>home</t>
        </is>
      </c>
      <c r="J31" s="25" t="n"/>
      <c r="K31" s="24" t="inlineStr">
        <is>
          <t>polymarket_us</t>
        </is>
      </c>
      <c r="L31" s="26" t="n">
        <v>-163</v>
      </c>
      <c r="M31" s="27" t="n">
        <v>1.613497</v>
      </c>
      <c r="N31" s="28" t="n">
        <v>0.619772</v>
      </c>
      <c r="O31" s="28" t="n">
        <v>0.681862</v>
      </c>
      <c r="P31" s="28" t="n"/>
      <c r="Q31" s="28" t="n">
        <v>0.06209</v>
      </c>
      <c r="R31" s="26" t="n">
        <v>51</v>
      </c>
      <c r="S31" s="29" t="n">
        <v>2</v>
      </c>
      <c r="T31" s="24" t="inlineStr">
        <is>
          <t>valorant-tiered-elo-v6</t>
        </is>
      </c>
      <c r="U31" s="24" t="inlineStr">
        <is>
          <t>settled</t>
        </is>
      </c>
      <c r="V31" s="24" t="inlineStr">
        <is>
          <t>win</t>
        </is>
      </c>
      <c r="W31" s="26" t="n">
        <v>0</v>
      </c>
      <c r="X31" s="26" t="n">
        <v>1</v>
      </c>
      <c r="Y31" s="25" t="n"/>
      <c r="Z31" s="26" t="n">
        <v>-163</v>
      </c>
      <c r="AA31" s="28" t="n">
        <v>0.62</v>
      </c>
      <c r="AB31" s="28" t="n">
        <v>0.000228</v>
      </c>
      <c r="AC31" s="30" t="n">
        <v>1.227</v>
      </c>
      <c r="AD31" s="24" t="inlineStr">
        <is>
          <t>2026-08-16T14:32:33.044309Z</t>
        </is>
      </c>
      <c r="AE31" s="31" t="inlineStr">
        <is>
          <t>Neutral Elo baseline; executable ask 0.6200 (market_slug=aec-valorant-nova-tec-2026-08-16).</t>
        </is>
      </c>
      <c r="AF31" s="31" t="inlineStr">
        <is>
          <t>Config-promoted esports baseline; gates enforced at log time.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model_qualified</t>
        </is>
      </c>
      <c r="AL31" s="26" t="n">
        <v>3</v>
      </c>
      <c r="AM31" s="24" t="inlineStr">
        <is>
          <t>QUALIFIED_SHADOW_CALL</t>
        </is>
      </c>
      <c r="AN31" s="24" t="inlineStr">
        <is>
          <t>CALL</t>
        </is>
      </c>
      <c r="AO31" s="24" t="inlineStr">
        <is>
          <t>QUALIFIED</t>
        </is>
      </c>
      <c r="AP31" s="24" t="inlineStr">
        <is>
          <t>TEC Esports</t>
        </is>
      </c>
      <c r="AQ31" s="24" t="inlineStr">
        <is>
          <t>TEC Esports</t>
        </is>
      </c>
      <c r="AR31" s="24" t="inlineStr">
        <is>
          <t>TEC Esports</t>
        </is>
      </c>
      <c r="AS31" s="24" t="inlineStr">
        <is>
          <t>Nova Esports</t>
        </is>
      </c>
      <c r="AT31" s="24" t="inlineStr">
        <is>
          <t>Nova Esports</t>
        </is>
      </c>
      <c r="AU31" s="24" t="inlineStr">
        <is>
          <t>Nova Esports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ea89424e8f9aba327cdf1861839d3a6a9cfd985416ca99eaf03f78c7aeb72938</t>
        </is>
      </c>
      <c r="BB31" s="24" t="inlineStr">
        <is>
          <t>neutral_elo</t>
        </is>
      </c>
      <c r="BC31" s="24" t="inlineStr">
        <is>
          <t>valorant-tiered-elo-v6</t>
        </is>
      </c>
      <c r="BD31" s="24" t="inlineStr">
        <is>
          <t>ea89424e8f9aba327cdf1861839d3a6a9cfd985416ca99eaf03f78c7aeb72938</t>
        </is>
      </c>
      <c r="BE31" s="24" t="inlineStr">
        <is>
          <t>1</t>
        </is>
      </c>
      <c r="BF31" s="24" t="inlineStr">
        <is>
          <t>1</t>
        </is>
      </c>
      <c r="BG31" s="24" t="inlineStr">
        <is>
          <t>valorant-tiered-elo-v6</t>
        </is>
      </c>
      <c r="BH31" s="24" t="inlineStr">
        <is>
          <t>2026-08-16T06:25:34.091975Z</t>
        </is>
      </c>
      <c r="BI31" s="24" t="inlineStr">
        <is>
          <t>["same_event","same_team_same_day","same_league_same_day"]</t>
        </is>
      </c>
      <c r="BJ31" s="25" t="n"/>
      <c r="BK31" s="26" t="n">
        <v>-163</v>
      </c>
      <c r="BL31" s="27" t="n">
        <v>1.613497</v>
      </c>
      <c r="BM31" s="28" t="n">
        <v>0.619772</v>
      </c>
      <c r="BN31" s="28" t="n"/>
      <c r="BO31" s="28" t="n"/>
      <c r="BP31" s="25" t="n"/>
      <c r="BQ31" s="27" t="n">
        <v>1.613497</v>
      </c>
      <c r="BR31" s="28" t="n">
        <v>0.62</v>
      </c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True</t>
        </is>
      </c>
      <c r="CT31" s="24" t="n"/>
      <c r="CU31" s="24" t="n"/>
      <c r="CV31" s="24" t="n"/>
      <c r="CW31" s="24" t="n"/>
      <c r="CX31" s="24" t="n"/>
      <c r="CY31" s="24" t="n"/>
      <c r="CZ31" s="24" t="n"/>
      <c r="DA31" s="24" t="n"/>
      <c r="DB31" s="24" t="n"/>
      <c r="DC31" s="24" t="n"/>
      <c r="DD31" s="24" t="n"/>
      <c r="DE31" s="24" t="n"/>
      <c r="DF31" s="24" t="n"/>
      <c r="DG31" s="24" t="n"/>
      <c r="DH31" s="24" t="n"/>
      <c r="DI31" s="24" t="n"/>
      <c r="DJ31" s="24" t="inlineStr">
        <is>
          <t>0.619772</t>
        </is>
      </c>
      <c r="DK31" s="24" t="n"/>
      <c r="DL31" s="24" t="n"/>
      <c r="DM31" s="24" t="n"/>
      <c r="DN31" s="24" t="n"/>
      <c r="DO31" s="24" t="n"/>
      <c r="DP31" s="24" t="n"/>
      <c r="DQ31" s="24" t="n"/>
    </row>
    <row r="32" ht="36" customHeight="1">
      <c r="A32" s="24" t="inlineStr">
        <is>
          <t>19e9146e3ad24e3f</t>
        </is>
      </c>
      <c r="B32" s="24" t="inlineStr">
        <is>
          <t>2026-08-16T09:37:02.120391Z</t>
        </is>
      </c>
      <c r="C32" s="24" t="inlineStr">
        <is>
          <t>2026-08-16T13:00:00Z</t>
        </is>
      </c>
      <c r="D32" s="24" t="inlineStr">
        <is>
          <t>82859</t>
        </is>
      </c>
      <c r="E32" s="24" t="inlineStr">
        <is>
          <t>VALORANT</t>
        </is>
      </c>
      <c r="F32" s="24" t="inlineStr">
        <is>
          <t>Eintracht Frankfurt</t>
        </is>
      </c>
      <c r="G32" s="24" t="inlineStr">
        <is>
          <t>Eternal Fire</t>
        </is>
      </c>
      <c r="H32" s="24" t="inlineStr">
        <is>
          <t>moneyline</t>
        </is>
      </c>
      <c r="I32" s="24" t="inlineStr">
        <is>
          <t>away</t>
        </is>
      </c>
      <c r="J32" s="25" t="n"/>
      <c r="K32" s="24" t="inlineStr">
        <is>
          <t>polymarket_us</t>
        </is>
      </c>
      <c r="L32" s="26" t="n">
        <v>117</v>
      </c>
      <c r="M32" s="27" t="n">
        <v>2.17</v>
      </c>
      <c r="N32" s="28" t="n">
        <v>0.460829</v>
      </c>
      <c r="O32" s="28" t="n">
        <v>0.643495</v>
      </c>
      <c r="P32" s="28" t="n"/>
      <c r="Q32" s="28" t="n">
        <v>0.182666</v>
      </c>
      <c r="R32" s="26" t="n">
        <v>100</v>
      </c>
      <c r="S32" s="29" t="n">
        <v>1.5</v>
      </c>
      <c r="T32" s="24" t="inlineStr">
        <is>
          <t>valorant-tiered-elo-v6</t>
        </is>
      </c>
      <c r="U32" s="24" t="inlineStr">
        <is>
          <t>settled</t>
        </is>
      </c>
      <c r="V32" s="24" t="inlineStr">
        <is>
          <t>win</t>
        </is>
      </c>
      <c r="W32" s="26" t="n">
        <v>1</v>
      </c>
      <c r="X32" s="26" t="n">
        <v>0</v>
      </c>
      <c r="Y32" s="25" t="n"/>
      <c r="Z32" s="26" t="n">
        <v>117</v>
      </c>
      <c r="AA32" s="28" t="n">
        <v>0.46</v>
      </c>
      <c r="AB32" s="28" t="n">
        <v>-0.000829</v>
      </c>
      <c r="AC32" s="30" t="n">
        <v>1.755</v>
      </c>
      <c r="AD32" s="24" t="inlineStr">
        <is>
          <t>2026-08-16T17:42:08.064748Z</t>
        </is>
      </c>
      <c r="AE32" s="31" t="inlineStr">
        <is>
          <t>Neutral Elo baseline; executable ask 0.4600 (market_slug=aec-valorant-ef-sge-2026-08-16).</t>
        </is>
      </c>
      <c r="AF32" s="31" t="inlineStr">
        <is>
          <t>Config-promoted esports baseline; gates enforced at log time.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model_qualified</t>
        </is>
      </c>
      <c r="AL32" s="26" t="n">
        <v>3</v>
      </c>
      <c r="AM32" s="24" t="inlineStr">
        <is>
          <t>QUALIFIED_SHADOW_CALL</t>
        </is>
      </c>
      <c r="AN32" s="24" t="inlineStr">
        <is>
          <t>CALL</t>
        </is>
      </c>
      <c r="AO32" s="24" t="inlineStr">
        <is>
          <t>QUALIFIED</t>
        </is>
      </c>
      <c r="AP32" s="24" t="inlineStr">
        <is>
          <t>Eintracht Frankfurt</t>
        </is>
      </c>
      <c r="AQ32" s="24" t="inlineStr">
        <is>
          <t>Eintracht Frankfurt</t>
        </is>
      </c>
      <c r="AR32" s="24" t="inlineStr">
        <is>
          <t>Eintracht Frankfurt</t>
        </is>
      </c>
      <c r="AS32" s="24" t="inlineStr">
        <is>
          <t>Eternal Fire</t>
        </is>
      </c>
      <c r="AT32" s="24" t="inlineStr">
        <is>
          <t>Eternal Fire</t>
        </is>
      </c>
      <c r="AU32" s="24" t="inlineStr">
        <is>
          <t>Eternal Fire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9b14bd8f4aa99c5fcee11367d5540281124223669f3ba889a3e7c0c38feef63a</t>
        </is>
      </c>
      <c r="BB32" s="24" t="inlineStr">
        <is>
          <t>neutral_elo</t>
        </is>
      </c>
      <c r="BC32" s="24" t="inlineStr">
        <is>
          <t>valorant-tiered-elo-v6</t>
        </is>
      </c>
      <c r="BD32" s="24" t="inlineStr">
        <is>
          <t>9b14bd8f4aa99c5fcee11367d5540281124223669f3ba889a3e7c0c38feef63a</t>
        </is>
      </c>
      <c r="BE32" s="24" t="inlineStr">
        <is>
          <t>1</t>
        </is>
      </c>
      <c r="BF32" s="24" t="inlineStr">
        <is>
          <t>1</t>
        </is>
      </c>
      <c r="BG32" s="24" t="inlineStr">
        <is>
          <t>valorant-tiered-elo-v6</t>
        </is>
      </c>
      <c r="BH32" s="24" t="inlineStr">
        <is>
          <t>2026-08-16T09:36:56.205280Z</t>
        </is>
      </c>
      <c r="BI32" s="24" t="inlineStr">
        <is>
          <t>["same_event","same_team_same_day","same_league_same_day"]</t>
        </is>
      </c>
      <c r="BJ32" s="25" t="n"/>
      <c r="BK32" s="26" t="n">
        <v>117</v>
      </c>
      <c r="BL32" s="27" t="n">
        <v>2.17</v>
      </c>
      <c r="BM32" s="28" t="n">
        <v>0.460829</v>
      </c>
      <c r="BN32" s="28" t="n"/>
      <c r="BO32" s="28" t="n"/>
      <c r="BP32" s="25" t="n"/>
      <c r="BQ32" s="27" t="n">
        <v>2.17</v>
      </c>
      <c r="BR32" s="28" t="n">
        <v>0.46</v>
      </c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inlineStr">
        <is>
          <t>True</t>
        </is>
      </c>
      <c r="CT32" s="24" t="n"/>
      <c r="CU32" s="24" t="n"/>
      <c r="CV32" s="24" t="n"/>
      <c r="CW32" s="24" t="n"/>
      <c r="CX32" s="24" t="n"/>
      <c r="CY32" s="24" t="n"/>
      <c r="CZ32" s="24" t="n"/>
      <c r="DA32" s="24" t="n"/>
      <c r="DB32" s="24" t="n"/>
      <c r="DC32" s="24" t="n"/>
      <c r="DD32" s="24" t="n"/>
      <c r="DE32" s="24" t="n"/>
      <c r="DF32" s="24" t="n"/>
      <c r="DG32" s="24" t="n"/>
      <c r="DH32" s="24" t="n"/>
      <c r="DI32" s="24" t="n"/>
      <c r="DJ32" s="24" t="inlineStr">
        <is>
          <t>0.460829</t>
        </is>
      </c>
      <c r="DK32" s="24" t="n"/>
      <c r="DL32" s="24" t="n"/>
      <c r="DM32" s="24" t="n"/>
      <c r="DN32" s="24" t="n"/>
      <c r="DO32" s="24" t="n"/>
      <c r="DP32" s="24" t="n"/>
      <c r="DQ32" s="24" t="n"/>
    </row>
    <row r="33" ht="36" customHeight="1">
      <c r="A33" s="24" t="inlineStr">
        <is>
          <t>6d794e7052804f01</t>
        </is>
      </c>
      <c r="B33" s="24" t="inlineStr">
        <is>
          <t>2026-08-16T14:37:18.048442Z</t>
        </is>
      </c>
      <c r="C33" s="24" t="inlineStr">
        <is>
          <t>2026-08-16T16:00:00Z</t>
        </is>
      </c>
      <c r="D33" s="24" t="inlineStr">
        <is>
          <t>82860</t>
        </is>
      </c>
      <c r="E33" s="24" t="inlineStr">
        <is>
          <t>VALORANT</t>
        </is>
      </c>
      <c r="F33" s="24" t="inlineStr">
        <is>
          <t>Joblife</t>
        </is>
      </c>
      <c r="G33" s="24" t="inlineStr">
        <is>
          <t>Fire Flux Esports</t>
        </is>
      </c>
      <c r="H33" s="24" t="inlineStr">
        <is>
          <t>moneyline</t>
        </is>
      </c>
      <c r="I33" s="24" t="inlineStr">
        <is>
          <t>away</t>
        </is>
      </c>
      <c r="J33" s="25" t="n"/>
      <c r="K33" s="24" t="inlineStr">
        <is>
          <t>polymarket_us</t>
        </is>
      </c>
      <c r="L33" s="26" t="n">
        <v>104</v>
      </c>
      <c r="M33" s="27" t="n">
        <v>2.04</v>
      </c>
      <c r="N33" s="28" t="n">
        <v>0.490196</v>
      </c>
      <c r="O33" s="28" t="n">
        <v>0.711539</v>
      </c>
      <c r="P33" s="28" t="n"/>
      <c r="Q33" s="28" t="n">
        <v>0.221343</v>
      </c>
      <c r="R33" s="26" t="n">
        <v>100</v>
      </c>
      <c r="S33" s="29" t="n">
        <v>2</v>
      </c>
      <c r="T33" s="24" t="inlineStr">
        <is>
          <t>valorant-tiered-elo-v6</t>
        </is>
      </c>
      <c r="U33" s="24" t="inlineStr">
        <is>
          <t>settled</t>
        </is>
      </c>
      <c r="V33" s="24" t="inlineStr">
        <is>
          <t>loss</t>
        </is>
      </c>
      <c r="W33" s="26" t="n">
        <v>0</v>
      </c>
      <c r="X33" s="26" t="n">
        <v>1</v>
      </c>
      <c r="Y33" s="25" t="n"/>
      <c r="Z33" s="26" t="n">
        <v>104</v>
      </c>
      <c r="AA33" s="28" t="n">
        <v>0.49</v>
      </c>
      <c r="AB33" s="28" t="n">
        <v>-0.000196</v>
      </c>
      <c r="AC33" s="30" t="n">
        <v>-2</v>
      </c>
      <c r="AD33" s="24" t="inlineStr">
        <is>
          <t>2026-08-16T17:42:09.408105Z</t>
        </is>
      </c>
      <c r="AE33" s="31" t="inlineStr">
        <is>
          <t>Neutral Elo baseline; executable ask 0.4900 (market_slug=aec-valorant-ff-jl-2026-08-16).</t>
        </is>
      </c>
      <c r="AF33" s="31" t="inlineStr">
        <is>
          <t>Config-promoted esports baseline; gates enforced at log time.</t>
        </is>
      </c>
      <c r="AG33" s="24" t="inlineStr">
        <is>
          <t>review_required</t>
        </is>
      </c>
      <c r="AH33" s="24" t="n"/>
      <c r="AI33" s="31" t="n"/>
      <c r="AJ33" s="31" t="n"/>
      <c r="AK33" s="24" t="inlineStr">
        <is>
          <t>model_qualified</t>
        </is>
      </c>
      <c r="AL33" s="26" t="n">
        <v>3</v>
      </c>
      <c r="AM33" s="24" t="inlineStr">
        <is>
          <t>QUALIFIED_SHADOW_CALL</t>
        </is>
      </c>
      <c r="AN33" s="24" t="inlineStr">
        <is>
          <t>CALL</t>
        </is>
      </c>
      <c r="AO33" s="24" t="inlineStr">
        <is>
          <t>QUALIFIED</t>
        </is>
      </c>
      <c r="AP33" s="24" t="inlineStr">
        <is>
          <t>Joblife</t>
        </is>
      </c>
      <c r="AQ33" s="24" t="inlineStr">
        <is>
          <t>Joblife</t>
        </is>
      </c>
      <c r="AR33" s="24" t="inlineStr">
        <is>
          <t>Joblife</t>
        </is>
      </c>
      <c r="AS33" s="24" t="inlineStr">
        <is>
          <t>Fire Flux Esports</t>
        </is>
      </c>
      <c r="AT33" s="24" t="inlineStr">
        <is>
          <t>Fire Flux Esports</t>
        </is>
      </c>
      <c r="AU33" s="24" t="inlineStr">
        <is>
          <t>Fire Flux Esports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7189be839fd3e50a6ce4d8d11aa67e8238e02645f50570fd792145fb4abfdf3c</t>
        </is>
      </c>
      <c r="BB33" s="24" t="inlineStr">
        <is>
          <t>neutral_elo</t>
        </is>
      </c>
      <c r="BC33" s="24" t="inlineStr">
        <is>
          <t>valorant-tiered-elo-v6</t>
        </is>
      </c>
      <c r="BD33" s="24" t="inlineStr">
        <is>
          <t>7189be839fd3e50a6ce4d8d11aa67e8238e02645f50570fd792145fb4abfdf3c</t>
        </is>
      </c>
      <c r="BE33" s="24" t="inlineStr">
        <is>
          <t>1</t>
        </is>
      </c>
      <c r="BF33" s="24" t="inlineStr">
        <is>
          <t>1</t>
        </is>
      </c>
      <c r="BG33" s="24" t="inlineStr">
        <is>
          <t>valorant-tiered-elo-v6</t>
        </is>
      </c>
      <c r="BH33" s="24" t="inlineStr">
        <is>
          <t>2026-08-16T14:37:12.084622Z</t>
        </is>
      </c>
      <c r="BI33" s="24" t="inlineStr">
        <is>
          <t>["same_event","same_team_same_day","same_league_same_day"]</t>
        </is>
      </c>
      <c r="BJ33" s="25" t="n"/>
      <c r="BK33" s="26" t="n">
        <v>104</v>
      </c>
      <c r="BL33" s="27" t="n">
        <v>2.04</v>
      </c>
      <c r="BM33" s="28" t="n">
        <v>0.490196</v>
      </c>
      <c r="BN33" s="28" t="n"/>
      <c r="BO33" s="28" t="n"/>
      <c r="BP33" s="25" t="n"/>
      <c r="BQ33" s="27" t="n">
        <v>2.04</v>
      </c>
      <c r="BR33" s="28" t="n">
        <v>0.49</v>
      </c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inlineStr">
        <is>
          <t>True</t>
        </is>
      </c>
      <c r="CT33" s="24" t="n"/>
      <c r="CU33" s="24" t="n"/>
      <c r="CV33" s="24" t="n"/>
      <c r="CW33" s="24" t="n"/>
      <c r="CX33" s="24" t="n"/>
      <c r="CY33" s="24" t="n"/>
      <c r="CZ33" s="24" t="n"/>
      <c r="DA33" s="24" t="n"/>
      <c r="DB33" s="24" t="n"/>
      <c r="DC33" s="24" t="n"/>
      <c r="DD33" s="24" t="n"/>
      <c r="DE33" s="24" t="n"/>
      <c r="DF33" s="24" t="n"/>
      <c r="DG33" s="24" t="n"/>
      <c r="DH33" s="24" t="n"/>
      <c r="DI33" s="24" t="n"/>
      <c r="DJ33" s="24" t="inlineStr">
        <is>
          <t>0.490196</t>
        </is>
      </c>
      <c r="DK33" s="24" t="n"/>
      <c r="DL33" s="24" t="n"/>
      <c r="DM33" s="24" t="n"/>
      <c r="DN33" s="24" t="n"/>
      <c r="DO33" s="24" t="n"/>
      <c r="DP33" s="24" t="n"/>
      <c r="DQ33" s="24" t="n"/>
    </row>
    <row r="34" ht="36" customHeight="1">
      <c r="A34" s="24" t="inlineStr">
        <is>
          <t>86e4bab92c184046</t>
        </is>
      </c>
      <c r="B34" s="24" t="inlineStr">
        <is>
          <t>2026-08-16T17:45:36.898142Z</t>
        </is>
      </c>
      <c r="C34" s="24" t="inlineStr">
        <is>
          <t>2026-08-17T00:00:00Z</t>
        </is>
      </c>
      <c r="D34" s="24" t="inlineStr">
        <is>
          <t>81919</t>
        </is>
      </c>
      <c r="E34" s="24" t="inlineStr">
        <is>
          <t>VALORANT</t>
        </is>
      </c>
      <c r="F34" s="24" t="inlineStr">
        <is>
          <t>Evil Geniuses</t>
        </is>
      </c>
      <c r="G34" s="24" t="inlineStr">
        <is>
          <t>Cloud9</t>
        </is>
      </c>
      <c r="H34" s="24" t="inlineStr">
        <is>
          <t>moneyline</t>
        </is>
      </c>
      <c r="I34" s="24" t="inlineStr">
        <is>
          <t>home</t>
        </is>
      </c>
      <c r="J34" s="25" t="n"/>
      <c r="K34" s="24" t="inlineStr">
        <is>
          <t>polymarket_us</t>
        </is>
      </c>
      <c r="L34" s="26" t="n">
        <v>-122</v>
      </c>
      <c r="M34" s="27" t="n">
        <v>1.819672</v>
      </c>
      <c r="N34" s="28" t="n">
        <v>0.54955</v>
      </c>
      <c r="O34" s="28" t="n">
        <v>0.579521</v>
      </c>
      <c r="P34" s="28" t="n"/>
      <c r="Q34" s="28" t="n">
        <v>0.029971</v>
      </c>
      <c r="R34" s="26" t="n">
        <v>35</v>
      </c>
      <c r="S34" s="29" t="n">
        <v>1.25</v>
      </c>
      <c r="T34" s="24" t="inlineStr">
        <is>
          <t>valorant-tiered-elo-v6</t>
        </is>
      </c>
      <c r="U34" s="24" t="inlineStr">
        <is>
          <t>settled</t>
        </is>
      </c>
      <c r="V34" s="24" t="inlineStr">
        <is>
          <t>loss</t>
        </is>
      </c>
      <c r="W34" s="26" t="n">
        <v>1</v>
      </c>
      <c r="X34" s="26" t="n">
        <v>0</v>
      </c>
      <c r="Y34" s="25" t="n"/>
      <c r="Z34" s="26" t="n">
        <v>-122</v>
      </c>
      <c r="AA34" s="28" t="n">
        <v>0.55</v>
      </c>
      <c r="AB34" s="28" t="n">
        <v>0.00045</v>
      </c>
      <c r="AC34" s="30" t="n">
        <v>-1.25</v>
      </c>
      <c r="AD34" s="24" t="inlineStr">
        <is>
          <t>2026-08-17T05:30:49.981338Z</t>
        </is>
      </c>
      <c r="AE34" s="31" t="inlineStr">
        <is>
          <t>Neutral Elo baseline; executable ask 0.5500 (market_slug=aec-valorant-c9-eg-2026-08-17).</t>
        </is>
      </c>
      <c r="AF34" s="31" t="inlineStr">
        <is>
          <t>Config-promoted esports baseline; gates enforced at log time.</t>
        </is>
      </c>
      <c r="AG34" s="24" t="inlineStr">
        <is>
          <t>review_required</t>
        </is>
      </c>
      <c r="AH34" s="24" t="n"/>
      <c r="AI34" s="31" t="n"/>
      <c r="AJ34" s="31" t="n"/>
      <c r="AK34" s="24" t="inlineStr">
        <is>
          <t>model_qualified</t>
        </is>
      </c>
      <c r="AL34" s="26" t="n">
        <v>3</v>
      </c>
      <c r="AM34" s="24" t="inlineStr">
        <is>
          <t>QUALIFIED_SHADOW_CALL</t>
        </is>
      </c>
      <c r="AN34" s="24" t="inlineStr">
        <is>
          <t>CALL</t>
        </is>
      </c>
      <c r="AO34" s="24" t="inlineStr">
        <is>
          <t>QUALIFIED</t>
        </is>
      </c>
      <c r="AP34" s="24" t="inlineStr">
        <is>
          <t>Evil Geniuses</t>
        </is>
      </c>
      <c r="AQ34" s="24" t="inlineStr">
        <is>
          <t>Evil Geniuses</t>
        </is>
      </c>
      <c r="AR34" s="24" t="inlineStr">
        <is>
          <t>Evil Geniuses</t>
        </is>
      </c>
      <c r="AS34" s="24" t="inlineStr">
        <is>
          <t>Cloud9</t>
        </is>
      </c>
      <c r="AT34" s="24" t="inlineStr">
        <is>
          <t>Cloud9</t>
        </is>
      </c>
      <c r="AU34" s="24" t="inlineStr">
        <is>
          <t>Cloud9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shadow_qualified</t>
        </is>
      </c>
      <c r="BA34" s="24" t="inlineStr">
        <is>
          <t>c982c51bd8d11952543db65ccf2e537502f9ec51356bd78771b2987d043ea012</t>
        </is>
      </c>
      <c r="BB34" s="24" t="inlineStr">
        <is>
          <t>neutral_elo</t>
        </is>
      </c>
      <c r="BC34" s="24" t="inlineStr">
        <is>
          <t>valorant-tiered-elo-v6</t>
        </is>
      </c>
      <c r="BD34" s="24" t="inlineStr">
        <is>
          <t>c982c51bd8d11952543db65ccf2e537502f9ec51356bd78771b2987d043ea012</t>
        </is>
      </c>
      <c r="BE34" s="24" t="inlineStr">
        <is>
          <t>1</t>
        </is>
      </c>
      <c r="BF34" s="24" t="inlineStr">
        <is>
          <t>1</t>
        </is>
      </c>
      <c r="BG34" s="24" t="inlineStr">
        <is>
          <t>valorant-tiered-elo-v6</t>
        </is>
      </c>
      <c r="BH34" s="24" t="inlineStr">
        <is>
          <t>2026-08-16T17:45:34.125929Z</t>
        </is>
      </c>
      <c r="BI34" s="24" t="inlineStr">
        <is>
          <t>["same_event","same_team_same_day","same_league_same_day"]</t>
        </is>
      </c>
      <c r="BJ34" s="25" t="n"/>
      <c r="BK34" s="26" t="n">
        <v>-122</v>
      </c>
      <c r="BL34" s="27" t="n">
        <v>1.819672</v>
      </c>
      <c r="BM34" s="28" t="n">
        <v>0.54955</v>
      </c>
      <c r="BN34" s="28" t="n"/>
      <c r="BO34" s="28" t="n"/>
      <c r="BP34" s="25" t="n"/>
      <c r="BQ34" s="27" t="n">
        <v>1.819672</v>
      </c>
      <c r="BR34" s="28" t="n">
        <v>0.55</v>
      </c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inlineStr">
        <is>
          <t>True</t>
        </is>
      </c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/>
      <c r="DH34" s="24" t="n"/>
      <c r="DI34" s="24" t="n"/>
      <c r="DJ34" s="24" t="inlineStr">
        <is>
          <t>0.54955</t>
        </is>
      </c>
      <c r="DK34" s="24" t="n"/>
      <c r="DL34" s="24" t="n"/>
      <c r="DM34" s="24" t="n"/>
      <c r="DN34" s="24" t="n"/>
      <c r="DO34" s="24" t="n"/>
      <c r="DP34" s="24" t="n"/>
      <c r="DQ34" s="24" t="n"/>
    </row>
    <row r="35" ht="36" customHeight="1">
      <c r="A35" s="24" t="inlineStr">
        <is>
          <t>da669748db9844d4</t>
        </is>
      </c>
      <c r="B35" s="24" t="inlineStr">
        <is>
          <t>2026-08-17T08:41:00.664424Z</t>
        </is>
      </c>
      <c r="C35" s="24" t="inlineStr">
        <is>
          <t>2026-08-17T21:00:00Z</t>
        </is>
      </c>
      <c r="D35" s="24" t="inlineStr">
        <is>
          <t>81784</t>
        </is>
      </c>
      <c r="E35" s="24" t="inlineStr">
        <is>
          <t>VALORANT</t>
        </is>
      </c>
      <c r="F35" s="24" t="inlineStr">
        <is>
          <t>SEN Otters</t>
        </is>
      </c>
      <c r="G35" s="24" t="inlineStr">
        <is>
          <t>Cloud9 GC</t>
        </is>
      </c>
      <c r="H35" s="24" t="inlineStr">
        <is>
          <t>moneyline</t>
        </is>
      </c>
      <c r="I35" s="24" t="inlineStr">
        <is>
          <t>home</t>
        </is>
      </c>
      <c r="J35" s="25" t="n"/>
      <c r="K35" s="24" t="inlineStr">
        <is>
          <t>polymarket_us</t>
        </is>
      </c>
      <c r="L35" s="26" t="n">
        <v>150</v>
      </c>
      <c r="M35" s="27" t="n">
        <v>2.5</v>
      </c>
      <c r="N35" s="28" t="n">
        <v>0.4</v>
      </c>
      <c r="O35" s="28" t="n">
        <v>0.50959</v>
      </c>
      <c r="P35" s="28" t="n"/>
      <c r="Q35" s="28" t="n">
        <v>0.10959</v>
      </c>
      <c r="R35" s="26" t="n">
        <v>75</v>
      </c>
      <c r="S35" s="29" t="n">
        <v>1</v>
      </c>
      <c r="T35" s="24" t="inlineStr">
        <is>
          <t>valorant-tiered-elo-v6</t>
        </is>
      </c>
      <c r="U35" s="24" t="inlineStr">
        <is>
          <t>settled</t>
        </is>
      </c>
      <c r="V35" s="24" t="inlineStr">
        <is>
          <t>win</t>
        </is>
      </c>
      <c r="W35" s="26" t="n">
        <v>0</v>
      </c>
      <c r="X35" s="26" t="n">
        <v>1</v>
      </c>
      <c r="Y35" s="25" t="n"/>
      <c r="Z35" s="26" t="n">
        <v>150</v>
      </c>
      <c r="AA35" s="28" t="n">
        <v>0.4</v>
      </c>
      <c r="AB35" s="28" t="n">
        <v>0</v>
      </c>
      <c r="AC35" s="30" t="n">
        <v>1.5</v>
      </c>
      <c r="AD35" s="24" t="inlineStr">
        <is>
          <t>2026-08-18T15:13:42.153220Z</t>
        </is>
      </c>
      <c r="AE35" s="31" t="inlineStr">
        <is>
          <t>Neutral Elo baseline; executable ask 0.4000 (market_slug=aec-valorant-c9gc-soe-2026-08-17).</t>
        </is>
      </c>
      <c r="AF35" s="31" t="inlineStr">
        <is>
          <t>Config-promoted esports baseline; gates enforced at log time.</t>
        </is>
      </c>
      <c r="AG35" s="24" t="inlineStr">
        <is>
          <t>not_applicable</t>
        </is>
      </c>
      <c r="AH35" s="24" t="n"/>
      <c r="AI35" s="31" t="n"/>
      <c r="AJ35" s="31" t="n"/>
      <c r="AK35" s="24" t="inlineStr">
        <is>
          <t>model_qualified</t>
        </is>
      </c>
      <c r="AL35" s="26" t="n">
        <v>3</v>
      </c>
      <c r="AM35" s="24" t="inlineStr">
        <is>
          <t>QUALIFIED_SHADOW_CALL</t>
        </is>
      </c>
      <c r="AN35" s="24" t="inlineStr">
        <is>
          <t>CALL</t>
        </is>
      </c>
      <c r="AO35" s="24" t="inlineStr">
        <is>
          <t>QUALIFIED</t>
        </is>
      </c>
      <c r="AP35" s="24" t="inlineStr">
        <is>
          <t>SEN Otters</t>
        </is>
      </c>
      <c r="AQ35" s="24" t="inlineStr">
        <is>
          <t>SEN Otters</t>
        </is>
      </c>
      <c r="AR35" s="24" t="inlineStr">
        <is>
          <t>SEN Otters</t>
        </is>
      </c>
      <c r="AS35" s="24" t="inlineStr">
        <is>
          <t>Cloud9 GC</t>
        </is>
      </c>
      <c r="AT35" s="24" t="inlineStr">
        <is>
          <t>Cloud9 GC</t>
        </is>
      </c>
      <c r="AU35" s="24" t="inlineStr">
        <is>
          <t>Cloud9 GC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c7f4e0ed6ef99bdd2a229cb7985e4a4bdaede52727edcbdbde4d10ec03034187</t>
        </is>
      </c>
      <c r="BB35" s="24" t="inlineStr">
        <is>
          <t>neutral_elo</t>
        </is>
      </c>
      <c r="BC35" s="24" t="inlineStr">
        <is>
          <t>valorant-tiered-elo-v6</t>
        </is>
      </c>
      <c r="BD35" s="24" t="inlineStr">
        <is>
          <t>c7f4e0ed6ef99bdd2a229cb7985e4a4bdaede52727edcbdbde4d10ec03034187</t>
        </is>
      </c>
      <c r="BE35" s="24" t="inlineStr">
        <is>
          <t>1</t>
        </is>
      </c>
      <c r="BF35" s="24" t="inlineStr">
        <is>
          <t>1</t>
        </is>
      </c>
      <c r="BG35" s="24" t="inlineStr">
        <is>
          <t>valorant-tiered-elo-v6</t>
        </is>
      </c>
      <c r="BH35" s="24" t="inlineStr">
        <is>
          <t>2026-08-17T08:40:56.803503Z</t>
        </is>
      </c>
      <c r="BI35" s="24" t="inlineStr">
        <is>
          <t>["same_event","same_team_same_day","same_league_same_day"]</t>
        </is>
      </c>
      <c r="BJ35" s="25" t="n"/>
      <c r="BK35" s="26" t="n">
        <v>150</v>
      </c>
      <c r="BL35" s="27" t="n">
        <v>2.5</v>
      </c>
      <c r="BM35" s="28" t="n">
        <v>0.4</v>
      </c>
      <c r="BN35" s="28" t="n"/>
      <c r="BO35" s="28" t="n"/>
      <c r="BP35" s="25" t="n"/>
      <c r="BQ35" s="27" t="n">
        <v>2.5</v>
      </c>
      <c r="BR35" s="28" t="n">
        <v>0.4</v>
      </c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inlineStr">
        <is>
          <t>True</t>
        </is>
      </c>
      <c r="CT35" s="24" t="n"/>
      <c r="CU35" s="24" t="n"/>
      <c r="CV35" s="24" t="n"/>
      <c r="CW35" s="24" t="n"/>
      <c r="CX35" s="24" t="n"/>
      <c r="CY35" s="24" t="n"/>
      <c r="CZ35" s="24" t="n"/>
      <c r="DA35" s="24" t="n"/>
      <c r="DB35" s="24" t="n"/>
      <c r="DC35" s="24" t="n"/>
      <c r="DD35" s="24" t="n"/>
      <c r="DE35" s="24" t="n"/>
      <c r="DF35" s="24" t="n"/>
      <c r="DG35" s="24" t="n"/>
      <c r="DH35" s="24" t="n"/>
      <c r="DI35" s="24" t="n"/>
      <c r="DJ35" s="24" t="inlineStr">
        <is>
          <t>0.4</t>
        </is>
      </c>
      <c r="DK35" s="24" t="n"/>
      <c r="DL35" s="24" t="n"/>
      <c r="DM35" s="24" t="n"/>
      <c r="DN35" s="24" t="n"/>
      <c r="DO35" s="24" t="n"/>
      <c r="DP35" s="24" t="n"/>
      <c r="DQ35" s="24" t="n"/>
    </row>
    <row r="36" ht="36" customHeight="1">
      <c r="A36" s="24" t="inlineStr">
        <is>
          <t>aa902905252f42a1</t>
        </is>
      </c>
      <c r="B36" s="24" t="inlineStr">
        <is>
          <t>2026-08-18T15:15:36.318792Z</t>
        </is>
      </c>
      <c r="C36" s="24" t="inlineStr">
        <is>
          <t>2026-08-18T17:00:00Z</t>
        </is>
      </c>
      <c r="D36" s="24" t="inlineStr">
        <is>
          <t>84813</t>
        </is>
      </c>
      <c r="E36" s="24" t="inlineStr">
        <is>
          <t>VALORANT</t>
        </is>
      </c>
      <c r="F36" s="24" t="inlineStr">
        <is>
          <t>G2 Gozen</t>
        </is>
      </c>
      <c r="G36" s="24" t="inlineStr">
        <is>
          <t>FOKUS Sakura</t>
        </is>
      </c>
      <c r="H36" s="24" t="inlineStr">
        <is>
          <t>moneyline</t>
        </is>
      </c>
      <c r="I36" s="24" t="inlineStr">
        <is>
          <t>away</t>
        </is>
      </c>
      <c r="J36" s="25" t="n"/>
      <c r="K36" s="24" t="inlineStr">
        <is>
          <t>polymarket_us</t>
        </is>
      </c>
      <c r="L36" s="26" t="n">
        <v>-163</v>
      </c>
      <c r="M36" s="27" t="n">
        <v>1.613497</v>
      </c>
      <c r="N36" s="28" t="n">
        <v>0.619772</v>
      </c>
      <c r="O36" s="28" t="n">
        <v>0.654523</v>
      </c>
      <c r="P36" s="28" t="n"/>
      <c r="Q36" s="28" t="n">
        <v>0.034751</v>
      </c>
      <c r="R36" s="26" t="n">
        <v>37</v>
      </c>
      <c r="S36" s="29" t="n">
        <v>1.75</v>
      </c>
      <c r="T36" s="24" t="inlineStr">
        <is>
          <t>valorant-tiered-elo-v6</t>
        </is>
      </c>
      <c r="U36" s="24" t="inlineStr">
        <is>
          <t>settled</t>
        </is>
      </c>
      <c r="V36" s="24" t="inlineStr">
        <is>
          <t>win</t>
        </is>
      </c>
      <c r="W36" s="26" t="n">
        <v>1</v>
      </c>
      <c r="X36" s="26" t="n">
        <v>0</v>
      </c>
      <c r="Y36" s="25" t="n"/>
      <c r="Z36" s="26" t="n">
        <v>-163</v>
      </c>
      <c r="AA36" s="28" t="n">
        <v>0.62</v>
      </c>
      <c r="AB36" s="28" t="n">
        <v>0.000228</v>
      </c>
      <c r="AC36" s="30" t="n">
        <v>1.0736</v>
      </c>
      <c r="AD36" s="24" t="inlineStr">
        <is>
          <t>2026-08-18T21:39:11.811346Z</t>
        </is>
      </c>
      <c r="AE36" s="31" t="inlineStr">
        <is>
          <t>Neutral Elo baseline; executable ask 0.6200 (market_slug=aec-valorant-fso-ggo-2026-08-18).</t>
        </is>
      </c>
      <c r="AF36" s="31" t="inlineStr">
        <is>
          <t>Config-promoted esports baseline; gates enforced at log time.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model_qualified</t>
        </is>
      </c>
      <c r="AL36" s="26" t="n">
        <v>3</v>
      </c>
      <c r="AM36" s="24" t="inlineStr">
        <is>
          <t>QUALIFIED_SHADOW_CALL</t>
        </is>
      </c>
      <c r="AN36" s="24" t="inlineStr">
        <is>
          <t>CALL</t>
        </is>
      </c>
      <c r="AO36" s="24" t="inlineStr">
        <is>
          <t>QUALIFIED</t>
        </is>
      </c>
      <c r="AP36" s="24" t="inlineStr">
        <is>
          <t>G2 Gozen</t>
        </is>
      </c>
      <c r="AQ36" s="24" t="inlineStr">
        <is>
          <t>G2 Gozen</t>
        </is>
      </c>
      <c r="AR36" s="24" t="inlineStr">
        <is>
          <t>G2 Gozen</t>
        </is>
      </c>
      <c r="AS36" s="24" t="inlineStr">
        <is>
          <t>FOKUS Sakura</t>
        </is>
      </c>
      <c r="AT36" s="24" t="inlineStr">
        <is>
          <t>FOKUS Sakura</t>
        </is>
      </c>
      <c r="AU36" s="24" t="inlineStr">
        <is>
          <t>FOKUS Sakura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302f6f85dbca0f4c66c04fd1c7bf0d8a0ba1dd4975ceb0f1dd64c54d76ad84c9</t>
        </is>
      </c>
      <c r="BB36" s="24" t="inlineStr">
        <is>
          <t>neutral_elo</t>
        </is>
      </c>
      <c r="BC36" s="24" t="inlineStr">
        <is>
          <t>valorant-tiered-elo-v6</t>
        </is>
      </c>
      <c r="BD36" s="24" t="inlineStr">
        <is>
          <t>302f6f85dbca0f4c66c04fd1c7bf0d8a0ba1dd4975ceb0f1dd64c54d76ad84c9</t>
        </is>
      </c>
      <c r="BE36" s="24" t="inlineStr">
        <is>
          <t>1</t>
        </is>
      </c>
      <c r="BF36" s="24" t="inlineStr">
        <is>
          <t>1</t>
        </is>
      </c>
      <c r="BG36" s="24" t="inlineStr">
        <is>
          <t>valorant-tiered-elo-v6</t>
        </is>
      </c>
      <c r="BH36" s="24" t="inlineStr">
        <is>
          <t>2026-08-18T15:15:34.895545Z</t>
        </is>
      </c>
      <c r="BI36" s="24" t="inlineStr">
        <is>
          <t>["same_event","same_team_same_day","same_league_same_day"]</t>
        </is>
      </c>
      <c r="BJ36" s="25" t="n"/>
      <c r="BK36" s="26" t="n">
        <v>-163</v>
      </c>
      <c r="BL36" s="27" t="n">
        <v>1.613497</v>
      </c>
      <c r="BM36" s="28" t="n">
        <v>0.619772</v>
      </c>
      <c r="BN36" s="28" t="n"/>
      <c r="BO36" s="28" t="n"/>
      <c r="BP36" s="25" t="n"/>
      <c r="BQ36" s="27" t="n">
        <v>1.613497</v>
      </c>
      <c r="BR36" s="28" t="n">
        <v>0.62</v>
      </c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inlineStr">
        <is>
          <t>True</t>
        </is>
      </c>
      <c r="CT36" s="24" t="n"/>
      <c r="CU36" s="24" t="n"/>
      <c r="CV36" s="24" t="n"/>
      <c r="CW36" s="24" t="n"/>
      <c r="CX36" s="24" t="n"/>
      <c r="CY36" s="24" t="n"/>
      <c r="CZ36" s="24" t="n"/>
      <c r="DA36" s="24" t="n"/>
      <c r="DB36" s="24" t="n"/>
      <c r="DC36" s="24" t="n"/>
      <c r="DD36" s="24" t="n"/>
      <c r="DE36" s="24" t="n"/>
      <c r="DF36" s="24" t="n"/>
      <c r="DG36" s="24" t="n"/>
      <c r="DH36" s="24" t="n"/>
      <c r="DI36" s="24" t="n"/>
      <c r="DJ36" s="24" t="inlineStr">
        <is>
          <t>0.619772</t>
        </is>
      </c>
      <c r="DK36" s="24" t="n"/>
      <c r="DL36" s="24" t="n"/>
      <c r="DM36" s="24" t="n"/>
      <c r="DN36" s="24" t="n"/>
      <c r="DO36" s="24" t="n"/>
      <c r="DP36" s="24" t="n"/>
      <c r="DQ36" s="24" t="n"/>
    </row>
    <row r="37" ht="36" customHeight="1">
      <c r="A37" s="24" t="inlineStr">
        <is>
          <t>5391cb62c6c0415d</t>
        </is>
      </c>
      <c r="B37" s="24" t="inlineStr">
        <is>
          <t>2026-08-18T21:41:15.197240Z</t>
        </is>
      </c>
      <c r="C37" s="24" t="inlineStr">
        <is>
          <t>2026-08-18T22:00:00Z</t>
        </is>
      </c>
      <c r="D37" s="24" t="inlineStr">
        <is>
          <t>82861</t>
        </is>
      </c>
      <c r="E37" s="24" t="inlineStr">
        <is>
          <t>VALORANT</t>
        </is>
      </c>
      <c r="F37" s="24" t="inlineStr">
        <is>
          <t>FUSION X</t>
        </is>
      </c>
      <c r="G37" s="24" t="inlineStr">
        <is>
          <t>No Sweat Blossom</t>
        </is>
      </c>
      <c r="H37" s="24" t="inlineStr">
        <is>
          <t>moneyline</t>
        </is>
      </c>
      <c r="I37" s="24" t="inlineStr">
        <is>
          <t>home</t>
        </is>
      </c>
      <c r="J37" s="25" t="n"/>
      <c r="K37" s="24" t="inlineStr">
        <is>
          <t>polymarket_us</t>
        </is>
      </c>
      <c r="L37" s="26" t="n">
        <v>-150</v>
      </c>
      <c r="M37" s="27" t="n">
        <v>1.666667</v>
      </c>
      <c r="N37" s="28" t="n">
        <v>0.6</v>
      </c>
      <c r="O37" s="28" t="n">
        <v>0.622567</v>
      </c>
      <c r="P37" s="28" t="n"/>
      <c r="Q37" s="28" t="n">
        <v>0.022567</v>
      </c>
      <c r="R37" s="26" t="n">
        <v>31</v>
      </c>
      <c r="S37" s="29" t="n">
        <v>1.5</v>
      </c>
      <c r="T37" s="24" t="inlineStr">
        <is>
          <t>valorant-tiered-elo-v6</t>
        </is>
      </c>
      <c r="U37" s="24" t="inlineStr">
        <is>
          <t>settled</t>
        </is>
      </c>
      <c r="V37" s="24" t="inlineStr">
        <is>
          <t>loss</t>
        </is>
      </c>
      <c r="W37" s="26" t="n">
        <v>1</v>
      </c>
      <c r="X37" s="26" t="n">
        <v>0</v>
      </c>
      <c r="Y37" s="25" t="n"/>
      <c r="Z37" s="26" t="n">
        <v>-150</v>
      </c>
      <c r="AA37" s="28" t="n">
        <v>0.6</v>
      </c>
      <c r="AB37" s="28" t="n">
        <v>0</v>
      </c>
      <c r="AC37" s="30" t="n">
        <v>-1.5</v>
      </c>
      <c r="AD37" s="24" t="inlineStr">
        <is>
          <t>2026-08-19T07:06:19.282966Z</t>
        </is>
      </c>
      <c r="AE37" s="31" t="inlineStr">
        <is>
          <t>Neutral Elo baseline; executable ask 0.6000 (market_slug=aec-valorant-nsb-fsnx-2026-08-18).</t>
        </is>
      </c>
      <c r="AF37" s="31" t="inlineStr">
        <is>
          <t>Config-promoted esports baseline; gates enforced at log time.</t>
        </is>
      </c>
      <c r="AG37" s="24" t="inlineStr">
        <is>
          <t>review_required</t>
        </is>
      </c>
      <c r="AH37" s="24" t="n"/>
      <c r="AI37" s="31" t="n"/>
      <c r="AJ37" s="31" t="n"/>
      <c r="AK37" s="24" t="inlineStr">
        <is>
          <t>model_qualified</t>
        </is>
      </c>
      <c r="AL37" s="26" t="n">
        <v>3</v>
      </c>
      <c r="AM37" s="24" t="inlineStr">
        <is>
          <t>QUALIFIED_SHADOW_CALL</t>
        </is>
      </c>
      <c r="AN37" s="24" t="inlineStr">
        <is>
          <t>CALL</t>
        </is>
      </c>
      <c r="AO37" s="24" t="inlineStr">
        <is>
          <t>QUALIFIED</t>
        </is>
      </c>
      <c r="AP37" s="24" t="inlineStr">
        <is>
          <t>FUSION X</t>
        </is>
      </c>
      <c r="AQ37" s="24" t="inlineStr">
        <is>
          <t>FUSION X</t>
        </is>
      </c>
      <c r="AR37" s="24" t="inlineStr">
        <is>
          <t>FUSION X</t>
        </is>
      </c>
      <c r="AS37" s="24" t="inlineStr">
        <is>
          <t>No Sweat Blossom</t>
        </is>
      </c>
      <c r="AT37" s="24" t="inlineStr">
        <is>
          <t>No Sweat Blossom</t>
        </is>
      </c>
      <c r="AU37" s="24" t="inlineStr">
        <is>
          <t>No Sweat Blossom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e032e8f70d04da7d8718d11b80019a6d5167e66e671fc45ccde8a6fd35cce2b8</t>
        </is>
      </c>
      <c r="BB37" s="24" t="inlineStr">
        <is>
          <t>neutral_elo</t>
        </is>
      </c>
      <c r="BC37" s="24" t="inlineStr">
        <is>
          <t>valorant-tiered-elo-v6</t>
        </is>
      </c>
      <c r="BD37" s="24" t="inlineStr">
        <is>
          <t>e032e8f70d04da7d8718d11b80019a6d5167e66e671fc45ccde8a6fd35cce2b8</t>
        </is>
      </c>
      <c r="BE37" s="24" t="inlineStr">
        <is>
          <t>1</t>
        </is>
      </c>
      <c r="BF37" s="24" t="inlineStr">
        <is>
          <t>1</t>
        </is>
      </c>
      <c r="BG37" s="24" t="inlineStr">
        <is>
          <t>valorant-tiered-elo-v6</t>
        </is>
      </c>
      <c r="BH37" s="24" t="inlineStr">
        <is>
          <t>2026-08-18T21:41:13.839846Z</t>
        </is>
      </c>
      <c r="BI37" s="24" t="inlineStr">
        <is>
          <t>["same_event","same_team_same_day","same_league_same_day"]</t>
        </is>
      </c>
      <c r="BJ37" s="25" t="n"/>
      <c r="BK37" s="26" t="n">
        <v>-150</v>
      </c>
      <c r="BL37" s="27" t="n">
        <v>1.666667</v>
      </c>
      <c r="BM37" s="28" t="n">
        <v>0.6</v>
      </c>
      <c r="BN37" s="28" t="n"/>
      <c r="BO37" s="28" t="n"/>
      <c r="BP37" s="25" t="n"/>
      <c r="BQ37" s="27" t="n">
        <v>1.666667</v>
      </c>
      <c r="BR37" s="28" t="n">
        <v>0.6</v>
      </c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inlineStr">
        <is>
          <t>True</t>
        </is>
      </c>
      <c r="CT37" s="24" t="n"/>
      <c r="CU37" s="24" t="n"/>
      <c r="CV37" s="24" t="n"/>
      <c r="CW37" s="24" t="n"/>
      <c r="CX37" s="24" t="n"/>
      <c r="CY37" s="24" t="n"/>
      <c r="CZ37" s="24" t="n"/>
      <c r="DA37" s="24" t="n"/>
      <c r="DB37" s="24" t="n"/>
      <c r="DC37" s="24" t="n"/>
      <c r="DD37" s="24" t="n"/>
      <c r="DE37" s="24" t="n"/>
      <c r="DF37" s="24" t="n"/>
      <c r="DG37" s="24" t="n"/>
      <c r="DH37" s="24" t="n"/>
      <c r="DI37" s="24" t="n"/>
      <c r="DJ37" s="24" t="inlineStr">
        <is>
          <t>0.6</t>
        </is>
      </c>
      <c r="DK37" s="24" t="n"/>
      <c r="DL37" s="24" t="n"/>
      <c r="DM37" s="24" t="n"/>
      <c r="DN37" s="24" t="n"/>
      <c r="DO37" s="24" t="n"/>
      <c r="DP37" s="24" t="n"/>
      <c r="DQ37" s="24" t="n"/>
    </row>
    <row r="38" ht="36" customHeight="1">
      <c r="A38" s="24" t="inlineStr">
        <is>
          <t>f7434231a2e04979</t>
        </is>
      </c>
      <c r="B38" s="24" t="inlineStr">
        <is>
          <t>2026-08-19T07:08:23.790288Z</t>
        </is>
      </c>
      <c r="C38" s="24" t="inlineStr">
        <is>
          <t>2026-08-19T08:00:00Z</t>
        </is>
      </c>
      <c r="D38" s="24" t="inlineStr">
        <is>
          <t>83121</t>
        </is>
      </c>
      <c r="E38" s="24" t="inlineStr">
        <is>
          <t>VALORANT</t>
        </is>
      </c>
      <c r="F38" s="24" t="inlineStr">
        <is>
          <t>Team Secret</t>
        </is>
      </c>
      <c r="G38" s="24" t="inlineStr">
        <is>
          <t>ONSIDE GAMING</t>
        </is>
      </c>
      <c r="H38" s="24" t="inlineStr">
        <is>
          <t>moneyline</t>
        </is>
      </c>
      <c r="I38" s="24" t="inlineStr">
        <is>
          <t>home</t>
        </is>
      </c>
      <c r="J38" s="25" t="n"/>
      <c r="K38" s="24" t="inlineStr">
        <is>
          <t>polymarket_us</t>
        </is>
      </c>
      <c r="L38" s="26" t="n">
        <v>-138</v>
      </c>
      <c r="M38" s="27" t="n">
        <v>1.724638</v>
      </c>
      <c r="N38" s="28" t="n">
        <v>0.579832</v>
      </c>
      <c r="O38" s="28" t="n">
        <v>0.751102</v>
      </c>
      <c r="P38" s="28" t="n"/>
      <c r="Q38" s="28" t="n">
        <v>0.17127</v>
      </c>
      <c r="R38" s="26" t="n">
        <v>100</v>
      </c>
      <c r="S38" s="29" t="n">
        <v>2</v>
      </c>
      <c r="T38" s="24" t="inlineStr">
        <is>
          <t>valorant-tiered-elo-v6</t>
        </is>
      </c>
      <c r="U38" s="24" t="inlineStr">
        <is>
          <t>settled</t>
        </is>
      </c>
      <c r="V38" s="24" t="inlineStr">
        <is>
          <t>win</t>
        </is>
      </c>
      <c r="W38" s="26" t="n">
        <v>0</v>
      </c>
      <c r="X38" s="26" t="n">
        <v>1</v>
      </c>
      <c r="Y38" s="25" t="n"/>
      <c r="Z38" s="26" t="n"/>
      <c r="AA38" s="28" t="n"/>
      <c r="AB38" s="28" t="n"/>
      <c r="AC38" s="30" t="n">
        <v>1.4493</v>
      </c>
      <c r="AD38" s="24" t="inlineStr">
        <is>
          <t>2026-08-19T10:12:33.965530Z</t>
        </is>
      </c>
      <c r="AE38" s="31" t="inlineStr">
        <is>
          <t>Neutral Elo baseline; executable ask 0.5800 (market_slug=aec-valorant-osg-ts-2026-08-19).</t>
        </is>
      </c>
      <c r="AF38" s="31" t="inlineStr">
        <is>
          <t>Config-promoted esports baseline; gates enforced at log time.</t>
        </is>
      </c>
      <c r="AG38" s="24" t="inlineStr">
        <is>
          <t>not_applicable</t>
        </is>
      </c>
      <c r="AH38" s="24" t="n"/>
      <c r="AI38" s="31" t="n"/>
      <c r="AJ38" s="31" t="n"/>
      <c r="AK38" s="24" t="inlineStr">
        <is>
          <t>model_qualified</t>
        </is>
      </c>
      <c r="AL38" s="26" t="n">
        <v>3</v>
      </c>
      <c r="AM38" s="24" t="inlineStr">
        <is>
          <t>QUALIFIED_SHADOW_CALL</t>
        </is>
      </c>
      <c r="AN38" s="24" t="inlineStr">
        <is>
          <t>CALL</t>
        </is>
      </c>
      <c r="AO38" s="24" t="inlineStr">
        <is>
          <t>QUALIFIED</t>
        </is>
      </c>
      <c r="AP38" s="24" t="inlineStr">
        <is>
          <t>Team Secret</t>
        </is>
      </c>
      <c r="AQ38" s="24" t="inlineStr">
        <is>
          <t>Team Secret</t>
        </is>
      </c>
      <c r="AR38" s="24" t="inlineStr">
        <is>
          <t>Team Secret</t>
        </is>
      </c>
      <c r="AS38" s="24" t="inlineStr">
        <is>
          <t>ONSIDE GAMING</t>
        </is>
      </c>
      <c r="AT38" s="24" t="inlineStr">
        <is>
          <t>ONSIDE GAMING</t>
        </is>
      </c>
      <c r="AU38" s="24" t="inlineStr">
        <is>
          <t>ONSIDE GAMING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cfdfa888d29abcab0170a2148738858b61663d4405b965b1c4c847c046006def</t>
        </is>
      </c>
      <c r="BB38" s="24" t="inlineStr">
        <is>
          <t>neutral_elo</t>
        </is>
      </c>
      <c r="BC38" s="24" t="inlineStr">
        <is>
          <t>valorant-tiered-elo-v6</t>
        </is>
      </c>
      <c r="BD38" s="24" t="inlineStr">
        <is>
          <t>cfdfa888d29abcab0170a2148738858b61663d4405b965b1c4c847c046006def</t>
        </is>
      </c>
      <c r="BE38" s="24" t="inlineStr">
        <is>
          <t>1</t>
        </is>
      </c>
      <c r="BF38" s="24" t="inlineStr">
        <is>
          <t>1</t>
        </is>
      </c>
      <c r="BG38" s="24" t="inlineStr">
        <is>
          <t>valorant-tiered-elo-v6</t>
        </is>
      </c>
      <c r="BH38" s="24" t="inlineStr">
        <is>
          <t>2026-08-19T07:08:21.723091Z</t>
        </is>
      </c>
      <c r="BI38" s="24" t="inlineStr">
        <is>
          <t>["same_event","same_team_same_day","same_league_same_day"]</t>
        </is>
      </c>
      <c r="BJ38" s="25" t="n"/>
      <c r="BK38" s="26" t="n">
        <v>-138</v>
      </c>
      <c r="BL38" s="27" t="n">
        <v>1.724638</v>
      </c>
      <c r="BM38" s="28" t="n">
        <v>0.579832</v>
      </c>
      <c r="BN38" s="28" t="n"/>
      <c r="BO38" s="28" t="n"/>
      <c r="BP38" s="25" t="n"/>
      <c r="BQ38" s="27" t="n"/>
      <c r="BR38" s="28" t="n"/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inlineStr">
        <is>
          <t>True</t>
        </is>
      </c>
      <c r="CT38" s="24" t="n"/>
      <c r="CU38" s="24" t="n"/>
      <c r="CV38" s="24" t="n"/>
      <c r="CW38" s="24" t="n"/>
      <c r="CX38" s="24" t="n"/>
      <c r="CY38" s="24" t="n"/>
      <c r="CZ38" s="24" t="n"/>
      <c r="DA38" s="24" t="n"/>
      <c r="DB38" s="24" t="n"/>
      <c r="DC38" s="24" t="n"/>
      <c r="DD38" s="24" t="n"/>
      <c r="DE38" s="24" t="n"/>
      <c r="DF38" s="24" t="n"/>
      <c r="DG38" s="24" t="n"/>
      <c r="DH38" s="24" t="n"/>
      <c r="DI38" s="24" t="n"/>
      <c r="DJ38" s="24" t="inlineStr">
        <is>
          <t>0.579832</t>
        </is>
      </c>
      <c r="DK38" s="24" t="n"/>
      <c r="DL38" s="24" t="n"/>
      <c r="DM38" s="24" t="n"/>
      <c r="DN38" s="24" t="n"/>
      <c r="DO38" s="24" t="n"/>
      <c r="DP38" s="24" t="n"/>
      <c r="DQ38" s="24" t="n"/>
    </row>
    <row r="39" ht="36" customHeight="1">
      <c r="A39" s="24" t="inlineStr">
        <is>
          <t>3f3dce5bbe8d42e1</t>
        </is>
      </c>
      <c r="B39" s="24" t="inlineStr">
        <is>
          <t>2026-08-19T10:15:11.531414Z</t>
        </is>
      </c>
      <c r="C39" s="24" t="inlineStr">
        <is>
          <t>2026-08-19T11:00:00Z</t>
        </is>
      </c>
      <c r="D39" s="24" t="inlineStr">
        <is>
          <t>83109</t>
        </is>
      </c>
      <c r="E39" s="24" t="inlineStr">
        <is>
          <t>VALORANT</t>
        </is>
      </c>
      <c r="F39" s="24" t="inlineStr">
        <is>
          <t>FULL SENSE</t>
        </is>
      </c>
      <c r="G39" s="24" t="inlineStr">
        <is>
          <t>Rex Regum Qeon</t>
        </is>
      </c>
      <c r="H39" s="24" t="inlineStr">
        <is>
          <t>moneyline</t>
        </is>
      </c>
      <c r="I39" s="24" t="inlineStr">
        <is>
          <t>home</t>
        </is>
      </c>
      <c r="J39" s="25" t="n"/>
      <c r="K39" s="24" t="inlineStr">
        <is>
          <t>polymarket_us</t>
        </is>
      </c>
      <c r="L39" s="26" t="n">
        <v>104</v>
      </c>
      <c r="M39" s="27" t="n">
        <v>2.04</v>
      </c>
      <c r="N39" s="28" t="n">
        <v>0.490196</v>
      </c>
      <c r="O39" s="28" t="n">
        <v>0.61034</v>
      </c>
      <c r="P39" s="28" t="n"/>
      <c r="Q39" s="28" t="n">
        <v>0.120144</v>
      </c>
      <c r="R39" s="26" t="n">
        <v>80</v>
      </c>
      <c r="S39" s="29" t="n">
        <v>1.5</v>
      </c>
      <c r="T39" s="24" t="inlineStr">
        <is>
          <t>valorant-tiered-elo-v6</t>
        </is>
      </c>
      <c r="U39" s="24" t="inlineStr">
        <is>
          <t>settled</t>
        </is>
      </c>
      <c r="V39" s="24" t="inlineStr">
        <is>
          <t>loss</t>
        </is>
      </c>
      <c r="W39" s="26" t="n">
        <v>1</v>
      </c>
      <c r="X39" s="26" t="n">
        <v>0</v>
      </c>
      <c r="Y39" s="25" t="n"/>
      <c r="Z39" s="26" t="n"/>
      <c r="AA39" s="28" t="n"/>
      <c r="AB39" s="28" t="n"/>
      <c r="AC39" s="30" t="n">
        <v>-1.5</v>
      </c>
      <c r="AD39" s="24" t="inlineStr">
        <is>
          <t>2026-08-19T13:40:44.156824Z</t>
        </is>
      </c>
      <c r="AE39" s="31" t="inlineStr">
        <is>
          <t>Neutral Elo baseline; executable ask 0.4900 (market_slug=aec-valorant-rrq-fs-2026-08-19).</t>
        </is>
      </c>
      <c r="AF39" s="31" t="inlineStr">
        <is>
          <t>Config-promoted esports baseline; gates enforced at log time.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model_qualified</t>
        </is>
      </c>
      <c r="AL39" s="26" t="n">
        <v>3</v>
      </c>
      <c r="AM39" s="24" t="inlineStr">
        <is>
          <t>QUALIFIED_SHADOW_CALL</t>
        </is>
      </c>
      <c r="AN39" s="24" t="inlineStr">
        <is>
          <t>CALL</t>
        </is>
      </c>
      <c r="AO39" s="24" t="inlineStr">
        <is>
          <t>QUALIFIED</t>
        </is>
      </c>
      <c r="AP39" s="24" t="inlineStr">
        <is>
          <t>FULL SENSE</t>
        </is>
      </c>
      <c r="AQ39" s="24" t="inlineStr">
        <is>
          <t>FULL SENSE</t>
        </is>
      </c>
      <c r="AR39" s="24" t="inlineStr">
        <is>
          <t>FULL SENSE</t>
        </is>
      </c>
      <c r="AS39" s="24" t="inlineStr">
        <is>
          <t>Rex Regum Qeon</t>
        </is>
      </c>
      <c r="AT39" s="24" t="inlineStr">
        <is>
          <t>Rex Regum Qeon</t>
        </is>
      </c>
      <c r="AU39" s="24" t="inlineStr">
        <is>
          <t>Rex Regum Qeon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31246973999c6e6a847251a5ff014cd4d8f0742ccb77f4cf71336ca7bb073a1e</t>
        </is>
      </c>
      <c r="BB39" s="24" t="inlineStr">
        <is>
          <t>neutral_elo</t>
        </is>
      </c>
      <c r="BC39" s="24" t="inlineStr">
        <is>
          <t>valorant-tiered-elo-v6</t>
        </is>
      </c>
      <c r="BD39" s="24" t="inlineStr">
        <is>
          <t>31246973999c6e6a847251a5ff014cd4d8f0742ccb77f4cf71336ca7bb073a1e</t>
        </is>
      </c>
      <c r="BE39" s="24" t="inlineStr">
        <is>
          <t>1</t>
        </is>
      </c>
      <c r="BF39" s="24" t="inlineStr">
        <is>
          <t>1</t>
        </is>
      </c>
      <c r="BG39" s="24" t="inlineStr">
        <is>
          <t>valorant-tiered-elo-v6</t>
        </is>
      </c>
      <c r="BH39" s="24" t="inlineStr">
        <is>
          <t>2026-08-19T10:15:10.242694Z</t>
        </is>
      </c>
      <c r="BI39" s="24" t="inlineStr">
        <is>
          <t>["same_event","same_team_same_day","same_league_same_day"]</t>
        </is>
      </c>
      <c r="BJ39" s="25" t="n"/>
      <c r="BK39" s="26" t="n">
        <v>104</v>
      </c>
      <c r="BL39" s="27" t="n">
        <v>2.04</v>
      </c>
      <c r="BM39" s="28" t="n">
        <v>0.490196</v>
      </c>
      <c r="BN39" s="28" t="n"/>
      <c r="BO39" s="28" t="n"/>
      <c r="BP39" s="25" t="n"/>
      <c r="BQ39" s="27" t="n"/>
      <c r="BR39" s="28" t="n"/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inlineStr">
        <is>
          <t>True</t>
        </is>
      </c>
      <c r="CT39" s="24" t="n"/>
      <c r="CU39" s="24" t="n"/>
      <c r="CV39" s="24" t="n"/>
      <c r="CW39" s="24" t="n"/>
      <c r="CX39" s="24" t="n"/>
      <c r="CY39" s="24" t="n"/>
      <c r="CZ39" s="24" t="n"/>
      <c r="DA39" s="24" t="n"/>
      <c r="DB39" s="24" t="n"/>
      <c r="DC39" s="24" t="n"/>
      <c r="DD39" s="24" t="n"/>
      <c r="DE39" s="24" t="n"/>
      <c r="DF39" s="24" t="n"/>
      <c r="DG39" s="24" t="n"/>
      <c r="DH39" s="24" t="n"/>
      <c r="DI39" s="24" t="n"/>
      <c r="DJ39" s="24" t="inlineStr">
        <is>
          <t>0.490196</t>
        </is>
      </c>
      <c r="DK39" s="24" t="n"/>
      <c r="DL39" s="24" t="n"/>
      <c r="DM39" s="24" t="n"/>
      <c r="DN39" s="24" t="n"/>
      <c r="DO39" s="24" t="n"/>
      <c r="DP39" s="24" t="n"/>
      <c r="DQ39" s="24" t="n"/>
    </row>
    <row r="40" ht="36" customHeight="1">
      <c r="A40" s="24" t="inlineStr">
        <is>
          <t>d375f06867d34436</t>
        </is>
      </c>
      <c r="B40" s="24" t="inlineStr">
        <is>
          <t>2026-08-20T12:47:58.268333Z</t>
        </is>
      </c>
      <c r="C40" s="24" t="inlineStr">
        <is>
          <t>2026-08-20T15:00:00Z</t>
        </is>
      </c>
      <c r="D40" s="24" t="inlineStr">
        <is>
          <t>84218</t>
        </is>
      </c>
      <c r="E40" s="24" t="inlineStr">
        <is>
          <t>VALORANT</t>
        </is>
      </c>
      <c r="F40" s="24" t="inlineStr">
        <is>
          <t>FUT Esports</t>
        </is>
      </c>
      <c r="G40" s="24" t="inlineStr">
        <is>
          <t>Team Liquid</t>
        </is>
      </c>
      <c r="H40" s="24" t="inlineStr">
        <is>
          <t>moneyline</t>
        </is>
      </c>
      <c r="I40" s="24" t="inlineStr">
        <is>
          <t>away</t>
        </is>
      </c>
      <c r="J40" s="25" t="n"/>
      <c r="K40" s="24" t="inlineStr">
        <is>
          <t>polymarket_us</t>
        </is>
      </c>
      <c r="L40" s="26" t="n">
        <v>127</v>
      </c>
      <c r="M40" s="27" t="n">
        <v>2.27</v>
      </c>
      <c r="N40" s="28" t="n">
        <v>0.440529</v>
      </c>
      <c r="O40" s="28" t="n">
        <v>0.60559</v>
      </c>
      <c r="P40" s="28" t="n"/>
      <c r="Q40" s="28" t="n">
        <v>0.165061</v>
      </c>
      <c r="R40" s="26" t="n">
        <v>100</v>
      </c>
      <c r="S40" s="29" t="n">
        <v>1.25</v>
      </c>
      <c r="T40" s="24" t="inlineStr">
        <is>
          <t>valorant-tiered-elo-v6</t>
        </is>
      </c>
      <c r="U40" s="24" t="inlineStr">
        <is>
          <t>settled</t>
        </is>
      </c>
      <c r="V40" s="24" t="inlineStr">
        <is>
          <t>win</t>
        </is>
      </c>
      <c r="W40" s="26" t="n">
        <v>1</v>
      </c>
      <c r="X40" s="26" t="n">
        <v>0</v>
      </c>
      <c r="Y40" s="25" t="n"/>
      <c r="Z40" s="26" t="n">
        <v>127</v>
      </c>
      <c r="AA40" s="28" t="n">
        <v>0.44</v>
      </c>
      <c r="AB40" s="28" t="n">
        <v>-0.000529</v>
      </c>
      <c r="AC40" s="30" t="n">
        <v>1.5875</v>
      </c>
      <c r="AD40" s="24" t="inlineStr">
        <is>
          <t>2026-08-20T22:22:29.481652Z</t>
        </is>
      </c>
      <c r="AE40" s="31" t="inlineStr">
        <is>
          <t>Neutral Elo baseline; executable ask 0.4400 (market_slug=aec-valorant-tl-fut-2026-08-20).</t>
        </is>
      </c>
      <c r="AF40" s="31" t="inlineStr">
        <is>
          <t>Config-promoted esports baseline; gates enforced at log time.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model_qualified</t>
        </is>
      </c>
      <c r="AL40" s="26" t="n">
        <v>3</v>
      </c>
      <c r="AM40" s="24" t="inlineStr">
        <is>
          <t>QUALIFIED_SHADOW_CALL</t>
        </is>
      </c>
      <c r="AN40" s="24" t="inlineStr">
        <is>
          <t>CALL</t>
        </is>
      </c>
      <c r="AO40" s="24" t="inlineStr">
        <is>
          <t>QUALIFIED</t>
        </is>
      </c>
      <c r="AP40" s="24" t="inlineStr">
        <is>
          <t>FUT Esports</t>
        </is>
      </c>
      <c r="AQ40" s="24" t="inlineStr">
        <is>
          <t>FUT Esports</t>
        </is>
      </c>
      <c r="AR40" s="24" t="inlineStr">
        <is>
          <t>FUT Esports</t>
        </is>
      </c>
      <c r="AS40" s="24" t="inlineStr">
        <is>
          <t>Team Liquid</t>
        </is>
      </c>
      <c r="AT40" s="24" t="inlineStr">
        <is>
          <t>Team Liquid</t>
        </is>
      </c>
      <c r="AU40" s="24" t="inlineStr">
        <is>
          <t>Team Liquid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shadow_qualified</t>
        </is>
      </c>
      <c r="BA40" s="24" t="inlineStr">
        <is>
          <t>73997a720a3cb8295308c6acc661d1e67eb6f5e9cdd9975c9eab925618662e5a</t>
        </is>
      </c>
      <c r="BB40" s="24" t="inlineStr">
        <is>
          <t>neutral_elo</t>
        </is>
      </c>
      <c r="BC40" s="24" t="inlineStr">
        <is>
          <t>valorant-tiered-elo-v6</t>
        </is>
      </c>
      <c r="BD40" s="24" t="inlineStr">
        <is>
          <t>73997a720a3cb8295308c6acc661d1e67eb6f5e9cdd9975c9eab925618662e5a</t>
        </is>
      </c>
      <c r="BE40" s="24" t="inlineStr">
        <is>
          <t>1</t>
        </is>
      </c>
      <c r="BF40" s="24" t="inlineStr">
        <is>
          <t>1</t>
        </is>
      </c>
      <c r="BG40" s="24" t="inlineStr">
        <is>
          <t>valorant-tiered-elo-v6</t>
        </is>
      </c>
      <c r="BH40" s="24" t="inlineStr">
        <is>
          <t>2026-08-20T12:47:57.178386Z</t>
        </is>
      </c>
      <c r="BI40" s="24" t="inlineStr">
        <is>
          <t>["same_event","same_team_same_day","same_league_same_day"]</t>
        </is>
      </c>
      <c r="BJ40" s="25" t="n"/>
      <c r="BK40" s="26" t="n">
        <v>127</v>
      </c>
      <c r="BL40" s="27" t="n">
        <v>2.27</v>
      </c>
      <c r="BM40" s="28" t="n">
        <v>0.440529</v>
      </c>
      <c r="BN40" s="28" t="n"/>
      <c r="BO40" s="28" t="n"/>
      <c r="BP40" s="25" t="n"/>
      <c r="BQ40" s="27" t="n">
        <v>2.27</v>
      </c>
      <c r="BR40" s="28" t="n">
        <v>0.44</v>
      </c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inlineStr">
        <is>
          <t>True</t>
        </is>
      </c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/>
      <c r="DH40" s="24" t="n"/>
      <c r="DI40" s="24" t="n"/>
      <c r="DJ40" s="24" t="inlineStr">
        <is>
          <t>0.440529</t>
        </is>
      </c>
      <c r="DK40" s="24" t="n"/>
      <c r="DL40" s="24" t="n"/>
      <c r="DM40" s="24" t="n"/>
      <c r="DN40" s="24" t="n"/>
      <c r="DO40" s="24" t="n"/>
      <c r="DP40" s="24" t="n"/>
      <c r="DQ40" s="24" t="n"/>
    </row>
    <row r="41" ht="36" customHeight="1">
      <c r="A41" s="24" t="inlineStr">
        <is>
          <t>9ca920bdca5e4db7</t>
        </is>
      </c>
      <c r="B41" s="24" t="inlineStr">
        <is>
          <t>2026-08-20T18:57:30.603796Z</t>
        </is>
      </c>
      <c r="C41" s="24" t="inlineStr">
        <is>
          <t>2026-08-20T21:00:00Z</t>
        </is>
      </c>
      <c r="D41" s="24" t="inlineStr">
        <is>
          <t>84848</t>
        </is>
      </c>
      <c r="E41" s="24" t="inlineStr">
        <is>
          <t>VALORANT</t>
        </is>
      </c>
      <c r="F41" s="24" t="inlineStr">
        <is>
          <t>2GAME Esports</t>
        </is>
      </c>
      <c r="G41" s="24" t="inlineStr">
        <is>
          <t>Sentinels</t>
        </is>
      </c>
      <c r="H41" s="24" t="inlineStr">
        <is>
          <t>moneyline</t>
        </is>
      </c>
      <c r="I41" s="24" t="inlineStr">
        <is>
          <t>away</t>
        </is>
      </c>
      <c r="J41" s="25" t="n"/>
      <c r="K41" s="24" t="inlineStr">
        <is>
          <t>polymarket_us</t>
        </is>
      </c>
      <c r="L41" s="26" t="n">
        <v>212</v>
      </c>
      <c r="M41" s="27" t="n">
        <v>3.12</v>
      </c>
      <c r="N41" s="28" t="n">
        <v>0.320513</v>
      </c>
      <c r="O41" s="28" t="n">
        <v>0.617325</v>
      </c>
      <c r="P41" s="28" t="n"/>
      <c r="Q41" s="28" t="n">
        <v>0.296812</v>
      </c>
      <c r="R41" s="26" t="n">
        <v>100</v>
      </c>
      <c r="S41" s="29" t="n">
        <v>1.5</v>
      </c>
      <c r="T41" s="24" t="inlineStr">
        <is>
          <t>valorant-tiered-elo-v6</t>
        </is>
      </c>
      <c r="U41" s="24" t="inlineStr">
        <is>
          <t>settled</t>
        </is>
      </c>
      <c r="V41" s="24" t="inlineStr">
        <is>
          <t>loss</t>
        </is>
      </c>
      <c r="W41" s="26" t="n">
        <v>0</v>
      </c>
      <c r="X41" s="26" t="n">
        <v>1</v>
      </c>
      <c r="Y41" s="25" t="n"/>
      <c r="Z41" s="26" t="n">
        <v>212</v>
      </c>
      <c r="AA41" s="28" t="n">
        <v>0.32</v>
      </c>
      <c r="AB41" s="28" t="n">
        <v>-0.000513</v>
      </c>
      <c r="AC41" s="30" t="n">
        <v>-1.5</v>
      </c>
      <c r="AD41" s="24" t="inlineStr">
        <is>
          <t>2026-08-21T01:26:03.333296Z</t>
        </is>
      </c>
      <c r="AE41" s="31" t="inlineStr">
        <is>
          <t>Neutral Elo baseline; executable ask 0.3200 (market_slug=aec-valorant-sen-2game-2026-08-20).</t>
        </is>
      </c>
      <c r="AF41" s="31" t="inlineStr">
        <is>
          <t>Config-promoted esports baseline; gates enforced at log time.</t>
        </is>
      </c>
      <c r="AG41" s="24" t="inlineStr">
        <is>
          <t>review_required</t>
        </is>
      </c>
      <c r="AH41" s="24" t="n"/>
      <c r="AI41" s="31" t="n"/>
      <c r="AJ41" s="31" t="n"/>
      <c r="AK41" s="24" t="inlineStr">
        <is>
          <t>model_qualified</t>
        </is>
      </c>
      <c r="AL41" s="26" t="n">
        <v>3</v>
      </c>
      <c r="AM41" s="24" t="inlineStr">
        <is>
          <t>QUALIFIED_SHADOW_CALL</t>
        </is>
      </c>
      <c r="AN41" s="24" t="inlineStr">
        <is>
          <t>CALL</t>
        </is>
      </c>
      <c r="AO41" s="24" t="inlineStr">
        <is>
          <t>QUALIFIED</t>
        </is>
      </c>
      <c r="AP41" s="24" t="inlineStr">
        <is>
          <t>2GAME Esports</t>
        </is>
      </c>
      <c r="AQ41" s="24" t="inlineStr">
        <is>
          <t>2GAME Esports</t>
        </is>
      </c>
      <c r="AR41" s="24" t="inlineStr">
        <is>
          <t>2GAME Esports</t>
        </is>
      </c>
      <c r="AS41" s="24" t="inlineStr">
        <is>
          <t>Sentinels</t>
        </is>
      </c>
      <c r="AT41" s="24" t="inlineStr">
        <is>
          <t>Sentinels</t>
        </is>
      </c>
      <c r="AU41" s="24" t="inlineStr">
        <is>
          <t>Sentinels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shadow_qualified</t>
        </is>
      </c>
      <c r="BA41" s="24" t="inlineStr">
        <is>
          <t>15c70d8d8a19d62f81ff25765fe7bcbbcce25aae354fe14a07d3d0db47b6b880</t>
        </is>
      </c>
      <c r="BB41" s="24" t="inlineStr">
        <is>
          <t>neutral_elo</t>
        </is>
      </c>
      <c r="BC41" s="24" t="inlineStr">
        <is>
          <t>valorant-tiered-elo-v6</t>
        </is>
      </c>
      <c r="BD41" s="24" t="inlineStr">
        <is>
          <t>15c70d8d8a19d62f81ff25765fe7bcbbcce25aae354fe14a07d3d0db47b6b880</t>
        </is>
      </c>
      <c r="BE41" s="24" t="inlineStr">
        <is>
          <t>1</t>
        </is>
      </c>
      <c r="BF41" s="24" t="inlineStr">
        <is>
          <t>1</t>
        </is>
      </c>
      <c r="BG41" s="24" t="inlineStr">
        <is>
          <t>valorant-tiered-elo-v6</t>
        </is>
      </c>
      <c r="BH41" s="24" t="inlineStr">
        <is>
          <t>2026-08-20T18:57:29.589362Z</t>
        </is>
      </c>
      <c r="BI41" s="24" t="inlineStr">
        <is>
          <t>["same_event","same_team_same_day","same_league_same_day"]</t>
        </is>
      </c>
      <c r="BJ41" s="25" t="n"/>
      <c r="BK41" s="26" t="n">
        <v>212</v>
      </c>
      <c r="BL41" s="27" t="n">
        <v>3.12</v>
      </c>
      <c r="BM41" s="28" t="n">
        <v>0.320513</v>
      </c>
      <c r="BN41" s="28" t="n"/>
      <c r="BO41" s="28" t="n"/>
      <c r="BP41" s="25" t="n"/>
      <c r="BQ41" s="27" t="n">
        <v>3.12</v>
      </c>
      <c r="BR41" s="28" t="n">
        <v>0.32</v>
      </c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inlineStr">
        <is>
          <t>True</t>
        </is>
      </c>
      <c r="CT41" s="24" t="n"/>
      <c r="CU41" s="24" t="n"/>
      <c r="CV41" s="24" t="n"/>
      <c r="CW41" s="24" t="n"/>
      <c r="CX41" s="24" t="n"/>
      <c r="CY41" s="24" t="n"/>
      <c r="CZ41" s="24" t="n"/>
      <c r="DA41" s="24" t="n"/>
      <c r="DB41" s="24" t="n"/>
      <c r="DC41" s="24" t="n"/>
      <c r="DD41" s="24" t="n"/>
      <c r="DE41" s="24" t="n"/>
      <c r="DF41" s="24" t="n"/>
      <c r="DG41" s="24" t="n"/>
      <c r="DH41" s="24" t="n"/>
      <c r="DI41" s="24" t="n"/>
      <c r="DJ41" s="24" t="inlineStr">
        <is>
          <t>0.320513</t>
        </is>
      </c>
      <c r="DK41" s="24" t="n"/>
      <c r="DL41" s="24" t="n"/>
      <c r="DM41" s="24" t="n"/>
      <c r="DN41" s="24" t="n"/>
      <c r="DO41" s="24" t="n"/>
      <c r="DP41" s="24" t="n"/>
      <c r="DQ41" s="24" t="n"/>
    </row>
    <row r="42" ht="36" customHeight="1">
      <c r="A42" s="24" t="inlineStr">
        <is>
          <t>ed7f158e9e124fc8</t>
        </is>
      </c>
      <c r="B42" s="24" t="inlineStr">
        <is>
          <t>2026-08-21T04:32:28.223208Z</t>
        </is>
      </c>
      <c r="C42" s="24" t="inlineStr">
        <is>
          <t>2026-08-21T08:00:00Z</t>
        </is>
      </c>
      <c r="D42" s="24" t="inlineStr">
        <is>
          <t>85091</t>
        </is>
      </c>
      <c r="E42" s="24" t="inlineStr">
        <is>
          <t>VALORANT</t>
        </is>
      </c>
      <c r="F42" s="24" t="inlineStr">
        <is>
          <t>Sharper Esport</t>
        </is>
      </c>
      <c r="G42" s="24" t="inlineStr">
        <is>
          <t>Kiwoom DRX</t>
        </is>
      </c>
      <c r="H42" s="24" t="inlineStr">
        <is>
          <t>moneyline</t>
        </is>
      </c>
      <c r="I42" s="24" t="inlineStr">
        <is>
          <t>away</t>
        </is>
      </c>
      <c r="J42" s="25" t="n"/>
      <c r="K42" s="24" t="inlineStr">
        <is>
          <t>polymarket_us</t>
        </is>
      </c>
      <c r="L42" s="26" t="n">
        <v>144</v>
      </c>
      <c r="M42" s="27" t="n">
        <v>2.44</v>
      </c>
      <c r="N42" s="28" t="n">
        <v>0.409836</v>
      </c>
      <c r="O42" s="28" t="n">
        <v>0.668922</v>
      </c>
      <c r="P42" s="28" t="n"/>
      <c r="Q42" s="28" t="n">
        <v>0.259086</v>
      </c>
      <c r="R42" s="26" t="n">
        <v>100</v>
      </c>
      <c r="S42" s="29" t="n">
        <v>1.75</v>
      </c>
      <c r="T42" s="24" t="inlineStr">
        <is>
          <t>valorant-tiered-elo-v6</t>
        </is>
      </c>
      <c r="U42" s="24" t="inlineStr">
        <is>
          <t>settled</t>
        </is>
      </c>
      <c r="V42" s="24" t="inlineStr">
        <is>
          <t>loss</t>
        </is>
      </c>
      <c r="W42" s="26" t="n">
        <v>0</v>
      </c>
      <c r="X42" s="26" t="n">
        <v>1</v>
      </c>
      <c r="Y42" s="25" t="n"/>
      <c r="Z42" s="26" t="n">
        <v>144</v>
      </c>
      <c r="AA42" s="28" t="n">
        <v>0.41</v>
      </c>
      <c r="AB42" s="28" t="n">
        <v>0.000164</v>
      </c>
      <c r="AC42" s="30" t="n">
        <v>-1.75</v>
      </c>
      <c r="AD42" s="24" t="inlineStr">
        <is>
          <t>2026-08-21T11:27:26.785113Z</t>
        </is>
      </c>
      <c r="AE42" s="31" t="inlineStr">
        <is>
          <t>Neutral Elo baseline; executable ask 0.4100 (market_slug=aec-valorant-krx-spe-2026-08-21).</t>
        </is>
      </c>
      <c r="AF42" s="31" t="inlineStr">
        <is>
          <t>Config-promoted esports baseline; gates enforced at log time.</t>
        </is>
      </c>
      <c r="AG42" s="24" t="inlineStr">
        <is>
          <t>review_required</t>
        </is>
      </c>
      <c r="AH42" s="24" t="n"/>
      <c r="AI42" s="31" t="n"/>
      <c r="AJ42" s="31" t="n"/>
      <c r="AK42" s="24" t="inlineStr">
        <is>
          <t>model_qualified</t>
        </is>
      </c>
      <c r="AL42" s="26" t="n">
        <v>4</v>
      </c>
      <c r="AM42" s="24" t="inlineStr">
        <is>
          <t>QUALIFIED_SHADOW_CALL</t>
        </is>
      </c>
      <c r="AN42" s="24" t="inlineStr">
        <is>
          <t>CALL</t>
        </is>
      </c>
      <c r="AO42" s="24" t="inlineStr">
        <is>
          <t>QUALIFIED</t>
        </is>
      </c>
      <c r="AP42" s="24" t="inlineStr">
        <is>
          <t>Sharper Esport</t>
        </is>
      </c>
      <c r="AQ42" s="24" t="inlineStr">
        <is>
          <t>Sharper Esport</t>
        </is>
      </c>
      <c r="AR42" s="24" t="inlineStr">
        <is>
          <t>Sharper Esport</t>
        </is>
      </c>
      <c r="AS42" s="24" t="inlineStr">
        <is>
          <t>Kiwoom DRX</t>
        </is>
      </c>
      <c r="AT42" s="24" t="inlineStr">
        <is>
          <t>Kiwoom DRX</t>
        </is>
      </c>
      <c r="AU42" s="24" t="inlineStr">
        <is>
          <t>Kiwoom DRX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67f962b91afa23ee5eb2a70b88708d5667fbc538cf2c3e68235133a3a978a371</t>
        </is>
      </c>
      <c r="BB42" s="24" t="inlineStr">
        <is>
          <t>neutral_elo</t>
        </is>
      </c>
      <c r="BC42" s="24" t="inlineStr">
        <is>
          <t>valorant-tiered-elo-v6</t>
        </is>
      </c>
      <c r="BD42" s="24" t="inlineStr">
        <is>
          <t>67f962b91afa23ee5eb2a70b88708d5667fbc538cf2c3e68235133a3a978a371</t>
        </is>
      </c>
      <c r="BE42" s="24" t="inlineStr">
        <is>
          <t>1</t>
        </is>
      </c>
      <c r="BF42" s="24" t="inlineStr">
        <is>
          <t>1</t>
        </is>
      </c>
      <c r="BG42" s="24" t="inlineStr">
        <is>
          <t>valorant-tiered-elo-v6</t>
        </is>
      </c>
      <c r="BH42" s="24" t="inlineStr">
        <is>
          <t>2026-08-21T04:32:26.329654Z</t>
        </is>
      </c>
      <c r="BI42" s="24" t="inlineStr">
        <is>
          <t>["same_event","same_team_same_day","same_league_same_day"]</t>
        </is>
      </c>
      <c r="BJ42" s="25" t="n"/>
      <c r="BK42" s="26" t="n">
        <v>144</v>
      </c>
      <c r="BL42" s="27" t="n">
        <v>2.44</v>
      </c>
      <c r="BM42" s="28" t="n">
        <v>0.409836</v>
      </c>
      <c r="BN42" s="28" t="n"/>
      <c r="BO42" s="28" t="n"/>
      <c r="BP42" s="25" t="n"/>
      <c r="BQ42" s="27" t="n">
        <v>2.44</v>
      </c>
      <c r="BR42" s="28" t="n">
        <v>0.41</v>
      </c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inlineStr">
        <is>
          <t>True</t>
        </is>
      </c>
      <c r="CT42" s="24" t="n"/>
      <c r="CU42" s="24" t="n"/>
      <c r="CV42" s="24" t="n"/>
      <c r="CW42" s="24" t="n"/>
      <c r="CX42" s="24" t="n"/>
      <c r="CY42" s="24" t="n"/>
      <c r="CZ42" s="24" t="n"/>
      <c r="DA42" s="24" t="n"/>
      <c r="DB42" s="24" t="n"/>
      <c r="DC42" s="24" t="n"/>
      <c r="DD42" s="24" t="n"/>
      <c r="DE42" s="24" t="n"/>
      <c r="DF42" s="24" t="n"/>
      <c r="DG42" s="24" t="n"/>
      <c r="DH42" s="24" t="n"/>
      <c r="DI42" s="24" t="n"/>
      <c r="DJ42" s="24" t="inlineStr">
        <is>
          <t>0.409836</t>
        </is>
      </c>
      <c r="DK42" s="24" t="n"/>
      <c r="DL42" s="24" t="n"/>
      <c r="DM42" s="24" t="n"/>
      <c r="DN42" s="24" t="n"/>
      <c r="DO42" s="24" t="n"/>
      <c r="DP42" s="24" t="n"/>
      <c r="DQ42" s="24" t="n"/>
    </row>
    <row r="43" ht="36" customHeight="1">
      <c r="A43" s="24" t="inlineStr">
        <is>
          <t>4727b36d091f423e</t>
        </is>
      </c>
      <c r="B43" s="24" t="inlineStr">
        <is>
          <t>2026-08-21T04:32:28.223208Z</t>
        </is>
      </c>
      <c r="C43" s="24" t="inlineStr">
        <is>
          <t>2026-08-21T10:00:00Z</t>
        </is>
      </c>
      <c r="D43" s="24" t="inlineStr">
        <is>
          <t>87304</t>
        </is>
      </c>
      <c r="E43" s="24" t="inlineStr">
        <is>
          <t>VALORANT</t>
        </is>
      </c>
      <c r="F43" s="24" t="inlineStr">
        <is>
          <t>Nova Esports</t>
        </is>
      </c>
      <c r="G43" s="24" t="inlineStr">
        <is>
          <t>TYLOO</t>
        </is>
      </c>
      <c r="H43" s="24" t="inlineStr">
        <is>
          <t>moneyline</t>
        </is>
      </c>
      <c r="I43" s="24" t="inlineStr">
        <is>
          <t>away</t>
        </is>
      </c>
      <c r="J43" s="25" t="n"/>
      <c r="K43" s="24" t="inlineStr">
        <is>
          <t>polymarket_us</t>
        </is>
      </c>
      <c r="L43" s="26" t="n">
        <v>-117</v>
      </c>
      <c r="M43" s="27" t="n">
        <v>1.854701</v>
      </c>
      <c r="N43" s="28" t="n">
        <v>0.539171</v>
      </c>
      <c r="O43" s="28" t="n">
        <v>0.604497</v>
      </c>
      <c r="P43" s="28" t="n"/>
      <c r="Q43" s="28" t="n">
        <v>0.065326</v>
      </c>
      <c r="R43" s="26" t="n">
        <v>53</v>
      </c>
      <c r="S43" s="29" t="n">
        <v>1.25</v>
      </c>
      <c r="T43" s="24" t="inlineStr">
        <is>
          <t>valorant-tiered-elo-v6</t>
        </is>
      </c>
      <c r="U43" s="24" t="inlineStr">
        <is>
          <t>settled</t>
        </is>
      </c>
      <c r="V43" s="24" t="inlineStr">
        <is>
          <t>loss</t>
        </is>
      </c>
      <c r="W43" s="26" t="n">
        <v>0</v>
      </c>
      <c r="X43" s="26" t="n">
        <v>1</v>
      </c>
      <c r="Y43" s="25" t="n"/>
      <c r="Z43" s="26" t="n">
        <v>-117</v>
      </c>
      <c r="AA43" s="28" t="n">
        <v>0.54</v>
      </c>
      <c r="AB43" s="28" t="n">
        <v>0.000829</v>
      </c>
      <c r="AC43" s="30" t="n">
        <v>-1.25</v>
      </c>
      <c r="AD43" s="24" t="inlineStr">
        <is>
          <t>2026-08-21T18:25:49.184834Z</t>
        </is>
      </c>
      <c r="AE43" s="31" t="inlineStr">
        <is>
          <t>Neutral Elo baseline; executable ask 0.5400 (market_slug=aec-valorant-tyloo-nova-2026-08-21).</t>
        </is>
      </c>
      <c r="AF43" s="31" t="inlineStr">
        <is>
          <t>Config-promoted esports baseline; gates enforced at log time.</t>
        </is>
      </c>
      <c r="AG43" s="24" t="inlineStr">
        <is>
          <t>review_required</t>
        </is>
      </c>
      <c r="AH43" s="24" t="n"/>
      <c r="AI43" s="31" t="n"/>
      <c r="AJ43" s="31" t="n"/>
      <c r="AK43" s="24" t="inlineStr">
        <is>
          <t>model_qualified</t>
        </is>
      </c>
      <c r="AL43" s="26" t="n">
        <v>4</v>
      </c>
      <c r="AM43" s="24" t="inlineStr">
        <is>
          <t>QUALIFIED_SHADOW_CALL</t>
        </is>
      </c>
      <c r="AN43" s="24" t="inlineStr">
        <is>
          <t>CALL</t>
        </is>
      </c>
      <c r="AO43" s="24" t="inlineStr">
        <is>
          <t>QUALIFIED</t>
        </is>
      </c>
      <c r="AP43" s="24" t="inlineStr">
        <is>
          <t>Nova Esports</t>
        </is>
      </c>
      <c r="AQ43" s="24" t="inlineStr">
        <is>
          <t>Nova Esports</t>
        </is>
      </c>
      <c r="AR43" s="24" t="inlineStr">
        <is>
          <t>Nova Esports</t>
        </is>
      </c>
      <c r="AS43" s="24" t="inlineStr">
        <is>
          <t>TYLOO</t>
        </is>
      </c>
      <c r="AT43" s="24" t="inlineStr">
        <is>
          <t>TYLOO</t>
        </is>
      </c>
      <c r="AU43" s="24" t="inlineStr">
        <is>
          <t>TYLOO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67f962b91afa23ee5eb2a70b88708d5667fbc538cf2c3e68235133a3a978a371</t>
        </is>
      </c>
      <c r="BB43" s="24" t="inlineStr">
        <is>
          <t>neutral_elo</t>
        </is>
      </c>
      <c r="BC43" s="24" t="inlineStr">
        <is>
          <t>valorant-tiered-elo-v6</t>
        </is>
      </c>
      <c r="BD43" s="24" t="inlineStr">
        <is>
          <t>67f962b91afa23ee5eb2a70b88708d5667fbc538cf2c3e68235133a3a978a371</t>
        </is>
      </c>
      <c r="BE43" s="24" t="inlineStr">
        <is>
          <t>1</t>
        </is>
      </c>
      <c r="BF43" s="24" t="inlineStr">
        <is>
          <t>1</t>
        </is>
      </c>
      <c r="BG43" s="24" t="inlineStr">
        <is>
          <t>valorant-tiered-elo-v6</t>
        </is>
      </c>
      <c r="BH43" s="24" t="inlineStr">
        <is>
          <t>2026-08-21T04:32:26.886347Z</t>
        </is>
      </c>
      <c r="BI43" s="24" t="inlineStr">
        <is>
          <t>["same_event","same_team_same_day","same_league_same_day"]</t>
        </is>
      </c>
      <c r="BJ43" s="25" t="n"/>
      <c r="BK43" s="26" t="n">
        <v>-117</v>
      </c>
      <c r="BL43" s="27" t="n">
        <v>1.854701</v>
      </c>
      <c r="BM43" s="28" t="n">
        <v>0.539171</v>
      </c>
      <c r="BN43" s="28" t="n"/>
      <c r="BO43" s="28" t="n"/>
      <c r="BP43" s="25" t="n"/>
      <c r="BQ43" s="27" t="n">
        <v>1.854701</v>
      </c>
      <c r="BR43" s="28" t="n">
        <v>0.54</v>
      </c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inlineStr">
        <is>
          <t>True</t>
        </is>
      </c>
      <c r="CT43" s="24" t="n"/>
      <c r="CU43" s="24" t="n"/>
      <c r="CV43" s="24" t="n"/>
      <c r="CW43" s="24" t="n"/>
      <c r="CX43" s="24" t="n"/>
      <c r="CY43" s="24" t="n"/>
      <c r="CZ43" s="24" t="n"/>
      <c r="DA43" s="24" t="n"/>
      <c r="DB43" s="24" t="n"/>
      <c r="DC43" s="24" t="n"/>
      <c r="DD43" s="24" t="n"/>
      <c r="DE43" s="24" t="n"/>
      <c r="DF43" s="24" t="n"/>
      <c r="DG43" s="24" t="n"/>
      <c r="DH43" s="24" t="n"/>
      <c r="DI43" s="24" t="n"/>
      <c r="DJ43" s="24" t="inlineStr">
        <is>
          <t>0.539171</t>
        </is>
      </c>
      <c r="DK43" s="24" t="n"/>
      <c r="DL43" s="24" t="n"/>
      <c r="DM43" s="24" t="n"/>
      <c r="DN43" s="24" t="n"/>
      <c r="DO43" s="24" t="n"/>
      <c r="DP43" s="24" t="n"/>
      <c r="DQ43" s="24" t="n"/>
    </row>
    <row r="44" ht="36" customHeight="1">
      <c r="A44" s="24" t="inlineStr">
        <is>
          <t>fdc8ece6d6a0476c</t>
        </is>
      </c>
      <c r="B44" s="24" t="inlineStr">
        <is>
          <t>2026-08-21T11:34:16.777709Z</t>
        </is>
      </c>
      <c r="C44" s="24" t="inlineStr">
        <is>
          <t>2026-08-21T15:00:00Z</t>
        </is>
      </c>
      <c r="D44" s="24" t="inlineStr">
        <is>
          <t>87411</t>
        </is>
      </c>
      <c r="E44" s="24" t="inlineStr">
        <is>
          <t>VALORANT</t>
        </is>
      </c>
      <c r="F44" s="24" t="inlineStr">
        <is>
          <t>Karmine Corp</t>
        </is>
      </c>
      <c r="G44" s="24" t="inlineStr">
        <is>
          <t>Enterprise Esports</t>
        </is>
      </c>
      <c r="H44" s="24" t="inlineStr">
        <is>
          <t>moneyline</t>
        </is>
      </c>
      <c r="I44" s="24" t="inlineStr">
        <is>
          <t>home</t>
        </is>
      </c>
      <c r="J44" s="25" t="n"/>
      <c r="K44" s="24" t="inlineStr">
        <is>
          <t>polymarket_us</t>
        </is>
      </c>
      <c r="L44" s="26" t="n">
        <v>122</v>
      </c>
      <c r="M44" s="27" t="n">
        <v>2.22</v>
      </c>
      <c r="N44" s="28" t="n">
        <v>0.45045</v>
      </c>
      <c r="O44" s="28" t="n">
        <v>0.8462460000000001</v>
      </c>
      <c r="P44" s="28" t="n"/>
      <c r="Q44" s="28" t="n">
        <v>0.395796</v>
      </c>
      <c r="R44" s="26" t="n">
        <v>100</v>
      </c>
      <c r="S44" s="29" t="n">
        <v>2</v>
      </c>
      <c r="T44" s="24" t="inlineStr">
        <is>
          <t>valorant-tiered-elo-v6</t>
        </is>
      </c>
      <c r="U44" s="24" t="inlineStr">
        <is>
          <t>settled</t>
        </is>
      </c>
      <c r="V44" s="24" t="inlineStr">
        <is>
          <t>loss</t>
        </is>
      </c>
      <c r="W44" s="26" t="n">
        <v>1</v>
      </c>
      <c r="X44" s="26" t="n">
        <v>0</v>
      </c>
      <c r="Y44" s="25" t="n"/>
      <c r="Z44" s="26" t="n">
        <v>122</v>
      </c>
      <c r="AA44" s="28" t="n">
        <v>0.45</v>
      </c>
      <c r="AB44" s="28" t="n">
        <v>-0.00045</v>
      </c>
      <c r="AC44" s="30" t="n">
        <v>-2</v>
      </c>
      <c r="AD44" s="24" t="inlineStr">
        <is>
          <t>2026-08-21T18:25:49.560273Z</t>
        </is>
      </c>
      <c r="AE44" s="31" t="inlineStr">
        <is>
          <t>Neutral Elo baseline; executable ask 0.4500 (market_slug=aec-valorant-ep-kc-2026-08-21).</t>
        </is>
      </c>
      <c r="AF44" s="31" t="inlineStr">
        <is>
          <t>Config-promoted esports baseline; gates enforced at log time.</t>
        </is>
      </c>
      <c r="AG44" s="24" t="inlineStr">
        <is>
          <t>review_required</t>
        </is>
      </c>
      <c r="AH44" s="24" t="n"/>
      <c r="AI44" s="31" t="n"/>
      <c r="AJ44" s="31" t="n"/>
      <c r="AK44" s="24" t="inlineStr">
        <is>
          <t>model_qualified</t>
        </is>
      </c>
      <c r="AL44" s="26" t="n">
        <v>4</v>
      </c>
      <c r="AM44" s="24" t="inlineStr">
        <is>
          <t>QUALIFIED_SHADOW_CALL</t>
        </is>
      </c>
      <c r="AN44" s="24" t="inlineStr">
        <is>
          <t>CALL</t>
        </is>
      </c>
      <c r="AO44" s="24" t="inlineStr">
        <is>
          <t>QUALIFIED</t>
        </is>
      </c>
      <c r="AP44" s="24" t="inlineStr">
        <is>
          <t>Karmine Corp</t>
        </is>
      </c>
      <c r="AQ44" s="24" t="inlineStr">
        <is>
          <t>Karmine Corp</t>
        </is>
      </c>
      <c r="AR44" s="24" t="inlineStr">
        <is>
          <t>Karmine Corp</t>
        </is>
      </c>
      <c r="AS44" s="24" t="inlineStr">
        <is>
          <t>Enterprise Esports</t>
        </is>
      </c>
      <c r="AT44" s="24" t="inlineStr">
        <is>
          <t>Enterprise Esports</t>
        </is>
      </c>
      <c r="AU44" s="24" t="inlineStr">
        <is>
          <t>Enterprise Esports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shadow_qualified</t>
        </is>
      </c>
      <c r="BA44" s="24" t="inlineStr">
        <is>
          <t>d2bfef36392a6ffeaf6fb6f2cbabea53080ba182b7f95c0920b41f84ff52bcb4</t>
        </is>
      </c>
      <c r="BB44" s="24" t="inlineStr">
        <is>
          <t>neutral_elo</t>
        </is>
      </c>
      <c r="BC44" s="24" t="inlineStr">
        <is>
          <t>valorant-tiered-elo-v6</t>
        </is>
      </c>
      <c r="BD44" s="24" t="inlineStr">
        <is>
          <t>d2bfef36392a6ffeaf6fb6f2cbabea53080ba182b7f95c0920b41f84ff52bcb4</t>
        </is>
      </c>
      <c r="BE44" s="24" t="inlineStr">
        <is>
          <t>1</t>
        </is>
      </c>
      <c r="BF44" s="24" t="inlineStr">
        <is>
          <t>1</t>
        </is>
      </c>
      <c r="BG44" s="24" t="inlineStr">
        <is>
          <t>valorant-tiered-elo-v6</t>
        </is>
      </c>
      <c r="BH44" s="24" t="inlineStr">
        <is>
          <t>2026-08-21T11:34:15.637847Z</t>
        </is>
      </c>
      <c r="BI44" s="24" t="inlineStr">
        <is>
          <t>["same_event","same_team_same_day","same_league_same_day"]</t>
        </is>
      </c>
      <c r="BJ44" s="25" t="n"/>
      <c r="BK44" s="26" t="n">
        <v>122</v>
      </c>
      <c r="BL44" s="27" t="n">
        <v>2.22</v>
      </c>
      <c r="BM44" s="28" t="n">
        <v>0.45045</v>
      </c>
      <c r="BN44" s="28" t="n"/>
      <c r="BO44" s="28" t="n"/>
      <c r="BP44" s="25" t="n"/>
      <c r="BQ44" s="27" t="n">
        <v>2.22</v>
      </c>
      <c r="BR44" s="28" t="n">
        <v>0.45</v>
      </c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inlineStr">
        <is>
          <t>True</t>
        </is>
      </c>
      <c r="CT44" s="24" t="n"/>
      <c r="CU44" s="24" t="n"/>
      <c r="CV44" s="24" t="n"/>
      <c r="CW44" s="24" t="n"/>
      <c r="CX44" s="24" t="n"/>
      <c r="CY44" s="24" t="n"/>
      <c r="CZ44" s="24" t="n"/>
      <c r="DA44" s="24" t="n"/>
      <c r="DB44" s="24" t="n"/>
      <c r="DC44" s="24" t="n"/>
      <c r="DD44" s="24" t="n"/>
      <c r="DE44" s="24" t="n"/>
      <c r="DF44" s="24" t="n"/>
      <c r="DG44" s="24" t="n"/>
      <c r="DH44" s="24" t="n"/>
      <c r="DI44" s="24" t="n"/>
      <c r="DJ44" s="24" t="inlineStr">
        <is>
          <t>0.45045</t>
        </is>
      </c>
      <c r="DK44" s="24" t="n"/>
      <c r="DL44" s="24" t="n"/>
      <c r="DM44" s="24" t="n"/>
      <c r="DN44" s="24" t="n"/>
      <c r="DO44" s="24" t="n"/>
      <c r="DP44" s="24" t="n"/>
      <c r="DQ44" s="24" t="n"/>
    </row>
    <row r="45" ht="36" customHeight="1">
      <c r="A45" s="24" t="inlineStr">
        <is>
          <t>b5cc8f409d4c4bef</t>
        </is>
      </c>
      <c r="B45" s="24" t="inlineStr">
        <is>
          <t>2026-08-21T11:34:16.777709Z</t>
        </is>
      </c>
      <c r="C45" s="24" t="inlineStr">
        <is>
          <t>2026-08-21T18:00:00Z</t>
        </is>
      </c>
      <c r="D45" s="24" t="inlineStr">
        <is>
          <t>87755</t>
        </is>
      </c>
      <c r="E45" s="24" t="inlineStr">
        <is>
          <t>VALORANT</t>
        </is>
      </c>
      <c r="F45" s="24" t="inlineStr">
        <is>
          <t>BBL Esports</t>
        </is>
      </c>
      <c r="G45" s="24" t="inlineStr">
        <is>
          <t>FUT Esports</t>
        </is>
      </c>
      <c r="H45" s="24" t="inlineStr">
        <is>
          <t>moneyline</t>
        </is>
      </c>
      <c r="I45" s="24" t="inlineStr">
        <is>
          <t>home</t>
        </is>
      </c>
      <c r="J45" s="25" t="n"/>
      <c r="K45" s="24" t="inlineStr">
        <is>
          <t>polymarket_us</t>
        </is>
      </c>
      <c r="L45" s="26" t="n">
        <v>113</v>
      </c>
      <c r="M45" s="27" t="n">
        <v>2.13</v>
      </c>
      <c r="N45" s="28" t="n">
        <v>0.469484</v>
      </c>
      <c r="O45" s="28" t="n">
        <v>0.589011</v>
      </c>
      <c r="P45" s="28" t="n"/>
      <c r="Q45" s="28" t="n">
        <v>0.119527</v>
      </c>
      <c r="R45" s="26" t="n">
        <v>80</v>
      </c>
      <c r="S45" s="29" t="n">
        <v>1.25</v>
      </c>
      <c r="T45" s="24" t="inlineStr">
        <is>
          <t>valorant-tiered-elo-v6</t>
        </is>
      </c>
      <c r="U45" s="24" t="inlineStr">
        <is>
          <t>settled</t>
        </is>
      </c>
      <c r="V45" s="24" t="inlineStr">
        <is>
          <t>win</t>
        </is>
      </c>
      <c r="W45" s="26" t="n">
        <v>0</v>
      </c>
      <c r="X45" s="26" t="n">
        <v>1</v>
      </c>
      <c r="Y45" s="25" t="n"/>
      <c r="Z45" s="26" t="n">
        <v>113</v>
      </c>
      <c r="AA45" s="28" t="n">
        <v>0.47</v>
      </c>
      <c r="AB45" s="28" t="n">
        <v>0.000516</v>
      </c>
      <c r="AC45" s="30" t="n">
        <v>1.4125</v>
      </c>
      <c r="AD45" s="24" t="inlineStr">
        <is>
          <t>2026-08-21T21:54:27.744057Z</t>
        </is>
      </c>
      <c r="AE45" s="31" t="inlineStr">
        <is>
          <t>Neutral Elo baseline; executable ask 0.4700 (market_slug=aec-valorant-fut-bbl-2026-08-21).</t>
        </is>
      </c>
      <c r="AF45" s="31" t="inlineStr">
        <is>
          <t>Config-promoted esports baseline; gates enforced at log time.</t>
        </is>
      </c>
      <c r="AG45" s="24" t="inlineStr">
        <is>
          <t>not_applicable</t>
        </is>
      </c>
      <c r="AH45" s="24" t="n"/>
      <c r="AI45" s="31" t="n"/>
      <c r="AJ45" s="31" t="n"/>
      <c r="AK45" s="24" t="inlineStr">
        <is>
          <t>model_qualified</t>
        </is>
      </c>
      <c r="AL45" s="26" t="n">
        <v>4</v>
      </c>
      <c r="AM45" s="24" t="inlineStr">
        <is>
          <t>QUALIFIED_SHADOW_CALL</t>
        </is>
      </c>
      <c r="AN45" s="24" t="inlineStr">
        <is>
          <t>CALL</t>
        </is>
      </c>
      <c r="AO45" s="24" t="inlineStr">
        <is>
          <t>QUALIFIED</t>
        </is>
      </c>
      <c r="AP45" s="24" t="inlineStr">
        <is>
          <t>BBL Esports</t>
        </is>
      </c>
      <c r="AQ45" s="24" t="inlineStr">
        <is>
          <t>BBL Esports</t>
        </is>
      </c>
      <c r="AR45" s="24" t="inlineStr">
        <is>
          <t>BBL Esports</t>
        </is>
      </c>
      <c r="AS45" s="24" t="inlineStr">
        <is>
          <t>FUT Esports</t>
        </is>
      </c>
      <c r="AT45" s="24" t="inlineStr">
        <is>
          <t>FUT Esports</t>
        </is>
      </c>
      <c r="AU45" s="24" t="inlineStr">
        <is>
          <t>FUT Esports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shadow_qualified</t>
        </is>
      </c>
      <c r="BA45" s="24" t="inlineStr">
        <is>
          <t>d2bfef36392a6ffeaf6fb6f2cbabea53080ba182b7f95c0920b41f84ff52bcb4</t>
        </is>
      </c>
      <c r="BB45" s="24" t="inlineStr">
        <is>
          <t>neutral_elo</t>
        </is>
      </c>
      <c r="BC45" s="24" t="inlineStr">
        <is>
          <t>valorant-tiered-elo-v6</t>
        </is>
      </c>
      <c r="BD45" s="24" t="inlineStr">
        <is>
          <t>d2bfef36392a6ffeaf6fb6f2cbabea53080ba182b7f95c0920b41f84ff52bcb4</t>
        </is>
      </c>
      <c r="BE45" s="24" t="inlineStr">
        <is>
          <t>1</t>
        </is>
      </c>
      <c r="BF45" s="24" t="inlineStr">
        <is>
          <t>1</t>
        </is>
      </c>
      <c r="BG45" s="24" t="inlineStr">
        <is>
          <t>valorant-tiered-elo-v6</t>
        </is>
      </c>
      <c r="BH45" s="24" t="inlineStr">
        <is>
          <t>2026-08-21T11:34:15.760411Z</t>
        </is>
      </c>
      <c r="BI45" s="24" t="inlineStr">
        <is>
          <t>["same_event","same_team_same_day","same_league_same_day"]</t>
        </is>
      </c>
      <c r="BJ45" s="25" t="n"/>
      <c r="BK45" s="26" t="n">
        <v>113</v>
      </c>
      <c r="BL45" s="27" t="n">
        <v>2.13</v>
      </c>
      <c r="BM45" s="28" t="n">
        <v>0.469484</v>
      </c>
      <c r="BN45" s="28" t="n"/>
      <c r="BO45" s="28" t="n"/>
      <c r="BP45" s="25" t="n"/>
      <c r="BQ45" s="27" t="n">
        <v>2.13</v>
      </c>
      <c r="BR45" s="28" t="n">
        <v>0.47</v>
      </c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inlineStr">
        <is>
          <t>True</t>
        </is>
      </c>
      <c r="CT45" s="24" t="n"/>
      <c r="CU45" s="24" t="n"/>
      <c r="CV45" s="24" t="n"/>
      <c r="CW45" s="24" t="n"/>
      <c r="CX45" s="24" t="n"/>
      <c r="CY45" s="24" t="n"/>
      <c r="CZ45" s="24" t="n"/>
      <c r="DA45" s="24" t="n"/>
      <c r="DB45" s="24" t="n"/>
      <c r="DC45" s="24" t="n"/>
      <c r="DD45" s="24" t="n"/>
      <c r="DE45" s="24" t="n"/>
      <c r="DF45" s="24" t="n"/>
      <c r="DG45" s="24" t="n"/>
      <c r="DH45" s="24" t="n"/>
      <c r="DI45" s="24" t="n"/>
      <c r="DJ45" s="24" t="inlineStr">
        <is>
          <t>0.469484</t>
        </is>
      </c>
      <c r="DK45" s="24" t="n"/>
      <c r="DL45" s="24" t="n"/>
      <c r="DM45" s="24" t="n"/>
      <c r="DN45" s="24" t="n"/>
      <c r="DO45" s="24" t="n"/>
      <c r="DP45" s="24" t="n"/>
      <c r="DQ45" s="24" t="n"/>
    </row>
    <row r="46" ht="36" customHeight="1">
      <c r="A46" s="24" t="inlineStr">
        <is>
          <t>66be4f1d1d564de4</t>
        </is>
      </c>
      <c r="B46" s="24" t="inlineStr">
        <is>
          <t>2026-08-21T21:57:07.650106Z</t>
        </is>
      </c>
      <c r="C46" s="24" t="inlineStr">
        <is>
          <t>2026-08-22T00:00:00Z</t>
        </is>
      </c>
      <c r="D46" s="24" t="inlineStr">
        <is>
          <t>86081</t>
        </is>
      </c>
      <c r="E46" s="24" t="inlineStr">
        <is>
          <t>VALORANT</t>
        </is>
      </c>
      <c r="F46" s="24" t="inlineStr">
        <is>
          <t>Evil Geniuses</t>
        </is>
      </c>
      <c r="G46" s="24" t="inlineStr">
        <is>
          <t>FURIA Esports</t>
        </is>
      </c>
      <c r="H46" s="24" t="inlineStr">
        <is>
          <t>moneyline</t>
        </is>
      </c>
      <c r="I46" s="24" t="inlineStr">
        <is>
          <t>away</t>
        </is>
      </c>
      <c r="J46" s="25" t="n"/>
      <c r="K46" s="24" t="inlineStr">
        <is>
          <t>polymarket_us</t>
        </is>
      </c>
      <c r="L46" s="26" t="n">
        <v>104</v>
      </c>
      <c r="M46" s="27" t="n">
        <v>2.04</v>
      </c>
      <c r="N46" s="28" t="n">
        <v>0.490196</v>
      </c>
      <c r="O46" s="28" t="n">
        <v>0.5224490000000001</v>
      </c>
      <c r="P46" s="28" t="n"/>
      <c r="Q46" s="28" t="n">
        <v>0.032253</v>
      </c>
      <c r="R46" s="26" t="n">
        <v>36</v>
      </c>
      <c r="S46" s="29" t="n">
        <v>1</v>
      </c>
      <c r="T46" s="24" t="inlineStr">
        <is>
          <t>valorant-tiered-elo-v6</t>
        </is>
      </c>
      <c r="U46" s="24" t="inlineStr">
        <is>
          <t>settled</t>
        </is>
      </c>
      <c r="V46" s="24" t="inlineStr">
        <is>
          <t>loss</t>
        </is>
      </c>
      <c r="W46" s="26" t="n">
        <v>0</v>
      </c>
      <c r="X46" s="26" t="n">
        <v>1</v>
      </c>
      <c r="Y46" s="25" t="n"/>
      <c r="Z46" s="26" t="n">
        <v>104</v>
      </c>
      <c r="AA46" s="28" t="n">
        <v>0.49</v>
      </c>
      <c r="AB46" s="28" t="n">
        <v>-0.000196</v>
      </c>
      <c r="AC46" s="30" t="n">
        <v>-1</v>
      </c>
      <c r="AD46" s="24" t="inlineStr">
        <is>
          <t>2026-08-22T04:09:20.478407Z</t>
        </is>
      </c>
      <c r="AE46" s="31" t="inlineStr">
        <is>
          <t>Neutral Elo baseline; executable ask 0.4900 (market_slug=aec-valorant-fur-eg-2026-08-22).</t>
        </is>
      </c>
      <c r="AF46" s="31" t="inlineStr">
        <is>
          <t>Config-promoted esports baseline; gates enforced at log time.</t>
        </is>
      </c>
      <c r="AG46" s="24" t="inlineStr">
        <is>
          <t>review_required</t>
        </is>
      </c>
      <c r="AH46" s="24" t="n"/>
      <c r="AI46" s="31" t="n"/>
      <c r="AJ46" s="31" t="n"/>
      <c r="AK46" s="24" t="inlineStr">
        <is>
          <t>model_qualified</t>
        </is>
      </c>
      <c r="AL46" s="26" t="n">
        <v>4</v>
      </c>
      <c r="AM46" s="24" t="inlineStr">
        <is>
          <t>QUALIFIED_SHADOW_CALL</t>
        </is>
      </c>
      <c r="AN46" s="24" t="inlineStr">
        <is>
          <t>CALL</t>
        </is>
      </c>
      <c r="AO46" s="24" t="inlineStr">
        <is>
          <t>QUALIFIED</t>
        </is>
      </c>
      <c r="AP46" s="24" t="inlineStr">
        <is>
          <t>Evil Geniuses</t>
        </is>
      </c>
      <c r="AQ46" s="24" t="inlineStr">
        <is>
          <t>Evil Geniuses</t>
        </is>
      </c>
      <c r="AR46" s="24" t="inlineStr">
        <is>
          <t>Evil Geniuses</t>
        </is>
      </c>
      <c r="AS46" s="24" t="inlineStr">
        <is>
          <t>FURIA Esports</t>
        </is>
      </c>
      <c r="AT46" s="24" t="inlineStr">
        <is>
          <t>FURIA Esports</t>
        </is>
      </c>
      <c r="AU46" s="24" t="inlineStr">
        <is>
          <t>FURIA Esports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shadow_qualified</t>
        </is>
      </c>
      <c r="BA46" s="24" t="inlineStr">
        <is>
          <t>ea9955960f12e7a26c2b90936e125cbc0f5f8b92fc53a3cdc9b275b133555a0c</t>
        </is>
      </c>
      <c r="BB46" s="24" t="inlineStr">
        <is>
          <t>neutral_elo</t>
        </is>
      </c>
      <c r="BC46" s="24" t="inlineStr">
        <is>
          <t>valorant-tiered-elo-v6</t>
        </is>
      </c>
      <c r="BD46" s="24" t="inlineStr">
        <is>
          <t>ea9955960f12e7a26c2b90936e125cbc0f5f8b92fc53a3cdc9b275b133555a0c</t>
        </is>
      </c>
      <c r="BE46" s="24" t="inlineStr">
        <is>
          <t>1</t>
        </is>
      </c>
      <c r="BF46" s="24" t="inlineStr">
        <is>
          <t>1</t>
        </is>
      </c>
      <c r="BG46" s="24" t="inlineStr">
        <is>
          <t>valorant-tiered-elo-v6</t>
        </is>
      </c>
      <c r="BH46" s="24" t="inlineStr">
        <is>
          <t>2026-08-21T21:57:06.909465Z</t>
        </is>
      </c>
      <c r="BI46" s="24" t="inlineStr">
        <is>
          <t>["same_event","same_team_same_day","same_league_same_day"]</t>
        </is>
      </c>
      <c r="BJ46" s="25" t="n"/>
      <c r="BK46" s="26" t="n">
        <v>104</v>
      </c>
      <c r="BL46" s="27" t="n">
        <v>2.04</v>
      </c>
      <c r="BM46" s="28" t="n">
        <v>0.490196</v>
      </c>
      <c r="BN46" s="28" t="n"/>
      <c r="BO46" s="28" t="n"/>
      <c r="BP46" s="25" t="n"/>
      <c r="BQ46" s="27" t="n">
        <v>2.04</v>
      </c>
      <c r="BR46" s="28" t="n">
        <v>0.49</v>
      </c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inlineStr">
        <is>
          <t>True</t>
        </is>
      </c>
      <c r="CT46" s="24" t="n"/>
      <c r="CU46" s="24" t="n"/>
      <c r="CV46" s="24" t="n"/>
      <c r="CW46" s="24" t="n"/>
      <c r="CX46" s="24" t="n"/>
      <c r="CY46" s="24" t="n"/>
      <c r="CZ46" s="24" t="n"/>
      <c r="DA46" s="24" t="n"/>
      <c r="DB46" s="24" t="n"/>
      <c r="DC46" s="24" t="n"/>
      <c r="DD46" s="24" t="n"/>
      <c r="DE46" s="24" t="n"/>
      <c r="DF46" s="24" t="n"/>
      <c r="DG46" s="24" t="n"/>
      <c r="DH46" s="24" t="n"/>
      <c r="DI46" s="24" t="n"/>
      <c r="DJ46" s="24" t="inlineStr">
        <is>
          <t>0.490196</t>
        </is>
      </c>
      <c r="DK46" s="24" t="n"/>
      <c r="DL46" s="24" t="n"/>
      <c r="DM46" s="24" t="n"/>
      <c r="DN46" s="24" t="n"/>
      <c r="DO46" s="24" t="n"/>
      <c r="DP46" s="24" t="n"/>
      <c r="DQ46" s="24" t="n"/>
    </row>
    <row r="47" ht="36" customHeight="1">
      <c r="A47" s="24" t="inlineStr">
        <is>
          <t>36c3686f9c6e413f</t>
        </is>
      </c>
      <c r="B47" s="24" t="inlineStr">
        <is>
          <t>2026-08-22T07:30:20.423170Z</t>
        </is>
      </c>
      <c r="C47" s="24" t="inlineStr">
        <is>
          <t>2026-08-22T08:00:00Z</t>
        </is>
      </c>
      <c r="D47" s="24" t="inlineStr">
        <is>
          <t>86248</t>
        </is>
      </c>
      <c r="E47" s="24" t="inlineStr">
        <is>
          <t>VALORANT</t>
        </is>
      </c>
      <c r="F47" s="24" t="inlineStr">
        <is>
          <t>FULL SENSE</t>
        </is>
      </c>
      <c r="G47" s="24" t="inlineStr">
        <is>
          <t>ONSIDE GAMING</t>
        </is>
      </c>
      <c r="H47" s="24" t="inlineStr">
        <is>
          <t>moneyline</t>
        </is>
      </c>
      <c r="I47" s="24" t="inlineStr">
        <is>
          <t>home</t>
        </is>
      </c>
      <c r="J47" s="25" t="n"/>
      <c r="K47" s="24" t="inlineStr">
        <is>
          <t>polymarket_us</t>
        </is>
      </c>
      <c r="L47" s="26" t="n">
        <v>170</v>
      </c>
      <c r="M47" s="27" t="n">
        <v>2.7</v>
      </c>
      <c r="N47" s="28" t="n">
        <v>0.37037</v>
      </c>
      <c r="O47" s="28" t="n">
        <v>0.59722</v>
      </c>
      <c r="P47" s="28" t="n"/>
      <c r="Q47" s="28" t="n">
        <v>0.22685</v>
      </c>
      <c r="R47" s="26" t="n">
        <v>100</v>
      </c>
      <c r="S47" s="29" t="n">
        <v>1.25</v>
      </c>
      <c r="T47" s="24" t="inlineStr">
        <is>
          <t>valorant-tiered-elo-v6</t>
        </is>
      </c>
      <c r="U47" s="24" t="inlineStr">
        <is>
          <t>settled</t>
        </is>
      </c>
      <c r="V47" s="24" t="inlineStr">
        <is>
          <t>win</t>
        </is>
      </c>
      <c r="W47" s="26" t="n">
        <v>0</v>
      </c>
      <c r="X47" s="26" t="n">
        <v>1</v>
      </c>
      <c r="Y47" s="25" t="n"/>
      <c r="Z47" s="26" t="n">
        <v>186</v>
      </c>
      <c r="AA47" s="28" t="n">
        <v>0.35</v>
      </c>
      <c r="AB47" s="28" t="n">
        <v>-0.02037</v>
      </c>
      <c r="AC47" s="30" t="n">
        <v>2.125</v>
      </c>
      <c r="AD47" s="24" t="inlineStr">
        <is>
          <t>2026-08-22T12:24:02.526099Z</t>
        </is>
      </c>
      <c r="AE47" s="31" t="inlineStr">
        <is>
          <t>Neutral Elo baseline; executable ask 0.3700 (market_slug=aec-valorant-osg-fs-2026-08-22).</t>
        </is>
      </c>
      <c r="AF47" s="31" t="inlineStr">
        <is>
          <t>Config-promoted esports baseline; gates enforced at log time.</t>
        </is>
      </c>
      <c r="AG47" s="24" t="inlineStr">
        <is>
          <t>not_applicable</t>
        </is>
      </c>
      <c r="AH47" s="24" t="n"/>
      <c r="AI47" s="31" t="n"/>
      <c r="AJ47" s="31" t="n"/>
      <c r="AK47" s="24" t="inlineStr">
        <is>
          <t>model_qualified</t>
        </is>
      </c>
      <c r="AL47" s="26" t="n">
        <v>4</v>
      </c>
      <c r="AM47" s="24" t="inlineStr">
        <is>
          <t>QUALIFIED_SHADOW_CALL</t>
        </is>
      </c>
      <c r="AN47" s="24" t="inlineStr">
        <is>
          <t>CALL</t>
        </is>
      </c>
      <c r="AO47" s="24" t="inlineStr">
        <is>
          <t>QUALIFIED</t>
        </is>
      </c>
      <c r="AP47" s="24" t="inlineStr">
        <is>
          <t>FULL SENSE</t>
        </is>
      </c>
      <c r="AQ47" s="24" t="inlineStr">
        <is>
          <t>FULL SENSE</t>
        </is>
      </c>
      <c r="AR47" s="24" t="inlineStr">
        <is>
          <t>FULL SENSE</t>
        </is>
      </c>
      <c r="AS47" s="24" t="inlineStr">
        <is>
          <t>ONSIDE GAMING</t>
        </is>
      </c>
      <c r="AT47" s="24" t="inlineStr">
        <is>
          <t>ONSIDE GAMING</t>
        </is>
      </c>
      <c r="AU47" s="24" t="inlineStr">
        <is>
          <t>ONSIDE GAMING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shadow_qualified</t>
        </is>
      </c>
      <c r="BA47" s="24" t="inlineStr">
        <is>
          <t>1a6e440b1b97e9b82b6a7765378f51c863c4b5283a22c2ea43821295c9fb6424</t>
        </is>
      </c>
      <c r="BB47" s="24" t="inlineStr">
        <is>
          <t>neutral_elo</t>
        </is>
      </c>
      <c r="BC47" s="24" t="inlineStr">
        <is>
          <t>valorant-tiered-elo-v6</t>
        </is>
      </c>
      <c r="BD47" s="24" t="inlineStr">
        <is>
          <t>1a6e440b1b97e9b82b6a7765378f51c863c4b5283a22c2ea43821295c9fb6424</t>
        </is>
      </c>
      <c r="BE47" s="24" t="inlineStr">
        <is>
          <t>1</t>
        </is>
      </c>
      <c r="BF47" s="24" t="inlineStr">
        <is>
          <t>1</t>
        </is>
      </c>
      <c r="BG47" s="24" t="inlineStr">
        <is>
          <t>valorant-tiered-elo-v6</t>
        </is>
      </c>
      <c r="BH47" s="24" t="inlineStr">
        <is>
          <t>2026-08-22T07:30:19.864154Z</t>
        </is>
      </c>
      <c r="BI47" s="24" t="inlineStr">
        <is>
          <t>["same_event","same_team_same_day","same_league_same_day"]</t>
        </is>
      </c>
      <c r="BJ47" s="25" t="n"/>
      <c r="BK47" s="26" t="n">
        <v>170</v>
      </c>
      <c r="BL47" s="27" t="n">
        <v>2.7</v>
      </c>
      <c r="BM47" s="28" t="n">
        <v>0.37037</v>
      </c>
      <c r="BN47" s="28" t="n"/>
      <c r="BO47" s="28" t="n"/>
      <c r="BP47" s="25" t="n"/>
      <c r="BQ47" s="27" t="n">
        <v>2.86</v>
      </c>
      <c r="BR47" s="28" t="n">
        <v>0.35</v>
      </c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inlineStr">
        <is>
          <t>True</t>
        </is>
      </c>
      <c r="CT47" s="24" t="n"/>
      <c r="CU47" s="24" t="n"/>
      <c r="CV47" s="24" t="n"/>
      <c r="CW47" s="24" t="n"/>
      <c r="CX47" s="24" t="n"/>
      <c r="CY47" s="24" t="n"/>
      <c r="CZ47" s="24" t="n"/>
      <c r="DA47" s="24" t="n"/>
      <c r="DB47" s="24" t="n"/>
      <c r="DC47" s="24" t="n"/>
      <c r="DD47" s="24" t="n"/>
      <c r="DE47" s="24" t="n"/>
      <c r="DF47" s="24" t="n"/>
      <c r="DG47" s="24" t="n"/>
      <c r="DH47" s="24" t="n"/>
      <c r="DI47" s="24" t="n"/>
      <c r="DJ47" s="24" t="inlineStr">
        <is>
          <t>0.37037</t>
        </is>
      </c>
      <c r="DK47" s="24" t="n"/>
      <c r="DL47" s="24" t="n"/>
      <c r="DM47" s="24" t="n"/>
      <c r="DN47" s="24" t="n"/>
      <c r="DO47" s="24" t="n"/>
      <c r="DP47" s="24" t="n"/>
      <c r="DQ47" s="24" t="n"/>
    </row>
    <row r="48" ht="36" customHeight="1">
      <c r="A48" s="24" t="inlineStr">
        <is>
          <t>30c4f4c694194b8a</t>
        </is>
      </c>
      <c r="B48" s="24" t="inlineStr">
        <is>
          <t>2026-08-22T09:16:44.843626Z</t>
        </is>
      </c>
      <c r="C48" s="24" t="inlineStr">
        <is>
          <t>2026-08-22T11:00:00Z</t>
        </is>
      </c>
      <c r="D48" s="24" t="inlineStr">
        <is>
          <t>87310</t>
        </is>
      </c>
      <c r="E48" s="24" t="inlineStr">
        <is>
          <t>VALORANT</t>
        </is>
      </c>
      <c r="F48" s="24" t="inlineStr">
        <is>
          <t>ZETA DIVISION</t>
        </is>
      </c>
      <c r="G48" s="24" t="inlineStr">
        <is>
          <t>DetonatioN FocusMe</t>
        </is>
      </c>
      <c r="H48" s="24" t="inlineStr">
        <is>
          <t>moneyline</t>
        </is>
      </c>
      <c r="I48" s="24" t="inlineStr">
        <is>
          <t>home</t>
        </is>
      </c>
      <c r="J48" s="25" t="n"/>
      <c r="K48" s="24" t="inlineStr">
        <is>
          <t>polymarket_us</t>
        </is>
      </c>
      <c r="L48" s="26" t="n">
        <v>-170</v>
      </c>
      <c r="M48" s="27" t="n">
        <v>1.588235</v>
      </c>
      <c r="N48" s="28" t="n">
        <v>0.62963</v>
      </c>
      <c r="O48" s="28" t="n">
        <v>0.667824</v>
      </c>
      <c r="P48" s="28" t="n"/>
      <c r="Q48" s="28" t="n">
        <v>0.038194</v>
      </c>
      <c r="R48" s="26" t="n">
        <v>39</v>
      </c>
      <c r="S48" s="29" t="n">
        <v>1.75</v>
      </c>
      <c r="T48" s="24" t="inlineStr">
        <is>
          <t>valorant-tiered-elo-v6</t>
        </is>
      </c>
      <c r="U48" s="24" t="inlineStr">
        <is>
          <t>settled</t>
        </is>
      </c>
      <c r="V48" s="24" t="inlineStr">
        <is>
          <t>win</t>
        </is>
      </c>
      <c r="W48" s="26" t="n">
        <v>0</v>
      </c>
      <c r="X48" s="26" t="n">
        <v>1</v>
      </c>
      <c r="Y48" s="25" t="n"/>
      <c r="Z48" s="26" t="n">
        <v>-170</v>
      </c>
      <c r="AA48" s="28" t="n">
        <v>0.63</v>
      </c>
      <c r="AB48" s="28" t="n">
        <v>0.00037</v>
      </c>
      <c r="AC48" s="30" t="n">
        <v>1.0294</v>
      </c>
      <c r="AD48" s="24" t="inlineStr">
        <is>
          <t>2026-08-22T12:24:03.065852Z</t>
        </is>
      </c>
      <c r="AE48" s="31" t="inlineStr">
        <is>
          <t>Neutral Elo baseline; executable ask 0.6300 (market_slug=aec-valorant-dfm-zeta-2026-08-22).</t>
        </is>
      </c>
      <c r="AF48" s="31" t="inlineStr">
        <is>
          <t>Config-promoted esports baseline; gates enforced at log time.</t>
        </is>
      </c>
      <c r="AG48" s="24" t="inlineStr">
        <is>
          <t>not_applicable</t>
        </is>
      </c>
      <c r="AH48" s="24" t="n"/>
      <c r="AI48" s="31" t="n"/>
      <c r="AJ48" s="31" t="n"/>
      <c r="AK48" s="24" t="inlineStr">
        <is>
          <t>model_qualified</t>
        </is>
      </c>
      <c r="AL48" s="26" t="n">
        <v>4</v>
      </c>
      <c r="AM48" s="24" t="inlineStr">
        <is>
          <t>QUALIFIED_SHADOW_CALL</t>
        </is>
      </c>
      <c r="AN48" s="24" t="inlineStr">
        <is>
          <t>CALL</t>
        </is>
      </c>
      <c r="AO48" s="24" t="inlineStr">
        <is>
          <t>QUALIFIED</t>
        </is>
      </c>
      <c r="AP48" s="24" t="inlineStr">
        <is>
          <t>ZETA DIVISION</t>
        </is>
      </c>
      <c r="AQ48" s="24" t="inlineStr">
        <is>
          <t>ZETA DIVISION</t>
        </is>
      </c>
      <c r="AR48" s="24" t="inlineStr">
        <is>
          <t>ZETA DIVISION</t>
        </is>
      </c>
      <c r="AS48" s="24" t="inlineStr">
        <is>
          <t>DetonatioN FocusMe</t>
        </is>
      </c>
      <c r="AT48" s="24" t="inlineStr">
        <is>
          <t>DetonatioN FocusMe</t>
        </is>
      </c>
      <c r="AU48" s="24" t="inlineStr">
        <is>
          <t>DetonatioN FocusMe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shadow_qualified</t>
        </is>
      </c>
      <c r="BA48" s="24" t="inlineStr">
        <is>
          <t>55ef07e787cab88753d6203e002af42a233650012c6ac9e4af084541c849b526</t>
        </is>
      </c>
      <c r="BB48" s="24" t="inlineStr">
        <is>
          <t>neutral_elo</t>
        </is>
      </c>
      <c r="BC48" s="24" t="inlineStr">
        <is>
          <t>valorant-tiered-elo-v6</t>
        </is>
      </c>
      <c r="BD48" s="24" t="inlineStr">
        <is>
          <t>55ef07e787cab88753d6203e002af42a233650012c6ac9e4af084541c849b526</t>
        </is>
      </c>
      <c r="BE48" s="24" t="inlineStr">
        <is>
          <t>1</t>
        </is>
      </c>
      <c r="BF48" s="24" t="inlineStr">
        <is>
          <t>1</t>
        </is>
      </c>
      <c r="BG48" s="24" t="inlineStr">
        <is>
          <t>valorant-tiered-elo-v6</t>
        </is>
      </c>
      <c r="BH48" s="24" t="inlineStr">
        <is>
          <t>2026-08-22T09:16:44.449014Z</t>
        </is>
      </c>
      <c r="BI48" s="24" t="inlineStr">
        <is>
          <t>["same_event","same_team_same_day","same_league_same_day"]</t>
        </is>
      </c>
      <c r="BJ48" s="25" t="n"/>
      <c r="BK48" s="26" t="n">
        <v>-170</v>
      </c>
      <c r="BL48" s="27" t="n">
        <v>1.588235</v>
      </c>
      <c r="BM48" s="28" t="n">
        <v>0.62963</v>
      </c>
      <c r="BN48" s="28" t="n"/>
      <c r="BO48" s="28" t="n"/>
      <c r="BP48" s="25" t="n"/>
      <c r="BQ48" s="27" t="n">
        <v>1.588235</v>
      </c>
      <c r="BR48" s="28" t="n">
        <v>0.63</v>
      </c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inlineStr">
        <is>
          <t>True</t>
        </is>
      </c>
      <c r="CT48" s="24" t="n"/>
      <c r="CU48" s="24" t="n"/>
      <c r="CV48" s="24" t="n"/>
      <c r="CW48" s="24" t="n"/>
      <c r="CX48" s="24" t="n"/>
      <c r="CY48" s="24" t="n"/>
      <c r="CZ48" s="24" t="n"/>
      <c r="DA48" s="24" t="n"/>
      <c r="DB48" s="24" t="n"/>
      <c r="DC48" s="24" t="n"/>
      <c r="DD48" s="24" t="n"/>
      <c r="DE48" s="24" t="n"/>
      <c r="DF48" s="24" t="n"/>
      <c r="DG48" s="24" t="n"/>
      <c r="DH48" s="24" t="n"/>
      <c r="DI48" s="24" t="n"/>
      <c r="DJ48" s="24" t="inlineStr">
        <is>
          <t>0.62963</t>
        </is>
      </c>
      <c r="DK48" s="24" t="n"/>
      <c r="DL48" s="24" t="n"/>
      <c r="DM48" s="24" t="n"/>
      <c r="DN48" s="24" t="n"/>
      <c r="DO48" s="24" t="n"/>
      <c r="DP48" s="24" t="n"/>
      <c r="DQ48" s="24" t="n"/>
    </row>
    <row r="49" ht="36" customHeight="1">
      <c r="A49" s="24" t="inlineStr">
        <is>
          <t>82db5b3b23fb4860</t>
        </is>
      </c>
      <c r="B49" s="24" t="inlineStr">
        <is>
          <t>2026-08-22T12:31:03.369654Z</t>
        </is>
      </c>
      <c r="C49" s="24" t="inlineStr">
        <is>
          <t>2026-08-22T14:00:00Z</t>
        </is>
      </c>
      <c r="D49" s="24" t="inlineStr">
        <is>
          <t>87756</t>
        </is>
      </c>
      <c r="E49" s="24" t="inlineStr">
        <is>
          <t>VALORANT</t>
        </is>
      </c>
      <c r="F49" s="24" t="inlineStr">
        <is>
          <t>Eintracht Frankfurt</t>
        </is>
      </c>
      <c r="G49" s="24" t="inlineStr">
        <is>
          <t>Team Liquid</t>
        </is>
      </c>
      <c r="H49" s="24" t="inlineStr">
        <is>
          <t>moneyline</t>
        </is>
      </c>
      <c r="I49" s="24" t="inlineStr">
        <is>
          <t>away</t>
        </is>
      </c>
      <c r="J49" s="25" t="n"/>
      <c r="K49" s="24" t="inlineStr">
        <is>
          <t>polymarket_us</t>
        </is>
      </c>
      <c r="L49" s="26" t="n">
        <v>156</v>
      </c>
      <c r="M49" s="27" t="n">
        <v>2.56</v>
      </c>
      <c r="N49" s="28" t="n">
        <v>0.390625</v>
      </c>
      <c r="O49" s="28" t="n">
        <v>0.621295</v>
      </c>
      <c r="P49" s="28" t="n"/>
      <c r="Q49" s="28" t="n">
        <v>0.23067</v>
      </c>
      <c r="R49" s="26" t="n">
        <v>100</v>
      </c>
      <c r="S49" s="29" t="n">
        <v>1.5</v>
      </c>
      <c r="T49" s="24" t="inlineStr">
        <is>
          <t>valorant-tiered-elo-v6</t>
        </is>
      </c>
      <c r="U49" s="24" t="inlineStr">
        <is>
          <t>settled</t>
        </is>
      </c>
      <c r="V49" s="24" t="inlineStr">
        <is>
          <t>loss</t>
        </is>
      </c>
      <c r="W49" s="26" t="n">
        <v>0</v>
      </c>
      <c r="X49" s="26" t="n">
        <v>1</v>
      </c>
      <c r="Y49" s="25" t="n"/>
      <c r="Z49" s="26" t="n">
        <v>150</v>
      </c>
      <c r="AA49" s="28" t="n">
        <v>0.4</v>
      </c>
      <c r="AB49" s="28" t="n">
        <v>0.009375</v>
      </c>
      <c r="AC49" s="30" t="n">
        <v>-1.5</v>
      </c>
      <c r="AD49" s="24" t="inlineStr">
        <is>
          <t>2026-08-22T19:05:01.305143Z</t>
        </is>
      </c>
      <c r="AE49" s="31" t="inlineStr">
        <is>
          <t>Neutral Elo baseline; executable ask 0.3900 (market_slug=aec-valorant-tl-sge-2026-08-22).</t>
        </is>
      </c>
      <c r="AF49" s="31" t="inlineStr">
        <is>
          <t>Config-promoted esports baseline; gates enforced at log time.</t>
        </is>
      </c>
      <c r="AG49" s="24" t="inlineStr">
        <is>
          <t>review_required</t>
        </is>
      </c>
      <c r="AH49" s="24" t="n"/>
      <c r="AI49" s="31" t="n"/>
      <c r="AJ49" s="31" t="n"/>
      <c r="AK49" s="24" t="inlineStr">
        <is>
          <t>model_qualified</t>
        </is>
      </c>
      <c r="AL49" s="26" t="n">
        <v>4</v>
      </c>
      <c r="AM49" s="24" t="inlineStr">
        <is>
          <t>QUALIFIED_SHADOW_CALL</t>
        </is>
      </c>
      <c r="AN49" s="24" t="inlineStr">
        <is>
          <t>CALL</t>
        </is>
      </c>
      <c r="AO49" s="24" t="inlineStr">
        <is>
          <t>QUALIFIED</t>
        </is>
      </c>
      <c r="AP49" s="24" t="inlineStr">
        <is>
          <t>Eintracht Frankfurt</t>
        </is>
      </c>
      <c r="AQ49" s="24" t="inlineStr">
        <is>
          <t>Eintracht Frankfurt</t>
        </is>
      </c>
      <c r="AR49" s="24" t="inlineStr">
        <is>
          <t>Eintracht Frankfurt</t>
        </is>
      </c>
      <c r="AS49" s="24" t="inlineStr">
        <is>
          <t>Team Liquid</t>
        </is>
      </c>
      <c r="AT49" s="24" t="inlineStr">
        <is>
          <t>Team Liquid</t>
        </is>
      </c>
      <c r="AU49" s="24" t="inlineStr">
        <is>
          <t>Team Liquid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shadow_qualified</t>
        </is>
      </c>
      <c r="BA49" s="24" t="inlineStr">
        <is>
          <t>393f3bf8c1039408aeddc5788c6ac918d431cb56e76b3a4d2055cc96fdac7ee8</t>
        </is>
      </c>
      <c r="BB49" s="24" t="inlineStr">
        <is>
          <t>neutral_elo</t>
        </is>
      </c>
      <c r="BC49" s="24" t="inlineStr">
        <is>
          <t>valorant-tiered-elo-v6</t>
        </is>
      </c>
      <c r="BD49" s="24" t="inlineStr">
        <is>
          <t>393f3bf8c1039408aeddc5788c6ac918d431cb56e76b3a4d2055cc96fdac7ee8</t>
        </is>
      </c>
      <c r="BE49" s="24" t="inlineStr">
        <is>
          <t>1</t>
        </is>
      </c>
      <c r="BF49" s="24" t="inlineStr">
        <is>
          <t>1</t>
        </is>
      </c>
      <c r="BG49" s="24" t="inlineStr">
        <is>
          <t>valorant-tiered-elo-v6</t>
        </is>
      </c>
      <c r="BH49" s="24" t="inlineStr">
        <is>
          <t>2026-08-22T12:31:02.739338Z</t>
        </is>
      </c>
      <c r="BI49" s="24" t="inlineStr">
        <is>
          <t>["same_event","same_team_same_day","same_league_same_day"]</t>
        </is>
      </c>
      <c r="BJ49" s="25" t="n"/>
      <c r="BK49" s="26" t="n">
        <v>156</v>
      </c>
      <c r="BL49" s="27" t="n">
        <v>2.56</v>
      </c>
      <c r="BM49" s="28" t="n">
        <v>0.390625</v>
      </c>
      <c r="BN49" s="28" t="n"/>
      <c r="BO49" s="28" t="n"/>
      <c r="BP49" s="25" t="n"/>
      <c r="BQ49" s="27" t="n">
        <v>2.5</v>
      </c>
      <c r="BR49" s="28" t="n">
        <v>0.4</v>
      </c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inlineStr">
        <is>
          <t>True</t>
        </is>
      </c>
      <c r="CT49" s="24" t="n"/>
      <c r="CU49" s="24" t="n"/>
      <c r="CV49" s="24" t="n"/>
      <c r="CW49" s="24" t="n"/>
      <c r="CX49" s="24" t="n"/>
      <c r="CY49" s="24" t="n"/>
      <c r="CZ49" s="24" t="n"/>
      <c r="DA49" s="24" t="n"/>
      <c r="DB49" s="24" t="n"/>
      <c r="DC49" s="24" t="n"/>
      <c r="DD49" s="24" t="n"/>
      <c r="DE49" s="24" t="n"/>
      <c r="DF49" s="24" t="n"/>
      <c r="DG49" s="24" t="n"/>
      <c r="DH49" s="24" t="n"/>
      <c r="DI49" s="24" t="n"/>
      <c r="DJ49" s="24" t="inlineStr">
        <is>
          <t>0.390625</t>
        </is>
      </c>
      <c r="DK49" s="24" t="n"/>
      <c r="DL49" s="24" t="n"/>
      <c r="DM49" s="24" t="n"/>
      <c r="DN49" s="24" t="n"/>
      <c r="DO49" s="24" t="n"/>
      <c r="DP49" s="24" t="n"/>
      <c r="DQ49" s="24" t="n"/>
    </row>
    <row r="50" ht="36" customHeight="1">
      <c r="A50" s="24" t="inlineStr">
        <is>
          <t>6dfbc8c889ee4697</t>
        </is>
      </c>
      <c r="B50" s="24" t="inlineStr">
        <is>
          <t>2026-08-23T05:28:22.541457Z</t>
        </is>
      </c>
      <c r="C50" s="24" t="inlineStr">
        <is>
          <t>2026-08-23T08:00:00Z</t>
        </is>
      </c>
      <c r="D50" s="24" t="inlineStr">
        <is>
          <t>88682</t>
        </is>
      </c>
      <c r="E50" s="24" t="inlineStr">
        <is>
          <t>VALORANT</t>
        </is>
      </c>
      <c r="F50" s="24" t="inlineStr">
        <is>
          <t>ONSIDE GAMING</t>
        </is>
      </c>
      <c r="G50" s="24" t="inlineStr">
        <is>
          <t>Sharper Esport</t>
        </is>
      </c>
      <c r="H50" s="24" t="inlineStr">
        <is>
          <t>moneyline</t>
        </is>
      </c>
      <c r="I50" s="24" t="inlineStr">
        <is>
          <t>home</t>
        </is>
      </c>
      <c r="J50" s="25" t="n"/>
      <c r="K50" s="24" t="inlineStr">
        <is>
          <t>polymarket_us</t>
        </is>
      </c>
      <c r="L50" s="26" t="n">
        <v>104</v>
      </c>
      <c r="M50" s="27" t="n">
        <v>2.04</v>
      </c>
      <c r="N50" s="28" t="n">
        <v>0.490196</v>
      </c>
      <c r="O50" s="28" t="n">
        <v>0.590654</v>
      </c>
      <c r="P50" s="28" t="n"/>
      <c r="Q50" s="28" t="n">
        <v>0.100458</v>
      </c>
      <c r="R50" s="26" t="n">
        <v>70</v>
      </c>
      <c r="S50" s="29" t="n">
        <v>1.25</v>
      </c>
      <c r="T50" s="24" t="inlineStr">
        <is>
          <t>valorant-tiered-elo-v6</t>
        </is>
      </c>
      <c r="U50" s="24" t="inlineStr">
        <is>
          <t>settled</t>
        </is>
      </c>
      <c r="V50" s="24" t="inlineStr">
        <is>
          <t>loss</t>
        </is>
      </c>
      <c r="W50" s="26" t="n">
        <v>1</v>
      </c>
      <c r="X50" s="26" t="n">
        <v>0</v>
      </c>
      <c r="Y50" s="25" t="n"/>
      <c r="Z50" s="26" t="n"/>
      <c r="AA50" s="28" t="n"/>
      <c r="AB50" s="28" t="n"/>
      <c r="AC50" s="30" t="n">
        <v>-1.25</v>
      </c>
      <c r="AD50" s="24" t="inlineStr">
        <is>
          <t>2026-08-23T15:50:32.580587Z</t>
        </is>
      </c>
      <c r="AE50" s="31" t="inlineStr">
        <is>
          <t>Neutral Elo baseline; executable ask 0.4900 (market_slug=aec-valorant-spe-osg-2026-08-23).</t>
        </is>
      </c>
      <c r="AF50" s="31" t="inlineStr">
        <is>
          <t>Config-promoted esports baseline; gates enforced at log time.</t>
        </is>
      </c>
      <c r="AG50" s="24" t="inlineStr">
        <is>
          <t>review_required</t>
        </is>
      </c>
      <c r="AH50" s="24" t="n"/>
      <c r="AI50" s="31" t="n"/>
      <c r="AJ50" s="31" t="n"/>
      <c r="AK50" s="24" t="inlineStr">
        <is>
          <t>model_qualified</t>
        </is>
      </c>
      <c r="AL50" s="26" t="n">
        <v>4</v>
      </c>
      <c r="AM50" s="24" t="inlineStr">
        <is>
          <t>QUALIFIED_SHADOW_CALL</t>
        </is>
      </c>
      <c r="AN50" s="24" t="inlineStr">
        <is>
          <t>CALL</t>
        </is>
      </c>
      <c r="AO50" s="24" t="inlineStr">
        <is>
          <t>QUALIFIED</t>
        </is>
      </c>
      <c r="AP50" s="24" t="inlineStr">
        <is>
          <t>ONSIDE GAMING</t>
        </is>
      </c>
      <c r="AQ50" s="24" t="inlineStr">
        <is>
          <t>ONSIDE GAMING</t>
        </is>
      </c>
      <c r="AR50" s="24" t="inlineStr">
        <is>
          <t>ONSIDE GAMING</t>
        </is>
      </c>
      <c r="AS50" s="24" t="inlineStr">
        <is>
          <t>Sharper Esport</t>
        </is>
      </c>
      <c r="AT50" s="24" t="inlineStr">
        <is>
          <t>Sharper Esport</t>
        </is>
      </c>
      <c r="AU50" s="24" t="inlineStr">
        <is>
          <t>Sharper Esport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shadow_qualified</t>
        </is>
      </c>
      <c r="BA50" s="24" t="inlineStr">
        <is>
          <t>02ff8f9c947fcaa1a06e48a6fab12a2c8404c394b907c8372d707605a0fc21ee</t>
        </is>
      </c>
      <c r="BB50" s="24" t="inlineStr">
        <is>
          <t>neutral_elo</t>
        </is>
      </c>
      <c r="BC50" s="24" t="inlineStr">
        <is>
          <t>valorant-tiered-elo-v6</t>
        </is>
      </c>
      <c r="BD50" s="24" t="inlineStr">
        <is>
          <t>02ff8f9c947fcaa1a06e48a6fab12a2c8404c394b907c8372d707605a0fc21ee</t>
        </is>
      </c>
      <c r="BE50" s="24" t="inlineStr">
        <is>
          <t>1</t>
        </is>
      </c>
      <c r="BF50" s="24" t="inlineStr">
        <is>
          <t>1</t>
        </is>
      </c>
      <c r="BG50" s="24" t="inlineStr">
        <is>
          <t>valorant-tiered-elo-v6</t>
        </is>
      </c>
      <c r="BH50" s="24" t="inlineStr">
        <is>
          <t>2026-08-23T05:28:19.217531Z</t>
        </is>
      </c>
      <c r="BI50" s="24" t="inlineStr">
        <is>
          <t>["same_event","same_team_same_day","same_league_same_day"]</t>
        </is>
      </c>
      <c r="BJ50" s="25" t="n"/>
      <c r="BK50" s="26" t="n">
        <v>104</v>
      </c>
      <c r="BL50" s="27" t="n">
        <v>2.04</v>
      </c>
      <c r="BM50" s="28" t="n">
        <v>0.490196</v>
      </c>
      <c r="BN50" s="28" t="n"/>
      <c r="BO50" s="28" t="n"/>
      <c r="BP50" s="25" t="n"/>
      <c r="BQ50" s="27" t="n"/>
      <c r="BR50" s="28" t="n"/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inlineStr">
        <is>
          <t>True</t>
        </is>
      </c>
      <c r="CT50" s="24" t="n"/>
      <c r="CU50" s="24" t="n"/>
      <c r="CV50" s="24" t="n"/>
      <c r="CW50" s="24" t="n"/>
      <c r="CX50" s="24" t="n"/>
      <c r="CY50" s="24" t="n"/>
      <c r="CZ50" s="24" t="n"/>
      <c r="DA50" s="24" t="n"/>
      <c r="DB50" s="24" t="n"/>
      <c r="DC50" s="24" t="n"/>
      <c r="DD50" s="24" t="n"/>
      <c r="DE50" s="24" t="n"/>
      <c r="DF50" s="24" t="n"/>
      <c r="DG50" s="24" t="n"/>
      <c r="DH50" s="24" t="n"/>
      <c r="DI50" s="24" t="n"/>
      <c r="DJ50" s="24" t="inlineStr">
        <is>
          <t>0.490196</t>
        </is>
      </c>
      <c r="DK50" s="24" t="n"/>
      <c r="DL50" s="24" t="n"/>
      <c r="DM50" s="24" t="n"/>
      <c r="DN50" s="24" t="n"/>
      <c r="DO50" s="24" t="n"/>
      <c r="DP50" s="24" t="n"/>
      <c r="DQ50" s="24" t="n"/>
    </row>
    <row r="51" ht="36" customHeight="1">
      <c r="A51" s="24" t="inlineStr">
        <is>
          <t>758620799eb843ed</t>
        </is>
      </c>
      <c r="B51" s="24" t="inlineStr">
        <is>
          <t>2026-08-23T08:37:50.036855Z</t>
        </is>
      </c>
      <c r="C51" s="24" t="inlineStr">
        <is>
          <t>2026-08-23T14:00:00Z</t>
        </is>
      </c>
      <c r="D51" s="24" t="inlineStr">
        <is>
          <t>88830</t>
        </is>
      </c>
      <c r="E51" s="24" t="inlineStr">
        <is>
          <t>VALORANT</t>
        </is>
      </c>
      <c r="F51" s="24" t="inlineStr">
        <is>
          <t>Team Liquid</t>
        </is>
      </c>
      <c r="G51" s="24" t="inlineStr">
        <is>
          <t>Enterprise Esports</t>
        </is>
      </c>
      <c r="H51" s="24" t="inlineStr">
        <is>
          <t>moneyline</t>
        </is>
      </c>
      <c r="I51" s="24" t="inlineStr">
        <is>
          <t>home</t>
        </is>
      </c>
      <c r="J51" s="25" t="n"/>
      <c r="K51" s="24" t="inlineStr">
        <is>
          <t>polymarket_us</t>
        </is>
      </c>
      <c r="L51" s="26" t="n">
        <v>113</v>
      </c>
      <c r="M51" s="27" t="n">
        <v>2.13</v>
      </c>
      <c r="N51" s="28" t="n">
        <v>0.469484</v>
      </c>
      <c r="O51" s="28" t="n">
        <v>0.752022</v>
      </c>
      <c r="P51" s="28" t="n"/>
      <c r="Q51" s="28" t="n">
        <v>0.282538</v>
      </c>
      <c r="R51" s="26" t="n">
        <v>100</v>
      </c>
      <c r="S51" s="29" t="n">
        <v>2</v>
      </c>
      <c r="T51" s="24" t="inlineStr">
        <is>
          <t>valorant-tiered-elo-v6</t>
        </is>
      </c>
      <c r="U51" s="24" t="inlineStr">
        <is>
          <t>settled</t>
        </is>
      </c>
      <c r="V51" s="24" t="inlineStr">
        <is>
          <t>loss</t>
        </is>
      </c>
      <c r="W51" s="26" t="n">
        <v>1</v>
      </c>
      <c r="X51" s="26" t="n">
        <v>0</v>
      </c>
      <c r="Y51" s="25" t="n"/>
      <c r="Z51" s="26" t="n"/>
      <c r="AA51" s="28" t="n"/>
      <c r="AB51" s="28" t="n"/>
      <c r="AC51" s="30" t="n">
        <v>-2</v>
      </c>
      <c r="AD51" s="24" t="inlineStr">
        <is>
          <t>2026-08-23T16:08:19.438560Z</t>
        </is>
      </c>
      <c r="AE51" s="31" t="inlineStr">
        <is>
          <t>Neutral Elo baseline; executable ask 0.4700 (market_slug=aec-valorant-ep-tl-2026-08-23).</t>
        </is>
      </c>
      <c r="AF51" s="31" t="inlineStr">
        <is>
          <t>Config-promoted esports baseline; gates enforced at log time.</t>
        </is>
      </c>
      <c r="AG51" s="24" t="inlineStr">
        <is>
          <t>review_required</t>
        </is>
      </c>
      <c r="AH51" s="24" t="n"/>
      <c r="AI51" s="31" t="n"/>
      <c r="AJ51" s="31" t="n"/>
      <c r="AK51" s="24" t="inlineStr">
        <is>
          <t>model_qualified</t>
        </is>
      </c>
      <c r="AL51" s="26" t="n">
        <v>4</v>
      </c>
      <c r="AM51" s="24" t="inlineStr">
        <is>
          <t>QUALIFIED_SHADOW_CALL</t>
        </is>
      </c>
      <c r="AN51" s="24" t="inlineStr">
        <is>
          <t>CALL</t>
        </is>
      </c>
      <c r="AO51" s="24" t="inlineStr">
        <is>
          <t>QUALIFIED</t>
        </is>
      </c>
      <c r="AP51" s="24" t="inlineStr">
        <is>
          <t>Team Liquid</t>
        </is>
      </c>
      <c r="AQ51" s="24" t="inlineStr">
        <is>
          <t>Team Liquid</t>
        </is>
      </c>
      <c r="AR51" s="24" t="inlineStr">
        <is>
          <t>Team Liquid</t>
        </is>
      </c>
      <c r="AS51" s="24" t="inlineStr">
        <is>
          <t>Enterprise Esports</t>
        </is>
      </c>
      <c r="AT51" s="24" t="inlineStr">
        <is>
          <t>Enterprise Esports</t>
        </is>
      </c>
      <c r="AU51" s="24" t="inlineStr">
        <is>
          <t>Enterprise Esports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shadow_qualified</t>
        </is>
      </c>
      <c r="BA51" s="24" t="inlineStr">
        <is>
          <t>d5592fe9dc79608e13b03a07b9e2ac8df1625136d8b7d61542a22360f7fab8bf</t>
        </is>
      </c>
      <c r="BB51" s="24" t="inlineStr">
        <is>
          <t>neutral_elo</t>
        </is>
      </c>
      <c r="BC51" s="24" t="inlineStr">
        <is>
          <t>valorant-tiered-elo-v6</t>
        </is>
      </c>
      <c r="BD51" s="24" t="inlineStr">
        <is>
          <t>d5592fe9dc79608e13b03a07b9e2ac8df1625136d8b7d61542a22360f7fab8bf</t>
        </is>
      </c>
      <c r="BE51" s="24" t="inlineStr">
        <is>
          <t>1</t>
        </is>
      </c>
      <c r="BF51" s="24" t="inlineStr">
        <is>
          <t>1</t>
        </is>
      </c>
      <c r="BG51" s="24" t="inlineStr">
        <is>
          <t>valorant-tiered-elo-v6</t>
        </is>
      </c>
      <c r="BH51" s="24" t="inlineStr">
        <is>
          <t>2026-08-23T08:37:49.338921Z</t>
        </is>
      </c>
      <c r="BI51" s="24" t="inlineStr">
        <is>
          <t>["same_event","same_team_same_day","same_league_same_day"]</t>
        </is>
      </c>
      <c r="BJ51" s="25" t="n"/>
      <c r="BK51" s="26" t="n">
        <v>113</v>
      </c>
      <c r="BL51" s="27" t="n">
        <v>2.13</v>
      </c>
      <c r="BM51" s="28" t="n">
        <v>0.469484</v>
      </c>
      <c r="BN51" s="28" t="n"/>
      <c r="BO51" s="28" t="n"/>
      <c r="BP51" s="25" t="n"/>
      <c r="BQ51" s="27" t="n"/>
      <c r="BR51" s="28" t="n"/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inlineStr">
        <is>
          <t>True</t>
        </is>
      </c>
      <c r="CT51" s="24" t="n"/>
      <c r="CU51" s="24" t="n"/>
      <c r="CV51" s="24" t="n"/>
      <c r="CW51" s="24" t="n"/>
      <c r="CX51" s="24" t="n"/>
      <c r="CY51" s="24" t="n"/>
      <c r="CZ51" s="24" t="n"/>
      <c r="DA51" s="24" t="n"/>
      <c r="DB51" s="24" t="n"/>
      <c r="DC51" s="24" t="n"/>
      <c r="DD51" s="24" t="n"/>
      <c r="DE51" s="24" t="n"/>
      <c r="DF51" s="24" t="n"/>
      <c r="DG51" s="24" t="n"/>
      <c r="DH51" s="24" t="n"/>
      <c r="DI51" s="24" t="n"/>
      <c r="DJ51" s="24" t="inlineStr">
        <is>
          <t>0.469484</t>
        </is>
      </c>
      <c r="DK51" s="24" t="n"/>
      <c r="DL51" s="24" t="n"/>
      <c r="DM51" s="24" t="n"/>
      <c r="DN51" s="24" t="n"/>
      <c r="DO51" s="24" t="n"/>
      <c r="DP51" s="24" t="n"/>
      <c r="DQ51" s="24" t="n"/>
    </row>
    <row r="52" ht="36" customHeight="1">
      <c r="A52" s="24" t="inlineStr">
        <is>
          <t>42d1a76dffab4de3</t>
        </is>
      </c>
      <c r="B52" s="24" t="inlineStr">
        <is>
          <t>2026-08-23T16:11:20.718472Z</t>
        </is>
      </c>
      <c r="C52" s="24" t="inlineStr">
        <is>
          <t>2026-08-23T17:00:00Z</t>
        </is>
      </c>
      <c r="D52" s="24" t="inlineStr">
        <is>
          <t>89302</t>
        </is>
      </c>
      <c r="E52" s="24" t="inlineStr">
        <is>
          <t>VALORANT</t>
        </is>
      </c>
      <c r="F52" s="24" t="inlineStr">
        <is>
          <t>Fire Flux Esports</t>
        </is>
      </c>
      <c r="G52" s="24" t="inlineStr">
        <is>
          <t>BBL Esports</t>
        </is>
      </c>
      <c r="H52" s="24" t="inlineStr">
        <is>
          <t>moneyline</t>
        </is>
      </c>
      <c r="I52" s="24" t="inlineStr">
        <is>
          <t>home</t>
        </is>
      </c>
      <c r="J52" s="25" t="n"/>
      <c r="K52" s="24" t="inlineStr">
        <is>
          <t>polymarket_us</t>
        </is>
      </c>
      <c r="L52" s="26" t="n">
        <v>-144</v>
      </c>
      <c r="M52" s="27" t="n">
        <v>1.694444</v>
      </c>
      <c r="N52" s="28" t="n">
        <v>0.590164</v>
      </c>
      <c r="O52" s="28" t="n">
        <v>0.626323</v>
      </c>
      <c r="P52" s="28" t="n"/>
      <c r="Q52" s="28" t="n">
        <v>0.036159</v>
      </c>
      <c r="R52" s="26" t="n">
        <v>38</v>
      </c>
      <c r="S52" s="29" t="n">
        <v>1</v>
      </c>
      <c r="T52" s="24" t="inlineStr">
        <is>
          <t>valorant-tiered-elo-v6</t>
        </is>
      </c>
      <c r="U52" s="24" t="inlineStr">
        <is>
          <t>settled</t>
        </is>
      </c>
      <c r="V52" s="24" t="inlineStr">
        <is>
          <t>loss</t>
        </is>
      </c>
      <c r="W52" s="26" t="n">
        <v>1</v>
      </c>
      <c r="X52" s="26" t="n">
        <v>0</v>
      </c>
      <c r="Y52" s="25" t="n"/>
      <c r="Z52" s="26" t="n"/>
      <c r="AA52" s="28" t="n"/>
      <c r="AB52" s="28" t="n"/>
      <c r="AC52" s="30" t="n">
        <v>-1</v>
      </c>
      <c r="AD52" s="24" t="inlineStr">
        <is>
          <t>2026-08-23T18:43:58.144668Z</t>
        </is>
      </c>
      <c r="AE52" s="31" t="inlineStr">
        <is>
          <t>Neutral Elo baseline; executable ask 0.5900 (market_slug=aec-valorant-bbl-ff-2026-08-23).</t>
        </is>
      </c>
      <c r="AF52" s="31" t="inlineStr">
        <is>
          <t>Config-promoted esports baseline; gates enforced at log time.</t>
        </is>
      </c>
      <c r="AG52" s="24" t="inlineStr">
        <is>
          <t>review_required</t>
        </is>
      </c>
      <c r="AH52" s="24" t="n"/>
      <c r="AI52" s="31" t="n"/>
      <c r="AJ52" s="31" t="n"/>
      <c r="AK52" s="24" t="inlineStr">
        <is>
          <t>model_qualified</t>
        </is>
      </c>
      <c r="AL52" s="26" t="n">
        <v>4</v>
      </c>
      <c r="AM52" s="24" t="inlineStr">
        <is>
          <t>QUALIFIED_SHADOW_CALL</t>
        </is>
      </c>
      <c r="AN52" s="24" t="inlineStr">
        <is>
          <t>CALL</t>
        </is>
      </c>
      <c r="AO52" s="24" t="inlineStr">
        <is>
          <t>QUALIFIED</t>
        </is>
      </c>
      <c r="AP52" s="24" t="inlineStr">
        <is>
          <t>Fire Flux Esports</t>
        </is>
      </c>
      <c r="AQ52" s="24" t="inlineStr">
        <is>
          <t>Fire Flux Esports</t>
        </is>
      </c>
      <c r="AR52" s="24" t="inlineStr">
        <is>
          <t>Fire Flux Esports</t>
        </is>
      </c>
      <c r="AS52" s="24" t="inlineStr">
        <is>
          <t>BBL Esports</t>
        </is>
      </c>
      <c r="AT52" s="24" t="inlineStr">
        <is>
          <t>BBL Esports</t>
        </is>
      </c>
      <c r="AU52" s="24" t="inlineStr">
        <is>
          <t>BBL Esports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shadow_qualified</t>
        </is>
      </c>
      <c r="BA52" s="24" t="inlineStr">
        <is>
          <t>51b77af69bf8dceacf9fa28460c2dfe715c42123b6b807db4068c424675a446b</t>
        </is>
      </c>
      <c r="BB52" s="24" t="inlineStr">
        <is>
          <t>neutral_elo</t>
        </is>
      </c>
      <c r="BC52" s="24" t="inlineStr">
        <is>
          <t>valorant-tiered-elo-v6</t>
        </is>
      </c>
      <c r="BD52" s="24" t="inlineStr">
        <is>
          <t>51b77af69bf8dceacf9fa28460c2dfe715c42123b6b807db4068c424675a446b</t>
        </is>
      </c>
      <c r="BE52" s="24" t="inlineStr">
        <is>
          <t>1</t>
        </is>
      </c>
      <c r="BF52" s="24" t="inlineStr">
        <is>
          <t>1</t>
        </is>
      </c>
      <c r="BG52" s="24" t="inlineStr">
        <is>
          <t>valorant-tiered-elo-v6</t>
        </is>
      </c>
      <c r="BH52" s="24" t="inlineStr">
        <is>
          <t>2026-08-23T16:11:19.812182Z</t>
        </is>
      </c>
      <c r="BI52" s="24" t="inlineStr">
        <is>
          <t>["same_event","same_team_same_day","same_league_same_day"]</t>
        </is>
      </c>
      <c r="BJ52" s="25" t="n"/>
      <c r="BK52" s="26" t="n">
        <v>-144</v>
      </c>
      <c r="BL52" s="27" t="n">
        <v>1.694444</v>
      </c>
      <c r="BM52" s="28" t="n">
        <v>0.590164</v>
      </c>
      <c r="BN52" s="28" t="n"/>
      <c r="BO52" s="28" t="n"/>
      <c r="BP52" s="25" t="n"/>
      <c r="BQ52" s="27" t="n"/>
      <c r="BR52" s="28" t="n"/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inlineStr">
        <is>
          <t>True</t>
        </is>
      </c>
      <c r="CT52" s="24" t="n"/>
      <c r="CU52" s="24" t="n"/>
      <c r="CV52" s="24" t="n"/>
      <c r="CW52" s="24" t="n"/>
      <c r="CX52" s="24" t="n"/>
      <c r="CY52" s="24" t="n"/>
      <c r="CZ52" s="24" t="n"/>
      <c r="DA52" s="24" t="n"/>
      <c r="DB52" s="24" t="n"/>
      <c r="DC52" s="24" t="n"/>
      <c r="DD52" s="24" t="n"/>
      <c r="DE52" s="24" t="n"/>
      <c r="DF52" s="24" t="n"/>
      <c r="DG52" s="24" t="n"/>
      <c r="DH52" s="24" t="n"/>
      <c r="DI52" s="24" t="n"/>
      <c r="DJ52" s="24" t="inlineStr">
        <is>
          <t>0.590164</t>
        </is>
      </c>
      <c r="DK52" s="24" t="n"/>
      <c r="DL52" s="24" t="n"/>
      <c r="DM52" s="24" t="n"/>
      <c r="DN52" s="24" t="n"/>
      <c r="DO52" s="24" t="n"/>
      <c r="DP52" s="24" t="n"/>
      <c r="DQ52" s="24" t="n"/>
    </row>
    <row r="53" ht="36" customHeight="1">
      <c r="A53" s="24" t="inlineStr">
        <is>
          <t>515767040c8d4bf2</t>
        </is>
      </c>
      <c r="B53" s="24" t="inlineStr">
        <is>
          <t>2026-08-24T21:16:33.103630Z</t>
        </is>
      </c>
      <c r="C53" s="24" t="inlineStr">
        <is>
          <t>2026-08-24T23:00:00Z</t>
        </is>
      </c>
      <c r="D53" s="24" t="inlineStr">
        <is>
          <t>88491</t>
        </is>
      </c>
      <c r="E53" s="24" t="inlineStr">
        <is>
          <t>VALORANT</t>
        </is>
      </c>
      <c r="F53" s="24" t="inlineStr">
        <is>
          <t>Arashi GC</t>
        </is>
      </c>
      <c r="G53" s="24" t="inlineStr">
        <is>
          <t>Ushiras</t>
        </is>
      </c>
      <c r="H53" s="24" t="inlineStr">
        <is>
          <t>moneyline</t>
        </is>
      </c>
      <c r="I53" s="24" t="inlineStr">
        <is>
          <t>home</t>
        </is>
      </c>
      <c r="J53" s="25" t="n"/>
      <c r="K53" s="24" t="inlineStr">
        <is>
          <t>polymarket_us</t>
        </is>
      </c>
      <c r="L53" s="26" t="n">
        <v>150</v>
      </c>
      <c r="M53" s="27" t="n">
        <v>2.5</v>
      </c>
      <c r="N53" s="28" t="n">
        <v>0.4</v>
      </c>
      <c r="O53" s="28" t="n">
        <v>0.526629</v>
      </c>
      <c r="P53" s="28" t="n"/>
      <c r="Q53" s="28" t="n">
        <v>0.126629</v>
      </c>
      <c r="R53" s="26" t="n">
        <v>83</v>
      </c>
      <c r="S53" s="29" t="n">
        <v>1.5</v>
      </c>
      <c r="T53" s="24" t="inlineStr">
        <is>
          <t>valorant-tiered-elo-v6</t>
        </is>
      </c>
      <c r="U53" s="24" t="inlineStr">
        <is>
          <t>settled</t>
        </is>
      </c>
      <c r="V53" s="24" t="inlineStr">
        <is>
          <t>win</t>
        </is>
      </c>
      <c r="W53" s="26" t="n">
        <v>0</v>
      </c>
      <c r="X53" s="26" t="n">
        <v>1</v>
      </c>
      <c r="Y53" s="25" t="n"/>
      <c r="Z53" s="26" t="n">
        <v>150</v>
      </c>
      <c r="AA53" s="28" t="n">
        <v>0.4</v>
      </c>
      <c r="AB53" s="28" t="n">
        <v>0</v>
      </c>
      <c r="AC53" s="30" t="n">
        <v>2.25</v>
      </c>
      <c r="AD53" s="24" t="inlineStr">
        <is>
          <t>2026-08-25T01:14:10.422389Z</t>
        </is>
      </c>
      <c r="AE53" s="31" t="inlineStr">
        <is>
          <t>Neutral Elo baseline; executable ask 0.4000 (market_slug=aec-valorant-ushi-ars-2026-08-24).</t>
        </is>
      </c>
      <c r="AF53" s="31" t="inlineStr">
        <is>
          <t>Config-promoted esports baseline; gates enforced at log time.</t>
        </is>
      </c>
      <c r="AG53" s="24" t="inlineStr">
        <is>
          <t>not_applicable</t>
        </is>
      </c>
      <c r="AH53" s="24" t="n"/>
      <c r="AI53" s="31" t="n"/>
      <c r="AJ53" s="31" t="n"/>
      <c r="AK53" s="24" t="inlineStr">
        <is>
          <t>model_qualified</t>
        </is>
      </c>
      <c r="AL53" s="26" t="n">
        <v>4</v>
      </c>
      <c r="AM53" s="24" t="inlineStr">
        <is>
          <t>QUALIFIED_SHADOW_CALL</t>
        </is>
      </c>
      <c r="AN53" s="24" t="inlineStr">
        <is>
          <t>CALL</t>
        </is>
      </c>
      <c r="AO53" s="24" t="inlineStr">
        <is>
          <t>QUALIFIED</t>
        </is>
      </c>
      <c r="AP53" s="24" t="inlineStr">
        <is>
          <t>Arashi GC</t>
        </is>
      </c>
      <c r="AQ53" s="24" t="inlineStr">
        <is>
          <t>Arashi GC</t>
        </is>
      </c>
      <c r="AR53" s="24" t="inlineStr">
        <is>
          <t>Arashi GC</t>
        </is>
      </c>
      <c r="AS53" s="24" t="inlineStr">
        <is>
          <t>Ushiras</t>
        </is>
      </c>
      <c r="AT53" s="24" t="inlineStr">
        <is>
          <t>Ushiras</t>
        </is>
      </c>
      <c r="AU53" s="24" t="inlineStr">
        <is>
          <t>Ushiras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shadow_qualified</t>
        </is>
      </c>
      <c r="BA53" s="24" t="inlineStr">
        <is>
          <t>1848a42fe93d82c35243f1fc7d16b87eb8967cb0cda730661586daeec021b4bb</t>
        </is>
      </c>
      <c r="BB53" s="24" t="inlineStr">
        <is>
          <t>neutral_elo</t>
        </is>
      </c>
      <c r="BC53" s="24" t="inlineStr">
        <is>
          <t>valorant-tiered-elo-v6</t>
        </is>
      </c>
      <c r="BD53" s="24" t="inlineStr">
        <is>
          <t>1848a42fe93d82c35243f1fc7d16b87eb8967cb0cda730661586daeec021b4bb</t>
        </is>
      </c>
      <c r="BE53" s="24" t="inlineStr">
        <is>
          <t>1</t>
        </is>
      </c>
      <c r="BF53" s="24" t="inlineStr">
        <is>
          <t>1</t>
        </is>
      </c>
      <c r="BG53" s="24" t="inlineStr">
        <is>
          <t>valorant-tiered-elo-v6</t>
        </is>
      </c>
      <c r="BH53" s="24" t="inlineStr">
        <is>
          <t>2026-08-24T21:16:32.978039Z</t>
        </is>
      </c>
      <c r="BI53" s="24" t="inlineStr">
        <is>
          <t>["same_event","same_team_same_day","same_league_same_day"]</t>
        </is>
      </c>
      <c r="BJ53" s="25" t="n"/>
      <c r="BK53" s="26" t="n">
        <v>150</v>
      </c>
      <c r="BL53" s="27" t="n">
        <v>2.5</v>
      </c>
      <c r="BM53" s="28" t="n">
        <v>0.4</v>
      </c>
      <c r="BN53" s="28" t="n"/>
      <c r="BO53" s="28" t="n"/>
      <c r="BP53" s="25" t="n"/>
      <c r="BQ53" s="27" t="n">
        <v>2.5</v>
      </c>
      <c r="BR53" s="28" t="n">
        <v>0.4</v>
      </c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  <c r="CR53" s="24" t="n"/>
      <c r="CS53" s="24" t="inlineStr">
        <is>
          <t>True</t>
        </is>
      </c>
      <c r="CT53" s="24" t="n"/>
      <c r="CU53" s="24" t="n"/>
      <c r="CV53" s="24" t="n"/>
      <c r="CW53" s="24" t="n"/>
      <c r="CX53" s="24" t="n"/>
      <c r="CY53" s="24" t="n"/>
      <c r="CZ53" s="24" t="n"/>
      <c r="DA53" s="24" t="n"/>
      <c r="DB53" s="24" t="n"/>
      <c r="DC53" s="24" t="n"/>
      <c r="DD53" s="24" t="n"/>
      <c r="DE53" s="24" t="n"/>
      <c r="DF53" s="24" t="n"/>
      <c r="DG53" s="24" t="n"/>
      <c r="DH53" s="24" t="n"/>
      <c r="DI53" s="24" t="n"/>
      <c r="DJ53" s="24" t="inlineStr">
        <is>
          <t>0.4</t>
        </is>
      </c>
      <c r="DK53" s="24" t="n"/>
      <c r="DL53" s="24" t="n"/>
      <c r="DM53" s="24" t="n"/>
      <c r="DN53" s="24" t="n"/>
      <c r="DO53" s="24" t="n"/>
      <c r="DP53" s="24" t="n"/>
      <c r="DQ53" s="24" t="n"/>
    </row>
    <row r="54" ht="36" customHeight="1">
      <c r="A54" s="24" t="inlineStr">
        <is>
          <t>e041f77bc2fc4491</t>
        </is>
      </c>
      <c r="B54" s="24" t="inlineStr">
        <is>
          <t>2026-08-25T13:32:40.904779Z</t>
        </is>
      </c>
      <c r="C54" s="24" t="inlineStr">
        <is>
          <t>2026-08-26T08:00:00Z</t>
        </is>
      </c>
      <c r="D54" s="24" t="inlineStr">
        <is>
          <t>89750</t>
        </is>
      </c>
      <c r="E54" s="24" t="inlineStr">
        <is>
          <t>VALORANT</t>
        </is>
      </c>
      <c r="F54" s="24" t="inlineStr">
        <is>
          <t>Nongshim RedForce</t>
        </is>
      </c>
      <c r="G54" s="24" t="inlineStr">
        <is>
          <t>Paper Rex</t>
        </is>
      </c>
      <c r="H54" s="24" t="inlineStr">
        <is>
          <t>moneyline</t>
        </is>
      </c>
      <c r="I54" s="24" t="inlineStr">
        <is>
          <t>away</t>
        </is>
      </c>
      <c r="J54" s="25" t="n"/>
      <c r="K54" s="24" t="inlineStr">
        <is>
          <t>polymarket_us</t>
        </is>
      </c>
      <c r="L54" s="26" t="n">
        <v>113</v>
      </c>
      <c r="M54" s="27" t="n">
        <v>2.13</v>
      </c>
      <c r="N54" s="28" t="n">
        <v>0.469484</v>
      </c>
      <c r="O54" s="28" t="n">
        <v>0.516615</v>
      </c>
      <c r="P54" s="28" t="n"/>
      <c r="Q54" s="28" t="n">
        <v>0.047131</v>
      </c>
      <c r="R54" s="26" t="n">
        <v>44</v>
      </c>
      <c r="S54" s="29" t="n">
        <v>1</v>
      </c>
      <c r="T54" s="24" t="inlineStr">
        <is>
          <t>valorant-tiered-elo-v6</t>
        </is>
      </c>
      <c r="U54" s="24" t="inlineStr">
        <is>
          <t>settled</t>
        </is>
      </c>
      <c r="V54" s="24" t="inlineStr">
        <is>
          <t>win</t>
        </is>
      </c>
      <c r="W54" s="26" t="n">
        <v>1</v>
      </c>
      <c r="X54" s="26" t="n">
        <v>0</v>
      </c>
      <c r="Y54" s="25" t="n"/>
      <c r="Z54" s="26" t="n"/>
      <c r="AA54" s="28" t="n"/>
      <c r="AB54" s="28" t="n"/>
      <c r="AC54" s="30" t="n">
        <v>1.13</v>
      </c>
      <c r="AD54" s="24" t="inlineStr">
        <is>
          <t>2026-08-26T12:41:59.249196Z</t>
        </is>
      </c>
      <c r="AE54" s="31" t="inlineStr">
        <is>
          <t>Neutral Elo baseline; executable ask 0.4700 (market_slug=aec-valorant-pr-ns-2026-08-26).</t>
        </is>
      </c>
      <c r="AF54" s="31" t="inlineStr">
        <is>
          <t>Config-promoted esports baseline; gates enforced at log time.</t>
        </is>
      </c>
      <c r="AG54" s="24" t="inlineStr">
        <is>
          <t>not_applicable</t>
        </is>
      </c>
      <c r="AH54" s="24" t="n"/>
      <c r="AI54" s="31" t="n"/>
      <c r="AJ54" s="31" t="n"/>
      <c r="AK54" s="24" t="inlineStr">
        <is>
          <t>model_qualified</t>
        </is>
      </c>
      <c r="AL54" s="26" t="n">
        <v>4</v>
      </c>
      <c r="AM54" s="24" t="inlineStr">
        <is>
          <t>QUALIFIED_SHADOW_CALL</t>
        </is>
      </c>
      <c r="AN54" s="24" t="inlineStr">
        <is>
          <t>CALL</t>
        </is>
      </c>
      <c r="AO54" s="24" t="inlineStr">
        <is>
          <t>QUALIFIED</t>
        </is>
      </c>
      <c r="AP54" s="24" t="inlineStr">
        <is>
          <t>Nongshim RedForce</t>
        </is>
      </c>
      <c r="AQ54" s="24" t="inlineStr">
        <is>
          <t>Nongshim RedForce</t>
        </is>
      </c>
      <c r="AR54" s="24" t="inlineStr">
        <is>
          <t>Nongshim RedForce</t>
        </is>
      </c>
      <c r="AS54" s="24" t="inlineStr">
        <is>
          <t>Paper Rex</t>
        </is>
      </c>
      <c r="AT54" s="24" t="inlineStr">
        <is>
          <t>Paper Rex</t>
        </is>
      </c>
      <c r="AU54" s="24" t="inlineStr">
        <is>
          <t>Paper Rex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shadow_qualified</t>
        </is>
      </c>
      <c r="BA54" s="24" t="inlineStr">
        <is>
          <t>d692030792ccea56d6dc5e09315f8fb0cf0c0423220cf8b4c1a186a6bb990a53</t>
        </is>
      </c>
      <c r="BB54" s="24" t="inlineStr">
        <is>
          <t>neutral_elo</t>
        </is>
      </c>
      <c r="BC54" s="24" t="inlineStr">
        <is>
          <t>valorant-tiered-elo-v6</t>
        </is>
      </c>
      <c r="BD54" s="24" t="inlineStr">
        <is>
          <t>d692030792ccea56d6dc5e09315f8fb0cf0c0423220cf8b4c1a186a6bb990a53</t>
        </is>
      </c>
      <c r="BE54" s="24" t="inlineStr">
        <is>
          <t>1</t>
        </is>
      </c>
      <c r="BF54" s="24" t="inlineStr">
        <is>
          <t>1</t>
        </is>
      </c>
      <c r="BG54" s="24" t="inlineStr">
        <is>
          <t>valorant-tiered-elo-v6</t>
        </is>
      </c>
      <c r="BH54" s="24" t="inlineStr">
        <is>
          <t>2026-08-25T13:32:40.751004Z</t>
        </is>
      </c>
      <c r="BI54" s="24" t="inlineStr">
        <is>
          <t>["same_event","same_team_same_day","same_league_same_day"]</t>
        </is>
      </c>
      <c r="BJ54" s="25" t="n"/>
      <c r="BK54" s="26" t="n">
        <v>113</v>
      </c>
      <c r="BL54" s="27" t="n">
        <v>2.13</v>
      </c>
      <c r="BM54" s="28" t="n">
        <v>0.469484</v>
      </c>
      <c r="BN54" s="28" t="n"/>
      <c r="BO54" s="28" t="n"/>
      <c r="BP54" s="25" t="n"/>
      <c r="BQ54" s="27" t="n"/>
      <c r="BR54" s="28" t="n"/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  <c r="CR54" s="24" t="n"/>
      <c r="CS54" s="24" t="inlineStr">
        <is>
          <t>True</t>
        </is>
      </c>
      <c r="CT54" s="24" t="n"/>
      <c r="CU54" s="24" t="n"/>
      <c r="CV54" s="24" t="n"/>
      <c r="CW54" s="24" t="n"/>
      <c r="CX54" s="24" t="n"/>
      <c r="CY54" s="24" t="n"/>
      <c r="CZ54" s="24" t="n"/>
      <c r="DA54" s="24" t="n"/>
      <c r="DB54" s="24" t="n"/>
      <c r="DC54" s="24" t="n"/>
      <c r="DD54" s="24" t="n"/>
      <c r="DE54" s="24" t="n"/>
      <c r="DF54" s="24" t="n"/>
      <c r="DG54" s="24" t="n"/>
      <c r="DH54" s="24" t="n"/>
      <c r="DI54" s="24" t="n"/>
      <c r="DJ54" s="24" t="inlineStr">
        <is>
          <t>0.469484</t>
        </is>
      </c>
      <c r="DK54" s="24" t="n"/>
      <c r="DL54" s="24" t="n"/>
      <c r="DM54" s="24" t="n"/>
      <c r="DN54" s="24" t="n"/>
      <c r="DO54" s="24" t="n"/>
      <c r="DP54" s="24" t="n"/>
      <c r="DQ54" s="24" t="n"/>
    </row>
    <row r="55" ht="36" customHeight="1">
      <c r="A55" s="24" t="inlineStr">
        <is>
          <t>99c74c44f77143dc</t>
        </is>
      </c>
      <c r="B55" s="24" t="inlineStr">
        <is>
          <t>2026-08-25T13:32:40.904779Z</t>
        </is>
      </c>
      <c r="C55" s="24" t="inlineStr">
        <is>
          <t>2026-08-26T11:00:00Z</t>
        </is>
      </c>
      <c r="D55" s="24" t="inlineStr">
        <is>
          <t>89751</t>
        </is>
      </c>
      <c r="E55" s="24" t="inlineStr">
        <is>
          <t>VALORANT</t>
        </is>
      </c>
      <c r="F55" s="24" t="inlineStr">
        <is>
          <t>Kiwoom DRX</t>
        </is>
      </c>
      <c r="G55" s="24" t="inlineStr">
        <is>
          <t>Global Esports</t>
        </is>
      </c>
      <c r="H55" s="24" t="inlineStr">
        <is>
          <t>moneyline</t>
        </is>
      </c>
      <c r="I55" s="24" t="inlineStr">
        <is>
          <t>away</t>
        </is>
      </c>
      <c r="J55" s="25" t="n"/>
      <c r="K55" s="24" t="inlineStr">
        <is>
          <t>polymarket_us</t>
        </is>
      </c>
      <c r="L55" s="26" t="n">
        <v>122</v>
      </c>
      <c r="M55" s="27" t="n">
        <v>2.22</v>
      </c>
      <c r="N55" s="28" t="n">
        <v>0.45045</v>
      </c>
      <c r="O55" s="28" t="n">
        <v>0.541821</v>
      </c>
      <c r="P55" s="28" t="n"/>
      <c r="Q55" s="28" t="n">
        <v>0.09137099999999999</v>
      </c>
      <c r="R55" s="26" t="n">
        <v>66</v>
      </c>
      <c r="S55" s="29" t="n">
        <v>1.25</v>
      </c>
      <c r="T55" s="24" t="inlineStr">
        <is>
          <t>valorant-tiered-elo-v6</t>
        </is>
      </c>
      <c r="U55" s="24" t="inlineStr">
        <is>
          <t>settled</t>
        </is>
      </c>
      <c r="V55" s="24" t="inlineStr">
        <is>
          <t>loss</t>
        </is>
      </c>
      <c r="W55" s="26" t="n">
        <v>0</v>
      </c>
      <c r="X55" s="26" t="n">
        <v>1</v>
      </c>
      <c r="Y55" s="25" t="n"/>
      <c r="Z55" s="26" t="n"/>
      <c r="AA55" s="28" t="n"/>
      <c r="AB55" s="28" t="n"/>
      <c r="AC55" s="30" t="n">
        <v>-1.25</v>
      </c>
      <c r="AD55" s="24" t="inlineStr">
        <is>
          <t>2026-08-26T16:30:57.492117Z</t>
        </is>
      </c>
      <c r="AE55" s="31" t="inlineStr">
        <is>
          <t>Neutral Elo baseline; executable ask 0.4500 (market_slug=aec-valorant-ge-krx-2026-08-26).</t>
        </is>
      </c>
      <c r="AF55" s="31" t="inlineStr">
        <is>
          <t>Config-promoted esports baseline; gates enforced at log time.</t>
        </is>
      </c>
      <c r="AG55" s="24" t="inlineStr">
        <is>
          <t>review_required</t>
        </is>
      </c>
      <c r="AH55" s="24" t="n"/>
      <c r="AI55" s="31" t="n"/>
      <c r="AJ55" s="31" t="n"/>
      <c r="AK55" s="24" t="inlineStr">
        <is>
          <t>model_qualified</t>
        </is>
      </c>
      <c r="AL55" s="26" t="n">
        <v>4</v>
      </c>
      <c r="AM55" s="24" t="inlineStr">
        <is>
          <t>QUALIFIED_SHADOW_CALL</t>
        </is>
      </c>
      <c r="AN55" s="24" t="inlineStr">
        <is>
          <t>CALL</t>
        </is>
      </c>
      <c r="AO55" s="24" t="inlineStr">
        <is>
          <t>QUALIFIED</t>
        </is>
      </c>
      <c r="AP55" s="24" t="inlineStr">
        <is>
          <t>Kiwoom DRX</t>
        </is>
      </c>
      <c r="AQ55" s="24" t="inlineStr">
        <is>
          <t>Kiwoom DRX</t>
        </is>
      </c>
      <c r="AR55" s="24" t="inlineStr">
        <is>
          <t>Kiwoom DRX</t>
        </is>
      </c>
      <c r="AS55" s="24" t="inlineStr">
        <is>
          <t>Global Esports</t>
        </is>
      </c>
      <c r="AT55" s="24" t="inlineStr">
        <is>
          <t>Global Esports</t>
        </is>
      </c>
      <c r="AU55" s="24" t="inlineStr">
        <is>
          <t>Global Esports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shadow_qualified</t>
        </is>
      </c>
      <c r="BA55" s="24" t="inlineStr">
        <is>
          <t>d692030792ccea56d6dc5e09315f8fb0cf0c0423220cf8b4c1a186a6bb990a53</t>
        </is>
      </c>
      <c r="BB55" s="24" t="inlineStr">
        <is>
          <t>neutral_elo</t>
        </is>
      </c>
      <c r="BC55" s="24" t="inlineStr">
        <is>
          <t>valorant-tiered-elo-v6</t>
        </is>
      </c>
      <c r="BD55" s="24" t="inlineStr">
        <is>
          <t>d692030792ccea56d6dc5e09315f8fb0cf0c0423220cf8b4c1a186a6bb990a53</t>
        </is>
      </c>
      <c r="BE55" s="24" t="inlineStr">
        <is>
          <t>1</t>
        </is>
      </c>
      <c r="BF55" s="24" t="inlineStr">
        <is>
          <t>1</t>
        </is>
      </c>
      <c r="BG55" s="24" t="inlineStr">
        <is>
          <t>valorant-tiered-elo-v6</t>
        </is>
      </c>
      <c r="BH55" s="24" t="inlineStr">
        <is>
          <t>2026-08-25T13:32:40.865409Z</t>
        </is>
      </c>
      <c r="BI55" s="24" t="inlineStr">
        <is>
          <t>["same_event","same_team_same_day","same_league_same_day"]</t>
        </is>
      </c>
      <c r="BJ55" s="25" t="n"/>
      <c r="BK55" s="26" t="n">
        <v>122</v>
      </c>
      <c r="BL55" s="27" t="n">
        <v>2.22</v>
      </c>
      <c r="BM55" s="28" t="n">
        <v>0.45045</v>
      </c>
      <c r="BN55" s="28" t="n"/>
      <c r="BO55" s="28" t="n"/>
      <c r="BP55" s="25" t="n"/>
      <c r="BQ55" s="27" t="n"/>
      <c r="BR55" s="28" t="n"/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inlineStr">
        <is>
          <t>True</t>
        </is>
      </c>
      <c r="CT55" s="24" t="n"/>
      <c r="CU55" s="24" t="n"/>
      <c r="CV55" s="24" t="n"/>
      <c r="CW55" s="24" t="n"/>
      <c r="CX55" s="24" t="n"/>
      <c r="CY55" s="24" t="n"/>
      <c r="CZ55" s="24" t="n"/>
      <c r="DA55" s="24" t="n"/>
      <c r="DB55" s="24" t="n"/>
      <c r="DC55" s="24" t="n"/>
      <c r="DD55" s="24" t="n"/>
      <c r="DE55" s="24" t="n"/>
      <c r="DF55" s="24" t="n"/>
      <c r="DG55" s="24" t="n"/>
      <c r="DH55" s="24" t="n"/>
      <c r="DI55" s="24" t="n"/>
      <c r="DJ55" s="24" t="inlineStr">
        <is>
          <t>0.45045</t>
        </is>
      </c>
      <c r="DK55" s="24" t="n"/>
      <c r="DL55" s="24" t="n"/>
      <c r="DM55" s="24" t="n"/>
      <c r="DN55" s="24" t="n"/>
      <c r="DO55" s="24" t="n"/>
      <c r="DP55" s="24" t="n"/>
      <c r="DQ55" s="24" t="n"/>
    </row>
    <row r="56" ht="36" customHeight="1">
      <c r="A56" s="24" t="inlineStr">
        <is>
          <t>6c4a6950b2654d55</t>
        </is>
      </c>
      <c r="B56" s="24" t="inlineStr">
        <is>
          <t>2026-08-27T00:44:48.344528Z</t>
        </is>
      </c>
      <c r="C56" s="24" t="inlineStr">
        <is>
          <t>2026-08-27T08:00:00Z</t>
        </is>
      </c>
      <c r="D56" s="24" t="inlineStr">
        <is>
          <t>93687</t>
        </is>
      </c>
      <c r="E56" s="24" t="inlineStr">
        <is>
          <t>VALORANT</t>
        </is>
      </c>
      <c r="F56" s="24" t="inlineStr">
        <is>
          <t>Nongshim RedForce</t>
        </is>
      </c>
      <c r="G56" s="24" t="inlineStr">
        <is>
          <t>Gen.G Esports</t>
        </is>
      </c>
      <c r="H56" s="24" t="inlineStr">
        <is>
          <t>moneyline</t>
        </is>
      </c>
      <c r="I56" s="24" t="inlineStr">
        <is>
          <t>away</t>
        </is>
      </c>
      <c r="J56" s="25" t="n"/>
      <c r="K56" s="24" t="inlineStr">
        <is>
          <t>polymarket_us</t>
        </is>
      </c>
      <c r="L56" s="26" t="n">
        <v>-150</v>
      </c>
      <c r="M56" s="27" t="n">
        <v>1.666667</v>
      </c>
      <c r="N56" s="28" t="n">
        <v>0.6</v>
      </c>
      <c r="O56" s="28" t="n">
        <v>0.576065</v>
      </c>
      <c r="P56" s="28" t="n"/>
      <c r="Q56" s="28" t="n">
        <v>-0.023935</v>
      </c>
      <c r="R56" s="26" t="n">
        <v>8</v>
      </c>
      <c r="S56" s="29" t="n">
        <v>1</v>
      </c>
      <c r="T56" s="24" t="inlineStr">
        <is>
          <t>valorant-tiered-elo-v6</t>
        </is>
      </c>
      <c r="U56" s="24" t="inlineStr">
        <is>
          <t>settled</t>
        </is>
      </c>
      <c r="V56" s="24" t="inlineStr">
        <is>
          <t>win</t>
        </is>
      </c>
      <c r="W56" s="26" t="n">
        <v>1</v>
      </c>
      <c r="X56" s="26" t="n">
        <v>0</v>
      </c>
      <c r="Y56" s="25" t="n"/>
      <c r="Z56" s="26" t="n"/>
      <c r="AA56" s="28" t="n"/>
      <c r="AB56" s="28" t="n"/>
      <c r="AC56" s="30" t="n">
        <v>0.6667</v>
      </c>
      <c r="AD56" s="24" t="inlineStr">
        <is>
          <t>2026-08-27T12:32:24.997758Z</t>
        </is>
      </c>
      <c r="AE56" s="31" t="inlineStr">
        <is>
          <t>Neutral Elo baseline; executable ask 0.6000 (market_slug=aec-valorant-geng-ns-2026-08-27).</t>
        </is>
      </c>
      <c r="AF56" s="31" t="inlineStr">
        <is>
          <t>Config-promoted esports baseline; gates enforced at log time.</t>
        </is>
      </c>
      <c r="AG56" s="24" t="inlineStr">
        <is>
          <t>not_applicable</t>
        </is>
      </c>
      <c r="AH56" s="24" t="n"/>
      <c r="AI56" s="31" t="n"/>
      <c r="AJ56" s="31" t="n"/>
      <c r="AK56" s="24" t="inlineStr">
        <is>
          <t>paper_call</t>
        </is>
      </c>
      <c r="AL56" s="26" t="n">
        <v>4</v>
      </c>
      <c r="AM56" s="24" t="inlineStr">
        <is>
          <t>RESEARCH_OBSERVATION</t>
        </is>
      </c>
      <c r="AN56" s="24" t="inlineStr">
        <is>
          <t>CALL</t>
        </is>
      </c>
      <c r="AO56" s="24" t="inlineStr">
        <is>
          <t>PAPER_CALL_LOW_EDGE</t>
        </is>
      </c>
      <c r="AP56" s="24" t="inlineStr">
        <is>
          <t>Nongshim RedForce</t>
        </is>
      </c>
      <c r="AQ56" s="24" t="inlineStr">
        <is>
          <t>Nongshim RedForce</t>
        </is>
      </c>
      <c r="AR56" s="24" t="inlineStr">
        <is>
          <t>Nongshim RedForce</t>
        </is>
      </c>
      <c r="AS56" s="24" t="inlineStr">
        <is>
          <t>Gen.G Esports</t>
        </is>
      </c>
      <c r="AT56" s="24" t="inlineStr">
        <is>
          <t>Gen.G Esports</t>
        </is>
      </c>
      <c r="AU56" s="24" t="inlineStr">
        <is>
          <t>Gen.G Esports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shadow_qualified</t>
        </is>
      </c>
      <c r="BA56" s="24" t="inlineStr">
        <is>
          <t>709f3bab8bc11fd47a628286aff889af2edb8fb2879f9675af26d4bf85d4699b</t>
        </is>
      </c>
      <c r="BB56" s="24" t="inlineStr">
        <is>
          <t>neutral_elo</t>
        </is>
      </c>
      <c r="BC56" s="24" t="inlineStr">
        <is>
          <t>valorant-tiered-elo-v6</t>
        </is>
      </c>
      <c r="BD56" s="24" t="inlineStr">
        <is>
          <t>709f3bab8bc11fd47a628286aff889af2edb8fb2879f9675af26d4bf85d4699b</t>
        </is>
      </c>
      <c r="BE56" s="24" t="inlineStr">
        <is>
          <t>1</t>
        </is>
      </c>
      <c r="BF56" s="24" t="inlineStr">
        <is>
          <t>1</t>
        </is>
      </c>
      <c r="BG56" s="24" t="inlineStr">
        <is>
          <t>valorant-tiered-elo-v6</t>
        </is>
      </c>
      <c r="BH56" s="24" t="inlineStr">
        <is>
          <t>2026-08-27T00:44:47.816831Z</t>
        </is>
      </c>
      <c r="BI56" s="24" t="inlineStr">
        <is>
          <t>["same_event","same_team_same_day","same_league_same_day"]</t>
        </is>
      </c>
      <c r="BJ56" s="25" t="n"/>
      <c r="BK56" s="26" t="n">
        <v>-150</v>
      </c>
      <c r="BL56" s="27" t="n">
        <v>1.666667</v>
      </c>
      <c r="BM56" s="28" t="n">
        <v>0.6</v>
      </c>
      <c r="BN56" s="28" t="n"/>
      <c r="BO56" s="28" t="n"/>
      <c r="BP56" s="25" t="n"/>
      <c r="BQ56" s="27" t="n"/>
      <c r="BR56" s="28" t="n"/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  <c r="CS56" s="24" t="inlineStr">
        <is>
          <t>False</t>
        </is>
      </c>
      <c r="CT56" s="24" t="n"/>
      <c r="CU56" s="24" t="n"/>
      <c r="CV56" s="24" t="n"/>
      <c r="CW56" s="24" t="n"/>
      <c r="CX56" s="24" t="n"/>
      <c r="CY56" s="24" t="n"/>
      <c r="CZ56" s="24" t="n"/>
      <c r="DA56" s="24" t="n"/>
      <c r="DB56" s="24" t="n"/>
      <c r="DC56" s="24" t="n"/>
      <c r="DD56" s="24" t="n"/>
      <c r="DE56" s="24" t="n"/>
      <c r="DF56" s="24" t="n"/>
      <c r="DG56" s="24" t="n"/>
      <c r="DH56" s="24" t="n"/>
      <c r="DI56" s="24" t="n"/>
      <c r="DJ56" s="24" t="inlineStr">
        <is>
          <t>0.6</t>
        </is>
      </c>
      <c r="DK56" s="24" t="n"/>
      <c r="DL56" s="24" t="n"/>
      <c r="DM56" s="24" t="n"/>
      <c r="DN56" s="24" t="n"/>
      <c r="DO56" s="24" t="n"/>
      <c r="DP56" s="24" t="n"/>
      <c r="DQ56" s="24" t="n"/>
    </row>
    <row r="57" ht="36" customHeight="1">
      <c r="A57" s="24" t="inlineStr">
        <is>
          <t>3a3b12b56eb84ca1</t>
        </is>
      </c>
      <c r="B57" s="24" t="inlineStr">
        <is>
          <t>2026-08-27T00:44:48.344528Z</t>
        </is>
      </c>
      <c r="C57" s="24" t="inlineStr">
        <is>
          <t>2026-08-27T11:00:00Z</t>
        </is>
      </c>
      <c r="D57" s="24" t="inlineStr">
        <is>
          <t>93688</t>
        </is>
      </c>
      <c r="E57" s="24" t="inlineStr">
        <is>
          <t>VALORANT</t>
        </is>
      </c>
      <c r="F57" s="24" t="inlineStr">
        <is>
          <t>Global Esports</t>
        </is>
      </c>
      <c r="G57" s="24" t="inlineStr">
        <is>
          <t>VARREL</t>
        </is>
      </c>
      <c r="H57" s="24" t="inlineStr">
        <is>
          <t>moneyline</t>
        </is>
      </c>
      <c r="I57" s="24" t="inlineStr">
        <is>
          <t>away</t>
        </is>
      </c>
      <c r="J57" s="25" t="n"/>
      <c r="K57" s="24" t="inlineStr">
        <is>
          <t>polymarket_us</t>
        </is>
      </c>
      <c r="L57" s="26" t="n">
        <v>-122</v>
      </c>
      <c r="M57" s="27" t="n">
        <v>1.819672</v>
      </c>
      <c r="N57" s="28" t="n">
        <v>0.54955</v>
      </c>
      <c r="O57" s="28" t="n">
        <v>0.601585</v>
      </c>
      <c r="P57" s="28" t="n"/>
      <c r="Q57" s="28" t="n">
        <v>0.052035</v>
      </c>
      <c r="R57" s="26" t="n">
        <v>46</v>
      </c>
      <c r="S57" s="29" t="n">
        <v>1</v>
      </c>
      <c r="T57" s="24" t="inlineStr">
        <is>
          <t>valorant-tiered-elo-v6</t>
        </is>
      </c>
      <c r="U57" s="24" t="inlineStr">
        <is>
          <t>settled</t>
        </is>
      </c>
      <c r="V57" s="24" t="inlineStr">
        <is>
          <t>win</t>
        </is>
      </c>
      <c r="W57" s="26" t="n">
        <v>1</v>
      </c>
      <c r="X57" s="26" t="n">
        <v>0</v>
      </c>
      <c r="Y57" s="25" t="n"/>
      <c r="Z57" s="26" t="n"/>
      <c r="AA57" s="28" t="n"/>
      <c r="AB57" s="28" t="n"/>
      <c r="AC57" s="30" t="n">
        <v>0.8197</v>
      </c>
      <c r="AD57" s="24" t="inlineStr">
        <is>
          <t>2026-08-27T13:56:27.411748Z</t>
        </is>
      </c>
      <c r="AE57" s="31" t="inlineStr">
        <is>
          <t>Neutral Elo baseline; executable ask 0.5500 (market_slug=aec-valorant-var-ge-2026-08-27).</t>
        </is>
      </c>
      <c r="AF57" s="31" t="inlineStr">
        <is>
          <t>Config-promoted esports baseline; gates enforced at log time.</t>
        </is>
      </c>
      <c r="AG57" s="24" t="inlineStr">
        <is>
          <t>not_applicable</t>
        </is>
      </c>
      <c r="AH57" s="24" t="n"/>
      <c r="AI57" s="31" t="n"/>
      <c r="AJ57" s="31" t="n"/>
      <c r="AK57" s="24" t="inlineStr">
        <is>
          <t>model_qualified</t>
        </is>
      </c>
      <c r="AL57" s="26" t="n">
        <v>4</v>
      </c>
      <c r="AM57" s="24" t="inlineStr">
        <is>
          <t>QUALIFIED_SHADOW_CALL</t>
        </is>
      </c>
      <c r="AN57" s="24" t="inlineStr">
        <is>
          <t>CALL</t>
        </is>
      </c>
      <c r="AO57" s="24" t="inlineStr">
        <is>
          <t>QUALIFIED</t>
        </is>
      </c>
      <c r="AP57" s="24" t="inlineStr">
        <is>
          <t>Global Esports</t>
        </is>
      </c>
      <c r="AQ57" s="24" t="inlineStr">
        <is>
          <t>Global Esports</t>
        </is>
      </c>
      <c r="AR57" s="24" t="inlineStr">
        <is>
          <t>Global Esports</t>
        </is>
      </c>
      <c r="AS57" s="24" t="inlineStr">
        <is>
          <t>VARREL</t>
        </is>
      </c>
      <c r="AT57" s="24" t="inlineStr">
        <is>
          <t>VARREL</t>
        </is>
      </c>
      <c r="AU57" s="24" t="inlineStr">
        <is>
          <t>VARREL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shadow_qualified</t>
        </is>
      </c>
      <c r="BA57" s="24" t="inlineStr">
        <is>
          <t>709f3bab8bc11fd47a628286aff889af2edb8fb2879f9675af26d4bf85d4699b</t>
        </is>
      </c>
      <c r="BB57" s="24" t="inlineStr">
        <is>
          <t>neutral_elo</t>
        </is>
      </c>
      <c r="BC57" s="24" t="inlineStr">
        <is>
          <t>valorant-tiered-elo-v6</t>
        </is>
      </c>
      <c r="BD57" s="24" t="inlineStr">
        <is>
          <t>709f3bab8bc11fd47a628286aff889af2edb8fb2879f9675af26d4bf85d4699b</t>
        </is>
      </c>
      <c r="BE57" s="24" t="inlineStr">
        <is>
          <t>1</t>
        </is>
      </c>
      <c r="BF57" s="24" t="inlineStr">
        <is>
          <t>1</t>
        </is>
      </c>
      <c r="BG57" s="24" t="inlineStr">
        <is>
          <t>valorant-tiered-elo-v6</t>
        </is>
      </c>
      <c r="BH57" s="24" t="inlineStr">
        <is>
          <t>2026-08-27T00:44:47.918514Z</t>
        </is>
      </c>
      <c r="BI57" s="24" t="inlineStr">
        <is>
          <t>["same_event","same_team_same_day","same_league_same_day"]</t>
        </is>
      </c>
      <c r="BJ57" s="25" t="n"/>
      <c r="BK57" s="26" t="n">
        <v>-122</v>
      </c>
      <c r="BL57" s="27" t="n">
        <v>1.819672</v>
      </c>
      <c r="BM57" s="28" t="n">
        <v>0.54955</v>
      </c>
      <c r="BN57" s="28" t="n"/>
      <c r="BO57" s="28" t="n"/>
      <c r="BP57" s="25" t="n"/>
      <c r="BQ57" s="27" t="n"/>
      <c r="BR57" s="28" t="n"/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n"/>
      <c r="CS57" s="24" t="inlineStr">
        <is>
          <t>True</t>
        </is>
      </c>
      <c r="CT57" s="24" t="n"/>
      <c r="CU57" s="24" t="n"/>
      <c r="CV57" s="24" t="n"/>
      <c r="CW57" s="24" t="n"/>
      <c r="CX57" s="24" t="n"/>
      <c r="CY57" s="24" t="n"/>
      <c r="CZ57" s="24" t="n"/>
      <c r="DA57" s="24" t="n"/>
      <c r="DB57" s="24" t="n"/>
      <c r="DC57" s="24" t="n"/>
      <c r="DD57" s="24" t="n"/>
      <c r="DE57" s="24" t="n"/>
      <c r="DF57" s="24" t="n"/>
      <c r="DG57" s="24" t="n"/>
      <c r="DH57" s="24" t="n"/>
      <c r="DI57" s="24" t="n"/>
      <c r="DJ57" s="24" t="inlineStr">
        <is>
          <t>0.54955</t>
        </is>
      </c>
      <c r="DK57" s="24" t="n"/>
      <c r="DL57" s="24" t="n"/>
      <c r="DM57" s="24" t="n"/>
      <c r="DN57" s="24" t="n"/>
      <c r="DO57" s="24" t="n"/>
      <c r="DP57" s="24" t="n"/>
      <c r="DQ57" s="24" t="n"/>
    </row>
    <row r="58" ht="36" customHeight="1">
      <c r="A58" s="24" t="inlineStr">
        <is>
          <t>4cb567e90a97429c</t>
        </is>
      </c>
      <c r="B58" s="24" t="inlineStr">
        <is>
          <t>2026-08-27T14:00:15.735823Z</t>
        </is>
      </c>
      <c r="C58" s="24" t="inlineStr">
        <is>
          <t>2026-08-27T21:00:00Z</t>
        </is>
      </c>
      <c r="D58" s="24" t="inlineStr">
        <is>
          <t>91217</t>
        </is>
      </c>
      <c r="E58" s="24" t="inlineStr">
        <is>
          <t>VALORANT</t>
        </is>
      </c>
      <c r="F58" s="24" t="inlineStr">
        <is>
          <t>FURIA Esports</t>
        </is>
      </c>
      <c r="G58" s="24" t="inlineStr">
        <is>
          <t>LOUD</t>
        </is>
      </c>
      <c r="H58" s="24" t="inlineStr">
        <is>
          <t>moneyline</t>
        </is>
      </c>
      <c r="I58" s="24" t="inlineStr">
        <is>
          <t>home</t>
        </is>
      </c>
      <c r="J58" s="25" t="n"/>
      <c r="K58" s="24" t="inlineStr">
        <is>
          <t>polymarket_us</t>
        </is>
      </c>
      <c r="L58" s="26" t="n">
        <v>-113</v>
      </c>
      <c r="M58" s="27" t="n">
        <v>1.884956</v>
      </c>
      <c r="N58" s="28" t="n">
        <v>0.530516</v>
      </c>
      <c r="O58" s="28" t="n">
        <v>0.551172</v>
      </c>
      <c r="P58" s="28" t="n"/>
      <c r="Q58" s="28" t="n">
        <v>0.020656</v>
      </c>
      <c r="R58" s="26" t="n">
        <v>30</v>
      </c>
      <c r="S58" s="29" t="n">
        <v>1</v>
      </c>
      <c r="T58" s="24" t="inlineStr">
        <is>
          <t>valorant-tiered-elo-v6</t>
        </is>
      </c>
      <c r="U58" s="24" t="inlineStr">
        <is>
          <t>settled</t>
        </is>
      </c>
      <c r="V58" s="24" t="inlineStr">
        <is>
          <t>win</t>
        </is>
      </c>
      <c r="W58" s="26" t="n">
        <v>0</v>
      </c>
      <c r="X58" s="26" t="n">
        <v>1</v>
      </c>
      <c r="Y58" s="25" t="n"/>
      <c r="Z58" s="26" t="n">
        <v>-113</v>
      </c>
      <c r="AA58" s="28" t="n">
        <v>0.53</v>
      </c>
      <c r="AB58" s="28" t="n">
        <v>-0.000516</v>
      </c>
      <c r="AC58" s="30" t="n">
        <v>0.885</v>
      </c>
      <c r="AD58" s="24" t="inlineStr">
        <is>
          <t>2026-08-28T02:42:22.851957Z</t>
        </is>
      </c>
      <c r="AE58" s="31" t="inlineStr">
        <is>
          <t>Neutral Elo baseline; executable ask 0.5300 (market_slug=aec-valorant-loud-fur-2026-08-27).</t>
        </is>
      </c>
      <c r="AF58" s="31" t="inlineStr">
        <is>
          <t>Config-promoted esports baseline; gates enforced at log time.</t>
        </is>
      </c>
      <c r="AG58" s="24" t="inlineStr">
        <is>
          <t>not_applicable</t>
        </is>
      </c>
      <c r="AH58" s="24" t="n"/>
      <c r="AI58" s="31" t="n"/>
      <c r="AJ58" s="31" t="n"/>
      <c r="AK58" s="24" t="inlineStr">
        <is>
          <t>paper_call</t>
        </is>
      </c>
      <c r="AL58" s="26" t="n">
        <v>4</v>
      </c>
      <c r="AM58" s="24" t="inlineStr">
        <is>
          <t>RESEARCH_OBSERVATION</t>
        </is>
      </c>
      <c r="AN58" s="24" t="inlineStr">
        <is>
          <t>CALL</t>
        </is>
      </c>
      <c r="AO58" s="24" t="inlineStr">
        <is>
          <t>PAPER_CALL_LOW_EDGE</t>
        </is>
      </c>
      <c r="AP58" s="24" t="inlineStr">
        <is>
          <t>FURIA Esports</t>
        </is>
      </c>
      <c r="AQ58" s="24" t="inlineStr">
        <is>
          <t>FURIA Esports</t>
        </is>
      </c>
      <c r="AR58" s="24" t="inlineStr">
        <is>
          <t>FURIA Esports</t>
        </is>
      </c>
      <c r="AS58" s="24" t="inlineStr">
        <is>
          <t>LOUD</t>
        </is>
      </c>
      <c r="AT58" s="24" t="inlineStr">
        <is>
          <t>LOUD</t>
        </is>
      </c>
      <c r="AU58" s="24" t="inlineStr">
        <is>
          <t>LOUD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shadow_qualified</t>
        </is>
      </c>
      <c r="BA58" s="24" t="inlineStr">
        <is>
          <t>b8c6c7a20230ca9b370a90ab639d1e19bee53a873d53a05be25ac3fd40695157</t>
        </is>
      </c>
      <c r="BB58" s="24" t="inlineStr">
        <is>
          <t>neutral_elo</t>
        </is>
      </c>
      <c r="BC58" s="24" t="inlineStr">
        <is>
          <t>valorant-tiered-elo-v6</t>
        </is>
      </c>
      <c r="BD58" s="24" t="inlineStr">
        <is>
          <t>b8c6c7a20230ca9b370a90ab639d1e19bee53a873d53a05be25ac3fd40695157</t>
        </is>
      </c>
      <c r="BE58" s="24" t="inlineStr">
        <is>
          <t>1</t>
        </is>
      </c>
      <c r="BF58" s="24" t="inlineStr">
        <is>
          <t>1</t>
        </is>
      </c>
      <c r="BG58" s="24" t="inlineStr">
        <is>
          <t>valorant-tiered-elo-v6</t>
        </is>
      </c>
      <c r="BH58" s="24" t="inlineStr">
        <is>
          <t>2026-08-27T14:00:13.993043Z</t>
        </is>
      </c>
      <c r="BI58" s="24" t="inlineStr">
        <is>
          <t>["same_event","same_team_same_day","same_league_same_day"]</t>
        </is>
      </c>
      <c r="BJ58" s="25" t="n"/>
      <c r="BK58" s="26" t="n">
        <v>-113</v>
      </c>
      <c r="BL58" s="27" t="n">
        <v>1.884956</v>
      </c>
      <c r="BM58" s="28" t="n">
        <v>0.530516</v>
      </c>
      <c r="BN58" s="28" t="n"/>
      <c r="BO58" s="28" t="n"/>
      <c r="BP58" s="25" t="n"/>
      <c r="BQ58" s="27" t="n">
        <v>1.884956</v>
      </c>
      <c r="BR58" s="28" t="n">
        <v>0.53</v>
      </c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inlineStr">
        <is>
          <t>True</t>
        </is>
      </c>
      <c r="CT58" s="24" t="n"/>
      <c r="CU58" s="24" t="n"/>
      <c r="CV58" s="24" t="n"/>
      <c r="CW58" s="24" t="n"/>
      <c r="CX58" s="24" t="n"/>
      <c r="CY58" s="24" t="n"/>
      <c r="CZ58" s="24" t="n"/>
      <c r="DA58" s="24" t="n"/>
      <c r="DB58" s="24" t="n"/>
      <c r="DC58" s="24" t="n"/>
      <c r="DD58" s="24" t="n"/>
      <c r="DE58" s="24" t="n"/>
      <c r="DF58" s="24" t="n"/>
      <c r="DG58" s="24" t="n"/>
      <c r="DH58" s="24" t="n"/>
      <c r="DI58" s="24" t="n"/>
      <c r="DJ58" s="24" t="inlineStr">
        <is>
          <t>0.530516</t>
        </is>
      </c>
      <c r="DK58" s="24" t="n"/>
      <c r="DL58" s="24" t="n"/>
      <c r="DM58" s="24" t="n"/>
      <c r="DN58" s="24" t="n"/>
      <c r="DO58" s="24" t="n"/>
      <c r="DP58" s="24" t="n"/>
      <c r="DQ58" s="24" t="n"/>
    </row>
    <row r="59" ht="36" customHeight="1">
      <c r="A59" s="24" t="inlineStr">
        <is>
          <t>60d8dff347db475b</t>
        </is>
      </c>
      <c r="B59" s="24" t="inlineStr">
        <is>
          <t>2026-08-27T22:20:32.271443Z</t>
        </is>
      </c>
      <c r="C59" s="24" t="inlineStr">
        <is>
          <t>2026-08-28T00:00:00Z</t>
        </is>
      </c>
      <c r="D59" s="24" t="inlineStr">
        <is>
          <t>91418</t>
        </is>
      </c>
      <c r="E59" s="24" t="inlineStr">
        <is>
          <t>VALORANT</t>
        </is>
      </c>
      <c r="F59" s="24" t="inlineStr">
        <is>
          <t>MIBR</t>
        </is>
      </c>
      <c r="G59" s="24" t="inlineStr">
        <is>
          <t>Leviatán Esports</t>
        </is>
      </c>
      <c r="H59" s="24" t="inlineStr">
        <is>
          <t>moneyline</t>
        </is>
      </c>
      <c r="I59" s="24" t="inlineStr">
        <is>
          <t>home</t>
        </is>
      </c>
      <c r="J59" s="25" t="n"/>
      <c r="K59" s="24" t="inlineStr">
        <is>
          <t>polymarket_us</t>
        </is>
      </c>
      <c r="L59" s="26" t="n">
        <v>-186</v>
      </c>
      <c r="M59" s="27" t="n">
        <v>1.537634</v>
      </c>
      <c r="N59" s="28" t="n">
        <v>0.65035</v>
      </c>
      <c r="O59" s="28" t="n">
        <v>0.666704</v>
      </c>
      <c r="P59" s="28" t="n"/>
      <c r="Q59" s="28" t="n">
        <v>0.016354</v>
      </c>
      <c r="R59" s="26" t="n">
        <v>28</v>
      </c>
      <c r="S59" s="29" t="n">
        <v>1</v>
      </c>
      <c r="T59" s="24" t="inlineStr">
        <is>
          <t>valorant-tiered-elo-v6</t>
        </is>
      </c>
      <c r="U59" s="24" t="inlineStr">
        <is>
          <t>settled</t>
        </is>
      </c>
      <c r="V59" s="24" t="inlineStr">
        <is>
          <t>win</t>
        </is>
      </c>
      <c r="W59" s="26" t="n">
        <v>0</v>
      </c>
      <c r="X59" s="26" t="n">
        <v>1</v>
      </c>
      <c r="Y59" s="25" t="n"/>
      <c r="Z59" s="26" t="n">
        <v>-186</v>
      </c>
      <c r="AA59" s="28" t="n">
        <v>0.65</v>
      </c>
      <c r="AB59" s="28" t="n">
        <v>-0.00035</v>
      </c>
      <c r="AC59" s="30" t="n">
        <v>0.5376</v>
      </c>
      <c r="AD59" s="24" t="inlineStr">
        <is>
          <t>2026-08-28T02:42:23.505921Z</t>
        </is>
      </c>
      <c r="AE59" s="31" t="inlineStr">
        <is>
          <t>Neutral Elo baseline; executable ask 0.6500 (market_slug=aec-valorant-lev-mibr-2026-08-28).</t>
        </is>
      </c>
      <c r="AF59" s="31" t="inlineStr">
        <is>
          <t>Config-promoted esports baseline; gates enforced at log time.</t>
        </is>
      </c>
      <c r="AG59" s="24" t="inlineStr">
        <is>
          <t>not_applicable</t>
        </is>
      </c>
      <c r="AH59" s="24" t="n"/>
      <c r="AI59" s="31" t="n"/>
      <c r="AJ59" s="31" t="n"/>
      <c r="AK59" s="24" t="inlineStr">
        <is>
          <t>paper_call</t>
        </is>
      </c>
      <c r="AL59" s="26" t="n">
        <v>4</v>
      </c>
      <c r="AM59" s="24" t="inlineStr">
        <is>
          <t>RESEARCH_OBSERVATION</t>
        </is>
      </c>
      <c r="AN59" s="24" t="inlineStr">
        <is>
          <t>CALL</t>
        </is>
      </c>
      <c r="AO59" s="24" t="inlineStr">
        <is>
          <t>PAPER_CALL_MODEL_UNVALIDATED</t>
        </is>
      </c>
      <c r="AP59" s="24" t="inlineStr">
        <is>
          <t>MIBR</t>
        </is>
      </c>
      <c r="AQ59" s="24" t="inlineStr">
        <is>
          <t>MIBR</t>
        </is>
      </c>
      <c r="AR59" s="24" t="inlineStr">
        <is>
          <t>MIBR</t>
        </is>
      </c>
      <c r="AS59" s="24" t="inlineStr">
        <is>
          <t>Leviatán Esports</t>
        </is>
      </c>
      <c r="AT59" s="24" t="inlineStr">
        <is>
          <t>Leviatán Esports</t>
        </is>
      </c>
      <c r="AU59" s="24" t="inlineStr">
        <is>
          <t>Leviatán Esports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shadow_qualified</t>
        </is>
      </c>
      <c r="BA59" s="24" t="inlineStr">
        <is>
          <t>8b1d0977d9a4f5027e40ee84e47c0ba49c117dd280c83abc8d12f269e11c93d6</t>
        </is>
      </c>
      <c r="BB59" s="24" t="inlineStr">
        <is>
          <t>neutral_elo</t>
        </is>
      </c>
      <c r="BC59" s="24" t="inlineStr">
        <is>
          <t>valorant-tiered-elo-v6</t>
        </is>
      </c>
      <c r="BD59" s="24" t="inlineStr">
        <is>
          <t>8b1d0977d9a4f5027e40ee84e47c0ba49c117dd280c83abc8d12f269e11c93d6</t>
        </is>
      </c>
      <c r="BE59" s="24" t="inlineStr">
        <is>
          <t>1</t>
        </is>
      </c>
      <c r="BF59" s="24" t="inlineStr">
        <is>
          <t>1</t>
        </is>
      </c>
      <c r="BG59" s="24" t="inlineStr">
        <is>
          <t>valorant-tiered-elo-v6</t>
        </is>
      </c>
      <c r="BH59" s="24" t="inlineStr">
        <is>
          <t>2026-08-27T22:20:31.832934Z</t>
        </is>
      </c>
      <c r="BI59" s="24" t="inlineStr">
        <is>
          <t>["same_event","same_team_same_day","same_league_same_day"]</t>
        </is>
      </c>
      <c r="BJ59" s="25" t="n"/>
      <c r="BK59" s="26" t="n">
        <v>-186</v>
      </c>
      <c r="BL59" s="27" t="n">
        <v>1.537634</v>
      </c>
      <c r="BM59" s="28" t="n">
        <v>0.65035</v>
      </c>
      <c r="BN59" s="28" t="n"/>
      <c r="BO59" s="28" t="n"/>
      <c r="BP59" s="25" t="n"/>
      <c r="BQ59" s="27" t="n">
        <v>1.537634</v>
      </c>
      <c r="BR59" s="28" t="n">
        <v>0.65</v>
      </c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n"/>
      <c r="CS59" s="24" t="inlineStr">
        <is>
          <t>True</t>
        </is>
      </c>
      <c r="CT59" s="24" t="n"/>
      <c r="CU59" s="24" t="n"/>
      <c r="CV59" s="24" t="n"/>
      <c r="CW59" s="24" t="n"/>
      <c r="CX59" s="24" t="n"/>
      <c r="CY59" s="24" t="n"/>
      <c r="CZ59" s="24" t="n"/>
      <c r="DA59" s="24" t="n"/>
      <c r="DB59" s="24" t="n"/>
      <c r="DC59" s="24" t="n"/>
      <c r="DD59" s="24" t="n"/>
      <c r="DE59" s="24" t="n"/>
      <c r="DF59" s="24" t="n"/>
      <c r="DG59" s="24" t="n"/>
      <c r="DH59" s="24" t="n"/>
      <c r="DI59" s="24" t="n"/>
      <c r="DJ59" s="24" t="inlineStr">
        <is>
          <t>0.65035</t>
        </is>
      </c>
      <c r="DK59" s="24" t="n"/>
      <c r="DL59" s="24" t="n"/>
      <c r="DM59" s="24" t="n"/>
      <c r="DN59" s="24" t="n"/>
      <c r="DO59" s="24" t="n"/>
      <c r="DP59" s="24" t="n"/>
      <c r="DQ59" s="24" t="n"/>
    </row>
    <row r="60" ht="36" customHeight="1">
      <c r="A60" s="24" t="inlineStr">
        <is>
          <t>d287d90d85cb4f1a</t>
        </is>
      </c>
      <c r="B60" s="24" t="inlineStr">
        <is>
          <t>2026-08-28T02:44:36.362995Z</t>
        </is>
      </c>
      <c r="C60" s="24" t="inlineStr">
        <is>
          <t>2026-08-28T11:00:00Z</t>
        </is>
      </c>
      <c r="D60" s="24" t="inlineStr">
        <is>
          <t>93724</t>
        </is>
      </c>
      <c r="E60" s="24" t="inlineStr">
        <is>
          <t>VALORANT</t>
        </is>
      </c>
      <c r="F60" s="24" t="inlineStr">
        <is>
          <t>T1</t>
        </is>
      </c>
      <c r="G60" s="24" t="inlineStr">
        <is>
          <t>Kiwoom DRX</t>
        </is>
      </c>
      <c r="H60" s="24" t="inlineStr">
        <is>
          <t>moneyline</t>
        </is>
      </c>
      <c r="I60" s="24" t="inlineStr">
        <is>
          <t>away</t>
        </is>
      </c>
      <c r="J60" s="25" t="n"/>
      <c r="K60" s="24" t="inlineStr">
        <is>
          <t>polymarket_us</t>
        </is>
      </c>
      <c r="L60" s="26" t="n">
        <v>-203</v>
      </c>
      <c r="M60" s="27" t="n">
        <v>1.492611</v>
      </c>
      <c r="N60" s="28" t="n">
        <v>0.669967</v>
      </c>
      <c r="O60" s="28" t="n">
        <v>0.550357</v>
      </c>
      <c r="P60" s="28" t="n"/>
      <c r="Q60" s="28" t="n">
        <v>-0.11961</v>
      </c>
      <c r="R60" s="26" t="n">
        <v>0</v>
      </c>
      <c r="S60" s="29" t="n">
        <v>1</v>
      </c>
      <c r="T60" s="24" t="inlineStr">
        <is>
          <t>valorant-tiered-elo-v6</t>
        </is>
      </c>
      <c r="U60" s="24" t="inlineStr">
        <is>
          <t>settled</t>
        </is>
      </c>
      <c r="V60" s="24" t="inlineStr">
        <is>
          <t>win</t>
        </is>
      </c>
      <c r="W60" s="26" t="n">
        <v>1</v>
      </c>
      <c r="X60" s="26" t="n">
        <v>0</v>
      </c>
      <c r="Y60" s="25" t="n"/>
      <c r="Z60" s="26" t="n"/>
      <c r="AA60" s="28" t="n"/>
      <c r="AB60" s="28" t="n"/>
      <c r="AC60" s="30" t="n">
        <v>0.4926</v>
      </c>
      <c r="AD60" s="24" t="inlineStr">
        <is>
          <t>2026-08-28T12:33:19.085952Z</t>
        </is>
      </c>
      <c r="AE60" s="31" t="inlineStr">
        <is>
          <t>Neutral Elo baseline; executable ask 0.6700 (market_slug=aec-valorant-krx-t1-2026-08-28).</t>
        </is>
      </c>
      <c r="AF60" s="31" t="inlineStr">
        <is>
          <t>Config-promoted esports baseline; gates enforced at log time.</t>
        </is>
      </c>
      <c r="AG60" s="24" t="inlineStr">
        <is>
          <t>not_applicable</t>
        </is>
      </c>
      <c r="AH60" s="24" t="n"/>
      <c r="AI60" s="31" t="n"/>
      <c r="AJ60" s="31" t="n"/>
      <c r="AK60" s="24" t="inlineStr">
        <is>
          <t>paper_call</t>
        </is>
      </c>
      <c r="AL60" s="26" t="n">
        <v>4</v>
      </c>
      <c r="AM60" s="24" t="inlineStr">
        <is>
          <t>RESEARCH_OBSERVATION</t>
        </is>
      </c>
      <c r="AN60" s="24" t="inlineStr">
        <is>
          <t>CALL</t>
        </is>
      </c>
      <c r="AO60" s="24" t="inlineStr">
        <is>
          <t>PAPER_CALL_LOW_EDGE</t>
        </is>
      </c>
      <c r="AP60" s="24" t="inlineStr">
        <is>
          <t>T1</t>
        </is>
      </c>
      <c r="AQ60" s="24" t="inlineStr">
        <is>
          <t>T1</t>
        </is>
      </c>
      <c r="AR60" s="24" t="inlineStr">
        <is>
          <t>T1</t>
        </is>
      </c>
      <c r="AS60" s="24" t="inlineStr">
        <is>
          <t>Kiwoom DRX</t>
        </is>
      </c>
      <c r="AT60" s="24" t="inlineStr">
        <is>
          <t>Kiwoom DRX</t>
        </is>
      </c>
      <c r="AU60" s="24" t="inlineStr">
        <is>
          <t>Kiwoom DRX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shadow_qualified</t>
        </is>
      </c>
      <c r="BA60" s="24" t="inlineStr">
        <is>
          <t>c4dfb3a36d36dca8f353d238c32c4786eec72725ff18adb6f403f333e817d17c</t>
        </is>
      </c>
      <c r="BB60" s="24" t="inlineStr">
        <is>
          <t>neutral_elo</t>
        </is>
      </c>
      <c r="BC60" s="24" t="inlineStr">
        <is>
          <t>valorant-tiered-elo-v6</t>
        </is>
      </c>
      <c r="BD60" s="24" t="inlineStr">
        <is>
          <t>c4dfb3a36d36dca8f353d238c32c4786eec72725ff18adb6f403f333e817d17c</t>
        </is>
      </c>
      <c r="BE60" s="24" t="inlineStr">
        <is>
          <t>1</t>
        </is>
      </c>
      <c r="BF60" s="24" t="inlineStr">
        <is>
          <t>1</t>
        </is>
      </c>
      <c r="BG60" s="24" t="inlineStr">
        <is>
          <t>valorant-tiered-elo-v6</t>
        </is>
      </c>
      <c r="BH60" s="24" t="inlineStr">
        <is>
          <t>2026-08-28T02:44:35.249685Z</t>
        </is>
      </c>
      <c r="BI60" s="24" t="inlineStr">
        <is>
          <t>["same_event","same_team_same_day","same_league_same_day"]</t>
        </is>
      </c>
      <c r="BJ60" s="25" t="n"/>
      <c r="BK60" s="26" t="n">
        <v>-203</v>
      </c>
      <c r="BL60" s="27" t="n">
        <v>1.492611</v>
      </c>
      <c r="BM60" s="28" t="n">
        <v>0.669967</v>
      </c>
      <c r="BN60" s="28" t="n"/>
      <c r="BO60" s="28" t="n"/>
      <c r="BP60" s="25" t="n"/>
      <c r="BQ60" s="27" t="n"/>
      <c r="BR60" s="28" t="n"/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  <c r="CR60" s="24" t="n"/>
      <c r="CS60" s="24" t="inlineStr">
        <is>
          <t>False</t>
        </is>
      </c>
      <c r="CT60" s="24" t="n"/>
      <c r="CU60" s="24" t="n"/>
      <c r="CV60" s="24" t="n"/>
      <c r="CW60" s="24" t="n"/>
      <c r="CX60" s="24" t="n"/>
      <c r="CY60" s="24" t="n"/>
      <c r="CZ60" s="24" t="n"/>
      <c r="DA60" s="24" t="n"/>
      <c r="DB60" s="24" t="n"/>
      <c r="DC60" s="24" t="n"/>
      <c r="DD60" s="24" t="n"/>
      <c r="DE60" s="24" t="n"/>
      <c r="DF60" s="24" t="n"/>
      <c r="DG60" s="24" t="n"/>
      <c r="DH60" s="24" t="n"/>
      <c r="DI60" s="24" t="n"/>
      <c r="DJ60" s="24" t="inlineStr">
        <is>
          <t>0.669967</t>
        </is>
      </c>
      <c r="DK60" s="24" t="n"/>
      <c r="DL60" s="24" t="n"/>
      <c r="DM60" s="24" t="n"/>
      <c r="DN60" s="24" t="n"/>
      <c r="DO60" s="24" t="n"/>
      <c r="DP60" s="24" t="n"/>
      <c r="DQ60" s="24" t="n"/>
    </row>
    <row r="61" ht="36" customHeight="1">
      <c r="A61" s="24" t="inlineStr">
        <is>
          <t>25bc01deae7d4565</t>
        </is>
      </c>
      <c r="B61" s="24" t="inlineStr">
        <is>
          <t>2026-08-28T12:36:03.419870Z</t>
        </is>
      </c>
      <c r="C61" s="24" t="inlineStr">
        <is>
          <t>2026-08-28T14:00:00Z</t>
        </is>
      </c>
      <c r="D61" s="24" t="inlineStr">
        <is>
          <t>92555</t>
        </is>
      </c>
      <c r="E61" s="24" t="inlineStr">
        <is>
          <t>VALORANT</t>
        </is>
      </c>
      <c r="F61" s="24" t="inlineStr">
        <is>
          <t>Karmine Corp</t>
        </is>
      </c>
      <c r="G61" s="24" t="inlineStr">
        <is>
          <t>FUT Esports</t>
        </is>
      </c>
      <c r="H61" s="24" t="inlineStr">
        <is>
          <t>moneyline</t>
        </is>
      </c>
      <c r="I61" s="24" t="inlineStr">
        <is>
          <t>home</t>
        </is>
      </c>
      <c r="J61" s="25" t="n"/>
      <c r="K61" s="24" t="inlineStr">
        <is>
          <t>polymarket_us</t>
        </is>
      </c>
      <c r="L61" s="26" t="n">
        <v>122</v>
      </c>
      <c r="M61" s="27" t="n">
        <v>2.22</v>
      </c>
      <c r="N61" s="28" t="n">
        <v>0.45045</v>
      </c>
      <c r="O61" s="28" t="n">
        <v>0.569179</v>
      </c>
      <c r="P61" s="28" t="n"/>
      <c r="Q61" s="28" t="n">
        <v>0.118729</v>
      </c>
      <c r="R61" s="26" t="n">
        <v>79</v>
      </c>
      <c r="S61" s="29" t="n">
        <v>1.5</v>
      </c>
      <c r="T61" s="24" t="inlineStr">
        <is>
          <t>valorant-tiered-elo-v6</t>
        </is>
      </c>
      <c r="U61" s="24" t="inlineStr">
        <is>
          <t>settled</t>
        </is>
      </c>
      <c r="V61" s="24" t="inlineStr">
        <is>
          <t>loss</t>
        </is>
      </c>
      <c r="W61" s="26" t="n">
        <v>1</v>
      </c>
      <c r="X61" s="26" t="n">
        <v>0</v>
      </c>
      <c r="Y61" s="25" t="n"/>
      <c r="Z61" s="26" t="n">
        <v>122</v>
      </c>
      <c r="AA61" s="28" t="n">
        <v>0.45</v>
      </c>
      <c r="AB61" s="28" t="n">
        <v>-0.00045</v>
      </c>
      <c r="AC61" s="30" t="n">
        <v>-1.5</v>
      </c>
      <c r="AD61" s="24" t="inlineStr">
        <is>
          <t>2026-08-29T12:40:26.912903Z</t>
        </is>
      </c>
      <c r="AE61" s="31" t="inlineStr">
        <is>
          <t>Neutral Elo baseline; executable ask 0.4500 (market_slug=aec-valorant-fut-kc-2026-08-28).</t>
        </is>
      </c>
      <c r="AF61" s="31" t="inlineStr">
        <is>
          <t>Config-promoted esports baseline; gates enforced at log time.</t>
        </is>
      </c>
      <c r="AG61" s="24" t="inlineStr">
        <is>
          <t>review_required</t>
        </is>
      </c>
      <c r="AH61" s="24" t="n"/>
      <c r="AI61" s="31" t="n"/>
      <c r="AJ61" s="31" t="n"/>
      <c r="AK61" s="24" t="inlineStr">
        <is>
          <t>model_qualified</t>
        </is>
      </c>
      <c r="AL61" s="26" t="n">
        <v>4</v>
      </c>
      <c r="AM61" s="24" t="inlineStr">
        <is>
          <t>QUALIFIED_SHADOW_CALL</t>
        </is>
      </c>
      <c r="AN61" s="24" t="inlineStr">
        <is>
          <t>CALL</t>
        </is>
      </c>
      <c r="AO61" s="24" t="inlineStr">
        <is>
          <t>QUALIFIED</t>
        </is>
      </c>
      <c r="AP61" s="24" t="inlineStr">
        <is>
          <t>Karmine Corp</t>
        </is>
      </c>
      <c r="AQ61" s="24" t="inlineStr">
        <is>
          <t>Karmine Corp</t>
        </is>
      </c>
      <c r="AR61" s="24" t="inlineStr">
        <is>
          <t>Karmine Corp</t>
        </is>
      </c>
      <c r="AS61" s="24" t="inlineStr">
        <is>
          <t>FUT Esports</t>
        </is>
      </c>
      <c r="AT61" s="24" t="inlineStr">
        <is>
          <t>FUT Esports</t>
        </is>
      </c>
      <c r="AU61" s="24" t="inlineStr">
        <is>
          <t>FUT Esports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shadow_qualified</t>
        </is>
      </c>
      <c r="BA61" s="24" t="inlineStr">
        <is>
          <t>6e0c75421e2e37c2933888c6d79049a051f0d9b2517bfc5eae6f30b448103ffd</t>
        </is>
      </c>
      <c r="BB61" s="24" t="inlineStr">
        <is>
          <t>neutral_elo</t>
        </is>
      </c>
      <c r="BC61" s="24" t="inlineStr">
        <is>
          <t>valorant-tiered-elo-v6</t>
        </is>
      </c>
      <c r="BD61" s="24" t="inlineStr">
        <is>
          <t>6e0c75421e2e37c2933888c6d79049a051f0d9b2517bfc5eae6f30b448103ffd</t>
        </is>
      </c>
      <c r="BE61" s="24" t="inlineStr">
        <is>
          <t>1</t>
        </is>
      </c>
      <c r="BF61" s="24" t="inlineStr">
        <is>
          <t>1</t>
        </is>
      </c>
      <c r="BG61" s="24" t="inlineStr">
        <is>
          <t>valorant-tiered-elo-v6</t>
        </is>
      </c>
      <c r="BH61" s="24" t="inlineStr">
        <is>
          <t>2026-08-28T12:36:01.797859Z</t>
        </is>
      </c>
      <c r="BI61" s="24" t="inlineStr">
        <is>
          <t>["same_event","same_team_same_day","same_league_same_day"]</t>
        </is>
      </c>
      <c r="BJ61" s="25" t="n"/>
      <c r="BK61" s="26" t="n">
        <v>122</v>
      </c>
      <c r="BL61" s="27" t="n">
        <v>2.22</v>
      </c>
      <c r="BM61" s="28" t="n">
        <v>0.45045</v>
      </c>
      <c r="BN61" s="28" t="n"/>
      <c r="BO61" s="28" t="n"/>
      <c r="BP61" s="25" t="n"/>
      <c r="BQ61" s="27" t="n">
        <v>2.22</v>
      </c>
      <c r="BR61" s="28" t="n">
        <v>0.45</v>
      </c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n"/>
      <c r="CR61" s="24" t="n"/>
      <c r="CS61" s="24" t="inlineStr">
        <is>
          <t>True</t>
        </is>
      </c>
      <c r="CT61" s="24" t="n"/>
      <c r="CU61" s="24" t="n"/>
      <c r="CV61" s="24" t="n"/>
      <c r="CW61" s="24" t="n"/>
      <c r="CX61" s="24" t="n"/>
      <c r="CY61" s="24" t="n"/>
      <c r="CZ61" s="24" t="n"/>
      <c r="DA61" s="24" t="n"/>
      <c r="DB61" s="24" t="n"/>
      <c r="DC61" s="24" t="n"/>
      <c r="DD61" s="24" t="n"/>
      <c r="DE61" s="24" t="n"/>
      <c r="DF61" s="24" t="n"/>
      <c r="DG61" s="24" t="n"/>
      <c r="DH61" s="24" t="n"/>
      <c r="DI61" s="24" t="n"/>
      <c r="DJ61" s="24" t="inlineStr">
        <is>
          <t>0.45045</t>
        </is>
      </c>
      <c r="DK61" s="24" t="n"/>
      <c r="DL61" s="24" t="n"/>
      <c r="DM61" s="24" t="n"/>
      <c r="DN61" s="24" t="n"/>
      <c r="DO61" s="24" t="n"/>
      <c r="DP61" s="24" t="n"/>
      <c r="DQ61" s="24" t="n"/>
    </row>
    <row r="62" ht="36" customHeight="1">
      <c r="A62" s="24" t="inlineStr">
        <is>
          <t>051f63c62f49464c</t>
        </is>
      </c>
      <c r="B62" s="24" t="inlineStr">
        <is>
          <t>2026-08-28T12:36:03.419870Z</t>
        </is>
      </c>
      <c r="C62" s="24" t="inlineStr">
        <is>
          <t>2026-08-28T17:00:00Z</t>
        </is>
      </c>
      <c r="D62" s="24" t="inlineStr">
        <is>
          <t>92556</t>
        </is>
      </c>
      <c r="E62" s="24" t="inlineStr">
        <is>
          <t>VALORANT</t>
        </is>
      </c>
      <c r="F62" s="24" t="inlineStr">
        <is>
          <t>Fire Flux Esports</t>
        </is>
      </c>
      <c r="G62" s="24" t="inlineStr">
        <is>
          <t>Team Liquid</t>
        </is>
      </c>
      <c r="H62" s="24" t="inlineStr">
        <is>
          <t>moneyline</t>
        </is>
      </c>
      <c r="I62" s="24" t="inlineStr">
        <is>
          <t>home</t>
        </is>
      </c>
      <c r="J62" s="25" t="n"/>
      <c r="K62" s="24" t="inlineStr">
        <is>
          <t>polymarket_us</t>
        </is>
      </c>
      <c r="L62" s="26" t="n">
        <v>-133</v>
      </c>
      <c r="M62" s="27" t="n">
        <v>1.75188</v>
      </c>
      <c r="N62" s="28" t="n">
        <v>0.570815</v>
      </c>
      <c r="O62" s="28" t="n">
        <v>0.582767</v>
      </c>
      <c r="P62" s="28" t="n"/>
      <c r="Q62" s="28" t="n">
        <v>0.011952</v>
      </c>
      <c r="R62" s="26" t="n">
        <v>26</v>
      </c>
      <c r="S62" s="29" t="n">
        <v>1</v>
      </c>
      <c r="T62" s="24" t="inlineStr">
        <is>
          <t>valorant-tiered-elo-v6</t>
        </is>
      </c>
      <c r="U62" s="24" t="inlineStr">
        <is>
          <t>settled</t>
        </is>
      </c>
      <c r="V62" s="24" t="inlineStr">
        <is>
          <t>win</t>
        </is>
      </c>
      <c r="W62" s="26" t="n">
        <v>0</v>
      </c>
      <c r="X62" s="26" t="n">
        <v>1</v>
      </c>
      <c r="Y62" s="25" t="n"/>
      <c r="Z62" s="26" t="n">
        <v>-133</v>
      </c>
      <c r="AA62" s="28" t="n">
        <v>0.57</v>
      </c>
      <c r="AB62" s="28" t="n">
        <v>-0.000815</v>
      </c>
      <c r="AC62" s="30" t="n">
        <v>0.7519</v>
      </c>
      <c r="AD62" s="24" t="inlineStr">
        <is>
          <t>2026-08-29T12:40:27.321767Z</t>
        </is>
      </c>
      <c r="AE62" s="31" t="inlineStr">
        <is>
          <t>Neutral Elo baseline; executable ask 0.5700 (market_slug=aec-valorant-tl-ff-2026-08-28).</t>
        </is>
      </c>
      <c r="AF62" s="31" t="inlineStr">
        <is>
          <t>Config-promoted esports baseline; gates enforced at log time.</t>
        </is>
      </c>
      <c r="AG62" s="24" t="inlineStr">
        <is>
          <t>not_applicable</t>
        </is>
      </c>
      <c r="AH62" s="24" t="n"/>
      <c r="AI62" s="31" t="n"/>
      <c r="AJ62" s="31" t="n"/>
      <c r="AK62" s="24" t="inlineStr">
        <is>
          <t>paper_call</t>
        </is>
      </c>
      <c r="AL62" s="26" t="n">
        <v>4</v>
      </c>
      <c r="AM62" s="24" t="inlineStr">
        <is>
          <t>RESEARCH_OBSERVATION</t>
        </is>
      </c>
      <c r="AN62" s="24" t="inlineStr">
        <is>
          <t>CALL</t>
        </is>
      </c>
      <c r="AO62" s="24" t="inlineStr">
        <is>
          <t>PAPER_CALL_LOW_EDGE</t>
        </is>
      </c>
      <c r="AP62" s="24" t="inlineStr">
        <is>
          <t>Fire Flux Esports</t>
        </is>
      </c>
      <c r="AQ62" s="24" t="inlineStr">
        <is>
          <t>Fire Flux Esports</t>
        </is>
      </c>
      <c r="AR62" s="24" t="inlineStr">
        <is>
          <t>Fire Flux Esports</t>
        </is>
      </c>
      <c r="AS62" s="24" t="inlineStr">
        <is>
          <t>Team Liquid</t>
        </is>
      </c>
      <c r="AT62" s="24" t="inlineStr">
        <is>
          <t>Team Liquid</t>
        </is>
      </c>
      <c r="AU62" s="24" t="inlineStr">
        <is>
          <t>Team Liquid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shadow_qualified</t>
        </is>
      </c>
      <c r="BA62" s="24" t="inlineStr">
        <is>
          <t>6e0c75421e2e37c2933888c6d79049a051f0d9b2517bfc5eae6f30b448103ffd</t>
        </is>
      </c>
      <c r="BB62" s="24" t="inlineStr">
        <is>
          <t>neutral_elo</t>
        </is>
      </c>
      <c r="BC62" s="24" t="inlineStr">
        <is>
          <t>valorant-tiered-elo-v6</t>
        </is>
      </c>
      <c r="BD62" s="24" t="inlineStr">
        <is>
          <t>6e0c75421e2e37c2933888c6d79049a051f0d9b2517bfc5eae6f30b448103ffd</t>
        </is>
      </c>
      <c r="BE62" s="24" t="inlineStr">
        <is>
          <t>1</t>
        </is>
      </c>
      <c r="BF62" s="24" t="inlineStr">
        <is>
          <t>1</t>
        </is>
      </c>
      <c r="BG62" s="24" t="inlineStr">
        <is>
          <t>valorant-tiered-elo-v6</t>
        </is>
      </c>
      <c r="BH62" s="24" t="inlineStr">
        <is>
          <t>2026-08-28T12:36:01.911197Z</t>
        </is>
      </c>
      <c r="BI62" s="24" t="inlineStr">
        <is>
          <t>["same_event","same_team_same_day","same_league_same_day"]</t>
        </is>
      </c>
      <c r="BJ62" s="25" t="n"/>
      <c r="BK62" s="26" t="n">
        <v>-133</v>
      </c>
      <c r="BL62" s="27" t="n">
        <v>1.75188</v>
      </c>
      <c r="BM62" s="28" t="n">
        <v>0.570815</v>
      </c>
      <c r="BN62" s="28" t="n"/>
      <c r="BO62" s="28" t="n"/>
      <c r="BP62" s="25" t="n"/>
      <c r="BQ62" s="27" t="n">
        <v>1.75188</v>
      </c>
      <c r="BR62" s="28" t="n">
        <v>0.57</v>
      </c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4" t="n"/>
      <c r="CR62" s="24" t="n"/>
      <c r="CS62" s="24" t="inlineStr">
        <is>
          <t>True</t>
        </is>
      </c>
      <c r="CT62" s="24" t="n"/>
      <c r="CU62" s="24" t="n"/>
      <c r="CV62" s="24" t="n"/>
      <c r="CW62" s="24" t="n"/>
      <c r="CX62" s="24" t="n"/>
      <c r="CY62" s="24" t="n"/>
      <c r="CZ62" s="24" t="n"/>
      <c r="DA62" s="24" t="n"/>
      <c r="DB62" s="24" t="n"/>
      <c r="DC62" s="24" t="n"/>
      <c r="DD62" s="24" t="n"/>
      <c r="DE62" s="24" t="n"/>
      <c r="DF62" s="24" t="n"/>
      <c r="DG62" s="24" t="n"/>
      <c r="DH62" s="24" t="n"/>
      <c r="DI62" s="24" t="n"/>
      <c r="DJ62" s="24" t="inlineStr">
        <is>
          <t>0.570815</t>
        </is>
      </c>
      <c r="DK62" s="24" t="n"/>
      <c r="DL62" s="24" t="n"/>
      <c r="DM62" s="24" t="n"/>
      <c r="DN62" s="24" t="n"/>
      <c r="DO62" s="24" t="n"/>
      <c r="DP62" s="24" t="n"/>
      <c r="DQ62" s="24" t="n"/>
    </row>
    <row r="63" ht="36" customHeight="1">
      <c r="A63" s="24" t="inlineStr">
        <is>
          <t>694424c285cf4b98</t>
        </is>
      </c>
      <c r="B63" s="24" t="inlineStr">
        <is>
          <t>2026-08-28T12:36:03.419870Z</t>
        </is>
      </c>
      <c r="C63" s="24" t="inlineStr">
        <is>
          <t>2026-08-29T00:00:00Z</t>
        </is>
      </c>
      <c r="D63" s="24" t="inlineStr">
        <is>
          <t>94909</t>
        </is>
      </c>
      <c r="E63" s="24" t="inlineStr">
        <is>
          <t>VALORANT</t>
        </is>
      </c>
      <c r="F63" s="24" t="inlineStr">
        <is>
          <t>Leviatán Esports</t>
        </is>
      </c>
      <c r="G63" s="24" t="inlineStr">
        <is>
          <t>100 Thieves</t>
        </is>
      </c>
      <c r="H63" s="24" t="inlineStr">
        <is>
          <t>moneyline</t>
        </is>
      </c>
      <c r="I63" s="24" t="inlineStr">
        <is>
          <t>away</t>
        </is>
      </c>
      <c r="J63" s="25" t="n"/>
      <c r="K63" s="24" t="inlineStr">
        <is>
          <t>polymarket_us</t>
        </is>
      </c>
      <c r="L63" s="26" t="n">
        <v>-178</v>
      </c>
      <c r="M63" s="27" t="n">
        <v>1.561798</v>
      </c>
      <c r="N63" s="28" t="n">
        <v>0.640288</v>
      </c>
      <c r="O63" s="28" t="n">
        <v>0.584775</v>
      </c>
      <c r="P63" s="28" t="n"/>
      <c r="Q63" s="28" t="n">
        <v>-0.055513</v>
      </c>
      <c r="R63" s="26" t="n">
        <v>0</v>
      </c>
      <c r="S63" s="29" t="n">
        <v>1</v>
      </c>
      <c r="T63" s="24" t="inlineStr">
        <is>
          <t>valorant-tiered-elo-v6</t>
        </is>
      </c>
      <c r="U63" s="24" t="inlineStr">
        <is>
          <t>settled</t>
        </is>
      </c>
      <c r="V63" s="24" t="inlineStr">
        <is>
          <t>loss</t>
        </is>
      </c>
      <c r="W63" s="26" t="n">
        <v>0</v>
      </c>
      <c r="X63" s="26" t="n">
        <v>1</v>
      </c>
      <c r="Y63" s="25" t="n"/>
      <c r="Z63" s="26" t="n">
        <v>-178</v>
      </c>
      <c r="AA63" s="28" t="n">
        <v>0.64</v>
      </c>
      <c r="AB63" s="28" t="n">
        <v>-0.000288</v>
      </c>
      <c r="AC63" s="30" t="n">
        <v>-1</v>
      </c>
      <c r="AD63" s="24" t="inlineStr">
        <is>
          <t>2026-08-29T12:40:27.708048Z</t>
        </is>
      </c>
      <c r="AE63" s="31" t="inlineStr">
        <is>
          <t>Neutral Elo baseline; executable ask 0.6400 (market_slug=aec-valorant-100t-lev-2026-08-29).</t>
        </is>
      </c>
      <c r="AF63" s="31" t="inlineStr">
        <is>
          <t>Config-promoted esports baseline; gates enforced at log time.</t>
        </is>
      </c>
      <c r="AG63" s="24" t="inlineStr">
        <is>
          <t>review_required</t>
        </is>
      </c>
      <c r="AH63" s="24" t="n"/>
      <c r="AI63" s="31" t="n"/>
      <c r="AJ63" s="31" t="n"/>
      <c r="AK63" s="24" t="inlineStr">
        <is>
          <t>paper_call</t>
        </is>
      </c>
      <c r="AL63" s="26" t="n">
        <v>4</v>
      </c>
      <c r="AM63" s="24" t="inlineStr">
        <is>
          <t>RESEARCH_OBSERVATION</t>
        </is>
      </c>
      <c r="AN63" s="24" t="inlineStr">
        <is>
          <t>CALL</t>
        </is>
      </c>
      <c r="AO63" s="24" t="inlineStr">
        <is>
          <t>PAPER_CALL_LOW_EDGE</t>
        </is>
      </c>
      <c r="AP63" s="24" t="inlineStr">
        <is>
          <t>Leviatán Esports</t>
        </is>
      </c>
      <c r="AQ63" s="24" t="inlineStr">
        <is>
          <t>Leviatán Esports</t>
        </is>
      </c>
      <c r="AR63" s="24" t="inlineStr">
        <is>
          <t>Leviatán Esports</t>
        </is>
      </c>
      <c r="AS63" s="24" t="inlineStr">
        <is>
          <t>100 Thieves</t>
        </is>
      </c>
      <c r="AT63" s="24" t="inlineStr">
        <is>
          <t>100 Thieves</t>
        </is>
      </c>
      <c r="AU63" s="24" t="inlineStr">
        <is>
          <t>100 Thieves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shadow_qualified</t>
        </is>
      </c>
      <c r="BA63" s="24" t="inlineStr">
        <is>
          <t>6e0c75421e2e37c2933888c6d79049a051f0d9b2517bfc5eae6f30b448103ffd</t>
        </is>
      </c>
      <c r="BB63" s="24" t="inlineStr">
        <is>
          <t>neutral_elo</t>
        </is>
      </c>
      <c r="BC63" s="24" t="inlineStr">
        <is>
          <t>valorant-tiered-elo-v6</t>
        </is>
      </c>
      <c r="BD63" s="24" t="inlineStr">
        <is>
          <t>6e0c75421e2e37c2933888c6d79049a051f0d9b2517bfc5eae6f30b448103ffd</t>
        </is>
      </c>
      <c r="BE63" s="24" t="inlineStr">
        <is>
          <t>1</t>
        </is>
      </c>
      <c r="BF63" s="24" t="inlineStr">
        <is>
          <t>1</t>
        </is>
      </c>
      <c r="BG63" s="24" t="inlineStr">
        <is>
          <t>valorant-tiered-elo-v6</t>
        </is>
      </c>
      <c r="BH63" s="24" t="inlineStr">
        <is>
          <t>2026-08-28T12:36:02.132607Z</t>
        </is>
      </c>
      <c r="BI63" s="24" t="inlineStr">
        <is>
          <t>["same_event","same_team_same_day","same_league_same_day"]</t>
        </is>
      </c>
      <c r="BJ63" s="25" t="n"/>
      <c r="BK63" s="26" t="n">
        <v>-178</v>
      </c>
      <c r="BL63" s="27" t="n">
        <v>1.561798</v>
      </c>
      <c r="BM63" s="28" t="n">
        <v>0.640288</v>
      </c>
      <c r="BN63" s="28" t="n"/>
      <c r="BO63" s="28" t="n"/>
      <c r="BP63" s="25" t="n"/>
      <c r="BQ63" s="27" t="n">
        <v>1.561798</v>
      </c>
      <c r="BR63" s="28" t="n">
        <v>0.64</v>
      </c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n"/>
      <c r="CR63" s="24" t="n"/>
      <c r="CS63" s="24" t="inlineStr">
        <is>
          <t>False</t>
        </is>
      </c>
      <c r="CT63" s="24" t="n"/>
      <c r="CU63" s="24" t="n"/>
      <c r="CV63" s="24" t="n"/>
      <c r="CW63" s="24" t="n"/>
      <c r="CX63" s="24" t="n"/>
      <c r="CY63" s="24" t="n"/>
      <c r="CZ63" s="24" t="n"/>
      <c r="DA63" s="24" t="n"/>
      <c r="DB63" s="24" t="n"/>
      <c r="DC63" s="24" t="n"/>
      <c r="DD63" s="24" t="n"/>
      <c r="DE63" s="24" t="n"/>
      <c r="DF63" s="24" t="n"/>
      <c r="DG63" s="24" t="n"/>
      <c r="DH63" s="24" t="n"/>
      <c r="DI63" s="24" t="n"/>
      <c r="DJ63" s="24" t="inlineStr">
        <is>
          <t>0.640288</t>
        </is>
      </c>
      <c r="DK63" s="24" t="n"/>
      <c r="DL63" s="24" t="n"/>
      <c r="DM63" s="24" t="n"/>
      <c r="DN63" s="24" t="n"/>
      <c r="DO63" s="24" t="n"/>
      <c r="DP63" s="24" t="n"/>
      <c r="DQ63" s="24" t="n"/>
    </row>
    <row r="64" ht="36" customHeight="1">
      <c r="A64" s="24" t="inlineStr">
        <is>
          <t>466cbb1b44bb4d9d</t>
        </is>
      </c>
      <c r="B64" s="24" t="inlineStr">
        <is>
          <t>2026-08-29T12:43:15.687957Z</t>
        </is>
      </c>
      <c r="C64" s="24" t="inlineStr">
        <is>
          <t>2026-08-29T15:00:00Z</t>
        </is>
      </c>
      <c r="D64" s="24" t="inlineStr">
        <is>
          <t>95366</t>
        </is>
      </c>
      <c r="E64" s="24" t="inlineStr">
        <is>
          <t>VALORANT</t>
        </is>
      </c>
      <c r="F64" s="24" t="inlineStr">
        <is>
          <t>Team Liquid</t>
        </is>
      </c>
      <c r="G64" s="24" t="inlineStr">
        <is>
          <t>FUT Esports</t>
        </is>
      </c>
      <c r="H64" s="24" t="inlineStr">
        <is>
          <t>moneyline</t>
        </is>
      </c>
      <c r="I64" s="24" t="inlineStr">
        <is>
          <t>home</t>
        </is>
      </c>
      <c r="J64" s="25" t="n"/>
      <c r="K64" s="24" t="inlineStr">
        <is>
          <t>polymarket_us</t>
        </is>
      </c>
      <c r="L64" s="26" t="n">
        <v>138</v>
      </c>
      <c r="M64" s="27" t="n">
        <v>2.38</v>
      </c>
      <c r="N64" s="28" t="n">
        <v>0.420168</v>
      </c>
      <c r="O64" s="28" t="n">
        <v>0.517894</v>
      </c>
      <c r="P64" s="28" t="n"/>
      <c r="Q64" s="28" t="n">
        <v>0.09772599999999999</v>
      </c>
      <c r="R64" s="26" t="n">
        <v>69</v>
      </c>
      <c r="S64" s="29" t="n">
        <v>1.25</v>
      </c>
      <c r="T64" s="24" t="inlineStr">
        <is>
          <t>valorant-tiered-elo-v6</t>
        </is>
      </c>
      <c r="U64" s="24" t="inlineStr">
        <is>
          <t>settled</t>
        </is>
      </c>
      <c r="V64" s="24" t="inlineStr">
        <is>
          <t>loss</t>
        </is>
      </c>
      <c r="W64" s="26" t="n">
        <v>1</v>
      </c>
      <c r="X64" s="26" t="n">
        <v>0</v>
      </c>
      <c r="Y64" s="25" t="n"/>
      <c r="Z64" s="26" t="n">
        <v>138</v>
      </c>
      <c r="AA64" s="28" t="n">
        <v>0.42</v>
      </c>
      <c r="AB64" s="28" t="n">
        <v>-0.000168</v>
      </c>
      <c r="AC64" s="30" t="n">
        <v>-1.25</v>
      </c>
      <c r="AD64" s="24" t="inlineStr">
        <is>
          <t>2026-08-30T03:33:21.533447Z</t>
        </is>
      </c>
      <c r="AE64" s="31" t="inlineStr">
        <is>
          <t>Neutral Elo baseline; executable ask 0.4200 (market_slug=aec-valorant-fut-tl-2026-08-29).</t>
        </is>
      </c>
      <c r="AF64" s="31" t="inlineStr">
        <is>
          <t>Config-promoted esports baseline; gates enforced at log time.</t>
        </is>
      </c>
      <c r="AG64" s="24" t="inlineStr">
        <is>
          <t>review_required</t>
        </is>
      </c>
      <c r="AH64" s="24" t="n"/>
      <c r="AI64" s="31" t="n"/>
      <c r="AJ64" s="31" t="n"/>
      <c r="AK64" s="24" t="inlineStr">
        <is>
          <t>model_qualified</t>
        </is>
      </c>
      <c r="AL64" s="26" t="n">
        <v>4</v>
      </c>
      <c r="AM64" s="24" t="inlineStr">
        <is>
          <t>QUALIFIED_SHADOW_CALL</t>
        </is>
      </c>
      <c r="AN64" s="24" t="inlineStr">
        <is>
          <t>CALL</t>
        </is>
      </c>
      <c r="AO64" s="24" t="inlineStr">
        <is>
          <t>QUALIFIED</t>
        </is>
      </c>
      <c r="AP64" s="24" t="inlineStr">
        <is>
          <t>Team Liquid</t>
        </is>
      </c>
      <c r="AQ64" s="24" t="inlineStr">
        <is>
          <t>Team Liquid</t>
        </is>
      </c>
      <c r="AR64" s="24" t="inlineStr">
        <is>
          <t>Team Liquid</t>
        </is>
      </c>
      <c r="AS64" s="24" t="inlineStr">
        <is>
          <t>FUT Esports</t>
        </is>
      </c>
      <c r="AT64" s="24" t="inlineStr">
        <is>
          <t>FUT Esports</t>
        </is>
      </c>
      <c r="AU64" s="24" t="inlineStr">
        <is>
          <t>FUT Esports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shadow_qualified</t>
        </is>
      </c>
      <c r="BA64" s="24" t="inlineStr">
        <is>
          <t>f5b6b8e84aaa85eff2218c471866aa746e9e1689eaaac6b03862bd7957b2a1b8</t>
        </is>
      </c>
      <c r="BB64" s="24" t="inlineStr">
        <is>
          <t>neutral_elo</t>
        </is>
      </c>
      <c r="BC64" s="24" t="inlineStr">
        <is>
          <t>valorant-tiered-elo-v6</t>
        </is>
      </c>
      <c r="BD64" s="24" t="inlineStr">
        <is>
          <t>f5b6b8e84aaa85eff2218c471866aa746e9e1689eaaac6b03862bd7957b2a1b8</t>
        </is>
      </c>
      <c r="BE64" s="24" t="inlineStr">
        <is>
          <t>1</t>
        </is>
      </c>
      <c r="BF64" s="24" t="inlineStr">
        <is>
          <t>1</t>
        </is>
      </c>
      <c r="BG64" s="24" t="inlineStr">
        <is>
          <t>valorant-tiered-elo-v6</t>
        </is>
      </c>
      <c r="BH64" s="24" t="inlineStr">
        <is>
          <t>2026-08-29T12:43:13.997729Z</t>
        </is>
      </c>
      <c r="BI64" s="24" t="inlineStr">
        <is>
          <t>["same_event","same_team_same_day","same_league_same_day"]</t>
        </is>
      </c>
      <c r="BJ64" s="25" t="n"/>
      <c r="BK64" s="26" t="n">
        <v>138</v>
      </c>
      <c r="BL64" s="27" t="n">
        <v>2.38</v>
      </c>
      <c r="BM64" s="28" t="n">
        <v>0.420168</v>
      </c>
      <c r="BN64" s="28" t="n"/>
      <c r="BO64" s="28" t="n"/>
      <c r="BP64" s="25" t="n"/>
      <c r="BQ64" s="27" t="n">
        <v>2.38</v>
      </c>
      <c r="BR64" s="28" t="n">
        <v>0.42</v>
      </c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  <c r="CS64" s="24" t="inlineStr">
        <is>
          <t>True</t>
        </is>
      </c>
      <c r="CT64" s="24" t="n"/>
      <c r="CU64" s="24" t="n"/>
      <c r="CV64" s="24" t="n"/>
      <c r="CW64" s="24" t="n"/>
      <c r="CX64" s="24" t="n"/>
      <c r="CY64" s="24" t="n"/>
      <c r="CZ64" s="24" t="n"/>
      <c r="DA64" s="24" t="n"/>
      <c r="DB64" s="24" t="n"/>
      <c r="DC64" s="24" t="n"/>
      <c r="DD64" s="24" t="n"/>
      <c r="DE64" s="24" t="n"/>
      <c r="DF64" s="24" t="n"/>
      <c r="DG64" s="24" t="n"/>
      <c r="DH64" s="24" t="n"/>
      <c r="DI64" s="24" t="n"/>
      <c r="DJ64" s="24" t="inlineStr">
        <is>
          <t>0.420168</t>
        </is>
      </c>
      <c r="DK64" s="24" t="n"/>
      <c r="DL64" s="24" t="n"/>
      <c r="DM64" s="24" t="n"/>
      <c r="DN64" s="24" t="n"/>
      <c r="DO64" s="24" t="n"/>
      <c r="DP64" s="24" t="n"/>
      <c r="DQ64" s="24" t="n"/>
    </row>
    <row r="65" ht="36" customHeight="1">
      <c r="A65" s="24" t="inlineStr">
        <is>
          <t>faa70a84a4014129</t>
        </is>
      </c>
      <c r="B65" s="24" t="inlineStr">
        <is>
          <t>2026-08-30T03:35:05.563197Z</t>
        </is>
      </c>
      <c r="C65" s="24" t="inlineStr">
        <is>
          <t>2026-08-30T08:00:00Z</t>
        </is>
      </c>
      <c r="D65" s="24" t="inlineStr">
        <is>
          <t>94637</t>
        </is>
      </c>
      <c r="E65" s="24" t="inlineStr">
        <is>
          <t>VALORANT</t>
        </is>
      </c>
      <c r="F65" s="24" t="inlineStr">
        <is>
          <t>G2 Gozen</t>
        </is>
      </c>
      <c r="G65" s="24" t="inlineStr">
        <is>
          <t>Gentle Mates GC</t>
        </is>
      </c>
      <c r="H65" s="24" t="inlineStr">
        <is>
          <t>moneyline</t>
        </is>
      </c>
      <c r="I65" s="24" t="inlineStr">
        <is>
          <t>home</t>
        </is>
      </c>
      <c r="J65" s="25" t="n"/>
      <c r="K65" s="24" t="inlineStr">
        <is>
          <t>polymarket_us</t>
        </is>
      </c>
      <c r="L65" s="26" t="n">
        <v>100</v>
      </c>
      <c r="M65" s="27" t="n">
        <v>2</v>
      </c>
      <c r="N65" s="28" t="n">
        <v>0.5</v>
      </c>
      <c r="O65" s="28" t="n">
        <v>0.551642</v>
      </c>
      <c r="P65" s="28" t="n"/>
      <c r="Q65" s="28" t="n">
        <v>0.051642</v>
      </c>
      <c r="R65" s="26" t="n">
        <v>46</v>
      </c>
      <c r="S65" s="29" t="n">
        <v>1</v>
      </c>
      <c r="T65" s="24" t="inlineStr">
        <is>
          <t>valorant-tiered-elo-v6</t>
        </is>
      </c>
      <c r="U65" s="24" t="inlineStr">
        <is>
          <t>settled</t>
        </is>
      </c>
      <c r="V65" s="24" t="inlineStr">
        <is>
          <t>loss</t>
        </is>
      </c>
      <c r="W65" s="26" t="n">
        <v>1</v>
      </c>
      <c r="X65" s="26" t="n">
        <v>0</v>
      </c>
      <c r="Y65" s="25" t="n"/>
      <c r="Z65" s="26" t="n">
        <v>100</v>
      </c>
      <c r="AA65" s="28" t="n">
        <v>0.5</v>
      </c>
      <c r="AB65" s="28" t="n">
        <v>0</v>
      </c>
      <c r="AC65" s="30" t="n">
        <v>-1</v>
      </c>
      <c r="AD65" s="24" t="inlineStr">
        <is>
          <t>2026-08-30T16:04:39.903973Z</t>
        </is>
      </c>
      <c r="AE65" s="31" t="inlineStr">
        <is>
          <t>Neutral Elo baseline; executable ask 0.5000 (market_slug=aec-valorant-m8gc-ggo-2026-08-30).</t>
        </is>
      </c>
      <c r="AF65" s="31" t="inlineStr">
        <is>
          <t>Config-promoted esports baseline; gates enforced at log time.</t>
        </is>
      </c>
      <c r="AG65" s="24" t="inlineStr">
        <is>
          <t>review_required</t>
        </is>
      </c>
      <c r="AH65" s="24" t="n"/>
      <c r="AI65" s="31" t="n"/>
      <c r="AJ65" s="31" t="n"/>
      <c r="AK65" s="24" t="inlineStr">
        <is>
          <t>model_qualified</t>
        </is>
      </c>
      <c r="AL65" s="26" t="n">
        <v>4</v>
      </c>
      <c r="AM65" s="24" t="inlineStr">
        <is>
          <t>QUALIFIED_SHADOW_CALL</t>
        </is>
      </c>
      <c r="AN65" s="24" t="inlineStr">
        <is>
          <t>CALL</t>
        </is>
      </c>
      <c r="AO65" s="24" t="inlineStr">
        <is>
          <t>QUALIFIED</t>
        </is>
      </c>
      <c r="AP65" s="24" t="inlineStr">
        <is>
          <t>G2 Gozen</t>
        </is>
      </c>
      <c r="AQ65" s="24" t="inlineStr">
        <is>
          <t>G2 Gozen</t>
        </is>
      </c>
      <c r="AR65" s="24" t="inlineStr">
        <is>
          <t>G2 Gozen</t>
        </is>
      </c>
      <c r="AS65" s="24" t="inlineStr">
        <is>
          <t>Gentle Mates GC</t>
        </is>
      </c>
      <c r="AT65" s="24" t="inlineStr">
        <is>
          <t>Gentle Mates GC</t>
        </is>
      </c>
      <c r="AU65" s="24" t="inlineStr">
        <is>
          <t>Gentle Mates GC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shadow_qualified</t>
        </is>
      </c>
      <c r="BA65" s="24" t="inlineStr">
        <is>
          <t>bffd1fe21431e3a3d866068d2d5a770e911671c0d04ead318b2440df50b97ffc</t>
        </is>
      </c>
      <c r="BB65" s="24" t="inlineStr">
        <is>
          <t>neutral_elo</t>
        </is>
      </c>
      <c r="BC65" s="24" t="inlineStr">
        <is>
          <t>valorant-tiered-elo-v6</t>
        </is>
      </c>
      <c r="BD65" s="24" t="inlineStr">
        <is>
          <t>bffd1fe21431e3a3d866068d2d5a770e911671c0d04ead318b2440df50b97ffc</t>
        </is>
      </c>
      <c r="BE65" s="24" t="inlineStr">
        <is>
          <t>1</t>
        </is>
      </c>
      <c r="BF65" s="24" t="inlineStr">
        <is>
          <t>1</t>
        </is>
      </c>
      <c r="BG65" s="24" t="inlineStr">
        <is>
          <t>valorant-tiered-elo-v6</t>
        </is>
      </c>
      <c r="BH65" s="24" t="inlineStr">
        <is>
          <t>2026-08-30T03:35:05.441649Z</t>
        </is>
      </c>
      <c r="BI65" s="24" t="inlineStr">
        <is>
          <t>["same_event","same_team_same_day","same_league_same_day"]</t>
        </is>
      </c>
      <c r="BJ65" s="25" t="n"/>
      <c r="BK65" s="26" t="n">
        <v>100</v>
      </c>
      <c r="BL65" s="27" t="n">
        <v>2</v>
      </c>
      <c r="BM65" s="28" t="n">
        <v>0.5</v>
      </c>
      <c r="BN65" s="28" t="n"/>
      <c r="BO65" s="28" t="n"/>
      <c r="BP65" s="25" t="n"/>
      <c r="BQ65" s="27" t="n">
        <v>2</v>
      </c>
      <c r="BR65" s="28" t="n">
        <v>0.5</v>
      </c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n"/>
      <c r="CR65" s="24" t="n"/>
      <c r="CS65" s="24" t="inlineStr">
        <is>
          <t>True</t>
        </is>
      </c>
      <c r="CT65" s="24" t="n"/>
      <c r="CU65" s="24" t="n"/>
      <c r="CV65" s="24" t="n"/>
      <c r="CW65" s="24" t="n"/>
      <c r="CX65" s="24" t="n"/>
      <c r="CY65" s="24" t="n"/>
      <c r="CZ65" s="24" t="n"/>
      <c r="DA65" s="24" t="n"/>
      <c r="DB65" s="24" t="n"/>
      <c r="DC65" s="24" t="n"/>
      <c r="DD65" s="24" t="n"/>
      <c r="DE65" s="24" t="n"/>
      <c r="DF65" s="24" t="n"/>
      <c r="DG65" s="24" t="n"/>
      <c r="DH65" s="24" t="n"/>
      <c r="DI65" s="24" t="n"/>
      <c r="DJ65" s="24" t="inlineStr">
        <is>
          <t>0.5</t>
        </is>
      </c>
      <c r="DK65" s="24" t="n"/>
      <c r="DL65" s="24" t="n"/>
      <c r="DM65" s="24" t="n"/>
      <c r="DN65" s="24" t="n"/>
      <c r="DO65" s="24" t="n"/>
      <c r="DP65" s="24" t="n"/>
      <c r="DQ65" s="24" t="n"/>
    </row>
    <row r="66" ht="36" customHeight="1">
      <c r="A66" s="24" t="inlineStr">
        <is>
          <t>04a620e829204eef</t>
        </is>
      </c>
      <c r="B66" s="24" t="inlineStr">
        <is>
          <t>2026-08-30T16:07:30.175758Z</t>
        </is>
      </c>
      <c r="C66" s="24" t="inlineStr">
        <is>
          <t>2026-08-30T21:00:00Z</t>
        </is>
      </c>
      <c r="D66" s="24" t="inlineStr">
        <is>
          <t>97022</t>
        </is>
      </c>
      <c r="E66" s="24" t="inlineStr">
        <is>
          <t>VALORANT</t>
        </is>
      </c>
      <c r="F66" s="24" t="inlineStr">
        <is>
          <t>G2 Esports</t>
        </is>
      </c>
      <c r="G66" s="24" t="inlineStr">
        <is>
          <t>Leviatán Esports</t>
        </is>
      </c>
      <c r="H66" s="24" t="inlineStr">
        <is>
          <t>moneyline</t>
        </is>
      </c>
      <c r="I66" s="24" t="inlineStr">
        <is>
          <t>home</t>
        </is>
      </c>
      <c r="J66" s="25" t="n"/>
      <c r="K66" s="24" t="inlineStr">
        <is>
          <t>polymarket_us</t>
        </is>
      </c>
      <c r="L66" s="26" t="n">
        <v>-186</v>
      </c>
      <c r="M66" s="27" t="n">
        <v>1.537634</v>
      </c>
      <c r="N66" s="28" t="n">
        <v>0.65035</v>
      </c>
      <c r="O66" s="28" t="n">
        <v>0.633108</v>
      </c>
      <c r="P66" s="28" t="n"/>
      <c r="Q66" s="28" t="n">
        <v>-0.017242</v>
      </c>
      <c r="R66" s="26" t="n">
        <v>11</v>
      </c>
      <c r="S66" s="29" t="n">
        <v>1</v>
      </c>
      <c r="T66" s="24" t="inlineStr">
        <is>
          <t>valorant-tiered-elo-v6</t>
        </is>
      </c>
      <c r="U66" s="24" t="inlineStr">
        <is>
          <t>settled</t>
        </is>
      </c>
      <c r="V66" s="24" t="inlineStr">
        <is>
          <t>loss</t>
        </is>
      </c>
      <c r="W66" s="26" t="n">
        <v>1</v>
      </c>
      <c r="X66" s="26" t="n">
        <v>0</v>
      </c>
      <c r="Y66" s="25" t="n"/>
      <c r="Z66" s="26" t="n">
        <v>-186</v>
      </c>
      <c r="AA66" s="28" t="n">
        <v>0.65</v>
      </c>
      <c r="AB66" s="28" t="n">
        <v>-0.00035</v>
      </c>
      <c r="AC66" s="30" t="n">
        <v>-1</v>
      </c>
      <c r="AD66" s="24" t="inlineStr">
        <is>
          <t>2026-08-31T04:41:02.128434Z</t>
        </is>
      </c>
      <c r="AE66" s="31" t="inlineStr">
        <is>
          <t>Neutral Elo baseline; executable ask 0.6500 (market_slug=aec-valorant-lev-g2-2026-08-30).</t>
        </is>
      </c>
      <c r="AF66" s="31" t="inlineStr">
        <is>
          <t>Config-promoted esports baseline; gates enforced at log time.</t>
        </is>
      </c>
      <c r="AG66" s="24" t="inlineStr">
        <is>
          <t>review_required</t>
        </is>
      </c>
      <c r="AH66" s="24" t="n"/>
      <c r="AI66" s="31" t="n"/>
      <c r="AJ66" s="31" t="n"/>
      <c r="AK66" s="24" t="inlineStr">
        <is>
          <t>paper_call</t>
        </is>
      </c>
      <c r="AL66" s="26" t="n">
        <v>4</v>
      </c>
      <c r="AM66" s="24" t="inlineStr">
        <is>
          <t>RESEARCH_OBSERVATION</t>
        </is>
      </c>
      <c r="AN66" s="24" t="inlineStr">
        <is>
          <t>CALL</t>
        </is>
      </c>
      <c r="AO66" s="24" t="inlineStr">
        <is>
          <t>PAPER_CALL_LOW_EDGE</t>
        </is>
      </c>
      <c r="AP66" s="24" t="inlineStr">
        <is>
          <t>G2 Esports</t>
        </is>
      </c>
      <c r="AQ66" s="24" t="inlineStr">
        <is>
          <t>G2 Esports</t>
        </is>
      </c>
      <c r="AR66" s="24" t="inlineStr">
        <is>
          <t>G2 Esports</t>
        </is>
      </c>
      <c r="AS66" s="24" t="inlineStr">
        <is>
          <t>Leviatán Esports</t>
        </is>
      </c>
      <c r="AT66" s="24" t="inlineStr">
        <is>
          <t>Leviatán Esports</t>
        </is>
      </c>
      <c r="AU66" s="24" t="inlineStr">
        <is>
          <t>Leviatán Esports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shadow_qualified</t>
        </is>
      </c>
      <c r="BA66" s="24" t="inlineStr">
        <is>
          <t>b707ba4f406d830c09e531d0e0bc69901cc1bda46b0bf4e1c22998fe3fb14e24</t>
        </is>
      </c>
      <c r="BB66" s="24" t="inlineStr">
        <is>
          <t>neutral_elo</t>
        </is>
      </c>
      <c r="BC66" s="24" t="inlineStr">
        <is>
          <t>valorant-tiered-elo-v6</t>
        </is>
      </c>
      <c r="BD66" s="24" t="inlineStr">
        <is>
          <t>b707ba4f406d830c09e531d0e0bc69901cc1bda46b0bf4e1c22998fe3fb14e24</t>
        </is>
      </c>
      <c r="BE66" s="24" t="inlineStr">
        <is>
          <t>1</t>
        </is>
      </c>
      <c r="BF66" s="24" t="inlineStr">
        <is>
          <t>1</t>
        </is>
      </c>
      <c r="BG66" s="24" t="inlineStr">
        <is>
          <t>valorant-tiered-elo-v6</t>
        </is>
      </c>
      <c r="BH66" s="24" t="inlineStr">
        <is>
          <t>2026-08-30T16:07:30.056928Z</t>
        </is>
      </c>
      <c r="BI66" s="24" t="inlineStr">
        <is>
          <t>["same_event","same_team_same_day","same_league_same_day"]</t>
        </is>
      </c>
      <c r="BJ66" s="25" t="n"/>
      <c r="BK66" s="26" t="n">
        <v>-186</v>
      </c>
      <c r="BL66" s="27" t="n">
        <v>1.537634</v>
      </c>
      <c r="BM66" s="28" t="n">
        <v>0.65035</v>
      </c>
      <c r="BN66" s="28" t="n"/>
      <c r="BO66" s="28" t="n"/>
      <c r="BP66" s="25" t="n"/>
      <c r="BQ66" s="27" t="n">
        <v>1.537634</v>
      </c>
      <c r="BR66" s="28" t="n">
        <v>0.65</v>
      </c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n"/>
      <c r="CQ66" s="24" t="n"/>
      <c r="CR66" s="24" t="n"/>
      <c r="CS66" s="24" t="inlineStr">
        <is>
          <t>False</t>
        </is>
      </c>
      <c r="CT66" s="24" t="n"/>
      <c r="CU66" s="24" t="n"/>
      <c r="CV66" s="24" t="n"/>
      <c r="CW66" s="24" t="n"/>
      <c r="CX66" s="24" t="n"/>
      <c r="CY66" s="24" t="n"/>
      <c r="CZ66" s="24" t="n"/>
      <c r="DA66" s="24" t="n"/>
      <c r="DB66" s="24" t="n"/>
      <c r="DC66" s="24" t="n"/>
      <c r="DD66" s="24" t="n"/>
      <c r="DE66" s="24" t="n"/>
      <c r="DF66" s="24" t="n"/>
      <c r="DG66" s="24" t="n"/>
      <c r="DH66" s="24" t="n"/>
      <c r="DI66" s="24" t="n"/>
      <c r="DJ66" s="24" t="inlineStr">
        <is>
          <t>0.65035</t>
        </is>
      </c>
      <c r="DK66" s="24" t="n"/>
      <c r="DL66" s="24" t="n"/>
      <c r="DM66" s="24" t="n"/>
      <c r="DN66" s="24" t="n"/>
      <c r="DO66" s="24" t="n"/>
      <c r="DP66" s="24" t="n"/>
      <c r="DQ66" s="24" t="n"/>
    </row>
    <row r="67" ht="36" customHeight="1">
      <c r="A67" s="24" t="inlineStr">
        <is>
          <t>39f27f042b0a4ec6</t>
        </is>
      </c>
      <c r="B67" s="24" t="inlineStr">
        <is>
          <t>2026-08-30T16:07:30.175758Z</t>
        </is>
      </c>
      <c r="C67" s="24" t="inlineStr">
        <is>
          <t>2026-08-31T00:00:00Z</t>
        </is>
      </c>
      <c r="D67" s="24" t="inlineStr">
        <is>
          <t>97023</t>
        </is>
      </c>
      <c r="E67" s="24" t="inlineStr">
        <is>
          <t>VALORANT</t>
        </is>
      </c>
      <c r="F67" s="24" t="inlineStr">
        <is>
          <t>MIBR</t>
        </is>
      </c>
      <c r="G67" s="24" t="inlineStr">
        <is>
          <t>LOUD</t>
        </is>
      </c>
      <c r="H67" s="24" t="inlineStr">
        <is>
          <t>moneyline</t>
        </is>
      </c>
      <c r="I67" s="24" t="inlineStr">
        <is>
          <t>home</t>
        </is>
      </c>
      <c r="J67" s="25" t="n"/>
      <c r="K67" s="24" t="inlineStr">
        <is>
          <t>polymarket_us</t>
        </is>
      </c>
      <c r="L67" s="26" t="n">
        <v>163</v>
      </c>
      <c r="M67" s="27" t="n">
        <v>2.63</v>
      </c>
      <c r="N67" s="28" t="n">
        <v>0.380228</v>
      </c>
      <c r="O67" s="28" t="n">
        <v>0.581212</v>
      </c>
      <c r="P67" s="28" t="n"/>
      <c r="Q67" s="28" t="n">
        <v>0.200984</v>
      </c>
      <c r="R67" s="26" t="n">
        <v>100</v>
      </c>
      <c r="S67" s="29" t="n">
        <v>2</v>
      </c>
      <c r="T67" s="24" t="inlineStr">
        <is>
          <t>valorant-tiered-elo-v6</t>
        </is>
      </c>
      <c r="U67" s="24" t="inlineStr">
        <is>
          <t>settled</t>
        </is>
      </c>
      <c r="V67" s="24" t="inlineStr">
        <is>
          <t>win</t>
        </is>
      </c>
      <c r="W67" s="26" t="n">
        <v>0</v>
      </c>
      <c r="X67" s="26" t="n">
        <v>1</v>
      </c>
      <c r="Y67" s="25" t="n"/>
      <c r="Z67" s="26" t="n">
        <v>163</v>
      </c>
      <c r="AA67" s="28" t="n">
        <v>0.38</v>
      </c>
      <c r="AB67" s="28" t="n">
        <v>-0.000228</v>
      </c>
      <c r="AC67" s="30" t="n">
        <v>3.26</v>
      </c>
      <c r="AD67" s="24" t="inlineStr">
        <is>
          <t>2026-08-31T04:41:02.548080Z</t>
        </is>
      </c>
      <c r="AE67" s="31" t="inlineStr">
        <is>
          <t>Neutral Elo baseline; executable ask 0.3800 (market_slug=aec-valorant-loud-mibr-2026-08-31).</t>
        </is>
      </c>
      <c r="AF67" s="31" t="inlineStr">
        <is>
          <t>Config-promoted esports baseline; gates enforced at log time.</t>
        </is>
      </c>
      <c r="AG67" s="24" t="inlineStr">
        <is>
          <t>not_applicable</t>
        </is>
      </c>
      <c r="AH67" s="24" t="n"/>
      <c r="AI67" s="31" t="n"/>
      <c r="AJ67" s="31" t="n"/>
      <c r="AK67" s="24" t="inlineStr">
        <is>
          <t>paper_call</t>
        </is>
      </c>
      <c r="AL67" s="26" t="n">
        <v>4</v>
      </c>
      <c r="AM67" s="24" t="inlineStr">
        <is>
          <t>RESEARCH_OBSERVATION</t>
        </is>
      </c>
      <c r="AN67" s="24" t="inlineStr">
        <is>
          <t>CALL</t>
        </is>
      </c>
      <c r="AO67" s="24" t="inlineStr">
        <is>
          <t>PAPER_CALL_MODEL_UNVALIDATED</t>
        </is>
      </c>
      <c r="AP67" s="24" t="inlineStr">
        <is>
          <t>MIBR</t>
        </is>
      </c>
      <c r="AQ67" s="24" t="inlineStr">
        <is>
          <t>MIBR</t>
        </is>
      </c>
      <c r="AR67" s="24" t="inlineStr">
        <is>
          <t>MIBR</t>
        </is>
      </c>
      <c r="AS67" s="24" t="inlineStr">
        <is>
          <t>LOUD</t>
        </is>
      </c>
      <c r="AT67" s="24" t="inlineStr">
        <is>
          <t>LOUD</t>
        </is>
      </c>
      <c r="AU67" s="24" t="inlineStr">
        <is>
          <t>LOUD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shadow_qualified</t>
        </is>
      </c>
      <c r="BA67" s="24" t="inlineStr">
        <is>
          <t>b707ba4f406d830c09e531d0e0bc69901cc1bda46b0bf4e1c22998fe3fb14e24</t>
        </is>
      </c>
      <c r="BB67" s="24" t="inlineStr">
        <is>
          <t>neutral_elo</t>
        </is>
      </c>
      <c r="BC67" s="24" t="inlineStr">
        <is>
          <t>valorant-tiered-elo-v6</t>
        </is>
      </c>
      <c r="BD67" s="24" t="inlineStr">
        <is>
          <t>b707ba4f406d830c09e531d0e0bc69901cc1bda46b0bf4e1c22998fe3fb14e24</t>
        </is>
      </c>
      <c r="BE67" s="24" t="inlineStr">
        <is>
          <t>1</t>
        </is>
      </c>
      <c r="BF67" s="24" t="inlineStr">
        <is>
          <t>1</t>
        </is>
      </c>
      <c r="BG67" s="24" t="inlineStr">
        <is>
          <t>valorant-tiered-elo-v6</t>
        </is>
      </c>
      <c r="BH67" s="24" t="inlineStr">
        <is>
          <t>2026-08-30T16:07:30.128708Z</t>
        </is>
      </c>
      <c r="BI67" s="24" t="inlineStr">
        <is>
          <t>["same_event","same_team_same_day","same_league_same_day"]</t>
        </is>
      </c>
      <c r="BJ67" s="25" t="n"/>
      <c r="BK67" s="26" t="n">
        <v>163</v>
      </c>
      <c r="BL67" s="27" t="n">
        <v>2.63</v>
      </c>
      <c r="BM67" s="28" t="n">
        <v>0.380228</v>
      </c>
      <c r="BN67" s="28" t="n"/>
      <c r="BO67" s="28" t="n"/>
      <c r="BP67" s="25" t="n"/>
      <c r="BQ67" s="27" t="n">
        <v>2.63</v>
      </c>
      <c r="BR67" s="28" t="n">
        <v>0.38</v>
      </c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n"/>
      <c r="CQ67" s="24" t="n"/>
      <c r="CR67" s="24" t="n"/>
      <c r="CS67" s="24" t="inlineStr">
        <is>
          <t>True</t>
        </is>
      </c>
      <c r="CT67" s="24" t="n"/>
      <c r="CU67" s="24" t="n"/>
      <c r="CV67" s="24" t="n"/>
      <c r="CW67" s="24" t="n"/>
      <c r="CX67" s="24" t="n"/>
      <c r="CY67" s="24" t="n"/>
      <c r="CZ67" s="24" t="n"/>
      <c r="DA67" s="24" t="n"/>
      <c r="DB67" s="24" t="n"/>
      <c r="DC67" s="24" t="n"/>
      <c r="DD67" s="24" t="n"/>
      <c r="DE67" s="24" t="n"/>
      <c r="DF67" s="24" t="n"/>
      <c r="DG67" s="24" t="n"/>
      <c r="DH67" s="24" t="n"/>
      <c r="DI67" s="24" t="n"/>
      <c r="DJ67" s="24" t="inlineStr">
        <is>
          <t>0.380228</t>
        </is>
      </c>
      <c r="DK67" s="24" t="n"/>
      <c r="DL67" s="24" t="n"/>
      <c r="DM67" s="24" t="n"/>
      <c r="DN67" s="24" t="n"/>
      <c r="DO67" s="24" t="n"/>
      <c r="DP67" s="24" t="n"/>
      <c r="DQ67" s="24" t="n"/>
    </row>
    <row r="68" ht="36" customHeight="1">
      <c r="A68" s="24" t="inlineStr">
        <is>
          <t>9a3628f03a1b42c2</t>
        </is>
      </c>
      <c r="B68" s="24" t="inlineStr">
        <is>
          <t>2026-09-02T16:09:40.588663Z</t>
        </is>
      </c>
      <c r="C68" s="24" t="inlineStr">
        <is>
          <t>2026-09-02T23:30:00Z</t>
        </is>
      </c>
      <c r="D68" s="24" t="inlineStr">
        <is>
          <t>100338</t>
        </is>
      </c>
      <c r="E68" s="24" t="inlineStr">
        <is>
          <t>VALORANT</t>
        </is>
      </c>
      <c r="F68" s="24" t="inlineStr">
        <is>
          <t>HIMMERS</t>
        </is>
      </c>
      <c r="G68" s="24" t="inlineStr">
        <is>
          <t>Cloud9 GC</t>
        </is>
      </c>
      <c r="H68" s="24" t="inlineStr">
        <is>
          <t>moneyline</t>
        </is>
      </c>
      <c r="I68" s="24" t="inlineStr">
        <is>
          <t>away</t>
        </is>
      </c>
      <c r="J68" s="25" t="n"/>
      <c r="K68" s="24" t="inlineStr">
        <is>
          <t>polymarket_us</t>
        </is>
      </c>
      <c r="L68" s="26" t="n">
        <v>113</v>
      </c>
      <c r="M68" s="27" t="n">
        <v>2.13</v>
      </c>
      <c r="N68" s="28" t="n">
        <v>0.469484</v>
      </c>
      <c r="O68" s="28" t="n">
        <v>0.503215</v>
      </c>
      <c r="P68" s="28" t="n"/>
      <c r="Q68" s="28" t="n">
        <v>0.033731</v>
      </c>
      <c r="R68" s="26" t="n">
        <v>37</v>
      </c>
      <c r="S68" s="29" t="n">
        <v>1</v>
      </c>
      <c r="T68" s="24" t="inlineStr">
        <is>
          <t>valorant-tiered-elo-v6</t>
        </is>
      </c>
      <c r="U68" s="24" t="inlineStr">
        <is>
          <t>settled</t>
        </is>
      </c>
      <c r="V68" s="24" t="inlineStr">
        <is>
          <t>win</t>
        </is>
      </c>
      <c r="W68" s="26" t="n">
        <v>1</v>
      </c>
      <c r="X68" s="26" t="n">
        <v>0</v>
      </c>
      <c r="Y68" s="25" t="n"/>
      <c r="Z68" s="26" t="n">
        <v>113</v>
      </c>
      <c r="AA68" s="28" t="n">
        <v>0.47</v>
      </c>
      <c r="AB68" s="28" t="n">
        <v>0.000516</v>
      </c>
      <c r="AC68" s="30" t="n">
        <v>1.13</v>
      </c>
      <c r="AD68" s="24" t="inlineStr">
        <is>
          <t>2026-09-03T04:33:58.816960Z</t>
        </is>
      </c>
      <c r="AE68" s="31" t="inlineStr">
        <is>
          <t>Neutral Elo baseline; executable ask 0.4700 (market_slug=aec-valorant-c9gc-him-2026-09-02).</t>
        </is>
      </c>
      <c r="AF68" s="31" t="inlineStr">
        <is>
          <t>Config-promoted esports baseline; gates enforced at log time.</t>
        </is>
      </c>
      <c r="AG68" s="24" t="inlineStr">
        <is>
          <t>not_applicable</t>
        </is>
      </c>
      <c r="AH68" s="24" t="n"/>
      <c r="AI68" s="31" t="n"/>
      <c r="AJ68" s="31" t="n"/>
      <c r="AK68" s="24" t="inlineStr">
        <is>
          <t>model_qualified</t>
        </is>
      </c>
      <c r="AL68" s="26" t="n">
        <v>4</v>
      </c>
      <c r="AM68" s="24" t="inlineStr">
        <is>
          <t>QUALIFIED_SHADOW_CALL</t>
        </is>
      </c>
      <c r="AN68" s="24" t="inlineStr">
        <is>
          <t>CALL</t>
        </is>
      </c>
      <c r="AO68" s="24" t="inlineStr">
        <is>
          <t>QUALIFIED</t>
        </is>
      </c>
      <c r="AP68" s="24" t="inlineStr">
        <is>
          <t>HIMMERS</t>
        </is>
      </c>
      <c r="AQ68" s="24" t="inlineStr">
        <is>
          <t>HIMMERS</t>
        </is>
      </c>
      <c r="AR68" s="24" t="inlineStr">
        <is>
          <t>HIMMERS</t>
        </is>
      </c>
      <c r="AS68" s="24" t="inlineStr">
        <is>
          <t>Cloud9 GC</t>
        </is>
      </c>
      <c r="AT68" s="24" t="inlineStr">
        <is>
          <t>Cloud9 GC</t>
        </is>
      </c>
      <c r="AU68" s="24" t="inlineStr">
        <is>
          <t>Cloud9 GC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shadow_qualified</t>
        </is>
      </c>
      <c r="BA68" s="24" t="inlineStr">
        <is>
          <t>5b2f07a8792200d589e1ebcc61d4ca64423d7724adbf39f1b8f516f64b3af133</t>
        </is>
      </c>
      <c r="BB68" s="24" t="inlineStr">
        <is>
          <t>neutral_elo</t>
        </is>
      </c>
      <c r="BC68" s="24" t="inlineStr">
        <is>
          <t>valorant-tiered-elo-v6</t>
        </is>
      </c>
      <c r="BD68" s="24" t="inlineStr">
        <is>
          <t>5b2f07a8792200d589e1ebcc61d4ca64423d7724adbf39f1b8f516f64b3af133</t>
        </is>
      </c>
      <c r="BE68" s="24" t="inlineStr">
        <is>
          <t>1</t>
        </is>
      </c>
      <c r="BF68" s="24" t="inlineStr">
        <is>
          <t>1</t>
        </is>
      </c>
      <c r="BG68" s="24" t="inlineStr">
        <is>
          <t>valorant-tiered-elo-v6</t>
        </is>
      </c>
      <c r="BH68" s="24" t="inlineStr">
        <is>
          <t>2026-09-02T16:09:38.870658Z</t>
        </is>
      </c>
      <c r="BI68" s="24" t="inlineStr">
        <is>
          <t>["same_event","same_team_same_day","same_league_same_day"]</t>
        </is>
      </c>
      <c r="BJ68" s="25" t="n"/>
      <c r="BK68" s="26" t="n">
        <v>113</v>
      </c>
      <c r="BL68" s="27" t="n">
        <v>2.13</v>
      </c>
      <c r="BM68" s="28" t="n">
        <v>0.469484</v>
      </c>
      <c r="BN68" s="28" t="n"/>
      <c r="BO68" s="28" t="n"/>
      <c r="BP68" s="25" t="n"/>
      <c r="BQ68" s="27" t="n">
        <v>2.13</v>
      </c>
      <c r="BR68" s="28" t="n">
        <v>0.47</v>
      </c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  <c r="CP68" s="24" t="n"/>
      <c r="CQ68" s="24" t="n"/>
      <c r="CR68" s="24" t="n"/>
      <c r="CS68" s="24" t="inlineStr">
        <is>
          <t>True</t>
        </is>
      </c>
      <c r="CT68" s="24" t="n"/>
      <c r="CU68" s="24" t="n"/>
      <c r="CV68" s="24" t="n"/>
      <c r="CW68" s="24" t="n"/>
      <c r="CX68" s="24" t="n"/>
      <c r="CY68" s="24" t="n"/>
      <c r="CZ68" s="24" t="n"/>
      <c r="DA68" s="24" t="n"/>
      <c r="DB68" s="24" t="n"/>
      <c r="DC68" s="24" t="n"/>
      <c r="DD68" s="24" t="n"/>
      <c r="DE68" s="24" t="n"/>
      <c r="DF68" s="24" t="n"/>
      <c r="DG68" s="24" t="n"/>
      <c r="DH68" s="24" t="n"/>
      <c r="DI68" s="24" t="n"/>
      <c r="DJ68" s="24" t="inlineStr">
        <is>
          <t>0.469484</t>
        </is>
      </c>
      <c r="DK68" s="24" t="n"/>
      <c r="DL68" s="24" t="n"/>
      <c r="DM68" s="24" t="n"/>
      <c r="DN68" s="24" t="n"/>
      <c r="DO68" s="24" t="n"/>
      <c r="DP68" s="24" t="n"/>
      <c r="DQ68" s="24" t="n"/>
    </row>
    <row r="69" ht="36" customHeight="1">
      <c r="A69" s="24" t="inlineStr">
        <is>
          <t>009db4396025438d</t>
        </is>
      </c>
      <c r="B69" s="24" t="inlineStr">
        <is>
          <t>2026-09-02T16:09:40.588663Z</t>
        </is>
      </c>
      <c r="C69" s="24" t="inlineStr">
        <is>
          <t>2026-09-02T23:30:00Z</t>
        </is>
      </c>
      <c r="D69" s="24" t="inlineStr">
        <is>
          <t>100339</t>
        </is>
      </c>
      <c r="E69" s="24" t="inlineStr">
        <is>
          <t>VALORANT</t>
        </is>
      </c>
      <c r="F69" s="24" t="inlineStr">
        <is>
          <t>Shopify Rebellion Gold</t>
        </is>
      </c>
      <c r="G69" s="24" t="inlineStr">
        <is>
          <t>SwimTrek Blue</t>
        </is>
      </c>
      <c r="H69" s="24" t="inlineStr">
        <is>
          <t>moneyline</t>
        </is>
      </c>
      <c r="I69" s="24" t="inlineStr">
        <is>
          <t>home</t>
        </is>
      </c>
      <c r="J69" s="25" t="n"/>
      <c r="K69" s="24" t="inlineStr">
        <is>
          <t>polymarket_us</t>
        </is>
      </c>
      <c r="L69" s="26" t="n">
        <v>-223</v>
      </c>
      <c r="M69" s="27" t="n">
        <v>1.44843</v>
      </c>
      <c r="N69" s="28" t="n">
        <v>0.690402</v>
      </c>
      <c r="O69" s="28" t="n">
        <v>0.526272</v>
      </c>
      <c r="P69" s="28" t="n"/>
      <c r="Q69" s="28" t="n">
        <v>-0.16413</v>
      </c>
      <c r="R69" s="26" t="n">
        <v>0</v>
      </c>
      <c r="S69" s="29" t="n">
        <v>1</v>
      </c>
      <c r="T69" s="24" t="inlineStr">
        <is>
          <t>valorant-tiered-elo-v6</t>
        </is>
      </c>
      <c r="U69" s="24" t="inlineStr">
        <is>
          <t>settled</t>
        </is>
      </c>
      <c r="V69" s="24" t="inlineStr">
        <is>
          <t>loss</t>
        </is>
      </c>
      <c r="W69" s="26" t="n">
        <v>1</v>
      </c>
      <c r="X69" s="26" t="n">
        <v>0</v>
      </c>
      <c r="Y69" s="25" t="n"/>
      <c r="Z69" s="26" t="n">
        <v>-223</v>
      </c>
      <c r="AA69" s="28" t="n">
        <v>0.6899999999999999</v>
      </c>
      <c r="AB69" s="28" t="n">
        <v>-0.000402</v>
      </c>
      <c r="AC69" s="30" t="n">
        <v>-1</v>
      </c>
      <c r="AD69" s="24" t="inlineStr">
        <is>
          <t>2026-09-03T04:33:59.045046Z</t>
        </is>
      </c>
      <c r="AE69" s="31" t="inlineStr">
        <is>
          <t>Neutral Elo baseline; executable ask 0.6900 (market_slug=aec-valorant-swim-srg-2026-09-02).</t>
        </is>
      </c>
      <c r="AF69" s="31" t="inlineStr">
        <is>
          <t>Config-promoted esports baseline; gates enforced at log time.</t>
        </is>
      </c>
      <c r="AG69" s="24" t="inlineStr">
        <is>
          <t>review_required</t>
        </is>
      </c>
      <c r="AH69" s="24" t="n"/>
      <c r="AI69" s="31" t="n"/>
      <c r="AJ69" s="31" t="n"/>
      <c r="AK69" s="24" t="inlineStr">
        <is>
          <t>paper_call</t>
        </is>
      </c>
      <c r="AL69" s="26" t="n">
        <v>4</v>
      </c>
      <c r="AM69" s="24" t="inlineStr">
        <is>
          <t>RESEARCH_OBSERVATION</t>
        </is>
      </c>
      <c r="AN69" s="24" t="inlineStr">
        <is>
          <t>CALL</t>
        </is>
      </c>
      <c r="AO69" s="24" t="inlineStr">
        <is>
          <t>PAPER_CALL_LOW_EDGE</t>
        </is>
      </c>
      <c r="AP69" s="24" t="inlineStr">
        <is>
          <t>Shopify Rebellion Gold</t>
        </is>
      </c>
      <c r="AQ69" s="24" t="inlineStr">
        <is>
          <t>Shopify Rebellion Gold</t>
        </is>
      </c>
      <c r="AR69" s="24" t="inlineStr">
        <is>
          <t>Shopify Rebellion Gold</t>
        </is>
      </c>
      <c r="AS69" s="24" t="inlineStr">
        <is>
          <t>SwimTrek Blue</t>
        </is>
      </c>
      <c r="AT69" s="24" t="inlineStr">
        <is>
          <t>SwimTrek Blue</t>
        </is>
      </c>
      <c r="AU69" s="24" t="inlineStr">
        <is>
          <t>SwimTrek Blue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shadow_qualified</t>
        </is>
      </c>
      <c r="BA69" s="24" t="inlineStr">
        <is>
          <t>5b2f07a8792200d589e1ebcc61d4ca64423d7724adbf39f1b8f516f64b3af133</t>
        </is>
      </c>
      <c r="BB69" s="24" t="inlineStr">
        <is>
          <t>neutral_elo</t>
        </is>
      </c>
      <c r="BC69" s="24" t="inlineStr">
        <is>
          <t>valorant-tiered-elo-v6</t>
        </is>
      </c>
      <c r="BD69" s="24" t="inlineStr">
        <is>
          <t>5b2f07a8792200d589e1ebcc61d4ca64423d7724adbf39f1b8f516f64b3af133</t>
        </is>
      </c>
      <c r="BE69" s="24" t="inlineStr">
        <is>
          <t>1</t>
        </is>
      </c>
      <c r="BF69" s="24" t="inlineStr">
        <is>
          <t>1</t>
        </is>
      </c>
      <c r="BG69" s="24" t="inlineStr">
        <is>
          <t>valorant-tiered-elo-v6</t>
        </is>
      </c>
      <c r="BH69" s="24" t="inlineStr">
        <is>
          <t>2026-09-02T16:09:38.958255Z</t>
        </is>
      </c>
      <c r="BI69" s="24" t="inlineStr">
        <is>
          <t>["same_event","same_team_same_day","same_league_same_day"]</t>
        </is>
      </c>
      <c r="BJ69" s="25" t="n"/>
      <c r="BK69" s="26" t="n">
        <v>-223</v>
      </c>
      <c r="BL69" s="27" t="n">
        <v>1.44843</v>
      </c>
      <c r="BM69" s="28" t="n">
        <v>0.690402</v>
      </c>
      <c r="BN69" s="28" t="n"/>
      <c r="BO69" s="28" t="n"/>
      <c r="BP69" s="25" t="n"/>
      <c r="BQ69" s="27" t="n">
        <v>1.44843</v>
      </c>
      <c r="BR69" s="28" t="n">
        <v>0.6899999999999999</v>
      </c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  <c r="CP69" s="24" t="n"/>
      <c r="CQ69" s="24" t="n"/>
      <c r="CR69" s="24" t="n"/>
      <c r="CS69" s="24" t="inlineStr">
        <is>
          <t>False</t>
        </is>
      </c>
      <c r="CT69" s="24" t="n"/>
      <c r="CU69" s="24" t="n"/>
      <c r="CV69" s="24" t="n"/>
      <c r="CW69" s="24" t="n"/>
      <c r="CX69" s="24" t="n"/>
      <c r="CY69" s="24" t="n"/>
      <c r="CZ69" s="24" t="n"/>
      <c r="DA69" s="24" t="n"/>
      <c r="DB69" s="24" t="n"/>
      <c r="DC69" s="24" t="n"/>
      <c r="DD69" s="24" t="n"/>
      <c r="DE69" s="24" t="n"/>
      <c r="DF69" s="24" t="n"/>
      <c r="DG69" s="24" t="n"/>
      <c r="DH69" s="24" t="n"/>
      <c r="DI69" s="24" t="n"/>
      <c r="DJ69" s="24" t="inlineStr">
        <is>
          <t>0.690402</t>
        </is>
      </c>
      <c r="DK69" s="24" t="n"/>
      <c r="DL69" s="24" t="n"/>
      <c r="DM69" s="24" t="n"/>
      <c r="DN69" s="24" t="n"/>
      <c r="DO69" s="24" t="n"/>
      <c r="DP69" s="24" t="n"/>
      <c r="DQ69" s="24" t="n"/>
    </row>
    <row r="70" ht="36" customHeight="1">
      <c r="A70" s="24" t="inlineStr">
        <is>
          <t>89424120afbc4582</t>
        </is>
      </c>
      <c r="B70" s="24" t="inlineStr">
        <is>
          <t>2026-09-03T04:36:12.909143Z</t>
        </is>
      </c>
      <c r="C70" s="24" t="inlineStr">
        <is>
          <t>2026-09-03T11:00:00Z</t>
        </is>
      </c>
      <c r="D70" s="24" t="inlineStr">
        <is>
          <t>100341</t>
        </is>
      </c>
      <c r="E70" s="24" t="inlineStr">
        <is>
          <t>VALORANT</t>
        </is>
      </c>
      <c r="F70" s="24" t="inlineStr">
        <is>
          <t>KeepBest Gaming</t>
        </is>
      </c>
      <c r="G70" s="24" t="inlineStr">
        <is>
          <t>Wolves Esports</t>
        </is>
      </c>
      <c r="H70" s="24" t="inlineStr">
        <is>
          <t>moneyline</t>
        </is>
      </c>
      <c r="I70" s="24" t="inlineStr">
        <is>
          <t>away</t>
        </is>
      </c>
      <c r="J70" s="25" t="n"/>
      <c r="K70" s="24" t="inlineStr">
        <is>
          <t>polymarket_us</t>
        </is>
      </c>
      <c r="L70" s="26" t="n">
        <v>150</v>
      </c>
      <c r="M70" s="27" t="n">
        <v>2.5</v>
      </c>
      <c r="N70" s="28" t="n">
        <v>0.4</v>
      </c>
      <c r="O70" s="28" t="n">
        <v>0.515715</v>
      </c>
      <c r="P70" s="28" t="n"/>
      <c r="Q70" s="28" t="n">
        <v>0.115715</v>
      </c>
      <c r="R70" s="26" t="n">
        <v>78</v>
      </c>
      <c r="S70" s="29" t="n">
        <v>1.5</v>
      </c>
      <c r="T70" s="24" t="inlineStr">
        <is>
          <t>valorant-tiered-elo-v6</t>
        </is>
      </c>
      <c r="U70" s="24" t="inlineStr">
        <is>
          <t>settled</t>
        </is>
      </c>
      <c r="V70" s="24" t="inlineStr">
        <is>
          <t>win</t>
        </is>
      </c>
      <c r="W70" s="26" t="n">
        <v>1</v>
      </c>
      <c r="X70" s="26" t="n">
        <v>0</v>
      </c>
      <c r="Y70" s="25" t="n"/>
      <c r="Z70" s="26" t="n">
        <v>150</v>
      </c>
      <c r="AA70" s="28" t="n">
        <v>0.4</v>
      </c>
      <c r="AB70" s="28" t="n">
        <v>0</v>
      </c>
      <c r="AC70" s="30" t="n">
        <v>2.25</v>
      </c>
      <c r="AD70" s="24" t="inlineStr">
        <is>
          <t>2026-09-03T16:09:28.171366Z</t>
        </is>
      </c>
      <c r="AE70" s="31" t="inlineStr">
        <is>
          <t>Neutral Elo baseline; executable ask 0.4000 (market_slug=aec-valorant-wol-kbg-2026-09-03).</t>
        </is>
      </c>
      <c r="AF70" s="31" t="inlineStr">
        <is>
          <t>Config-promoted esports baseline; gates enforced at log time.</t>
        </is>
      </c>
      <c r="AG70" s="24" t="inlineStr">
        <is>
          <t>not_applicable</t>
        </is>
      </c>
      <c r="AH70" s="24" t="n"/>
      <c r="AI70" s="31" t="n"/>
      <c r="AJ70" s="31" t="n"/>
      <c r="AK70" s="24" t="inlineStr">
        <is>
          <t>model_qualified</t>
        </is>
      </c>
      <c r="AL70" s="26" t="n">
        <v>4</v>
      </c>
      <c r="AM70" s="24" t="inlineStr">
        <is>
          <t>QUALIFIED_SHADOW_CALL</t>
        </is>
      </c>
      <c r="AN70" s="24" t="inlineStr">
        <is>
          <t>CALL</t>
        </is>
      </c>
      <c r="AO70" s="24" t="inlineStr">
        <is>
          <t>QUALIFIED</t>
        </is>
      </c>
      <c r="AP70" s="24" t="inlineStr">
        <is>
          <t>KeepBest Gaming</t>
        </is>
      </c>
      <c r="AQ70" s="24" t="inlineStr">
        <is>
          <t>KeepBest Gaming</t>
        </is>
      </c>
      <c r="AR70" s="24" t="inlineStr">
        <is>
          <t>KeepBest Gaming</t>
        </is>
      </c>
      <c r="AS70" s="24" t="inlineStr">
        <is>
          <t>Wolves Esports</t>
        </is>
      </c>
      <c r="AT70" s="24" t="inlineStr">
        <is>
          <t>Wolves Esports</t>
        </is>
      </c>
      <c r="AU70" s="24" t="inlineStr">
        <is>
          <t>Wolves Esports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shadow_qualified</t>
        </is>
      </c>
      <c r="BA70" s="24" t="inlineStr">
        <is>
          <t>8b9c3e188a34a50a79cde3d36920d2c635d8699b06723d03c7e0d55ff905d166</t>
        </is>
      </c>
      <c r="BB70" s="24" t="inlineStr">
        <is>
          <t>neutral_elo</t>
        </is>
      </c>
      <c r="BC70" s="24" t="inlineStr">
        <is>
          <t>valorant-tiered-elo-v6</t>
        </is>
      </c>
      <c r="BD70" s="24" t="inlineStr">
        <is>
          <t>8b9c3e188a34a50a79cde3d36920d2c635d8699b06723d03c7e0d55ff905d166</t>
        </is>
      </c>
      <c r="BE70" s="24" t="inlineStr">
        <is>
          <t>1</t>
        </is>
      </c>
      <c r="BF70" s="24" t="inlineStr">
        <is>
          <t>1</t>
        </is>
      </c>
      <c r="BG70" s="24" t="inlineStr">
        <is>
          <t>valorant-tiered-elo-v6</t>
        </is>
      </c>
      <c r="BH70" s="24" t="inlineStr">
        <is>
          <t>2026-09-03T04:36:11.711552Z</t>
        </is>
      </c>
      <c r="BI70" s="24" t="inlineStr">
        <is>
          <t>["same_event","same_team_same_day","same_league_same_day"]</t>
        </is>
      </c>
      <c r="BJ70" s="25" t="n"/>
      <c r="BK70" s="26" t="n">
        <v>150</v>
      </c>
      <c r="BL70" s="27" t="n">
        <v>2.5</v>
      </c>
      <c r="BM70" s="28" t="n">
        <v>0.4</v>
      </c>
      <c r="BN70" s="28" t="n"/>
      <c r="BO70" s="28" t="n"/>
      <c r="BP70" s="25" t="n"/>
      <c r="BQ70" s="27" t="n">
        <v>2.5</v>
      </c>
      <c r="BR70" s="28" t="n">
        <v>0.4</v>
      </c>
      <c r="BS70" s="28" t="n"/>
      <c r="BT70" s="28" t="n"/>
      <c r="BU70" s="25" t="n"/>
      <c r="BV70" s="29" t="n"/>
      <c r="BW70" s="24" t="n"/>
      <c r="BX70" s="30" t="n"/>
      <c r="BY70" s="27" t="n"/>
      <c r="BZ70" s="24" t="n"/>
      <c r="CA70" s="31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  <c r="CR70" s="24" t="n"/>
      <c r="CS70" s="24" t="inlineStr">
        <is>
          <t>True</t>
        </is>
      </c>
      <c r="CT70" s="24" t="n"/>
      <c r="CU70" s="24" t="n"/>
      <c r="CV70" s="24" t="n"/>
      <c r="CW70" s="24" t="n"/>
      <c r="CX70" s="24" t="n"/>
      <c r="CY70" s="24" t="n"/>
      <c r="CZ70" s="24" t="n"/>
      <c r="DA70" s="24" t="n"/>
      <c r="DB70" s="24" t="n"/>
      <c r="DC70" s="24" t="n"/>
      <c r="DD70" s="24" t="n"/>
      <c r="DE70" s="24" t="n"/>
      <c r="DF70" s="24" t="n"/>
      <c r="DG70" s="24" t="n"/>
      <c r="DH70" s="24" t="n"/>
      <c r="DI70" s="24" t="n"/>
      <c r="DJ70" s="24" t="inlineStr">
        <is>
          <t>0.4</t>
        </is>
      </c>
      <c r="DK70" s="24" t="n"/>
      <c r="DL70" s="24" t="n"/>
      <c r="DM70" s="24" t="n"/>
      <c r="DN70" s="24" t="n"/>
      <c r="DO70" s="24" t="n"/>
      <c r="DP70" s="24" t="n"/>
      <c r="DQ70" s="24" t="n"/>
    </row>
    <row r="71" ht="36" customHeight="1">
      <c r="A71" s="24" t="inlineStr">
        <is>
          <t>7568152f06cc4f3b</t>
        </is>
      </c>
      <c r="B71" s="24" t="inlineStr">
        <is>
          <t>2026-09-03T16:12:31.467301Z</t>
        </is>
      </c>
      <c r="C71" s="24" t="inlineStr">
        <is>
          <t>2026-09-03T18:00:00Z</t>
        </is>
      </c>
      <c r="D71" s="24" t="inlineStr">
        <is>
          <t>100345</t>
        </is>
      </c>
      <c r="E71" s="24" t="inlineStr">
        <is>
          <t>VALORANT</t>
        </is>
      </c>
      <c r="F71" s="24" t="inlineStr">
        <is>
          <t>RIZON</t>
        </is>
      </c>
      <c r="G71" s="24" t="inlineStr">
        <is>
          <t>ALTERNATE aTTaX</t>
        </is>
      </c>
      <c r="H71" s="24" t="inlineStr">
        <is>
          <t>moneyline</t>
        </is>
      </c>
      <c r="I71" s="24" t="inlineStr">
        <is>
          <t>home</t>
        </is>
      </c>
      <c r="J71" s="25" t="n"/>
      <c r="K71" s="24" t="inlineStr">
        <is>
          <t>polymarket_us</t>
        </is>
      </c>
      <c r="L71" s="26" t="n">
        <v>122</v>
      </c>
      <c r="M71" s="27" t="n">
        <v>2.22</v>
      </c>
      <c r="N71" s="28" t="n">
        <v>0.45045</v>
      </c>
      <c r="O71" s="28" t="n">
        <v>0.554547</v>
      </c>
      <c r="P71" s="28" t="n"/>
      <c r="Q71" s="28" t="n">
        <v>0.104097</v>
      </c>
      <c r="R71" s="26" t="n">
        <v>72</v>
      </c>
      <c r="S71" s="29" t="n">
        <v>1.25</v>
      </c>
      <c r="T71" s="24" t="inlineStr">
        <is>
          <t>valorant-tiered-elo-v6</t>
        </is>
      </c>
      <c r="U71" s="24" t="inlineStr">
        <is>
          <t>settled</t>
        </is>
      </c>
      <c r="V71" s="24" t="inlineStr">
        <is>
          <t>loss</t>
        </is>
      </c>
      <c r="W71" s="26" t="n">
        <v>1</v>
      </c>
      <c r="X71" s="26" t="n">
        <v>0</v>
      </c>
      <c r="Y71" s="25" t="n"/>
      <c r="Z71" s="26" t="n">
        <v>122</v>
      </c>
      <c r="AA71" s="28" t="n">
        <v>0.45</v>
      </c>
      <c r="AB71" s="28" t="n">
        <v>-0.00045</v>
      </c>
      <c r="AC71" s="30" t="n">
        <v>-1.25</v>
      </c>
      <c r="AD71" s="24" t="inlineStr">
        <is>
          <t>2026-09-04T04:34:40.423148Z</t>
        </is>
      </c>
      <c r="AE71" s="31" t="inlineStr">
        <is>
          <t>Neutral Elo baseline; executable ask 0.4500 (market_slug=aec-valorant-attax-rzn-2026-09-03).</t>
        </is>
      </c>
      <c r="AF71" s="31" t="inlineStr">
        <is>
          <t>Config-promoted esports baseline; gates enforced at log time.</t>
        </is>
      </c>
      <c r="AG71" s="24" t="inlineStr">
        <is>
          <t>review_required</t>
        </is>
      </c>
      <c r="AH71" s="24" t="n"/>
      <c r="AI71" s="31" t="n"/>
      <c r="AJ71" s="31" t="n"/>
      <c r="AK71" s="24" t="inlineStr">
        <is>
          <t>model_qualified</t>
        </is>
      </c>
      <c r="AL71" s="26" t="n">
        <v>4</v>
      </c>
      <c r="AM71" s="24" t="inlineStr">
        <is>
          <t>QUALIFIED_SHADOW_CALL</t>
        </is>
      </c>
      <c r="AN71" s="24" t="inlineStr">
        <is>
          <t>CALL</t>
        </is>
      </c>
      <c r="AO71" s="24" t="inlineStr">
        <is>
          <t>QUALIFIED</t>
        </is>
      </c>
      <c r="AP71" s="24" t="inlineStr">
        <is>
          <t>RIZON</t>
        </is>
      </c>
      <c r="AQ71" s="24" t="inlineStr">
        <is>
          <t>RIZON</t>
        </is>
      </c>
      <c r="AR71" s="24" t="inlineStr">
        <is>
          <t>RIZON</t>
        </is>
      </c>
      <c r="AS71" s="24" t="inlineStr">
        <is>
          <t>ALTERNATE aTTaX</t>
        </is>
      </c>
      <c r="AT71" s="24" t="inlineStr">
        <is>
          <t>ALTERNATE aTTaX</t>
        </is>
      </c>
      <c r="AU71" s="24" t="inlineStr">
        <is>
          <t>ALTERNATE aTTaX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shadow_qualified</t>
        </is>
      </c>
      <c r="BA71" s="24" t="inlineStr">
        <is>
          <t>54b13b721282e2438605b8df5473f6d5a418ac2f50b632994218e50744880d3f</t>
        </is>
      </c>
      <c r="BB71" s="24" t="inlineStr">
        <is>
          <t>neutral_elo</t>
        </is>
      </c>
      <c r="BC71" s="24" t="inlineStr">
        <is>
          <t>valorant-tiered-elo-v6</t>
        </is>
      </c>
      <c r="BD71" s="24" t="inlineStr">
        <is>
          <t>54b13b721282e2438605b8df5473f6d5a418ac2f50b632994218e50744880d3f</t>
        </is>
      </c>
      <c r="BE71" s="24" t="inlineStr">
        <is>
          <t>1</t>
        </is>
      </c>
      <c r="BF71" s="24" t="inlineStr">
        <is>
          <t>1</t>
        </is>
      </c>
      <c r="BG71" s="24" t="inlineStr">
        <is>
          <t>valorant-tiered-elo-v6</t>
        </is>
      </c>
      <c r="BH71" s="24" t="inlineStr">
        <is>
          <t>2026-09-03T16:12:30.061361Z</t>
        </is>
      </c>
      <c r="BI71" s="24" t="inlineStr">
        <is>
          <t>["same_event","same_team_same_day","same_league_same_day"]</t>
        </is>
      </c>
      <c r="BJ71" s="25" t="n"/>
      <c r="BK71" s="26" t="n">
        <v>122</v>
      </c>
      <c r="BL71" s="27" t="n">
        <v>2.22</v>
      </c>
      <c r="BM71" s="28" t="n">
        <v>0.45045</v>
      </c>
      <c r="BN71" s="28" t="n"/>
      <c r="BO71" s="28" t="n"/>
      <c r="BP71" s="25" t="n"/>
      <c r="BQ71" s="27" t="n">
        <v>2.22</v>
      </c>
      <c r="BR71" s="28" t="n">
        <v>0.45</v>
      </c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  <c r="CN71" s="24" t="n"/>
      <c r="CO71" s="24" t="n"/>
      <c r="CP71" s="24" t="n"/>
      <c r="CQ71" s="24" t="n"/>
      <c r="CR71" s="24" t="n"/>
      <c r="CS71" s="24" t="inlineStr">
        <is>
          <t>True</t>
        </is>
      </c>
      <c r="CT71" s="24" t="n"/>
      <c r="CU71" s="24" t="n"/>
      <c r="CV71" s="24" t="n"/>
      <c r="CW71" s="24" t="n"/>
      <c r="CX71" s="24" t="n"/>
      <c r="CY71" s="24" t="n"/>
      <c r="CZ71" s="24" t="n"/>
      <c r="DA71" s="24" t="n"/>
      <c r="DB71" s="24" t="n"/>
      <c r="DC71" s="24" t="n"/>
      <c r="DD71" s="24" t="n"/>
      <c r="DE71" s="24" t="n"/>
      <c r="DF71" s="24" t="n"/>
      <c r="DG71" s="24" t="n"/>
      <c r="DH71" s="24" t="n"/>
      <c r="DI71" s="24" t="n"/>
      <c r="DJ71" s="24" t="inlineStr">
        <is>
          <t>0.45045</t>
        </is>
      </c>
      <c r="DK71" s="24" t="n"/>
      <c r="DL71" s="24" t="n"/>
      <c r="DM71" s="24" t="n"/>
      <c r="DN71" s="24" t="n"/>
      <c r="DO71" s="24" t="n"/>
      <c r="DP71" s="24" t="n"/>
      <c r="DQ71" s="24" t="n"/>
    </row>
    <row r="72" ht="36" customHeight="1">
      <c r="A72" s="24" t="inlineStr">
        <is>
          <t>8ce14383d66e4ffb</t>
        </is>
      </c>
      <c r="B72" s="24" t="inlineStr">
        <is>
          <t>2026-09-04T04:37:13.946922Z</t>
        </is>
      </c>
      <c r="C72" s="24" t="inlineStr">
        <is>
          <t>2026-09-04T08:00:00Z</t>
        </is>
      </c>
      <c r="D72" s="24" t="inlineStr">
        <is>
          <t>100346</t>
        </is>
      </c>
      <c r="E72" s="24" t="inlineStr">
        <is>
          <t>VALORANT</t>
        </is>
      </c>
      <c r="F72" s="24" t="inlineStr">
        <is>
          <t>Global Esports</t>
        </is>
      </c>
      <c r="G72" s="24" t="inlineStr">
        <is>
          <t>Nongshim RedForce</t>
        </is>
      </c>
      <c r="H72" s="24" t="inlineStr">
        <is>
          <t>moneyline</t>
        </is>
      </c>
      <c r="I72" s="24" t="inlineStr">
        <is>
          <t>home</t>
        </is>
      </c>
      <c r="J72" s="25" t="n"/>
      <c r="K72" s="24" t="inlineStr">
        <is>
          <t>polymarket_us</t>
        </is>
      </c>
      <c r="L72" s="26" t="n">
        <v>-170</v>
      </c>
      <c r="M72" s="27" t="n">
        <v>1.588235</v>
      </c>
      <c r="N72" s="28" t="n">
        <v>0.62963</v>
      </c>
      <c r="O72" s="28" t="n">
        <v>0.665814</v>
      </c>
      <c r="P72" s="28" t="n"/>
      <c r="Q72" s="28" t="n">
        <v>0.036184</v>
      </c>
      <c r="R72" s="26" t="n">
        <v>38</v>
      </c>
      <c r="S72" s="29" t="n">
        <v>1</v>
      </c>
      <c r="T72" s="24" t="inlineStr">
        <is>
          <t>valorant-tiered-elo-v6</t>
        </is>
      </c>
      <c r="U72" s="24" t="inlineStr">
        <is>
          <t>settled</t>
        </is>
      </c>
      <c r="V72" s="24" t="inlineStr">
        <is>
          <t>win</t>
        </is>
      </c>
      <c r="W72" s="26" t="n">
        <v>0</v>
      </c>
      <c r="X72" s="26" t="n">
        <v>1</v>
      </c>
      <c r="Y72" s="25" t="n"/>
      <c r="Z72" s="26" t="n">
        <v>-170</v>
      </c>
      <c r="AA72" s="28" t="n">
        <v>0.63</v>
      </c>
      <c r="AB72" s="28" t="n">
        <v>0.00037</v>
      </c>
      <c r="AC72" s="30" t="n">
        <v>0.5881999999999999</v>
      </c>
      <c r="AD72" s="24" t="inlineStr">
        <is>
          <t>2026-09-04T16:02:04.329220Z</t>
        </is>
      </c>
      <c r="AE72" s="31" t="inlineStr">
        <is>
          <t>Neutral Elo baseline; executable ask 0.6300 (market_slug=aec-valorant-ns-ge-2026-09-04).</t>
        </is>
      </c>
      <c r="AF72" s="31" t="inlineStr">
        <is>
          <t>Config-promoted esports baseline; gates enforced at log time.</t>
        </is>
      </c>
      <c r="AG72" s="24" t="inlineStr">
        <is>
          <t>not_applicable</t>
        </is>
      </c>
      <c r="AH72" s="24" t="n"/>
      <c r="AI72" s="31" t="n"/>
      <c r="AJ72" s="31" t="n"/>
      <c r="AK72" s="24" t="inlineStr">
        <is>
          <t>model_qualified</t>
        </is>
      </c>
      <c r="AL72" s="26" t="n">
        <v>4</v>
      </c>
      <c r="AM72" s="24" t="inlineStr">
        <is>
          <t>QUALIFIED_SHADOW_CALL</t>
        </is>
      </c>
      <c r="AN72" s="24" t="inlineStr">
        <is>
          <t>CALL</t>
        </is>
      </c>
      <c r="AO72" s="24" t="inlineStr">
        <is>
          <t>QUALIFIED</t>
        </is>
      </c>
      <c r="AP72" s="24" t="inlineStr">
        <is>
          <t>Global Esports</t>
        </is>
      </c>
      <c r="AQ72" s="24" t="inlineStr">
        <is>
          <t>Global Esports</t>
        </is>
      </c>
      <c r="AR72" s="24" t="inlineStr">
        <is>
          <t>Global Esports</t>
        </is>
      </c>
      <c r="AS72" s="24" t="inlineStr">
        <is>
          <t>Nongshim RedForce</t>
        </is>
      </c>
      <c r="AT72" s="24" t="inlineStr">
        <is>
          <t>Nongshim RedForce</t>
        </is>
      </c>
      <c r="AU72" s="24" t="inlineStr">
        <is>
          <t>Nongshim RedForce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shadow_qualified</t>
        </is>
      </c>
      <c r="BA72" s="24" t="inlineStr">
        <is>
          <t>06b1fa13784ba821b86eb5b63bbbc33823f976f96e48666c1144d845a17bea63</t>
        </is>
      </c>
      <c r="BB72" s="24" t="inlineStr">
        <is>
          <t>neutral_elo</t>
        </is>
      </c>
      <c r="BC72" s="24" t="inlineStr">
        <is>
          <t>valorant-tiered-elo-v6</t>
        </is>
      </c>
      <c r="BD72" s="24" t="inlineStr">
        <is>
          <t>06b1fa13784ba821b86eb5b63bbbc33823f976f96e48666c1144d845a17bea63</t>
        </is>
      </c>
      <c r="BE72" s="24" t="inlineStr">
        <is>
          <t>1</t>
        </is>
      </c>
      <c r="BF72" s="24" t="inlineStr">
        <is>
          <t>1</t>
        </is>
      </c>
      <c r="BG72" s="24" t="inlineStr">
        <is>
          <t>valorant-tiered-elo-v6</t>
        </is>
      </c>
      <c r="BH72" s="24" t="inlineStr">
        <is>
          <t>2026-09-04T04:37:12.796163Z</t>
        </is>
      </c>
      <c r="BI72" s="24" t="inlineStr">
        <is>
          <t>["same_event","same_team_same_day","same_league_same_day"]</t>
        </is>
      </c>
      <c r="BJ72" s="25" t="n"/>
      <c r="BK72" s="26" t="n">
        <v>-170</v>
      </c>
      <c r="BL72" s="27" t="n">
        <v>1.588235</v>
      </c>
      <c r="BM72" s="28" t="n">
        <v>0.62963</v>
      </c>
      <c r="BN72" s="28" t="n"/>
      <c r="BO72" s="28" t="n"/>
      <c r="BP72" s="25" t="n"/>
      <c r="BQ72" s="27" t="n">
        <v>1.588235</v>
      </c>
      <c r="BR72" s="28" t="n">
        <v>0.63</v>
      </c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24" t="n"/>
      <c r="CN72" s="24" t="n"/>
      <c r="CO72" s="24" t="n"/>
      <c r="CP72" s="24" t="n"/>
      <c r="CQ72" s="24" t="n"/>
      <c r="CR72" s="24" t="n"/>
      <c r="CS72" s="24" t="inlineStr">
        <is>
          <t>True</t>
        </is>
      </c>
      <c r="CT72" s="24" t="n"/>
      <c r="CU72" s="24" t="n"/>
      <c r="CV72" s="24" t="n"/>
      <c r="CW72" s="24" t="n"/>
      <c r="CX72" s="24" t="n"/>
      <c r="CY72" s="24" t="n"/>
      <c r="CZ72" s="24" t="n"/>
      <c r="DA72" s="24" t="n"/>
      <c r="DB72" s="24" t="n"/>
      <c r="DC72" s="24" t="n"/>
      <c r="DD72" s="24" t="n"/>
      <c r="DE72" s="24" t="n"/>
      <c r="DF72" s="24" t="n"/>
      <c r="DG72" s="24" t="n"/>
      <c r="DH72" s="24" t="n"/>
      <c r="DI72" s="24" t="n"/>
      <c r="DJ72" s="24" t="inlineStr">
        <is>
          <t>0.62963</t>
        </is>
      </c>
      <c r="DK72" s="24" t="n"/>
      <c r="DL72" s="24" t="n"/>
      <c r="DM72" s="24" t="n"/>
      <c r="DN72" s="24" t="n"/>
      <c r="DO72" s="24" t="n"/>
      <c r="DP72" s="24" t="n"/>
      <c r="DQ72" s="24" t="n"/>
    </row>
    <row r="73" ht="36" customHeight="1">
      <c r="A73" s="24" t="inlineStr">
        <is>
          <t>17d3ae9ec72844c2</t>
        </is>
      </c>
      <c r="B73" s="24" t="inlineStr">
        <is>
          <t>2026-09-04T10:04:45.588674Z</t>
        </is>
      </c>
      <c r="C73" s="24" t="inlineStr">
        <is>
          <t>2026-09-04T11:00:00Z</t>
        </is>
      </c>
      <c r="D73" s="24" t="inlineStr">
        <is>
          <t>100349</t>
        </is>
      </c>
      <c r="E73" s="24" t="inlineStr">
        <is>
          <t>VALORANT</t>
        </is>
      </c>
      <c r="F73" s="24" t="inlineStr">
        <is>
          <t>T1</t>
        </is>
      </c>
      <c r="G73" s="24" t="inlineStr">
        <is>
          <t>VARREL</t>
        </is>
      </c>
      <c r="H73" s="24" t="inlineStr">
        <is>
          <t>moneyline</t>
        </is>
      </c>
      <c r="I73" s="24" t="inlineStr">
        <is>
          <t>away</t>
        </is>
      </c>
      <c r="J73" s="25" t="n"/>
      <c r="K73" s="24" t="inlineStr">
        <is>
          <t>polymarket_us</t>
        </is>
      </c>
      <c r="L73" s="26" t="n">
        <v>-213</v>
      </c>
      <c r="M73" s="27" t="n">
        <v>1.469484</v>
      </c>
      <c r="N73" s="28" t="n">
        <v>0.680511</v>
      </c>
      <c r="O73" s="28" t="n">
        <v>0.660566</v>
      </c>
      <c r="P73" s="28" t="n"/>
      <c r="Q73" s="28" t="n">
        <v>-0.019945</v>
      </c>
      <c r="R73" s="26" t="n">
        <v>10</v>
      </c>
      <c r="S73" s="29" t="n">
        <v>1</v>
      </c>
      <c r="T73" s="24" t="inlineStr">
        <is>
          <t>valorant-tiered-elo-v6</t>
        </is>
      </c>
      <c r="U73" s="24" t="inlineStr">
        <is>
          <t>settled</t>
        </is>
      </c>
      <c r="V73" s="24" t="inlineStr">
        <is>
          <t>win</t>
        </is>
      </c>
      <c r="W73" s="26" t="n">
        <v>1</v>
      </c>
      <c r="X73" s="26" t="n">
        <v>0</v>
      </c>
      <c r="Y73" s="25" t="n"/>
      <c r="Z73" s="26" t="n">
        <v>-213</v>
      </c>
      <c r="AA73" s="28" t="n">
        <v>0.68</v>
      </c>
      <c r="AB73" s="28" t="n">
        <v>-0.000511</v>
      </c>
      <c r="AC73" s="30" t="n">
        <v>0.4695</v>
      </c>
      <c r="AD73" s="24" t="inlineStr">
        <is>
          <t>2026-09-04T16:02:04.605108Z</t>
        </is>
      </c>
      <c r="AE73" s="31" t="inlineStr">
        <is>
          <t>Neutral Elo baseline; executable ask 0.6800 (market_slug=aec-valorant-var-t1-2026-09-04).</t>
        </is>
      </c>
      <c r="AF73" s="31" t="inlineStr">
        <is>
          <t>Config-promoted esports baseline; gates enforced at log time.</t>
        </is>
      </c>
      <c r="AG73" s="24" t="inlineStr">
        <is>
          <t>not_applicable</t>
        </is>
      </c>
      <c r="AH73" s="24" t="n"/>
      <c r="AI73" s="31" t="n"/>
      <c r="AJ73" s="31" t="n"/>
      <c r="AK73" s="24" t="inlineStr">
        <is>
          <t>paper_call</t>
        </is>
      </c>
      <c r="AL73" s="26" t="n">
        <v>4</v>
      </c>
      <c r="AM73" s="24" t="inlineStr">
        <is>
          <t>RESEARCH_OBSERVATION</t>
        </is>
      </c>
      <c r="AN73" s="24" t="inlineStr">
        <is>
          <t>CALL</t>
        </is>
      </c>
      <c r="AO73" s="24" t="inlineStr">
        <is>
          <t>PAPER_CALL_LOW_EDGE</t>
        </is>
      </c>
      <c r="AP73" s="24" t="inlineStr">
        <is>
          <t>T1</t>
        </is>
      </c>
      <c r="AQ73" s="24" t="inlineStr">
        <is>
          <t>T1</t>
        </is>
      </c>
      <c r="AR73" s="24" t="inlineStr">
        <is>
          <t>T1</t>
        </is>
      </c>
      <c r="AS73" s="24" t="inlineStr">
        <is>
          <t>VARREL</t>
        </is>
      </c>
      <c r="AT73" s="24" t="inlineStr">
        <is>
          <t>VARREL</t>
        </is>
      </c>
      <c r="AU73" s="24" t="inlineStr">
        <is>
          <t>VARREL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shadow_qualified</t>
        </is>
      </c>
      <c r="BA73" s="24" t="inlineStr">
        <is>
          <t>2c3dc071196e7692c5695be08ee680a151796e58bd600c88cb3a63f2611bc666</t>
        </is>
      </c>
      <c r="BB73" s="24" t="inlineStr">
        <is>
          <t>neutral_elo</t>
        </is>
      </c>
      <c r="BC73" s="24" t="inlineStr">
        <is>
          <t>valorant-tiered-elo-v6</t>
        </is>
      </c>
      <c r="BD73" s="24" t="inlineStr">
        <is>
          <t>2c3dc071196e7692c5695be08ee680a151796e58bd600c88cb3a63f2611bc666</t>
        </is>
      </c>
      <c r="BE73" s="24" t="inlineStr">
        <is>
          <t>1</t>
        </is>
      </c>
      <c r="BF73" s="24" t="inlineStr">
        <is>
          <t>1</t>
        </is>
      </c>
      <c r="BG73" s="24" t="inlineStr">
        <is>
          <t>valorant-tiered-elo-v6</t>
        </is>
      </c>
      <c r="BH73" s="24" t="inlineStr">
        <is>
          <t>2026-09-04T10:04:44.146410Z</t>
        </is>
      </c>
      <c r="BI73" s="24" t="inlineStr">
        <is>
          <t>["same_event","same_team_same_day","same_league_same_day"]</t>
        </is>
      </c>
      <c r="BJ73" s="25" t="n"/>
      <c r="BK73" s="26" t="n">
        <v>-213</v>
      </c>
      <c r="BL73" s="27" t="n">
        <v>1.469484</v>
      </c>
      <c r="BM73" s="28" t="n">
        <v>0.680511</v>
      </c>
      <c r="BN73" s="28" t="n"/>
      <c r="BO73" s="28" t="n"/>
      <c r="BP73" s="25" t="n"/>
      <c r="BQ73" s="27" t="n">
        <v>1.469484</v>
      </c>
      <c r="BR73" s="28" t="n">
        <v>0.68</v>
      </c>
      <c r="BS73" s="28" t="n"/>
      <c r="BT73" s="28" t="n"/>
      <c r="BU73" s="25" t="n"/>
      <c r="BV73" s="29" t="n"/>
      <c r="BW73" s="24" t="n"/>
      <c r="BX73" s="30" t="n"/>
      <c r="BY73" s="27" t="n"/>
      <c r="BZ73" s="24" t="n"/>
      <c r="CA73" s="31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  <c r="CP73" s="24" t="n"/>
      <c r="CQ73" s="24" t="n"/>
      <c r="CR73" s="24" t="n"/>
      <c r="CS73" s="24" t="inlineStr">
        <is>
          <t>False</t>
        </is>
      </c>
      <c r="CT73" s="24" t="n"/>
      <c r="CU73" s="24" t="n"/>
      <c r="CV73" s="24" t="n"/>
      <c r="CW73" s="24" t="n"/>
      <c r="CX73" s="24" t="n"/>
      <c r="CY73" s="24" t="n"/>
      <c r="CZ73" s="24" t="n"/>
      <c r="DA73" s="24" t="n"/>
      <c r="DB73" s="24" t="n"/>
      <c r="DC73" s="24" t="n"/>
      <c r="DD73" s="24" t="n"/>
      <c r="DE73" s="24" t="n"/>
      <c r="DF73" s="24" t="n"/>
      <c r="DG73" s="24" t="n"/>
      <c r="DH73" s="24" t="n"/>
      <c r="DI73" s="24" t="n"/>
      <c r="DJ73" s="24" t="inlineStr">
        <is>
          <t>0.680511</t>
        </is>
      </c>
      <c r="DK73" s="24" t="n"/>
      <c r="DL73" s="24" t="n"/>
      <c r="DM73" s="24" t="n"/>
      <c r="DN73" s="24" t="n"/>
      <c r="DO73" s="24" t="n"/>
      <c r="DP73" s="24" t="n"/>
      <c r="DQ73" s="24" t="n"/>
    </row>
    <row r="74" ht="36" customHeight="1">
      <c r="A74" s="24" t="inlineStr">
        <is>
          <t>55301245ddb049eb</t>
        </is>
      </c>
      <c r="B74" s="24" t="inlineStr">
        <is>
          <t>2026-09-04T10:04:45.588674Z</t>
        </is>
      </c>
      <c r="C74" s="24" t="inlineStr">
        <is>
          <t>2026-09-04T15:00:00Z</t>
        </is>
      </c>
      <c r="D74" s="24" t="inlineStr">
        <is>
          <t>101691</t>
        </is>
      </c>
      <c r="E74" s="24" t="inlineStr">
        <is>
          <t>VALORANT</t>
        </is>
      </c>
      <c r="F74" s="24" t="inlineStr">
        <is>
          <t>SGE Vision</t>
        </is>
      </c>
      <c r="G74" s="24" t="inlineStr">
        <is>
          <t>Glacial Guardians</t>
        </is>
      </c>
      <c r="H74" s="24" t="inlineStr">
        <is>
          <t>moneyline</t>
        </is>
      </c>
      <c r="I74" s="24" t="inlineStr">
        <is>
          <t>home</t>
        </is>
      </c>
      <c r="J74" s="25" t="n"/>
      <c r="K74" s="24" t="inlineStr">
        <is>
          <t>polymarket_us</t>
        </is>
      </c>
      <c r="L74" s="26" t="n">
        <v>133</v>
      </c>
      <c r="M74" s="27" t="n">
        <v>2.33</v>
      </c>
      <c r="N74" s="28" t="n">
        <v>0.429185</v>
      </c>
      <c r="O74" s="28" t="n">
        <v>0.503423</v>
      </c>
      <c r="P74" s="28" t="n"/>
      <c r="Q74" s="28" t="n">
        <v>0.074238</v>
      </c>
      <c r="R74" s="26" t="n">
        <v>57</v>
      </c>
      <c r="S74" s="29" t="n">
        <v>1.25</v>
      </c>
      <c r="T74" s="24" t="inlineStr">
        <is>
          <t>valorant-tiered-elo-v6</t>
        </is>
      </c>
      <c r="U74" s="24" t="inlineStr">
        <is>
          <t>settled</t>
        </is>
      </c>
      <c r="V74" s="24" t="inlineStr">
        <is>
          <t>win</t>
        </is>
      </c>
      <c r="W74" s="26" t="n">
        <v>0</v>
      </c>
      <c r="X74" s="26" t="n">
        <v>1</v>
      </c>
      <c r="Y74" s="25" t="n"/>
      <c r="Z74" s="26" t="n">
        <v>133</v>
      </c>
      <c r="AA74" s="28" t="n">
        <v>0.43</v>
      </c>
      <c r="AB74" s="28" t="n">
        <v>0.000815</v>
      </c>
      <c r="AC74" s="30" t="n">
        <v>1.6625</v>
      </c>
      <c r="AD74" s="24" t="inlineStr">
        <is>
          <t>2026-09-04T22:02:02.477162Z</t>
        </is>
      </c>
      <c r="AE74" s="31" t="inlineStr">
        <is>
          <t>Neutral Elo baseline; executable ask 0.4300 (market_slug=aec-valorant-gg-svg-2026-09-04).</t>
        </is>
      </c>
      <c r="AF74" s="31" t="inlineStr">
        <is>
          <t>Config-promoted esports baseline; gates enforced at log time.</t>
        </is>
      </c>
      <c r="AG74" s="24" t="inlineStr">
        <is>
          <t>not_applicable</t>
        </is>
      </c>
      <c r="AH74" s="24" t="n"/>
      <c r="AI74" s="31" t="n"/>
      <c r="AJ74" s="31" t="n"/>
      <c r="AK74" s="24" t="inlineStr">
        <is>
          <t>model_qualified</t>
        </is>
      </c>
      <c r="AL74" s="26" t="n">
        <v>4</v>
      </c>
      <c r="AM74" s="24" t="inlineStr">
        <is>
          <t>QUALIFIED_SHADOW_CALL</t>
        </is>
      </c>
      <c r="AN74" s="24" t="inlineStr">
        <is>
          <t>CALL</t>
        </is>
      </c>
      <c r="AO74" s="24" t="inlineStr">
        <is>
          <t>QUALIFIED</t>
        </is>
      </c>
      <c r="AP74" s="24" t="inlineStr">
        <is>
          <t>SGE Vision</t>
        </is>
      </c>
      <c r="AQ74" s="24" t="inlineStr">
        <is>
          <t>SGE Vision</t>
        </is>
      </c>
      <c r="AR74" s="24" t="inlineStr">
        <is>
          <t>SGE Vision</t>
        </is>
      </c>
      <c r="AS74" s="24" t="inlineStr">
        <is>
          <t>Glacial Guardians</t>
        </is>
      </c>
      <c r="AT74" s="24" t="inlineStr">
        <is>
          <t>Glacial Guardians</t>
        </is>
      </c>
      <c r="AU74" s="24" t="inlineStr">
        <is>
          <t>Glacial Guardians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shadow_qualified</t>
        </is>
      </c>
      <c r="BA74" s="24" t="inlineStr">
        <is>
          <t>2c3dc071196e7692c5695be08ee680a151796e58bd600c88cb3a63f2611bc666</t>
        </is>
      </c>
      <c r="BB74" s="24" t="inlineStr">
        <is>
          <t>neutral_elo</t>
        </is>
      </c>
      <c r="BC74" s="24" t="inlineStr">
        <is>
          <t>valorant-tiered-elo-v6</t>
        </is>
      </c>
      <c r="BD74" s="24" t="inlineStr">
        <is>
          <t>2c3dc071196e7692c5695be08ee680a151796e58bd600c88cb3a63f2611bc666</t>
        </is>
      </c>
      <c r="BE74" s="24" t="inlineStr">
        <is>
          <t>1</t>
        </is>
      </c>
      <c r="BF74" s="24" t="inlineStr">
        <is>
          <t>1</t>
        </is>
      </c>
      <c r="BG74" s="24" t="inlineStr">
        <is>
          <t>valorant-tiered-elo-v6</t>
        </is>
      </c>
      <c r="BH74" s="24" t="inlineStr">
        <is>
          <t>2026-09-04T10:04:44.801287Z</t>
        </is>
      </c>
      <c r="BI74" s="24" t="inlineStr">
        <is>
          <t>["same_event","same_team_same_day","same_league_same_day"]</t>
        </is>
      </c>
      <c r="BJ74" s="25" t="n"/>
      <c r="BK74" s="26" t="n">
        <v>133</v>
      </c>
      <c r="BL74" s="27" t="n">
        <v>2.33</v>
      </c>
      <c r="BM74" s="28" t="n">
        <v>0.429185</v>
      </c>
      <c r="BN74" s="28" t="n"/>
      <c r="BO74" s="28" t="n"/>
      <c r="BP74" s="25" t="n"/>
      <c r="BQ74" s="27" t="n">
        <v>2.33</v>
      </c>
      <c r="BR74" s="28" t="n">
        <v>0.43</v>
      </c>
      <c r="BS74" s="28" t="n"/>
      <c r="BT74" s="28" t="n"/>
      <c r="BU74" s="25" t="n"/>
      <c r="BV74" s="29" t="n"/>
      <c r="BW74" s="24" t="n"/>
      <c r="BX74" s="30" t="n"/>
      <c r="BY74" s="27" t="n"/>
      <c r="BZ74" s="24" t="n"/>
      <c r="CA74" s="31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  <c r="CP74" s="24" t="n"/>
      <c r="CQ74" s="24" t="n"/>
      <c r="CR74" s="24" t="n"/>
      <c r="CS74" s="24" t="inlineStr">
        <is>
          <t>True</t>
        </is>
      </c>
      <c r="CT74" s="24" t="n"/>
      <c r="CU74" s="24" t="n"/>
      <c r="CV74" s="24" t="n"/>
      <c r="CW74" s="24" t="n"/>
      <c r="CX74" s="24" t="n"/>
      <c r="CY74" s="24" t="n"/>
      <c r="CZ74" s="24" t="n"/>
      <c r="DA74" s="24" t="n"/>
      <c r="DB74" s="24" t="n"/>
      <c r="DC74" s="24" t="n"/>
      <c r="DD74" s="24" t="n"/>
      <c r="DE74" s="24" t="n"/>
      <c r="DF74" s="24" t="n"/>
      <c r="DG74" s="24" t="n"/>
      <c r="DH74" s="24" t="n"/>
      <c r="DI74" s="24" t="n"/>
      <c r="DJ74" s="24" t="inlineStr">
        <is>
          <t>0.429185</t>
        </is>
      </c>
      <c r="DK74" s="24" t="n"/>
      <c r="DL74" s="24" t="n"/>
      <c r="DM74" s="24" t="n"/>
      <c r="DN74" s="24" t="n"/>
      <c r="DO74" s="24" t="n"/>
      <c r="DP74" s="24" t="n"/>
      <c r="DQ74" s="24" t="n"/>
    </row>
    <row r="75" ht="36" customHeight="1">
      <c r="A75" s="24" t="inlineStr">
        <is>
          <t>7b6f5c0cfcc34593</t>
        </is>
      </c>
      <c r="B75" s="24" t="inlineStr">
        <is>
          <t>2026-09-04T10:04:45.588674Z</t>
        </is>
      </c>
      <c r="C75" s="24" t="inlineStr">
        <is>
          <t>2026-09-04T15:00:00Z</t>
        </is>
      </c>
      <c r="D75" s="24" t="inlineStr">
        <is>
          <t>102169</t>
        </is>
      </c>
      <c r="E75" s="24" t="inlineStr">
        <is>
          <t>VALORANT</t>
        </is>
      </c>
      <c r="F75" s="24" t="inlineStr">
        <is>
          <t>SGE &amp; Friends</t>
        </is>
      </c>
      <c r="G75" s="24" t="inlineStr">
        <is>
          <t>BERG</t>
        </is>
      </c>
      <c r="H75" s="24" t="inlineStr">
        <is>
          <t>moneyline</t>
        </is>
      </c>
      <c r="I75" s="24" t="inlineStr">
        <is>
          <t>home</t>
        </is>
      </c>
      <c r="J75" s="25" t="n"/>
      <c r="K75" s="24" t="inlineStr">
        <is>
          <t>polymarket_us</t>
        </is>
      </c>
      <c r="L75" s="26" t="n">
        <v>223</v>
      </c>
      <c r="M75" s="27" t="n">
        <v>3.23</v>
      </c>
      <c r="N75" s="28" t="n">
        <v>0.309598</v>
      </c>
      <c r="O75" s="28" t="n">
        <v>0.509748</v>
      </c>
      <c r="P75" s="28" t="n"/>
      <c r="Q75" s="28" t="n">
        <v>0.20015</v>
      </c>
      <c r="R75" s="26" t="n">
        <v>100</v>
      </c>
      <c r="S75" s="29" t="n">
        <v>2</v>
      </c>
      <c r="T75" s="24" t="inlineStr">
        <is>
          <t>valorant-tiered-elo-v6</t>
        </is>
      </c>
      <c r="U75" s="24" t="inlineStr">
        <is>
          <t>settled</t>
        </is>
      </c>
      <c r="V75" s="24" t="inlineStr">
        <is>
          <t>win</t>
        </is>
      </c>
      <c r="W75" s="26" t="n">
        <v>0</v>
      </c>
      <c r="X75" s="26" t="n">
        <v>1</v>
      </c>
      <c r="Y75" s="25" t="n"/>
      <c r="Z75" s="26" t="n">
        <v>223</v>
      </c>
      <c r="AA75" s="28" t="n">
        <v>0.31</v>
      </c>
      <c r="AB75" s="28" t="n">
        <v>0.000402</v>
      </c>
      <c r="AC75" s="30" t="n">
        <v>4.46</v>
      </c>
      <c r="AD75" s="24" t="inlineStr">
        <is>
          <t>2026-09-04T22:02:02.711157Z</t>
        </is>
      </c>
      <c r="AE75" s="31" t="inlineStr">
        <is>
          <t>Neutral Elo baseline; executable ask 0.3100 (market_slug=aec-valorant-berg-sfg-2026-09-04).</t>
        </is>
      </c>
      <c r="AF75" s="31" t="inlineStr">
        <is>
          <t>Config-promoted esports baseline; gates enforced at log time.</t>
        </is>
      </c>
      <c r="AG75" s="24" t="inlineStr">
        <is>
          <t>not_applicable</t>
        </is>
      </c>
      <c r="AH75" s="24" t="n"/>
      <c r="AI75" s="31" t="n"/>
      <c r="AJ75" s="31" t="n"/>
      <c r="AK75" s="24" t="inlineStr">
        <is>
          <t>paper_call</t>
        </is>
      </c>
      <c r="AL75" s="26" t="n">
        <v>4</v>
      </c>
      <c r="AM75" s="24" t="inlineStr">
        <is>
          <t>RESEARCH_OBSERVATION</t>
        </is>
      </c>
      <c r="AN75" s="24" t="inlineStr">
        <is>
          <t>CALL</t>
        </is>
      </c>
      <c r="AO75" s="24" t="inlineStr">
        <is>
          <t>PAPER_CALL_MODEL_UNVALIDATED</t>
        </is>
      </c>
      <c r="AP75" s="24" t="inlineStr">
        <is>
          <t>SGE &amp; Friends</t>
        </is>
      </c>
      <c r="AQ75" s="24" t="inlineStr">
        <is>
          <t>SGE &amp; Friends</t>
        </is>
      </c>
      <c r="AR75" s="24" t="inlineStr">
        <is>
          <t>SGE &amp; Friends</t>
        </is>
      </c>
      <c r="AS75" s="24" t="inlineStr">
        <is>
          <t>BERG</t>
        </is>
      </c>
      <c r="AT75" s="24" t="inlineStr">
        <is>
          <t>BERG</t>
        </is>
      </c>
      <c r="AU75" s="24" t="inlineStr">
        <is>
          <t>BERG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shadow_qualified</t>
        </is>
      </c>
      <c r="BA75" s="24" t="inlineStr">
        <is>
          <t>2c3dc071196e7692c5695be08ee680a151796e58bd600c88cb3a63f2611bc666</t>
        </is>
      </c>
      <c r="BB75" s="24" t="inlineStr">
        <is>
          <t>neutral_elo</t>
        </is>
      </c>
      <c r="BC75" s="24" t="inlineStr">
        <is>
          <t>valorant-tiered-elo-v6</t>
        </is>
      </c>
      <c r="BD75" s="24" t="inlineStr">
        <is>
          <t>2c3dc071196e7692c5695be08ee680a151796e58bd600c88cb3a63f2611bc666</t>
        </is>
      </c>
      <c r="BE75" s="24" t="inlineStr">
        <is>
          <t>1</t>
        </is>
      </c>
      <c r="BF75" s="24" t="inlineStr">
        <is>
          <t>1</t>
        </is>
      </c>
      <c r="BG75" s="24" t="inlineStr">
        <is>
          <t>valorant-tiered-elo-v6</t>
        </is>
      </c>
      <c r="BH75" s="24" t="inlineStr">
        <is>
          <t>2026-09-04T10:04:44.862073Z</t>
        </is>
      </c>
      <c r="BI75" s="24" t="inlineStr">
        <is>
          <t>["same_event","same_team_same_day","same_league_same_day"]</t>
        </is>
      </c>
      <c r="BJ75" s="25" t="n"/>
      <c r="BK75" s="26" t="n">
        <v>223</v>
      </c>
      <c r="BL75" s="27" t="n">
        <v>3.23</v>
      </c>
      <c r="BM75" s="28" t="n">
        <v>0.309598</v>
      </c>
      <c r="BN75" s="28" t="n"/>
      <c r="BO75" s="28" t="n"/>
      <c r="BP75" s="25" t="n"/>
      <c r="BQ75" s="27" t="n">
        <v>3.23</v>
      </c>
      <c r="BR75" s="28" t="n">
        <v>0.31</v>
      </c>
      <c r="BS75" s="28" t="n"/>
      <c r="BT75" s="28" t="n"/>
      <c r="BU75" s="25" t="n"/>
      <c r="BV75" s="29" t="n"/>
      <c r="BW75" s="24" t="n"/>
      <c r="BX75" s="30" t="n"/>
      <c r="BY75" s="27" t="n"/>
      <c r="BZ75" s="24" t="n"/>
      <c r="CA75" s="31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  <c r="CP75" s="24" t="n"/>
      <c r="CQ75" s="24" t="n"/>
      <c r="CR75" s="24" t="n"/>
      <c r="CS75" s="24" t="inlineStr">
        <is>
          <t>True</t>
        </is>
      </c>
      <c r="CT75" s="24" t="n"/>
      <c r="CU75" s="24" t="n"/>
      <c r="CV75" s="24" t="n"/>
      <c r="CW75" s="24" t="n"/>
      <c r="CX75" s="24" t="n"/>
      <c r="CY75" s="24" t="n"/>
      <c r="CZ75" s="24" t="n"/>
      <c r="DA75" s="24" t="n"/>
      <c r="DB75" s="24" t="n"/>
      <c r="DC75" s="24" t="n"/>
      <c r="DD75" s="24" t="n"/>
      <c r="DE75" s="24" t="n"/>
      <c r="DF75" s="24" t="n"/>
      <c r="DG75" s="24" t="n"/>
      <c r="DH75" s="24" t="n"/>
      <c r="DI75" s="24" t="n"/>
      <c r="DJ75" s="24" t="inlineStr">
        <is>
          <t>0.309598</t>
        </is>
      </c>
      <c r="DK75" s="24" t="n"/>
      <c r="DL75" s="24" t="n"/>
      <c r="DM75" s="24" t="n"/>
      <c r="DN75" s="24" t="n"/>
      <c r="DO75" s="24" t="n"/>
      <c r="DP75" s="24" t="n"/>
      <c r="DQ75" s="24" t="n"/>
    </row>
    <row r="76" ht="36" customHeight="1">
      <c r="A76" s="24" t="inlineStr">
        <is>
          <t>567ed280f1374a4f</t>
        </is>
      </c>
      <c r="B76" s="24" t="inlineStr">
        <is>
          <t>2026-09-04T10:04:45.588674Z</t>
        </is>
      </c>
      <c r="C76" s="24" t="inlineStr">
        <is>
          <t>2026-09-04T15:00:00Z</t>
        </is>
      </c>
      <c r="D76" s="24" t="inlineStr">
        <is>
          <t>102091</t>
        </is>
      </c>
      <c r="E76" s="24" t="inlineStr">
        <is>
          <t>VALORANT</t>
        </is>
      </c>
      <c r="F76" s="24" t="inlineStr">
        <is>
          <t>ALTERNATE aTTaX</t>
        </is>
      </c>
      <c r="G76" s="24" t="inlineStr">
        <is>
          <t>HooK Esport</t>
        </is>
      </c>
      <c r="H76" s="24" t="inlineStr">
        <is>
          <t>moneyline</t>
        </is>
      </c>
      <c r="I76" s="24" t="inlineStr">
        <is>
          <t>home</t>
        </is>
      </c>
      <c r="J76" s="25" t="n"/>
      <c r="K76" s="24" t="inlineStr">
        <is>
          <t>polymarket_us</t>
        </is>
      </c>
      <c r="L76" s="26" t="n">
        <v>212</v>
      </c>
      <c r="M76" s="27" t="n">
        <v>3.12</v>
      </c>
      <c r="N76" s="28" t="n">
        <v>0.320513</v>
      </c>
      <c r="O76" s="28" t="n">
        <v>0.530815</v>
      </c>
      <c r="P76" s="28" t="n"/>
      <c r="Q76" s="28" t="n">
        <v>0.210302</v>
      </c>
      <c r="R76" s="26" t="n">
        <v>100</v>
      </c>
      <c r="S76" s="29" t="n">
        <v>2</v>
      </c>
      <c r="T76" s="24" t="inlineStr">
        <is>
          <t>valorant-tiered-elo-v6</t>
        </is>
      </c>
      <c r="U76" s="24" t="inlineStr">
        <is>
          <t>settled</t>
        </is>
      </c>
      <c r="V76" s="24" t="inlineStr">
        <is>
          <t>win</t>
        </is>
      </c>
      <c r="W76" s="26" t="n">
        <v>0</v>
      </c>
      <c r="X76" s="26" t="n">
        <v>1</v>
      </c>
      <c r="Y76" s="25" t="n"/>
      <c r="Z76" s="26" t="n">
        <v>212</v>
      </c>
      <c r="AA76" s="28" t="n">
        <v>0.32</v>
      </c>
      <c r="AB76" s="28" t="n">
        <v>-0.000513</v>
      </c>
      <c r="AC76" s="30" t="n">
        <v>4.24</v>
      </c>
      <c r="AD76" s="24" t="inlineStr">
        <is>
          <t>2026-09-04T22:02:02.967346Z</t>
        </is>
      </c>
      <c r="AE76" s="31" t="inlineStr">
        <is>
          <t>Neutral Elo baseline; executable ask 0.3200 (market_slug=aec-valorant-hk-attax-2026-09-04).</t>
        </is>
      </c>
      <c r="AF76" s="31" t="inlineStr">
        <is>
          <t>Config-promoted esports baseline; gates enforced at log time.</t>
        </is>
      </c>
      <c r="AG76" s="24" t="inlineStr">
        <is>
          <t>not_applicable</t>
        </is>
      </c>
      <c r="AH76" s="24" t="n"/>
      <c r="AI76" s="31" t="n"/>
      <c r="AJ76" s="31" t="n"/>
      <c r="AK76" s="24" t="inlineStr">
        <is>
          <t>model_qualified</t>
        </is>
      </c>
      <c r="AL76" s="26" t="n">
        <v>4</v>
      </c>
      <c r="AM76" s="24" t="inlineStr">
        <is>
          <t>QUALIFIED_SHADOW_CALL</t>
        </is>
      </c>
      <c r="AN76" s="24" t="inlineStr">
        <is>
          <t>CALL</t>
        </is>
      </c>
      <c r="AO76" s="24" t="inlineStr">
        <is>
          <t>QUALIFIED</t>
        </is>
      </c>
      <c r="AP76" s="24" t="inlineStr">
        <is>
          <t>ALTERNATE aTTaX</t>
        </is>
      </c>
      <c r="AQ76" s="24" t="inlineStr">
        <is>
          <t>ALTERNATE aTTaX</t>
        </is>
      </c>
      <c r="AR76" s="24" t="inlineStr">
        <is>
          <t>ALTERNATE aTTaX</t>
        </is>
      </c>
      <c r="AS76" s="24" t="inlineStr">
        <is>
          <t>HooK Esport</t>
        </is>
      </c>
      <c r="AT76" s="24" t="inlineStr">
        <is>
          <t>HooK Esport</t>
        </is>
      </c>
      <c r="AU76" s="24" t="inlineStr">
        <is>
          <t>HooK Esport</t>
        </is>
      </c>
      <c r="AV76" s="24" t="n"/>
      <c r="AW76" s="24" t="n"/>
      <c r="AX76" s="24" t="inlineStr">
        <is>
          <t>statistical_model</t>
        </is>
      </c>
      <c r="AY76" s="24" t="n"/>
      <c r="AZ76" s="24" t="inlineStr">
        <is>
          <t>shadow_qualified</t>
        </is>
      </c>
      <c r="BA76" s="24" t="inlineStr">
        <is>
          <t>2c3dc071196e7692c5695be08ee680a151796e58bd600c88cb3a63f2611bc666</t>
        </is>
      </c>
      <c r="BB76" s="24" t="inlineStr">
        <is>
          <t>neutral_elo</t>
        </is>
      </c>
      <c r="BC76" s="24" t="inlineStr">
        <is>
          <t>valorant-tiered-elo-v6</t>
        </is>
      </c>
      <c r="BD76" s="24" t="inlineStr">
        <is>
          <t>2c3dc071196e7692c5695be08ee680a151796e58bd600c88cb3a63f2611bc666</t>
        </is>
      </c>
      <c r="BE76" s="24" t="inlineStr">
        <is>
          <t>1</t>
        </is>
      </c>
      <c r="BF76" s="24" t="inlineStr">
        <is>
          <t>1</t>
        </is>
      </c>
      <c r="BG76" s="24" t="inlineStr">
        <is>
          <t>valorant-tiered-elo-v6</t>
        </is>
      </c>
      <c r="BH76" s="24" t="inlineStr">
        <is>
          <t>2026-09-04T10:04:44.996386Z</t>
        </is>
      </c>
      <c r="BI76" s="24" t="inlineStr">
        <is>
          <t>["same_event","same_team_same_day","same_league_same_day"]</t>
        </is>
      </c>
      <c r="BJ76" s="25" t="n"/>
      <c r="BK76" s="26" t="n">
        <v>212</v>
      </c>
      <c r="BL76" s="27" t="n">
        <v>3.12</v>
      </c>
      <c r="BM76" s="28" t="n">
        <v>0.320513</v>
      </c>
      <c r="BN76" s="28" t="n"/>
      <c r="BO76" s="28" t="n"/>
      <c r="BP76" s="25" t="n"/>
      <c r="BQ76" s="27" t="n">
        <v>3.12</v>
      </c>
      <c r="BR76" s="28" t="n">
        <v>0.32</v>
      </c>
      <c r="BS76" s="28" t="n"/>
      <c r="BT76" s="28" t="n"/>
      <c r="BU76" s="25" t="n"/>
      <c r="BV76" s="29" t="n"/>
      <c r="BW76" s="24" t="n"/>
      <c r="BX76" s="30" t="n"/>
      <c r="BY76" s="27" t="n"/>
      <c r="BZ76" s="24" t="n"/>
      <c r="CA76" s="31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inlineStr">
        <is>
          <t>True</t>
        </is>
      </c>
      <c r="CT76" s="24" t="n"/>
      <c r="CU76" s="24" t="n"/>
      <c r="CV76" s="24" t="n"/>
      <c r="CW76" s="24" t="n"/>
      <c r="CX76" s="24" t="n"/>
      <c r="CY76" s="24" t="n"/>
      <c r="CZ76" s="24" t="n"/>
      <c r="DA76" s="24" t="n"/>
      <c r="DB76" s="24" t="n"/>
      <c r="DC76" s="24" t="n"/>
      <c r="DD76" s="24" t="n"/>
      <c r="DE76" s="24" t="n"/>
      <c r="DF76" s="24" t="n"/>
      <c r="DG76" s="24" t="n"/>
      <c r="DH76" s="24" t="n"/>
      <c r="DI76" s="24" t="n"/>
      <c r="DJ76" s="24" t="inlineStr">
        <is>
          <t>0.320513</t>
        </is>
      </c>
      <c r="DK76" s="24" t="n"/>
      <c r="DL76" s="24" t="n"/>
      <c r="DM76" s="24" t="n"/>
      <c r="DN76" s="24" t="n"/>
      <c r="DO76" s="24" t="n"/>
      <c r="DP76" s="24" t="n"/>
      <c r="DQ76" s="24" t="n"/>
    </row>
    <row r="77" ht="36" customHeight="1">
      <c r="A77" s="24" t="inlineStr">
        <is>
          <t>d00fb9ec9ef54b4d</t>
        </is>
      </c>
      <c r="B77" s="24" t="inlineStr">
        <is>
          <t>2026-09-04T16:13:40.340542Z</t>
        </is>
      </c>
      <c r="C77" s="24" t="inlineStr">
        <is>
          <t>2026-09-04T17:00:00Z</t>
        </is>
      </c>
      <c r="D77" s="24" t="inlineStr">
        <is>
          <t>100350</t>
        </is>
      </c>
      <c r="E77" s="24" t="inlineStr">
        <is>
          <t>VALORANT</t>
        </is>
      </c>
      <c r="F77" s="24" t="inlineStr">
        <is>
          <t>100 Thieves</t>
        </is>
      </c>
      <c r="G77" s="24" t="inlineStr">
        <is>
          <t>NRG</t>
        </is>
      </c>
      <c r="H77" s="24" t="inlineStr">
        <is>
          <t>moneyline</t>
        </is>
      </c>
      <c r="I77" s="24" t="inlineStr">
        <is>
          <t>home</t>
        </is>
      </c>
      <c r="J77" s="25" t="n"/>
      <c r="K77" s="24" t="inlineStr">
        <is>
          <t>polymarket_us</t>
        </is>
      </c>
      <c r="L77" s="26" t="n">
        <v>-117</v>
      </c>
      <c r="M77" s="27" t="n">
        <v>1.854701</v>
      </c>
      <c r="N77" s="28" t="n">
        <v>0.539171</v>
      </c>
      <c r="O77" s="28" t="n">
        <v>0.527559</v>
      </c>
      <c r="P77" s="28" t="n"/>
      <c r="Q77" s="28" t="n">
        <v>-0.011612</v>
      </c>
      <c r="R77" s="26" t="n">
        <v>14</v>
      </c>
      <c r="S77" s="29" t="n">
        <v>1</v>
      </c>
      <c r="T77" s="24" t="inlineStr">
        <is>
          <t>valorant-tiered-elo-v6</t>
        </is>
      </c>
      <c r="U77" s="24" t="inlineStr">
        <is>
          <t>settled</t>
        </is>
      </c>
      <c r="V77" s="24" t="inlineStr">
        <is>
          <t>loss</t>
        </is>
      </c>
      <c r="W77" s="26" t="n">
        <v>1</v>
      </c>
      <c r="X77" s="26" t="n">
        <v>0</v>
      </c>
      <c r="Y77" s="25" t="n"/>
      <c r="Z77" s="26" t="n">
        <v>-117</v>
      </c>
      <c r="AA77" s="28" t="n">
        <v>0.54</v>
      </c>
      <c r="AB77" s="28" t="n">
        <v>0.000829</v>
      </c>
      <c r="AC77" s="30" t="n">
        <v>-1</v>
      </c>
      <c r="AD77" s="24" t="inlineStr">
        <is>
          <t>2026-09-04T22:02:03.233643Z</t>
        </is>
      </c>
      <c r="AE77" s="31" t="inlineStr">
        <is>
          <t>Neutral Elo baseline; executable ask 0.5400 (market_slug=aec-valorant-nrg-100t-2026-09-04).</t>
        </is>
      </c>
      <c r="AF77" s="31" t="inlineStr">
        <is>
          <t>Config-promoted esports baseline; gates enforced at log time.</t>
        </is>
      </c>
      <c r="AG77" s="24" t="inlineStr">
        <is>
          <t>review_required</t>
        </is>
      </c>
      <c r="AH77" s="24" t="n"/>
      <c r="AI77" s="31" t="n"/>
      <c r="AJ77" s="31" t="n"/>
      <c r="AK77" s="24" t="inlineStr">
        <is>
          <t>paper_call</t>
        </is>
      </c>
      <c r="AL77" s="26" t="n">
        <v>4</v>
      </c>
      <c r="AM77" s="24" t="inlineStr">
        <is>
          <t>RESEARCH_OBSERVATION</t>
        </is>
      </c>
      <c r="AN77" s="24" t="inlineStr">
        <is>
          <t>CALL</t>
        </is>
      </c>
      <c r="AO77" s="24" t="inlineStr">
        <is>
          <t>PAPER_CALL_LOW_EDGE</t>
        </is>
      </c>
      <c r="AP77" s="24" t="inlineStr">
        <is>
          <t>100 Thieves</t>
        </is>
      </c>
      <c r="AQ77" s="24" t="inlineStr">
        <is>
          <t>100 Thieves</t>
        </is>
      </c>
      <c r="AR77" s="24" t="inlineStr">
        <is>
          <t>100 Thieves</t>
        </is>
      </c>
      <c r="AS77" s="24" t="inlineStr">
        <is>
          <t>NRG</t>
        </is>
      </c>
      <c r="AT77" s="24" t="inlineStr">
        <is>
          <t>NRG</t>
        </is>
      </c>
      <c r="AU77" s="24" t="inlineStr">
        <is>
          <t>NRG</t>
        </is>
      </c>
      <c r="AV77" s="24" t="n"/>
      <c r="AW77" s="24" t="n"/>
      <c r="AX77" s="24" t="inlineStr">
        <is>
          <t>statistical_model</t>
        </is>
      </c>
      <c r="AY77" s="24" t="n"/>
      <c r="AZ77" s="24" t="inlineStr">
        <is>
          <t>shadow_qualified</t>
        </is>
      </c>
      <c r="BA77" s="24" t="inlineStr">
        <is>
          <t>8a8391bcbbc25dfbaee70d63ec84c32debebf3a33b36e6d19a1d37821783ecd1</t>
        </is>
      </c>
      <c r="BB77" s="24" t="inlineStr">
        <is>
          <t>neutral_elo</t>
        </is>
      </c>
      <c r="BC77" s="24" t="inlineStr">
        <is>
          <t>valorant-tiered-elo-v6</t>
        </is>
      </c>
      <c r="BD77" s="24" t="inlineStr">
        <is>
          <t>8a8391bcbbc25dfbaee70d63ec84c32debebf3a33b36e6d19a1d37821783ecd1</t>
        </is>
      </c>
      <c r="BE77" s="24" t="inlineStr">
        <is>
          <t>1</t>
        </is>
      </c>
      <c r="BF77" s="24" t="inlineStr">
        <is>
          <t>1</t>
        </is>
      </c>
      <c r="BG77" s="24" t="inlineStr">
        <is>
          <t>valorant-tiered-elo-v6</t>
        </is>
      </c>
      <c r="BH77" s="24" t="inlineStr">
        <is>
          <t>2026-09-04T16:13:39.897276Z</t>
        </is>
      </c>
      <c r="BI77" s="24" t="inlineStr">
        <is>
          <t>["same_event","same_team_same_day","same_league_same_day"]</t>
        </is>
      </c>
      <c r="BJ77" s="25" t="n"/>
      <c r="BK77" s="26" t="n">
        <v>-117</v>
      </c>
      <c r="BL77" s="27" t="n">
        <v>1.854701</v>
      </c>
      <c r="BM77" s="28" t="n">
        <v>0.539171</v>
      </c>
      <c r="BN77" s="28" t="n"/>
      <c r="BO77" s="28" t="n"/>
      <c r="BP77" s="25" t="n"/>
      <c r="BQ77" s="27" t="n">
        <v>1.854701</v>
      </c>
      <c r="BR77" s="28" t="n">
        <v>0.54</v>
      </c>
      <c r="BS77" s="28" t="n"/>
      <c r="BT77" s="28" t="n"/>
      <c r="BU77" s="25" t="n"/>
      <c r="BV77" s="29" t="n"/>
      <c r="BW77" s="24" t="n"/>
      <c r="BX77" s="30" t="n"/>
      <c r="BY77" s="27" t="n"/>
      <c r="BZ77" s="24" t="n"/>
      <c r="CA77" s="31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n"/>
      <c r="CQ77" s="24" t="n"/>
      <c r="CR77" s="24" t="n"/>
      <c r="CS77" s="24" t="inlineStr">
        <is>
          <t>False</t>
        </is>
      </c>
      <c r="CT77" s="24" t="n"/>
      <c r="CU77" s="24" t="n"/>
      <c r="CV77" s="24" t="n"/>
      <c r="CW77" s="24" t="n"/>
      <c r="CX77" s="24" t="n"/>
      <c r="CY77" s="24" t="n"/>
      <c r="CZ77" s="24" t="n"/>
      <c r="DA77" s="24" t="n"/>
      <c r="DB77" s="24" t="n"/>
      <c r="DC77" s="24" t="n"/>
      <c r="DD77" s="24" t="n"/>
      <c r="DE77" s="24" t="n"/>
      <c r="DF77" s="24" t="n"/>
      <c r="DG77" s="24" t="n"/>
      <c r="DH77" s="24" t="n"/>
      <c r="DI77" s="24" t="n"/>
      <c r="DJ77" s="24" t="inlineStr">
        <is>
          <t>0.539171</t>
        </is>
      </c>
      <c r="DK77" s="24" t="n"/>
      <c r="DL77" s="24" t="n"/>
      <c r="DM77" s="24" t="n"/>
      <c r="DN77" s="24" t="n"/>
      <c r="DO77" s="24" t="n"/>
      <c r="DP77" s="24" t="n"/>
      <c r="DQ77" s="24" t="n"/>
    </row>
    <row r="78" ht="36" customHeight="1">
      <c r="A78" s="24" t="inlineStr">
        <is>
          <t>47da02884ad9480c</t>
        </is>
      </c>
      <c r="B78" s="24" t="inlineStr">
        <is>
          <t>2026-09-04T16:13:40.340542Z</t>
        </is>
      </c>
      <c r="C78" s="24" t="inlineStr">
        <is>
          <t>2026-09-04T20:00:00Z</t>
        </is>
      </c>
      <c r="D78" s="24" t="inlineStr">
        <is>
          <t>100351</t>
        </is>
      </c>
      <c r="E78" s="24" t="inlineStr">
        <is>
          <t>VALORANT</t>
        </is>
      </c>
      <c r="F78" s="24" t="inlineStr">
        <is>
          <t>LOUD</t>
        </is>
      </c>
      <c r="G78" s="24" t="inlineStr">
        <is>
          <t>G2 Esports</t>
        </is>
      </c>
      <c r="H78" s="24" t="inlineStr">
        <is>
          <t>moneyline</t>
        </is>
      </c>
      <c r="I78" s="24" t="inlineStr">
        <is>
          <t>home</t>
        </is>
      </c>
      <c r="J78" s="25" t="n"/>
      <c r="K78" s="24" t="inlineStr">
        <is>
          <t>polymarket_us</t>
        </is>
      </c>
      <c r="L78" s="26" t="n">
        <v>-156</v>
      </c>
      <c r="M78" s="27" t="n">
        <v>1.641026</v>
      </c>
      <c r="N78" s="28" t="n">
        <v>0.609375</v>
      </c>
      <c r="O78" s="28" t="n">
        <v>0.642665</v>
      </c>
      <c r="P78" s="28" t="n"/>
      <c r="Q78" s="28" t="n">
        <v>0.03329</v>
      </c>
      <c r="R78" s="26" t="n">
        <v>37</v>
      </c>
      <c r="S78" s="29" t="n">
        <v>1</v>
      </c>
      <c r="T78" s="24" t="inlineStr">
        <is>
          <t>valorant-tiered-elo-v6</t>
        </is>
      </c>
      <c r="U78" s="24" t="inlineStr">
        <is>
          <t>settled</t>
        </is>
      </c>
      <c r="V78" s="24" t="inlineStr">
        <is>
          <t>loss</t>
        </is>
      </c>
      <c r="W78" s="26" t="n">
        <v>1</v>
      </c>
      <c r="X78" s="26" t="n">
        <v>0</v>
      </c>
      <c r="Y78" s="25" t="n"/>
      <c r="Z78" s="26" t="n">
        <v>-156</v>
      </c>
      <c r="AA78" s="28" t="n">
        <v>0.61</v>
      </c>
      <c r="AB78" s="28" t="n">
        <v>0.000625</v>
      </c>
      <c r="AC78" s="30" t="n">
        <v>-1</v>
      </c>
      <c r="AD78" s="24" t="inlineStr">
        <is>
          <t>2026-09-04T22:02:03.478575Z</t>
        </is>
      </c>
      <c r="AE78" s="31" t="inlineStr">
        <is>
          <t>Neutral Elo baseline; executable ask 0.6100 (market_slug=aec-valorant-g2-loud-2026-09-04).</t>
        </is>
      </c>
      <c r="AF78" s="31" t="inlineStr">
        <is>
          <t>Config-promoted esports baseline; gates enforced at log time.</t>
        </is>
      </c>
      <c r="AG78" s="24" t="inlineStr">
        <is>
          <t>review_required</t>
        </is>
      </c>
      <c r="AH78" s="24" t="n"/>
      <c r="AI78" s="31" t="n"/>
      <c r="AJ78" s="31" t="n"/>
      <c r="AK78" s="24" t="inlineStr">
        <is>
          <t>model_qualified</t>
        </is>
      </c>
      <c r="AL78" s="26" t="n">
        <v>4</v>
      </c>
      <c r="AM78" s="24" t="inlineStr">
        <is>
          <t>QUALIFIED_SHADOW_CALL</t>
        </is>
      </c>
      <c r="AN78" s="24" t="inlineStr">
        <is>
          <t>CALL</t>
        </is>
      </c>
      <c r="AO78" s="24" t="inlineStr">
        <is>
          <t>QUALIFIED</t>
        </is>
      </c>
      <c r="AP78" s="24" t="inlineStr">
        <is>
          <t>LOUD</t>
        </is>
      </c>
      <c r="AQ78" s="24" t="inlineStr">
        <is>
          <t>LOUD</t>
        </is>
      </c>
      <c r="AR78" s="24" t="inlineStr">
        <is>
          <t>LOUD</t>
        </is>
      </c>
      <c r="AS78" s="24" t="inlineStr">
        <is>
          <t>G2 Esports</t>
        </is>
      </c>
      <c r="AT78" s="24" t="inlineStr">
        <is>
          <t>G2 Esports</t>
        </is>
      </c>
      <c r="AU78" s="24" t="inlineStr">
        <is>
          <t>G2 Esports</t>
        </is>
      </c>
      <c r="AV78" s="24" t="n"/>
      <c r="AW78" s="24" t="n"/>
      <c r="AX78" s="24" t="inlineStr">
        <is>
          <t>statistical_model</t>
        </is>
      </c>
      <c r="AY78" s="24" t="n"/>
      <c r="AZ78" s="24" t="inlineStr">
        <is>
          <t>shadow_qualified</t>
        </is>
      </c>
      <c r="BA78" s="24" t="inlineStr">
        <is>
          <t>8a8391bcbbc25dfbaee70d63ec84c32debebf3a33b36e6d19a1d37821783ecd1</t>
        </is>
      </c>
      <c r="BB78" s="24" t="inlineStr">
        <is>
          <t>neutral_elo</t>
        </is>
      </c>
      <c r="BC78" s="24" t="inlineStr">
        <is>
          <t>valorant-tiered-elo-v6</t>
        </is>
      </c>
      <c r="BD78" s="24" t="inlineStr">
        <is>
          <t>8a8391bcbbc25dfbaee70d63ec84c32debebf3a33b36e6d19a1d37821783ecd1</t>
        </is>
      </c>
      <c r="BE78" s="24" t="inlineStr">
        <is>
          <t>1</t>
        </is>
      </c>
      <c r="BF78" s="24" t="inlineStr">
        <is>
          <t>1</t>
        </is>
      </c>
      <c r="BG78" s="24" t="inlineStr">
        <is>
          <t>valorant-tiered-elo-v6</t>
        </is>
      </c>
      <c r="BH78" s="24" t="inlineStr">
        <is>
          <t>2026-09-04T16:13:40.099953Z</t>
        </is>
      </c>
      <c r="BI78" s="24" t="inlineStr">
        <is>
          <t>["same_event","same_team_same_day","same_league_same_day"]</t>
        </is>
      </c>
      <c r="BJ78" s="25" t="n"/>
      <c r="BK78" s="26" t="n">
        <v>-156</v>
      </c>
      <c r="BL78" s="27" t="n">
        <v>1.641026</v>
      </c>
      <c r="BM78" s="28" t="n">
        <v>0.609375</v>
      </c>
      <c r="BN78" s="28" t="n"/>
      <c r="BO78" s="28" t="n"/>
      <c r="BP78" s="25" t="n"/>
      <c r="BQ78" s="27" t="n">
        <v>1.641026</v>
      </c>
      <c r="BR78" s="28" t="n">
        <v>0.61</v>
      </c>
      <c r="BS78" s="28" t="n"/>
      <c r="BT78" s="28" t="n"/>
      <c r="BU78" s="25" t="n"/>
      <c r="BV78" s="29" t="n"/>
      <c r="BW78" s="24" t="n"/>
      <c r="BX78" s="30" t="n"/>
      <c r="BY78" s="27" t="n"/>
      <c r="BZ78" s="24" t="n"/>
      <c r="CA78" s="31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  <c r="CN78" s="24" t="n"/>
      <c r="CO78" s="24" t="n"/>
      <c r="CP78" s="24" t="n"/>
      <c r="CQ78" s="24" t="n"/>
      <c r="CR78" s="24" t="n"/>
      <c r="CS78" s="24" t="inlineStr">
        <is>
          <t>True</t>
        </is>
      </c>
      <c r="CT78" s="24" t="n"/>
      <c r="CU78" s="24" t="n"/>
      <c r="CV78" s="24" t="n"/>
      <c r="CW78" s="24" t="n"/>
      <c r="CX78" s="24" t="n"/>
      <c r="CY78" s="24" t="n"/>
      <c r="CZ78" s="24" t="n"/>
      <c r="DA78" s="24" t="n"/>
      <c r="DB78" s="24" t="n"/>
      <c r="DC78" s="24" t="n"/>
      <c r="DD78" s="24" t="n"/>
      <c r="DE78" s="24" t="n"/>
      <c r="DF78" s="24" t="n"/>
      <c r="DG78" s="24" t="n"/>
      <c r="DH78" s="24" t="n"/>
      <c r="DI78" s="24" t="n"/>
      <c r="DJ78" s="24" t="inlineStr">
        <is>
          <t>0.609375</t>
        </is>
      </c>
      <c r="DK78" s="24" t="n"/>
      <c r="DL78" s="24" t="n"/>
      <c r="DM78" s="24" t="n"/>
      <c r="DN78" s="24" t="n"/>
      <c r="DO78" s="24" t="n"/>
      <c r="DP78" s="24" t="n"/>
      <c r="DQ78" s="24" t="n"/>
    </row>
    <row r="79" ht="36" customHeight="1">
      <c r="A79" s="24" t="inlineStr">
        <is>
          <t>4483c2a003ff419e</t>
        </is>
      </c>
      <c r="B79" s="24" t="inlineStr">
        <is>
          <t>2026-09-05T04:44:16.551004Z</t>
        </is>
      </c>
      <c r="C79" s="24" t="inlineStr">
        <is>
          <t>2026-09-05T08:00:00Z</t>
        </is>
      </c>
      <c r="D79" s="24" t="inlineStr">
        <is>
          <t>102385</t>
        </is>
      </c>
      <c r="E79" s="24" t="inlineStr">
        <is>
          <t>VALORANT</t>
        </is>
      </c>
      <c r="F79" s="24" t="inlineStr">
        <is>
          <t>T1</t>
        </is>
      </c>
      <c r="G79" s="24" t="inlineStr">
        <is>
          <t>Global Esports</t>
        </is>
      </c>
      <c r="H79" s="24" t="inlineStr">
        <is>
          <t>moneyline</t>
        </is>
      </c>
      <c r="I79" s="24" t="inlineStr">
        <is>
          <t>away</t>
        </is>
      </c>
      <c r="J79" s="25" t="n"/>
      <c r="K79" s="24" t="inlineStr">
        <is>
          <t>polymarket_us</t>
        </is>
      </c>
      <c r="L79" s="26" t="n">
        <v>-163</v>
      </c>
      <c r="M79" s="27" t="n">
        <v>1.613497</v>
      </c>
      <c r="N79" s="28" t="n">
        <v>0.619772</v>
      </c>
      <c r="O79" s="28" t="n">
        <v>0.592992</v>
      </c>
      <c r="P79" s="28" t="n"/>
      <c r="Q79" s="28" t="n">
        <v>-0.02678</v>
      </c>
      <c r="R79" s="26" t="n">
        <v>7</v>
      </c>
      <c r="S79" s="29" t="n">
        <v>1</v>
      </c>
      <c r="T79" s="24" t="inlineStr">
        <is>
          <t>valorant-tiered-elo-v6</t>
        </is>
      </c>
      <c r="U79" s="24" t="inlineStr">
        <is>
          <t>settled</t>
        </is>
      </c>
      <c r="V79" s="24" t="inlineStr">
        <is>
          <t>loss</t>
        </is>
      </c>
      <c r="W79" s="26" t="n">
        <v>0</v>
      </c>
      <c r="X79" s="26" t="n">
        <v>1</v>
      </c>
      <c r="Y79" s="25" t="n"/>
      <c r="Z79" s="26" t="n">
        <v>-163</v>
      </c>
      <c r="AA79" s="28" t="n">
        <v>0.62</v>
      </c>
      <c r="AB79" s="28" t="n">
        <v>0.000228</v>
      </c>
      <c r="AC79" s="30" t="n">
        <v>-1</v>
      </c>
      <c r="AD79" s="24" t="inlineStr">
        <is>
          <t>2026-09-05T16:02:10.524814Z</t>
        </is>
      </c>
      <c r="AE79" s="31" t="inlineStr">
        <is>
          <t>Neutral Elo baseline; executable ask 0.6200 (market_slug=aec-valorant-ge-t1-2026-09-05).</t>
        </is>
      </c>
      <c r="AF79" s="31" t="inlineStr">
        <is>
          <t>Config-promoted esports baseline; gates enforced at log time.</t>
        </is>
      </c>
      <c r="AG79" s="24" t="inlineStr">
        <is>
          <t>review_required</t>
        </is>
      </c>
      <c r="AH79" s="24" t="n"/>
      <c r="AI79" s="31" t="n"/>
      <c r="AJ79" s="31" t="n"/>
      <c r="AK79" s="24" t="inlineStr">
        <is>
          <t>paper_call</t>
        </is>
      </c>
      <c r="AL79" s="26" t="n">
        <v>4</v>
      </c>
      <c r="AM79" s="24" t="inlineStr">
        <is>
          <t>RESEARCH_OBSERVATION</t>
        </is>
      </c>
      <c r="AN79" s="24" t="inlineStr">
        <is>
          <t>CALL</t>
        </is>
      </c>
      <c r="AO79" s="24" t="inlineStr">
        <is>
          <t>PAPER_CALL_LOW_EDGE</t>
        </is>
      </c>
      <c r="AP79" s="24" t="inlineStr">
        <is>
          <t>T1</t>
        </is>
      </c>
      <c r="AQ79" s="24" t="inlineStr">
        <is>
          <t>T1</t>
        </is>
      </c>
      <c r="AR79" s="24" t="inlineStr">
        <is>
          <t>T1</t>
        </is>
      </c>
      <c r="AS79" s="24" t="inlineStr">
        <is>
          <t>Global Esports</t>
        </is>
      </c>
      <c r="AT79" s="24" t="inlineStr">
        <is>
          <t>Global Esports</t>
        </is>
      </c>
      <c r="AU79" s="24" t="inlineStr">
        <is>
          <t>Global Esports</t>
        </is>
      </c>
      <c r="AV79" s="24" t="n"/>
      <c r="AW79" s="24" t="n"/>
      <c r="AX79" s="24" t="inlineStr">
        <is>
          <t>statistical_model</t>
        </is>
      </c>
      <c r="AY79" s="24" t="n"/>
      <c r="AZ79" s="24" t="inlineStr">
        <is>
          <t>shadow_qualified</t>
        </is>
      </c>
      <c r="BA79" s="24" t="inlineStr">
        <is>
          <t>1f3c410bb61680adf350af62aba9f107a8af831cdcaafa9ef7a529c027dea105</t>
        </is>
      </c>
      <c r="BB79" s="24" t="inlineStr">
        <is>
          <t>neutral_elo</t>
        </is>
      </c>
      <c r="BC79" s="24" t="inlineStr">
        <is>
          <t>valorant-tiered-elo-v6</t>
        </is>
      </c>
      <c r="BD79" s="24" t="inlineStr">
        <is>
          <t>1f3c410bb61680adf350af62aba9f107a8af831cdcaafa9ef7a529c027dea105</t>
        </is>
      </c>
      <c r="BE79" s="24" t="inlineStr">
        <is>
          <t>1</t>
        </is>
      </c>
      <c r="BF79" s="24" t="inlineStr">
        <is>
          <t>1</t>
        </is>
      </c>
      <c r="BG79" s="24" t="inlineStr">
        <is>
          <t>valorant-tiered-elo-v6</t>
        </is>
      </c>
      <c r="BH79" s="24" t="inlineStr">
        <is>
          <t>2026-09-05T04:44:15.917567Z</t>
        </is>
      </c>
      <c r="BI79" s="24" t="inlineStr">
        <is>
          <t>["same_event","same_team_same_day","same_league_same_day"]</t>
        </is>
      </c>
      <c r="BJ79" s="25" t="n"/>
      <c r="BK79" s="26" t="n">
        <v>-163</v>
      </c>
      <c r="BL79" s="27" t="n">
        <v>1.613497</v>
      </c>
      <c r="BM79" s="28" t="n">
        <v>0.619772</v>
      </c>
      <c r="BN79" s="28" t="n"/>
      <c r="BO79" s="28" t="n"/>
      <c r="BP79" s="25" t="n"/>
      <c r="BQ79" s="27" t="n">
        <v>1.613497</v>
      </c>
      <c r="BR79" s="28" t="n">
        <v>0.62</v>
      </c>
      <c r="BS79" s="28" t="n"/>
      <c r="BT79" s="28" t="n"/>
      <c r="BU79" s="25" t="n"/>
      <c r="BV79" s="29" t="n"/>
      <c r="BW79" s="24" t="n"/>
      <c r="BX79" s="30" t="n"/>
      <c r="BY79" s="27" t="n"/>
      <c r="BZ79" s="24" t="n"/>
      <c r="CA79" s="31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4" t="n"/>
      <c r="CO79" s="24" t="n"/>
      <c r="CP79" s="24" t="n"/>
      <c r="CQ79" s="24" t="n"/>
      <c r="CR79" s="24" t="n"/>
      <c r="CS79" s="24" t="inlineStr">
        <is>
          <t>False</t>
        </is>
      </c>
      <c r="CT79" s="24" t="n"/>
      <c r="CU79" s="24" t="n"/>
      <c r="CV79" s="24" t="n"/>
      <c r="CW79" s="24" t="n"/>
      <c r="CX79" s="24" t="n"/>
      <c r="CY79" s="24" t="n"/>
      <c r="CZ79" s="24" t="n"/>
      <c r="DA79" s="24" t="n"/>
      <c r="DB79" s="24" t="n"/>
      <c r="DC79" s="24" t="n"/>
      <c r="DD79" s="24" t="n"/>
      <c r="DE79" s="24" t="n"/>
      <c r="DF79" s="24" t="n"/>
      <c r="DG79" s="24" t="n"/>
      <c r="DH79" s="24" t="n"/>
      <c r="DI79" s="24" t="n"/>
      <c r="DJ79" s="24" t="inlineStr">
        <is>
          <t>0.619772</t>
        </is>
      </c>
      <c r="DK79" s="24" t="n"/>
      <c r="DL79" s="24" t="n"/>
      <c r="DM79" s="24" t="n"/>
      <c r="DN79" s="24" t="n"/>
      <c r="DO79" s="24" t="n"/>
      <c r="DP79" s="24" t="n"/>
      <c r="DQ79" s="24" t="n"/>
    </row>
    <row r="80" ht="36" customHeight="1">
      <c r="A80" s="24" t="inlineStr">
        <is>
          <t>a06f3a5a95c44139</t>
        </is>
      </c>
      <c r="B80" s="24" t="inlineStr">
        <is>
          <t>2026-09-05T04:44:16.551004Z</t>
        </is>
      </c>
      <c r="C80" s="24" t="inlineStr">
        <is>
          <t>2026-09-05T09:00:00Z</t>
        </is>
      </c>
      <c r="D80" s="24" t="inlineStr">
        <is>
          <t>100352</t>
        </is>
      </c>
      <c r="E80" s="24" t="inlineStr">
        <is>
          <t>VALORANT</t>
        </is>
      </c>
      <c r="F80" s="24" t="inlineStr">
        <is>
          <t>EDward Gaming</t>
        </is>
      </c>
      <c r="G80" s="24" t="inlineStr">
        <is>
          <t>Nova Esports</t>
        </is>
      </c>
      <c r="H80" s="24" t="inlineStr">
        <is>
          <t>moneyline</t>
        </is>
      </c>
      <c r="I80" s="24" t="inlineStr">
        <is>
          <t>home</t>
        </is>
      </c>
      <c r="J80" s="25" t="n"/>
      <c r="K80" s="24" t="inlineStr">
        <is>
          <t>polymarket_us</t>
        </is>
      </c>
      <c r="L80" s="26" t="n">
        <v>-127</v>
      </c>
      <c r="M80" s="27" t="n">
        <v>1.787402</v>
      </c>
      <c r="N80" s="28" t="n">
        <v>0.5594710000000001</v>
      </c>
      <c r="O80" s="28" t="n">
        <v>0.617429</v>
      </c>
      <c r="P80" s="28" t="n"/>
      <c r="Q80" s="28" t="n">
        <v>0.057958</v>
      </c>
      <c r="R80" s="26" t="n">
        <v>49</v>
      </c>
      <c r="S80" s="29" t="n">
        <v>1</v>
      </c>
      <c r="T80" s="24" t="inlineStr">
        <is>
          <t>valorant-tiered-elo-v6</t>
        </is>
      </c>
      <c r="U80" s="24" t="inlineStr">
        <is>
          <t>settled</t>
        </is>
      </c>
      <c r="V80" s="24" t="inlineStr">
        <is>
          <t>win</t>
        </is>
      </c>
      <c r="W80" s="26" t="n">
        <v>0</v>
      </c>
      <c r="X80" s="26" t="n">
        <v>1</v>
      </c>
      <c r="Y80" s="25" t="n"/>
      <c r="Z80" s="26" t="n">
        <v>-127</v>
      </c>
      <c r="AA80" s="28" t="n">
        <v>0.5600000000000001</v>
      </c>
      <c r="AB80" s="28" t="n">
        <v>0.000529</v>
      </c>
      <c r="AC80" s="30" t="n">
        <v>0.7874</v>
      </c>
      <c r="AD80" s="24" t="inlineStr">
        <is>
          <t>2026-09-05T16:02:11.156102Z</t>
        </is>
      </c>
      <c r="AE80" s="31" t="inlineStr">
        <is>
          <t>Neutral Elo baseline; executable ask 0.5600 (market_slug=aec-valorant-nova-edg-2026-09-05).</t>
        </is>
      </c>
      <c r="AF80" s="31" t="inlineStr">
        <is>
          <t>Config-promoted esports baseline; gates enforced at log time.</t>
        </is>
      </c>
      <c r="AG80" s="24" t="inlineStr">
        <is>
          <t>not_applicable</t>
        </is>
      </c>
      <c r="AH80" s="24" t="n"/>
      <c r="AI80" s="31" t="n"/>
      <c r="AJ80" s="31" t="n"/>
      <c r="AK80" s="24" t="inlineStr">
        <is>
          <t>model_qualified</t>
        </is>
      </c>
      <c r="AL80" s="26" t="n">
        <v>4</v>
      </c>
      <c r="AM80" s="24" t="inlineStr">
        <is>
          <t>QUALIFIED_SHADOW_CALL</t>
        </is>
      </c>
      <c r="AN80" s="24" t="inlineStr">
        <is>
          <t>CALL</t>
        </is>
      </c>
      <c r="AO80" s="24" t="inlineStr">
        <is>
          <t>QUALIFIED</t>
        </is>
      </c>
      <c r="AP80" s="24" t="inlineStr">
        <is>
          <t>EDward Gaming</t>
        </is>
      </c>
      <c r="AQ80" s="24" t="inlineStr">
        <is>
          <t>EDward Gaming</t>
        </is>
      </c>
      <c r="AR80" s="24" t="inlineStr">
        <is>
          <t>EDward Gaming</t>
        </is>
      </c>
      <c r="AS80" s="24" t="inlineStr">
        <is>
          <t>Nova Esports</t>
        </is>
      </c>
      <c r="AT80" s="24" t="inlineStr">
        <is>
          <t>Nova Esports</t>
        </is>
      </c>
      <c r="AU80" s="24" t="inlineStr">
        <is>
          <t>Nova Esports</t>
        </is>
      </c>
      <c r="AV80" s="24" t="n"/>
      <c r="AW80" s="24" t="n"/>
      <c r="AX80" s="24" t="inlineStr">
        <is>
          <t>statistical_model</t>
        </is>
      </c>
      <c r="AY80" s="24" t="n"/>
      <c r="AZ80" s="24" t="inlineStr">
        <is>
          <t>shadow_qualified</t>
        </is>
      </c>
      <c r="BA80" s="24" t="inlineStr">
        <is>
          <t>1f3c410bb61680adf350af62aba9f107a8af831cdcaafa9ef7a529c027dea105</t>
        </is>
      </c>
      <c r="BB80" s="24" t="inlineStr">
        <is>
          <t>neutral_elo</t>
        </is>
      </c>
      <c r="BC80" s="24" t="inlineStr">
        <is>
          <t>valorant-tiered-elo-v6</t>
        </is>
      </c>
      <c r="BD80" s="24" t="inlineStr">
        <is>
          <t>1f3c410bb61680adf350af62aba9f107a8af831cdcaafa9ef7a529c027dea105</t>
        </is>
      </c>
      <c r="BE80" s="24" t="inlineStr">
        <is>
          <t>1</t>
        </is>
      </c>
      <c r="BF80" s="24" t="inlineStr">
        <is>
          <t>1</t>
        </is>
      </c>
      <c r="BG80" s="24" t="inlineStr">
        <is>
          <t>valorant-tiered-elo-v6</t>
        </is>
      </c>
      <c r="BH80" s="24" t="inlineStr">
        <is>
          <t>2026-09-05T04:44:15.990434Z</t>
        </is>
      </c>
      <c r="BI80" s="24" t="inlineStr">
        <is>
          <t>["same_event","same_team_same_day","same_league_same_day"]</t>
        </is>
      </c>
      <c r="BJ80" s="25" t="n"/>
      <c r="BK80" s="26" t="n">
        <v>-127</v>
      </c>
      <c r="BL80" s="27" t="n">
        <v>1.787402</v>
      </c>
      <c r="BM80" s="28" t="n">
        <v>0.5594710000000001</v>
      </c>
      <c r="BN80" s="28" t="n"/>
      <c r="BO80" s="28" t="n"/>
      <c r="BP80" s="25" t="n"/>
      <c r="BQ80" s="27" t="n">
        <v>1.787402</v>
      </c>
      <c r="BR80" s="28" t="n">
        <v>0.5600000000000001</v>
      </c>
      <c r="BS80" s="28" t="n"/>
      <c r="BT80" s="28" t="n"/>
      <c r="BU80" s="25" t="n"/>
      <c r="BV80" s="29" t="n"/>
      <c r="BW80" s="24" t="n"/>
      <c r="BX80" s="30" t="n"/>
      <c r="BY80" s="27" t="n"/>
      <c r="BZ80" s="24" t="n"/>
      <c r="CA80" s="31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  <c r="CP80" s="24" t="n"/>
      <c r="CQ80" s="24" t="n"/>
      <c r="CR80" s="24" t="n"/>
      <c r="CS80" s="24" t="inlineStr">
        <is>
          <t>True</t>
        </is>
      </c>
      <c r="CT80" s="24" t="n"/>
      <c r="CU80" s="24" t="n"/>
      <c r="CV80" s="24" t="n"/>
      <c r="CW80" s="24" t="n"/>
      <c r="CX80" s="24" t="n"/>
      <c r="CY80" s="24" t="n"/>
      <c r="CZ80" s="24" t="n"/>
      <c r="DA80" s="24" t="n"/>
      <c r="DB80" s="24" t="n"/>
      <c r="DC80" s="24" t="n"/>
      <c r="DD80" s="24" t="n"/>
      <c r="DE80" s="24" t="n"/>
      <c r="DF80" s="24" t="n"/>
      <c r="DG80" s="24" t="n"/>
      <c r="DH80" s="24" t="n"/>
      <c r="DI80" s="24" t="n"/>
      <c r="DJ80" s="24" t="inlineStr">
        <is>
          <t>0.559471</t>
        </is>
      </c>
      <c r="DK80" s="24" t="n"/>
      <c r="DL80" s="24" t="n"/>
      <c r="DM80" s="24" t="n"/>
      <c r="DN80" s="24" t="n"/>
      <c r="DO80" s="24" t="n"/>
      <c r="DP80" s="24" t="n"/>
      <c r="DQ80" s="24" t="n"/>
    </row>
    <row r="81" ht="36" customHeight="1">
      <c r="A81" s="24" t="inlineStr">
        <is>
          <t>e4352bcf947e4025</t>
        </is>
      </c>
      <c r="B81" s="24" t="inlineStr">
        <is>
          <t>2026-09-05T10:06:00.859126Z</t>
        </is>
      </c>
      <c r="C81" s="24" t="inlineStr">
        <is>
          <t>2026-09-05T11:00:00Z</t>
        </is>
      </c>
      <c r="D81" s="24" t="inlineStr">
        <is>
          <t>100353</t>
        </is>
      </c>
      <c r="E81" s="24" t="inlineStr">
        <is>
          <t>VALORANT</t>
        </is>
      </c>
      <c r="F81" s="24" t="inlineStr">
        <is>
          <t>A Team</t>
        </is>
      </c>
      <c r="G81" s="24" t="inlineStr">
        <is>
          <t>FunPlus Phoenix</t>
        </is>
      </c>
      <c r="H81" s="24" t="inlineStr">
        <is>
          <t>moneyline</t>
        </is>
      </c>
      <c r="I81" s="24" t="inlineStr">
        <is>
          <t>home</t>
        </is>
      </c>
      <c r="J81" s="25" t="n"/>
      <c r="K81" s="24" t="inlineStr">
        <is>
          <t>polymarket_us</t>
        </is>
      </c>
      <c r="L81" s="26" t="n">
        <v>-233</v>
      </c>
      <c r="M81" s="27" t="n">
        <v>1.429185</v>
      </c>
      <c r="N81" s="28" t="n">
        <v>0.6997</v>
      </c>
      <c r="O81" s="28" t="n">
        <v>0.542054</v>
      </c>
      <c r="P81" s="28" t="n"/>
      <c r="Q81" s="28" t="n">
        <v>-0.157646</v>
      </c>
      <c r="R81" s="26" t="n">
        <v>0</v>
      </c>
      <c r="S81" s="29" t="n">
        <v>1</v>
      </c>
      <c r="T81" s="24" t="inlineStr">
        <is>
          <t>valorant-tiered-elo-v6</t>
        </is>
      </c>
      <c r="U81" s="24" t="inlineStr">
        <is>
          <t>settled</t>
        </is>
      </c>
      <c r="V81" s="24" t="inlineStr">
        <is>
          <t>win</t>
        </is>
      </c>
      <c r="W81" s="26" t="n">
        <v>0</v>
      </c>
      <c r="X81" s="26" t="n">
        <v>1</v>
      </c>
      <c r="Y81" s="25" t="n"/>
      <c r="Z81" s="26" t="n">
        <v>-233</v>
      </c>
      <c r="AA81" s="28" t="n">
        <v>0.7</v>
      </c>
      <c r="AB81" s="28" t="n">
        <v>0.0003</v>
      </c>
      <c r="AC81" s="30" t="n">
        <v>0.4292</v>
      </c>
      <c r="AD81" s="24" t="inlineStr">
        <is>
          <t>2026-09-05T16:02:11.399299Z</t>
        </is>
      </c>
      <c r="AE81" s="31" t="inlineStr">
        <is>
          <t>Neutral Elo baseline; executable ask 0.7000 (market_slug=aec-valorant-fpx-at-2026-09-05).</t>
        </is>
      </c>
      <c r="AF81" s="31" t="inlineStr">
        <is>
          <t>Config-promoted esports baseline; gates enforced at log time.</t>
        </is>
      </c>
      <c r="AG81" s="24" t="inlineStr">
        <is>
          <t>not_applicable</t>
        </is>
      </c>
      <c r="AH81" s="24" t="n"/>
      <c r="AI81" s="31" t="n"/>
      <c r="AJ81" s="31" t="n"/>
      <c r="AK81" s="24" t="inlineStr">
        <is>
          <t>paper_call</t>
        </is>
      </c>
      <c r="AL81" s="26" t="n">
        <v>4</v>
      </c>
      <c r="AM81" s="24" t="inlineStr">
        <is>
          <t>RESEARCH_OBSERVATION</t>
        </is>
      </c>
      <c r="AN81" s="24" t="inlineStr">
        <is>
          <t>CALL</t>
        </is>
      </c>
      <c r="AO81" s="24" t="inlineStr">
        <is>
          <t>PAPER_CALL_LOW_EDGE</t>
        </is>
      </c>
      <c r="AP81" s="24" t="inlineStr">
        <is>
          <t>A Team</t>
        </is>
      </c>
      <c r="AQ81" s="24" t="inlineStr">
        <is>
          <t>A Team</t>
        </is>
      </c>
      <c r="AR81" s="24" t="inlineStr">
        <is>
          <t>A Team</t>
        </is>
      </c>
      <c r="AS81" s="24" t="inlineStr">
        <is>
          <t>FunPlus Phoenix</t>
        </is>
      </c>
      <c r="AT81" s="24" t="inlineStr">
        <is>
          <t>FunPlus Phoenix</t>
        </is>
      </c>
      <c r="AU81" s="24" t="inlineStr">
        <is>
          <t>FunPlus Phoenix</t>
        </is>
      </c>
      <c r="AV81" s="24" t="n"/>
      <c r="AW81" s="24" t="n"/>
      <c r="AX81" s="24" t="inlineStr">
        <is>
          <t>statistical_model</t>
        </is>
      </c>
      <c r="AY81" s="24" t="n"/>
      <c r="AZ81" s="24" t="inlineStr">
        <is>
          <t>shadow_qualified</t>
        </is>
      </c>
      <c r="BA81" s="24" t="inlineStr">
        <is>
          <t>6da7caf3d0c9e8f9d4050063024b39d6687904d91b0d340696b24514592b29a1</t>
        </is>
      </c>
      <c r="BB81" s="24" t="inlineStr">
        <is>
          <t>neutral_elo</t>
        </is>
      </c>
      <c r="BC81" s="24" t="inlineStr">
        <is>
          <t>valorant-tiered-elo-v6</t>
        </is>
      </c>
      <c r="BD81" s="24" t="inlineStr">
        <is>
          <t>6da7caf3d0c9e8f9d4050063024b39d6687904d91b0d340696b24514592b29a1</t>
        </is>
      </c>
      <c r="BE81" s="24" t="inlineStr">
        <is>
          <t>1</t>
        </is>
      </c>
      <c r="BF81" s="24" t="inlineStr">
        <is>
          <t>1</t>
        </is>
      </c>
      <c r="BG81" s="24" t="inlineStr">
        <is>
          <t>valorant-tiered-elo-v6</t>
        </is>
      </c>
      <c r="BH81" s="24" t="inlineStr">
        <is>
          <t>2026-09-05T10:06:00.508840Z</t>
        </is>
      </c>
      <c r="BI81" s="24" t="inlineStr">
        <is>
          <t>["same_event","same_team_same_day","same_league_same_day"]</t>
        </is>
      </c>
      <c r="BJ81" s="25" t="n"/>
      <c r="BK81" s="26" t="n">
        <v>-233</v>
      </c>
      <c r="BL81" s="27" t="n">
        <v>1.429185</v>
      </c>
      <c r="BM81" s="28" t="n">
        <v>0.6997</v>
      </c>
      <c r="BN81" s="28" t="n"/>
      <c r="BO81" s="28" t="n"/>
      <c r="BP81" s="25" t="n"/>
      <c r="BQ81" s="27" t="n">
        <v>1.429185</v>
      </c>
      <c r="BR81" s="28" t="n">
        <v>0.7</v>
      </c>
      <c r="BS81" s="28" t="n"/>
      <c r="BT81" s="28" t="n"/>
      <c r="BU81" s="25" t="n"/>
      <c r="BV81" s="29" t="n"/>
      <c r="BW81" s="24" t="n"/>
      <c r="BX81" s="30" t="n"/>
      <c r="BY81" s="27" t="n"/>
      <c r="BZ81" s="24" t="n"/>
      <c r="CA81" s="31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  <c r="CP81" s="24" t="n"/>
      <c r="CQ81" s="24" t="n"/>
      <c r="CR81" s="24" t="n"/>
      <c r="CS81" s="24" t="inlineStr">
        <is>
          <t>False</t>
        </is>
      </c>
      <c r="CT81" s="24" t="n"/>
      <c r="CU81" s="24" t="n"/>
      <c r="CV81" s="24" t="n"/>
      <c r="CW81" s="24" t="n"/>
      <c r="CX81" s="24" t="n"/>
      <c r="CY81" s="24" t="n"/>
      <c r="CZ81" s="24" t="n"/>
      <c r="DA81" s="24" t="n"/>
      <c r="DB81" s="24" t="n"/>
      <c r="DC81" s="24" t="n"/>
      <c r="DD81" s="24" t="n"/>
      <c r="DE81" s="24" t="n"/>
      <c r="DF81" s="24" t="n"/>
      <c r="DG81" s="24" t="n"/>
      <c r="DH81" s="24" t="n"/>
      <c r="DI81" s="24" t="n"/>
      <c r="DJ81" s="24" t="inlineStr">
        <is>
          <t>0.6997</t>
        </is>
      </c>
      <c r="DK81" s="24" t="n"/>
      <c r="DL81" s="24" t="n"/>
      <c r="DM81" s="24" t="n"/>
      <c r="DN81" s="24" t="n"/>
      <c r="DO81" s="24" t="n"/>
      <c r="DP81" s="24" t="n"/>
      <c r="DQ81" s="24" t="n"/>
    </row>
    <row r="82" ht="36" customHeight="1">
      <c r="A82" s="24" t="inlineStr">
        <is>
          <t>cd343c5575214899</t>
        </is>
      </c>
      <c r="B82" s="24" t="inlineStr">
        <is>
          <t>2026-09-05T10:06:00.859126Z</t>
        </is>
      </c>
      <c r="C82" s="24" t="inlineStr">
        <is>
          <t>2026-09-05T15:00:00Z</t>
        </is>
      </c>
      <c r="D82" s="24" t="inlineStr">
        <is>
          <t>102484</t>
        </is>
      </c>
      <c r="E82" s="24" t="inlineStr">
        <is>
          <t>VALORANT</t>
        </is>
      </c>
      <c r="F82" s="24" t="inlineStr">
        <is>
          <t>Glacial Guardians</t>
        </is>
      </c>
      <c r="G82" s="24" t="inlineStr">
        <is>
          <t>BERG</t>
        </is>
      </c>
      <c r="H82" s="24" t="inlineStr">
        <is>
          <t>moneyline</t>
        </is>
      </c>
      <c r="I82" s="24" t="inlineStr">
        <is>
          <t>home</t>
        </is>
      </c>
      <c r="J82" s="25" t="n"/>
      <c r="K82" s="24" t="inlineStr">
        <is>
          <t>polymarket_us</t>
        </is>
      </c>
      <c r="L82" s="26" t="n">
        <v>108</v>
      </c>
      <c r="M82" s="27" t="n">
        <v>2.08</v>
      </c>
      <c r="N82" s="28" t="n">
        <v>0.480769</v>
      </c>
      <c r="O82" s="28" t="n">
        <v>0.528992</v>
      </c>
      <c r="P82" s="28" t="n"/>
      <c r="Q82" s="28" t="n">
        <v>0.048223</v>
      </c>
      <c r="R82" s="26" t="n">
        <v>44</v>
      </c>
      <c r="S82" s="29" t="n">
        <v>1</v>
      </c>
      <c r="T82" s="24" t="inlineStr">
        <is>
          <t>valorant-tiered-elo-v6</t>
        </is>
      </c>
      <c r="U82" s="24" t="inlineStr">
        <is>
          <t>settled</t>
        </is>
      </c>
      <c r="V82" s="24" t="inlineStr">
        <is>
          <t>loss</t>
        </is>
      </c>
      <c r="W82" s="26" t="n">
        <v>1</v>
      </c>
      <c r="X82" s="26" t="n">
        <v>0</v>
      </c>
      <c r="Y82" s="25" t="n"/>
      <c r="Z82" s="26" t="n">
        <v>108</v>
      </c>
      <c r="AA82" s="28" t="n">
        <v>0.48</v>
      </c>
      <c r="AB82" s="28" t="n">
        <v>-0.000769</v>
      </c>
      <c r="AC82" s="30" t="n">
        <v>-1</v>
      </c>
      <c r="AD82" s="24" t="inlineStr">
        <is>
          <t>2026-09-06T04:33:52.571082Z</t>
        </is>
      </c>
      <c r="AE82" s="31" t="inlineStr">
        <is>
          <t>Neutral Elo baseline; executable ask 0.4800 (market_slug=aec-valorant-berg-gg-2026-09-05).</t>
        </is>
      </c>
      <c r="AF82" s="31" t="inlineStr">
        <is>
          <t>Config-promoted esports baseline; gates enforced at log time.</t>
        </is>
      </c>
      <c r="AG82" s="24" t="inlineStr">
        <is>
          <t>review_required</t>
        </is>
      </c>
      <c r="AH82" s="24" t="n"/>
      <c r="AI82" s="31" t="n"/>
      <c r="AJ82" s="31" t="n"/>
      <c r="AK82" s="24" t="inlineStr">
        <is>
          <t>model_qualified</t>
        </is>
      </c>
      <c r="AL82" s="26" t="n">
        <v>4</v>
      </c>
      <c r="AM82" s="24" t="inlineStr">
        <is>
          <t>QUALIFIED_SHADOW_CALL</t>
        </is>
      </c>
      <c r="AN82" s="24" t="inlineStr">
        <is>
          <t>CALL</t>
        </is>
      </c>
      <c r="AO82" s="24" t="inlineStr">
        <is>
          <t>QUALIFIED</t>
        </is>
      </c>
      <c r="AP82" s="24" t="inlineStr">
        <is>
          <t>Glacial Guardians</t>
        </is>
      </c>
      <c r="AQ82" s="24" t="inlineStr">
        <is>
          <t>Glacial Guardians</t>
        </is>
      </c>
      <c r="AR82" s="24" t="inlineStr">
        <is>
          <t>Glacial Guardians</t>
        </is>
      </c>
      <c r="AS82" s="24" t="inlineStr">
        <is>
          <t>BERG</t>
        </is>
      </c>
      <c r="AT82" s="24" t="inlineStr">
        <is>
          <t>BERG</t>
        </is>
      </c>
      <c r="AU82" s="24" t="inlineStr">
        <is>
          <t>BERG</t>
        </is>
      </c>
      <c r="AV82" s="24" t="n"/>
      <c r="AW82" s="24" t="n"/>
      <c r="AX82" s="24" t="inlineStr">
        <is>
          <t>statistical_model</t>
        </is>
      </c>
      <c r="AY82" s="24" t="n"/>
      <c r="AZ82" s="24" t="inlineStr">
        <is>
          <t>shadow_qualified</t>
        </is>
      </c>
      <c r="BA82" s="24" t="inlineStr">
        <is>
          <t>6da7caf3d0c9e8f9d4050063024b39d6687904d91b0d340696b24514592b29a1</t>
        </is>
      </c>
      <c r="BB82" s="24" t="inlineStr">
        <is>
          <t>neutral_elo</t>
        </is>
      </c>
      <c r="BC82" s="24" t="inlineStr">
        <is>
          <t>valorant-tiered-elo-v6</t>
        </is>
      </c>
      <c r="BD82" s="24" t="inlineStr">
        <is>
          <t>6da7caf3d0c9e8f9d4050063024b39d6687904d91b0d340696b24514592b29a1</t>
        </is>
      </c>
      <c r="BE82" s="24" t="inlineStr">
        <is>
          <t>1</t>
        </is>
      </c>
      <c r="BF82" s="24" t="inlineStr">
        <is>
          <t>1</t>
        </is>
      </c>
      <c r="BG82" s="24" t="inlineStr">
        <is>
          <t>valorant-tiered-elo-v6</t>
        </is>
      </c>
      <c r="BH82" s="24" t="inlineStr">
        <is>
          <t>2026-09-05T10:06:00.575956Z</t>
        </is>
      </c>
      <c r="BI82" s="24" t="inlineStr">
        <is>
          <t>["same_event","same_team_same_day","same_league_same_day"]</t>
        </is>
      </c>
      <c r="BJ82" s="25" t="n"/>
      <c r="BK82" s="26" t="n">
        <v>108</v>
      </c>
      <c r="BL82" s="27" t="n">
        <v>2.08</v>
      </c>
      <c r="BM82" s="28" t="n">
        <v>0.480769</v>
      </c>
      <c r="BN82" s="28" t="n"/>
      <c r="BO82" s="28" t="n"/>
      <c r="BP82" s="25" t="n"/>
      <c r="BQ82" s="27" t="n">
        <v>2.08</v>
      </c>
      <c r="BR82" s="28" t="n">
        <v>0.48</v>
      </c>
      <c r="BS82" s="28" t="n"/>
      <c r="BT82" s="28" t="n"/>
      <c r="BU82" s="25" t="n"/>
      <c r="BV82" s="29" t="n"/>
      <c r="BW82" s="24" t="n"/>
      <c r="BX82" s="30" t="n"/>
      <c r="BY82" s="27" t="n"/>
      <c r="BZ82" s="24" t="n"/>
      <c r="CA82" s="31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  <c r="CR82" s="24" t="n"/>
      <c r="CS82" s="24" t="inlineStr">
        <is>
          <t>True</t>
        </is>
      </c>
      <c r="CT82" s="24" t="n"/>
      <c r="CU82" s="24" t="n"/>
      <c r="CV82" s="24" t="n"/>
      <c r="CW82" s="24" t="n"/>
      <c r="CX82" s="24" t="n"/>
      <c r="CY82" s="24" t="n"/>
      <c r="CZ82" s="24" t="n"/>
      <c r="DA82" s="24" t="n"/>
      <c r="DB82" s="24" t="n"/>
      <c r="DC82" s="24" t="n"/>
      <c r="DD82" s="24" t="n"/>
      <c r="DE82" s="24" t="n"/>
      <c r="DF82" s="24" t="n"/>
      <c r="DG82" s="24" t="n"/>
      <c r="DH82" s="24" t="n"/>
      <c r="DI82" s="24" t="n"/>
      <c r="DJ82" s="24" t="inlineStr">
        <is>
          <t>0.480769</t>
        </is>
      </c>
      <c r="DK82" s="24" t="n"/>
      <c r="DL82" s="24" t="n"/>
      <c r="DM82" s="24" t="n"/>
      <c r="DN82" s="24" t="n"/>
      <c r="DO82" s="24" t="n"/>
      <c r="DP82" s="24" t="n"/>
      <c r="DQ82" s="24" t="n"/>
    </row>
    <row r="83" ht="36" customHeight="1">
      <c r="A83" s="24" t="inlineStr">
        <is>
          <t>5cfd6d3169ab48a3</t>
        </is>
      </c>
      <c r="B83" s="24" t="inlineStr">
        <is>
          <t>2026-09-05T10:06:00.859126Z</t>
        </is>
      </c>
      <c r="C83" s="24" t="inlineStr">
        <is>
          <t>2026-09-05T15:00:00Z</t>
        </is>
      </c>
      <c r="D83" s="24" t="inlineStr">
        <is>
          <t>102821</t>
        </is>
      </c>
      <c r="E83" s="24" t="inlineStr">
        <is>
          <t>VALORANT</t>
        </is>
      </c>
      <c r="F83" s="24" t="inlineStr">
        <is>
          <t>Catboys</t>
        </is>
      </c>
      <c r="G83" s="24" t="inlineStr">
        <is>
          <t>HooK Esport</t>
        </is>
      </c>
      <c r="H83" s="24" t="inlineStr">
        <is>
          <t>moneyline</t>
        </is>
      </c>
      <c r="I83" s="24" t="inlineStr">
        <is>
          <t>home</t>
        </is>
      </c>
      <c r="J83" s="25" t="n"/>
      <c r="K83" s="24" t="inlineStr">
        <is>
          <t>polymarket_us</t>
        </is>
      </c>
      <c r="L83" s="26" t="n">
        <v>212</v>
      </c>
      <c r="M83" s="27" t="n">
        <v>3.12</v>
      </c>
      <c r="N83" s="28" t="n">
        <v>0.320513</v>
      </c>
      <c r="O83" s="28" t="n">
        <v>0.511903</v>
      </c>
      <c r="P83" s="28" t="n"/>
      <c r="Q83" s="28" t="n">
        <v>0.19139</v>
      </c>
      <c r="R83" s="26" t="n">
        <v>100</v>
      </c>
      <c r="S83" s="29" t="n">
        <v>2</v>
      </c>
      <c r="T83" s="24" t="inlineStr">
        <is>
          <t>valorant-tiered-elo-v6</t>
        </is>
      </c>
      <c r="U83" s="24" t="inlineStr">
        <is>
          <t>settled</t>
        </is>
      </c>
      <c r="V83" s="24" t="inlineStr">
        <is>
          <t>loss</t>
        </is>
      </c>
      <c r="W83" s="26" t="n">
        <v>1</v>
      </c>
      <c r="X83" s="26" t="n">
        <v>0</v>
      </c>
      <c r="Y83" s="25" t="n"/>
      <c r="Z83" s="26" t="n">
        <v>212</v>
      </c>
      <c r="AA83" s="28" t="n">
        <v>0.32</v>
      </c>
      <c r="AB83" s="28" t="n">
        <v>-0.000513</v>
      </c>
      <c r="AC83" s="30" t="n">
        <v>-2</v>
      </c>
      <c r="AD83" s="24" t="inlineStr">
        <is>
          <t>2026-09-06T04:33:52.832039Z</t>
        </is>
      </c>
      <c r="AE83" s="31" t="inlineStr">
        <is>
          <t>Neutral Elo baseline; executable ask 0.3200 (market_slug=aec-valorant-hk-cat-2026-09-05).</t>
        </is>
      </c>
      <c r="AF83" s="31" t="inlineStr">
        <is>
          <t>Config-promoted esports baseline; gates enforced at log time.</t>
        </is>
      </c>
      <c r="AG83" s="24" t="inlineStr">
        <is>
          <t>review_required</t>
        </is>
      </c>
      <c r="AH83" s="24" t="n"/>
      <c r="AI83" s="31" t="n"/>
      <c r="AJ83" s="31" t="n"/>
      <c r="AK83" s="24" t="inlineStr">
        <is>
          <t>model_qualified</t>
        </is>
      </c>
      <c r="AL83" s="26" t="n">
        <v>4</v>
      </c>
      <c r="AM83" s="24" t="inlineStr">
        <is>
          <t>QUALIFIED_SHADOW_CALL</t>
        </is>
      </c>
      <c r="AN83" s="24" t="inlineStr">
        <is>
          <t>CALL</t>
        </is>
      </c>
      <c r="AO83" s="24" t="inlineStr">
        <is>
          <t>QUALIFIED</t>
        </is>
      </c>
      <c r="AP83" s="24" t="inlineStr">
        <is>
          <t>Catboys</t>
        </is>
      </c>
      <c r="AQ83" s="24" t="inlineStr">
        <is>
          <t>Catboys</t>
        </is>
      </c>
      <c r="AR83" s="24" t="inlineStr">
        <is>
          <t>Catboys</t>
        </is>
      </c>
      <c r="AS83" s="24" t="inlineStr">
        <is>
          <t>HooK Esport</t>
        </is>
      </c>
      <c r="AT83" s="24" t="inlineStr">
        <is>
          <t>HooK Esport</t>
        </is>
      </c>
      <c r="AU83" s="24" t="inlineStr">
        <is>
          <t>HooK Esport</t>
        </is>
      </c>
      <c r="AV83" s="24" t="n"/>
      <c r="AW83" s="24" t="n"/>
      <c r="AX83" s="24" t="inlineStr">
        <is>
          <t>statistical_model</t>
        </is>
      </c>
      <c r="AY83" s="24" t="n"/>
      <c r="AZ83" s="24" t="inlineStr">
        <is>
          <t>shadow_qualified</t>
        </is>
      </c>
      <c r="BA83" s="24" t="inlineStr">
        <is>
          <t>6da7caf3d0c9e8f9d4050063024b39d6687904d91b0d340696b24514592b29a1</t>
        </is>
      </c>
      <c r="BB83" s="24" t="inlineStr">
        <is>
          <t>neutral_elo</t>
        </is>
      </c>
      <c r="BC83" s="24" t="inlineStr">
        <is>
          <t>valorant-tiered-elo-v6</t>
        </is>
      </c>
      <c r="BD83" s="24" t="inlineStr">
        <is>
          <t>6da7caf3d0c9e8f9d4050063024b39d6687904d91b0d340696b24514592b29a1</t>
        </is>
      </c>
      <c r="BE83" s="24" t="inlineStr">
        <is>
          <t>1</t>
        </is>
      </c>
      <c r="BF83" s="24" t="inlineStr">
        <is>
          <t>1</t>
        </is>
      </c>
      <c r="BG83" s="24" t="inlineStr">
        <is>
          <t>valorant-tiered-elo-v6</t>
        </is>
      </c>
      <c r="BH83" s="24" t="inlineStr">
        <is>
          <t>2026-09-05T10:06:00.635457Z</t>
        </is>
      </c>
      <c r="BI83" s="24" t="inlineStr">
        <is>
          <t>["same_event","same_team_same_day","same_league_same_day"]</t>
        </is>
      </c>
      <c r="BJ83" s="25" t="n"/>
      <c r="BK83" s="26" t="n">
        <v>212</v>
      </c>
      <c r="BL83" s="27" t="n">
        <v>3.12</v>
      </c>
      <c r="BM83" s="28" t="n">
        <v>0.320513</v>
      </c>
      <c r="BN83" s="28" t="n"/>
      <c r="BO83" s="28" t="n"/>
      <c r="BP83" s="25" t="n"/>
      <c r="BQ83" s="27" t="n">
        <v>3.12</v>
      </c>
      <c r="BR83" s="28" t="n">
        <v>0.32</v>
      </c>
      <c r="BS83" s="28" t="n"/>
      <c r="BT83" s="28" t="n"/>
      <c r="BU83" s="25" t="n"/>
      <c r="BV83" s="29" t="n"/>
      <c r="BW83" s="24" t="n"/>
      <c r="BX83" s="30" t="n"/>
      <c r="BY83" s="27" t="n"/>
      <c r="BZ83" s="24" t="n"/>
      <c r="CA83" s="31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  <c r="CP83" s="24" t="n"/>
      <c r="CQ83" s="24" t="n"/>
      <c r="CR83" s="24" t="n"/>
      <c r="CS83" s="24" t="inlineStr">
        <is>
          <t>True</t>
        </is>
      </c>
      <c r="CT83" s="24" t="n"/>
      <c r="CU83" s="24" t="n"/>
      <c r="CV83" s="24" t="n"/>
      <c r="CW83" s="24" t="n"/>
      <c r="CX83" s="24" t="n"/>
      <c r="CY83" s="24" t="n"/>
      <c r="CZ83" s="24" t="n"/>
      <c r="DA83" s="24" t="n"/>
      <c r="DB83" s="24" t="n"/>
      <c r="DC83" s="24" t="n"/>
      <c r="DD83" s="24" t="n"/>
      <c r="DE83" s="24" t="n"/>
      <c r="DF83" s="24" t="n"/>
      <c r="DG83" s="24" t="n"/>
      <c r="DH83" s="24" t="n"/>
      <c r="DI83" s="24" t="n"/>
      <c r="DJ83" s="24" t="inlineStr">
        <is>
          <t>0.320513</t>
        </is>
      </c>
      <c r="DK83" s="24" t="n"/>
      <c r="DL83" s="24" t="n"/>
      <c r="DM83" s="24" t="n"/>
      <c r="DN83" s="24" t="n"/>
      <c r="DO83" s="24" t="n"/>
      <c r="DP83" s="24" t="n"/>
      <c r="DQ83" s="24" t="n"/>
    </row>
    <row r="84" ht="36" customHeight="1">
      <c r="A84" s="24" t="inlineStr">
        <is>
          <t>5728994da8d94a83</t>
        </is>
      </c>
      <c r="B84" s="24" t="inlineStr">
        <is>
          <t>2026-09-05T16:06:10.981997Z</t>
        </is>
      </c>
      <c r="C84" s="24" t="inlineStr">
        <is>
          <t>2026-09-05T17:00:00Z</t>
        </is>
      </c>
      <c r="D84" s="24" t="inlineStr">
        <is>
          <t>102856</t>
        </is>
      </c>
      <c r="E84" s="24" t="inlineStr">
        <is>
          <t>VALORANT</t>
        </is>
      </c>
      <c r="F84" s="24" t="inlineStr">
        <is>
          <t>LOUD</t>
        </is>
      </c>
      <c r="G84" s="24" t="inlineStr">
        <is>
          <t>NRG</t>
        </is>
      </c>
      <c r="H84" s="24" t="inlineStr">
        <is>
          <t>moneyline</t>
        </is>
      </c>
      <c r="I84" s="24" t="inlineStr">
        <is>
          <t>home</t>
        </is>
      </c>
      <c r="J84" s="25" t="n"/>
      <c r="K84" s="24" t="inlineStr">
        <is>
          <t>polymarket_us</t>
        </is>
      </c>
      <c r="L84" s="26" t="n">
        <v>-156</v>
      </c>
      <c r="M84" s="27" t="n">
        <v>1.641026</v>
      </c>
      <c r="N84" s="28" t="n">
        <v>0.609375</v>
      </c>
      <c r="O84" s="28" t="n">
        <v>0.656463</v>
      </c>
      <c r="P84" s="28" t="n"/>
      <c r="Q84" s="28" t="n">
        <v>0.047088</v>
      </c>
      <c r="R84" s="26" t="n">
        <v>44</v>
      </c>
      <c r="S84" s="29" t="n">
        <v>1</v>
      </c>
      <c r="T84" s="24" t="inlineStr">
        <is>
          <t>valorant-tiered-elo-v6</t>
        </is>
      </c>
      <c r="U84" s="24" t="inlineStr">
        <is>
          <t>settled</t>
        </is>
      </c>
      <c r="V84" s="24" t="inlineStr">
        <is>
          <t>loss</t>
        </is>
      </c>
      <c r="W84" s="26" t="n">
        <v>1</v>
      </c>
      <c r="X84" s="26" t="n">
        <v>0</v>
      </c>
      <c r="Y84" s="25" t="n"/>
      <c r="Z84" s="26" t="n">
        <v>-156</v>
      </c>
      <c r="AA84" s="28" t="n">
        <v>0.61</v>
      </c>
      <c r="AB84" s="28" t="n">
        <v>0.000625</v>
      </c>
      <c r="AC84" s="30" t="n">
        <v>-1</v>
      </c>
      <c r="AD84" s="24" t="inlineStr">
        <is>
          <t>2026-09-06T04:33:53.063119Z</t>
        </is>
      </c>
      <c r="AE84" s="31" t="inlineStr">
        <is>
          <t>Neutral Elo baseline; executable ask 0.6100 (market_slug=aec-valorant-nrg-loud-2026-09-05).</t>
        </is>
      </c>
      <c r="AF84" s="31" t="inlineStr">
        <is>
          <t>Config-promoted esports baseline; gates enforced at log time.</t>
        </is>
      </c>
      <c r="AG84" s="24" t="inlineStr">
        <is>
          <t>review_required</t>
        </is>
      </c>
      <c r="AH84" s="24" t="n"/>
      <c r="AI84" s="31" t="n"/>
      <c r="AJ84" s="31" t="n"/>
      <c r="AK84" s="24" t="inlineStr">
        <is>
          <t>model_qualified</t>
        </is>
      </c>
      <c r="AL84" s="26" t="n">
        <v>4</v>
      </c>
      <c r="AM84" s="24" t="inlineStr">
        <is>
          <t>QUALIFIED_SHADOW_CALL</t>
        </is>
      </c>
      <c r="AN84" s="24" t="inlineStr">
        <is>
          <t>CALL</t>
        </is>
      </c>
      <c r="AO84" s="24" t="inlineStr">
        <is>
          <t>QUALIFIED</t>
        </is>
      </c>
      <c r="AP84" s="24" t="inlineStr">
        <is>
          <t>LOUD</t>
        </is>
      </c>
      <c r="AQ84" s="24" t="inlineStr">
        <is>
          <t>LOUD</t>
        </is>
      </c>
      <c r="AR84" s="24" t="inlineStr">
        <is>
          <t>LOUD</t>
        </is>
      </c>
      <c r="AS84" s="24" t="inlineStr">
        <is>
          <t>NRG</t>
        </is>
      </c>
      <c r="AT84" s="24" t="inlineStr">
        <is>
          <t>NRG</t>
        </is>
      </c>
      <c r="AU84" s="24" t="inlineStr">
        <is>
          <t>NRG</t>
        </is>
      </c>
      <c r="AV84" s="24" t="n"/>
      <c r="AW84" s="24" t="n"/>
      <c r="AX84" s="24" t="inlineStr">
        <is>
          <t>statistical_model</t>
        </is>
      </c>
      <c r="AY84" s="24" t="n"/>
      <c r="AZ84" s="24" t="inlineStr">
        <is>
          <t>shadow_qualified</t>
        </is>
      </c>
      <c r="BA84" s="24" t="inlineStr">
        <is>
          <t>995737f5624af3690c1e3fbd22eaa9746fc58cde38492e36c1407e65480070ab</t>
        </is>
      </c>
      <c r="BB84" s="24" t="inlineStr">
        <is>
          <t>neutral_elo</t>
        </is>
      </c>
      <c r="BC84" s="24" t="inlineStr">
        <is>
          <t>valorant-tiered-elo-v6</t>
        </is>
      </c>
      <c r="BD84" s="24" t="inlineStr">
        <is>
          <t>995737f5624af3690c1e3fbd22eaa9746fc58cde38492e36c1407e65480070ab</t>
        </is>
      </c>
      <c r="BE84" s="24" t="inlineStr">
        <is>
          <t>1</t>
        </is>
      </c>
      <c r="BF84" s="24" t="inlineStr">
        <is>
          <t>1</t>
        </is>
      </c>
      <c r="BG84" s="24" t="inlineStr">
        <is>
          <t>valorant-tiered-elo-v6</t>
        </is>
      </c>
      <c r="BH84" s="24" t="inlineStr">
        <is>
          <t>2026-09-05T16:06:09.799572Z</t>
        </is>
      </c>
      <c r="BI84" s="24" t="inlineStr">
        <is>
          <t>["same_event","same_team_same_day","same_league_same_day"]</t>
        </is>
      </c>
      <c r="BJ84" s="25" t="n"/>
      <c r="BK84" s="26" t="n">
        <v>-156</v>
      </c>
      <c r="BL84" s="27" t="n">
        <v>1.641026</v>
      </c>
      <c r="BM84" s="28" t="n">
        <v>0.609375</v>
      </c>
      <c r="BN84" s="28" t="n"/>
      <c r="BO84" s="28" t="n"/>
      <c r="BP84" s="25" t="n"/>
      <c r="BQ84" s="27" t="n">
        <v>1.641026</v>
      </c>
      <c r="BR84" s="28" t="n">
        <v>0.61</v>
      </c>
      <c r="BS84" s="28" t="n"/>
      <c r="BT84" s="28" t="n"/>
      <c r="BU84" s="25" t="n"/>
      <c r="BV84" s="29" t="n"/>
      <c r="BW84" s="24" t="n"/>
      <c r="BX84" s="30" t="n"/>
      <c r="BY84" s="27" t="n"/>
      <c r="BZ84" s="24" t="n"/>
      <c r="CA84" s="31" t="n"/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  <c r="CL84" s="24" t="n"/>
      <c r="CM84" s="24" t="n"/>
      <c r="CN84" s="24" t="n"/>
      <c r="CO84" s="24" t="n"/>
      <c r="CP84" s="24" t="n"/>
      <c r="CQ84" s="24" t="n"/>
      <c r="CR84" s="24" t="n"/>
      <c r="CS84" s="24" t="inlineStr">
        <is>
          <t>True</t>
        </is>
      </c>
      <c r="CT84" s="24" t="n"/>
      <c r="CU84" s="24" t="n"/>
      <c r="CV84" s="24" t="n"/>
      <c r="CW84" s="24" t="n"/>
      <c r="CX84" s="24" t="n"/>
      <c r="CY84" s="24" t="n"/>
      <c r="CZ84" s="24" t="n"/>
      <c r="DA84" s="24" t="n"/>
      <c r="DB84" s="24" t="n"/>
      <c r="DC84" s="24" t="n"/>
      <c r="DD84" s="24" t="n"/>
      <c r="DE84" s="24" t="n"/>
      <c r="DF84" s="24" t="n"/>
      <c r="DG84" s="24" t="n"/>
      <c r="DH84" s="24" t="n"/>
      <c r="DI84" s="24" t="n"/>
      <c r="DJ84" s="24" t="inlineStr">
        <is>
          <t>0.609375</t>
        </is>
      </c>
      <c r="DK84" s="24" t="n"/>
      <c r="DL84" s="24" t="n"/>
      <c r="DM84" s="24" t="n"/>
      <c r="DN84" s="24" t="n"/>
      <c r="DO84" s="24" t="n"/>
      <c r="DP84" s="24" t="n"/>
      <c r="DQ84" s="24" t="n"/>
    </row>
    <row r="85" ht="36" customHeight="1">
      <c r="A85" s="24" t="inlineStr">
        <is>
          <t>9c2e0671e3c541af</t>
        </is>
      </c>
      <c r="B85" s="24" t="inlineStr">
        <is>
          <t>2026-09-06T04:36:27.820183Z</t>
        </is>
      </c>
      <c r="C85" s="24" t="inlineStr">
        <is>
          <t>2026-09-06T08:00:00Z</t>
        </is>
      </c>
      <c r="D85" s="24" t="inlineStr">
        <is>
          <t>103206</t>
        </is>
      </c>
      <c r="E85" s="24" t="inlineStr">
        <is>
          <t>VALORANT</t>
        </is>
      </c>
      <c r="F85" s="24" t="inlineStr">
        <is>
          <t>Global Esports</t>
        </is>
      </c>
      <c r="G85" s="24" t="inlineStr">
        <is>
          <t>Nongshim RedForce</t>
        </is>
      </c>
      <c r="H85" s="24" t="inlineStr">
        <is>
          <t>moneyline</t>
        </is>
      </c>
      <c r="I85" s="24" t="inlineStr">
        <is>
          <t>home</t>
        </is>
      </c>
      <c r="J85" s="25" t="n"/>
      <c r="K85" s="24" t="inlineStr">
        <is>
          <t>polymarket_us</t>
        </is>
      </c>
      <c r="L85" s="26" t="n">
        <v>-213</v>
      </c>
      <c r="M85" s="27" t="n">
        <v>1.469484</v>
      </c>
      <c r="N85" s="28" t="n">
        <v>0.680511</v>
      </c>
      <c r="O85" s="28" t="n">
        <v>0.640964</v>
      </c>
      <c r="P85" s="28" t="n"/>
      <c r="Q85" s="28" t="n">
        <v>-0.039547</v>
      </c>
      <c r="R85" s="26" t="n">
        <v>0</v>
      </c>
      <c r="S85" s="29" t="n">
        <v>1</v>
      </c>
      <c r="T85" s="24" t="inlineStr">
        <is>
          <t>valorant-tiered-elo-v6</t>
        </is>
      </c>
      <c r="U85" s="24" t="inlineStr">
        <is>
          <t>settled</t>
        </is>
      </c>
      <c r="V85" s="24" t="inlineStr">
        <is>
          <t>loss</t>
        </is>
      </c>
      <c r="W85" s="26" t="n">
        <v>1</v>
      </c>
      <c r="X85" s="26" t="n">
        <v>0</v>
      </c>
      <c r="Y85" s="25" t="n"/>
      <c r="Z85" s="26" t="n">
        <v>-213</v>
      </c>
      <c r="AA85" s="28" t="n">
        <v>0.68</v>
      </c>
      <c r="AB85" s="28" t="n">
        <v>-0.000511</v>
      </c>
      <c r="AC85" s="30" t="n">
        <v>-1</v>
      </c>
      <c r="AD85" s="24" t="inlineStr">
        <is>
          <t>2026-09-06T16:02:01.629221Z</t>
        </is>
      </c>
      <c r="AE85" s="31" t="inlineStr">
        <is>
          <t>Neutral Elo baseline; executable ask 0.6800 (market_slug=aec-valorant-ns-ge-2026-09-06).</t>
        </is>
      </c>
      <c r="AF85" s="31" t="inlineStr">
        <is>
          <t>Config-promoted esports baseline; gates enforced at log time.</t>
        </is>
      </c>
      <c r="AG85" s="24" t="inlineStr">
        <is>
          <t>review_required</t>
        </is>
      </c>
      <c r="AH85" s="24" t="n"/>
      <c r="AI85" s="31" t="n"/>
      <c r="AJ85" s="31" t="n"/>
      <c r="AK85" s="24" t="inlineStr">
        <is>
          <t>paper_call</t>
        </is>
      </c>
      <c r="AL85" s="26" t="n">
        <v>4</v>
      </c>
      <c r="AM85" s="24" t="inlineStr">
        <is>
          <t>RESEARCH_OBSERVATION</t>
        </is>
      </c>
      <c r="AN85" s="24" t="inlineStr">
        <is>
          <t>CALL</t>
        </is>
      </c>
      <c r="AO85" s="24" t="inlineStr">
        <is>
          <t>PAPER_CALL_LOW_EDGE</t>
        </is>
      </c>
      <c r="AP85" s="24" t="inlineStr">
        <is>
          <t>Global Esports</t>
        </is>
      </c>
      <c r="AQ85" s="24" t="inlineStr">
        <is>
          <t>Global Esports</t>
        </is>
      </c>
      <c r="AR85" s="24" t="inlineStr">
        <is>
          <t>Global Esports</t>
        </is>
      </c>
      <c r="AS85" s="24" t="inlineStr">
        <is>
          <t>Nongshim RedForce</t>
        </is>
      </c>
      <c r="AT85" s="24" t="inlineStr">
        <is>
          <t>Nongshim RedForce</t>
        </is>
      </c>
      <c r="AU85" s="24" t="inlineStr">
        <is>
          <t>Nongshim RedForce</t>
        </is>
      </c>
      <c r="AV85" s="24" t="n"/>
      <c r="AW85" s="24" t="n"/>
      <c r="AX85" s="24" t="inlineStr">
        <is>
          <t>statistical_model</t>
        </is>
      </c>
      <c r="AY85" s="24" t="n"/>
      <c r="AZ85" s="24" t="inlineStr">
        <is>
          <t>shadow_qualified</t>
        </is>
      </c>
      <c r="BA85" s="24" t="inlineStr">
        <is>
          <t>7a916de26aac9ea120cd10ec372dc80451f05ed4842bf8a1a23f30a4adbac1ec</t>
        </is>
      </c>
      <c r="BB85" s="24" t="inlineStr">
        <is>
          <t>neutral_elo</t>
        </is>
      </c>
      <c r="BC85" s="24" t="inlineStr">
        <is>
          <t>valorant-tiered-elo-v6</t>
        </is>
      </c>
      <c r="BD85" s="24" t="inlineStr">
        <is>
          <t>7a916de26aac9ea120cd10ec372dc80451f05ed4842bf8a1a23f30a4adbac1ec</t>
        </is>
      </c>
      <c r="BE85" s="24" t="inlineStr">
        <is>
          <t>1</t>
        </is>
      </c>
      <c r="BF85" s="24" t="inlineStr">
        <is>
          <t>1</t>
        </is>
      </c>
      <c r="BG85" s="24" t="inlineStr">
        <is>
          <t>valorant-tiered-elo-v6</t>
        </is>
      </c>
      <c r="BH85" s="24" t="inlineStr">
        <is>
          <t>2026-09-06T04:36:27.479861Z</t>
        </is>
      </c>
      <c r="BI85" s="24" t="inlineStr">
        <is>
          <t>["same_event","same_team_same_day","same_league_same_day"]</t>
        </is>
      </c>
      <c r="BJ85" s="25" t="n"/>
      <c r="BK85" s="26" t="n">
        <v>-213</v>
      </c>
      <c r="BL85" s="27" t="n">
        <v>1.469484</v>
      </c>
      <c r="BM85" s="28" t="n">
        <v>0.680511</v>
      </c>
      <c r="BN85" s="28" t="n"/>
      <c r="BO85" s="28" t="n"/>
      <c r="BP85" s="25" t="n"/>
      <c r="BQ85" s="27" t="n">
        <v>1.469484</v>
      </c>
      <c r="BR85" s="28" t="n">
        <v>0.68</v>
      </c>
      <c r="BS85" s="28" t="n"/>
      <c r="BT85" s="28" t="n"/>
      <c r="BU85" s="25" t="n"/>
      <c r="BV85" s="29" t="n"/>
      <c r="BW85" s="24" t="n"/>
      <c r="BX85" s="30" t="n"/>
      <c r="BY85" s="27" t="n"/>
      <c r="BZ85" s="24" t="n"/>
      <c r="CA85" s="31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  <c r="CP85" s="24" t="n"/>
      <c r="CQ85" s="24" t="n"/>
      <c r="CR85" s="24" t="n"/>
      <c r="CS85" s="24" t="inlineStr">
        <is>
          <t>False</t>
        </is>
      </c>
      <c r="CT85" s="24" t="n"/>
      <c r="CU85" s="24" t="n"/>
      <c r="CV85" s="24" t="n"/>
      <c r="CW85" s="24" t="n"/>
      <c r="CX85" s="24" t="n"/>
      <c r="CY85" s="24" t="n"/>
      <c r="CZ85" s="24" t="n"/>
      <c r="DA85" s="24" t="n"/>
      <c r="DB85" s="24" t="n"/>
      <c r="DC85" s="24" t="n"/>
      <c r="DD85" s="24" t="n"/>
      <c r="DE85" s="24" t="n"/>
      <c r="DF85" s="24" t="n"/>
      <c r="DG85" s="24" t="n"/>
      <c r="DH85" s="24" t="n"/>
      <c r="DI85" s="24" t="n"/>
      <c r="DJ85" s="24" t="inlineStr">
        <is>
          <t>0.680511</t>
        </is>
      </c>
      <c r="DK85" s="24" t="n"/>
      <c r="DL85" s="24" t="n"/>
      <c r="DM85" s="24" t="n"/>
      <c r="DN85" s="24" t="n"/>
      <c r="DO85" s="24" t="n"/>
      <c r="DP85" s="24" t="n"/>
      <c r="DQ85" s="24" t="n"/>
    </row>
    <row r="86" ht="36" customHeight="1">
      <c r="A86" s="24" t="inlineStr">
        <is>
          <t>f39cf2c5c2414752</t>
        </is>
      </c>
      <c r="B86" s="24" t="inlineStr">
        <is>
          <t>2026-09-06T04:36:27.820183Z</t>
        </is>
      </c>
      <c r="C86" s="24" t="inlineStr">
        <is>
          <t>2026-09-06T09:00:00Z</t>
        </is>
      </c>
      <c r="D86" s="24" t="inlineStr">
        <is>
          <t>101529</t>
        </is>
      </c>
      <c r="E86" s="24" t="inlineStr">
        <is>
          <t>VALORANT</t>
        </is>
      </c>
      <c r="F86" s="24" t="inlineStr">
        <is>
          <t>JD Gaming</t>
        </is>
      </c>
      <c r="G86" s="24" t="inlineStr">
        <is>
          <t>All Gamers</t>
        </is>
      </c>
      <c r="H86" s="24" t="inlineStr">
        <is>
          <t>moneyline</t>
        </is>
      </c>
      <c r="I86" s="24" t="inlineStr">
        <is>
          <t>away</t>
        </is>
      </c>
      <c r="J86" s="25" t="n"/>
      <c r="K86" s="24" t="inlineStr">
        <is>
          <t>polymarket_us</t>
        </is>
      </c>
      <c r="L86" s="26" t="n">
        <v>-163</v>
      </c>
      <c r="M86" s="27" t="n">
        <v>1.613497</v>
      </c>
      <c r="N86" s="28" t="n">
        <v>0.619772</v>
      </c>
      <c r="O86" s="28" t="n">
        <v>0.536954</v>
      </c>
      <c r="P86" s="28" t="n"/>
      <c r="Q86" s="28" t="n">
        <v>-0.082818</v>
      </c>
      <c r="R86" s="26" t="n">
        <v>0</v>
      </c>
      <c r="S86" s="29" t="n">
        <v>1</v>
      </c>
      <c r="T86" s="24" t="inlineStr">
        <is>
          <t>valorant-tiered-elo-v6</t>
        </is>
      </c>
      <c r="U86" s="24" t="inlineStr">
        <is>
          <t>settled</t>
        </is>
      </c>
      <c r="V86" s="24" t="inlineStr">
        <is>
          <t>win</t>
        </is>
      </c>
      <c r="W86" s="26" t="n">
        <v>1</v>
      </c>
      <c r="X86" s="26" t="n">
        <v>0</v>
      </c>
      <c r="Y86" s="25" t="n"/>
      <c r="Z86" s="26" t="n">
        <v>-163</v>
      </c>
      <c r="AA86" s="28" t="n">
        <v>0.62</v>
      </c>
      <c r="AB86" s="28" t="n">
        <v>0.000228</v>
      </c>
      <c r="AC86" s="30" t="n">
        <v>0.6135</v>
      </c>
      <c r="AD86" s="24" t="inlineStr">
        <is>
          <t>2026-09-06T16:02:02.128929Z</t>
        </is>
      </c>
      <c r="AE86" s="31" t="inlineStr">
        <is>
          <t>Neutral Elo baseline; executable ask 0.6200 (market_slug=aec-valorant-ag-jdg-2026-09-06).</t>
        </is>
      </c>
      <c r="AF86" s="31" t="inlineStr">
        <is>
          <t>Config-promoted esports baseline; gates enforced at log time.</t>
        </is>
      </c>
      <c r="AG86" s="24" t="inlineStr">
        <is>
          <t>not_applicable</t>
        </is>
      </c>
      <c r="AH86" s="24" t="n"/>
      <c r="AI86" s="31" t="n"/>
      <c r="AJ86" s="31" t="n"/>
      <c r="AK86" s="24" t="inlineStr">
        <is>
          <t>paper_call</t>
        </is>
      </c>
      <c r="AL86" s="26" t="n">
        <v>4</v>
      </c>
      <c r="AM86" s="24" t="inlineStr">
        <is>
          <t>RESEARCH_OBSERVATION</t>
        </is>
      </c>
      <c r="AN86" s="24" t="inlineStr">
        <is>
          <t>CALL</t>
        </is>
      </c>
      <c r="AO86" s="24" t="inlineStr">
        <is>
          <t>PAPER_CALL_LOW_EDGE</t>
        </is>
      </c>
      <c r="AP86" s="24" t="inlineStr">
        <is>
          <t>JD Gaming</t>
        </is>
      </c>
      <c r="AQ86" s="24" t="inlineStr">
        <is>
          <t>JD Gaming</t>
        </is>
      </c>
      <c r="AR86" s="24" t="inlineStr">
        <is>
          <t>JD Gaming</t>
        </is>
      </c>
      <c r="AS86" s="24" t="inlineStr">
        <is>
          <t>All Gamers</t>
        </is>
      </c>
      <c r="AT86" s="24" t="inlineStr">
        <is>
          <t>All Gamers</t>
        </is>
      </c>
      <c r="AU86" s="24" t="inlineStr">
        <is>
          <t>All Gamers</t>
        </is>
      </c>
      <c r="AV86" s="24" t="n"/>
      <c r="AW86" s="24" t="n"/>
      <c r="AX86" s="24" t="inlineStr">
        <is>
          <t>statistical_model</t>
        </is>
      </c>
      <c r="AY86" s="24" t="n"/>
      <c r="AZ86" s="24" t="inlineStr">
        <is>
          <t>shadow_qualified</t>
        </is>
      </c>
      <c r="BA86" s="24" t="inlineStr">
        <is>
          <t>7a916de26aac9ea120cd10ec372dc80451f05ed4842bf8a1a23f30a4adbac1ec</t>
        </is>
      </c>
      <c r="BB86" s="24" t="inlineStr">
        <is>
          <t>neutral_elo</t>
        </is>
      </c>
      <c r="BC86" s="24" t="inlineStr">
        <is>
          <t>valorant-tiered-elo-v6</t>
        </is>
      </c>
      <c r="BD86" s="24" t="inlineStr">
        <is>
          <t>7a916de26aac9ea120cd10ec372dc80451f05ed4842bf8a1a23f30a4adbac1ec</t>
        </is>
      </c>
      <c r="BE86" s="24" t="inlineStr">
        <is>
          <t>1</t>
        </is>
      </c>
      <c r="BF86" s="24" t="inlineStr">
        <is>
          <t>1</t>
        </is>
      </c>
      <c r="BG86" s="24" t="inlineStr">
        <is>
          <t>valorant-tiered-elo-v6</t>
        </is>
      </c>
      <c r="BH86" s="24" t="inlineStr">
        <is>
          <t>2026-09-06T04:36:27.563152Z</t>
        </is>
      </c>
      <c r="BI86" s="24" t="inlineStr">
        <is>
          <t>["same_event","same_team_same_day","same_league_same_day"]</t>
        </is>
      </c>
      <c r="BJ86" s="25" t="n"/>
      <c r="BK86" s="26" t="n">
        <v>-163</v>
      </c>
      <c r="BL86" s="27" t="n">
        <v>1.613497</v>
      </c>
      <c r="BM86" s="28" t="n">
        <v>0.619772</v>
      </c>
      <c r="BN86" s="28" t="n"/>
      <c r="BO86" s="28" t="n"/>
      <c r="BP86" s="25" t="n"/>
      <c r="BQ86" s="27" t="n">
        <v>1.613497</v>
      </c>
      <c r="BR86" s="28" t="n">
        <v>0.62</v>
      </c>
      <c r="BS86" s="28" t="n"/>
      <c r="BT86" s="28" t="n"/>
      <c r="BU86" s="25" t="n"/>
      <c r="BV86" s="29" t="n"/>
      <c r="BW86" s="24" t="n"/>
      <c r="BX86" s="30" t="n"/>
      <c r="BY86" s="27" t="n"/>
      <c r="BZ86" s="24" t="n"/>
      <c r="CA86" s="31" t="n"/>
      <c r="CB86" s="24" t="n"/>
      <c r="CC86" s="24" t="n"/>
      <c r="CD86" s="24" t="n"/>
      <c r="CE86" s="24" t="n"/>
      <c r="CF86" s="24" t="n"/>
      <c r="CG86" s="24" t="n"/>
      <c r="CH86" s="24" t="n"/>
      <c r="CI86" s="24" t="n"/>
      <c r="CJ86" s="24" t="n"/>
      <c r="CK86" s="24" t="n"/>
      <c r="CL86" s="24" t="n"/>
      <c r="CM86" s="24" t="n"/>
      <c r="CN86" s="24" t="n"/>
      <c r="CO86" s="24" t="n"/>
      <c r="CP86" s="24" t="n"/>
      <c r="CQ86" s="24" t="n"/>
      <c r="CR86" s="24" t="n"/>
      <c r="CS86" s="24" t="inlineStr">
        <is>
          <t>False</t>
        </is>
      </c>
      <c r="CT86" s="24" t="n"/>
      <c r="CU86" s="24" t="n"/>
      <c r="CV86" s="24" t="n"/>
      <c r="CW86" s="24" t="n"/>
      <c r="CX86" s="24" t="n"/>
      <c r="CY86" s="24" t="n"/>
      <c r="CZ86" s="24" t="n"/>
      <c r="DA86" s="24" t="n"/>
      <c r="DB86" s="24" t="n"/>
      <c r="DC86" s="24" t="n"/>
      <c r="DD86" s="24" t="n"/>
      <c r="DE86" s="24" t="n"/>
      <c r="DF86" s="24" t="n"/>
      <c r="DG86" s="24" t="n"/>
      <c r="DH86" s="24" t="n"/>
      <c r="DI86" s="24" t="n"/>
      <c r="DJ86" s="24" t="inlineStr">
        <is>
          <t>0.619772</t>
        </is>
      </c>
      <c r="DK86" s="24" t="n"/>
      <c r="DL86" s="24" t="n"/>
      <c r="DM86" s="24" t="n"/>
      <c r="DN86" s="24" t="n"/>
      <c r="DO86" s="24" t="n"/>
      <c r="DP86" s="24" t="n"/>
      <c r="DQ86" s="24" t="n"/>
    </row>
    <row r="87" ht="36" customHeight="1">
      <c r="A87" s="24" t="inlineStr">
        <is>
          <t>43d4cf9323944c5e</t>
        </is>
      </c>
      <c r="B87" s="24" t="inlineStr">
        <is>
          <t>2026-09-06T16:03:58.178718Z</t>
        </is>
      </c>
      <c r="C87" s="24" t="inlineStr">
        <is>
          <t>2026-09-06T17:00:00Z</t>
        </is>
      </c>
      <c r="D87" s="24" t="inlineStr">
        <is>
          <t>103620</t>
        </is>
      </c>
      <c r="E87" s="24" t="inlineStr">
        <is>
          <t>VALORANT</t>
        </is>
      </c>
      <c r="F87" s="24" t="inlineStr">
        <is>
          <t>LOUD</t>
        </is>
      </c>
      <c r="G87" s="24" t="inlineStr">
        <is>
          <t>100 Thieves</t>
        </is>
      </c>
      <c r="H87" s="24" t="inlineStr">
        <is>
          <t>moneyline</t>
        </is>
      </c>
      <c r="I87" s="24" t="inlineStr">
        <is>
          <t>home</t>
        </is>
      </c>
      <c r="J87" s="25" t="n"/>
      <c r="K87" s="24" t="inlineStr">
        <is>
          <t>polymarket_us</t>
        </is>
      </c>
      <c r="L87" s="26" t="n">
        <v>-233</v>
      </c>
      <c r="M87" s="27" t="n">
        <v>1.429185</v>
      </c>
      <c r="N87" s="28" t="n">
        <v>0.6997</v>
      </c>
      <c r="O87" s="28" t="n">
        <v>0.672565</v>
      </c>
      <c r="P87" s="28" t="n"/>
      <c r="Q87" s="28" t="n">
        <v>-0.027135</v>
      </c>
      <c r="R87" s="26" t="n">
        <v>6</v>
      </c>
      <c r="S87" s="29" t="n">
        <v>1</v>
      </c>
      <c r="T87" s="24" t="inlineStr">
        <is>
          <t>valorant-tiered-elo-v6</t>
        </is>
      </c>
      <c r="U87" s="24" t="inlineStr">
        <is>
          <t>settled</t>
        </is>
      </c>
      <c r="V87" s="24" t="inlineStr">
        <is>
          <t>win</t>
        </is>
      </c>
      <c r="W87" s="26" t="n">
        <v>0</v>
      </c>
      <c r="X87" s="26" t="n">
        <v>1</v>
      </c>
      <c r="Y87" s="25" t="n"/>
      <c r="Z87" s="26" t="n">
        <v>-233</v>
      </c>
      <c r="AA87" s="28" t="n">
        <v>0.7</v>
      </c>
      <c r="AB87" s="28" t="n">
        <v>0.0003</v>
      </c>
      <c r="AC87" s="30" t="n">
        <v>0.4292</v>
      </c>
      <c r="AD87" s="24" t="inlineStr">
        <is>
          <t>2026-09-07T04:32:14.500039Z</t>
        </is>
      </c>
      <c r="AE87" s="31" t="inlineStr">
        <is>
          <t>Neutral Elo baseline; executable ask 0.7000 (market_slug=aec-valorant-100t-loud-2026-09-06).</t>
        </is>
      </c>
      <c r="AF87" s="31" t="inlineStr">
        <is>
          <t>Config-promoted esports baseline; gates enforced at log time.</t>
        </is>
      </c>
      <c r="AG87" s="24" t="inlineStr">
        <is>
          <t>not_applicable</t>
        </is>
      </c>
      <c r="AH87" s="24" t="n"/>
      <c r="AI87" s="31" t="n"/>
      <c r="AJ87" s="31" t="n"/>
      <c r="AK87" s="24" t="inlineStr">
        <is>
          <t>paper_call</t>
        </is>
      </c>
      <c r="AL87" s="26" t="n">
        <v>4</v>
      </c>
      <c r="AM87" s="24" t="inlineStr">
        <is>
          <t>RESEARCH_OBSERVATION</t>
        </is>
      </c>
      <c r="AN87" s="24" t="inlineStr">
        <is>
          <t>CALL</t>
        </is>
      </c>
      <c r="AO87" s="24" t="inlineStr">
        <is>
          <t>PAPER_CALL_LOW_EDGE</t>
        </is>
      </c>
      <c r="AP87" s="24" t="inlineStr">
        <is>
          <t>LOUD</t>
        </is>
      </c>
      <c r="AQ87" s="24" t="inlineStr">
        <is>
          <t>LOUD</t>
        </is>
      </c>
      <c r="AR87" s="24" t="inlineStr">
        <is>
          <t>LOUD</t>
        </is>
      </c>
      <c r="AS87" s="24" t="inlineStr">
        <is>
          <t>100 Thieves</t>
        </is>
      </c>
      <c r="AT87" s="24" t="inlineStr">
        <is>
          <t>100 Thieves</t>
        </is>
      </c>
      <c r="AU87" s="24" t="inlineStr">
        <is>
          <t>100 Thieves</t>
        </is>
      </c>
      <c r="AV87" s="24" t="n"/>
      <c r="AW87" s="24" t="n"/>
      <c r="AX87" s="24" t="inlineStr">
        <is>
          <t>statistical_model</t>
        </is>
      </c>
      <c r="AY87" s="24" t="n"/>
      <c r="AZ87" s="24" t="inlineStr">
        <is>
          <t>shadow_qualified</t>
        </is>
      </c>
      <c r="BA87" s="24" t="inlineStr">
        <is>
          <t>e1fb0b40700053f615df4c69e9c4027b260ce60dea99c4717d331280cfc7fbd4</t>
        </is>
      </c>
      <c r="BB87" s="24" t="inlineStr">
        <is>
          <t>neutral_elo</t>
        </is>
      </c>
      <c r="BC87" s="24" t="inlineStr">
        <is>
          <t>valorant-tiered-elo-v6</t>
        </is>
      </c>
      <c r="BD87" s="24" t="inlineStr">
        <is>
          <t>e1fb0b40700053f615df4c69e9c4027b260ce60dea99c4717d331280cfc7fbd4</t>
        </is>
      </c>
      <c r="BE87" s="24" t="inlineStr">
        <is>
          <t>1</t>
        </is>
      </c>
      <c r="BF87" s="24" t="inlineStr">
        <is>
          <t>1</t>
        </is>
      </c>
      <c r="BG87" s="24" t="inlineStr">
        <is>
          <t>valorant-tiered-elo-v6</t>
        </is>
      </c>
      <c r="BH87" s="24" t="inlineStr">
        <is>
          <t>2026-09-06T16:03:58.138102Z</t>
        </is>
      </c>
      <c r="BI87" s="24" t="inlineStr">
        <is>
          <t>["same_event","same_team_same_day","same_league_same_day"]</t>
        </is>
      </c>
      <c r="BJ87" s="25" t="n"/>
      <c r="BK87" s="26" t="n">
        <v>-233</v>
      </c>
      <c r="BL87" s="27" t="n">
        <v>1.429185</v>
      </c>
      <c r="BM87" s="28" t="n">
        <v>0.6997</v>
      </c>
      <c r="BN87" s="28" t="n"/>
      <c r="BO87" s="28" t="n"/>
      <c r="BP87" s="25" t="n"/>
      <c r="BQ87" s="27" t="n">
        <v>1.429185</v>
      </c>
      <c r="BR87" s="28" t="n">
        <v>0.7</v>
      </c>
      <c r="BS87" s="28" t="n"/>
      <c r="BT87" s="28" t="n"/>
      <c r="BU87" s="25" t="n"/>
      <c r="BV87" s="29" t="n"/>
      <c r="BW87" s="24" t="n"/>
      <c r="BX87" s="30" t="n"/>
      <c r="BY87" s="27" t="n"/>
      <c r="BZ87" s="24" t="n"/>
      <c r="CA87" s="31" t="n"/>
      <c r="CB87" s="24" t="n"/>
      <c r="CC87" s="24" t="n"/>
      <c r="CD87" s="24" t="n"/>
      <c r="CE87" s="24" t="n"/>
      <c r="CF87" s="24" t="n"/>
      <c r="CG87" s="24" t="n"/>
      <c r="CH87" s="24" t="n"/>
      <c r="CI87" s="24" t="n"/>
      <c r="CJ87" s="24" t="n"/>
      <c r="CK87" s="24" t="n"/>
      <c r="CL87" s="24" t="n"/>
      <c r="CM87" s="24" t="n"/>
      <c r="CN87" s="24" t="n"/>
      <c r="CO87" s="24" t="n"/>
      <c r="CP87" s="24" t="n"/>
      <c r="CQ87" s="24" t="n"/>
      <c r="CR87" s="24" t="n"/>
      <c r="CS87" s="24" t="inlineStr">
        <is>
          <t>False</t>
        </is>
      </c>
      <c r="CT87" s="24" t="n"/>
      <c r="CU87" s="24" t="n"/>
      <c r="CV87" s="24" t="n"/>
      <c r="CW87" s="24" t="n"/>
      <c r="CX87" s="24" t="n"/>
      <c r="CY87" s="24" t="n"/>
      <c r="CZ87" s="24" t="n"/>
      <c r="DA87" s="24" t="n"/>
      <c r="DB87" s="24" t="n"/>
      <c r="DC87" s="24" t="n"/>
      <c r="DD87" s="24" t="n"/>
      <c r="DE87" s="24" t="n"/>
      <c r="DF87" s="24" t="n"/>
      <c r="DG87" s="24" t="n"/>
      <c r="DH87" s="24" t="n"/>
      <c r="DI87" s="24" t="n"/>
      <c r="DJ87" s="24" t="inlineStr">
        <is>
          <t>0.6997</t>
        </is>
      </c>
      <c r="DK87" s="24" t="n"/>
      <c r="DL87" s="24" t="n"/>
      <c r="DM87" s="24" t="n"/>
      <c r="DN87" s="24" t="n"/>
      <c r="DO87" s="24" t="n"/>
      <c r="DP87" s="24" t="n"/>
      <c r="DQ87" s="24" t="n"/>
    </row>
    <row r="88" ht="36" customHeight="1">
      <c r="A88" s="24" t="inlineStr">
        <is>
          <t>c15ce320f5884c54</t>
        </is>
      </c>
      <c r="B88" s="24" t="inlineStr">
        <is>
          <t>2026-09-08T16:17:14.359220Z</t>
        </is>
      </c>
      <c r="C88" s="24" t="inlineStr">
        <is>
          <t>2026-09-08T21:00:00Z</t>
        </is>
      </c>
      <c r="D88" s="24" t="inlineStr">
        <is>
          <t>103623</t>
        </is>
      </c>
      <c r="E88" s="24" t="inlineStr">
        <is>
          <t>VALORANT</t>
        </is>
      </c>
      <c r="F88" s="24" t="inlineStr">
        <is>
          <t>Shopify Rebellion Gold</t>
        </is>
      </c>
      <c r="G88" s="24" t="inlineStr">
        <is>
          <t>FlyQuest RED</t>
        </is>
      </c>
      <c r="H88" s="24" t="inlineStr">
        <is>
          <t>moneyline</t>
        </is>
      </c>
      <c r="I88" s="24" t="inlineStr">
        <is>
          <t>away</t>
        </is>
      </c>
      <c r="J88" s="25" t="n"/>
      <c r="K88" s="24" t="inlineStr">
        <is>
          <t>polymarket_us</t>
        </is>
      </c>
      <c r="L88" s="26" t="n">
        <v>-233</v>
      </c>
      <c r="M88" s="27" t="n">
        <v>1.429185</v>
      </c>
      <c r="N88" s="28" t="n">
        <v>0.6997</v>
      </c>
      <c r="O88" s="28" t="n">
        <v>0.503757</v>
      </c>
      <c r="P88" s="28" t="n"/>
      <c r="Q88" s="28" t="n">
        <v>-0.195943</v>
      </c>
      <c r="R88" s="26" t="n">
        <v>0</v>
      </c>
      <c r="S88" s="29" t="n">
        <v>1</v>
      </c>
      <c r="T88" s="24" t="inlineStr">
        <is>
          <t>valorant-tiered-elo-v6</t>
        </is>
      </c>
      <c r="U88" s="24" t="inlineStr">
        <is>
          <t>settled</t>
        </is>
      </c>
      <c r="V88" s="24" t="inlineStr">
        <is>
          <t>win</t>
        </is>
      </c>
      <c r="W88" s="26" t="n">
        <v>1</v>
      </c>
      <c r="X88" s="26" t="n">
        <v>0</v>
      </c>
      <c r="Y88" s="25" t="n"/>
      <c r="Z88" s="26" t="n">
        <v>-233</v>
      </c>
      <c r="AA88" s="28" t="n">
        <v>0.7</v>
      </c>
      <c r="AB88" s="28" t="n">
        <v>0.0003</v>
      </c>
      <c r="AC88" s="30" t="n">
        <v>0.4292</v>
      </c>
      <c r="AD88" s="24" t="inlineStr">
        <is>
          <t>2026-09-09T04:33:02.087969Z</t>
        </is>
      </c>
      <c r="AE88" s="31" t="inlineStr">
        <is>
          <t>Neutral Elo baseline; executable ask 0.7000 (market_slug=aec-valorant-flyr-srg-2026-09-08).</t>
        </is>
      </c>
      <c r="AF88" s="31" t="inlineStr">
        <is>
          <t>Config-promoted esports baseline; gates enforced at log time.</t>
        </is>
      </c>
      <c r="AG88" s="24" t="inlineStr">
        <is>
          <t>not_applicable</t>
        </is>
      </c>
      <c r="AH88" s="24" t="n"/>
      <c r="AI88" s="31" t="n"/>
      <c r="AJ88" s="31" t="n"/>
      <c r="AK88" s="24" t="inlineStr">
        <is>
          <t>paper_call</t>
        </is>
      </c>
      <c r="AL88" s="26" t="n">
        <v>4</v>
      </c>
      <c r="AM88" s="24" t="inlineStr">
        <is>
          <t>RESEARCH_OBSERVATION</t>
        </is>
      </c>
      <c r="AN88" s="24" t="inlineStr">
        <is>
          <t>CALL</t>
        </is>
      </c>
      <c r="AO88" s="24" t="inlineStr">
        <is>
          <t>PAPER_CALL_LOW_EDGE</t>
        </is>
      </c>
      <c r="AP88" s="24" t="inlineStr">
        <is>
          <t>Shopify Rebellion Gold</t>
        </is>
      </c>
      <c r="AQ88" s="24" t="inlineStr">
        <is>
          <t>Shopify Rebellion Gold</t>
        </is>
      </c>
      <c r="AR88" s="24" t="inlineStr">
        <is>
          <t>Shopify Rebellion Gold</t>
        </is>
      </c>
      <c r="AS88" s="24" t="inlineStr">
        <is>
          <t>FlyQuest RED</t>
        </is>
      </c>
      <c r="AT88" s="24" t="inlineStr">
        <is>
          <t>FlyQuest RED</t>
        </is>
      </c>
      <c r="AU88" s="24" t="inlineStr">
        <is>
          <t>FlyQuest RED</t>
        </is>
      </c>
      <c r="AV88" s="24" t="n"/>
      <c r="AW88" s="24" t="n"/>
      <c r="AX88" s="24" t="inlineStr">
        <is>
          <t>statistical_model</t>
        </is>
      </c>
      <c r="AY88" s="24" t="n"/>
      <c r="AZ88" s="24" t="inlineStr">
        <is>
          <t>shadow_qualified</t>
        </is>
      </c>
      <c r="BA88" s="24" t="inlineStr">
        <is>
          <t>2c8605692494d1f1b0d0e6b74b6465098788dd1be2b493e57e454f0ccf8d6619</t>
        </is>
      </c>
      <c r="BB88" s="24" t="inlineStr">
        <is>
          <t>neutral_elo</t>
        </is>
      </c>
      <c r="BC88" s="24" t="inlineStr">
        <is>
          <t>valorant-tiered-elo-v6</t>
        </is>
      </c>
      <c r="BD88" s="24" t="inlineStr">
        <is>
          <t>2c8605692494d1f1b0d0e6b74b6465098788dd1be2b493e57e454f0ccf8d6619</t>
        </is>
      </c>
      <c r="BE88" s="24" t="inlineStr">
        <is>
          <t>1</t>
        </is>
      </c>
      <c r="BF88" s="24" t="inlineStr">
        <is>
          <t>1</t>
        </is>
      </c>
      <c r="BG88" s="24" t="inlineStr">
        <is>
          <t>valorant-tiered-elo-v6</t>
        </is>
      </c>
      <c r="BH88" s="24" t="inlineStr">
        <is>
          <t>2026-09-08T16:17:13.370183Z</t>
        </is>
      </c>
      <c r="BI88" s="24" t="inlineStr">
        <is>
          <t>["same_event","same_team_same_day","same_league_same_day"]</t>
        </is>
      </c>
      <c r="BJ88" s="25" t="n"/>
      <c r="BK88" s="26" t="n">
        <v>-233</v>
      </c>
      <c r="BL88" s="27" t="n">
        <v>1.429185</v>
      </c>
      <c r="BM88" s="28" t="n">
        <v>0.6997</v>
      </c>
      <c r="BN88" s="28" t="n"/>
      <c r="BO88" s="28" t="n"/>
      <c r="BP88" s="25" t="n"/>
      <c r="BQ88" s="27" t="n">
        <v>1.429185</v>
      </c>
      <c r="BR88" s="28" t="n">
        <v>0.7</v>
      </c>
      <c r="BS88" s="28" t="n"/>
      <c r="BT88" s="28" t="n"/>
      <c r="BU88" s="25" t="n"/>
      <c r="BV88" s="29" t="n"/>
      <c r="BW88" s="24" t="n"/>
      <c r="BX88" s="30" t="n"/>
      <c r="BY88" s="27" t="n"/>
      <c r="BZ88" s="24" t="n"/>
      <c r="CA88" s="31" t="n"/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  <c r="CL88" s="24" t="n"/>
      <c r="CM88" s="24" t="n"/>
      <c r="CN88" s="24" t="n"/>
      <c r="CO88" s="24" t="n"/>
      <c r="CP88" s="24" t="n"/>
      <c r="CQ88" s="24" t="n"/>
      <c r="CR88" s="24" t="n"/>
      <c r="CS88" s="24" t="inlineStr">
        <is>
          <t>False</t>
        </is>
      </c>
      <c r="CT88" s="24" t="n"/>
      <c r="CU88" s="24" t="n"/>
      <c r="CV88" s="24" t="n"/>
      <c r="CW88" s="24" t="n"/>
      <c r="CX88" s="24" t="n"/>
      <c r="CY88" s="24" t="n"/>
      <c r="CZ88" s="24" t="n"/>
      <c r="DA88" s="24" t="n"/>
      <c r="DB88" s="24" t="n"/>
      <c r="DC88" s="24" t="n"/>
      <c r="DD88" s="24" t="n"/>
      <c r="DE88" s="24" t="n"/>
      <c r="DF88" s="24" t="n"/>
      <c r="DG88" s="24" t="n"/>
      <c r="DH88" s="24" t="n"/>
      <c r="DI88" s="24" t="n"/>
      <c r="DJ88" s="24" t="inlineStr">
        <is>
          <t>0.6997</t>
        </is>
      </c>
      <c r="DK88" s="24" t="n"/>
      <c r="DL88" s="24" t="n"/>
      <c r="DM88" s="24" t="n"/>
      <c r="DN88" s="24" t="n"/>
      <c r="DO88" s="24" t="n"/>
      <c r="DP88" s="24" t="n"/>
      <c r="DQ88" s="24" t="n"/>
    </row>
    <row r="89" ht="36" customHeight="1">
      <c r="A89" s="24" t="inlineStr">
        <is>
          <t>e9d3ce895654451f</t>
        </is>
      </c>
      <c r="B89" s="24" t="inlineStr">
        <is>
          <t>2026-09-09T04:35:23.760562Z</t>
        </is>
      </c>
      <c r="C89" s="24" t="inlineStr">
        <is>
          <t>2026-09-09T09:00:00Z</t>
        </is>
      </c>
      <c r="D89" s="24" t="inlineStr">
        <is>
          <t>104525</t>
        </is>
      </c>
      <c r="E89" s="24" t="inlineStr">
        <is>
          <t>VALORANT</t>
        </is>
      </c>
      <c r="F89" s="24" t="inlineStr">
        <is>
          <t>KeepBest Gaming</t>
        </is>
      </c>
      <c r="G89" s="24" t="inlineStr">
        <is>
          <t>Bilibili Gaming</t>
        </is>
      </c>
      <c r="H89" s="24" t="inlineStr">
        <is>
          <t>moneyline</t>
        </is>
      </c>
      <c r="I89" s="24" t="inlineStr">
        <is>
          <t>home</t>
        </is>
      </c>
      <c r="J89" s="25" t="n"/>
      <c r="K89" s="24" t="inlineStr">
        <is>
          <t>polymarket_us</t>
        </is>
      </c>
      <c r="L89" s="26" t="n">
        <v>212</v>
      </c>
      <c r="M89" s="27" t="n">
        <v>3.12</v>
      </c>
      <c r="N89" s="28" t="n">
        <v>0.320513</v>
      </c>
      <c r="O89" s="28" t="n">
        <v>0.726088</v>
      </c>
      <c r="P89" s="28" t="n"/>
      <c r="Q89" s="28" t="n">
        <v>0.405575</v>
      </c>
      <c r="R89" s="26" t="n">
        <v>100</v>
      </c>
      <c r="S89" s="29" t="n">
        <v>2</v>
      </c>
      <c r="T89" s="24" t="inlineStr">
        <is>
          <t>valorant-tiered-elo-v6</t>
        </is>
      </c>
      <c r="U89" s="24" t="inlineStr">
        <is>
          <t>settled</t>
        </is>
      </c>
      <c r="V89" s="24" t="inlineStr">
        <is>
          <t>loss</t>
        </is>
      </c>
      <c r="W89" s="26" t="n">
        <v>1</v>
      </c>
      <c r="X89" s="26" t="n">
        <v>0</v>
      </c>
      <c r="Y89" s="25" t="n"/>
      <c r="Z89" s="26" t="n">
        <v>212</v>
      </c>
      <c r="AA89" s="28" t="n">
        <v>0.32</v>
      </c>
      <c r="AB89" s="28" t="n">
        <v>-0.000513</v>
      </c>
      <c r="AC89" s="30" t="n">
        <v>-2</v>
      </c>
      <c r="AD89" s="24" t="inlineStr">
        <is>
          <t>2026-09-09T16:02:46.840469Z</t>
        </is>
      </c>
      <c r="AE89" s="31" t="inlineStr">
        <is>
          <t>Neutral Elo baseline; executable ask 0.3200 (market_slug=aec-valorant-blg-kbg-2026-09-09).</t>
        </is>
      </c>
      <c r="AF89" s="31" t="inlineStr">
        <is>
          <t>Config-promoted esports baseline; gates enforced at log time.</t>
        </is>
      </c>
      <c r="AG89" s="24" t="inlineStr">
        <is>
          <t>review_required</t>
        </is>
      </c>
      <c r="AH89" s="24" t="n"/>
      <c r="AI89" s="31" t="n"/>
      <c r="AJ89" s="31" t="n"/>
      <c r="AK89" s="24" t="inlineStr">
        <is>
          <t>model_qualified</t>
        </is>
      </c>
      <c r="AL89" s="26" t="n">
        <v>4</v>
      </c>
      <c r="AM89" s="24" t="inlineStr">
        <is>
          <t>QUALIFIED_SHADOW_CALL</t>
        </is>
      </c>
      <c r="AN89" s="24" t="inlineStr">
        <is>
          <t>CALL</t>
        </is>
      </c>
      <c r="AO89" s="24" t="inlineStr">
        <is>
          <t>QUALIFIED</t>
        </is>
      </c>
      <c r="AP89" s="24" t="inlineStr">
        <is>
          <t>KeepBest Gaming</t>
        </is>
      </c>
      <c r="AQ89" s="24" t="inlineStr">
        <is>
          <t>KeepBest Gaming</t>
        </is>
      </c>
      <c r="AR89" s="24" t="inlineStr">
        <is>
          <t>KeepBest Gaming</t>
        </is>
      </c>
      <c r="AS89" s="24" t="inlineStr">
        <is>
          <t>Bilibili Gaming</t>
        </is>
      </c>
      <c r="AT89" s="24" t="inlineStr">
        <is>
          <t>Bilibili Gaming</t>
        </is>
      </c>
      <c r="AU89" s="24" t="inlineStr">
        <is>
          <t>Bilibili Gaming</t>
        </is>
      </c>
      <c r="AV89" s="24" t="n"/>
      <c r="AW89" s="24" t="n"/>
      <c r="AX89" s="24" t="inlineStr">
        <is>
          <t>statistical_model</t>
        </is>
      </c>
      <c r="AY89" s="24" t="n"/>
      <c r="AZ89" s="24" t="inlineStr">
        <is>
          <t>shadow_qualified</t>
        </is>
      </c>
      <c r="BA89" s="24" t="inlineStr">
        <is>
          <t>2334e87f80dae35e2dd9369efd5e30cda97f295ac9fe412e839d379dd09efa45</t>
        </is>
      </c>
      <c r="BB89" s="24" t="inlineStr">
        <is>
          <t>neutral_elo</t>
        </is>
      </c>
      <c r="BC89" s="24" t="inlineStr">
        <is>
          <t>valorant-tiered-elo-v6</t>
        </is>
      </c>
      <c r="BD89" s="24" t="inlineStr">
        <is>
          <t>2334e87f80dae35e2dd9369efd5e30cda97f295ac9fe412e839d379dd09efa45</t>
        </is>
      </c>
      <c r="BE89" s="24" t="inlineStr">
        <is>
          <t>1</t>
        </is>
      </c>
      <c r="BF89" s="24" t="inlineStr">
        <is>
          <t>1</t>
        </is>
      </c>
      <c r="BG89" s="24" t="inlineStr">
        <is>
          <t>valorant-tiered-elo-v6</t>
        </is>
      </c>
      <c r="BH89" s="24" t="inlineStr">
        <is>
          <t>2026-09-09T04:35:23.109864Z</t>
        </is>
      </c>
      <c r="BI89" s="24" t="inlineStr">
        <is>
          <t>["same_event","same_team_same_day","same_league_same_day"]</t>
        </is>
      </c>
      <c r="BJ89" s="25" t="n"/>
      <c r="BK89" s="26" t="n">
        <v>212</v>
      </c>
      <c r="BL89" s="27" t="n">
        <v>3.12</v>
      </c>
      <c r="BM89" s="28" t="n">
        <v>0.320513</v>
      </c>
      <c r="BN89" s="28" t="n"/>
      <c r="BO89" s="28" t="n"/>
      <c r="BP89" s="25" t="n"/>
      <c r="BQ89" s="27" t="n">
        <v>3.12</v>
      </c>
      <c r="BR89" s="28" t="n">
        <v>0.32</v>
      </c>
      <c r="BS89" s="28" t="n"/>
      <c r="BT89" s="28" t="n"/>
      <c r="BU89" s="25" t="n"/>
      <c r="BV89" s="29" t="n"/>
      <c r="BW89" s="24" t="n"/>
      <c r="BX89" s="30" t="n"/>
      <c r="BY89" s="27" t="n"/>
      <c r="BZ89" s="24" t="n"/>
      <c r="CA89" s="31" t="n"/>
      <c r="CB89" s="24" t="n"/>
      <c r="CC89" s="24" t="n"/>
      <c r="CD89" s="24" t="n"/>
      <c r="CE89" s="24" t="n"/>
      <c r="CF89" s="24" t="n"/>
      <c r="CG89" s="24" t="n"/>
      <c r="CH89" s="24" t="n"/>
      <c r="CI89" s="24" t="n"/>
      <c r="CJ89" s="24" t="n"/>
      <c r="CK89" s="24" t="n"/>
      <c r="CL89" s="24" t="n"/>
      <c r="CM89" s="24" t="n"/>
      <c r="CN89" s="24" t="n"/>
      <c r="CO89" s="24" t="n"/>
      <c r="CP89" s="24" t="n"/>
      <c r="CQ89" s="24" t="n"/>
      <c r="CR89" s="24" t="n"/>
      <c r="CS89" s="24" t="inlineStr">
        <is>
          <t>True</t>
        </is>
      </c>
      <c r="CT89" s="24" t="n"/>
      <c r="CU89" s="24" t="n"/>
      <c r="CV89" s="24" t="n"/>
      <c r="CW89" s="24" t="n"/>
      <c r="CX89" s="24" t="n"/>
      <c r="CY89" s="24" t="n"/>
      <c r="CZ89" s="24" t="n"/>
      <c r="DA89" s="24" t="n"/>
      <c r="DB89" s="24" t="n"/>
      <c r="DC89" s="24" t="n"/>
      <c r="DD89" s="24" t="n"/>
      <c r="DE89" s="24" t="n"/>
      <c r="DF89" s="24" t="n"/>
      <c r="DG89" s="24" t="n"/>
      <c r="DH89" s="24" t="n"/>
      <c r="DI89" s="24" t="n"/>
      <c r="DJ89" s="24" t="inlineStr">
        <is>
          <t>0.320513</t>
        </is>
      </c>
      <c r="DK89" s="24" t="n"/>
      <c r="DL89" s="24" t="n"/>
      <c r="DM89" s="24" t="n"/>
      <c r="DN89" s="24" t="n"/>
      <c r="DO89" s="24" t="n"/>
      <c r="DP89" s="24" t="n"/>
      <c r="DQ89" s="24" t="n"/>
    </row>
    <row r="90" ht="36" customHeight="1">
      <c r="A90" s="24" t="inlineStr">
        <is>
          <t>e59197dfafcb4e43</t>
        </is>
      </c>
      <c r="B90" s="24" t="inlineStr">
        <is>
          <t>2026-09-09T10:04:28.258161Z</t>
        </is>
      </c>
      <c r="C90" s="24" t="inlineStr">
        <is>
          <t>2026-09-09T11:00:00Z</t>
        </is>
      </c>
      <c r="D90" s="24" t="inlineStr">
        <is>
          <t>104538</t>
        </is>
      </c>
      <c r="E90" s="24" t="inlineStr">
        <is>
          <t>VALORANT</t>
        </is>
      </c>
      <c r="F90" s="24" t="inlineStr">
        <is>
          <t>Unsettled Resentment</t>
        </is>
      </c>
      <c r="G90" s="24" t="inlineStr">
        <is>
          <t>TEC Esports</t>
        </is>
      </c>
      <c r="H90" s="24" t="inlineStr">
        <is>
          <t>moneyline</t>
        </is>
      </c>
      <c r="I90" s="24" t="inlineStr">
        <is>
          <t>home</t>
        </is>
      </c>
      <c r="J90" s="25" t="n"/>
      <c r="K90" s="24" t="inlineStr">
        <is>
          <t>polymarket_us</t>
        </is>
      </c>
      <c r="L90" s="26" t="n">
        <v>-186</v>
      </c>
      <c r="M90" s="27" t="n">
        <v>1.537634</v>
      </c>
      <c r="N90" s="28" t="n">
        <v>0.65035</v>
      </c>
      <c r="O90" s="28" t="n">
        <v>0.564379</v>
      </c>
      <c r="P90" s="28" t="n"/>
      <c r="Q90" s="28" t="n">
        <v>-0.08597100000000001</v>
      </c>
      <c r="R90" s="26" t="n">
        <v>0</v>
      </c>
      <c r="S90" s="29" t="n">
        <v>1</v>
      </c>
      <c r="T90" s="24" t="inlineStr">
        <is>
          <t>valorant-tiered-elo-v6</t>
        </is>
      </c>
      <c r="U90" s="24" t="inlineStr">
        <is>
          <t>settled</t>
        </is>
      </c>
      <c r="V90" s="24" t="inlineStr">
        <is>
          <t>loss</t>
        </is>
      </c>
      <c r="W90" s="26" t="n">
        <v>1</v>
      </c>
      <c r="X90" s="26" t="n">
        <v>0</v>
      </c>
      <c r="Y90" s="25" t="n"/>
      <c r="Z90" s="26" t="n">
        <v>-186</v>
      </c>
      <c r="AA90" s="28" t="n">
        <v>0.65</v>
      </c>
      <c r="AB90" s="28" t="n">
        <v>-0.00035</v>
      </c>
      <c r="AC90" s="30" t="n">
        <v>-1</v>
      </c>
      <c r="AD90" s="24" t="inlineStr">
        <is>
          <t>2026-09-09T16:02:47.144693Z</t>
        </is>
      </c>
      <c r="AE90" s="31" t="inlineStr">
        <is>
          <t>Neutral Elo baseline; executable ask 0.6500 (market_slug=aec-valorant-tec-ur-2026-09-09).</t>
        </is>
      </c>
      <c r="AF90" s="31" t="inlineStr">
        <is>
          <t>Config-promoted esports baseline; gates enforced at log time.</t>
        </is>
      </c>
      <c r="AG90" s="24" t="inlineStr">
        <is>
          <t>review_required</t>
        </is>
      </c>
      <c r="AH90" s="24" t="n"/>
      <c r="AI90" s="31" t="n"/>
      <c r="AJ90" s="31" t="n"/>
      <c r="AK90" s="24" t="inlineStr">
        <is>
          <t>paper_call</t>
        </is>
      </c>
      <c r="AL90" s="26" t="n">
        <v>4</v>
      </c>
      <c r="AM90" s="24" t="inlineStr">
        <is>
          <t>RESEARCH_OBSERVATION</t>
        </is>
      </c>
      <c r="AN90" s="24" t="inlineStr">
        <is>
          <t>CALL</t>
        </is>
      </c>
      <c r="AO90" s="24" t="inlineStr">
        <is>
          <t>PAPER_CALL_LOW_EDGE</t>
        </is>
      </c>
      <c r="AP90" s="24" t="inlineStr">
        <is>
          <t>Unsettled Resentment</t>
        </is>
      </c>
      <c r="AQ90" s="24" t="inlineStr">
        <is>
          <t>Unsettled Resentment</t>
        </is>
      </c>
      <c r="AR90" s="24" t="inlineStr">
        <is>
          <t>Unsettled Resentment</t>
        </is>
      </c>
      <c r="AS90" s="24" t="inlineStr">
        <is>
          <t>TEC Esports</t>
        </is>
      </c>
      <c r="AT90" s="24" t="inlineStr">
        <is>
          <t>TEC Esports</t>
        </is>
      </c>
      <c r="AU90" s="24" t="inlineStr">
        <is>
          <t>TEC Esports</t>
        </is>
      </c>
      <c r="AV90" s="24" t="n"/>
      <c r="AW90" s="24" t="n"/>
      <c r="AX90" s="24" t="inlineStr">
        <is>
          <t>statistical_model</t>
        </is>
      </c>
      <c r="AY90" s="24" t="n"/>
      <c r="AZ90" s="24" t="inlineStr">
        <is>
          <t>shadow_qualified</t>
        </is>
      </c>
      <c r="BA90" s="24" t="inlineStr">
        <is>
          <t>5ac1045478dc665c87b7ecb9f160d69a43fa4da1933db0ac94eb0cb358240e0b</t>
        </is>
      </c>
      <c r="BB90" s="24" t="inlineStr">
        <is>
          <t>neutral_elo</t>
        </is>
      </c>
      <c r="BC90" s="24" t="inlineStr">
        <is>
          <t>valorant-tiered-elo-v6</t>
        </is>
      </c>
      <c r="BD90" s="24" t="inlineStr">
        <is>
          <t>5ac1045478dc665c87b7ecb9f160d69a43fa4da1933db0ac94eb0cb358240e0b</t>
        </is>
      </c>
      <c r="BE90" s="24" t="inlineStr">
        <is>
          <t>1</t>
        </is>
      </c>
      <c r="BF90" s="24" t="inlineStr">
        <is>
          <t>1</t>
        </is>
      </c>
      <c r="BG90" s="24" t="inlineStr">
        <is>
          <t>valorant-tiered-elo-v6</t>
        </is>
      </c>
      <c r="BH90" s="24" t="inlineStr">
        <is>
          <t>2026-09-09T10:04:28.222904Z</t>
        </is>
      </c>
      <c r="BI90" s="24" t="inlineStr">
        <is>
          <t>["same_event","same_team_same_day","same_league_same_day"]</t>
        </is>
      </c>
      <c r="BJ90" s="25" t="n"/>
      <c r="BK90" s="26" t="n">
        <v>-186</v>
      </c>
      <c r="BL90" s="27" t="n">
        <v>1.537634</v>
      </c>
      <c r="BM90" s="28" t="n">
        <v>0.65035</v>
      </c>
      <c r="BN90" s="28" t="n"/>
      <c r="BO90" s="28" t="n"/>
      <c r="BP90" s="25" t="n"/>
      <c r="BQ90" s="27" t="n">
        <v>1.537634</v>
      </c>
      <c r="BR90" s="28" t="n">
        <v>0.65</v>
      </c>
      <c r="BS90" s="28" t="n"/>
      <c r="BT90" s="28" t="n"/>
      <c r="BU90" s="25" t="n"/>
      <c r="BV90" s="29" t="n"/>
      <c r="BW90" s="24" t="n"/>
      <c r="BX90" s="30" t="n"/>
      <c r="BY90" s="27" t="n"/>
      <c r="BZ90" s="24" t="n"/>
      <c r="CA90" s="31" t="n"/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  <c r="CL90" s="24" t="n"/>
      <c r="CM90" s="24" t="n"/>
      <c r="CN90" s="24" t="n"/>
      <c r="CO90" s="24" t="n"/>
      <c r="CP90" s="24" t="n"/>
      <c r="CQ90" s="24" t="n"/>
      <c r="CR90" s="24" t="n"/>
      <c r="CS90" s="24" t="inlineStr">
        <is>
          <t>False</t>
        </is>
      </c>
      <c r="CT90" s="24" t="n"/>
      <c r="CU90" s="24" t="n"/>
      <c r="CV90" s="24" t="n"/>
      <c r="CW90" s="24" t="n"/>
      <c r="CX90" s="24" t="n"/>
      <c r="CY90" s="24" t="n"/>
      <c r="CZ90" s="24" t="n"/>
      <c r="DA90" s="24" t="n"/>
      <c r="DB90" s="24" t="n"/>
      <c r="DC90" s="24" t="n"/>
      <c r="DD90" s="24" t="n"/>
      <c r="DE90" s="24" t="n"/>
      <c r="DF90" s="24" t="n"/>
      <c r="DG90" s="24" t="n"/>
      <c r="DH90" s="24" t="n"/>
      <c r="DI90" s="24" t="n"/>
      <c r="DJ90" s="24" t="inlineStr">
        <is>
          <t>0.65035</t>
        </is>
      </c>
      <c r="DK90" s="24" t="n"/>
      <c r="DL90" s="24" t="n"/>
      <c r="DM90" s="24" t="n"/>
      <c r="DN90" s="24" t="n"/>
      <c r="DO90" s="24" t="n"/>
      <c r="DP90" s="24" t="n"/>
      <c r="DQ90" s="24" t="n"/>
    </row>
    <row r="91" ht="36" customHeight="1">
      <c r="A91" s="24" t="inlineStr">
        <is>
          <t>dff1d2944c1a4b00</t>
        </is>
      </c>
      <c r="B91" s="24" t="inlineStr">
        <is>
          <t>2026-09-09T16:04:45.726805Z</t>
        </is>
      </c>
      <c r="C91" s="24" t="inlineStr">
        <is>
          <t>2026-09-09T20:00:00Z</t>
        </is>
      </c>
      <c r="D91" s="24" t="inlineStr">
        <is>
          <t>105204</t>
        </is>
      </c>
      <c r="E91" s="24" t="inlineStr">
        <is>
          <t>VALORANT</t>
        </is>
      </c>
      <c r="F91" s="24" t="inlineStr">
        <is>
          <t>Ushiras</t>
        </is>
      </c>
      <c r="G91" s="24" t="inlineStr">
        <is>
          <t>Evil Geniuses GC</t>
        </is>
      </c>
      <c r="H91" s="24" t="inlineStr">
        <is>
          <t>moneyline</t>
        </is>
      </c>
      <c r="I91" s="24" t="inlineStr">
        <is>
          <t>home</t>
        </is>
      </c>
      <c r="J91" s="25" t="n"/>
      <c r="K91" s="24" t="inlineStr">
        <is>
          <t>polymarket_us</t>
        </is>
      </c>
      <c r="L91" s="26" t="n">
        <v>-223</v>
      </c>
      <c r="M91" s="27" t="n">
        <v>1.44843</v>
      </c>
      <c r="N91" s="28" t="n">
        <v>0.690402</v>
      </c>
      <c r="O91" s="28" t="n">
        <v>0.528883</v>
      </c>
      <c r="P91" s="28" t="n"/>
      <c r="Q91" s="28" t="n">
        <v>-0.161519</v>
      </c>
      <c r="R91" s="26" t="n">
        <v>0</v>
      </c>
      <c r="S91" s="29" t="n">
        <v>1</v>
      </c>
      <c r="T91" s="24" t="inlineStr">
        <is>
          <t>valorant-tiered-elo-v6</t>
        </is>
      </c>
      <c r="U91" s="24" t="inlineStr">
        <is>
          <t>settled</t>
        </is>
      </c>
      <c r="V91" s="24" t="inlineStr">
        <is>
          <t>win</t>
        </is>
      </c>
      <c r="W91" s="26" t="n">
        <v>0</v>
      </c>
      <c r="X91" s="26" t="n">
        <v>1</v>
      </c>
      <c r="Y91" s="25" t="n"/>
      <c r="Z91" s="26" t="n">
        <v>-223</v>
      </c>
      <c r="AA91" s="28" t="n">
        <v>0.6899999999999999</v>
      </c>
      <c r="AB91" s="28" t="n">
        <v>-0.000402</v>
      </c>
      <c r="AC91" s="30" t="n">
        <v>0.4484</v>
      </c>
      <c r="AD91" s="24" t="inlineStr">
        <is>
          <t>2026-09-09T22:04:24.790878Z</t>
        </is>
      </c>
      <c r="AE91" s="31" t="inlineStr">
        <is>
          <t>Neutral Elo baseline; executable ask 0.6900 (market_slug=aec-valorant-eggc-ushi-2026-09-09).</t>
        </is>
      </c>
      <c r="AF91" s="31" t="inlineStr">
        <is>
          <t>Config-promoted esports baseline; gates enforced at log time.</t>
        </is>
      </c>
      <c r="AG91" s="24" t="inlineStr">
        <is>
          <t>not_applicable</t>
        </is>
      </c>
      <c r="AH91" s="24" t="n"/>
      <c r="AI91" s="31" t="n"/>
      <c r="AJ91" s="31" t="n"/>
      <c r="AK91" s="24" t="inlineStr">
        <is>
          <t>paper_call</t>
        </is>
      </c>
      <c r="AL91" s="26" t="n">
        <v>4</v>
      </c>
      <c r="AM91" s="24" t="inlineStr">
        <is>
          <t>RESEARCH_OBSERVATION</t>
        </is>
      </c>
      <c r="AN91" s="24" t="inlineStr">
        <is>
          <t>CALL</t>
        </is>
      </c>
      <c r="AO91" s="24" t="inlineStr">
        <is>
          <t>PAPER_CALL_LOW_EDGE</t>
        </is>
      </c>
      <c r="AP91" s="24" t="inlineStr">
        <is>
          <t>Ushiras</t>
        </is>
      </c>
      <c r="AQ91" s="24" t="inlineStr">
        <is>
          <t>Ushiras</t>
        </is>
      </c>
      <c r="AR91" s="24" t="inlineStr">
        <is>
          <t>Ushiras</t>
        </is>
      </c>
      <c r="AS91" s="24" t="inlineStr">
        <is>
          <t>Evil Geniuses GC</t>
        </is>
      </c>
      <c r="AT91" s="24" t="inlineStr">
        <is>
          <t>Evil Geniuses GC</t>
        </is>
      </c>
      <c r="AU91" s="24" t="inlineStr">
        <is>
          <t>Evil Geniuses GC</t>
        </is>
      </c>
      <c r="AV91" s="24" t="n"/>
      <c r="AW91" s="24" t="n"/>
      <c r="AX91" s="24" t="inlineStr">
        <is>
          <t>statistical_model</t>
        </is>
      </c>
      <c r="AY91" s="24" t="n"/>
      <c r="AZ91" s="24" t="inlineStr">
        <is>
          <t>shadow_qualified</t>
        </is>
      </c>
      <c r="BA91" s="24" t="inlineStr">
        <is>
          <t>7ad953a70200679b7eec0b8f9065bf29d8bbb96ad3d3324bb4236ce69b480a9f</t>
        </is>
      </c>
      <c r="BB91" s="24" t="inlineStr">
        <is>
          <t>neutral_elo</t>
        </is>
      </c>
      <c r="BC91" s="24" t="inlineStr">
        <is>
          <t>valorant-tiered-elo-v6</t>
        </is>
      </c>
      <c r="BD91" s="24" t="inlineStr">
        <is>
          <t>7ad953a70200679b7eec0b8f9065bf29d8bbb96ad3d3324bb4236ce69b480a9f</t>
        </is>
      </c>
      <c r="BE91" s="24" t="inlineStr">
        <is>
          <t>1</t>
        </is>
      </c>
      <c r="BF91" s="24" t="inlineStr">
        <is>
          <t>1</t>
        </is>
      </c>
      <c r="BG91" s="24" t="inlineStr">
        <is>
          <t>valorant-tiered-elo-v6</t>
        </is>
      </c>
      <c r="BH91" s="24" t="inlineStr">
        <is>
          <t>2026-09-09T16:04:45.451870Z</t>
        </is>
      </c>
      <c r="BI91" s="24" t="inlineStr">
        <is>
          <t>["same_event","same_team_same_day","same_league_same_day"]</t>
        </is>
      </c>
      <c r="BJ91" s="25" t="n"/>
      <c r="BK91" s="26" t="n">
        <v>-223</v>
      </c>
      <c r="BL91" s="27" t="n">
        <v>1.44843</v>
      </c>
      <c r="BM91" s="28" t="n">
        <v>0.690402</v>
      </c>
      <c r="BN91" s="28" t="n"/>
      <c r="BO91" s="28" t="n"/>
      <c r="BP91" s="25" t="n"/>
      <c r="BQ91" s="27" t="n">
        <v>1.44843</v>
      </c>
      <c r="BR91" s="28" t="n">
        <v>0.6899999999999999</v>
      </c>
      <c r="BS91" s="28" t="n"/>
      <c r="BT91" s="28" t="n"/>
      <c r="BU91" s="25" t="n"/>
      <c r="BV91" s="29" t="n"/>
      <c r="BW91" s="24" t="n"/>
      <c r="BX91" s="30" t="n"/>
      <c r="BY91" s="27" t="n"/>
      <c r="BZ91" s="24" t="n"/>
      <c r="CA91" s="31" t="n"/>
      <c r="CB91" s="24" t="n"/>
      <c r="CC91" s="24" t="n"/>
      <c r="CD91" s="24" t="n"/>
      <c r="CE91" s="24" t="n"/>
      <c r="CF91" s="24" t="n"/>
      <c r="CG91" s="24" t="n"/>
      <c r="CH91" s="24" t="n"/>
      <c r="CI91" s="24" t="n"/>
      <c r="CJ91" s="24" t="n"/>
      <c r="CK91" s="24" t="n"/>
      <c r="CL91" s="24" t="n"/>
      <c r="CM91" s="24" t="n"/>
      <c r="CN91" s="24" t="n"/>
      <c r="CO91" s="24" t="n"/>
      <c r="CP91" s="24" t="n"/>
      <c r="CQ91" s="24" t="n"/>
      <c r="CR91" s="24" t="n"/>
      <c r="CS91" s="24" t="inlineStr">
        <is>
          <t>False</t>
        </is>
      </c>
      <c r="CT91" s="24" t="n"/>
      <c r="CU91" s="24" t="n"/>
      <c r="CV91" s="24" t="n"/>
      <c r="CW91" s="24" t="n"/>
      <c r="CX91" s="24" t="n"/>
      <c r="CY91" s="24" t="n"/>
      <c r="CZ91" s="24" t="n"/>
      <c r="DA91" s="24" t="n"/>
      <c r="DB91" s="24" t="n"/>
      <c r="DC91" s="24" t="n"/>
      <c r="DD91" s="24" t="n"/>
      <c r="DE91" s="24" t="n"/>
      <c r="DF91" s="24" t="n"/>
      <c r="DG91" s="24" t="n"/>
      <c r="DH91" s="24" t="n"/>
      <c r="DI91" s="24" t="n"/>
      <c r="DJ91" s="24" t="inlineStr">
        <is>
          <t>0.690402</t>
        </is>
      </c>
      <c r="DK91" s="24" t="n"/>
      <c r="DL91" s="24" t="n"/>
      <c r="DM91" s="24" t="n"/>
      <c r="DN91" s="24" t="n"/>
      <c r="DO91" s="24" t="n"/>
      <c r="DP91" s="24" t="n"/>
      <c r="DQ91" s="24" t="n"/>
    </row>
    <row r="92" ht="36" customHeight="1">
      <c r="A92" s="24" t="inlineStr">
        <is>
          <t>8635ef317e32445f</t>
        </is>
      </c>
      <c r="B92" s="24" t="inlineStr">
        <is>
          <t>2026-09-09T22:07:27.370053Z</t>
        </is>
      </c>
      <c r="C92" s="24" t="inlineStr">
        <is>
          <t>2026-09-09T23:00:00Z</t>
        </is>
      </c>
      <c r="D92" s="24" t="inlineStr">
        <is>
          <t>105310</t>
        </is>
      </c>
      <c r="E92" s="24" t="inlineStr">
        <is>
          <t>VALORANT</t>
        </is>
      </c>
      <c r="F92" s="24" t="inlineStr">
        <is>
          <t>Team Liquid Brazil</t>
        </is>
      </c>
      <c r="G92" s="24" t="inlineStr">
        <is>
          <t>MIBR GC</t>
        </is>
      </c>
      <c r="H92" s="24" t="inlineStr">
        <is>
          <t>moneyline</t>
        </is>
      </c>
      <c r="I92" s="24" t="inlineStr">
        <is>
          <t>home</t>
        </is>
      </c>
      <c r="J92" s="25" t="n"/>
      <c r="K92" s="24" t="inlineStr">
        <is>
          <t>polymarket_us</t>
        </is>
      </c>
      <c r="L92" s="26" t="n">
        <v>-108</v>
      </c>
      <c r="M92" s="27" t="n">
        <v>1.925926</v>
      </c>
      <c r="N92" s="28" t="n">
        <v>0.519231</v>
      </c>
      <c r="O92" s="28" t="n">
        <v>0.684821</v>
      </c>
      <c r="P92" s="28" t="n"/>
      <c r="Q92" s="28" t="n">
        <v>0.16559</v>
      </c>
      <c r="R92" s="26" t="n">
        <v>100</v>
      </c>
      <c r="S92" s="29" t="n">
        <v>1.75</v>
      </c>
      <c r="T92" s="24" t="inlineStr">
        <is>
          <t>valorant-tiered-elo-v6</t>
        </is>
      </c>
      <c r="U92" s="24" t="inlineStr">
        <is>
          <t>settled</t>
        </is>
      </c>
      <c r="V92" s="24" t="inlineStr">
        <is>
          <t>loss</t>
        </is>
      </c>
      <c r="W92" s="26" t="n">
        <v>1</v>
      </c>
      <c r="X92" s="26" t="n">
        <v>0</v>
      </c>
      <c r="Y92" s="25" t="n"/>
      <c r="Z92" s="26" t="n">
        <v>-108</v>
      </c>
      <c r="AA92" s="28" t="n">
        <v>0.52</v>
      </c>
      <c r="AB92" s="28" t="n">
        <v>0.000769</v>
      </c>
      <c r="AC92" s="30" t="n">
        <v>-1.75</v>
      </c>
      <c r="AD92" s="24" t="inlineStr">
        <is>
          <t>2026-09-10T04:34:02.689675Z</t>
        </is>
      </c>
      <c r="AE92" s="31" t="inlineStr">
        <is>
          <t>Neutral Elo baseline; executable ask 0.5200 (market_slug=aec-valorant-mibrf-tlb-2026-09-09).</t>
        </is>
      </c>
      <c r="AF92" s="31" t="inlineStr">
        <is>
          <t>Config-promoted esports baseline; gates enforced at log time.</t>
        </is>
      </c>
      <c r="AG92" s="24" t="inlineStr">
        <is>
          <t>review_required</t>
        </is>
      </c>
      <c r="AH92" s="24" t="n"/>
      <c r="AI92" s="31" t="n"/>
      <c r="AJ92" s="31" t="n"/>
      <c r="AK92" s="24" t="inlineStr">
        <is>
          <t>model_qualified</t>
        </is>
      </c>
      <c r="AL92" s="26" t="n">
        <v>4</v>
      </c>
      <c r="AM92" s="24" t="inlineStr">
        <is>
          <t>QUALIFIED_SHADOW_CALL</t>
        </is>
      </c>
      <c r="AN92" s="24" t="inlineStr">
        <is>
          <t>CALL</t>
        </is>
      </c>
      <c r="AO92" s="24" t="inlineStr">
        <is>
          <t>QUALIFIED</t>
        </is>
      </c>
      <c r="AP92" s="24" t="inlineStr">
        <is>
          <t>Team Liquid Brazil</t>
        </is>
      </c>
      <c r="AQ92" s="24" t="inlineStr">
        <is>
          <t>Team Liquid Brazil</t>
        </is>
      </c>
      <c r="AR92" s="24" t="inlineStr">
        <is>
          <t>Team Liquid Brazil</t>
        </is>
      </c>
      <c r="AS92" s="24" t="inlineStr">
        <is>
          <t>MIBR GC</t>
        </is>
      </c>
      <c r="AT92" s="24" t="inlineStr">
        <is>
          <t>MIBR GC</t>
        </is>
      </c>
      <c r="AU92" s="24" t="inlineStr">
        <is>
          <t>MIBR GC</t>
        </is>
      </c>
      <c r="AV92" s="24" t="n"/>
      <c r="AW92" s="24" t="n"/>
      <c r="AX92" s="24" t="inlineStr">
        <is>
          <t>statistical_model</t>
        </is>
      </c>
      <c r="AY92" s="24" t="n"/>
      <c r="AZ92" s="24" t="inlineStr">
        <is>
          <t>shadow_qualified</t>
        </is>
      </c>
      <c r="BA92" s="24" t="inlineStr">
        <is>
          <t>d0204eec7fc038eeb4f16dffb6495d6f401d88c5f65327efa9eb428f3cb376e3</t>
        </is>
      </c>
      <c r="BB92" s="24" t="inlineStr">
        <is>
          <t>neutral_elo</t>
        </is>
      </c>
      <c r="BC92" s="24" t="inlineStr">
        <is>
          <t>valorant-tiered-elo-v6</t>
        </is>
      </c>
      <c r="BD92" s="24" t="inlineStr">
        <is>
          <t>d0204eec7fc038eeb4f16dffb6495d6f401d88c5f65327efa9eb428f3cb376e3</t>
        </is>
      </c>
      <c r="BE92" s="24" t="inlineStr">
        <is>
          <t>1</t>
        </is>
      </c>
      <c r="BF92" s="24" t="inlineStr">
        <is>
          <t>1</t>
        </is>
      </c>
      <c r="BG92" s="24" t="inlineStr">
        <is>
          <t>valorant-tiered-elo-v6</t>
        </is>
      </c>
      <c r="BH92" s="24" t="inlineStr">
        <is>
          <t>2026-09-09T22:07:27.098090Z</t>
        </is>
      </c>
      <c r="BI92" s="24" t="inlineStr">
        <is>
          <t>["same_event","same_team_same_day","same_league_same_day"]</t>
        </is>
      </c>
      <c r="BJ92" s="25" t="n"/>
      <c r="BK92" s="26" t="n">
        <v>-108</v>
      </c>
      <c r="BL92" s="27" t="n">
        <v>1.925926</v>
      </c>
      <c r="BM92" s="28" t="n">
        <v>0.519231</v>
      </c>
      <c r="BN92" s="28" t="n"/>
      <c r="BO92" s="28" t="n"/>
      <c r="BP92" s="25" t="n"/>
      <c r="BQ92" s="27" t="n">
        <v>1.925926</v>
      </c>
      <c r="BR92" s="28" t="n">
        <v>0.52</v>
      </c>
      <c r="BS92" s="28" t="n"/>
      <c r="BT92" s="28" t="n"/>
      <c r="BU92" s="25" t="n"/>
      <c r="BV92" s="29" t="n"/>
      <c r="BW92" s="24" t="n"/>
      <c r="BX92" s="30" t="n"/>
      <c r="BY92" s="27" t="n"/>
      <c r="BZ92" s="24" t="n"/>
      <c r="CA92" s="31" t="n"/>
      <c r="CB92" s="24" t="n"/>
      <c r="CC92" s="24" t="n"/>
      <c r="CD92" s="24" t="n"/>
      <c r="CE92" s="24" t="n"/>
      <c r="CF92" s="24" t="n"/>
      <c r="CG92" s="24" t="n"/>
      <c r="CH92" s="24" t="n"/>
      <c r="CI92" s="24" t="n"/>
      <c r="CJ92" s="24" t="n"/>
      <c r="CK92" s="24" t="n"/>
      <c r="CL92" s="24" t="n"/>
      <c r="CM92" s="24" t="n"/>
      <c r="CN92" s="24" t="n"/>
      <c r="CO92" s="24" t="n"/>
      <c r="CP92" s="24" t="n"/>
      <c r="CQ92" s="24" t="n"/>
      <c r="CR92" s="24" t="n"/>
      <c r="CS92" s="24" t="inlineStr">
        <is>
          <t>True</t>
        </is>
      </c>
      <c r="CT92" s="24" t="n"/>
      <c r="CU92" s="24" t="n"/>
      <c r="CV92" s="24" t="n"/>
      <c r="CW92" s="24" t="n"/>
      <c r="CX92" s="24" t="n"/>
      <c r="CY92" s="24" t="n"/>
      <c r="CZ92" s="24" t="n"/>
      <c r="DA92" s="24" t="n"/>
      <c r="DB92" s="24" t="n"/>
      <c r="DC92" s="24" t="n"/>
      <c r="DD92" s="24" t="n"/>
      <c r="DE92" s="24" t="n"/>
      <c r="DF92" s="24" t="n"/>
      <c r="DG92" s="24" t="n"/>
      <c r="DH92" s="24" t="n"/>
      <c r="DI92" s="24" t="n"/>
      <c r="DJ92" s="24" t="inlineStr">
        <is>
          <t>0.519231</t>
        </is>
      </c>
      <c r="DK92" s="24" t="n"/>
      <c r="DL92" s="24" t="n"/>
      <c r="DM92" s="24" t="n"/>
      <c r="DN92" s="24" t="n"/>
      <c r="DO92" s="24" t="n"/>
      <c r="DP92" s="24" t="n"/>
      <c r="DQ92" s="24" t="n"/>
    </row>
    <row r="93" ht="36" customHeight="1">
      <c r="A93" s="24" t="inlineStr">
        <is>
          <t>f5d9d03784bd4948</t>
        </is>
      </c>
      <c r="B93" s="24" t="inlineStr">
        <is>
          <t>2026-09-10T10:04:52.886878Z</t>
        </is>
      </c>
      <c r="C93" s="24" t="inlineStr">
        <is>
          <t>2026-09-10T16:00:00Z</t>
        </is>
      </c>
      <c r="D93" s="24" t="inlineStr">
        <is>
          <t>108290</t>
        </is>
      </c>
      <c r="E93" s="24" t="inlineStr">
        <is>
          <t>VALORANT</t>
        </is>
      </c>
      <c r="F93" s="24" t="inlineStr">
        <is>
          <t>RIZON</t>
        </is>
      </c>
      <c r="G93" s="24" t="inlineStr">
        <is>
          <t>GamerZ Esports</t>
        </is>
      </c>
      <c r="H93" s="24" t="inlineStr">
        <is>
          <t>moneyline</t>
        </is>
      </c>
      <c r="I93" s="24" t="inlineStr">
        <is>
          <t>home</t>
        </is>
      </c>
      <c r="J93" s="25" t="n"/>
      <c r="K93" s="24" t="inlineStr">
        <is>
          <t>polymarket_us</t>
        </is>
      </c>
      <c r="L93" s="26" t="n">
        <v>108</v>
      </c>
      <c r="M93" s="27" t="n">
        <v>2.08</v>
      </c>
      <c r="N93" s="28" t="n">
        <v>0.480769</v>
      </c>
      <c r="O93" s="28" t="n">
        <v>0.558507</v>
      </c>
      <c r="P93" s="28" t="n"/>
      <c r="Q93" s="28" t="n">
        <v>0.077738</v>
      </c>
      <c r="R93" s="26" t="n">
        <v>59</v>
      </c>
      <c r="S93" s="29" t="n">
        <v>1.25</v>
      </c>
      <c r="T93" s="24" t="inlineStr">
        <is>
          <t>valorant-tiered-elo-v6</t>
        </is>
      </c>
      <c r="U93" s="24" t="inlineStr">
        <is>
          <t>settled</t>
        </is>
      </c>
      <c r="V93" s="24" t="inlineStr">
        <is>
          <t>loss</t>
        </is>
      </c>
      <c r="W93" s="26" t="n">
        <v>1</v>
      </c>
      <c r="X93" s="26" t="n">
        <v>0</v>
      </c>
      <c r="Y93" s="25" t="n"/>
      <c r="Z93" s="26" t="n">
        <v>108</v>
      </c>
      <c r="AA93" s="28" t="n">
        <v>0.48</v>
      </c>
      <c r="AB93" s="28" t="n">
        <v>-0.000769</v>
      </c>
      <c r="AC93" s="30" t="n">
        <v>-1.25</v>
      </c>
      <c r="AD93" s="24" t="inlineStr">
        <is>
          <t>2026-09-10T22:03:22.567871Z</t>
        </is>
      </c>
      <c r="AE93" s="31" t="inlineStr">
        <is>
          <t>Neutral Elo baseline; executable ask 0.4800 (market_slug=aec-valorant-gze-rzn-2026-09-10).</t>
        </is>
      </c>
      <c r="AF93" s="31" t="inlineStr">
        <is>
          <t>Config-promoted esports baseline; gates enforced at log time.</t>
        </is>
      </c>
      <c r="AG93" s="24" t="inlineStr">
        <is>
          <t>review_required</t>
        </is>
      </c>
      <c r="AH93" s="24" t="n"/>
      <c r="AI93" s="31" t="n"/>
      <c r="AJ93" s="31" t="n"/>
      <c r="AK93" s="24" t="inlineStr">
        <is>
          <t>model_qualified</t>
        </is>
      </c>
      <c r="AL93" s="26" t="n">
        <v>4</v>
      </c>
      <c r="AM93" s="24" t="inlineStr">
        <is>
          <t>QUALIFIED_SHADOW_CALL</t>
        </is>
      </c>
      <c r="AN93" s="24" t="inlineStr">
        <is>
          <t>CALL</t>
        </is>
      </c>
      <c r="AO93" s="24" t="inlineStr">
        <is>
          <t>QUALIFIED</t>
        </is>
      </c>
      <c r="AP93" s="24" t="inlineStr">
        <is>
          <t>RIZON</t>
        </is>
      </c>
      <c r="AQ93" s="24" t="inlineStr">
        <is>
          <t>RIZON</t>
        </is>
      </c>
      <c r="AR93" s="24" t="inlineStr">
        <is>
          <t>RIZON</t>
        </is>
      </c>
      <c r="AS93" s="24" t="inlineStr">
        <is>
          <t>GamerZ Esports</t>
        </is>
      </c>
      <c r="AT93" s="24" t="inlineStr">
        <is>
          <t>GamerZ Esports</t>
        </is>
      </c>
      <c r="AU93" s="24" t="inlineStr">
        <is>
          <t>GamerZ Esports</t>
        </is>
      </c>
      <c r="AV93" s="24" t="n"/>
      <c r="AW93" s="24" t="n"/>
      <c r="AX93" s="24" t="inlineStr">
        <is>
          <t>statistical_model</t>
        </is>
      </c>
      <c r="AY93" s="24" t="n"/>
      <c r="AZ93" s="24" t="inlineStr">
        <is>
          <t>shadow_qualified</t>
        </is>
      </c>
      <c r="BA93" s="24" t="inlineStr">
        <is>
          <t>19b2bac58d385275734aeed6e05c71be11ed573253f35092d3915725388d44ac</t>
        </is>
      </c>
      <c r="BB93" s="24" t="inlineStr">
        <is>
          <t>neutral_elo</t>
        </is>
      </c>
      <c r="BC93" s="24" t="inlineStr">
        <is>
          <t>valorant-tiered-elo-v6</t>
        </is>
      </c>
      <c r="BD93" s="24" t="inlineStr">
        <is>
          <t>19b2bac58d385275734aeed6e05c71be11ed573253f35092d3915725388d44ac</t>
        </is>
      </c>
      <c r="BE93" s="24" t="inlineStr">
        <is>
          <t>1</t>
        </is>
      </c>
      <c r="BF93" s="24" t="inlineStr">
        <is>
          <t>1</t>
        </is>
      </c>
      <c r="BG93" s="24" t="inlineStr">
        <is>
          <t>valorant-tiered-elo-v6</t>
        </is>
      </c>
      <c r="BH93" s="24" t="inlineStr">
        <is>
          <t>2026-09-10T10:04:52.518620Z</t>
        </is>
      </c>
      <c r="BI93" s="24" t="inlineStr">
        <is>
          <t>["same_event","same_team_same_day","same_league_same_day"]</t>
        </is>
      </c>
      <c r="BJ93" s="25" t="n"/>
      <c r="BK93" s="26" t="n">
        <v>108</v>
      </c>
      <c r="BL93" s="27" t="n">
        <v>2.08</v>
      </c>
      <c r="BM93" s="28" t="n">
        <v>0.480769</v>
      </c>
      <c r="BN93" s="28" t="n"/>
      <c r="BO93" s="28" t="n"/>
      <c r="BP93" s="25" t="n"/>
      <c r="BQ93" s="27" t="n">
        <v>2.08</v>
      </c>
      <c r="BR93" s="28" t="n">
        <v>0.48</v>
      </c>
      <c r="BS93" s="28" t="n"/>
      <c r="BT93" s="28" t="n"/>
      <c r="BU93" s="25" t="n"/>
      <c r="BV93" s="29" t="n"/>
      <c r="BW93" s="24" t="n"/>
      <c r="BX93" s="30" t="n"/>
      <c r="BY93" s="27" t="n"/>
      <c r="BZ93" s="24" t="n"/>
      <c r="CA93" s="31" t="n"/>
      <c r="CB93" s="24" t="n"/>
      <c r="CC93" s="24" t="n"/>
      <c r="CD93" s="24" t="n"/>
      <c r="CE93" s="24" t="n"/>
      <c r="CF93" s="24" t="n"/>
      <c r="CG93" s="24" t="n"/>
      <c r="CH93" s="24" t="n"/>
      <c r="CI93" s="24" t="n"/>
      <c r="CJ93" s="24" t="n"/>
      <c r="CK93" s="24" t="n"/>
      <c r="CL93" s="24" t="n"/>
      <c r="CM93" s="24" t="n"/>
      <c r="CN93" s="24" t="n"/>
      <c r="CO93" s="24" t="n"/>
      <c r="CP93" s="24" t="n"/>
      <c r="CQ93" s="24" t="n"/>
      <c r="CR93" s="24" t="n"/>
      <c r="CS93" s="24" t="inlineStr">
        <is>
          <t>True</t>
        </is>
      </c>
      <c r="CT93" s="24" t="n"/>
      <c r="CU93" s="24" t="n"/>
      <c r="CV93" s="24" t="n"/>
      <c r="CW93" s="24" t="n"/>
      <c r="CX93" s="24" t="n"/>
      <c r="CY93" s="24" t="n"/>
      <c r="CZ93" s="24" t="n"/>
      <c r="DA93" s="24" t="n"/>
      <c r="DB93" s="24" t="n"/>
      <c r="DC93" s="24" t="n"/>
      <c r="DD93" s="24" t="n"/>
      <c r="DE93" s="24" t="n"/>
      <c r="DF93" s="24" t="n"/>
      <c r="DG93" s="24" t="n"/>
      <c r="DH93" s="24" t="n"/>
      <c r="DI93" s="24" t="n"/>
      <c r="DJ93" s="24" t="inlineStr">
        <is>
          <t>0.480769</t>
        </is>
      </c>
      <c r="DK93" s="24" t="n"/>
      <c r="DL93" s="24" t="n"/>
      <c r="DM93" s="24" t="n"/>
      <c r="DN93" s="24" t="n"/>
      <c r="DO93" s="24" t="n"/>
      <c r="DP93" s="24" t="n"/>
      <c r="DQ93" s="24" t="inlineStr">
        <is>
          <t>{"artifact_hash": "19b2bac58d385275734aeed6e05c71be11ed573253f35092d3915725388d44ac", "away_team": "RIZON", "event_id": "108290", "event_start_utc": "2026-09-10T16:00:00Z", "features": {"away_elo": 1535.318487, "away_history_count": 55, "home_elo": 1600.361158, "home_history_count": 4}, "historical_source_observation_times_verified": false, "home_team": "GamerZ Esports", "inference_inputs": {"book_state": {"games_played": {"bo3:2:25252": 4, "bo3:2:6695": 55}, "inactivity_half_life_days": null, "inactivity_max_pull": null, "k": 64.0, "last_match_utc": {"bo3:2:25252": "2026-09-09T16:00:00Z", "bo3:2:6695": "2026-09-09T18:15:00Z"}, "minimum_reliable_games": null, "platt_intercept": 0.11519128846156909, "platt_slope": 0.7616123118983246, "ratings": {"bo3:2:25252": 1600.361158, "bo3:2:6695": 1535.318487},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"2026-09-10T10:04:52.248444+00:00", "team_ids": ["bo3:2:25252", "bo3:2:6695"]}, "market_type": "moneyline", "model_version": "valorant-tiered-elo-v6", "observed_at_utc": "2026-09-10T10:04:52.248444+00:00", "probabilities": {"away": 0.441493, "home": 0.558507}, "replay_scope": "Exact serving book state, calibration, temperature, inactivity reference and thin-history adjustments; training provenance not certified.", "schema": "esports-elo-replay-v1", "snapshot_hash": "df66d0278a5e14c9d38631f7862b318af2370acc9a1464acf4fddd15723aa053", "sport": "VALORANT"}</t>
        </is>
      </c>
    </row>
    <row r="94" ht="36" customHeight="1">
      <c r="A94" s="24" t="inlineStr">
        <is>
          <t>02ad755a46744bba</t>
        </is>
      </c>
      <c r="B94" s="24" t="inlineStr">
        <is>
          <t>2026-09-11T04:34:25.713292Z</t>
        </is>
      </c>
      <c r="C94" s="24" t="inlineStr">
        <is>
          <t>2026-09-11T09:00:00Z</t>
        </is>
      </c>
      <c r="D94" s="24" t="inlineStr">
        <is>
          <t>107799</t>
        </is>
      </c>
      <c r="E94" s="24" t="inlineStr">
        <is>
          <t>VALORANT</t>
        </is>
      </c>
      <c r="F94" s="24" t="inlineStr">
        <is>
          <t>Unsettled Resentment</t>
        </is>
      </c>
      <c r="G94" s="24" t="inlineStr">
        <is>
          <t>KeepBest Gaming</t>
        </is>
      </c>
      <c r="H94" s="24" t="inlineStr">
        <is>
          <t>moneyline</t>
        </is>
      </c>
      <c r="I94" s="24" t="inlineStr">
        <is>
          <t>away</t>
        </is>
      </c>
      <c r="J94" s="25" t="n"/>
      <c r="K94" s="24" t="inlineStr">
        <is>
          <t>polymarket_us</t>
        </is>
      </c>
      <c r="L94" s="26" t="n">
        <v>-113</v>
      </c>
      <c r="M94" s="27" t="n">
        <v>1.884956</v>
      </c>
      <c r="N94" s="28" t="n">
        <v>0.530516</v>
      </c>
      <c r="O94" s="28" t="n">
        <v>0.537999</v>
      </c>
      <c r="P94" s="28" t="n"/>
      <c r="Q94" s="28" t="n">
        <v>0.007483</v>
      </c>
      <c r="R94" s="26" t="n">
        <v>24</v>
      </c>
      <c r="S94" s="29" t="n">
        <v>1</v>
      </c>
      <c r="T94" s="24" t="inlineStr">
        <is>
          <t>valorant-tiered-elo-v6</t>
        </is>
      </c>
      <c r="U94" s="24" t="inlineStr">
        <is>
          <t>settled</t>
        </is>
      </c>
      <c r="V94" s="24" t="inlineStr">
        <is>
          <t>loss</t>
        </is>
      </c>
      <c r="W94" s="26" t="n">
        <v>0</v>
      </c>
      <c r="X94" s="26" t="n">
        <v>1</v>
      </c>
      <c r="Y94" s="25" t="n"/>
      <c r="Z94" s="26" t="n">
        <v>-113</v>
      </c>
      <c r="AA94" s="28" t="n">
        <v>0.53</v>
      </c>
      <c r="AB94" s="28" t="n">
        <v>-0.000516</v>
      </c>
      <c r="AC94" s="30" t="n">
        <v>-1</v>
      </c>
      <c r="AD94" s="24" t="inlineStr">
        <is>
          <t>2026-09-11T16:02:53.303670Z</t>
        </is>
      </c>
      <c r="AE94" s="31" t="inlineStr">
        <is>
          <t>Neutral Elo baseline; executable ask 0.5300 (market_slug=aec-valorant-kbg-ur-2026-09-11).</t>
        </is>
      </c>
      <c r="AF94" s="31" t="inlineStr">
        <is>
          <t>Config-promoted esports baseline; gates enforced at log time.</t>
        </is>
      </c>
      <c r="AG94" s="24" t="inlineStr">
        <is>
          <t>review_required</t>
        </is>
      </c>
      <c r="AH94" s="24" t="n"/>
      <c r="AI94" s="31" t="n"/>
      <c r="AJ94" s="31" t="n"/>
      <c r="AK94" s="24" t="inlineStr">
        <is>
          <t>paper_call</t>
        </is>
      </c>
      <c r="AL94" s="26" t="n">
        <v>4</v>
      </c>
      <c r="AM94" s="24" t="inlineStr">
        <is>
          <t>RESEARCH_OBSERVATION</t>
        </is>
      </c>
      <c r="AN94" s="24" t="inlineStr">
        <is>
          <t>CALL</t>
        </is>
      </c>
      <c r="AO94" s="24" t="inlineStr">
        <is>
          <t>PAPER_CALL_LOW_EDGE</t>
        </is>
      </c>
      <c r="AP94" s="24" t="inlineStr">
        <is>
          <t>Unsettled Resentment</t>
        </is>
      </c>
      <c r="AQ94" s="24" t="inlineStr">
        <is>
          <t>Unsettled Resentment</t>
        </is>
      </c>
      <c r="AR94" s="24" t="inlineStr">
        <is>
          <t>Unsettled Resentment</t>
        </is>
      </c>
      <c r="AS94" s="24" t="inlineStr">
        <is>
          <t>KeepBest Gaming</t>
        </is>
      </c>
      <c r="AT94" s="24" t="inlineStr">
        <is>
          <t>KeepBest Gaming</t>
        </is>
      </c>
      <c r="AU94" s="24" t="inlineStr">
        <is>
          <t>KeepBest Gaming</t>
        </is>
      </c>
      <c r="AV94" s="24" t="n"/>
      <c r="AW94" s="24" t="n"/>
      <c r="AX94" s="24" t="inlineStr">
        <is>
          <t>statistical_model</t>
        </is>
      </c>
      <c r="AY94" s="24" t="n"/>
      <c r="AZ94" s="24" t="inlineStr">
        <is>
          <t>shadow_qualified</t>
        </is>
      </c>
      <c r="BA94" s="24" t="inlineStr">
        <is>
          <t>e67d42f954f3ce99e469a94fb9ffc5942987caec40bae5fcd694c259c49de120</t>
        </is>
      </c>
      <c r="BB94" s="24" t="inlineStr">
        <is>
          <t>neutral_elo</t>
        </is>
      </c>
      <c r="BC94" s="24" t="inlineStr">
        <is>
          <t>valorant-tiered-elo-v6</t>
        </is>
      </c>
      <c r="BD94" s="24" t="inlineStr">
        <is>
          <t>e67d42f954f3ce99e469a94fb9ffc5942987caec40bae5fcd694c259c49de120</t>
        </is>
      </c>
      <c r="BE94" s="24" t="inlineStr">
        <is>
          <t>1</t>
        </is>
      </c>
      <c r="BF94" s="24" t="inlineStr">
        <is>
          <t>1</t>
        </is>
      </c>
      <c r="BG94" s="24" t="inlineStr">
        <is>
          <t>valorant-tiered-elo-v6</t>
        </is>
      </c>
      <c r="BH94" s="24" t="inlineStr">
        <is>
          <t>2026-09-11T04:34:25.339612Z</t>
        </is>
      </c>
      <c r="BI94" s="24" t="inlineStr">
        <is>
          <t>["same_event","same_team_same_day","same_league_same_day"]</t>
        </is>
      </c>
      <c r="BJ94" s="25" t="n"/>
      <c r="BK94" s="26" t="n">
        <v>-113</v>
      </c>
      <c r="BL94" s="27" t="n">
        <v>1.884956</v>
      </c>
      <c r="BM94" s="28" t="n">
        <v>0.530516</v>
      </c>
      <c r="BN94" s="28" t="n"/>
      <c r="BO94" s="28" t="n"/>
      <c r="BP94" s="25" t="n"/>
      <c r="BQ94" s="27" t="n">
        <v>1.884956</v>
      </c>
      <c r="BR94" s="28" t="n">
        <v>0.53</v>
      </c>
      <c r="BS94" s="28" t="n"/>
      <c r="BT94" s="28" t="n"/>
      <c r="BU94" s="25" t="n"/>
      <c r="BV94" s="29" t="n"/>
      <c r="BW94" s="24" t="n"/>
      <c r="BX94" s="30" t="n"/>
      <c r="BY94" s="27" t="n"/>
      <c r="BZ94" s="24" t="n"/>
      <c r="CA94" s="31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  <c r="CP94" s="24" t="n"/>
      <c r="CQ94" s="24" t="n"/>
      <c r="CR94" s="24" t="n"/>
      <c r="CS94" s="24" t="inlineStr">
        <is>
          <t>True</t>
        </is>
      </c>
      <c r="CT94" s="24" t="n"/>
      <c r="CU94" s="24" t="n"/>
      <c r="CV94" s="24" t="n"/>
      <c r="CW94" s="24" t="n"/>
      <c r="CX94" s="24" t="n"/>
      <c r="CY94" s="24" t="n"/>
      <c r="CZ94" s="24" t="n"/>
      <c r="DA94" s="24" t="n"/>
      <c r="DB94" s="24" t="n"/>
      <c r="DC94" s="24" t="n"/>
      <c r="DD94" s="24" t="n"/>
      <c r="DE94" s="24" t="n"/>
      <c r="DF94" s="24" t="n"/>
      <c r="DG94" s="24" t="n"/>
      <c r="DH94" s="24" t="n"/>
      <c r="DI94" s="24" t="n"/>
      <c r="DJ94" s="24" t="inlineStr">
        <is>
          <t>0.530516</t>
        </is>
      </c>
      <c r="DK94" s="24" t="n"/>
      <c r="DL94" s="24" t="n"/>
      <c r="DM94" s="24" t="n"/>
      <c r="DN94" s="24" t="n"/>
      <c r="DO94" s="24" t="n"/>
      <c r="DP94" s="24" t="n"/>
      <c r="DQ94" s="24" t="inlineStr">
        <is>
          <t>{"artifact_hash": "e67d42f954f3ce99e469a94fb9ffc5942987caec40bae5fcd694c259c49de120", "away_team": "Unsettled Resentment", "event_id": "107799", "event_start_utc": "2026-09-11T09:00:00Z", "features": {"away_elo": 1558.877941, "away_history_count": 3, "home_elo": 1467.176404, "home_history_count": 18}, "historical_source_observation_times_verified": false, "home_team": "KeepBest Gaming", "inference_inputs": {"book_state": {"games_played": {"bo3:2:24033": 3, "bo3:2:8910": 18}, "inactivity_half_life_days": null, "inactivity_max_pull": null, "k": 64.0, "last_match_utc": {"bo3:2:24033": "2026-09-09T11:20:00Z", "bo3:2:8910": "2026-09-09T09:00:00Z"}, "minimum_reliable_games": null, "platt_intercept": 0.11784152432970103, "platt_slope": 0.7605082479919927, "ratings": {"bo3:2:24033": 1558.877941, "bo3:2:8910": 1467.176404},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"2026-09-11T04:34:25.268861+00:00", "team_ids": ["bo3:2:8910", "bo3:2:24033"]}, "market_type": "moneyline", "model_version": "valorant-tiered-elo-v6", "observed_at_utc": "2026-09-11T04:34:25.268861+00:00", "probabilities": {"away": 0.537999, "home": 0.462001}, "replay_scope": "Exact serving book state, calibration, temperature, inactivity reference and thin-history adjustments; training provenance not certified.", "schema": "esports-elo-replay-v1", "snapshot_hash": "be3a98d7caec03e361c2a3478070241abdfd363482fe69e863487e55a9ebe218", "sport": "VALORANT"}</t>
        </is>
      </c>
    </row>
    <row r="95" ht="36" customHeight="1">
      <c r="A95" s="24" t="inlineStr">
        <is>
          <t>e33c706feb5d44fc</t>
        </is>
      </c>
      <c r="B95" s="24" t="inlineStr">
        <is>
          <t>2026-09-12T04:38:16.903854Z</t>
        </is>
      </c>
      <c r="C95" s="24" t="inlineStr">
        <is>
          <t>2026-09-12T09:00:00Z</t>
        </is>
      </c>
      <c r="D95" s="24" t="inlineStr">
        <is>
          <t>109526</t>
        </is>
      </c>
      <c r="E95" s="24" t="inlineStr">
        <is>
          <t>VALORANT</t>
        </is>
      </c>
      <c r="F95" s="24" t="inlineStr">
        <is>
          <t>Any Questions Gaming</t>
        </is>
      </c>
      <c r="G95" s="24" t="inlineStr">
        <is>
          <t>Unsettled Resentment</t>
        </is>
      </c>
      <c r="H95" s="24" t="inlineStr">
        <is>
          <t>moneyline</t>
        </is>
      </c>
      <c r="I95" s="24" t="inlineStr">
        <is>
          <t>home</t>
        </is>
      </c>
      <c r="J95" s="25" t="n"/>
      <c r="K95" s="24" t="inlineStr">
        <is>
          <t>polymarket_us</t>
        </is>
      </c>
      <c r="L95" s="26" t="n">
        <v>144</v>
      </c>
      <c r="M95" s="27" t="n">
        <v>2.44</v>
      </c>
      <c r="N95" s="28" t="n">
        <v>0.409836</v>
      </c>
      <c r="O95" s="28" t="n">
        <v>0.514889</v>
      </c>
      <c r="P95" s="28" t="n"/>
      <c r="Q95" s="28" t="n">
        <v>0.105053</v>
      </c>
      <c r="R95" s="26" t="n">
        <v>73</v>
      </c>
      <c r="S95" s="29" t="n">
        <v>1.25</v>
      </c>
      <c r="T95" s="24" t="inlineStr">
        <is>
          <t>valorant-tiered-elo-v6</t>
        </is>
      </c>
      <c r="U95" s="24" t="inlineStr">
        <is>
          <t>settled</t>
        </is>
      </c>
      <c r="V95" s="24" t="inlineStr">
        <is>
          <t>loss</t>
        </is>
      </c>
      <c r="W95" s="26" t="n">
        <v>1</v>
      </c>
      <c r="X95" s="26" t="n">
        <v>0</v>
      </c>
      <c r="Y95" s="25" t="n"/>
      <c r="Z95" s="26" t="n">
        <v>144</v>
      </c>
      <c r="AA95" s="28" t="n">
        <v>0.41</v>
      </c>
      <c r="AB95" s="28" t="n">
        <v>0.000164</v>
      </c>
      <c r="AC95" s="30" t="n">
        <v>-1.25</v>
      </c>
      <c r="AD95" s="24" t="inlineStr">
        <is>
          <t>2026-09-12T16:03:05.444577Z</t>
        </is>
      </c>
      <c r="AE95" s="31" t="inlineStr">
        <is>
          <t>Neutral Elo baseline; executable ask 0.4100 (market_slug=aec-valorant-ur-aq-2026-09-12).</t>
        </is>
      </c>
      <c r="AF95" s="31" t="inlineStr">
        <is>
          <t>Config-promoted esports baseline; gates enforced at log time.</t>
        </is>
      </c>
      <c r="AG95" s="24" t="inlineStr">
        <is>
          <t>review_required</t>
        </is>
      </c>
      <c r="AH95" s="24" t="n"/>
      <c r="AI95" s="31" t="n"/>
      <c r="AJ95" s="31" t="n"/>
      <c r="AK95" s="24" t="inlineStr">
        <is>
          <t>model_qualified</t>
        </is>
      </c>
      <c r="AL95" s="26" t="n">
        <v>4</v>
      </c>
      <c r="AM95" s="24" t="inlineStr">
        <is>
          <t>QUALIFIED_SHADOW_CALL</t>
        </is>
      </c>
      <c r="AN95" s="24" t="inlineStr">
        <is>
          <t>CALL</t>
        </is>
      </c>
      <c r="AO95" s="24" t="inlineStr">
        <is>
          <t>QUALIFIED</t>
        </is>
      </c>
      <c r="AP95" s="24" t="inlineStr">
        <is>
          <t>Any Questions Gaming</t>
        </is>
      </c>
      <c r="AQ95" s="24" t="inlineStr">
        <is>
          <t>Any Questions Gaming</t>
        </is>
      </c>
      <c r="AR95" s="24" t="inlineStr">
        <is>
          <t>Any Questions Gaming</t>
        </is>
      </c>
      <c r="AS95" s="24" t="inlineStr">
        <is>
          <t>Unsettled Resentment</t>
        </is>
      </c>
      <c r="AT95" s="24" t="inlineStr">
        <is>
          <t>Unsettled Resentment</t>
        </is>
      </c>
      <c r="AU95" s="24" t="inlineStr">
        <is>
          <t>Unsettled Resentment</t>
        </is>
      </c>
      <c r="AV95" s="24" t="n"/>
      <c r="AW95" s="24" t="n"/>
      <c r="AX95" s="24" t="inlineStr">
        <is>
          <t>statistical_model</t>
        </is>
      </c>
      <c r="AY95" s="24" t="n"/>
      <c r="AZ95" s="24" t="inlineStr">
        <is>
          <t>shadow_qualified</t>
        </is>
      </c>
      <c r="BA95" s="24" t="inlineStr">
        <is>
          <t>ff1cf1396ff446351447ec4ea48c59588447beaf6571f3a0dc9041cc03e94ad4</t>
        </is>
      </c>
      <c r="BB95" s="24" t="inlineStr">
        <is>
          <t>neutral_elo</t>
        </is>
      </c>
      <c r="BC95" s="24" t="inlineStr">
        <is>
          <t>valorant-tiered-elo-v6</t>
        </is>
      </c>
      <c r="BD95" s="24" t="inlineStr">
        <is>
          <t>ff1cf1396ff446351447ec4ea48c59588447beaf6571f3a0dc9041cc03e94ad4</t>
        </is>
      </c>
      <c r="BE95" s="24" t="inlineStr">
        <is>
          <t>1</t>
        </is>
      </c>
      <c r="BF95" s="24" t="inlineStr">
        <is>
          <t>1</t>
        </is>
      </c>
      <c r="BG95" s="24" t="inlineStr">
        <is>
          <t>valorant-tiered-elo-v6</t>
        </is>
      </c>
      <c r="BH95" s="24" t="inlineStr">
        <is>
          <t>2026-09-12T04:38:16.614446Z</t>
        </is>
      </c>
      <c r="BI95" s="24" t="inlineStr">
        <is>
          <t>["same_event","same_team_same_day","same_league_same_day"]</t>
        </is>
      </c>
      <c r="BJ95" s="25" t="n"/>
      <c r="BK95" s="26" t="n">
        <v>144</v>
      </c>
      <c r="BL95" s="27" t="n">
        <v>2.44</v>
      </c>
      <c r="BM95" s="28" t="n">
        <v>0.409836</v>
      </c>
      <c r="BN95" s="28" t="n"/>
      <c r="BO95" s="28" t="n"/>
      <c r="BP95" s="25" t="n"/>
      <c r="BQ95" s="27" t="n">
        <v>2.44</v>
      </c>
      <c r="BR95" s="28" t="n">
        <v>0.41</v>
      </c>
      <c r="BS95" s="28" t="n"/>
      <c r="BT95" s="28" t="n"/>
      <c r="BU95" s="25" t="n"/>
      <c r="BV95" s="29" t="n"/>
      <c r="BW95" s="24" t="n"/>
      <c r="BX95" s="30" t="n"/>
      <c r="BY95" s="27" t="n"/>
      <c r="BZ95" s="24" t="n"/>
      <c r="CA95" s="31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24" t="n"/>
      <c r="CM95" s="24" t="n"/>
      <c r="CN95" s="24" t="n"/>
      <c r="CO95" s="24" t="n"/>
      <c r="CP95" s="24" t="n"/>
      <c r="CQ95" s="24" t="n"/>
      <c r="CR95" s="24" t="n"/>
      <c r="CS95" s="24" t="inlineStr">
        <is>
          <t>True</t>
        </is>
      </c>
      <c r="CT95" s="24" t="n"/>
      <c r="CU95" s="24" t="n"/>
      <c r="CV95" s="24" t="n"/>
      <c r="CW95" s="24" t="n"/>
      <c r="CX95" s="24" t="n"/>
      <c r="CY95" s="24" t="n"/>
      <c r="CZ95" s="24" t="n"/>
      <c r="DA95" s="24" t="n"/>
      <c r="DB95" s="24" t="n"/>
      <c r="DC95" s="24" t="n"/>
      <c r="DD95" s="24" t="n"/>
      <c r="DE95" s="24" t="n"/>
      <c r="DF95" s="24" t="n"/>
      <c r="DG95" s="24" t="n"/>
      <c r="DH95" s="24" t="n"/>
      <c r="DI95" s="24" t="n"/>
      <c r="DJ95" s="24" t="inlineStr">
        <is>
          <t>0.409836</t>
        </is>
      </c>
      <c r="DK95" s="24" t="n"/>
      <c r="DL95" s="24" t="n"/>
      <c r="DM95" s="24" t="n"/>
      <c r="DN95" s="24" t="n"/>
      <c r="DO95" s="24" t="n"/>
      <c r="DP95" s="24" t="n"/>
      <c r="DQ95" s="24" t="inlineStr">
        <is>
          <t>{"artifact_hash": "ff1cf1396ff446351447ec4ea48c59588447beaf6571f3a0dc9041cc03e94ad4", "away_team": "Any Questions Gaming", "event_id": "109526", "event_start_utc": "2026-09-12T09:00:00Z", "features": {"away_elo": 1507.763547, "away_history_count": 15, "home_elo": 1503.782843, "home_history_count": 4}, "historical_source_observation_times_verified": false, "home_team": "Unsettled Resentment", "inference_inputs": {"book_state": {"games_played": {"bo3:2:21733": 15, "bo3:2:24033": 4}, "inactivity_half_life_days": null, "inactivity_max_pull": null, "k": 64.0, "last_match_utc": {"bo3:2:21733": "2026-09-11T11:00:00Z", "bo3:2:24033": "2026-09-11T09:00:00Z"}, "minimum_reliable_games": null, "platt_intercept": 0.11773080618777466, "platt_slope": 0.7583962590878219, "ratings": {"bo3:2:21733": 1507.763547, "bo3:2:24033": 1503.782843},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"2026-09-12T04:38:16.548263+00:00", "team_ids": ["bo3:2:24033", "bo3:2:21733"]}, "market_type": "moneyline", "model_version": "valorant-tiered-elo-v6", "observed_at_utc": "2026-09-12T04:38:16.548263+00:00", "probabilities": {"away": 0.485111, "home": 0.514889}, "replay_scope": "Exact serving book state, calibration, temperature, inactivity reference and thin-history adjustments; training provenance not certified.", "schema": "esports-elo-replay-v1", "snapshot_hash": "c8b9bab48c9601c365b84b548e0550df2808e228a6658d22434a54e66785147a", "sport": "VALORANT"}</t>
        </is>
      </c>
    </row>
    <row r="96" ht="36" customHeight="1">
      <c r="A96" s="24" t="inlineStr">
        <is>
          <t>247190bb80034064</t>
        </is>
      </c>
      <c r="B96" s="24" t="inlineStr">
        <is>
          <t>2026-09-12T10:07:52.774300Z</t>
        </is>
      </c>
      <c r="C96" s="24" t="inlineStr">
        <is>
          <t>2026-09-12T15:00:00Z</t>
        </is>
      </c>
      <c r="D96" s="24" t="inlineStr">
        <is>
          <t>109650</t>
        </is>
      </c>
      <c r="E96" s="24" t="inlineStr">
        <is>
          <t>VALORANT</t>
        </is>
      </c>
      <c r="F96" s="24" t="inlineStr">
        <is>
          <t>Twisted Saints Esports</t>
        </is>
      </c>
      <c r="G96" s="24" t="inlineStr">
        <is>
          <t>RIZON</t>
        </is>
      </c>
      <c r="H96" s="24" t="inlineStr">
        <is>
          <t>moneyline</t>
        </is>
      </c>
      <c r="I96" s="24" t="inlineStr">
        <is>
          <t>home</t>
        </is>
      </c>
      <c r="J96" s="25" t="n"/>
      <c r="K96" s="24" t="inlineStr">
        <is>
          <t>polymarket_us</t>
        </is>
      </c>
      <c r="L96" s="26" t="n">
        <v>-127</v>
      </c>
      <c r="M96" s="27" t="n">
        <v>1.787402</v>
      </c>
      <c r="N96" s="28" t="n">
        <v>0.5594710000000001</v>
      </c>
      <c r="O96" s="28" t="n">
        <v>0.586389</v>
      </c>
      <c r="P96" s="28" t="n"/>
      <c r="Q96" s="28" t="n">
        <v>0.026918</v>
      </c>
      <c r="R96" s="26" t="n">
        <v>33</v>
      </c>
      <c r="S96" s="29" t="n">
        <v>1</v>
      </c>
      <c r="T96" s="24" t="inlineStr">
        <is>
          <t>valorant-tiered-elo-v6</t>
        </is>
      </c>
      <c r="U96" s="24" t="inlineStr">
        <is>
          <t>settled</t>
        </is>
      </c>
      <c r="V96" s="24" t="inlineStr">
        <is>
          <t>loss</t>
        </is>
      </c>
      <c r="W96" s="26" t="n">
        <v>1</v>
      </c>
      <c r="X96" s="26" t="n">
        <v>0</v>
      </c>
      <c r="Y96" s="25" t="n"/>
      <c r="Z96" s="26" t="n">
        <v>-127</v>
      </c>
      <c r="AA96" s="28" t="n">
        <v>0.5600000000000001</v>
      </c>
      <c r="AB96" s="28" t="n">
        <v>0.000529</v>
      </c>
      <c r="AC96" s="30" t="n">
        <v>-1</v>
      </c>
      <c r="AD96" s="24" t="inlineStr">
        <is>
          <t>2026-09-12T22:04:14.590939Z</t>
        </is>
      </c>
      <c r="AE96" s="31" t="inlineStr">
        <is>
          <t>Neutral Elo baseline; executable ask 0.5600 (market_slug=aec-valorant-rzn-tsew-2026-09-12).</t>
        </is>
      </c>
      <c r="AF96" s="31" t="inlineStr">
        <is>
          <t>Config-promoted esports baseline; gates enforced at log time.</t>
        </is>
      </c>
      <c r="AG96" s="24" t="inlineStr">
        <is>
          <t>review_required</t>
        </is>
      </c>
      <c r="AH96" s="24" t="n"/>
      <c r="AI96" s="31" t="n"/>
      <c r="AJ96" s="31" t="n"/>
      <c r="AK96" s="24" t="inlineStr">
        <is>
          <t>model_qualified</t>
        </is>
      </c>
      <c r="AL96" s="26" t="n">
        <v>4</v>
      </c>
      <c r="AM96" s="24" t="inlineStr">
        <is>
          <t>QUALIFIED_SHADOW_CALL</t>
        </is>
      </c>
      <c r="AN96" s="24" t="inlineStr">
        <is>
          <t>CALL</t>
        </is>
      </c>
      <c r="AO96" s="24" t="inlineStr">
        <is>
          <t>QUALIFIED</t>
        </is>
      </c>
      <c r="AP96" s="24" t="inlineStr">
        <is>
          <t>Twisted Saints Esports</t>
        </is>
      </c>
      <c r="AQ96" s="24" t="inlineStr">
        <is>
          <t>Twisted Saints Esports</t>
        </is>
      </c>
      <c r="AR96" s="24" t="inlineStr">
        <is>
          <t>Twisted Saints Esports</t>
        </is>
      </c>
      <c r="AS96" s="24" t="inlineStr">
        <is>
          <t>RIZON</t>
        </is>
      </c>
      <c r="AT96" s="24" t="inlineStr">
        <is>
          <t>RIZON</t>
        </is>
      </c>
      <c r="AU96" s="24" t="inlineStr">
        <is>
          <t>RIZON</t>
        </is>
      </c>
      <c r="AV96" s="24" t="n"/>
      <c r="AW96" s="24" t="n"/>
      <c r="AX96" s="24" t="inlineStr">
        <is>
          <t>statistical_model</t>
        </is>
      </c>
      <c r="AY96" s="24" t="n"/>
      <c r="AZ96" s="24" t="inlineStr">
        <is>
          <t>shadow_qualified</t>
        </is>
      </c>
      <c r="BA96" s="24" t="inlineStr">
        <is>
          <t>705abd2e42bebf4cfce5ea6902062525ae4df44616db15e0ff8b6bd6638b98f6</t>
        </is>
      </c>
      <c r="BB96" s="24" t="inlineStr">
        <is>
          <t>neutral_elo</t>
        </is>
      </c>
      <c r="BC96" s="24" t="inlineStr">
        <is>
          <t>valorant-tiered-elo-v6</t>
        </is>
      </c>
      <c r="BD96" s="24" t="inlineStr">
        <is>
          <t>705abd2e42bebf4cfce5ea6902062525ae4df44616db15e0ff8b6bd6638b98f6</t>
        </is>
      </c>
      <c r="BE96" s="24" t="inlineStr">
        <is>
          <t>1</t>
        </is>
      </c>
      <c r="BF96" s="24" t="inlineStr">
        <is>
          <t>1</t>
        </is>
      </c>
      <c r="BG96" s="24" t="inlineStr">
        <is>
          <t>valorant-tiered-elo-v6</t>
        </is>
      </c>
      <c r="BH96" s="24" t="inlineStr">
        <is>
          <t>2026-09-12T10:07:51.959787Z</t>
        </is>
      </c>
      <c r="BI96" s="24" t="inlineStr">
        <is>
          <t>["same_event","same_team_same_day","same_league_same_day"]</t>
        </is>
      </c>
      <c r="BJ96" s="25" t="n"/>
      <c r="BK96" s="26" t="n">
        <v>-127</v>
      </c>
      <c r="BL96" s="27" t="n">
        <v>1.787402</v>
      </c>
      <c r="BM96" s="28" t="n">
        <v>0.5594710000000001</v>
      </c>
      <c r="BN96" s="28" t="n"/>
      <c r="BO96" s="28" t="n"/>
      <c r="BP96" s="25" t="n"/>
      <c r="BQ96" s="27" t="n">
        <v>1.787402</v>
      </c>
      <c r="BR96" s="28" t="n">
        <v>0.5600000000000001</v>
      </c>
      <c r="BS96" s="28" t="n"/>
      <c r="BT96" s="28" t="n"/>
      <c r="BU96" s="25" t="n"/>
      <c r="BV96" s="29" t="n"/>
      <c r="BW96" s="24" t="n"/>
      <c r="BX96" s="30" t="n"/>
      <c r="BY96" s="27" t="n"/>
      <c r="BZ96" s="24" t="n"/>
      <c r="CA96" s="31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24" t="n"/>
      <c r="CM96" s="24" t="n"/>
      <c r="CN96" s="24" t="n"/>
      <c r="CO96" s="24" t="n"/>
      <c r="CP96" s="24" t="n"/>
      <c r="CQ96" s="24" t="n"/>
      <c r="CR96" s="24" t="n"/>
      <c r="CS96" s="24" t="inlineStr">
        <is>
          <t>True</t>
        </is>
      </c>
      <c r="CT96" s="24" t="n"/>
      <c r="CU96" s="24" t="n"/>
      <c r="CV96" s="24" t="n"/>
      <c r="CW96" s="24" t="n"/>
      <c r="CX96" s="24" t="n"/>
      <c r="CY96" s="24" t="n"/>
      <c r="CZ96" s="24" t="n"/>
      <c r="DA96" s="24" t="n"/>
      <c r="DB96" s="24" t="n"/>
      <c r="DC96" s="24" t="n"/>
      <c r="DD96" s="24" t="n"/>
      <c r="DE96" s="24" t="n"/>
      <c r="DF96" s="24" t="n"/>
      <c r="DG96" s="24" t="n"/>
      <c r="DH96" s="24" t="n"/>
      <c r="DI96" s="24" t="n"/>
      <c r="DJ96" s="24" t="inlineStr">
        <is>
          <t>0.559471</t>
        </is>
      </c>
      <c r="DK96" s="24" t="n"/>
      <c r="DL96" s="24" t="n"/>
      <c r="DM96" s="24" t="n"/>
      <c r="DN96" s="24" t="n"/>
      <c r="DO96" s="24" t="n"/>
      <c r="DP96" s="24" t="n"/>
      <c r="DQ96" s="24" t="inlineStr">
        <is>
          <t>{"artifact_hash": "705abd2e42bebf4cfce5ea6902062525ae4df44616db15e0ff8b6bd6638b98f6", "away_team": "Twisted Saints Esports", "event_id": "109650", "event_start_utc": "2026-09-12T15:00:00Z", "features": {"away_elo": 1515.541636, "away_history_count": 24, "home_elo": 1584.159774, "home_history_count": 56}, "historical_source_observation_times_verified": false, "home_team": "RIZON", "inference_inputs": {"book_state": {"games_played": {"bo3:2:18763": 24, "bo3:2:6695": 56}, "inactivity_half_life_days": null, "inactivity_max_pull": null, "k": 64.0, "last_match_utc": {"bo3:2:18763": "2026-09-11T16:00:00Z", "bo3:2:6695": "2026-09-10T16:00:00Z"}, "minimum_reliable_games": null, "platt_intercept": 0.11773080618777466, "platt_slope": 0.7583962590878219, "ratings": {"bo3:2:18763": 1515.541636, "bo3:2:6695": 1584.159774},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"2026-09-12T10:07:51.871107+00:00", "team_ids": ["bo3:2:6695", "bo3:2:18763"]}, "market_type": "moneyline", "model_version": "valorant-tiered-elo-v6", "observed_at_utc": "2026-09-12T10:07:51.871107+00:00", "probabilities": {"away": 0.413611, "home": 0.586389}, "replay_scope": "Exact serving book state, calibration, temperature, inactivity reference and thin-history adjustments; training provenance not certified.", "schema": "esports-elo-replay-v1", "snapshot_hash": "6f1d6646e71eaaaa5fa27280caa2e905cfa21b2d8cce13212a7729bfb8f768e3", "sport": "VALORANT"}</t>
        </is>
      </c>
    </row>
    <row r="97" ht="36" customHeight="1">
      <c r="A97" s="24" t="inlineStr">
        <is>
          <t>931713b8212e47ab</t>
        </is>
      </c>
      <c r="B97" s="24" t="inlineStr">
        <is>
          <t>2026-09-15T04:40:48.411351Z</t>
        </is>
      </c>
      <c r="C97" s="24" t="inlineStr">
        <is>
          <t>2026-09-15T09:00:00Z</t>
        </is>
      </c>
      <c r="D97" s="24" t="inlineStr">
        <is>
          <t>111785</t>
        </is>
      </c>
      <c r="E97" s="24" t="inlineStr">
        <is>
          <t>VALORANT</t>
        </is>
      </c>
      <c r="F97" s="24" t="inlineStr">
        <is>
          <t>LNG Esports GC</t>
        </is>
      </c>
      <c r="G97" s="24" t="inlineStr">
        <is>
          <t>VLG GC</t>
        </is>
      </c>
      <c r="H97" s="24" t="inlineStr">
        <is>
          <t>moneyline</t>
        </is>
      </c>
      <c r="I97" s="24" t="inlineStr">
        <is>
          <t>home</t>
        </is>
      </c>
      <c r="J97" s="25" t="n"/>
      <c r="K97" s="24" t="inlineStr">
        <is>
          <t>polymarket_us</t>
        </is>
      </c>
      <c r="L97" s="26" t="n">
        <v>144</v>
      </c>
      <c r="M97" s="27" t="n">
        <v>2.44</v>
      </c>
      <c r="N97" s="28" t="n">
        <v>0.409836</v>
      </c>
      <c r="O97" s="28" t="n">
        <v>0.511848</v>
      </c>
      <c r="P97" s="28" t="n"/>
      <c r="Q97" s="28" t="n">
        <v>0.102012</v>
      </c>
      <c r="R97" s="26" t="n">
        <v>71</v>
      </c>
      <c r="S97" s="29" t="n">
        <v>1.25</v>
      </c>
      <c r="T97" s="24" t="inlineStr">
        <is>
          <t>valorant-tiered-elo-v6</t>
        </is>
      </c>
      <c r="U97" s="24" t="inlineStr">
        <is>
          <t>settled</t>
        </is>
      </c>
      <c r="V97" s="24" t="inlineStr">
        <is>
          <t>win</t>
        </is>
      </c>
      <c r="W97" s="26" t="n">
        <v>0</v>
      </c>
      <c r="X97" s="26" t="n">
        <v>1</v>
      </c>
      <c r="Y97" s="25" t="n"/>
      <c r="Z97" s="26" t="n"/>
      <c r="AA97" s="28" t="n"/>
      <c r="AB97" s="28" t="n"/>
      <c r="AC97" s="30" t="n">
        <v>1.8</v>
      </c>
      <c r="AD97" s="24" t="inlineStr">
        <is>
          <t>2026-09-15T16:06:32.575600Z</t>
        </is>
      </c>
      <c r="AE97" s="31" t="inlineStr">
        <is>
          <t>Neutral Elo baseline; executable ask 0.4100 (market_slug=aec-valorant-vlggc-lnggc-2026-09-15).</t>
        </is>
      </c>
      <c r="AF97" s="31" t="inlineStr">
        <is>
          <t>Config-promoted esports baseline; gates enforced at log time.</t>
        </is>
      </c>
      <c r="AG97" s="24" t="inlineStr">
        <is>
          <t>not_applicable</t>
        </is>
      </c>
      <c r="AH97" s="24" t="n"/>
      <c r="AI97" s="31" t="n"/>
      <c r="AJ97" s="31" t="n"/>
      <c r="AK97" s="24" t="inlineStr">
        <is>
          <t>model_qualified</t>
        </is>
      </c>
      <c r="AL97" s="26" t="n">
        <v>4</v>
      </c>
      <c r="AM97" s="24" t="inlineStr">
        <is>
          <t>QUALIFIED_SHADOW_CALL</t>
        </is>
      </c>
      <c r="AN97" s="24" t="inlineStr">
        <is>
          <t>CALL</t>
        </is>
      </c>
      <c r="AO97" s="24" t="inlineStr">
        <is>
          <t>QUALIFIED</t>
        </is>
      </c>
      <c r="AP97" s="24" t="inlineStr">
        <is>
          <t>LNG Esports GC</t>
        </is>
      </c>
      <c r="AQ97" s="24" t="inlineStr">
        <is>
          <t>LNG Esports GC</t>
        </is>
      </c>
      <c r="AR97" s="24" t="inlineStr">
        <is>
          <t>LNG Esports GC</t>
        </is>
      </c>
      <c r="AS97" s="24" t="inlineStr">
        <is>
          <t>VLG GC</t>
        </is>
      </c>
      <c r="AT97" s="24" t="inlineStr">
        <is>
          <t>VLG GC</t>
        </is>
      </c>
      <c r="AU97" s="24" t="inlineStr">
        <is>
          <t>VLG GC</t>
        </is>
      </c>
      <c r="AV97" s="24" t="n"/>
      <c r="AW97" s="24" t="n"/>
      <c r="AX97" s="24" t="inlineStr">
        <is>
          <t>statistical_model</t>
        </is>
      </c>
      <c r="AY97" s="24" t="n"/>
      <c r="AZ97" s="24" t="inlineStr">
        <is>
          <t>shadow_qualified</t>
        </is>
      </c>
      <c r="BA97" s="24" t="inlineStr">
        <is>
          <t>9bb6dfe9403f8c8b47983d4fcda9a5a2d667041a77c04e8d285b1827eba740aa</t>
        </is>
      </c>
      <c r="BB97" s="24" t="inlineStr">
        <is>
          <t>neutral_elo</t>
        </is>
      </c>
      <c r="BC97" s="24" t="inlineStr">
        <is>
          <t>valorant-tiered-elo-v6</t>
        </is>
      </c>
      <c r="BD97" s="24" t="inlineStr">
        <is>
          <t>9bb6dfe9403f8c8b47983d4fcda9a5a2d667041a77c04e8d285b1827eba740aa</t>
        </is>
      </c>
      <c r="BE97" s="24" t="inlineStr">
        <is>
          <t>1</t>
        </is>
      </c>
      <c r="BF97" s="24" t="inlineStr">
        <is>
          <t>1</t>
        </is>
      </c>
      <c r="BG97" s="24" t="inlineStr">
        <is>
          <t>valorant-tiered-elo-v6</t>
        </is>
      </c>
      <c r="BH97" s="24" t="inlineStr">
        <is>
          <t>2026-09-15T04:40:31.794205Z</t>
        </is>
      </c>
      <c r="BI97" s="24" t="inlineStr">
        <is>
          <t>["same_event","same_team_same_day","same_league_same_day"]</t>
        </is>
      </c>
      <c r="BJ97" s="25" t="n"/>
      <c r="BK97" s="26" t="n">
        <v>144</v>
      </c>
      <c r="BL97" s="27" t="n">
        <v>2.44</v>
      </c>
      <c r="BM97" s="28" t="n">
        <v>0.409836</v>
      </c>
      <c r="BN97" s="28" t="n"/>
      <c r="BO97" s="28" t="n"/>
      <c r="BP97" s="25" t="n"/>
      <c r="BQ97" s="27" t="n"/>
      <c r="BR97" s="28" t="n"/>
      <c r="BS97" s="28" t="n"/>
      <c r="BT97" s="28" t="n"/>
      <c r="BU97" s="25" t="n"/>
      <c r="BV97" s="29" t="n"/>
      <c r="BW97" s="24" t="n"/>
      <c r="BX97" s="30" t="n"/>
      <c r="BY97" s="27" t="n"/>
      <c r="BZ97" s="24" t="n"/>
      <c r="CA97" s="31" t="n"/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  <c r="CL97" s="24" t="n"/>
      <c r="CM97" s="24" t="n"/>
      <c r="CN97" s="24" t="n"/>
      <c r="CO97" s="24" t="n"/>
      <c r="CP97" s="24" t="n"/>
      <c r="CQ97" s="24" t="n"/>
      <c r="CR97" s="24" t="n"/>
      <c r="CS97" s="24" t="inlineStr">
        <is>
          <t>True</t>
        </is>
      </c>
      <c r="CT97" s="24" t="n"/>
      <c r="CU97" s="24" t="n"/>
      <c r="CV97" s="24" t="n"/>
      <c r="CW97" s="24" t="n"/>
      <c r="CX97" s="24" t="n"/>
      <c r="CY97" s="24" t="n"/>
      <c r="CZ97" s="24" t="n"/>
      <c r="DA97" s="24" t="n"/>
      <c r="DB97" s="24" t="n"/>
      <c r="DC97" s="24" t="n"/>
      <c r="DD97" s="24" t="n"/>
      <c r="DE97" s="24" t="n"/>
      <c r="DF97" s="24" t="n"/>
      <c r="DG97" s="24" t="n"/>
      <c r="DH97" s="24" t="n"/>
      <c r="DI97" s="24" t="n"/>
      <c r="DJ97" s="24" t="inlineStr">
        <is>
          <t>0.409836</t>
        </is>
      </c>
      <c r="DK97" s="24" t="n"/>
      <c r="DL97" s="24" t="n"/>
      <c r="DM97" s="24" t="n"/>
      <c r="DN97" s="24" t="n"/>
      <c r="DO97" s="24" t="n"/>
      <c r="DP97" s="24" t="n"/>
      <c r="DQ97" s="24" t="inlineStr">
        <is>
          <t>{"artifact_hash": "9bb6dfe9403f8c8b47983d4fcda9a5a2d667041a77c04e8d285b1827eba740aa", "away_team": "LNG Esports GC", "event_id": "111785", "event_start_utc": "2026-09-15T09:00:00Z", "features": {"away_elo": 1458.473652, "away_history_count": 1, "home_elo": 1455.73362, "home_history_count": 1}, "historical_source_observation_times_verified": false, "home_team": "VLG GC", "inference_inputs": {"book_state": {"games_played": {"bo3:2:25316": 1, "bo3:2:25319": 1}, "inactivity_half_life_days": null, "inactivity_max_pull": null, "k": 64.0, "last_match_utc": {"bo3:2:25316": "2026-09-13T09:40:00Z", "bo3:2:25319": "2026-09-13T08:00:00Z"}, "minimum_reliable_games": null, "platt_intercept": 0.11333045242154935, "platt_slope": 0.7547568004810872, "ratings": {"bo3:2:25316": 1458.473652, "bo3:2:25319": 1455.73362},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"2026-09-15T04:40:15.426969+00:00", "team_ids": ["bo3:2:25319", "bo3:2:25316"]}, "market_type": "moneyline", "model_version": "valorant-tiered-elo-v6", "observed_at_utc": "2026-09-15T04:40:15.426969+00:00", "probabilities": {"away": 0.488152, "home": 0.511848}, "replay_scope": "Exact serving book state, calibration, temperature, inactivity reference and thin-history adjustments; training provenance not certified.", "schema": "esports-elo-replay-v1", "snapshot_hash": "ad7b8cc58965665b3a2a50c298222d243541ec430876ade952f878a719066239", "sport": "VALORANT"}</t>
        </is>
      </c>
    </row>
    <row r="98" ht="36" customHeight="1">
      <c r="A98" s="24" t="inlineStr">
        <is>
          <t>c10640cfebc64d21</t>
        </is>
      </c>
      <c r="B98" s="24" t="inlineStr">
        <is>
          <t>2026-09-20T05:03:19.121519Z</t>
        </is>
      </c>
      <c r="C98" s="24" t="inlineStr">
        <is>
          <t>2026-09-20T07:00:00Z</t>
        </is>
      </c>
      <c r="D98" s="24" t="inlineStr">
        <is>
          <t>117933</t>
        </is>
      </c>
      <c r="E98" s="24" t="inlineStr">
        <is>
          <t>VALORANT</t>
        </is>
      </c>
      <c r="F98" s="24" t="inlineStr">
        <is>
          <t>Gen.G GC</t>
        </is>
      </c>
      <c r="G98" s="24" t="inlineStr">
        <is>
          <t>FENNEL Female</t>
        </is>
      </c>
      <c r="H98" s="24" t="inlineStr">
        <is>
          <t>moneyline</t>
        </is>
      </c>
      <c r="I98" s="24" t="inlineStr">
        <is>
          <t>home</t>
        </is>
      </c>
      <c r="J98" s="25" t="n"/>
      <c r="K98" s="24" t="inlineStr">
        <is>
          <t>polymarket_us</t>
        </is>
      </c>
      <c r="L98" s="26" t="n">
        <v>-117</v>
      </c>
      <c r="M98" s="27" t="n">
        <v>1.854701</v>
      </c>
      <c r="N98" s="28" t="n">
        <v>0.539171</v>
      </c>
      <c r="O98" s="28" t="n">
        <v>0.616696</v>
      </c>
      <c r="P98" s="28" t="n"/>
      <c r="Q98" s="28" t="n">
        <v>0.077525</v>
      </c>
      <c r="R98" s="26" t="n">
        <v>59</v>
      </c>
      <c r="S98" s="29" t="n">
        <v>1.25</v>
      </c>
      <c r="T98" s="24" t="inlineStr">
        <is>
          <t>valorant-tiered-elo-v6</t>
        </is>
      </c>
      <c r="U98" s="24" t="inlineStr">
        <is>
          <t>settled</t>
        </is>
      </c>
      <c r="V98" s="24" t="inlineStr">
        <is>
          <t>loss</t>
        </is>
      </c>
      <c r="W98" s="26" t="n">
        <v>1</v>
      </c>
      <c r="X98" s="26" t="n">
        <v>0</v>
      </c>
      <c r="Y98" s="25" t="n"/>
      <c r="Z98" s="26" t="n"/>
      <c r="AA98" s="28" t="n"/>
      <c r="AB98" s="28" t="n"/>
      <c r="AC98" s="30" t="n">
        <v>-1.25</v>
      </c>
      <c r="AD98" s="24" t="inlineStr">
        <is>
          <t>2026-09-20T16:02:47.854183Z</t>
        </is>
      </c>
      <c r="AE98" s="31" t="inlineStr">
        <is>
          <t>Neutral Elo baseline; executable ask 0.5400 (market_slug=aec-valorant-flfe-ggg-2026-09-20).</t>
        </is>
      </c>
      <c r="AF98" s="31" t="inlineStr">
        <is>
          <t>Config-promoted esports baseline; gates enforced at log time.</t>
        </is>
      </c>
      <c r="AG98" s="24" t="inlineStr">
        <is>
          <t>review_required</t>
        </is>
      </c>
      <c r="AH98" s="24" t="n"/>
      <c r="AI98" s="31" t="n"/>
      <c r="AJ98" s="31" t="n"/>
      <c r="AK98" s="24" t="inlineStr">
        <is>
          <t>model_qualified</t>
        </is>
      </c>
      <c r="AL98" s="26" t="n">
        <v>4</v>
      </c>
      <c r="AM98" s="24" t="inlineStr">
        <is>
          <t>QUALIFIED_SHADOW_CALL</t>
        </is>
      </c>
      <c r="AN98" s="24" t="inlineStr">
        <is>
          <t>CALL</t>
        </is>
      </c>
      <c r="AO98" s="24" t="inlineStr">
        <is>
          <t>QUALIFIED</t>
        </is>
      </c>
      <c r="AP98" s="24" t="inlineStr">
        <is>
          <t>Gen.G GC</t>
        </is>
      </c>
      <c r="AQ98" s="24" t="inlineStr">
        <is>
          <t>Gen.G GC</t>
        </is>
      </c>
      <c r="AR98" s="24" t="inlineStr">
        <is>
          <t>Gen.G GC</t>
        </is>
      </c>
      <c r="AS98" s="24" t="inlineStr">
        <is>
          <t>FENNEL Female</t>
        </is>
      </c>
      <c r="AT98" s="24" t="inlineStr">
        <is>
          <t>FENNEL Female</t>
        </is>
      </c>
      <c r="AU98" s="24" t="inlineStr">
        <is>
          <t>FENNEL Female</t>
        </is>
      </c>
      <c r="AV98" s="24" t="n"/>
      <c r="AW98" s="24" t="n"/>
      <c r="AX98" s="24" t="inlineStr">
        <is>
          <t>statistical_model</t>
        </is>
      </c>
      <c r="AY98" s="24" t="n"/>
      <c r="AZ98" s="24" t="inlineStr">
        <is>
          <t>shadow_qualified</t>
        </is>
      </c>
      <c r="BA98" s="24" t="inlineStr">
        <is>
          <t>5829077dd2fb8582225dc66ec57649b8d05888443b636227e2928483d4892127</t>
        </is>
      </c>
      <c r="BB98" s="24" t="inlineStr">
        <is>
          <t>neutral_elo</t>
        </is>
      </c>
      <c r="BC98" s="24" t="inlineStr">
        <is>
          <t>valorant-tiered-elo-v6</t>
        </is>
      </c>
      <c r="BD98" s="24" t="inlineStr">
        <is>
          <t>5829077dd2fb8582225dc66ec57649b8d05888443b636227e2928483d4892127</t>
        </is>
      </c>
      <c r="BE98" s="24" t="inlineStr">
        <is>
          <t>1</t>
        </is>
      </c>
      <c r="BF98" s="24" t="inlineStr">
        <is>
          <t>1</t>
        </is>
      </c>
      <c r="BG98" s="24" t="inlineStr">
        <is>
          <t>valorant-tiered-elo-v6</t>
        </is>
      </c>
      <c r="BH98" s="24" t="inlineStr">
        <is>
          <t>2026-09-20T05:03:14.857882Z</t>
        </is>
      </c>
      <c r="BI98" s="24" t="inlineStr">
        <is>
          <t>["same_event","same_team_same_day","same_league_same_day"]</t>
        </is>
      </c>
      <c r="BJ98" s="25" t="n"/>
      <c r="BK98" s="26" t="n">
        <v>-117</v>
      </c>
      <c r="BL98" s="27" t="n">
        <v>1.854701</v>
      </c>
      <c r="BM98" s="28" t="n">
        <v>0.539171</v>
      </c>
      <c r="BN98" s="28" t="n"/>
      <c r="BO98" s="28" t="n"/>
      <c r="BP98" s="25" t="n"/>
      <c r="BQ98" s="27" t="n"/>
      <c r="BR98" s="28" t="n"/>
      <c r="BS98" s="28" t="n"/>
      <c r="BT98" s="28" t="n"/>
      <c r="BU98" s="25" t="n"/>
      <c r="BV98" s="29" t="n"/>
      <c r="BW98" s="24" t="n"/>
      <c r="BX98" s="30" t="n"/>
      <c r="BY98" s="27" t="n"/>
      <c r="BZ98" s="24" t="n"/>
      <c r="CA98" s="31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  <c r="CP98" s="24" t="n"/>
      <c r="CQ98" s="24" t="n"/>
      <c r="CR98" s="24" t="n"/>
      <c r="CS98" s="24" t="inlineStr">
        <is>
          <t>True</t>
        </is>
      </c>
      <c r="CT98" s="24" t="n"/>
      <c r="CU98" s="24" t="n"/>
      <c r="CV98" s="24" t="n"/>
      <c r="CW98" s="24" t="n"/>
      <c r="CX98" s="24" t="n"/>
      <c r="CY98" s="24" t="n"/>
      <c r="CZ98" s="24" t="n"/>
      <c r="DA98" s="24" t="n"/>
      <c r="DB98" s="24" t="n"/>
      <c r="DC98" s="24" t="n"/>
      <c r="DD98" s="24" t="n"/>
      <c r="DE98" s="24" t="n"/>
      <c r="DF98" s="24" t="n"/>
      <c r="DG98" s="24" t="n"/>
      <c r="DH98" s="24" t="n"/>
      <c r="DI98" s="24" t="n"/>
      <c r="DJ98" s="24" t="inlineStr">
        <is>
          <t>0.539171</t>
        </is>
      </c>
      <c r="DK98" s="24" t="n"/>
      <c r="DL98" s="24" t="n"/>
      <c r="DM98" s="24" t="n"/>
      <c r="DN98" s="24" t="n"/>
      <c r="DO98" s="24" t="n"/>
      <c r="DP98" s="24" t="n"/>
      <c r="DQ98" s="24" t="inlineStr">
        <is>
          <t>{"artifact_hash": "5829077dd2fb8582225dc66ec57649b8d05888443b636227e2928483d4892127", "away_team": "Gen.G GC", "event_id": "117933", "event_start_utc": "2026-09-20T07:00:00Z", "features": {"away_elo": 1666.622748, "away_history_count": 5, "home_elo": 1817.868677, "home_history_count": 37}, "historical_source_observation_times_verified": false, "home_team": "FENNEL Female", "inference_inputs": {"book_state": {"games_played": {"bo3:2:6558": 37, "bo3:2:8164": 5}, "inactivity_half_life_days": null, "inactivity_max_pull": null, "k": 64.0, "last_match_utc": {"bo3:2:6558": "2026-09-18T07:10:00Z", "bo3:2:8164": "2026-09-19T07:10:00Z"}, "minimum_reliable_games": null, "platt_intercept": 0.11366896794667247, "platt_slope": 0.7627801357407267, "ratings": {"bo3:2:6558": 1817.868677, "bo3:2:8164": 1666.622748},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"2026-09-20T05:03:14.624152+00:00", "team_ids": ["bo3:2:6558", "bo3:2:8164"]}, "market_type": "moneyline", "model_version": "valorant-tiered-elo-v6", "observed_at_utc": "2026-09-20T05:03:14.624152+00:00", "probabilities": {"away": 0.383304, "home": 0.616696}, "replay_scope": "Exact serving book state, calibration, temperature, inactivity reference and thin-history adjustments; training provenance not certified.", "schema": "esports-elo-replay-v1", "snapshot_hash": "f8c0e0ab56ec1ffc9dbff8161e6622bf6cb39a60e95908a69d74c36cca9e0e75", "sport": "VALORANT"}</t>
        </is>
      </c>
    </row>
    <row r="99" ht="36" customHeight="1">
      <c r="A99" s="24" t="inlineStr">
        <is>
          <t>5c458bf1c0d8446a</t>
        </is>
      </c>
      <c r="B99" s="24" t="inlineStr">
        <is>
          <t>2026-09-25T22:09:42.601246Z</t>
        </is>
      </c>
      <c r="C99" s="24" t="inlineStr">
        <is>
          <t>2026-09-26T09:00:00Z</t>
        </is>
      </c>
      <c r="D99" s="24" t="inlineStr">
        <is>
          <t>123330</t>
        </is>
      </c>
      <c r="E99" s="24" t="inlineStr">
        <is>
          <t>VALORANT</t>
        </is>
      </c>
      <c r="F99" s="24" t="inlineStr">
        <is>
          <t>Team Vitality</t>
        </is>
      </c>
      <c r="G99" s="24" t="inlineStr">
        <is>
          <t>Global Esports</t>
        </is>
      </c>
      <c r="H99" s="24" t="inlineStr">
        <is>
          <t>moneyline</t>
        </is>
      </c>
      <c r="I99" s="24" t="inlineStr">
        <is>
          <t>home</t>
        </is>
      </c>
      <c r="J99" s="25" t="n"/>
      <c r="K99" s="24" t="inlineStr">
        <is>
          <t>polymarket_us</t>
        </is>
      </c>
      <c r="L99" s="26" t="n">
        <v>117</v>
      </c>
      <c r="M99" s="27" t="n">
        <v>2.17</v>
      </c>
      <c r="N99" s="28" t="n">
        <v>0.460829</v>
      </c>
      <c r="O99" s="28" t="n">
        <v>0.572156</v>
      </c>
      <c r="P99" s="28" t="n"/>
      <c r="Q99" s="28" t="n">
        <v>0.111327</v>
      </c>
      <c r="R99" s="26" t="n">
        <v>76</v>
      </c>
      <c r="S99" s="29" t="n">
        <v>1.5</v>
      </c>
      <c r="T99" s="24" t="inlineStr">
        <is>
          <t>valorant-tiered-elo-v6</t>
        </is>
      </c>
      <c r="U99" s="24" t="inlineStr">
        <is>
          <t>settled</t>
        </is>
      </c>
      <c r="V99" s="24" t="inlineStr">
        <is>
          <t>loss</t>
        </is>
      </c>
      <c r="W99" s="26" t="n">
        <v>1</v>
      </c>
      <c r="X99" s="26" t="n">
        <v>0</v>
      </c>
      <c r="Y99" s="25" t="n"/>
      <c r="Z99" s="26" t="n"/>
      <c r="AA99" s="28" t="n"/>
      <c r="AB99" s="28" t="n"/>
      <c r="AC99" s="30" t="n">
        <v>-1.5</v>
      </c>
      <c r="AD99" s="24" t="inlineStr">
        <is>
          <t>2026-09-26T22:04:48.733747Z</t>
        </is>
      </c>
      <c r="AE99" s="31" t="inlineStr">
        <is>
          <t>Neutral Elo baseline; executable ask 0.4600 (market_slug=aec-valorant-ge-vit-2026-09-26).</t>
        </is>
      </c>
      <c r="AF99" s="31" t="inlineStr">
        <is>
          <t>Config-promoted esports baseline; gates enforced at log time.</t>
        </is>
      </c>
      <c r="AG99" s="24" t="inlineStr">
        <is>
          <t>review_required</t>
        </is>
      </c>
      <c r="AH99" s="24" t="n"/>
      <c r="AI99" s="31" t="n"/>
      <c r="AJ99" s="31" t="n"/>
      <c r="AK99" s="24" t="inlineStr">
        <is>
          <t>model_qualified</t>
        </is>
      </c>
      <c r="AL99" s="26" t="n">
        <v>4</v>
      </c>
      <c r="AM99" s="24" t="inlineStr">
        <is>
          <t>QUALIFIED_SHADOW_CALL</t>
        </is>
      </c>
      <c r="AN99" s="24" t="inlineStr">
        <is>
          <t>CALL</t>
        </is>
      </c>
      <c r="AO99" s="24" t="inlineStr">
        <is>
          <t>QUALIFIED</t>
        </is>
      </c>
      <c r="AP99" s="24" t="inlineStr">
        <is>
          <t>Team Vitality</t>
        </is>
      </c>
      <c r="AQ99" s="24" t="inlineStr">
        <is>
          <t>Team Vitality</t>
        </is>
      </c>
      <c r="AR99" s="24" t="inlineStr">
        <is>
          <t>Team Vitality</t>
        </is>
      </c>
      <c r="AS99" s="24" t="inlineStr">
        <is>
          <t>Global Esports</t>
        </is>
      </c>
      <c r="AT99" s="24" t="inlineStr">
        <is>
          <t>Global Esports</t>
        </is>
      </c>
      <c r="AU99" s="24" t="inlineStr">
        <is>
          <t>Global Esports</t>
        </is>
      </c>
      <c r="AV99" s="24" t="n"/>
      <c r="AW99" s="24" t="n"/>
      <c r="AX99" s="24" t="inlineStr">
        <is>
          <t>statistical_model</t>
        </is>
      </c>
      <c r="AY99" s="24" t="n"/>
      <c r="AZ99" s="24" t="inlineStr">
        <is>
          <t>shadow_qualified</t>
        </is>
      </c>
      <c r="BA99" s="24" t="inlineStr">
        <is>
          <t>bba99a95400a275f08b0f50e90beed8cc50744d17d67105a6865c191206c618a</t>
        </is>
      </c>
      <c r="BB99" s="24" t="inlineStr">
        <is>
          <t>neutral_elo</t>
        </is>
      </c>
      <c r="BC99" s="24" t="inlineStr">
        <is>
          <t>valorant-tiered-elo-v6</t>
        </is>
      </c>
      <c r="BD99" s="24" t="inlineStr">
        <is>
          <t>bba99a95400a275f08b0f50e90beed8cc50744d17d67105a6865c191206c618a</t>
        </is>
      </c>
      <c r="BE99" s="24" t="inlineStr">
        <is>
          <t>1</t>
        </is>
      </c>
      <c r="BF99" s="24" t="inlineStr">
        <is>
          <t>1</t>
        </is>
      </c>
      <c r="BG99" s="24" t="inlineStr">
        <is>
          <t>valorant-tiered-elo-v6</t>
        </is>
      </c>
      <c r="BH99" s="24" t="inlineStr">
        <is>
          <t>2026-09-25T22:09:38.106911Z</t>
        </is>
      </c>
      <c r="BI99" s="24" t="inlineStr">
        <is>
          <t>["same_event","same_team_same_day","same_league_same_day"]</t>
        </is>
      </c>
      <c r="BJ99" s="25" t="n"/>
      <c r="BK99" s="26" t="n">
        <v>117</v>
      </c>
      <c r="BL99" s="27" t="n">
        <v>2.17</v>
      </c>
      <c r="BM99" s="28" t="n">
        <v>0.460829</v>
      </c>
      <c r="BN99" s="28" t="n"/>
      <c r="BO99" s="28" t="n"/>
      <c r="BP99" s="25" t="n"/>
      <c r="BQ99" s="27" t="n"/>
      <c r="BR99" s="28" t="n"/>
      <c r="BS99" s="28" t="n"/>
      <c r="BT99" s="28" t="n"/>
      <c r="BU99" s="25" t="n"/>
      <c r="BV99" s="29" t="n"/>
      <c r="BW99" s="24" t="n"/>
      <c r="BX99" s="30" t="n"/>
      <c r="BY99" s="27" t="n"/>
      <c r="BZ99" s="24" t="n"/>
      <c r="CA99" s="31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  <c r="CP99" s="24" t="n"/>
      <c r="CQ99" s="24" t="n"/>
      <c r="CR99" s="24" t="n"/>
      <c r="CS99" s="24" t="inlineStr">
        <is>
          <t>True</t>
        </is>
      </c>
      <c r="CT99" s="24" t="n"/>
      <c r="CU99" s="24" t="n"/>
      <c r="CV99" s="24" t="n"/>
      <c r="CW99" s="24" t="n"/>
      <c r="CX99" s="24" t="n"/>
      <c r="CY99" s="24" t="n"/>
      <c r="CZ99" s="24" t="n"/>
      <c r="DA99" s="24" t="n"/>
      <c r="DB99" s="24" t="n"/>
      <c r="DC99" s="24" t="n"/>
      <c r="DD99" s="24" t="n"/>
      <c r="DE99" s="24" t="n"/>
      <c r="DF99" s="24" t="n"/>
      <c r="DG99" s="24" t="n"/>
      <c r="DH99" s="24" t="n"/>
      <c r="DI99" s="24" t="n"/>
      <c r="DJ99" s="24" t="inlineStr">
        <is>
          <t>0.460829</t>
        </is>
      </c>
      <c r="DK99" s="24" t="n"/>
      <c r="DL99" s="24" t="n"/>
      <c r="DM99" s="24" t="n"/>
      <c r="DN99" s="24" t="n"/>
      <c r="DO99" s="24" t="n"/>
      <c r="DP99" s="24" t="n"/>
      <c r="DQ99" s="24" t="inlineStr">
        <is>
          <t>{"artifact_hash": "bba99a95400a275f08b0f50e90beed8cc50744d17d67105a6865c191206c618a", "away_team": "Team Vitality", "event_id": "123330", "event_start_utc": "2026-09-26T09:00:00Z", "features": {"away_elo": 1877.05503, "away_history_count": 103, "home_elo": 1898.651588, "home_history_count": 81}, "historical_source_observation_times_verified": false, "home_team": "Global Esports", "inference_inputs": {"book_state": {"games_played": {"bo3:2:6989": 81, "bo3:2:7254": 103}, "inactivity_half_life_days": null, "inactivity_max_pull": null, "k": 64.0, "last_match_utc": {"bo3:2:6989": "2026-09-06T08:10:00Z", "bo3:2:7254": "2026-08-22T16:30:00Z"}, "minimum_reliable_games": null, "platt_intercept": 0.11529812243984315, "platt_slope": 0.7601676982298501, "ratings": {"bo3:2:6989": 1898.651588, "bo3:2:7254": 1877.05503},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"2026-09-25T22:09:36.348274+00:00", "team_ids": ["bo3:2:6989", "bo3:2:7254"]}, "market_type": "moneyline", "model_version": "valorant-tiered-elo-v6", "observed_at_utc": "2026-09-25T22:09:36.348274+00:00", "probabilities": {"away": 0.427844, "home": 0.572156}, "replay_scope": "Exact serving book state, calibration, temperature, inactivity reference and thin-history adjustments; training provenance not certified.", "schema": "esports-elo-replay-v1", "snapshot_hash": "46b973934ea2494027659a7b32e65aab094d9d68d69a7753582246de8df76674", "sport": "VALORANT"}</t>
        </is>
      </c>
    </row>
    <row r="100" ht="36" customHeight="1">
      <c r="A100" s="24" t="inlineStr">
        <is>
          <t>4777d7125c5349cd</t>
        </is>
      </c>
      <c r="B100" s="24" t="inlineStr">
        <is>
          <t>2026-09-27T05:03:55.458850Z</t>
        </is>
      </c>
      <c r="C100" s="24" t="inlineStr">
        <is>
          <t>2026-09-27T09:00:00Z</t>
        </is>
      </c>
      <c r="D100" s="24" t="inlineStr">
        <is>
          <t>124851</t>
        </is>
      </c>
      <c r="E100" s="24" t="inlineStr">
        <is>
          <t>VALORANT</t>
        </is>
      </c>
      <c r="F100" s="24" t="inlineStr">
        <is>
          <t>T1</t>
        </is>
      </c>
      <c r="G100" s="24" t="inlineStr">
        <is>
          <t>100 Thieves</t>
        </is>
      </c>
      <c r="H100" s="24" t="inlineStr">
        <is>
          <t>moneyline</t>
        </is>
      </c>
      <c r="I100" s="24" t="inlineStr">
        <is>
          <t>home</t>
        </is>
      </c>
      <c r="J100" s="25" t="n"/>
      <c r="K100" s="24" t="inlineStr">
        <is>
          <t>polymarket_us</t>
        </is>
      </c>
      <c r="L100" s="26" t="n">
        <v>-223</v>
      </c>
      <c r="M100" s="27" t="n">
        <v>1.44843</v>
      </c>
      <c r="N100" s="28" t="n">
        <v>0.690402</v>
      </c>
      <c r="O100" s="28" t="n">
        <v>0.71312</v>
      </c>
      <c r="P100" s="28" t="n"/>
      <c r="Q100" s="28" t="n">
        <v>0.022718</v>
      </c>
      <c r="R100" s="26" t="n">
        <v>31</v>
      </c>
      <c r="S100" s="29" t="n">
        <v>1</v>
      </c>
      <c r="T100" s="24" t="inlineStr">
        <is>
          <t>valorant-tiered-elo-v6</t>
        </is>
      </c>
      <c r="U100" s="24" t="inlineStr">
        <is>
          <t>settled</t>
        </is>
      </c>
      <c r="V100" s="24" t="inlineStr">
        <is>
          <t>win</t>
        </is>
      </c>
      <c r="W100" s="26" t="n">
        <v>0</v>
      </c>
      <c r="X100" s="26" t="n">
        <v>1</v>
      </c>
      <c r="Y100" s="25" t="n"/>
      <c r="Z100" s="26" t="n"/>
      <c r="AA100" s="28" t="n"/>
      <c r="AB100" s="28" t="n"/>
      <c r="AC100" s="30" t="n">
        <v>0.4484</v>
      </c>
      <c r="AD100" s="24" t="inlineStr">
        <is>
          <t>2026-09-27T16:03:22.257856Z</t>
        </is>
      </c>
      <c r="AE100" s="31" t="inlineStr">
        <is>
          <t>Neutral Elo baseline; executable ask 0.6900 (market_slug=aec-valorant-100t-t1-2026-09-27).</t>
        </is>
      </c>
      <c r="AF100" s="31" t="inlineStr">
        <is>
          <t>Config-promoted esports baseline; gates enforced at log time.</t>
        </is>
      </c>
      <c r="AG100" s="24" t="inlineStr">
        <is>
          <t>not_applicable</t>
        </is>
      </c>
      <c r="AH100" s="24" t="n"/>
      <c r="AI100" s="31" t="n"/>
      <c r="AJ100" s="31" t="n"/>
      <c r="AK100" s="24" t="inlineStr">
        <is>
          <t>paper_call</t>
        </is>
      </c>
      <c r="AL100" s="26" t="n">
        <v>4</v>
      </c>
      <c r="AM100" s="24" t="inlineStr">
        <is>
          <t>RESEARCH_OBSERVATION</t>
        </is>
      </c>
      <c r="AN100" s="24" t="inlineStr">
        <is>
          <t>CALL</t>
        </is>
      </c>
      <c r="AO100" s="24" t="inlineStr">
        <is>
          <t>PAPER_CALL_LOW_EDGE</t>
        </is>
      </c>
      <c r="AP100" s="24" t="inlineStr">
        <is>
          <t>T1</t>
        </is>
      </c>
      <c r="AQ100" s="24" t="inlineStr">
        <is>
          <t>T1</t>
        </is>
      </c>
      <c r="AR100" s="24" t="inlineStr">
        <is>
          <t>T1</t>
        </is>
      </c>
      <c r="AS100" s="24" t="inlineStr">
        <is>
          <t>100 Thieves</t>
        </is>
      </c>
      <c r="AT100" s="24" t="inlineStr">
        <is>
          <t>100 Thieves</t>
        </is>
      </c>
      <c r="AU100" s="24" t="inlineStr">
        <is>
          <t>100 Thieves</t>
        </is>
      </c>
      <c r="AV100" s="24" t="n"/>
      <c r="AW100" s="24" t="n"/>
      <c r="AX100" s="24" t="inlineStr">
        <is>
          <t>statistical_model</t>
        </is>
      </c>
      <c r="AY100" s="24" t="n"/>
      <c r="AZ100" s="24" t="inlineStr">
        <is>
          <t>shadow_qualified</t>
        </is>
      </c>
      <c r="BA100" s="24" t="inlineStr">
        <is>
          <t>6695e0fa5df99250c753043a08882288d0ea431542da28a786cc0bad9cce6ed8</t>
        </is>
      </c>
      <c r="BB100" s="24" t="inlineStr">
        <is>
          <t>neutral_elo</t>
        </is>
      </c>
      <c r="BC100" s="24" t="inlineStr">
        <is>
          <t>valorant-tiered-elo-v6</t>
        </is>
      </c>
      <c r="BD100" s="24" t="inlineStr">
        <is>
          <t>6695e0fa5df99250c753043a08882288d0ea431542da28a786cc0bad9cce6ed8</t>
        </is>
      </c>
      <c r="BE100" s="24" t="inlineStr">
        <is>
          <t>1</t>
        </is>
      </c>
      <c r="BF100" s="24" t="inlineStr">
        <is>
          <t>1</t>
        </is>
      </c>
      <c r="BG100" s="24" t="inlineStr">
        <is>
          <t>valorant-tiered-elo-v6</t>
        </is>
      </c>
      <c r="BH100" s="24" t="inlineStr">
        <is>
          <t>2026-09-27T05:03:51.340424Z</t>
        </is>
      </c>
      <c r="BI100" s="24" t="inlineStr">
        <is>
          <t>["same_event","same_team_same_day","same_league_same_day"]</t>
        </is>
      </c>
      <c r="BJ100" s="25" t="n"/>
      <c r="BK100" s="26" t="n">
        <v>-223</v>
      </c>
      <c r="BL100" s="27" t="n">
        <v>1.44843</v>
      </c>
      <c r="BM100" s="28" t="n">
        <v>0.690402</v>
      </c>
      <c r="BN100" s="28" t="n"/>
      <c r="BO100" s="28" t="n"/>
      <c r="BP100" s="25" t="n"/>
      <c r="BQ100" s="27" t="n"/>
      <c r="BR100" s="28" t="n"/>
      <c r="BS100" s="28" t="n"/>
      <c r="BT100" s="28" t="n"/>
      <c r="BU100" s="25" t="n"/>
      <c r="BV100" s="29" t="n"/>
      <c r="BW100" s="24" t="n"/>
      <c r="BX100" s="30" t="n"/>
      <c r="BY100" s="27" t="n"/>
      <c r="BZ100" s="24" t="n"/>
      <c r="CA100" s="31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  <c r="CS100" s="24" t="inlineStr">
        <is>
          <t>True</t>
        </is>
      </c>
      <c r="CT100" s="24" t="n"/>
      <c r="CU100" s="24" t="n"/>
      <c r="CV100" s="24" t="n"/>
      <c r="CW100" s="24" t="n"/>
      <c r="CX100" s="24" t="n"/>
      <c r="CY100" s="24" t="n"/>
      <c r="CZ100" s="24" t="n"/>
      <c r="DA100" s="24" t="n"/>
      <c r="DB100" s="24" t="n"/>
      <c r="DC100" s="24" t="n"/>
      <c r="DD100" s="24" t="n"/>
      <c r="DE100" s="24" t="n"/>
      <c r="DF100" s="24" t="n"/>
      <c r="DG100" s="24" t="n"/>
      <c r="DH100" s="24" t="n"/>
      <c r="DI100" s="24" t="n"/>
      <c r="DJ100" s="24" t="inlineStr">
        <is>
          <t>0.690402</t>
        </is>
      </c>
      <c r="DK100" s="24" t="n"/>
      <c r="DL100" s="24" t="n"/>
      <c r="DM100" s="24" t="n"/>
      <c r="DN100" s="24" t="n"/>
      <c r="DO100" s="24" t="n"/>
      <c r="DP100" s="24" t="n"/>
      <c r="DQ100" s="24" t="inlineStr">
        <is>
          <t>{"artifact_hash": "6695e0fa5df99250c753043a08882288d0ea431542da28a786cc0bad9cce6ed8", "away_team": "T1", "event_id": "124851", "event_start_utc": "2026-09-27T09:00:00Z", "features": {"away_elo": 1836.625507, "away_history_count": 134, "home_elo": 2093.834431, "home_history_count": 109}, "historical_source_observation_times_verified": false, "home_team": "100 Thieves", "inference_inputs": {"book_state": {"games_played": {"bo3:2:7283": 134, "bo3:2:7298": 109}, "inactivity_half_life_days": null, "inactivity_max_pull": null, "k": 64.0, "last_match_utc": {"bo3:2:7283": "2026-09-05T08:10:00Z", "bo3:2:7298": "2026-09-06T17:00:00Z"}, "minimum_reliable_games": null, "platt_intercept": 0.11684875956590346, "platt_slope": 0.7614123117368478, "ratings": {"bo3:2:7283": 1836.625507, "bo3:2:7298": 2093.834431},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"2026-09-27T05:03:51.109327+00:00", "team_ids": ["bo3:2:7298", "bo3:2:7283"]}, "market_type": "moneyline", "model_version": "valorant-tiered-elo-v6", "observed_at_utc": "2026-09-27T05:03:51.109327+00:00", "probabilities": {"away": 0.28688, "home": 0.71312}, "replay_scope": "Exact serving book state, calibration, temperature, inactivity reference and thin-history adjustments; training provenance not certified.", "schema": "esports-elo-replay-v1", "snapshot_hash": "94968dab07f475dcea00ac213781aef5aa97c4303d31abf0d1a6c716721914ce", "sport": "VALORANT"}</t>
        </is>
      </c>
    </row>
    <row r="101" ht="36" customHeight="1">
      <c r="A101" s="24" t="inlineStr">
        <is>
          <t>fd02c67f169142fe</t>
        </is>
      </c>
      <c r="B101" s="24" t="inlineStr">
        <is>
          <t>2026-09-28T10:09:56.918712Z</t>
        </is>
      </c>
      <c r="C101" s="24" t="inlineStr">
        <is>
          <t>2026-09-28T16:00:00Z</t>
        </is>
      </c>
      <c r="D101" s="24" t="inlineStr">
        <is>
          <t>130380</t>
        </is>
      </c>
      <c r="E101" s="24" t="inlineStr">
        <is>
          <t>VALORANT</t>
        </is>
      </c>
      <c r="F101" s="24" t="inlineStr">
        <is>
          <t>Pcific Esports</t>
        </is>
      </c>
      <c r="G101" s="24" t="inlineStr">
        <is>
          <t>Fear Never Ends</t>
        </is>
      </c>
      <c r="H101" s="24" t="inlineStr">
        <is>
          <t>moneyline</t>
        </is>
      </c>
      <c r="I101" s="24" t="inlineStr">
        <is>
          <t>home</t>
        </is>
      </c>
      <c r="J101" s="25" t="n"/>
      <c r="K101" s="24" t="inlineStr">
        <is>
          <t>polymarket_us</t>
        </is>
      </c>
      <c r="L101" s="26" t="n">
        <v>150</v>
      </c>
      <c r="M101" s="27" t="n">
        <v>2.5</v>
      </c>
      <c r="N101" s="28" t="n">
        <v>0.4</v>
      </c>
      <c r="O101" s="28" t="n">
        <v>0.541353</v>
      </c>
      <c r="P101" s="28" t="n"/>
      <c r="Q101" s="28" t="n">
        <v>0.141353</v>
      </c>
      <c r="R101" s="26" t="n">
        <v>91</v>
      </c>
      <c r="S101" s="29" t="n">
        <v>1.5</v>
      </c>
      <c r="T101" s="24" t="inlineStr">
        <is>
          <t>valorant-tiered-elo-v6</t>
        </is>
      </c>
      <c r="U101" s="24" t="inlineStr">
        <is>
          <t>settled</t>
        </is>
      </c>
      <c r="V101" s="24" t="inlineStr">
        <is>
          <t>loss</t>
        </is>
      </c>
      <c r="W101" s="26" t="n">
        <v>1</v>
      </c>
      <c r="X101" s="26" t="n">
        <v>0</v>
      </c>
      <c r="Y101" s="25" t="n"/>
      <c r="Z101" s="26" t="n"/>
      <c r="AA101" s="28" t="n"/>
      <c r="AB101" s="28" t="n"/>
      <c r="AC101" s="30" t="n">
        <v>-1.5</v>
      </c>
      <c r="AD101" s="24" t="inlineStr">
        <is>
          <t>2026-09-28T22:03:27.708942Z</t>
        </is>
      </c>
      <c r="AE101" s="31" t="inlineStr">
        <is>
          <t>Neutral Elo baseline; executable ask 0.4000 (market_slug=aec-valorant-fne-pcfic-2026-09-28).</t>
        </is>
      </c>
      <c r="AF101" s="31" t="inlineStr">
        <is>
          <t>Config-promoted esports baseline; gates enforced at log time.</t>
        </is>
      </c>
      <c r="AG101" s="24" t="inlineStr">
        <is>
          <t>review_required</t>
        </is>
      </c>
      <c r="AH101" s="24" t="n"/>
      <c r="AI101" s="31" t="n"/>
      <c r="AJ101" s="31" t="n"/>
      <c r="AK101" s="24" t="inlineStr">
        <is>
          <t>model_qualified</t>
        </is>
      </c>
      <c r="AL101" s="26" t="n">
        <v>4</v>
      </c>
      <c r="AM101" s="24" t="inlineStr">
        <is>
          <t>QUALIFIED_SHADOW_CALL</t>
        </is>
      </c>
      <c r="AN101" s="24" t="inlineStr">
        <is>
          <t>CALL</t>
        </is>
      </c>
      <c r="AO101" s="24" t="inlineStr">
        <is>
          <t>QUALIFIED</t>
        </is>
      </c>
      <c r="AP101" s="24" t="inlineStr">
        <is>
          <t>Pcific Esports</t>
        </is>
      </c>
      <c r="AQ101" s="24" t="inlineStr">
        <is>
          <t>Pcific Esports</t>
        </is>
      </c>
      <c r="AR101" s="24" t="inlineStr">
        <is>
          <t>Pcific Esports</t>
        </is>
      </c>
      <c r="AS101" s="24" t="inlineStr">
        <is>
          <t>Fear Never Ends</t>
        </is>
      </c>
      <c r="AT101" s="24" t="inlineStr">
        <is>
          <t>Fear Never Ends</t>
        </is>
      </c>
      <c r="AU101" s="24" t="inlineStr">
        <is>
          <t>Fear Never Ends</t>
        </is>
      </c>
      <c r="AV101" s="24" t="n"/>
      <c r="AW101" s="24" t="n"/>
      <c r="AX101" s="24" t="inlineStr">
        <is>
          <t>statistical_model</t>
        </is>
      </c>
      <c r="AY101" s="24" t="n"/>
      <c r="AZ101" s="24" t="inlineStr">
        <is>
          <t>shadow_qualified</t>
        </is>
      </c>
      <c r="BA101" s="24" t="inlineStr">
        <is>
          <t>7064b5ac4ea709b37344fc2491e3780c34d01ee17d0f831ff7800e11162833ec</t>
        </is>
      </c>
      <c r="BB101" s="24" t="inlineStr">
        <is>
          <t>neutral_elo</t>
        </is>
      </c>
      <c r="BC101" s="24" t="inlineStr">
        <is>
          <t>valorant-tiered-elo-v6</t>
        </is>
      </c>
      <c r="BD101" s="24" t="inlineStr">
        <is>
          <t>7064b5ac4ea709b37344fc2491e3780c34d01ee17d0f831ff7800e11162833ec</t>
        </is>
      </c>
      <c r="BE101" s="24" t="inlineStr">
        <is>
          <t>1</t>
        </is>
      </c>
      <c r="BF101" s="24" t="inlineStr">
        <is>
          <t>1</t>
        </is>
      </c>
      <c r="BG101" s="24" t="inlineStr">
        <is>
          <t>valorant-tiered-elo-v6</t>
        </is>
      </c>
      <c r="BH101" s="24" t="inlineStr">
        <is>
          <t>2026-09-28T10:09:44.882671Z</t>
        </is>
      </c>
      <c r="BI101" s="24" t="inlineStr">
        <is>
          <t>["same_event","same_team_same_day","same_league_same_day"]</t>
        </is>
      </c>
      <c r="BJ101" s="25" t="n"/>
      <c r="BK101" s="26" t="n">
        <v>150</v>
      </c>
      <c r="BL101" s="27" t="n">
        <v>2.5</v>
      </c>
      <c r="BM101" s="28" t="n">
        <v>0.4</v>
      </c>
      <c r="BN101" s="28" t="n"/>
      <c r="BO101" s="28" t="n"/>
      <c r="BP101" s="25" t="n"/>
      <c r="BQ101" s="27" t="n"/>
      <c r="BR101" s="28" t="n"/>
      <c r="BS101" s="28" t="n"/>
      <c r="BT101" s="28" t="n"/>
      <c r="BU101" s="25" t="n"/>
      <c r="BV101" s="29" t="n"/>
      <c r="BW101" s="24" t="n"/>
      <c r="BX101" s="30" t="n"/>
      <c r="BY101" s="27" t="n"/>
      <c r="BZ101" s="24" t="n"/>
      <c r="CA101" s="31" t="n"/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/>
      <c r="CM101" s="24" t="n"/>
      <c r="CN101" s="24" t="n"/>
      <c r="CO101" s="24" t="n"/>
      <c r="CP101" s="24" t="n"/>
      <c r="CQ101" s="24" t="n"/>
      <c r="CR101" s="24" t="n"/>
      <c r="CS101" s="24" t="inlineStr">
        <is>
          <t>True</t>
        </is>
      </c>
      <c r="CT101" s="24" t="n"/>
      <c r="CU101" s="24" t="n"/>
      <c r="CV101" s="24" t="n"/>
      <c r="CW101" s="24" t="n"/>
      <c r="CX101" s="24" t="n"/>
      <c r="CY101" s="24" t="n"/>
      <c r="CZ101" s="24" t="n"/>
      <c r="DA101" s="24" t="n"/>
      <c r="DB101" s="24" t="n"/>
      <c r="DC101" s="24" t="n"/>
      <c r="DD101" s="24" t="n"/>
      <c r="DE101" s="24" t="n"/>
      <c r="DF101" s="24" t="n"/>
      <c r="DG101" s="24" t="n"/>
      <c r="DH101" s="24" t="n"/>
      <c r="DI101" s="24" t="n"/>
      <c r="DJ101" s="24" t="inlineStr">
        <is>
          <t>0.4</t>
        </is>
      </c>
      <c r="DK101" s="24" t="n"/>
      <c r="DL101" s="24" t="n"/>
      <c r="DM101" s="24" t="n"/>
      <c r="DN101" s="24" t="n"/>
      <c r="DO101" s="24" t="n"/>
      <c r="DP101" s="24" t="n"/>
      <c r="DQ101" s="24" t="inlineStr">
        <is>
          <t>{"artifact_hash": "7064b5ac4ea709b37344fc2491e3780c34d01ee17d0f831ff7800e11162833ec", "away_team": "Pcific Esports", "event_id": "130380", "event_start_utc": "2026-09-28T16:00:00Z", "features": {"away_elo": 1460.745366, "away_history_count": 48, "home_elo": 1509.441186, "home_history_count": 2}, "historical_source_observation_times_verified": false, "home_team": "Fear Never Ends", "inference_inputs": {"book_state": {"games_played": {"bo3:2:25388": 2, "bo3:2:8765": 48}, "inactivity_half_life_days": null, "inactivity_max_pull": null, "k": 64.0, "last_match_utc": {"bo3:2:25388": "2026-09-27T16:00:00Z", "bo3:2:8765": "2026-09-27T16:00:00Z"}, "minimum_reliable_games": null, "platt_intercept": 0.11470310988145302, "platt_slope": 0.764077738716276, "ratings": {"bo3:2:25388": 1509.441186, "bo3:2:8765": 1460.745366},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"2026-09-28T10:09:44.761056+00:00", "team_ids": ["bo3:2:25388", "bo3:2:8765"]}, "market_type": "moneyline", "model_version": "valorant-tiered-elo-v6", "observed_at_utc": "2026-09-28T10:09:44.761056+00:00", "probabilities": {"away": 0.458647, "home": 0.541353}, "replay_scope": "Exact serving book state, calibration, temperature, inactivity reference and thin-history adjustments; training provenance not certified.", "schema": "esports-elo-replay-v1", "snapshot_hash": "c224eb1886b2b3942066ca76c68da486175e810ec3df447e2efb2cc6facd9c7d", "sport": "VALORANT"}</t>
        </is>
      </c>
    </row>
    <row r="102" ht="36" customHeight="1">
      <c r="A102" s="24" t="inlineStr">
        <is>
          <t>6bfb682688e543e7</t>
        </is>
      </c>
      <c r="B102" s="24" t="inlineStr">
        <is>
          <t>2026-09-28T16:12:19.658478Z</t>
        </is>
      </c>
      <c r="C102" s="24" t="inlineStr">
        <is>
          <t>2026-09-28T19:00:00Z</t>
        </is>
      </c>
      <c r="D102" s="24" t="inlineStr">
        <is>
          <t>130722</t>
        </is>
      </c>
      <c r="E102" s="24" t="inlineStr">
        <is>
          <t>VALORANT</t>
        </is>
      </c>
      <c r="F102" s="24" t="inlineStr">
        <is>
          <t>Trigon Titans</t>
        </is>
      </c>
      <c r="G102" s="24" t="inlineStr">
        <is>
          <t>NKVT</t>
        </is>
      </c>
      <c r="H102" s="24" t="inlineStr">
        <is>
          <t>moneyline</t>
        </is>
      </c>
      <c r="I102" s="24" t="inlineStr">
        <is>
          <t>home</t>
        </is>
      </c>
      <c r="J102" s="25" t="n"/>
      <c r="K102" s="24" t="inlineStr">
        <is>
          <t>polymarket_us</t>
        </is>
      </c>
      <c r="L102" s="26" t="n">
        <v>-178</v>
      </c>
      <c r="M102" s="27" t="n">
        <v>1.561798</v>
      </c>
      <c r="N102" s="28" t="n">
        <v>0.640288</v>
      </c>
      <c r="O102" s="28" t="n">
        <v>0.514882</v>
      </c>
      <c r="P102" s="28" t="n"/>
      <c r="Q102" s="28" t="n">
        <v>-0.125406</v>
      </c>
      <c r="R102" s="26" t="n">
        <v>0</v>
      </c>
      <c r="S102" s="29" t="n">
        <v>1</v>
      </c>
      <c r="T102" s="24" t="inlineStr">
        <is>
          <t>valorant-tiered-elo-v6</t>
        </is>
      </c>
      <c r="U102" s="24" t="inlineStr">
        <is>
          <t>settled</t>
        </is>
      </c>
      <c r="V102" s="24" t="inlineStr">
        <is>
          <t>win</t>
        </is>
      </c>
      <c r="W102" s="26" t="n">
        <v>0</v>
      </c>
      <c r="X102" s="26" t="n">
        <v>1</v>
      </c>
      <c r="Y102" s="25" t="n"/>
      <c r="Z102" s="26" t="n"/>
      <c r="AA102" s="28" t="n"/>
      <c r="AB102" s="28" t="n"/>
      <c r="AC102" s="30" t="n">
        <v>0.5618</v>
      </c>
      <c r="AD102" s="24" t="inlineStr">
        <is>
          <t>2026-09-28T22:03:27.964385Z</t>
        </is>
      </c>
      <c r="AE102" s="31" t="inlineStr">
        <is>
          <t>Neutral Elo baseline; executable ask 0.6400 (market_slug=aec-valorant-nkvt-tt-2026-09-28).</t>
        </is>
      </c>
      <c r="AF102" s="31" t="inlineStr">
        <is>
          <t>Config-promoted esports baseline; gates enforced at log time.</t>
        </is>
      </c>
      <c r="AG102" s="24" t="inlineStr">
        <is>
          <t>not_applicable</t>
        </is>
      </c>
      <c r="AH102" s="24" t="n"/>
      <c r="AI102" s="31" t="n"/>
      <c r="AJ102" s="31" t="n"/>
      <c r="AK102" s="24" t="inlineStr">
        <is>
          <t>paper_call</t>
        </is>
      </c>
      <c r="AL102" s="26" t="n">
        <v>4</v>
      </c>
      <c r="AM102" s="24" t="inlineStr">
        <is>
          <t>RESEARCH_OBSERVATION</t>
        </is>
      </c>
      <c r="AN102" s="24" t="inlineStr">
        <is>
          <t>CALL</t>
        </is>
      </c>
      <c r="AO102" s="24" t="inlineStr">
        <is>
          <t>PAPER_CALL_LOW_EDGE</t>
        </is>
      </c>
      <c r="AP102" s="24" t="inlineStr">
        <is>
          <t>Trigon Titans</t>
        </is>
      </c>
      <c r="AQ102" s="24" t="inlineStr">
        <is>
          <t>Trigon Titans</t>
        </is>
      </c>
      <c r="AR102" s="24" t="inlineStr">
        <is>
          <t>Trigon Titans</t>
        </is>
      </c>
      <c r="AS102" s="24" t="inlineStr">
        <is>
          <t>NKVT</t>
        </is>
      </c>
      <c r="AT102" s="24" t="inlineStr">
        <is>
          <t>NKVT</t>
        </is>
      </c>
      <c r="AU102" s="24" t="inlineStr">
        <is>
          <t>NKVT</t>
        </is>
      </c>
      <c r="AV102" s="24" t="n"/>
      <c r="AW102" s="24" t="n"/>
      <c r="AX102" s="24" t="inlineStr">
        <is>
          <t>statistical_model</t>
        </is>
      </c>
      <c r="AY102" s="24" t="n"/>
      <c r="AZ102" s="24" t="inlineStr">
        <is>
          <t>shadow_qualified</t>
        </is>
      </c>
      <c r="BA102" s="24" t="inlineStr">
        <is>
          <t>de157dac5b7837d94da961871b86e07e11c589d88090f30e966cf072a7e85188</t>
        </is>
      </c>
      <c r="BB102" s="24" t="inlineStr">
        <is>
          <t>neutral_elo</t>
        </is>
      </c>
      <c r="BC102" s="24" t="inlineStr">
        <is>
          <t>valorant-tiered-elo-v6</t>
        </is>
      </c>
      <c r="BD102" s="24" t="inlineStr">
        <is>
          <t>de157dac5b7837d94da961871b86e07e11c589d88090f30e966cf072a7e85188</t>
        </is>
      </c>
      <c r="BE102" s="24" t="inlineStr">
        <is>
          <t>1</t>
        </is>
      </c>
      <c r="BF102" s="24" t="inlineStr">
        <is>
          <t>1</t>
        </is>
      </c>
      <c r="BG102" s="24" t="inlineStr">
        <is>
          <t>valorant-tiered-elo-v6</t>
        </is>
      </c>
      <c r="BH102" s="24" t="inlineStr">
        <is>
          <t>2026-09-28T16:12:12.182196Z</t>
        </is>
      </c>
      <c r="BI102" s="24" t="inlineStr">
        <is>
          <t>["same_event","same_team_same_day","same_league_same_day"]</t>
        </is>
      </c>
      <c r="BJ102" s="25" t="n"/>
      <c r="BK102" s="26" t="n">
        <v>-178</v>
      </c>
      <c r="BL102" s="27" t="n">
        <v>1.561798</v>
      </c>
      <c r="BM102" s="28" t="n">
        <v>0.640288</v>
      </c>
      <c r="BN102" s="28" t="n"/>
      <c r="BO102" s="28" t="n"/>
      <c r="BP102" s="25" t="n"/>
      <c r="BQ102" s="27" t="n"/>
      <c r="BR102" s="28" t="n"/>
      <c r="BS102" s="28" t="n"/>
      <c r="BT102" s="28" t="n"/>
      <c r="BU102" s="25" t="n"/>
      <c r="BV102" s="29" t="n"/>
      <c r="BW102" s="24" t="n"/>
      <c r="BX102" s="30" t="n"/>
      <c r="BY102" s="27" t="n"/>
      <c r="BZ102" s="24" t="n"/>
      <c r="CA102" s="31" t="n"/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  <c r="CL102" s="24" t="n"/>
      <c r="CM102" s="24" t="n"/>
      <c r="CN102" s="24" t="n"/>
      <c r="CO102" s="24" t="n"/>
      <c r="CP102" s="24" t="n"/>
      <c r="CQ102" s="24" t="n"/>
      <c r="CR102" s="24" t="n"/>
      <c r="CS102" s="24" t="inlineStr">
        <is>
          <t>False</t>
        </is>
      </c>
      <c r="CT102" s="24" t="n"/>
      <c r="CU102" s="24" t="n"/>
      <c r="CV102" s="24" t="n"/>
      <c r="CW102" s="24" t="n"/>
      <c r="CX102" s="24" t="n"/>
      <c r="CY102" s="24" t="n"/>
      <c r="CZ102" s="24" t="n"/>
      <c r="DA102" s="24" t="n"/>
      <c r="DB102" s="24" t="n"/>
      <c r="DC102" s="24" t="n"/>
      <c r="DD102" s="24" t="n"/>
      <c r="DE102" s="24" t="n"/>
      <c r="DF102" s="24" t="n"/>
      <c r="DG102" s="24" t="n"/>
      <c r="DH102" s="24" t="n"/>
      <c r="DI102" s="24" t="n"/>
      <c r="DJ102" s="24" t="inlineStr">
        <is>
          <t>0.640288</t>
        </is>
      </c>
      <c r="DK102" s="24" t="n"/>
      <c r="DL102" s="24" t="n"/>
      <c r="DM102" s="24" t="n"/>
      <c r="DN102" s="24" t="n"/>
      <c r="DO102" s="24" t="n"/>
      <c r="DP102" s="24" t="n"/>
      <c r="DQ102" s="24" t="inlineStr">
        <is>
          <t>{"artifact_hash": "de157dac5b7837d94da961871b86e07e11c589d88090f30e966cf072a7e85188", "away_team": "Trigon Titans", "event_id": "130722", "event_start_utc": "2026-09-28T19:00:00Z", "features": {"away_elo": 1519.48098, "away_history_count": 2, "home_elo": 1520.049578, "home_history_count": 2}, "historical_source_observation_times_verified": false, "home_team": "NKVT", "inference_inputs": {"book_state": {"games_played": {"bo3:2:25385": 2, "bo3:2:25387": 2}, "inactivity_half_life_days": null, "inactivity_max_pull": null, "k": 64.0, "last_match_utc": {"bo3:2:25385": "2026-09-27T18:25:00Z", "bo3:2:25387": "2026-09-27T19:00:00Z"}, "minimum_reliable_games": null, "platt_intercept": 0.11470310988145302, "platt_slope": 0.764077738716276, "ratings": {"bo3:2:25385": 1520.049578, "bo3:2:25387": 1519.48098},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"2026-09-28T16:12:12.107999+00:00", "team_ids": ["bo3:2:25385", "bo3:2:25387"]}, "market_type": "moneyline", "model_version": "valorant-tiered-elo-v6", "observed_at_utc": "2026-09-28T16:12:12.107999+00:00", "probabilities": {"away": 0.485118, "home": 0.514882}, "replay_scope": "Exact serving book state, calibration, temperature, inactivity reference and thin-history adjustments; training provenance not certified.", "schema": "esports-elo-replay-v1", "snapshot_hash": "2f98ba6bd5a456efd50dda1b1bd1d16a32697dae458cfca01a06674692cc5c14", "sport": "VALORANT"}</t>
        </is>
      </c>
    </row>
    <row r="103" ht="36" customHeight="1">
      <c r="A103" s="24" t="inlineStr">
        <is>
          <t>75e3951664a346c5</t>
        </is>
      </c>
      <c r="B103" s="24" t="inlineStr">
        <is>
          <t>2026-09-29T04:40:22.040874Z</t>
        </is>
      </c>
      <c r="C103" s="24" t="inlineStr">
        <is>
          <t>2026-09-29T09:00:00Z</t>
        </is>
      </c>
      <c r="D103" s="24" t="inlineStr">
        <is>
          <t>127947</t>
        </is>
      </c>
      <c r="E103" s="24" t="inlineStr">
        <is>
          <t>VALORANT</t>
        </is>
      </c>
      <c r="F103" s="24" t="inlineStr">
        <is>
          <t>Paper Rex</t>
        </is>
      </c>
      <c r="G103" s="24" t="inlineStr">
        <is>
          <t>G2 Esports</t>
        </is>
      </c>
      <c r="H103" s="24" t="inlineStr">
        <is>
          <t>moneyline</t>
        </is>
      </c>
      <c r="I103" s="24" t="inlineStr">
        <is>
          <t>home</t>
        </is>
      </c>
      <c r="J103" s="25" t="n"/>
      <c r="K103" s="24" t="inlineStr">
        <is>
          <t>polymarket_us</t>
        </is>
      </c>
      <c r="L103" s="26" t="n">
        <v>133</v>
      </c>
      <c r="M103" s="27" t="n">
        <v>2.33</v>
      </c>
      <c r="N103" s="28" t="n">
        <v>0.429185</v>
      </c>
      <c r="O103" s="28" t="n">
        <v>0.552967</v>
      </c>
      <c r="P103" s="28" t="n"/>
      <c r="Q103" s="28" t="n">
        <v>0.123782</v>
      </c>
      <c r="R103" s="26" t="n">
        <v>82</v>
      </c>
      <c r="S103" s="29" t="n">
        <v>1.5</v>
      </c>
      <c r="T103" s="24" t="inlineStr">
        <is>
          <t>valorant-tiered-elo-v6</t>
        </is>
      </c>
      <c r="U103" s="24" t="inlineStr">
        <is>
          <t>settled</t>
        </is>
      </c>
      <c r="V103" s="24" t="inlineStr">
        <is>
          <t>loss</t>
        </is>
      </c>
      <c r="W103" s="26" t="n">
        <v>1</v>
      </c>
      <c r="X103" s="26" t="n">
        <v>0</v>
      </c>
      <c r="Y103" s="25" t="n"/>
      <c r="Z103" s="26" t="n"/>
      <c r="AA103" s="28" t="n"/>
      <c r="AB103" s="28" t="n"/>
      <c r="AC103" s="30" t="n">
        <v>-1.5</v>
      </c>
      <c r="AD103" s="24" t="inlineStr">
        <is>
          <t>2026-09-29T22:04:17.725571Z</t>
        </is>
      </c>
      <c r="AE103" s="31" t="inlineStr">
        <is>
          <t>Neutral Elo baseline; executable ask 0.4300 (market_slug=aec-valorant-g2-pr-2026-09-29).</t>
        </is>
      </c>
      <c r="AF103" s="31" t="inlineStr">
        <is>
          <t>Config-promoted esports baseline; gates enforced at log time.</t>
        </is>
      </c>
      <c r="AG103" s="24" t="inlineStr">
        <is>
          <t>review_required</t>
        </is>
      </c>
      <c r="AH103" s="24" t="n"/>
      <c r="AI103" s="31" t="n"/>
      <c r="AJ103" s="31" t="n"/>
      <c r="AK103" s="24" t="inlineStr">
        <is>
          <t>model_qualified</t>
        </is>
      </c>
      <c r="AL103" s="26" t="n">
        <v>4</v>
      </c>
      <c r="AM103" s="24" t="inlineStr">
        <is>
          <t>QUALIFIED_SHADOW_CALL</t>
        </is>
      </c>
      <c r="AN103" s="24" t="inlineStr">
        <is>
          <t>CALL</t>
        </is>
      </c>
      <c r="AO103" s="24" t="inlineStr">
        <is>
          <t>QUALIFIED</t>
        </is>
      </c>
      <c r="AP103" s="24" t="inlineStr">
        <is>
          <t>Paper Rex</t>
        </is>
      </c>
      <c r="AQ103" s="24" t="inlineStr">
        <is>
          <t>Paper Rex</t>
        </is>
      </c>
      <c r="AR103" s="24" t="inlineStr">
        <is>
          <t>Paper Rex</t>
        </is>
      </c>
      <c r="AS103" s="24" t="inlineStr">
        <is>
          <t>G2 Esports</t>
        </is>
      </c>
      <c r="AT103" s="24" t="inlineStr">
        <is>
          <t>G2 Esports</t>
        </is>
      </c>
      <c r="AU103" s="24" t="inlineStr">
        <is>
          <t>G2 Esports</t>
        </is>
      </c>
      <c r="AV103" s="24" t="n"/>
      <c r="AW103" s="24" t="n"/>
      <c r="AX103" s="24" t="inlineStr">
        <is>
          <t>statistical_model</t>
        </is>
      </c>
      <c r="AY103" s="24" t="n"/>
      <c r="AZ103" s="24" t="inlineStr">
        <is>
          <t>shadow_qualified</t>
        </is>
      </c>
      <c r="BA103" s="24" t="inlineStr">
        <is>
          <t>f75098e70cf404ed0b758451478d73c461deb13c3139f6283898c87006722a3c</t>
        </is>
      </c>
      <c r="BB103" s="24" t="inlineStr">
        <is>
          <t>neutral_elo</t>
        </is>
      </c>
      <c r="BC103" s="24" t="inlineStr">
        <is>
          <t>valorant-tiered-elo-v6</t>
        </is>
      </c>
      <c r="BD103" s="24" t="inlineStr">
        <is>
          <t>f75098e70cf404ed0b758451478d73c461deb13c3139f6283898c87006722a3c</t>
        </is>
      </c>
      <c r="BE103" s="24" t="inlineStr">
        <is>
          <t>1</t>
        </is>
      </c>
      <c r="BF103" s="24" t="inlineStr">
        <is>
          <t>1</t>
        </is>
      </c>
      <c r="BG103" s="24" t="inlineStr">
        <is>
          <t>valorant-tiered-elo-v6</t>
        </is>
      </c>
      <c r="BH103" s="24" t="inlineStr">
        <is>
          <t>2026-09-29T04:40:09.101054Z</t>
        </is>
      </c>
      <c r="BI103" s="24" t="inlineStr">
        <is>
          <t>["same_event","same_team_same_day","same_league_same_day"]</t>
        </is>
      </c>
      <c r="BJ103" s="25" t="n"/>
      <c r="BK103" s="26" t="n">
        <v>133</v>
      </c>
      <c r="BL103" s="27" t="n">
        <v>2.33</v>
      </c>
      <c r="BM103" s="28" t="n">
        <v>0.429185</v>
      </c>
      <c r="BN103" s="28" t="n"/>
      <c r="BO103" s="28" t="n"/>
      <c r="BP103" s="25" t="n"/>
      <c r="BQ103" s="27" t="n"/>
      <c r="BR103" s="28" t="n"/>
      <c r="BS103" s="28" t="n"/>
      <c r="BT103" s="28" t="n"/>
      <c r="BU103" s="25" t="n"/>
      <c r="BV103" s="29" t="n"/>
      <c r="BW103" s="24" t="n"/>
      <c r="BX103" s="30" t="n"/>
      <c r="BY103" s="27" t="n"/>
      <c r="BZ103" s="24" t="n"/>
      <c r="CA103" s="31" t="n"/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/>
      <c r="CM103" s="24" t="n"/>
      <c r="CN103" s="24" t="n"/>
      <c r="CO103" s="24" t="n"/>
      <c r="CP103" s="24" t="n"/>
      <c r="CQ103" s="24" t="n"/>
      <c r="CR103" s="24" t="n"/>
      <c r="CS103" s="24" t="inlineStr">
        <is>
          <t>True</t>
        </is>
      </c>
      <c r="CT103" s="24" t="n"/>
      <c r="CU103" s="24" t="n"/>
      <c r="CV103" s="24" t="n"/>
      <c r="CW103" s="24" t="n"/>
      <c r="CX103" s="24" t="n"/>
      <c r="CY103" s="24" t="n"/>
      <c r="CZ103" s="24" t="n"/>
      <c r="DA103" s="24" t="n"/>
      <c r="DB103" s="24" t="n"/>
      <c r="DC103" s="24" t="n"/>
      <c r="DD103" s="24" t="n"/>
      <c r="DE103" s="24" t="n"/>
      <c r="DF103" s="24" t="n"/>
      <c r="DG103" s="24" t="n"/>
      <c r="DH103" s="24" t="n"/>
      <c r="DI103" s="24" t="n"/>
      <c r="DJ103" s="24" t="inlineStr">
        <is>
          <t>0.429185</t>
        </is>
      </c>
      <c r="DK103" s="24" t="n"/>
      <c r="DL103" s="24" t="n"/>
      <c r="DM103" s="24" t="n"/>
      <c r="DN103" s="24" t="n"/>
      <c r="DO103" s="24" t="n"/>
      <c r="DP103" s="24" t="n"/>
      <c r="DQ103" s="24" t="inlineStr">
        <is>
          <t>{"artifact_hash": "f75098e70cf404ed0b758451478d73c461deb13c3139f6283898c87006722a3c", "away_team": "Paper Rex", "event_id": "127947", "event_start_utc": "2026-09-29T09:00:00Z", "features": {"away_elo": 1836.989603, "away_history_count": 165, "home_elo": 1868.331347, "home_history_count": 164}, "historical_source_observation_times_verified": false, "home_team": "G2 Esports", "inference_inputs": {"book_state": {"games_played": {"bo3:2:7225": 165, "bo3:2:7323": 164}, "inactivity_half_life_days": null, "inactivity_max_pull": null, "k": 64.0, "last_match_utc": {"bo3:2:7225": "2026-09-24T09:00:00Z", "bo3:2:7323": "2026-09-24T12:30:00Z"}, "minimum_reliable_games": null, "platt_intercept": 0.11682002441821546, "platt_slope": 0.7650084432774791, "ratings": {"bo3:2:7225": 1836.989603, "bo3:2:7323": 1868.331347},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"2026-09-29T04:40:09.010121+00:00", "team_ids": ["bo3:2:7323", "bo3:2:7225"]}, "market_type": "moneyline", "model_version": "valorant-tiered-elo-v6", "observed_at_utc": "2026-09-29T04:40:09.010121+00:00", "probabilities": {"away": 0.447033, "home": 0.552967}, "replay_scope": "Exact serving book state, calibration, temperature, inactivity reference and thin-history adjustments; training provenance not certified.", "schema": "esports-elo-replay-v1", "snapshot_hash": "634f935aff9e78183da4afe691926e67f991a18e7cbb5159b0c3fb08e9f59124", "sport": "VALORANT"}</t>
        </is>
      </c>
    </row>
    <row r="104" ht="36" customHeight="1">
      <c r="A104" s="24" t="inlineStr">
        <is>
          <t>833808f34a1548e6</t>
        </is>
      </c>
      <c r="B104" s="24" t="inlineStr">
        <is>
          <t>2026-09-29T10:09:27.198379Z</t>
        </is>
      </c>
      <c r="C104" s="24" t="inlineStr">
        <is>
          <t>2026-09-29T12:00:00Z</t>
        </is>
      </c>
      <c r="D104" s="24" t="inlineStr">
        <is>
          <t>128054</t>
        </is>
      </c>
      <c r="E104" s="24" t="inlineStr">
        <is>
          <t>VALORANT</t>
        </is>
      </c>
      <c r="F104" s="24" t="inlineStr">
        <is>
          <t>NRG</t>
        </is>
      </c>
      <c r="G104" s="24" t="inlineStr">
        <is>
          <t>Karmine Corp</t>
        </is>
      </c>
      <c r="H104" s="24" t="inlineStr">
        <is>
          <t>moneyline</t>
        </is>
      </c>
      <c r="I104" s="24" t="inlineStr">
        <is>
          <t>home</t>
        </is>
      </c>
      <c r="J104" s="25" t="n"/>
      <c r="K104" s="24" t="inlineStr">
        <is>
          <t>polymarket_us</t>
        </is>
      </c>
      <c r="L104" s="26" t="n">
        <v>138</v>
      </c>
      <c r="M104" s="27" t="n">
        <v>2.38</v>
      </c>
      <c r="N104" s="28" t="n">
        <v>0.420168</v>
      </c>
      <c r="O104" s="28" t="n">
        <v>0.588016</v>
      </c>
      <c r="P104" s="28" t="n"/>
      <c r="Q104" s="28" t="n">
        <v>0.167848</v>
      </c>
      <c r="R104" s="26" t="n">
        <v>100</v>
      </c>
      <c r="S104" s="29" t="n">
        <v>1.75</v>
      </c>
      <c r="T104" s="24" t="inlineStr">
        <is>
          <t>valorant-tiered-elo-v6</t>
        </is>
      </c>
      <c r="U104" s="24" t="inlineStr">
        <is>
          <t>settled</t>
        </is>
      </c>
      <c r="V104" s="24" t="inlineStr">
        <is>
          <t>loss</t>
        </is>
      </c>
      <c r="W104" s="26" t="n">
        <v>1</v>
      </c>
      <c r="X104" s="26" t="n">
        <v>0</v>
      </c>
      <c r="Y104" s="25" t="n"/>
      <c r="Z104" s="26" t="n"/>
      <c r="AA104" s="28" t="n"/>
      <c r="AB104" s="28" t="n"/>
      <c r="AC104" s="30" t="n">
        <v>-1.75</v>
      </c>
      <c r="AD104" s="24" t="inlineStr">
        <is>
          <t>2026-09-29T22:04:18.025244Z</t>
        </is>
      </c>
      <c r="AE104" s="31" t="inlineStr">
        <is>
          <t>Neutral Elo baseline; executable ask 0.4200 (market_slug=aec-valorant-kc-nrg-2026-09-29).</t>
        </is>
      </c>
      <c r="AF104" s="31" t="inlineStr">
        <is>
          <t>Config-promoted esports baseline; gates enforced at log time.</t>
        </is>
      </c>
      <c r="AG104" s="24" t="inlineStr">
        <is>
          <t>review_required</t>
        </is>
      </c>
      <c r="AH104" s="24" t="n"/>
      <c r="AI104" s="31" t="n"/>
      <c r="AJ104" s="31" t="n"/>
      <c r="AK104" s="24" t="inlineStr">
        <is>
          <t>model_qualified</t>
        </is>
      </c>
      <c r="AL104" s="26" t="n">
        <v>4</v>
      </c>
      <c r="AM104" s="24" t="inlineStr">
        <is>
          <t>QUALIFIED_SHADOW_CALL</t>
        </is>
      </c>
      <c r="AN104" s="24" t="inlineStr">
        <is>
          <t>CALL</t>
        </is>
      </c>
      <c r="AO104" s="24" t="inlineStr">
        <is>
          <t>QUALIFIED</t>
        </is>
      </c>
      <c r="AP104" s="24" t="inlineStr">
        <is>
          <t>NRG</t>
        </is>
      </c>
      <c r="AQ104" s="24" t="inlineStr">
        <is>
          <t>NRG</t>
        </is>
      </c>
      <c r="AR104" s="24" t="inlineStr">
        <is>
          <t>NRG</t>
        </is>
      </c>
      <c r="AS104" s="24" t="inlineStr">
        <is>
          <t>Karmine Corp</t>
        </is>
      </c>
      <c r="AT104" s="24" t="inlineStr">
        <is>
          <t>Karmine Corp</t>
        </is>
      </c>
      <c r="AU104" s="24" t="inlineStr">
        <is>
          <t>Karmine Corp</t>
        </is>
      </c>
      <c r="AV104" s="24" t="n"/>
      <c r="AW104" s="24" t="n"/>
      <c r="AX104" s="24" t="inlineStr">
        <is>
          <t>statistical_model</t>
        </is>
      </c>
      <c r="AY104" s="24" t="n"/>
      <c r="AZ104" s="24" t="inlineStr">
        <is>
          <t>shadow_qualified</t>
        </is>
      </c>
      <c r="BA104" s="24" t="inlineStr">
        <is>
          <t>15f6a45e57b1593f47a0b32b75169f60ea1a29d893b91f69dcac126cd6dd7be5</t>
        </is>
      </c>
      <c r="BB104" s="24" t="inlineStr">
        <is>
          <t>neutral_elo</t>
        </is>
      </c>
      <c r="BC104" s="24" t="inlineStr">
        <is>
          <t>valorant-tiered-elo-v6</t>
        </is>
      </c>
      <c r="BD104" s="24" t="inlineStr">
        <is>
          <t>15f6a45e57b1593f47a0b32b75169f60ea1a29d893b91f69dcac126cd6dd7be5</t>
        </is>
      </c>
      <c r="BE104" s="24" t="inlineStr">
        <is>
          <t>1</t>
        </is>
      </c>
      <c r="BF104" s="24" t="inlineStr">
        <is>
          <t>1</t>
        </is>
      </c>
      <c r="BG104" s="24" t="inlineStr">
        <is>
          <t>valorant-tiered-elo-v6</t>
        </is>
      </c>
      <c r="BH104" s="24" t="inlineStr">
        <is>
          <t>2026-09-29T10:09:22.887876Z</t>
        </is>
      </c>
      <c r="BI104" s="24" t="inlineStr">
        <is>
          <t>["same_event","same_team_same_day","same_league_same_day"]</t>
        </is>
      </c>
      <c r="BJ104" s="25" t="n"/>
      <c r="BK104" s="26" t="n">
        <v>138</v>
      </c>
      <c r="BL104" s="27" t="n">
        <v>2.38</v>
      </c>
      <c r="BM104" s="28" t="n">
        <v>0.420168</v>
      </c>
      <c r="BN104" s="28" t="n"/>
      <c r="BO104" s="28" t="n"/>
      <c r="BP104" s="25" t="n"/>
      <c r="BQ104" s="27" t="n"/>
      <c r="BR104" s="28" t="n"/>
      <c r="BS104" s="28" t="n"/>
      <c r="BT104" s="28" t="n"/>
      <c r="BU104" s="25" t="n"/>
      <c r="BV104" s="29" t="n"/>
      <c r="BW104" s="24" t="n"/>
      <c r="BX104" s="30" t="n"/>
      <c r="BY104" s="27" t="n"/>
      <c r="BZ104" s="24" t="n"/>
      <c r="CA104" s="31" t="n"/>
      <c r="CB104" s="24" t="n"/>
      <c r="CC104" s="24" t="n"/>
      <c r="CD104" s="24" t="n"/>
      <c r="CE104" s="24" t="n"/>
      <c r="CF104" s="24" t="n"/>
      <c r="CG104" s="24" t="n"/>
      <c r="CH104" s="24" t="n"/>
      <c r="CI104" s="24" t="n"/>
      <c r="CJ104" s="24" t="n"/>
      <c r="CK104" s="24" t="n"/>
      <c r="CL104" s="24" t="n"/>
      <c r="CM104" s="24" t="n"/>
      <c r="CN104" s="24" t="n"/>
      <c r="CO104" s="24" t="n"/>
      <c r="CP104" s="24" t="n"/>
      <c r="CQ104" s="24" t="n"/>
      <c r="CR104" s="24" t="n"/>
      <c r="CS104" s="24" t="inlineStr">
        <is>
          <t>True</t>
        </is>
      </c>
      <c r="CT104" s="24" t="n"/>
      <c r="CU104" s="24" t="n"/>
      <c r="CV104" s="24" t="n"/>
      <c r="CW104" s="24" t="n"/>
      <c r="CX104" s="24" t="n"/>
      <c r="CY104" s="24" t="n"/>
      <c r="CZ104" s="24" t="n"/>
      <c r="DA104" s="24" t="n"/>
      <c r="DB104" s="24" t="n"/>
      <c r="DC104" s="24" t="n"/>
      <c r="DD104" s="24" t="n"/>
      <c r="DE104" s="24" t="n"/>
      <c r="DF104" s="24" t="n"/>
      <c r="DG104" s="24" t="n"/>
      <c r="DH104" s="24" t="n"/>
      <c r="DI104" s="24" t="n"/>
      <c r="DJ104" s="24" t="inlineStr">
        <is>
          <t>0.420168</t>
        </is>
      </c>
      <c r="DK104" s="24" t="n"/>
      <c r="DL104" s="24" t="n"/>
      <c r="DM104" s="24" t="n"/>
      <c r="DN104" s="24" t="n"/>
      <c r="DO104" s="24" t="n"/>
      <c r="DP104" s="24" t="n"/>
      <c r="DQ104" s="24" t="inlineStr">
        <is>
          <t>{"artifact_hash": "15f6a45e57b1593f47a0b32b75169f60ea1a29d893b91f69dcac126cd6dd7be5", "away_team": "NRG", "event_id": "128054", "event_start_utc": "2026-09-29T12:00:00Z", "features": {"away_elo": 1961.604546, "away_history_count": 131, "home_elo": 2032.496062, "home_history_count": 103}, "historical_source_observation_times_verified": false, "home_team": "Karmine Corp", "inference_inputs": {"book_state": {"games_played": {"bo3:2:6744": 103, "bo3:2:7347": 131}, "inactivity_half_life_days": null, "inactivity_max_pull": null, "k": 64.0, "last_match_utc": {"bo3:2:6744": "2026-09-25T11:30:00Z", "bo3:2:7347": "2026-09-25T09:00:00Z"}, "minimum_reliable_games": null, "platt_intercept": 0.11682002441821546, "platt_slope": 0.7650084432774791, "ratings": {"bo3:2:6744": 2032.496062, "bo3:2:7347": 1961.604546},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"2026-09-29T10:09:22.815964+00:00", "team_ids": ["bo3:2:6744", "bo3:2:7347"]}, "market_type": "moneyline", "model_version": "valorant-tiered-elo-v6", "observed_at_utc": "2026-09-29T10:09:22.815964+00:00", "probabilities": {"away": 0.411984, "home": 0.588016}, "replay_scope": "Exact serving book state, calibration, temperature, inactivity reference and thin-history adjustments; training provenance not certified.", "schema": "esports-elo-replay-v1", "snapshot_hash": "16f80d66924bf158aeb101ff049aeb7eb218c181bf3a844b536fb4780bde53e6", "sport": "VALORANT"}</t>
        </is>
      </c>
    </row>
    <row r="105" ht="36" customHeight="1">
      <c r="A105" s="24" t="inlineStr">
        <is>
          <t>5fb97a8e99ee499d</t>
        </is>
      </c>
      <c r="B105" s="24" t="inlineStr">
        <is>
          <t>2026-09-30T04:40:06.065863Z</t>
        </is>
      </c>
      <c r="C105" s="24" t="inlineStr">
        <is>
          <t>2026-09-30T09:00:00Z</t>
        </is>
      </c>
      <c r="D105" s="24" t="inlineStr">
        <is>
          <t>129830</t>
        </is>
      </c>
      <c r="E105" s="24" t="inlineStr">
        <is>
          <t>VALORANT</t>
        </is>
      </c>
      <c r="F105" s="24" t="inlineStr">
        <is>
          <t>LOUD</t>
        </is>
      </c>
      <c r="G105" s="24" t="inlineStr">
        <is>
          <t>Team Vitality</t>
        </is>
      </c>
      <c r="H105" s="24" t="inlineStr">
        <is>
          <t>moneyline</t>
        </is>
      </c>
      <c r="I105" s="24" t="inlineStr">
        <is>
          <t>home</t>
        </is>
      </c>
      <c r="J105" s="25" t="n"/>
      <c r="K105" s="24" t="inlineStr">
        <is>
          <t>polymarket_us</t>
        </is>
      </c>
      <c r="L105" s="26" t="n">
        <v>122</v>
      </c>
      <c r="M105" s="27" t="n">
        <v>2.22</v>
      </c>
      <c r="N105" s="28" t="n">
        <v>0.45045</v>
      </c>
      <c r="O105" s="28" t="n">
        <v>0.565779</v>
      </c>
      <c r="P105" s="28" t="n"/>
      <c r="Q105" s="28" t="n">
        <v>0.115329</v>
      </c>
      <c r="R105" s="26" t="n">
        <v>78</v>
      </c>
      <c r="S105" s="29" t="n">
        <v>1.5</v>
      </c>
      <c r="T105" s="24" t="inlineStr">
        <is>
          <t>valorant-tiered-elo-v6</t>
        </is>
      </c>
      <c r="U105" s="24" t="inlineStr">
        <is>
          <t>settled</t>
        </is>
      </c>
      <c r="V105" s="24" t="inlineStr">
        <is>
          <t>win</t>
        </is>
      </c>
      <c r="W105" s="26" t="n">
        <v>0</v>
      </c>
      <c r="X105" s="26" t="n">
        <v>1</v>
      </c>
      <c r="Y105" s="25" t="n"/>
      <c r="Z105" s="26" t="n"/>
      <c r="AA105" s="28" t="n"/>
      <c r="AB105" s="28" t="n"/>
      <c r="AC105" s="30" t="n">
        <v>1.83</v>
      </c>
      <c r="AD105" s="24" t="inlineStr">
        <is>
          <t>2026-09-30T16:53:42.968390Z</t>
        </is>
      </c>
      <c r="AE105" s="31" t="inlineStr">
        <is>
          <t>Neutral Elo baseline; executable ask 0.4500 (market_slug=aec-valorant-vit-loud-2026-09-30).</t>
        </is>
      </c>
      <c r="AF105" s="31" t="inlineStr">
        <is>
          <t>Config-promoted esports baseline; gates enforced at log time.</t>
        </is>
      </c>
      <c r="AG105" s="24" t="inlineStr">
        <is>
          <t>not_applicable</t>
        </is>
      </c>
      <c r="AH105" s="24" t="n"/>
      <c r="AI105" s="31" t="n"/>
      <c r="AJ105" s="31" t="n"/>
      <c r="AK105" s="24" t="inlineStr">
        <is>
          <t>model_qualified</t>
        </is>
      </c>
      <c r="AL105" s="26" t="n">
        <v>4</v>
      </c>
      <c r="AM105" s="24" t="inlineStr">
        <is>
          <t>QUALIFIED_SHADOW_CALL</t>
        </is>
      </c>
      <c r="AN105" s="24" t="inlineStr">
        <is>
          <t>CALL</t>
        </is>
      </c>
      <c r="AO105" s="24" t="inlineStr">
        <is>
          <t>QUALIFIED</t>
        </is>
      </c>
      <c r="AP105" s="24" t="inlineStr">
        <is>
          <t>LOUD</t>
        </is>
      </c>
      <c r="AQ105" s="24" t="inlineStr">
        <is>
          <t>LOUD</t>
        </is>
      </c>
      <c r="AR105" s="24" t="inlineStr">
        <is>
          <t>LOUD</t>
        </is>
      </c>
      <c r="AS105" s="24" t="inlineStr">
        <is>
          <t>Team Vitality</t>
        </is>
      </c>
      <c r="AT105" s="24" t="inlineStr">
        <is>
          <t>Team Vitality</t>
        </is>
      </c>
      <c r="AU105" s="24" t="inlineStr">
        <is>
          <t>Team Vitality</t>
        </is>
      </c>
      <c r="AV105" s="24" t="n"/>
      <c r="AW105" s="24" t="n"/>
      <c r="AX105" s="24" t="inlineStr">
        <is>
          <t>statistical_model</t>
        </is>
      </c>
      <c r="AY105" s="24" t="n"/>
      <c r="AZ105" s="24" t="inlineStr">
        <is>
          <t>shadow_qualified</t>
        </is>
      </c>
      <c r="BA105" s="24" t="inlineStr">
        <is>
          <t>d511b7cd1e90f85f29587e290965bdf2681b1597d0b2409b33d5ec7896af135d</t>
        </is>
      </c>
      <c r="BB105" s="24" t="inlineStr">
        <is>
          <t>neutral_elo</t>
        </is>
      </c>
      <c r="BC105" s="24" t="inlineStr">
        <is>
          <t>valorant-tiered-elo-v6</t>
        </is>
      </c>
      <c r="BD105" s="24" t="inlineStr">
        <is>
          <t>d511b7cd1e90f85f29587e290965bdf2681b1597d0b2409b33d5ec7896af135d</t>
        </is>
      </c>
      <c r="BE105" s="24" t="inlineStr">
        <is>
          <t>1</t>
        </is>
      </c>
      <c r="BF105" s="24" t="inlineStr">
        <is>
          <t>1</t>
        </is>
      </c>
      <c r="BG105" s="24" t="inlineStr">
        <is>
          <t>valorant-tiered-elo-v6</t>
        </is>
      </c>
      <c r="BH105" s="24" t="inlineStr">
        <is>
          <t>2026-09-30T04:39:54.574715Z</t>
        </is>
      </c>
      <c r="BI105" s="24" t="inlineStr">
        <is>
          <t>["same_event","same_team_same_day","same_league_same_day"]</t>
        </is>
      </c>
      <c r="BJ105" s="25" t="n"/>
      <c r="BK105" s="26" t="n">
        <v>122</v>
      </c>
      <c r="BL105" s="27" t="n">
        <v>2.22</v>
      </c>
      <c r="BM105" s="28" t="n">
        <v>0.45045</v>
      </c>
      <c r="BN105" s="28" t="n"/>
      <c r="BO105" s="28" t="n"/>
      <c r="BP105" s="25" t="n"/>
      <c r="BQ105" s="27" t="n"/>
      <c r="BR105" s="28" t="n"/>
      <c r="BS105" s="28" t="n"/>
      <c r="BT105" s="28" t="n"/>
      <c r="BU105" s="25" t="n"/>
      <c r="BV105" s="29" t="n"/>
      <c r="BW105" s="24" t="n"/>
      <c r="BX105" s="30" t="n"/>
      <c r="BY105" s="27" t="n"/>
      <c r="BZ105" s="24" t="n"/>
      <c r="CA105" s="31" t="n"/>
      <c r="CB105" s="24" t="n"/>
      <c r="CC105" s="24" t="n"/>
      <c r="CD105" s="24" t="n"/>
      <c r="CE105" s="24" t="n"/>
      <c r="CF105" s="24" t="n"/>
      <c r="CG105" s="24" t="n"/>
      <c r="CH105" s="24" t="n"/>
      <c r="CI105" s="24" t="n"/>
      <c r="CJ105" s="24" t="n"/>
      <c r="CK105" s="24" t="n"/>
      <c r="CL105" s="24" t="n"/>
      <c r="CM105" s="24" t="n"/>
      <c r="CN105" s="24" t="n"/>
      <c r="CO105" s="24" t="n"/>
      <c r="CP105" s="24" t="n"/>
      <c r="CQ105" s="24" t="n"/>
      <c r="CR105" s="24" t="n"/>
      <c r="CS105" s="24" t="inlineStr">
        <is>
          <t>True</t>
        </is>
      </c>
      <c r="CT105" s="24" t="n"/>
      <c r="CU105" s="24" t="n"/>
      <c r="CV105" s="24" t="n"/>
      <c r="CW105" s="24" t="n"/>
      <c r="CX105" s="24" t="n"/>
      <c r="CY105" s="24" t="n"/>
      <c r="CZ105" s="24" t="n"/>
      <c r="DA105" s="24" t="n"/>
      <c r="DB105" s="24" t="n"/>
      <c r="DC105" s="24" t="n"/>
      <c r="DD105" s="24" t="n"/>
      <c r="DE105" s="24" t="n"/>
      <c r="DF105" s="24" t="n"/>
      <c r="DG105" s="24" t="n"/>
      <c r="DH105" s="24" t="n"/>
      <c r="DI105" s="24" t="n"/>
      <c r="DJ105" s="24" t="inlineStr">
        <is>
          <t>0.45045</t>
        </is>
      </c>
      <c r="DK105" s="24" t="n"/>
      <c r="DL105" s="24" t="n"/>
      <c r="DM105" s="24" t="n"/>
      <c r="DN105" s="24" t="n"/>
      <c r="DO105" s="24" t="n"/>
      <c r="DP105" s="24" t="n"/>
      <c r="DQ105" s="24" t="inlineStr">
        <is>
          <t>{"artifact_hash": "d511b7cd1e90f85f29587e290965bdf2681b1597d0b2409b33d5ec7896af135d", "away_team": "LOUD", "event_id": "129830", "event_start_utc": "2026-09-30T09:00:00Z", "features": {"away_elo": 1880.921097, "away_history_count": 89, "home_elo": 1927.377854, "home_history_count": 104}, "historical_source_observation_times_verified": false, "home_team": "Team Vitality", "inference_inputs": {"book_state": {"games_played": {"bo3:2:6874": 89, "bo3:2:7254": 104}, "inactivity_half_life_days": null, "inactivity_max_pull": null, "k": 64.0, "last_match_utc": {"bo3:2:6874": "2026-09-26T12:30:00Z", "bo3:2:7254": "2026-09-26T09:00:00Z"}, "minimum_reliable_games": null, "platt_intercept": 0.11622454265535145, "platt_slope": 0.7674618673201502, "ratings": {"bo3:2:6874": 1880.921097, "bo3:2:7254": 1927.377854},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"2026-09-30T04:39:54.494582+00:00", "team_ids": ["bo3:2:7254", "bo3:2:6874"]}, "market_type": "moneyline", "model_version": "valorant-tiered-elo-v6", "observed_at_utc": "2026-09-30T04:39:54.494582+00:00", "probabilities": {"away": 0.434221, "home": 0.565779}, "replay_scope": "Exact serving book state, calibration, temperature, inactivity reference and thin-history adjustments; training provenance not certified.", "schema": "esports-elo-replay-v1", "snapshot_hash": "620eb9523813f0bcf61f1e030ad251e69a3edc846f4fa60ede726232bc1e8a3b", "sport": "VALORANT"}</t>
        </is>
      </c>
    </row>
    <row r="106" ht="36" customHeight="1">
      <c r="A106" s="24" t="inlineStr">
        <is>
          <t>363c1dcf6f014877</t>
        </is>
      </c>
      <c r="B106" s="24" t="inlineStr">
        <is>
          <t>2026-10-03T05:27:00.925428Z</t>
        </is>
      </c>
      <c r="C106" s="24" t="inlineStr">
        <is>
          <t>2026-10-03T09:00:00Z</t>
        </is>
      </c>
      <c r="D106" s="24" t="inlineStr">
        <is>
          <t>136465</t>
        </is>
      </c>
      <c r="E106" s="24" t="inlineStr">
        <is>
          <t>VALORANT</t>
        </is>
      </c>
      <c r="F106" s="24" t="inlineStr">
        <is>
          <t>Team Liquid</t>
        </is>
      </c>
      <c r="G106" s="24" t="inlineStr">
        <is>
          <t>G2 Esports</t>
        </is>
      </c>
      <c r="H106" s="24" t="inlineStr">
        <is>
          <t>moneyline</t>
        </is>
      </c>
      <c r="I106" s="24" t="inlineStr">
        <is>
          <t>away</t>
        </is>
      </c>
      <c r="J106" s="25" t="n"/>
      <c r="K106" s="24" t="inlineStr">
        <is>
          <t>polymarket_us</t>
        </is>
      </c>
      <c r="L106" s="26" t="n">
        <v>113</v>
      </c>
      <c r="M106" s="27" t="n">
        <v>2.13</v>
      </c>
      <c r="N106" s="28" t="n">
        <v>0.469484</v>
      </c>
      <c r="O106" s="28" t="n">
        <v>0.5394409999999999</v>
      </c>
      <c r="P106" s="28" t="n"/>
      <c r="Q106" s="28" t="n">
        <v>0.06995700000000001</v>
      </c>
      <c r="R106" s="26" t="n">
        <v>55</v>
      </c>
      <c r="S106" s="29" t="n">
        <v>1.25</v>
      </c>
      <c r="T106" s="24" t="inlineStr">
        <is>
          <t>valorant-tiered-elo-v6</t>
        </is>
      </c>
      <c r="U106" s="24" t="inlineStr">
        <is>
          <t>settled</t>
        </is>
      </c>
      <c r="V106" s="24" t="inlineStr">
        <is>
          <t>loss</t>
        </is>
      </c>
      <c r="W106" s="26" t="n">
        <v>0</v>
      </c>
      <c r="X106" s="26" t="n">
        <v>1</v>
      </c>
      <c r="Y106" s="25" t="n"/>
      <c r="Z106" s="26" t="n"/>
      <c r="AA106" s="28" t="n"/>
      <c r="AB106" s="28" t="n"/>
      <c r="AC106" s="30" t="n">
        <v>-1.25</v>
      </c>
      <c r="AD106" s="24" t="inlineStr">
        <is>
          <t>2026-10-03T16:03:09.377429Z</t>
        </is>
      </c>
      <c r="AE106" s="31" t="inlineStr">
        <is>
          <t>Neutral Elo baseline; executable ask 0.4700 (market_slug=aec-valorant-g2-tl-2026-10-03).</t>
        </is>
      </c>
      <c r="AF106" s="31" t="inlineStr">
        <is>
          <t>Config-promoted esports baseline; gates enforced at log time.</t>
        </is>
      </c>
      <c r="AG106" s="24" t="inlineStr">
        <is>
          <t>review_required</t>
        </is>
      </c>
      <c r="AH106" s="24" t="n"/>
      <c r="AI106" s="31" t="n"/>
      <c r="AJ106" s="31" t="n"/>
      <c r="AK106" s="24" t="inlineStr">
        <is>
          <t>model_qualified</t>
        </is>
      </c>
      <c r="AL106" s="26" t="n">
        <v>4</v>
      </c>
      <c r="AM106" s="24" t="inlineStr">
        <is>
          <t>QUALIFIED_SHADOW_CALL</t>
        </is>
      </c>
      <c r="AN106" s="24" t="inlineStr">
        <is>
          <t>CALL</t>
        </is>
      </c>
      <c r="AO106" s="24" t="inlineStr">
        <is>
          <t>QUALIFIED</t>
        </is>
      </c>
      <c r="AP106" s="24" t="inlineStr">
        <is>
          <t>Team Liquid</t>
        </is>
      </c>
      <c r="AQ106" s="24" t="inlineStr">
        <is>
          <t>Team Liquid</t>
        </is>
      </c>
      <c r="AR106" s="24" t="inlineStr">
        <is>
          <t>Team Liquid</t>
        </is>
      </c>
      <c r="AS106" s="24" t="inlineStr">
        <is>
          <t>G2 Esports</t>
        </is>
      </c>
      <c r="AT106" s="24" t="inlineStr">
        <is>
          <t>G2 Esports</t>
        </is>
      </c>
      <c r="AU106" s="24" t="inlineStr">
        <is>
          <t>G2 Esports</t>
        </is>
      </c>
      <c r="AV106" s="24" t="n"/>
      <c r="AW106" s="24" t="n"/>
      <c r="AX106" s="24" t="inlineStr">
        <is>
          <t>statistical_model</t>
        </is>
      </c>
      <c r="AY106" s="24" t="n"/>
      <c r="AZ106" s="24" t="inlineStr">
        <is>
          <t>shadow_qualified</t>
        </is>
      </c>
      <c r="BA106" s="24" t="inlineStr">
        <is>
          <t>dcdf51d17ba40ba382e5936ca5bd794d512ba0711cf9201c16dc1be98758fed7</t>
        </is>
      </c>
      <c r="BB106" s="24" t="inlineStr">
        <is>
          <t>neutral_elo</t>
        </is>
      </c>
      <c r="BC106" s="24" t="inlineStr">
        <is>
          <t>valorant-tiered-elo-v6</t>
        </is>
      </c>
      <c r="BD106" s="24" t="inlineStr">
        <is>
          <t>dcdf51d17ba40ba382e5936ca5bd794d512ba0711cf9201c16dc1be98758fed7</t>
        </is>
      </c>
      <c r="BE106" s="24" t="inlineStr">
        <is>
          <t>1</t>
        </is>
      </c>
      <c r="BF106" s="24" t="inlineStr">
        <is>
          <t>1</t>
        </is>
      </c>
      <c r="BG106" s="24" t="inlineStr">
        <is>
          <t>valorant-tiered-elo-v6</t>
        </is>
      </c>
      <c r="BH106" s="24" t="inlineStr">
        <is>
          <t>2026-10-03T05:26:40.137304Z</t>
        </is>
      </c>
      <c r="BI106" s="24" t="inlineStr">
        <is>
          <t>["same_event","same_team_same_day","same_league_same_day"]</t>
        </is>
      </c>
      <c r="BJ106" s="25" t="n"/>
      <c r="BK106" s="26" t="n">
        <v>113</v>
      </c>
      <c r="BL106" s="27" t="n">
        <v>2.13</v>
      </c>
      <c r="BM106" s="28" t="n">
        <v>0.469484</v>
      </c>
      <c r="BN106" s="28" t="n"/>
      <c r="BO106" s="28" t="n"/>
      <c r="BP106" s="25" t="n"/>
      <c r="BQ106" s="27" t="n"/>
      <c r="BR106" s="28" t="n"/>
      <c r="BS106" s="28" t="n"/>
      <c r="BT106" s="28" t="n"/>
      <c r="BU106" s="25" t="n"/>
      <c r="BV106" s="29" t="n"/>
      <c r="BW106" s="24" t="n"/>
      <c r="BX106" s="30" t="n"/>
      <c r="BY106" s="27" t="n"/>
      <c r="BZ106" s="24" t="n"/>
      <c r="CA106" s="31" t="n"/>
      <c r="CB106" s="24" t="n"/>
      <c r="CC106" s="24" t="n"/>
      <c r="CD106" s="24" t="n"/>
      <c r="CE106" s="24" t="n"/>
      <c r="CF106" s="24" t="n"/>
      <c r="CG106" s="24" t="n"/>
      <c r="CH106" s="24" t="n"/>
      <c r="CI106" s="24" t="n"/>
      <c r="CJ106" s="24" t="n"/>
      <c r="CK106" s="24" t="n"/>
      <c r="CL106" s="24" t="n"/>
      <c r="CM106" s="24" t="n"/>
      <c r="CN106" s="24" t="n"/>
      <c r="CO106" s="24" t="n"/>
      <c r="CP106" s="24" t="n"/>
      <c r="CQ106" s="24" t="n"/>
      <c r="CR106" s="24" t="n"/>
      <c r="CS106" s="24" t="inlineStr">
        <is>
          <t>True</t>
        </is>
      </c>
      <c r="CT106" s="24" t="n"/>
      <c r="CU106" s="24" t="n"/>
      <c r="CV106" s="24" t="n"/>
      <c r="CW106" s="24" t="n"/>
      <c r="CX106" s="24" t="n"/>
      <c r="CY106" s="24" t="n"/>
      <c r="CZ106" s="24" t="n"/>
      <c r="DA106" s="24" t="n"/>
      <c r="DB106" s="24" t="n"/>
      <c r="DC106" s="24" t="n"/>
      <c r="DD106" s="24" t="n"/>
      <c r="DE106" s="24" t="n"/>
      <c r="DF106" s="24" t="n"/>
      <c r="DG106" s="24" t="n"/>
      <c r="DH106" s="24" t="n"/>
      <c r="DI106" s="24" t="n"/>
      <c r="DJ106" s="24" t="inlineStr">
        <is>
          <t>0.469484</t>
        </is>
      </c>
      <c r="DK106" s="24" t="n"/>
      <c r="DL106" s="24" t="n"/>
      <c r="DM106" s="24" t="n"/>
      <c r="DN106" s="24" t="n"/>
      <c r="DO106" s="24" t="n"/>
      <c r="DP106" s="24" t="n"/>
      <c r="DQ106" s="24" t="inlineStr">
        <is>
          <t>{"artifact_hash": "dcdf51d17ba40ba382e5936ca5bd794d512ba0711cf9201c16dc1be98758fed7", "away_team": "Team Liquid", "event_id": "136465", "event_start_utc": "2026-10-03T09:00:00Z", "features": {"away_elo": 1879.463701, "away_history_count": 109, "home_elo": 1815.845667, "home_history_count": 165}, "historical_source_observation_times_verified": false, "home_team": "G2 Esports", "inference_inputs": {"book_state": {"games_played": {"bo3:2:7320": 109, "bo3:2:7323": 165}, "inactivity_half_life_days": null, "inactivity_max_pull": null, "k": 64.0, "last_match_utc": {"bo3:2:7320": "2026-10-01T09:00:00Z", "bo3:2:7323": "2026-09-29T09:00:00Z"}, "minimum_reliable_games": null, "platt_intercept": 0.11602055328815591, "platt_slope": 0.771466226182264, "ratings": {"bo3:2:7320": 1879.463701, "bo3:2:7323": 1815.845667},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"2026-10-03T05:26:40.077791+00:00", "team_ids": ["bo3:2:7323", "bo3:2:7320"]}, "market_type": "moneyline", "model_version": "valorant-tiered-elo-v6", "observed_at_utc": "2026-10-03T05:26:40.077791+00:00", "probabilities": {"away": 0.539441, "home": 0.460559}, "replay_scope": "Exact serving book state, calibration, temperature, inactivity reference and thin-history adjustments; training provenance not certified.", "schema": "esports-elo-replay-v1", "snapshot_hash": "692041986fafdc61ac227fcf779dfc3f926e3c72de120bb2c08a36cf39197df0", "sport": "VALORANT"}</t>
        </is>
      </c>
    </row>
    <row r="107" ht="36" customHeight="1">
      <c r="A107" s="24" t="inlineStr">
        <is>
          <t>b1bc4a3f11934a67</t>
        </is>
      </c>
      <c r="B107" s="24" t="inlineStr">
        <is>
          <t>2026-10-03T10:54:35.627078Z</t>
        </is>
      </c>
      <c r="C107" s="24" t="inlineStr">
        <is>
          <t>2026-10-03T12:00:00Z</t>
        </is>
      </c>
      <c r="D107" s="24" t="inlineStr">
        <is>
          <t>136588</t>
        </is>
      </c>
      <c r="E107" s="24" t="inlineStr">
        <is>
          <t>VALORANT</t>
        </is>
      </c>
      <c r="F107" s="24" t="inlineStr">
        <is>
          <t>Nongshim RedForce</t>
        </is>
      </c>
      <c r="G107" s="24" t="inlineStr">
        <is>
          <t>Karmine Corp</t>
        </is>
      </c>
      <c r="H107" s="24" t="inlineStr">
        <is>
          <t>moneyline</t>
        </is>
      </c>
      <c r="I107" s="24" t="inlineStr">
        <is>
          <t>home</t>
        </is>
      </c>
      <c r="J107" s="25" t="n"/>
      <c r="K107" s="24" t="inlineStr">
        <is>
          <t>polymarket_us</t>
        </is>
      </c>
      <c r="L107" s="26" t="n">
        <v>-144</v>
      </c>
      <c r="M107" s="27" t="n">
        <v>1.694444</v>
      </c>
      <c r="N107" s="28" t="n">
        <v>0.590164</v>
      </c>
      <c r="O107" s="28" t="n">
        <v>0.604768</v>
      </c>
      <c r="P107" s="28" t="n"/>
      <c r="Q107" s="28" t="n">
        <v>0.014604</v>
      </c>
      <c r="R107" s="26" t="n">
        <v>27</v>
      </c>
      <c r="S107" s="29" t="n">
        <v>1</v>
      </c>
      <c r="T107" s="24" t="inlineStr">
        <is>
          <t>valorant-tiered-elo-v6</t>
        </is>
      </c>
      <c r="U107" s="24" t="inlineStr">
        <is>
          <t>settled</t>
        </is>
      </c>
      <c r="V107" s="24" t="inlineStr">
        <is>
          <t>loss</t>
        </is>
      </c>
      <c r="W107" s="26" t="n">
        <v>1</v>
      </c>
      <c r="X107" s="26" t="n">
        <v>0</v>
      </c>
      <c r="Y107" s="25" t="n"/>
      <c r="Z107" s="26" t="n"/>
      <c r="AA107" s="28" t="n"/>
      <c r="AB107" s="28" t="n"/>
      <c r="AC107" s="30" t="n">
        <v>-1</v>
      </c>
      <c r="AD107" s="24" t="inlineStr">
        <is>
          <t>2026-10-03T16:03:09.790940Z</t>
        </is>
      </c>
      <c r="AE107" s="31" t="inlineStr">
        <is>
          <t>Neutral Elo baseline; executable ask 0.5900 (market_slug=aec-valorant-kc-ns-2026-10-03).</t>
        </is>
      </c>
      <c r="AF107" s="31" t="inlineStr">
        <is>
          <t>Config-promoted esports baseline; gates enforced at log time.</t>
        </is>
      </c>
      <c r="AG107" s="24" t="inlineStr">
        <is>
          <t>review_required</t>
        </is>
      </c>
      <c r="AH107" s="24" t="n"/>
      <c r="AI107" s="31" t="n"/>
      <c r="AJ107" s="31" t="n"/>
      <c r="AK107" s="24" t="inlineStr">
        <is>
          <t>paper_call</t>
        </is>
      </c>
      <c r="AL107" s="26" t="n">
        <v>4</v>
      </c>
      <c r="AM107" s="24" t="inlineStr">
        <is>
          <t>RESEARCH_OBSERVATION</t>
        </is>
      </c>
      <c r="AN107" s="24" t="inlineStr">
        <is>
          <t>CALL</t>
        </is>
      </c>
      <c r="AO107" s="24" t="inlineStr">
        <is>
          <t>PAPER_CALL_LOW_EDGE</t>
        </is>
      </c>
      <c r="AP107" s="24" t="inlineStr">
        <is>
          <t>Nongshim RedForce</t>
        </is>
      </c>
      <c r="AQ107" s="24" t="inlineStr">
        <is>
          <t>Nongshim RedForce</t>
        </is>
      </c>
      <c r="AR107" s="24" t="inlineStr">
        <is>
          <t>Nongshim RedForce</t>
        </is>
      </c>
      <c r="AS107" s="24" t="inlineStr">
        <is>
          <t>Karmine Corp</t>
        </is>
      </c>
      <c r="AT107" s="24" t="inlineStr">
        <is>
          <t>Karmine Corp</t>
        </is>
      </c>
      <c r="AU107" s="24" t="inlineStr">
        <is>
          <t>Karmine Corp</t>
        </is>
      </c>
      <c r="AV107" s="24" t="n"/>
      <c r="AW107" s="24" t="n"/>
      <c r="AX107" s="24" t="inlineStr">
        <is>
          <t>statistical_model</t>
        </is>
      </c>
      <c r="AY107" s="24" t="n"/>
      <c r="AZ107" s="24" t="inlineStr">
        <is>
          <t>shadow_qualified</t>
        </is>
      </c>
      <c r="BA107" s="24" t="inlineStr">
        <is>
          <t>56a72fac52c4eeb8e53bc7481f49c3e243ff5e2e3873de05b689c24185ae9f4b</t>
        </is>
      </c>
      <c r="BB107" s="24" t="inlineStr">
        <is>
          <t>neutral_elo</t>
        </is>
      </c>
      <c r="BC107" s="24" t="inlineStr">
        <is>
          <t>valorant-tiered-elo-v6</t>
        </is>
      </c>
      <c r="BD107" s="24" t="inlineStr">
        <is>
          <t>56a72fac52c4eeb8e53bc7481f49c3e243ff5e2e3873de05b689c24185ae9f4b</t>
        </is>
      </c>
      <c r="BE107" s="24" t="inlineStr">
        <is>
          <t>1</t>
        </is>
      </c>
      <c r="BF107" s="24" t="inlineStr">
        <is>
          <t>1</t>
        </is>
      </c>
      <c r="BG107" s="24" t="inlineStr">
        <is>
          <t>valorant-tiered-elo-v6</t>
        </is>
      </c>
      <c r="BH107" s="24" t="inlineStr">
        <is>
          <t>2026-10-03T10:54:19.785286Z</t>
        </is>
      </c>
      <c r="BI107" s="24" t="inlineStr">
        <is>
          <t>["same_event","same_team_same_day","same_league_same_day"]</t>
        </is>
      </c>
      <c r="BJ107" s="25" t="n"/>
      <c r="BK107" s="26" t="n">
        <v>-144</v>
      </c>
      <c r="BL107" s="27" t="n">
        <v>1.694444</v>
      </c>
      <c r="BM107" s="28" t="n">
        <v>0.590164</v>
      </c>
      <c r="BN107" s="28" t="n"/>
      <c r="BO107" s="28" t="n"/>
      <c r="BP107" s="25" t="n"/>
      <c r="BQ107" s="27" t="n"/>
      <c r="BR107" s="28" t="n"/>
      <c r="BS107" s="28" t="n"/>
      <c r="BT107" s="28" t="n"/>
      <c r="BU107" s="25" t="n"/>
      <c r="BV107" s="29" t="n"/>
      <c r="BW107" s="24" t="n"/>
      <c r="BX107" s="30" t="n"/>
      <c r="BY107" s="27" t="n"/>
      <c r="BZ107" s="24" t="n"/>
      <c r="CA107" s="31" t="n"/>
      <c r="CB107" s="24" t="n"/>
      <c r="CC107" s="24" t="n"/>
      <c r="CD107" s="24" t="n"/>
      <c r="CE107" s="24" t="n"/>
      <c r="CF107" s="24" t="n"/>
      <c r="CG107" s="24" t="n"/>
      <c r="CH107" s="24" t="n"/>
      <c r="CI107" s="24" t="n"/>
      <c r="CJ107" s="24" t="n"/>
      <c r="CK107" s="24" t="n"/>
      <c r="CL107" s="24" t="n"/>
      <c r="CM107" s="24" t="n"/>
      <c r="CN107" s="24" t="n"/>
      <c r="CO107" s="24" t="n"/>
      <c r="CP107" s="24" t="n"/>
      <c r="CQ107" s="24" t="n"/>
      <c r="CR107" s="24" t="n"/>
      <c r="CS107" s="24" t="inlineStr">
        <is>
          <t>True</t>
        </is>
      </c>
      <c r="CT107" s="24" t="n"/>
      <c r="CU107" s="24" t="n"/>
      <c r="CV107" s="24" t="n"/>
      <c r="CW107" s="24" t="n"/>
      <c r="CX107" s="24" t="n"/>
      <c r="CY107" s="24" t="n"/>
      <c r="CZ107" s="24" t="n"/>
      <c r="DA107" s="24" t="n"/>
      <c r="DB107" s="24" t="n"/>
      <c r="DC107" s="24" t="n"/>
      <c r="DD107" s="24" t="n"/>
      <c r="DE107" s="24" t="n"/>
      <c r="DF107" s="24" t="n"/>
      <c r="DG107" s="24" t="n"/>
      <c r="DH107" s="24" t="n"/>
      <c r="DI107" s="24" t="n"/>
      <c r="DJ107" s="24" t="inlineStr">
        <is>
          <t>0.590164</t>
        </is>
      </c>
      <c r="DK107" s="24" t="n"/>
      <c r="DL107" s="24" t="n"/>
      <c r="DM107" s="24" t="n"/>
      <c r="DN107" s="24" t="n"/>
      <c r="DO107" s="24" t="n"/>
      <c r="DP107" s="24" t="n"/>
      <c r="DQ107" s="24" t="inlineStr">
        <is>
          <t>{"artifact_hash": "56a72fac52c4eeb8e53bc7481f49c3e243ff5e2e3873de05b689c24185ae9f4b", "away_team": "Nongshim RedForce", "event_id": "136588", "event_start_utc": "2026-10-03T12:00:00Z", "features": {"away_elo": 1877.066811, "away_history_count": 120, "home_elo": 1974.01365, "home_history_count": 104}, "historical_source_observation_times_verified": false, "home_team": "Karmine Corp", "inference_inputs": {"book_state": {"games_played": {"bo3:2:6445": 120, "bo3:2:6744": 104}, "inactivity_half_life_days": null, "inactivity_max_pull": null, "k": 64.0, "last_match_utc": {"bo3:2:6445": "2026-10-01T12:15:00Z", "bo3:2:6744": "2026-09-29T12:30:00Z"}, "minimum_reliable_games": null, "platt_intercept": 0.11602055328815591, "platt_slope": 0.771466226182264, "ratings": {"bo3:2:6445": 1877.066811, "bo3:2:6744": 1974.01365},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"2026-10-03T10:54:19.682049+00:00", "team_ids": ["bo3:2:6744", "bo3:2:6445"]}, "market_type": "moneyline", "model_version": "valorant-tiered-elo-v6", "observed_at_utc": "2026-10-03T10:54:19.682049+00:00", "probabilities": {"away": 0.395232, "home": 0.604768}, "replay_scope": "Exact serving book state, calibration, temperature, inactivity reference and thin-history adjustments; training provenance not certified.", "schema": "esports-elo-replay-v1", "snapshot_hash": "694605702f591647e734a97754bdae50eae117c1493773c7f1d5cfdbe3f48657", "sport": "VALORANT"}</t>
        </is>
      </c>
    </row>
    <row r="108" ht="36" customHeight="1">
      <c r="A108" s="24" t="inlineStr">
        <is>
          <t>68804aa1fdfc4ade</t>
        </is>
      </c>
      <c r="B108" s="24" t="inlineStr">
        <is>
          <t>2026-10-03T22:33:29.636213Z</t>
        </is>
      </c>
      <c r="C108" s="24" t="inlineStr">
        <is>
          <t>2026-10-04T09:00:00Z</t>
        </is>
      </c>
      <c r="D108" s="24" t="inlineStr">
        <is>
          <t>138022</t>
        </is>
      </c>
      <c r="E108" s="24" t="inlineStr">
        <is>
          <t>VALORANT</t>
        </is>
      </c>
      <c r="F108" s="24" t="inlineStr">
        <is>
          <t>Global Esports</t>
        </is>
      </c>
      <c r="G108" s="24" t="inlineStr">
        <is>
          <t>LOUD</t>
        </is>
      </c>
      <c r="H108" s="24" t="inlineStr">
        <is>
          <t>moneyline</t>
        </is>
      </c>
      <c r="I108" s="24" t="inlineStr">
        <is>
          <t>away</t>
        </is>
      </c>
      <c r="J108" s="25" t="n"/>
      <c r="K108" s="24" t="inlineStr">
        <is>
          <t>polymarket_us</t>
        </is>
      </c>
      <c r="L108" s="26" t="n">
        <v>127</v>
      </c>
      <c r="M108" s="27" t="n">
        <v>2.27</v>
      </c>
      <c r="N108" s="28" t="n">
        <v>0.440529</v>
      </c>
      <c r="O108" s="28" t="n">
        <v>0.502973</v>
      </c>
      <c r="P108" s="28" t="n"/>
      <c r="Q108" s="28" t="n">
        <v>0.062444</v>
      </c>
      <c r="R108" s="26" t="n">
        <v>51</v>
      </c>
      <c r="S108" s="29" t="n">
        <v>1</v>
      </c>
      <c r="T108" s="24" t="inlineStr">
        <is>
          <t>valorant-tiered-elo-v6</t>
        </is>
      </c>
      <c r="U108" s="24" t="inlineStr">
        <is>
          <t>settled</t>
        </is>
      </c>
      <c r="V108" s="24" t="inlineStr">
        <is>
          <t>loss</t>
        </is>
      </c>
      <c r="W108" s="26" t="n">
        <v>0</v>
      </c>
      <c r="X108" s="26" t="n">
        <v>1</v>
      </c>
      <c r="Y108" s="25" t="n"/>
      <c r="Z108" s="26" t="n"/>
      <c r="AA108" s="28" t="n"/>
      <c r="AB108" s="28" t="n"/>
      <c r="AC108" s="30" t="n">
        <v>-1</v>
      </c>
      <c r="AD108" s="24" t="inlineStr">
        <is>
          <t>2026-10-04T21:06:59.684714Z</t>
        </is>
      </c>
      <c r="AE108" s="31" t="inlineStr">
        <is>
          <t>Neutral Elo baseline; executable ask 0.4400 (market_slug=aec-valorant-loud-ge-2026-10-04).</t>
        </is>
      </c>
      <c r="AF108" s="31" t="inlineStr">
        <is>
          <t>Config-promoted esports baseline; gates enforced at log time.</t>
        </is>
      </c>
      <c r="AG108" s="24" t="inlineStr">
        <is>
          <t>review_required</t>
        </is>
      </c>
      <c r="AH108" s="24" t="n"/>
      <c r="AI108" s="31" t="n"/>
      <c r="AJ108" s="31" t="n"/>
      <c r="AK108" s="24" t="inlineStr">
        <is>
          <t>model_qualified</t>
        </is>
      </c>
      <c r="AL108" s="26" t="n">
        <v>4</v>
      </c>
      <c r="AM108" s="24" t="inlineStr">
        <is>
          <t>QUALIFIED_SHADOW_CALL</t>
        </is>
      </c>
      <c r="AN108" s="24" t="inlineStr">
        <is>
          <t>CALL</t>
        </is>
      </c>
      <c r="AO108" s="24" t="inlineStr">
        <is>
          <t>QUALIFIED</t>
        </is>
      </c>
      <c r="AP108" s="24" t="inlineStr">
        <is>
          <t>Global Esports</t>
        </is>
      </c>
      <c r="AQ108" s="24" t="inlineStr">
        <is>
          <t>Global Esports</t>
        </is>
      </c>
      <c r="AR108" s="24" t="inlineStr">
        <is>
          <t>Global Esports</t>
        </is>
      </c>
      <c r="AS108" s="24" t="inlineStr">
        <is>
          <t>LOUD</t>
        </is>
      </c>
      <c r="AT108" s="24" t="inlineStr">
        <is>
          <t>LOUD</t>
        </is>
      </c>
      <c r="AU108" s="24" t="inlineStr">
        <is>
          <t>LOUD</t>
        </is>
      </c>
      <c r="AV108" s="24" t="n"/>
      <c r="AW108" s="24" t="n"/>
      <c r="AX108" s="24" t="inlineStr">
        <is>
          <t>statistical_model</t>
        </is>
      </c>
      <c r="AY108" s="24" t="n"/>
      <c r="AZ108" s="24" t="inlineStr">
        <is>
          <t>shadow_qualified</t>
        </is>
      </c>
      <c r="BA108" s="24" t="inlineStr">
        <is>
          <t>4f4e53a7b4765629a3ff57082e0d50994b90f3d5db8644d08c145492b9435fd4</t>
        </is>
      </c>
      <c r="BB108" s="24" t="inlineStr">
        <is>
          <t>neutral_elo</t>
        </is>
      </c>
      <c r="BC108" s="24" t="inlineStr">
        <is>
          <t>valorant-tiered-elo-v6</t>
        </is>
      </c>
      <c r="BD108" s="24" t="inlineStr">
        <is>
          <t>4f4e53a7b4765629a3ff57082e0d50994b90f3d5db8644d08c145492b9435fd4</t>
        </is>
      </c>
      <c r="BE108" s="24" t="inlineStr">
        <is>
          <t>1</t>
        </is>
      </c>
      <c r="BF108" s="24" t="inlineStr">
        <is>
          <t>1</t>
        </is>
      </c>
      <c r="BG108" s="24" t="inlineStr">
        <is>
          <t>valorant-tiered-elo-v6</t>
        </is>
      </c>
      <c r="BH108" s="24" t="inlineStr">
        <is>
          <t>2026-10-03T22:33:25.334770Z</t>
        </is>
      </c>
      <c r="BI108" s="24" t="inlineStr">
        <is>
          <t>["same_event","same_team_same_day","same_league_same_day"]</t>
        </is>
      </c>
      <c r="BJ108" s="25" t="n"/>
      <c r="BK108" s="26" t="n">
        <v>127</v>
      </c>
      <c r="BL108" s="27" t="n">
        <v>2.27</v>
      </c>
      <c r="BM108" s="28" t="n">
        <v>0.440529</v>
      </c>
      <c r="BN108" s="28" t="n"/>
      <c r="BO108" s="28" t="n"/>
      <c r="BP108" s="25" t="n"/>
      <c r="BQ108" s="27" t="n"/>
      <c r="BR108" s="28" t="n"/>
      <c r="BS108" s="28" t="n"/>
      <c r="BT108" s="28" t="n"/>
      <c r="BU108" s="25" t="n"/>
      <c r="BV108" s="29" t="n"/>
      <c r="BW108" s="24" t="n"/>
      <c r="BX108" s="30" t="n"/>
      <c r="BY108" s="27" t="n"/>
      <c r="BZ108" s="24" t="n"/>
      <c r="CA108" s="31" t="n"/>
      <c r="CB108" s="24" t="n"/>
      <c r="CC108" s="24" t="n"/>
      <c r="CD108" s="24" t="n"/>
      <c r="CE108" s="24" t="n"/>
      <c r="CF108" s="24" t="n"/>
      <c r="CG108" s="24" t="n"/>
      <c r="CH108" s="24" t="n"/>
      <c r="CI108" s="24" t="n"/>
      <c r="CJ108" s="24" t="n"/>
      <c r="CK108" s="24" t="n"/>
      <c r="CL108" s="24" t="n"/>
      <c r="CM108" s="24" t="n"/>
      <c r="CN108" s="24" t="n"/>
      <c r="CO108" s="24" t="n"/>
      <c r="CP108" s="24" t="n"/>
      <c r="CQ108" s="24" t="n"/>
      <c r="CR108" s="24" t="n"/>
      <c r="CS108" s="24" t="inlineStr">
        <is>
          <t>True</t>
        </is>
      </c>
      <c r="CT108" s="24" t="n"/>
      <c r="CU108" s="24" t="n"/>
      <c r="CV108" s="24" t="n"/>
      <c r="CW108" s="24" t="n"/>
      <c r="CX108" s="24" t="n"/>
      <c r="CY108" s="24" t="n"/>
      <c r="CZ108" s="24" t="n"/>
      <c r="DA108" s="24" t="n"/>
      <c r="DB108" s="24" t="n"/>
      <c r="DC108" s="24" t="n"/>
      <c r="DD108" s="24" t="n"/>
      <c r="DE108" s="24" t="n"/>
      <c r="DF108" s="24" t="n"/>
      <c r="DG108" s="24" t="n"/>
      <c r="DH108" s="24" t="n"/>
      <c r="DI108" s="24" t="n"/>
      <c r="DJ108" s="24" t="inlineStr">
        <is>
          <t>0.440529</t>
        </is>
      </c>
      <c r="DK108" s="24" t="n"/>
      <c r="DL108" s="24" t="n"/>
      <c r="DM108" s="24" t="n"/>
      <c r="DN108" s="24" t="n"/>
      <c r="DO108" s="24" t="n"/>
      <c r="DP108" s="24" t="n"/>
      <c r="DQ108" s="24" t="inlineStr">
        <is>
          <t>{"artifact_hash": "4f4e53a7b4765629a3ff57082e0d50994b90f3d5db8644d08c145492b9435fd4", "away_team": "Global Esports", "event_id": "138022", "event_start_utc": "2026-10-04T09:00:00Z", "features": {"away_elo": 1861.6629, "away_history_count": 83, "home_elo": 1838.151289, "home_history_count": 90}, "historical_source_observation_times_verified": false, "home_team": "LOUD", "inference_inputs": {"book_state": {"games_played": {"bo3:2:6874": 90, "bo3:2:6989": 83}, "inactivity_half_life_days": null, "inactivity_max_pull": null, "k": 64.0, "last_match_utc": {"bo3:2:6874": "2026-09-30T09:00:00Z", "bo3:2:6989": "2026-10-02T09:00:00Z"}, "minimum_reliable_games": null, "platt_intercept": 0.1152743638777133, "platt_slope": 0.7696873025886969, "ratings": {"bo3:2:6874": 1838.151289, "bo3:2:6989": 1861.6629},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"2026-10-03T22:33:25.154489+00:00", "team_ids": ["bo3:2:6874", "bo3:2:6989"]}, "market_type": "moneyline", "model_version": "valorant-tiered-elo-v6", "observed_at_utc": "2026-10-03T22:33:25.154489+00:00", "probabilities": {"away": 0.502973, "home": 0.497027}, "replay_scope": "Exact serving book state, calibration, temperature, inactivity reference and thin-history adjustments; training provenance not certified.", "schema": "esports-elo-replay-v1", "snapshot_hash": "1ce1625943256af751f0f3ca462f08c1641158111c1f222b8fab3f6fd607b3d2", "sport": "VALORANT"}</t>
        </is>
      </c>
    </row>
    <row r="109" ht="36" customHeight="1">
      <c r="A109" s="24" t="inlineStr">
        <is>
          <t>24be89ce2ad64c09</t>
        </is>
      </c>
      <c r="B109" s="24" t="inlineStr">
        <is>
          <t>2026-10-07T22:28:03.285581Z</t>
        </is>
      </c>
      <c r="C109" s="24" t="inlineStr">
        <is>
          <t>2026-10-08T09:00:00Z</t>
        </is>
      </c>
      <c r="D109" s="24" t="inlineStr">
        <is>
          <t>143386</t>
        </is>
      </c>
      <c r="E109" s="24" t="inlineStr">
        <is>
          <t>VALORANT</t>
        </is>
      </c>
      <c r="F109" s="24" t="inlineStr">
        <is>
          <t>G2 Esports</t>
        </is>
      </c>
      <c r="G109" s="24" t="inlineStr">
        <is>
          <t>100 Thieves</t>
        </is>
      </c>
      <c r="H109" s="24" t="inlineStr">
        <is>
          <t>moneyline</t>
        </is>
      </c>
      <c r="I109" s="24" t="inlineStr">
        <is>
          <t>home</t>
        </is>
      </c>
      <c r="J109" s="25" t="n"/>
      <c r="K109" s="24" t="inlineStr">
        <is>
          <t>polymarket_us</t>
        </is>
      </c>
      <c r="L109" s="26" t="n">
        <v>-203</v>
      </c>
      <c r="M109" s="27" t="n">
        <v>1.492611</v>
      </c>
      <c r="N109" s="28" t="n">
        <v>0.669967</v>
      </c>
      <c r="O109" s="28" t="n">
        <v>0.723571</v>
      </c>
      <c r="P109" s="28" t="n"/>
      <c r="Q109" s="28" t="n">
        <v>0.053604</v>
      </c>
      <c r="R109" s="26" t="n">
        <v>47</v>
      </c>
      <c r="S109" s="29" t="n">
        <v>1</v>
      </c>
      <c r="T109" s="24" t="inlineStr">
        <is>
          <t>valorant-tiered-elo-v6</t>
        </is>
      </c>
      <c r="U109" s="24" t="inlineStr">
        <is>
          <t>settled</t>
        </is>
      </c>
      <c r="V109" s="24" t="inlineStr">
        <is>
          <t>loss</t>
        </is>
      </c>
      <c r="W109" s="26" t="n">
        <v>1</v>
      </c>
      <c r="X109" s="26" t="n">
        <v>0</v>
      </c>
      <c r="Y109" s="25" t="n"/>
      <c r="Z109" s="26" t="n">
        <v>-186</v>
      </c>
      <c r="AA109" s="28" t="n">
        <v>0.65</v>
      </c>
      <c r="AB109" s="28" t="n">
        <v>-0.019967</v>
      </c>
      <c r="AC109" s="30" t="n">
        <v>-1</v>
      </c>
      <c r="AD109" s="24" t="inlineStr">
        <is>
          <t>2026-10-11T04:38:38.190269Z</t>
        </is>
      </c>
      <c r="AE109" s="31" t="inlineStr">
        <is>
          <t>Neutral Elo baseline; executable ask 0.6700 (market_slug=aec-valorant-100t-g2-2026-10-08).</t>
        </is>
      </c>
      <c r="AF109" s="31" t="inlineStr">
        <is>
          <t>Config-promoted esports baseline; gates enforced at log time.</t>
        </is>
      </c>
      <c r="AG109" s="24" t="inlineStr">
        <is>
          <t>review_required</t>
        </is>
      </c>
      <c r="AH109" s="24" t="n"/>
      <c r="AI109" s="31" t="n"/>
      <c r="AJ109" s="31" t="n"/>
      <c r="AK109" s="24" t="inlineStr">
        <is>
          <t>model_qualified</t>
        </is>
      </c>
      <c r="AL109" s="26" t="n">
        <v>4</v>
      </c>
      <c r="AM109" s="24" t="inlineStr">
        <is>
          <t>QUALIFIED_SHADOW_CALL</t>
        </is>
      </c>
      <c r="AN109" s="24" t="inlineStr">
        <is>
          <t>CALL</t>
        </is>
      </c>
      <c r="AO109" s="24" t="inlineStr">
        <is>
          <t>QUALIFIED</t>
        </is>
      </c>
      <c r="AP109" s="24" t="inlineStr">
        <is>
          <t>G2 Esports</t>
        </is>
      </c>
      <c r="AQ109" s="24" t="inlineStr">
        <is>
          <t>G2 Esports</t>
        </is>
      </c>
      <c r="AR109" s="24" t="inlineStr">
        <is>
          <t>G2 Esports</t>
        </is>
      </c>
      <c r="AS109" s="24" t="inlineStr">
        <is>
          <t>100 Thieves</t>
        </is>
      </c>
      <c r="AT109" s="24" t="inlineStr">
        <is>
          <t>100 Thieves</t>
        </is>
      </c>
      <c r="AU109" s="24" t="inlineStr">
        <is>
          <t>100 Thieves</t>
        </is>
      </c>
      <c r="AV109" s="24" t="n"/>
      <c r="AW109" s="24" t="n"/>
      <c r="AX109" s="24" t="inlineStr">
        <is>
          <t>statistical_model</t>
        </is>
      </c>
      <c r="AY109" s="24" t="n"/>
      <c r="AZ109" s="24" t="inlineStr">
        <is>
          <t>shadow_qualified</t>
        </is>
      </c>
      <c r="BA109" s="24" t="inlineStr">
        <is>
          <t>4fb00b8396ed01ac9098b909076acca187018877e203df68a40b7905bbf60d46</t>
        </is>
      </c>
      <c r="BB109" s="24" t="inlineStr">
        <is>
          <t>neutral_elo</t>
        </is>
      </c>
      <c r="BC109" s="24" t="inlineStr">
        <is>
          <t>valorant-tiered-elo-v6</t>
        </is>
      </c>
      <c r="BD109" s="24" t="inlineStr">
        <is>
          <t>4fb00b8396ed01ac9098b909076acca187018877e203df68a40b7905bbf60d46</t>
        </is>
      </c>
      <c r="BE109" s="24" t="inlineStr">
        <is>
          <t>1</t>
        </is>
      </c>
      <c r="BF109" s="24" t="inlineStr">
        <is>
          <t>1</t>
        </is>
      </c>
      <c r="BG109" s="24" t="inlineStr">
        <is>
          <t>valorant-tiered-elo-v6</t>
        </is>
      </c>
      <c r="BH109" s="24" t="inlineStr">
        <is>
          <t>2026-10-07T22:27:21.757131Z</t>
        </is>
      </c>
      <c r="BI109" s="24" t="inlineStr">
        <is>
          <t>["same_event","same_team_same_day","same_league_same_day"]</t>
        </is>
      </c>
      <c r="BJ109" s="25" t="n"/>
      <c r="BK109" s="26" t="n">
        <v>-203</v>
      </c>
      <c r="BL109" s="27" t="n">
        <v>1.492611</v>
      </c>
      <c r="BM109" s="28" t="n">
        <v>0.669967</v>
      </c>
      <c r="BN109" s="28" t="n"/>
      <c r="BO109" s="28" t="n"/>
      <c r="BP109" s="25" t="n"/>
      <c r="BQ109" s="27" t="n">
        <v>1.537634</v>
      </c>
      <c r="BR109" s="28" t="n">
        <v>0.65</v>
      </c>
      <c r="BS109" s="28" t="n"/>
      <c r="BT109" s="28" t="n"/>
      <c r="BU109" s="25" t="n"/>
      <c r="BV109" s="29" t="n"/>
      <c r="BW109" s="24" t="n"/>
      <c r="BX109" s="30" t="n"/>
      <c r="BY109" s="27" t="n"/>
      <c r="BZ109" s="24" t="n"/>
      <c r="CA109" s="31" t="n"/>
      <c r="CB109" s="24" t="n"/>
      <c r="CC109" s="24" t="n"/>
      <c r="CD109" s="24" t="n"/>
      <c r="CE109" s="24" t="n"/>
      <c r="CF109" s="24" t="n"/>
      <c r="CG109" s="24" t="n"/>
      <c r="CH109" s="24" t="n"/>
      <c r="CI109" s="24" t="n"/>
      <c r="CJ109" s="24" t="n"/>
      <c r="CK109" s="24" t="n"/>
      <c r="CL109" s="24" t="n"/>
      <c r="CM109" s="24" t="n"/>
      <c r="CN109" s="24" t="n"/>
      <c r="CO109" s="24" t="n"/>
      <c r="CP109" s="24" t="n"/>
      <c r="CQ109" s="24" t="n"/>
      <c r="CR109" s="24" t="n"/>
      <c r="CS109" s="24" t="inlineStr">
        <is>
          <t>True</t>
        </is>
      </c>
      <c r="CT109" s="24" t="n"/>
      <c r="CU109" s="24" t="n"/>
      <c r="CV109" s="24" t="n"/>
      <c r="CW109" s="24" t="n"/>
      <c r="CX109" s="24" t="n"/>
      <c r="CY109" s="24" t="n"/>
      <c r="CZ109" s="24" t="n"/>
      <c r="DA109" s="24" t="n"/>
      <c r="DB109" s="24" t="n"/>
      <c r="DC109" s="24" t="n"/>
      <c r="DD109" s="24" t="n"/>
      <c r="DE109" s="24" t="n"/>
      <c r="DF109" s="24" t="n"/>
      <c r="DG109" s="24" t="n"/>
      <c r="DH109" s="24" t="n"/>
      <c r="DI109" s="24" t="n"/>
      <c r="DJ109" s="24" t="n"/>
      <c r="DK109" s="24" t="n"/>
      <c r="DL109" s="24" t="n"/>
      <c r="DM109" s="24" t="n"/>
      <c r="DN109" s="24" t="n"/>
      <c r="DO109" s="24" t="n"/>
      <c r="DP109" s="24" t="n"/>
      <c r="DQ109" s="24" t="inlineStr">
        <is>
          <t>{"artifact_hash": "4fb00b8396ed01ac9098b909076acca187018877e203df68a40b7905bbf60d46", "away_team": "G2 Esports", "event_id": "143386", "event_start_utc": "2026-10-08T09:00:00Z", "features": {"away_elo": 1871.551684, "away_history_count": 166, "home_elo": 2128.058641, "home_history_count": 111}, "historical_source_observation_times_verified": false, "home_team": "100 Thieves", "inference_inputs": {"book_state": {"games_played": {"bo3:2:7298": 111, "bo3:2:7323": 166}, "inactivity_half_life_days": null, "inactivity_max_pull": null, "k": 64.0, "last_match_utc": {"bo3:2:7298": "2026-09-30T12:00:00Z", "bo3:2:7323": "2026-10-03T09:00:00Z"}, "minimum_reliable_games": null, "platt_intercept": 0.1143685463659617, "platt_slope": 0.7683784881494086, "ratings": {"bo3:2:7298": 2128.058641, "bo3:2:7323": 1871.551684},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"2026-10-07T22:27:21.612006+00:00", "team_ids": ["bo3:2:7298", "bo3:2:7323"]}, "market_type": "moneyline", "model_version": "valorant-tiered-elo-v6", "observed_at_utc": "2026-10-07T22:27:21.612006+00:00", "probabilities": {"away": 0.276429, "home": 0.723571}, "replay_scope": "Exact serving book state, calibration, temperature, inactivity reference and thin-history adjustments; training provenance not certified.", "schema": "esports-elo-replay-v1", "snapshot_hash": "90d84142df5664be5a6794d40b59aef102d8e86cc1195cd3a358395cbe556e80", "sport": "VALORANT"}</t>
        </is>
      </c>
    </row>
    <row r="110" ht="36" customHeight="1">
      <c r="A110" s="24" t="inlineStr">
        <is>
          <t>96b6170327964994</t>
        </is>
      </c>
      <c r="B110" s="24" t="inlineStr">
        <is>
          <t>2026-10-07T22:28:03.285581Z</t>
        </is>
      </c>
      <c r="C110" s="24" t="inlineStr">
        <is>
          <t>2026-10-08T12:00:00Z</t>
        </is>
      </c>
      <c r="D110" s="24" t="inlineStr">
        <is>
          <t>143487</t>
        </is>
      </c>
      <c r="E110" s="24" t="inlineStr">
        <is>
          <t>VALORANT</t>
        </is>
      </c>
      <c r="F110" s="24" t="inlineStr">
        <is>
          <t>Nongshim RedForce</t>
        </is>
      </c>
      <c r="G110" s="24" t="inlineStr">
        <is>
          <t>Team Vitality</t>
        </is>
      </c>
      <c r="H110" s="24" t="inlineStr">
        <is>
          <t>moneyline</t>
        </is>
      </c>
      <c r="I110" s="24" t="inlineStr">
        <is>
          <t>home</t>
        </is>
      </c>
      <c r="J110" s="25" t="n"/>
      <c r="K110" s="24" t="inlineStr">
        <is>
          <t>polymarket_us</t>
        </is>
      </c>
      <c r="L110" s="26" t="n">
        <v>-122</v>
      </c>
      <c r="M110" s="27" t="n">
        <v>1.819672</v>
      </c>
      <c r="N110" s="28" t="n">
        <v>0.54955</v>
      </c>
      <c r="O110" s="28" t="n">
        <v>0.539506</v>
      </c>
      <c r="P110" s="28" t="n"/>
      <c r="Q110" s="28" t="n">
        <v>-0.010044</v>
      </c>
      <c r="R110" s="26" t="n">
        <v>15</v>
      </c>
      <c r="S110" s="29" t="n">
        <v>1</v>
      </c>
      <c r="T110" s="24" t="inlineStr">
        <is>
          <t>valorant-tiered-elo-v6</t>
        </is>
      </c>
      <c r="U110" s="24" t="inlineStr">
        <is>
          <t>settled</t>
        </is>
      </c>
      <c r="V110" s="24" t="inlineStr">
        <is>
          <t>win</t>
        </is>
      </c>
      <c r="W110" s="26" t="n">
        <v>0</v>
      </c>
      <c r="X110" s="26" t="n">
        <v>1</v>
      </c>
      <c r="Y110" s="25" t="n"/>
      <c r="Z110" s="26" t="n">
        <v>-117</v>
      </c>
      <c r="AA110" s="28" t="n">
        <v>0.54</v>
      </c>
      <c r="AB110" s="28" t="n">
        <v>-0.009549999999999999</v>
      </c>
      <c r="AC110" s="30" t="n">
        <v>0.8197</v>
      </c>
      <c r="AD110" s="24" t="inlineStr">
        <is>
          <t>2026-10-11T04:38:39.768590Z</t>
        </is>
      </c>
      <c r="AE110" s="31" t="inlineStr">
        <is>
          <t>Neutral Elo baseline; executable ask 0.5500 (market_slug=aec-valorant-vit-ns-2026-10-08).</t>
        </is>
      </c>
      <c r="AF110" s="31" t="inlineStr">
        <is>
          <t>Config-promoted esports baseline; gates enforced at log time.</t>
        </is>
      </c>
      <c r="AG110" s="24" t="inlineStr">
        <is>
          <t>not_applicable</t>
        </is>
      </c>
      <c r="AH110" s="24" t="n"/>
      <c r="AI110" s="31" t="n"/>
      <c r="AJ110" s="31" t="n"/>
      <c r="AK110" s="24" t="inlineStr">
        <is>
          <t>paper_call</t>
        </is>
      </c>
      <c r="AL110" s="26" t="n">
        <v>4</v>
      </c>
      <c r="AM110" s="24" t="inlineStr">
        <is>
          <t>RESEARCH_OBSERVATION</t>
        </is>
      </c>
      <c r="AN110" s="24" t="inlineStr">
        <is>
          <t>CALL</t>
        </is>
      </c>
      <c r="AO110" s="24" t="inlineStr">
        <is>
          <t>PAPER_CALL_LOW_EDGE</t>
        </is>
      </c>
      <c r="AP110" s="24" t="inlineStr">
        <is>
          <t>Nongshim RedForce</t>
        </is>
      </c>
      <c r="AQ110" s="24" t="inlineStr">
        <is>
          <t>Nongshim RedForce</t>
        </is>
      </c>
      <c r="AR110" s="24" t="inlineStr">
        <is>
          <t>Nongshim RedForce</t>
        </is>
      </c>
      <c r="AS110" s="24" t="inlineStr">
        <is>
          <t>Team Vitality</t>
        </is>
      </c>
      <c r="AT110" s="24" t="inlineStr">
        <is>
          <t>Team Vitality</t>
        </is>
      </c>
      <c r="AU110" s="24" t="inlineStr">
        <is>
          <t>Team Vitality</t>
        </is>
      </c>
      <c r="AV110" s="24" t="n"/>
      <c r="AW110" s="24" t="n"/>
      <c r="AX110" s="24" t="inlineStr">
        <is>
          <t>statistical_model</t>
        </is>
      </c>
      <c r="AY110" s="24" t="n"/>
      <c r="AZ110" s="24" t="inlineStr">
        <is>
          <t>shadow_qualified</t>
        </is>
      </c>
      <c r="BA110" s="24" t="inlineStr">
        <is>
          <t>4fb00b8396ed01ac9098b909076acca187018877e203df68a40b7905bbf60d46</t>
        </is>
      </c>
      <c r="BB110" s="24" t="inlineStr">
        <is>
          <t>neutral_elo</t>
        </is>
      </c>
      <c r="BC110" s="24" t="inlineStr">
        <is>
          <t>valorant-tiered-elo-v6</t>
        </is>
      </c>
      <c r="BD110" s="24" t="inlineStr">
        <is>
          <t>4fb00b8396ed01ac9098b909076acca187018877e203df68a40b7905bbf60d46</t>
        </is>
      </c>
      <c r="BE110" s="24" t="inlineStr">
        <is>
          <t>1</t>
        </is>
      </c>
      <c r="BF110" s="24" t="inlineStr">
        <is>
          <t>1</t>
        </is>
      </c>
      <c r="BG110" s="24" t="inlineStr">
        <is>
          <t>valorant-tiered-elo-v6</t>
        </is>
      </c>
      <c r="BH110" s="24" t="inlineStr">
        <is>
          <t>2026-10-07T22:27:21.834145Z</t>
        </is>
      </c>
      <c r="BI110" s="24" t="inlineStr">
        <is>
          <t>["same_event","same_team_same_day","same_league_same_day"]</t>
        </is>
      </c>
      <c r="BJ110" s="25" t="n"/>
      <c r="BK110" s="26" t="n">
        <v>-122</v>
      </c>
      <c r="BL110" s="27" t="n">
        <v>1.819672</v>
      </c>
      <c r="BM110" s="28" t="n">
        <v>0.54955</v>
      </c>
      <c r="BN110" s="28" t="n"/>
      <c r="BO110" s="28" t="n"/>
      <c r="BP110" s="25" t="n"/>
      <c r="BQ110" s="27" t="n">
        <v>1.854701</v>
      </c>
      <c r="BR110" s="28" t="n">
        <v>0.54</v>
      </c>
      <c r="BS110" s="28" t="n"/>
      <c r="BT110" s="28" t="n"/>
      <c r="BU110" s="25" t="n"/>
      <c r="BV110" s="29" t="n"/>
      <c r="BW110" s="24" t="n"/>
      <c r="BX110" s="30" t="n"/>
      <c r="BY110" s="27" t="n"/>
      <c r="BZ110" s="24" t="n"/>
      <c r="CA110" s="31" t="n"/>
      <c r="CB110" s="24" t="n"/>
      <c r="CC110" s="24" t="n"/>
      <c r="CD110" s="24" t="n"/>
      <c r="CE110" s="24" t="n"/>
      <c r="CF110" s="24" t="n"/>
      <c r="CG110" s="24" t="n"/>
      <c r="CH110" s="24" t="n"/>
      <c r="CI110" s="24" t="n"/>
      <c r="CJ110" s="24" t="n"/>
      <c r="CK110" s="24" t="n"/>
      <c r="CL110" s="24" t="n"/>
      <c r="CM110" s="24" t="n"/>
      <c r="CN110" s="24" t="n"/>
      <c r="CO110" s="24" t="n"/>
      <c r="CP110" s="24" t="n"/>
      <c r="CQ110" s="24" t="n"/>
      <c r="CR110" s="24" t="n"/>
      <c r="CS110" s="24" t="inlineStr">
        <is>
          <t>False</t>
        </is>
      </c>
      <c r="CT110" s="24" t="n"/>
      <c r="CU110" s="24" t="n"/>
      <c r="CV110" s="24" t="n"/>
      <c r="CW110" s="24" t="n"/>
      <c r="CX110" s="24" t="n"/>
      <c r="CY110" s="24" t="n"/>
      <c r="CZ110" s="24" t="n"/>
      <c r="DA110" s="24" t="n"/>
      <c r="DB110" s="24" t="n"/>
      <c r="DC110" s="24" t="n"/>
      <c r="DD110" s="24" t="n"/>
      <c r="DE110" s="24" t="n"/>
      <c r="DF110" s="24" t="n"/>
      <c r="DG110" s="24" t="n"/>
      <c r="DH110" s="24" t="n"/>
      <c r="DI110" s="24" t="n"/>
      <c r="DJ110" s="24" t="n"/>
      <c r="DK110" s="24" t="n"/>
      <c r="DL110" s="24" t="n"/>
      <c r="DM110" s="24" t="n"/>
      <c r="DN110" s="24" t="n"/>
      <c r="DO110" s="24" t="n"/>
      <c r="DP110" s="24" t="n"/>
      <c r="DQ110" s="24" t="inlineStr">
        <is>
          <t>{"artifact_hash": "4fb00b8396ed01ac9098b909076acca187018877e203df68a40b7905bbf60d46", "away_team": "Nongshim RedForce", "event_id": "143487", "event_start_utc": "2026-10-08T12:00:00Z", "features": {"away_elo": 1937.226353, "away_history_count": 121, "home_elo": 1967.016037, "home_history_count": 105}, "historical_source_observation_times_verified": false, "home_team": "Team Vitality", "inference_inputs": {"book_state": {"games_played": {"bo3:2:6445": 121, "bo3:2:7254": 105}, "inactivity_half_life_days": null, "inactivity_max_pull": null, "k": 64.0, "last_match_utc": {"bo3:2:6445": "2026-10-03T11:30:00Z", "bo3:2:7254": "2026-09-30T09:00:00Z"}, "minimum_reliable_games": null, "platt_intercept": 0.1143685463659617, "platt_slope": 0.7683784881494086, "ratings": {"bo3:2:6445": 1937.226353, "bo3:2:7254": 1967.016037},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"2026-10-07T22:27:21.612006+00:00", "team_ids": ["bo3:2:7254", "bo3:2:6445"]}, "market_type": "moneyline", "model_version": "valorant-tiered-elo-v6", "observed_at_utc": "2026-10-07T22:27:21.612006+00:00", "probabilities": {"away": 0.460494, "home": 0.539506}, "replay_scope": "Exact serving book state, calibration, temperature, inactivity reference and thin-history adjustments; training provenance not certified.", "schema": "esports-elo-replay-v1", "snapshot_hash": "23b5ec5a13f99993836831588bfdbe46f7c29410a839491ab1d9d5aabacc5fe7", "sport": "VALORANT"}</t>
        </is>
      </c>
    </row>
    <row r="111" ht="36" customHeight="1">
      <c r="A111" s="24" t="inlineStr">
        <is>
          <t>2870bb8df7e642e3</t>
        </is>
      </c>
      <c r="B111" s="24" t="inlineStr">
        <is>
          <t>2026-10-07T22:28:03.285581Z</t>
        </is>
      </c>
      <c r="C111" s="24" t="inlineStr">
        <is>
          <t>2026-10-08T16:00:00Z</t>
        </is>
      </c>
      <c r="D111" s="24" t="inlineStr">
        <is>
          <t>143813</t>
        </is>
      </c>
      <c r="E111" s="24" t="inlineStr">
        <is>
          <t>VALORANT</t>
        </is>
      </c>
      <c r="F111" s="24" t="inlineStr">
        <is>
          <t>Misa Esports</t>
        </is>
      </c>
      <c r="G111" s="24" t="inlineStr">
        <is>
          <t>Fire Flux Esports</t>
        </is>
      </c>
      <c r="H111" s="24" t="inlineStr">
        <is>
          <t>moneyline</t>
        </is>
      </c>
      <c r="I111" s="24" t="inlineStr">
        <is>
          <t>home</t>
        </is>
      </c>
      <c r="J111" s="25" t="n"/>
      <c r="K111" s="24" t="inlineStr">
        <is>
          <t>polymarket_us</t>
        </is>
      </c>
      <c r="L111" s="26" t="n">
        <v>-186</v>
      </c>
      <c r="M111" s="27" t="n">
        <v>1.537634</v>
      </c>
      <c r="N111" s="28" t="n">
        <v>0.65035</v>
      </c>
      <c r="O111" s="28" t="n">
        <v>0.522617</v>
      </c>
      <c r="P111" s="28" t="n"/>
      <c r="Q111" s="28" t="n">
        <v>-0.127733</v>
      </c>
      <c r="R111" s="26" t="n">
        <v>0</v>
      </c>
      <c r="S111" s="29" t="n">
        <v>1</v>
      </c>
      <c r="T111" s="24" t="inlineStr">
        <is>
          <t>valorant-tiered-elo-v6</t>
        </is>
      </c>
      <c r="U111" s="24" t="inlineStr">
        <is>
          <t>settled</t>
        </is>
      </c>
      <c r="V111" s="24" t="inlineStr">
        <is>
          <t>win</t>
        </is>
      </c>
      <c r="W111" s="26" t="n">
        <v>0</v>
      </c>
      <c r="X111" s="26" t="n">
        <v>1</v>
      </c>
      <c r="Y111" s="25" t="n"/>
      <c r="Z111" s="26" t="n">
        <v>-178</v>
      </c>
      <c r="AA111" s="28" t="n">
        <v>0.64</v>
      </c>
      <c r="AB111" s="28" t="n">
        <v>-0.01035</v>
      </c>
      <c r="AC111" s="30" t="n">
        <v>0.5376</v>
      </c>
      <c r="AD111" s="24" t="inlineStr">
        <is>
          <t>2026-10-11T04:38:41.199155Z</t>
        </is>
      </c>
      <c r="AE111" s="31" t="inlineStr">
        <is>
          <t>Neutral Elo baseline; executable ask 0.6500 (market_slug=aec-valorant-ff-misa-2026-10-08).</t>
        </is>
      </c>
      <c r="AF111" s="31" t="inlineStr">
        <is>
          <t>Config-promoted esports baseline; gates enforced at log time.</t>
        </is>
      </c>
      <c r="AG111" s="24" t="inlineStr">
        <is>
          <t>not_applicable</t>
        </is>
      </c>
      <c r="AH111" s="24" t="n"/>
      <c r="AI111" s="31" t="n"/>
      <c r="AJ111" s="31" t="n"/>
      <c r="AK111" s="24" t="inlineStr">
        <is>
          <t>paper_call</t>
        </is>
      </c>
      <c r="AL111" s="26" t="n">
        <v>4</v>
      </c>
      <c r="AM111" s="24" t="inlineStr">
        <is>
          <t>RESEARCH_OBSERVATION</t>
        </is>
      </c>
      <c r="AN111" s="24" t="inlineStr">
        <is>
          <t>CALL</t>
        </is>
      </c>
      <c r="AO111" s="24" t="inlineStr">
        <is>
          <t>PAPER_CALL_LOW_EDGE</t>
        </is>
      </c>
      <c r="AP111" s="24" t="inlineStr">
        <is>
          <t>Misa Esports</t>
        </is>
      </c>
      <c r="AQ111" s="24" t="inlineStr">
        <is>
          <t>Misa Esports</t>
        </is>
      </c>
      <c r="AR111" s="24" t="inlineStr">
        <is>
          <t>Misa Esports</t>
        </is>
      </c>
      <c r="AS111" s="24" t="inlineStr">
        <is>
          <t>Fire Flux Esports</t>
        </is>
      </c>
      <c r="AT111" s="24" t="inlineStr">
        <is>
          <t>Fire Flux Esports</t>
        </is>
      </c>
      <c r="AU111" s="24" t="inlineStr">
        <is>
          <t>Fire Flux Esports</t>
        </is>
      </c>
      <c r="AV111" s="24" t="n"/>
      <c r="AW111" s="24" t="n"/>
      <c r="AX111" s="24" t="inlineStr">
        <is>
          <t>statistical_model</t>
        </is>
      </c>
      <c r="AY111" s="24" t="n"/>
      <c r="AZ111" s="24" t="inlineStr">
        <is>
          <t>shadow_qualified</t>
        </is>
      </c>
      <c r="BA111" s="24" t="inlineStr">
        <is>
          <t>4fb00b8396ed01ac9098b909076acca187018877e203df68a40b7905bbf60d46</t>
        </is>
      </c>
      <c r="BB111" s="24" t="inlineStr">
        <is>
          <t>neutral_elo</t>
        </is>
      </c>
      <c r="BC111" s="24" t="inlineStr">
        <is>
          <t>valorant-tiered-elo-v6</t>
        </is>
      </c>
      <c r="BD111" s="24" t="inlineStr">
        <is>
          <t>4fb00b8396ed01ac9098b909076acca187018877e203df68a40b7905bbf60d46</t>
        </is>
      </c>
      <c r="BE111" s="24" t="inlineStr">
        <is>
          <t>1</t>
        </is>
      </c>
      <c r="BF111" s="24" t="inlineStr">
        <is>
          <t>1</t>
        </is>
      </c>
      <c r="BG111" s="24" t="inlineStr">
        <is>
          <t>valorant-tiered-elo-v6</t>
        </is>
      </c>
      <c r="BH111" s="24" t="inlineStr">
        <is>
          <t>2026-10-07T22:27:42.222451Z</t>
        </is>
      </c>
      <c r="BI111" s="24" t="inlineStr">
        <is>
          <t>["same_event","same_team_same_day","same_league_same_day"]</t>
        </is>
      </c>
      <c r="BJ111" s="25" t="n"/>
      <c r="BK111" s="26" t="n">
        <v>-186</v>
      </c>
      <c r="BL111" s="27" t="n">
        <v>1.537634</v>
      </c>
      <c r="BM111" s="28" t="n">
        <v>0.65035</v>
      </c>
      <c r="BN111" s="28" t="n"/>
      <c r="BO111" s="28" t="n"/>
      <c r="BP111" s="25" t="n"/>
      <c r="BQ111" s="27" t="n">
        <v>1.561798</v>
      </c>
      <c r="BR111" s="28" t="n">
        <v>0.64</v>
      </c>
      <c r="BS111" s="28" t="n"/>
      <c r="BT111" s="28" t="n"/>
      <c r="BU111" s="25" t="n"/>
      <c r="BV111" s="29" t="n"/>
      <c r="BW111" s="24" t="n"/>
      <c r="BX111" s="30" t="n"/>
      <c r="BY111" s="27" t="n"/>
      <c r="BZ111" s="24" t="n"/>
      <c r="CA111" s="31" t="n"/>
      <c r="CB111" s="24" t="n"/>
      <c r="CC111" s="24" t="n"/>
      <c r="CD111" s="24" t="n"/>
      <c r="CE111" s="24" t="n"/>
      <c r="CF111" s="24" t="n"/>
      <c r="CG111" s="24" t="n"/>
      <c r="CH111" s="24" t="n"/>
      <c r="CI111" s="24" t="n"/>
      <c r="CJ111" s="24" t="n"/>
      <c r="CK111" s="24" t="n"/>
      <c r="CL111" s="24" t="n"/>
      <c r="CM111" s="24" t="n"/>
      <c r="CN111" s="24" t="n"/>
      <c r="CO111" s="24" t="n"/>
      <c r="CP111" s="24" t="n"/>
      <c r="CQ111" s="24" t="n"/>
      <c r="CR111" s="24" t="n"/>
      <c r="CS111" s="24" t="inlineStr">
        <is>
          <t>False</t>
        </is>
      </c>
      <c r="CT111" s="24" t="n"/>
      <c r="CU111" s="24" t="n"/>
      <c r="CV111" s="24" t="n"/>
      <c r="CW111" s="24" t="n"/>
      <c r="CX111" s="24" t="n"/>
      <c r="CY111" s="24" t="n"/>
      <c r="CZ111" s="24" t="n"/>
      <c r="DA111" s="24" t="n"/>
      <c r="DB111" s="24" t="n"/>
      <c r="DC111" s="24" t="n"/>
      <c r="DD111" s="24" t="n"/>
      <c r="DE111" s="24" t="n"/>
      <c r="DF111" s="24" t="n"/>
      <c r="DG111" s="24" t="n"/>
      <c r="DH111" s="24" t="n"/>
      <c r="DI111" s="24" t="n"/>
      <c r="DJ111" s="24" t="n"/>
      <c r="DK111" s="24" t="n"/>
      <c r="DL111" s="24" t="n"/>
      <c r="DM111" s="24" t="n"/>
      <c r="DN111" s="24" t="n"/>
      <c r="DO111" s="24" t="n"/>
      <c r="DP111" s="24" t="n"/>
      <c r="DQ111" s="24" t="inlineStr">
        <is>
          <t>{"artifact_hash": "4fb00b8396ed01ac9098b909076acca187018877e203df68a40b7905bbf60d46", "away_team": "Misa Esports", "event_id": "143813", "event_start_utc": "2026-10-08T16:00:00Z", "features": {"away_elo": 1724.212682, "away_history_count": 45, "home_elo": 1796.002978, "home_history_count": 115}, "historical_source_observation_times_verified": false, "home_team": "Fire Flux Esports", "inference_inputs": {"book_state": {"games_played": {"bo3:2:7097": 115, "bo3:2:9593": 45}, "inactivity_half_life_days": null, "inactivity_max_pull": null, "k": 64.0, "last_match_utc": {"bo3:2:7097": "2026-08-28T16:30:00Z", "bo3:2:9593": "2026-10-03T16:00:00Z"}, "minimum_reliable_games": null, "platt_intercept": 0.1143685463659617, "platt_slope": 0.7683784881494086, "ratings": {"bo3:2:7097": 1796.002978, "bo3:2:9593": 1724.212682},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"2026-10-07T22:27:21.612006+00:00", "team_ids": ["bo3:2:7097", "bo3:2:9593"]}, "market_type": "moneyline", "model_version": "valorant-tiered-elo-v6", "observed_at_utc": "2026-10-07T22:27:21.612006+00:00", "probabilities": {"away": 0.477383, "home": 0.522617}, "replay_scope": "Exact serving book state, calibration, temperature, inactivity reference and thin-history adjustments; training provenance not certified.", "schema": "esports-elo-replay-v1", "snapshot_hash": "61e2237c3d364936da93fe65b1707c0322e0e2d94b272e5af1ff32f31652df53", "sport": "VALORANT"}</t>
        </is>
      </c>
    </row>
    <row r="112" ht="36" customHeight="1">
      <c r="A112" s="24" t="inlineStr">
        <is>
          <t>7e681728bb97457d</t>
        </is>
      </c>
      <c r="B112" s="24" t="inlineStr">
        <is>
          <t>2026-10-11T07:27:54.158997Z</t>
        </is>
      </c>
      <c r="C112" s="24" t="inlineStr">
        <is>
          <t>2026-10-11T09:00:00Z</t>
        </is>
      </c>
      <c r="D112" s="24" t="inlineStr">
        <is>
          <t>152663</t>
        </is>
      </c>
      <c r="E112" s="24" t="inlineStr">
        <is>
          <t>VALORANT</t>
        </is>
      </c>
      <c r="F112" s="24" t="inlineStr">
        <is>
          <t>NRG</t>
        </is>
      </c>
      <c r="G112" s="24" t="inlineStr">
        <is>
          <t>100 Thieves</t>
        </is>
      </c>
      <c r="H112" s="24" t="inlineStr">
        <is>
          <t>moneyline</t>
        </is>
      </c>
      <c r="I112" s="24" t="inlineStr">
        <is>
          <t>home</t>
        </is>
      </c>
      <c r="J112" s="25" t="n"/>
      <c r="K112" s="24" t="inlineStr">
        <is>
          <t>polymarket_us</t>
        </is>
      </c>
      <c r="L112" s="26" t="n">
        <v>-133</v>
      </c>
      <c r="M112" s="27" t="n">
        <v>1.75188</v>
      </c>
      <c r="N112" s="28" t="n">
        <v>0.570815</v>
      </c>
      <c r="O112" s="28" t="n">
        <v>0.605665</v>
      </c>
      <c r="P112" s="28" t="n"/>
      <c r="Q112" s="28" t="n">
        <v>0.03485</v>
      </c>
      <c r="R112" s="26" t="n">
        <v>37</v>
      </c>
      <c r="S112" s="29" t="n">
        <v>1</v>
      </c>
      <c r="T112" s="24" t="inlineStr">
        <is>
          <t>valorant-tiered-elo-v6</t>
        </is>
      </c>
      <c r="U112" s="24" t="inlineStr">
        <is>
          <t>settled</t>
        </is>
      </c>
      <c r="V112" s="24" t="inlineStr">
        <is>
          <t>win</t>
        </is>
      </c>
      <c r="W112" s="26" t="n">
        <v>0</v>
      </c>
      <c r="X112" s="26" t="n">
        <v>1</v>
      </c>
      <c r="Y112" s="25" t="n"/>
      <c r="Z112" s="26" t="n">
        <v>-127</v>
      </c>
      <c r="AA112" s="28" t="n">
        <v>0.5600000000000001</v>
      </c>
      <c r="AB112" s="28" t="n">
        <v>-0.010815</v>
      </c>
      <c r="AC112" s="30" t="n">
        <v>0.7519</v>
      </c>
      <c r="AD112" s="24" t="inlineStr">
        <is>
          <t>2026-10-11T16:05:01.369114Z</t>
        </is>
      </c>
      <c r="AE112" s="31" t="inlineStr">
        <is>
          <t>Neutral Elo baseline; executable ask 0.5700 (market_slug=aec-valorant-100t-nrg-2026-10-11).</t>
        </is>
      </c>
      <c r="AF112" s="31" t="inlineStr">
        <is>
          <t>Config-promoted esports baseline; gates enforced at log time.</t>
        </is>
      </c>
      <c r="AG112" s="24" t="inlineStr">
        <is>
          <t>not_applicable</t>
        </is>
      </c>
      <c r="AH112" s="24" t="n"/>
      <c r="AI112" s="31" t="n"/>
      <c r="AJ112" s="31" t="n"/>
      <c r="AK112" s="24" t="inlineStr">
        <is>
          <t>model_qualified</t>
        </is>
      </c>
      <c r="AL112" s="26" t="n">
        <v>4</v>
      </c>
      <c r="AM112" s="24" t="inlineStr">
        <is>
          <t>QUALIFIED_SHADOW_CALL</t>
        </is>
      </c>
      <c r="AN112" s="24" t="inlineStr">
        <is>
          <t>CALL</t>
        </is>
      </c>
      <c r="AO112" s="24" t="inlineStr">
        <is>
          <t>QUALIFIED</t>
        </is>
      </c>
      <c r="AP112" s="24" t="inlineStr">
        <is>
          <t>NRG</t>
        </is>
      </c>
      <c r="AQ112" s="24" t="inlineStr">
        <is>
          <t>NRG</t>
        </is>
      </c>
      <c r="AR112" s="24" t="inlineStr">
        <is>
          <t>NRG</t>
        </is>
      </c>
      <c r="AS112" s="24" t="inlineStr">
        <is>
          <t>100 Thieves</t>
        </is>
      </c>
      <c r="AT112" s="24" t="inlineStr">
        <is>
          <t>100 Thieves</t>
        </is>
      </c>
      <c r="AU112" s="24" t="inlineStr">
        <is>
          <t>100 Thieves</t>
        </is>
      </c>
      <c r="AV112" s="24" t="n"/>
      <c r="AW112" s="24" t="n"/>
      <c r="AX112" s="24" t="inlineStr">
        <is>
          <t>statistical_model</t>
        </is>
      </c>
      <c r="AY112" s="24" t="n"/>
      <c r="AZ112" s="24" t="inlineStr">
        <is>
          <t>shadow_qualified</t>
        </is>
      </c>
      <c r="BA112" s="24" t="inlineStr">
        <is>
          <t>13167e59620ddef10ebfa0d7d26db74a15baccaf70ae2fbdc1a1fe7f57e95d69</t>
        </is>
      </c>
      <c r="BB112" s="24" t="inlineStr">
        <is>
          <t>neutral_elo</t>
        </is>
      </c>
      <c r="BC112" s="24" t="inlineStr">
        <is>
          <t>valorant-tiered-elo-v6</t>
        </is>
      </c>
      <c r="BD112" s="24" t="inlineStr">
        <is>
          <t>13167e59620ddef10ebfa0d7d26db74a15baccaf70ae2fbdc1a1fe7f57e95d69</t>
        </is>
      </c>
      <c r="BE112" s="24" t="inlineStr">
        <is>
          <t>1</t>
        </is>
      </c>
      <c r="BF112" s="24" t="inlineStr">
        <is>
          <t>1</t>
        </is>
      </c>
      <c r="BG112" s="24" t="inlineStr">
        <is>
          <t>valorant-tiered-elo-v6</t>
        </is>
      </c>
      <c r="BH112" s="24" t="inlineStr">
        <is>
          <t>2026-10-11T07:25:19.191912Z</t>
        </is>
      </c>
      <c r="BI112" s="24" t="inlineStr">
        <is>
          <t>["same_event","same_team_same_day","same_league_same_day"]</t>
        </is>
      </c>
      <c r="BJ112" s="25" t="n"/>
      <c r="BK112" s="26" t="n">
        <v>-133</v>
      </c>
      <c r="BL112" s="27" t="n">
        <v>1.75188</v>
      </c>
      <c r="BM112" s="28" t="n">
        <v>0.570815</v>
      </c>
      <c r="BN112" s="28" t="n"/>
      <c r="BO112" s="28" t="n"/>
      <c r="BP112" s="25" t="n"/>
      <c r="BQ112" s="27" t="n">
        <v>1.787402</v>
      </c>
      <c r="BR112" s="28" t="n">
        <v>0.5600000000000001</v>
      </c>
      <c r="BS112" s="28" t="n"/>
      <c r="BT112" s="28" t="n"/>
      <c r="BU112" s="25" t="n"/>
      <c r="BV112" s="29" t="n"/>
      <c r="BW112" s="24" t="n"/>
      <c r="BX112" s="30" t="n"/>
      <c r="BY112" s="27" t="n"/>
      <c r="BZ112" s="24" t="n"/>
      <c r="CA112" s="31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n"/>
      <c r="CQ112" s="24" t="n"/>
      <c r="CR112" s="24" t="n"/>
      <c r="CS112" s="24" t="inlineStr">
        <is>
          <t>True</t>
        </is>
      </c>
      <c r="CT112" s="24" t="n"/>
      <c r="CU112" s="24" t="n"/>
      <c r="CV112" s="24" t="n"/>
      <c r="CW112" s="24" t="n"/>
      <c r="CX112" s="24" t="n"/>
      <c r="CY112" s="24" t="n"/>
      <c r="CZ112" s="24" t="n"/>
      <c r="DA112" s="24" t="n"/>
      <c r="DB112" s="24" t="n"/>
      <c r="DC112" s="24" t="n"/>
      <c r="DD112" s="24" t="n"/>
      <c r="DE112" s="24" t="n"/>
      <c r="DF112" s="24" t="n"/>
      <c r="DG112" s="24" t="n"/>
      <c r="DH112" s="24" t="n"/>
      <c r="DI112" s="24" t="n"/>
      <c r="DJ112" s="24" t="n"/>
      <c r="DK112" s="24" t="n"/>
      <c r="DL112" s="24" t="n"/>
      <c r="DM112" s="24" t="n"/>
      <c r="DN112" s="24" t="n"/>
      <c r="DO112" s="24" t="n"/>
      <c r="DP112" s="24" t="n"/>
      <c r="DQ112" s="24" t="inlineStr">
        <is>
          <t>{"artifact_hash": "13167e59620ddef10ebfa0d7d26db74a15baccaf70ae2fbdc1a1fe7f57e95d69", "away_team": "NRG", "event_id": "152663", "event_start_utc": "2026-10-11T09:00:00Z", "features": {"away_elo": 1983.731977, "away_history_count": 134, "home_elo": 2077.000538, "home_history_count": 113}, "historical_source_observation_times_verified": false, "home_team": "100 Thieves", "inference_inputs": {"book_state": {"games_played": {"bo3:2:7298": 113, "bo3:2:7347": 134}, "inactivity_half_life_days": null, "inactivity_max_pull": null, "k": 64.0, "last_match_utc": {"bo3:2:7298": "2026-10-09T12:20:00Z", "bo3:2:7347": "2026-10-10T09:00:00Z"}, "minimum_reliable_games": null, "platt_intercept": 0.11616902206451739, "platt_slope": 0.770524736739285, "ratings": {"bo3:2:7298": 2077.000538, "bo3:2:7347": 1983.731977}, "recency_half_life_days": null, "recency_max_boost": null, "temperature": 1.18, "thin_data_max_shrink": null, "tier_weights": null}, "code_sha256": {"esports.py": "8d25951d04320147b4f82f35408c7948ac3d6a80af203ada3bac1aa630e7b330", "features/elo_ratings.py": "8525faf022a6343c452286dbfeb17dbb043744c6bdabbe448b6b371216da439b"}, "reference_date": "2026-10-11T07:25:19.097996+00:00", "team_ids": ["bo3:2:7298", "bo3:2:7347"]}, "market_type": "moneyline", "model_version": "valorant-tiered-elo-v6", "observed_at_utc": "2026-10-11T07:25:19.097996+00:00", "probabilities": {"away": 0.394335, "home": 0.605665}, "replay_scope": "Exact serving book state, calibration, temperature, inactivity reference and thin-history adjustments; training provenance not certified.", "schema": "esports-elo-replay-v1", "snapshot_hash": "7d2a5cfa57e4eed769fadffb96a90da6462335220fc9113ed5a59c45fb991406", "sport": "VALORANT"}</t>
        </is>
      </c>
    </row>
    <row r="113" ht="36" customHeight="1">
      <c r="A113" s="24" t="inlineStr">
        <is>
          <t>18470dcdd0604a18</t>
        </is>
      </c>
      <c r="B113" s="24" t="inlineStr">
        <is>
          <t>2026-10-11T07:27:54.158997Z</t>
        </is>
      </c>
      <c r="C113" s="24" t="inlineStr">
        <is>
          <t>2026-10-11T09:00:00Z</t>
        </is>
      </c>
      <c r="D113" s="24" t="inlineStr">
        <is>
          <t>152663</t>
        </is>
      </c>
      <c r="E113" s="24" t="inlineStr">
        <is>
          <t>VALORANT</t>
        </is>
      </c>
      <c r="F113" s="24" t="inlineStr">
        <is>
          <t>NRG</t>
        </is>
      </c>
      <c r="G113" s="24" t="inlineStr">
        <is>
          <t>100 Thieves</t>
        </is>
      </c>
      <c r="H113" s="24" t="inlineStr">
        <is>
          <t>total</t>
        </is>
      </c>
      <c r="I113" s="24" t="inlineStr">
        <is>
          <t>under</t>
        </is>
      </c>
      <c r="J113" s="25" t="n">
        <v>2.5</v>
      </c>
      <c r="K113" s="24" t="inlineStr">
        <is>
          <t>polymarket_us</t>
        </is>
      </c>
      <c r="L113" s="26" t="n">
        <v>-113</v>
      </c>
      <c r="M113" s="27" t="n">
        <v>1.884956</v>
      </c>
      <c r="N113" s="28" t="n">
        <v>0.530516</v>
      </c>
      <c r="O113" s="28" t="n">
        <v>0.510059</v>
      </c>
      <c r="P113" s="28" t="n"/>
      <c r="Q113" s="28" t="n">
        <v>-0.020457</v>
      </c>
      <c r="R113" s="26" t="n">
        <v>10</v>
      </c>
      <c r="S113" s="29" t="n">
        <v>1</v>
      </c>
      <c r="T113" s="24" t="inlineStr">
        <is>
          <t>valorant-total-tiered-elo-v6</t>
        </is>
      </c>
      <c r="U113" s="24" t="inlineStr">
        <is>
          <t>settled</t>
        </is>
      </c>
      <c r="V113" s="24" t="inlineStr">
        <is>
          <t>win</t>
        </is>
      </c>
      <c r="W113" s="26" t="n">
        <v>0</v>
      </c>
      <c r="X113" s="26" t="n">
        <v>2</v>
      </c>
      <c r="Y113" s="25" t="n"/>
      <c r="Z113" s="26" t="n"/>
      <c r="AA113" s="28" t="n"/>
      <c r="AB113" s="28" t="n"/>
      <c r="AC113" s="30" t="n">
        <v>0.885</v>
      </c>
      <c r="AD113" s="24" t="inlineStr">
        <is>
          <t>2026-10-11T16:05:13.054969Z</t>
        </is>
      </c>
      <c r="AE113" s="31" t="inlineStr">
        <is>
          <t>Neutral Elo baseline; executable ask 0.5300 (market_slug=tsc-valorant-100t-nrg-2026-10-11-tot-2pt5).</t>
        </is>
      </c>
      <c r="AF113" s="31" t="inlineStr">
        <is>
          <t>Config-promoted esports baseline; gates enforced at log time.</t>
        </is>
      </c>
      <c r="AG113" s="24" t="inlineStr">
        <is>
          <t>not_applicable</t>
        </is>
      </c>
      <c r="AH113" s="24" t="n"/>
      <c r="AI113" s="31" t="n"/>
      <c r="AJ113" s="31" t="n"/>
      <c r="AK113" s="24" t="inlineStr">
        <is>
          <t>paper_call</t>
        </is>
      </c>
      <c r="AL113" s="26" t="n">
        <v>4</v>
      </c>
      <c r="AM113" s="24" t="inlineStr">
        <is>
          <t>RESEARCH_OBSERVATION</t>
        </is>
      </c>
      <c r="AN113" s="24" t="inlineStr">
        <is>
          <t>CALL</t>
        </is>
      </c>
      <c r="AO113" s="24" t="inlineStr">
        <is>
          <t>PAPER_CALL_LOW_EDGE</t>
        </is>
      </c>
      <c r="AP113" s="24" t="inlineStr">
        <is>
          <t>NRG</t>
        </is>
      </c>
      <c r="AQ113" s="24" t="inlineStr">
        <is>
          <t>NRG</t>
        </is>
      </c>
      <c r="AR113" s="24" t="inlineStr">
        <is>
          <t>NRG</t>
        </is>
      </c>
      <c r="AS113" s="24" t="inlineStr">
        <is>
          <t>100 Thieves</t>
        </is>
      </c>
      <c r="AT113" s="24" t="inlineStr">
        <is>
          <t>100 Thieves</t>
        </is>
      </c>
      <c r="AU113" s="24" t="inlineStr">
        <is>
          <t>100 Thieves</t>
        </is>
      </c>
      <c r="AV113" s="24" t="n"/>
      <c r="AW113" s="24" t="n"/>
      <c r="AX113" s="24" t="inlineStr">
        <is>
          <t>statistical_model</t>
        </is>
      </c>
      <c r="AY113" s="24" t="n"/>
      <c r="AZ113" s="24" t="inlineStr">
        <is>
          <t>shadow_qualified</t>
        </is>
      </c>
      <c r="BA113" s="24" t="inlineStr">
        <is>
          <t>13167e59620ddef10ebfa0d7d26db74a15baccaf70ae2fbdc1a1fe7f57e95d69</t>
        </is>
      </c>
      <c r="BB113" s="24" t="inlineStr">
        <is>
          <t>neutral_elo</t>
        </is>
      </c>
      <c r="BC113" s="24" t="inlineStr">
        <is>
          <t>valorant-total-tiered-elo-v6</t>
        </is>
      </c>
      <c r="BD113" s="24" t="inlineStr">
        <is>
          <t>13167e59620ddef10ebfa0d7d26db74a15baccaf70ae2fbdc1a1fe7f57e95d69</t>
        </is>
      </c>
      <c r="BE113" s="24" t="inlineStr">
        <is>
          <t>1</t>
        </is>
      </c>
      <c r="BF113" s="24" t="inlineStr">
        <is>
          <t>1</t>
        </is>
      </c>
      <c r="BG113" s="24" t="inlineStr">
        <is>
          <t>valorant-total-tiered-elo-v6</t>
        </is>
      </c>
      <c r="BH113" s="24" t="inlineStr">
        <is>
          <t>2026-10-11T07:25:29.314396Z</t>
        </is>
      </c>
      <c r="BI113" s="24" t="inlineStr">
        <is>
          <t>["same_event","same_team_same_day","same_league_same_day"]</t>
        </is>
      </c>
      <c r="BJ113" s="25" t="n">
        <v>2.5</v>
      </c>
      <c r="BK113" s="26" t="n">
        <v>-113</v>
      </c>
      <c r="BL113" s="27" t="n">
        <v>1.884956</v>
      </c>
      <c r="BM113" s="28" t="n">
        <v>0.530516</v>
      </c>
      <c r="BN113" s="28" t="n"/>
      <c r="BO113" s="28" t="n"/>
      <c r="BP113" s="25" t="n"/>
      <c r="BQ113" s="27" t="n"/>
      <c r="BR113" s="28" t="n"/>
      <c r="BS113" s="28" t="n"/>
      <c r="BT113" s="28" t="n"/>
      <c r="BU113" s="25" t="n"/>
      <c r="BV113" s="29" t="n"/>
      <c r="BW113" s="24" t="n"/>
      <c r="BX113" s="30" t="n"/>
      <c r="BY113" s="27" t="n"/>
      <c r="BZ113" s="24" t="n"/>
      <c r="CA113" s="31" t="n"/>
      <c r="CB113" s="24" t="n"/>
      <c r="CC113" s="24" t="n"/>
      <c r="CD113" s="24" t="n"/>
      <c r="CE113" s="24" t="n"/>
      <c r="CF113" s="24" t="n"/>
      <c r="CG113" s="24" t="n"/>
      <c r="CH113" s="24" t="n"/>
      <c r="CI113" s="24" t="n"/>
      <c r="CJ113" s="24" t="n"/>
      <c r="CK113" s="24" t="n"/>
      <c r="CL113" s="24" t="n"/>
      <c r="CM113" s="24" t="n"/>
      <c r="CN113" s="24" t="n"/>
      <c r="CO113" s="24" t="n"/>
      <c r="CP113" s="24" t="n"/>
      <c r="CQ113" s="24" t="n"/>
      <c r="CR113" s="24" t="n"/>
      <c r="CS113" s="24" t="inlineStr">
        <is>
          <t>False</t>
        </is>
      </c>
      <c r="CT113" s="24" t="n"/>
      <c r="CU113" s="24" t="n"/>
      <c r="CV113" s="24" t="n"/>
      <c r="CW113" s="24" t="n"/>
      <c r="CX113" s="24" t="n"/>
      <c r="CY113" s="24" t="n"/>
      <c r="CZ113" s="24" t="n"/>
      <c r="DA113" s="24" t="n"/>
      <c r="DB113" s="24" t="n"/>
      <c r="DC113" s="24" t="n"/>
      <c r="DD113" s="24" t="n"/>
      <c r="DE113" s="24" t="n"/>
      <c r="DF113" s="24" t="n"/>
      <c r="DG113" s="24" t="n"/>
      <c r="DH113" s="24" t="n"/>
      <c r="DI113" s="24" t="n"/>
      <c r="DJ113" s="24" t="n"/>
      <c r="DK113" s="24" t="n"/>
      <c r="DL113" s="24" t="n"/>
      <c r="DM113" s="24" t="n"/>
      <c r="DN113" s="24" t="n"/>
      <c r="DO113" s="24" t="n"/>
      <c r="DP113" s="24" t="n"/>
      <c r="DQ113" s="24" t="n"/>
    </row>
    <row r="114" ht="36" customHeight="1">
      <c r="A114" s="24" t="inlineStr">
        <is>
          <t>3f7bca412a744abb</t>
        </is>
      </c>
      <c r="B114" s="24" t="inlineStr">
        <is>
          <t>2026-10-11T07:27:54.158997Z</t>
        </is>
      </c>
      <c r="C114" s="24" t="inlineStr">
        <is>
          <t>2026-10-11T12:00:00Z</t>
        </is>
      </c>
      <c r="D114" s="24" t="inlineStr">
        <is>
          <t>152776</t>
        </is>
      </c>
      <c r="E114" s="24" t="inlineStr">
        <is>
          <t>VALORANT</t>
        </is>
      </c>
      <c r="F114" s="24" t="inlineStr">
        <is>
          <t>G2 Esports</t>
        </is>
      </c>
      <c r="G114" s="24" t="inlineStr">
        <is>
          <t>T1</t>
        </is>
      </c>
      <c r="H114" s="24" t="inlineStr">
        <is>
          <t>total</t>
        </is>
      </c>
      <c r="I114" s="24" t="inlineStr">
        <is>
          <t>under</t>
        </is>
      </c>
      <c r="J114" s="25" t="n">
        <v>2.5</v>
      </c>
      <c r="K114" s="24" t="inlineStr">
        <is>
          <t>polymarket_us</t>
        </is>
      </c>
      <c r="L114" s="26" t="n">
        <v>-127</v>
      </c>
      <c r="M114" s="27" t="n">
        <v>1.787402</v>
      </c>
      <c r="N114" s="28" t="n">
        <v>0.5594710000000001</v>
      </c>
      <c r="O114" s="28" t="n">
        <v>0.500179</v>
      </c>
      <c r="P114" s="28" t="n"/>
      <c r="Q114" s="28" t="n">
        <v>-0.059292</v>
      </c>
      <c r="R114" s="26" t="n">
        <v>0</v>
      </c>
      <c r="S114" s="29" t="n">
        <v>1</v>
      </c>
      <c r="T114" s="24" t="inlineStr">
        <is>
          <t>valorant-total-tiered-elo-v6</t>
        </is>
      </c>
      <c r="U114" s="24" t="inlineStr">
        <is>
          <t>settled</t>
        </is>
      </c>
      <c r="V114" s="24" t="inlineStr">
        <is>
          <t>loss</t>
        </is>
      </c>
      <c r="W114" s="26" t="n">
        <v>1</v>
      </c>
      <c r="X114" s="26" t="n">
        <v>2</v>
      </c>
      <c r="Y114" s="25" t="n"/>
      <c r="Z114" s="26" t="n"/>
      <c r="AA114" s="28" t="n"/>
      <c r="AB114" s="28" t="n"/>
      <c r="AC114" s="30" t="n">
        <v>-1</v>
      </c>
      <c r="AD114" s="24" t="inlineStr">
        <is>
          <t>2026-10-11T16:05:14.187063Z</t>
        </is>
      </c>
      <c r="AE114" s="31" t="inlineStr">
        <is>
          <t>Neutral Elo baseline; executable ask 0.5600 (market_slug=tsc-valorant-t1-g2-2026-10-11-tot-2pt5).</t>
        </is>
      </c>
      <c r="AF114" s="31" t="inlineStr">
        <is>
          <t>Config-promoted esports baseline; gates enforced at log time.</t>
        </is>
      </c>
      <c r="AG114" s="24" t="inlineStr">
        <is>
          <t>review_required</t>
        </is>
      </c>
      <c r="AH114" s="24" t="n"/>
      <c r="AI114" s="31" t="n"/>
      <c r="AJ114" s="31" t="n"/>
      <c r="AK114" s="24" t="inlineStr">
        <is>
          <t>paper_call</t>
        </is>
      </c>
      <c r="AL114" s="26" t="n">
        <v>4</v>
      </c>
      <c r="AM114" s="24" t="inlineStr">
        <is>
          <t>RESEARCH_OBSERVATION</t>
        </is>
      </c>
      <c r="AN114" s="24" t="inlineStr">
        <is>
          <t>CALL</t>
        </is>
      </c>
      <c r="AO114" s="24" t="inlineStr">
        <is>
          <t>PAPER_CALL_LOW_EDGE</t>
        </is>
      </c>
      <c r="AP114" s="24" t="inlineStr">
        <is>
          <t>G2 Esports</t>
        </is>
      </c>
      <c r="AQ114" s="24" t="inlineStr">
        <is>
          <t>G2 Esports</t>
        </is>
      </c>
      <c r="AR114" s="24" t="inlineStr">
        <is>
          <t>G2 Esports</t>
        </is>
      </c>
      <c r="AS114" s="24" t="inlineStr">
        <is>
          <t>T1</t>
        </is>
      </c>
      <c r="AT114" s="24" t="inlineStr">
        <is>
          <t>T1</t>
        </is>
      </c>
      <c r="AU114" s="24" t="inlineStr">
        <is>
          <t>T1</t>
        </is>
      </c>
      <c r="AV114" s="24" t="n"/>
      <c r="AW114" s="24" t="n"/>
      <c r="AX114" s="24" t="inlineStr">
        <is>
          <t>statistical_model</t>
        </is>
      </c>
      <c r="AY114" s="24" t="n"/>
      <c r="AZ114" s="24" t="inlineStr">
        <is>
          <t>shadow_qualified</t>
        </is>
      </c>
      <c r="BA114" s="24" t="inlineStr">
        <is>
          <t>13167e59620ddef10ebfa0d7d26db74a15baccaf70ae2fbdc1a1fe7f57e95d69</t>
        </is>
      </c>
      <c r="BB114" s="24" t="inlineStr">
        <is>
          <t>neutral_elo</t>
        </is>
      </c>
      <c r="BC114" s="24" t="inlineStr">
        <is>
          <t>valorant-total-tiered-elo-v6</t>
        </is>
      </c>
      <c r="BD114" s="24" t="inlineStr">
        <is>
          <t>13167e59620ddef10ebfa0d7d26db74a15baccaf70ae2fbdc1a1fe7f57e95d69</t>
        </is>
      </c>
      <c r="BE114" s="24" t="inlineStr">
        <is>
          <t>1</t>
        </is>
      </c>
      <c r="BF114" s="24" t="inlineStr">
        <is>
          <t>1</t>
        </is>
      </c>
      <c r="BG114" s="24" t="inlineStr">
        <is>
          <t>valorant-total-tiered-elo-v6</t>
        </is>
      </c>
      <c r="BH114" s="24" t="inlineStr">
        <is>
          <t>2026-10-11T07:27:11.838532Z</t>
        </is>
      </c>
      <c r="BI114" s="24" t="inlineStr">
        <is>
          <t>["same_event","same_team_same_day","same_league_same_day"]</t>
        </is>
      </c>
      <c r="BJ114" s="25" t="n">
        <v>2.5</v>
      </c>
      <c r="BK114" s="26" t="n">
        <v>-127</v>
      </c>
      <c r="BL114" s="27" t="n">
        <v>1.787402</v>
      </c>
      <c r="BM114" s="28" t="n">
        <v>0.5594710000000001</v>
      </c>
      <c r="BN114" s="28" t="n"/>
      <c r="BO114" s="28" t="n"/>
      <c r="BP114" s="25" t="n"/>
      <c r="BQ114" s="27" t="n"/>
      <c r="BR114" s="28" t="n"/>
      <c r="BS114" s="28" t="n"/>
      <c r="BT114" s="28" t="n"/>
      <c r="BU114" s="25" t="n"/>
      <c r="BV114" s="29" t="n"/>
      <c r="BW114" s="24" t="n"/>
      <c r="BX114" s="30" t="n"/>
      <c r="BY114" s="27" t="n"/>
      <c r="BZ114" s="24" t="n"/>
      <c r="CA114" s="31" t="n"/>
      <c r="CB114" s="24" t="n"/>
      <c r="CC114" s="24" t="n"/>
      <c r="CD114" s="24" t="n"/>
      <c r="CE114" s="24" t="n"/>
      <c r="CF114" s="24" t="n"/>
      <c r="CG114" s="24" t="n"/>
      <c r="CH114" s="24" t="n"/>
      <c r="CI114" s="24" t="n"/>
      <c r="CJ114" s="24" t="n"/>
      <c r="CK114" s="24" t="n"/>
      <c r="CL114" s="24" t="n"/>
      <c r="CM114" s="24" t="n"/>
      <c r="CN114" s="24" t="n"/>
      <c r="CO114" s="24" t="n"/>
      <c r="CP114" s="24" t="n"/>
      <c r="CQ114" s="24" t="n"/>
      <c r="CR114" s="24" t="n"/>
      <c r="CS114" s="24" t="inlineStr">
        <is>
          <t>False</t>
        </is>
      </c>
      <c r="CT114" s="24" t="n"/>
      <c r="CU114" s="24" t="n"/>
      <c r="CV114" s="24" t="n"/>
      <c r="CW114" s="24" t="n"/>
      <c r="CX114" s="24" t="n"/>
      <c r="CY114" s="24" t="n"/>
      <c r="CZ114" s="24" t="n"/>
      <c r="DA114" s="24" t="n"/>
      <c r="DB114" s="24" t="n"/>
      <c r="DC114" s="24" t="n"/>
      <c r="DD114" s="24" t="n"/>
      <c r="DE114" s="24" t="n"/>
      <c r="DF114" s="24" t="n"/>
      <c r="DG114" s="24" t="n"/>
      <c r="DH114" s="24" t="n"/>
      <c r="DI114" s="24" t="n"/>
      <c r="DJ114" s="24" t="n"/>
      <c r="DK114" s="24" t="n"/>
      <c r="DL114" s="24" t="n"/>
      <c r="DM114" s="24" t="n"/>
      <c r="DN114" s="24" t="n"/>
      <c r="DO114" s="24" t="n"/>
      <c r="DP114" s="24" t="n"/>
      <c r="DQ114" s="24" t="n"/>
    </row>
    <row r="115" ht="36" customHeight="1">
      <c r="A115" s="24" t="inlineStr">
        <is>
          <t>e6ddcaea582a4665</t>
        </is>
      </c>
      <c r="B115" s="24" t="inlineStr">
        <is>
          <t>2026-10-11T07:27:54.158997Z</t>
        </is>
      </c>
      <c r="C115" s="24" t="inlineStr">
        <is>
          <t>2026-10-11T12:00:00Z</t>
        </is>
      </c>
      <c r="D115" s="24" t="inlineStr">
        <is>
          <t>152776</t>
        </is>
      </c>
      <c r="E115" s="24" t="inlineStr">
        <is>
          <t>VALORANT</t>
        </is>
      </c>
      <c r="F115" s="24" t="inlineStr">
        <is>
          <t>G2 Esports</t>
        </is>
      </c>
      <c r="G115" s="24" t="inlineStr">
        <is>
          <t>T1</t>
        </is>
      </c>
      <c r="H115" s="24" t="inlineStr">
        <is>
          <t>moneyline</t>
        </is>
      </c>
      <c r="I115" s="24" t="inlineStr">
        <is>
          <t>home</t>
        </is>
      </c>
      <c r="J115" s="25" t="n"/>
      <c r="K115" s="24" t="inlineStr">
        <is>
          <t>polymarket_us</t>
        </is>
      </c>
      <c r="L115" s="26" t="n">
        <v>156</v>
      </c>
      <c r="M115" s="27" t="n">
        <v>2.56</v>
      </c>
      <c r="N115" s="28" t="n">
        <v>0.390625</v>
      </c>
      <c r="O115" s="28" t="n">
        <v>0.514196</v>
      </c>
      <c r="P115" s="28" t="n"/>
      <c r="Q115" s="28" t="n">
        <v>0.123571</v>
      </c>
      <c r="R115" s="26" t="n">
        <v>82</v>
      </c>
      <c r="S115" s="29" t="n">
        <v>1.5</v>
      </c>
      <c r="T115" s="24" t="inlineStr">
        <is>
          <t>valorant-tiered-elo-v6</t>
        </is>
      </c>
      <c r="U115" s="24" t="inlineStr">
        <is>
          <t>settled</t>
        </is>
      </c>
      <c r="V115" s="24" t="inlineStr">
        <is>
          <t>loss</t>
        </is>
      </c>
      <c r="W115" s="26" t="n">
        <v>1</v>
      </c>
      <c r="X115" s="26" t="n">
        <v>0</v>
      </c>
      <c r="Y115" s="25" t="n"/>
      <c r="Z115" s="26" t="n">
        <v>156</v>
      </c>
      <c r="AA115" s="28" t="n">
        <v>0.39</v>
      </c>
      <c r="AB115" s="28" t="n">
        <v>-0.000625</v>
      </c>
      <c r="AC115" s="30" t="n">
        <v>-1.5</v>
      </c>
      <c r="AD115" s="24" t="inlineStr">
        <is>
          <t>2026-10-11T16:05:15.265624Z</t>
        </is>
      </c>
      <c r="AE115" s="31" t="inlineStr">
        <is>
          <t>Neutral Elo baseline; executable ask 0.3900 (market_slug=aec-valorant-t1-g2-2026-10-11).</t>
        </is>
      </c>
      <c r="AF115" s="31" t="inlineStr">
        <is>
          <t>Config-promoted esports baseline; gates enforced at log time.</t>
        </is>
      </c>
      <c r="AG115" s="24" t="inlineStr">
        <is>
          <t>review_required</t>
        </is>
      </c>
      <c r="AH115" s="24" t="n"/>
      <c r="AI115" s="31" t="n"/>
      <c r="AJ115" s="31" t="n"/>
      <c r="AK115" s="24" t="inlineStr">
        <is>
          <t>model_qualified</t>
        </is>
      </c>
      <c r="AL115" s="26" t="n">
        <v>4</v>
      </c>
      <c r="AM115" s="24" t="inlineStr">
        <is>
          <t>QUALIFIED_SHADOW_CALL</t>
        </is>
      </c>
      <c r="AN115" s="24" t="inlineStr">
        <is>
          <t>CALL</t>
        </is>
      </c>
      <c r="AO115" s="24" t="inlineStr">
        <is>
          <t>QUALIFIED</t>
        </is>
      </c>
      <c r="AP115" s="24" t="inlineStr">
        <is>
          <t>G2 Esports</t>
        </is>
      </c>
      <c r="AQ115" s="24" t="inlineStr">
        <is>
          <t>G2 Esports</t>
        </is>
      </c>
      <c r="AR115" s="24" t="inlineStr">
        <is>
          <t>G2 Esports</t>
        </is>
      </c>
      <c r="AS115" s="24" t="inlineStr">
        <is>
          <t>T1</t>
        </is>
      </c>
      <c r="AT115" s="24" t="inlineStr">
        <is>
          <t>T1</t>
        </is>
      </c>
      <c r="AU115" s="24" t="inlineStr">
        <is>
          <t>T1</t>
        </is>
      </c>
      <c r="AV115" s="24" t="n"/>
      <c r="AW115" s="24" t="n"/>
      <c r="AX115" s="24" t="inlineStr">
        <is>
          <t>statistical_model</t>
        </is>
      </c>
      <c r="AY115" s="24" t="n"/>
      <c r="AZ115" s="24" t="inlineStr">
        <is>
          <t>shadow_qualified</t>
        </is>
      </c>
      <c r="BA115" s="24" t="inlineStr">
        <is>
          <t>13167e59620ddef10ebfa0d7d26db74a15baccaf70ae2fbdc1a1fe7f57e95d69</t>
        </is>
      </c>
      <c r="BB115" s="24" t="inlineStr">
        <is>
          <t>neutral_elo</t>
        </is>
      </c>
      <c r="BC115" s="24" t="inlineStr">
        <is>
          <t>valorant-tiered-elo-v6</t>
        </is>
      </c>
      <c r="BD115" s="24" t="inlineStr">
        <is>
          <t>13167e59620ddef10ebfa0d7d26db74a15baccaf70ae2fbdc1a1fe7f57e95d69</t>
        </is>
      </c>
      <c r="BE115" s="24" t="inlineStr">
        <is>
          <t>1</t>
        </is>
      </c>
      <c r="BF115" s="24" t="inlineStr">
        <is>
          <t>1</t>
        </is>
      </c>
      <c r="BG115" s="24" t="inlineStr">
        <is>
          <t>valorant-tiered-elo-v6</t>
        </is>
      </c>
      <c r="BH115" s="24" t="inlineStr">
        <is>
          <t>2026-10-11T07:27:21.974126Z</t>
        </is>
      </c>
      <c r="BI115" s="24" t="inlineStr">
        <is>
          <t>["same_event","same_team_same_day","same_league_same_day"]</t>
        </is>
      </c>
      <c r="BJ115" s="25" t="n"/>
      <c r="BK115" s="26" t="n">
        <v>156</v>
      </c>
      <c r="BL115" s="27" t="n">
        <v>2.56</v>
      </c>
      <c r="BM115" s="28" t="n">
        <v>0.390625</v>
      </c>
      <c r="BN115" s="28" t="n"/>
      <c r="BO115" s="28" t="n"/>
      <c r="BP115" s="25" t="n"/>
      <c r="BQ115" s="27" t="n">
        <v>2.56</v>
      </c>
      <c r="BR115" s="28" t="n">
        <v>0.39</v>
      </c>
      <c r="BS115" s="28" t="n"/>
      <c r="BT115" s="28" t="n"/>
      <c r="BU115" s="25" t="n"/>
      <c r="BV115" s="29" t="n"/>
      <c r="BW115" s="24" t="n"/>
      <c r="BX115" s="30" t="n"/>
      <c r="BY115" s="27" t="n"/>
      <c r="BZ115" s="24" t="n"/>
      <c r="CA115" s="31" t="n"/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4" t="n"/>
      <c r="CL115" s="24" t="n"/>
      <c r="CM115" s="24" t="n"/>
      <c r="CN115" s="24" t="n"/>
      <c r="CO115" s="24" t="n"/>
      <c r="CP115" s="24" t="n"/>
      <c r="CQ115" s="24" t="n"/>
      <c r="CR115" s="24" t="n"/>
      <c r="CS115" s="24" t="inlineStr">
        <is>
          <t>True</t>
        </is>
      </c>
      <c r="CT115" s="24" t="n"/>
      <c r="CU115" s="24" t="n"/>
      <c r="CV115" s="24" t="n"/>
      <c r="CW115" s="24" t="n"/>
      <c r="CX115" s="24" t="n"/>
      <c r="CY115" s="24" t="n"/>
      <c r="CZ115" s="24" t="n"/>
      <c r="DA115" s="24" t="n"/>
      <c r="DB115" s="24" t="n"/>
      <c r="DC115" s="24" t="n"/>
      <c r="DD115" s="24" t="n"/>
      <c r="DE115" s="24" t="n"/>
      <c r="DF115" s="24" t="n"/>
      <c r="DG115" s="24" t="n"/>
      <c r="DH115" s="24" t="n"/>
      <c r="DI115" s="24" t="n"/>
      <c r="DJ115" s="24" t="n"/>
      <c r="DK115" s="24" t="n"/>
      <c r="DL115" s="24" t="n"/>
      <c r="DM115" s="24" t="n"/>
      <c r="DN115" s="24" t="n"/>
      <c r="DO115" s="24" t="n"/>
      <c r="DP115" s="24" t="n"/>
      <c r="DQ115" s="24" t="inlineStr">
        <is>
          <t>{"artifact_hash": "13167e59620ddef10ebfa0d7d26db74a15baccaf70ae2fbdc1a1fe7f57e95d69", "away_team": "G2 Esports", "event_id": "152776", "event_start_utc": "2026-10-11T12:00:00Z", "features": {"away_elo": 1909.110814, "away_history_count": 168, "home_elo": 1902.071006, "home_history_count": 139}, "historical_source_observation_times_verified": false, "home_team": "T1", "inference_inputs": {"book_state": {"games_played": {"bo3:2:7283": 139, "bo3:2:7323": 168}, "inactivity_half_life_days": null, "inactivity_max_pull": null, "k": 64.0, "last_match_utc": {"bo3:2:7283": "2026-10-09T09:00:00Z", "bo3:2:7323": "2026-10-10T12:00:00Z"}, "minimum_reliable_games": null, "platt_intercept": 0.11616902206451739, "platt_slope": 0.770524736739285, "ratings": {"bo3:2:7283": 1902.071006, "bo3:2:7323": 1909.110814}, "recency_half_life_days": null, "recency_max_boost": null, "temperature": 1.18, "thin_data_max_shrink": null, "tier_weights": null}, "code_sha256": {"esports.py": "8d25951d04320147b4f82f35408c7948ac3d6a80af203ada3bac1aa630e7b330", "features/elo_ratings.py": "8525faf022a6343c452286dbfeb17dbb043744c6bdabbe448b6b371216da439b"}, "reference_date": "2026-10-11T07:25:19.097996+00:00", "team_ids": ["bo3:2:7283", "bo3:2:7323"]}, "market_type": "moneyline", "model_version": "valorant-tiered-elo-v6", "observed_at_utc": "2026-10-11T07:25:19.097996+00:00", "probabilities": {"away": 0.485804, "home": 0.514196}, "replay_scope": "Exact serving book state, calibration, temperature, inactivity reference and thin-history adjustments; training provenance not certified.", "schema": "esports-elo-replay-v1", "snapshot_hash": "12456a453c6b5fc9e98e1e810c65fcff9a22e6971ab0a9f9d03a32489d4ba668", "sport": "VALORANT"}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2026-10-11T16:05:15Z</dcterms:created>
  <dcterms:modified xmlns:dcterms="http://purl.org/dc/terms/" xmlns:xsi="http://www.w3.org/2001/XMLSchema-instance" xsi:type="dcterms:W3CDTF">2026-10-11T16:05:15Z</dcterms:modified>
</cp:coreProperties>
</file>