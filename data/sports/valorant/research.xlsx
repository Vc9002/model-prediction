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165" headerRowCount="1">
  <autoFilter ref="A1:DQ165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COUNTA('Picks'!$A$2:$A$165)</f>
        <v/>
      </c>
      <c r="C4" s="6">
        <f>COUNTIF('Picks'!$U$2:$U$165,"open")</f>
        <v/>
      </c>
      <c r="E4" s="6">
        <f>COUNTIF('Picks'!$U$2:$U$165,"settled")</f>
        <v/>
      </c>
      <c r="G4" s="6">
        <f>IF(COUNTIFS('Picks'!$U$2:$U$165,"settled",'Picks'!$V$2:$V$165,"win")+COUNTIFS('Picks'!$U$2:$U$165,"settled",'Picks'!$V$2:$V$165,"loss")&gt;=$L$2,"Ready","Insufficient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COUNTIF('Picks'!$BX$2:$BX$165,"&gt;0")</f>
        <v/>
      </c>
      <c r="C7" s="6">
        <f>COUNTIFS('Picks'!$BX$2:$BX$165,"&gt;0",'Picks'!$V$2:$V$165,"win")&amp;"-"&amp;COUNTIFS('Picks'!$BX$2:$BX$165,"&gt;0",'Picks'!$V$2:$V$165,"loss")</f>
        <v/>
      </c>
      <c r="E7" s="7">
        <f>IFERROR(COUNTIFS('Picks'!$BX$2:$BX$165,"&gt;0",'Picks'!$V$2:$V$165,"win")/(COUNTIFS('Picks'!$BX$2:$BX$165,"&gt;0",'Picks'!$V$2:$V$165,"win")+COUNTIFS('Picks'!$BX$2:$BX$165,"&gt;0",'Picks'!$V$2:$V$165,"loss")),0)</f>
        <v/>
      </c>
      <c r="G7" s="7">
        <f>IFERROR(SUM('Picks'!$BY$2:$BY$165)/SUM('Picks'!$BX$2:$BX$165),0)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SUM('Picks'!$BY$2:$BY$165)</f>
        <v/>
      </c>
      <c r="C10" s="9">
        <f>IFERROR(AVERAGEIF('Picks'!$AB$2:$AB$165,"&lt;&gt;",'Picks'!$AB$2:$AB$165),0)</f>
        <v/>
      </c>
      <c r="E10" s="6">
        <f>COUNTIFS('Picks'!$AM$2:$AM$165,"QUALIFIED_SHADOW_CALL",'Picks'!$U$2:$U$165,"settled")</f>
        <v/>
      </c>
      <c r="G10" s="8">
        <f>SUMIFS('Picks'!$AC$2:$AC$165,'Picks'!$AM$2:$AM$165,"QUALIFIED_SHADOW_CALL")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COUNTIFS('Picks'!$H$2:$H$165,$A14,'Picks'!$U$2:$U$165,"settled")</f>
        <v/>
      </c>
      <c r="C14" s="13">
        <f>COUNTIFS('Picks'!$H$2:$H$165,$A14,'Picks'!$U$2:$U$165,"settled",'Picks'!$V$2:$V$165,"win")</f>
        <v/>
      </c>
      <c r="D14" s="13">
        <f>COUNTIFS('Picks'!$H$2:$H$165,$A14,'Picks'!$U$2:$U$165,"settled",'Picks'!$V$2:$V$165,"loss")</f>
        <v/>
      </c>
      <c r="E14" s="14">
        <f>IFERROR(C14/(C14+D14),0)</f>
        <v/>
      </c>
      <c r="F14" s="15">
        <f>SUMIFS('Picks'!$BY$2:$BY$165,'Picks'!$H$2:$H$165,$A14)</f>
        <v/>
      </c>
      <c r="G14" s="16">
        <f>IFERROR(AVERAGEIFS('Picks'!$AB$2:$AB$165,'Picks'!$H$2:$H$165,$A14,'Picks'!$U$2:$U$165,"settled"),0)</f>
        <v/>
      </c>
    </row>
    <row r="15">
      <c r="A15" s="17" t="inlineStr">
        <is>
          <t>spread</t>
        </is>
      </c>
      <c r="B15" s="18">
        <f>COUNTIFS('Picks'!$H$2:$H$165,$A15,'Picks'!$U$2:$U$165,"settled")</f>
        <v/>
      </c>
      <c r="C15" s="18">
        <f>COUNTIFS('Picks'!$H$2:$H$165,$A15,'Picks'!$U$2:$U$165,"settled",'Picks'!$V$2:$V$165,"win")</f>
        <v/>
      </c>
      <c r="D15" s="18">
        <f>COUNTIFS('Picks'!$H$2:$H$165,$A15,'Picks'!$U$2:$U$165,"settled",'Picks'!$V$2:$V$165,"loss")</f>
        <v/>
      </c>
      <c r="E15" s="19">
        <f>IFERROR(C15/(C15+D15),0)</f>
        <v/>
      </c>
      <c r="F15" s="20">
        <f>SUMIFS('Picks'!$BY$2:$BY$165,'Picks'!$H$2:$H$165,$A15)</f>
        <v/>
      </c>
      <c r="G15" s="21">
        <f>IFERROR(AVERAGEIFS('Picks'!$AB$2:$AB$165,'Picks'!$H$2:$H$165,$A15,'Picks'!$U$2:$U$165,"settled"),0)</f>
        <v/>
      </c>
    </row>
    <row r="16">
      <c r="A16" s="12" t="inlineStr">
        <is>
          <t>total</t>
        </is>
      </c>
      <c r="B16" s="13">
        <f>COUNTIFS('Picks'!$H$2:$H$165,$A16,'Picks'!$U$2:$U$165,"settled")</f>
        <v/>
      </c>
      <c r="C16" s="13">
        <f>COUNTIFS('Picks'!$H$2:$H$165,$A16,'Picks'!$U$2:$U$165,"settled",'Picks'!$V$2:$V$165,"win")</f>
        <v/>
      </c>
      <c r="D16" s="13">
        <f>COUNTIFS('Picks'!$H$2:$H$165,$A16,'Picks'!$U$2:$U$165,"settled",'Picks'!$V$2:$V$165,"loss")</f>
        <v/>
      </c>
      <c r="E16" s="14">
        <f>IFERROR(C16/(C16+D16),0)</f>
        <v/>
      </c>
      <c r="F16" s="15">
        <f>SUMIFS('Picks'!$BY$2:$BY$165,'Picks'!$H$2:$H$165,$A16)</f>
        <v/>
      </c>
      <c r="G16" s="16">
        <f>IFERROR(AVERAGEIFS('Picks'!$AB$2:$AB$165,'Picks'!$H$2:$H$165,$A16,'Picks'!$U$2:$U$165,"settled"),0)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4d7c5dd938d94f4c</t>
        </is>
      </c>
      <c r="B2" s="24" t="inlineStr">
        <is>
          <t>2026-08-04T16:54:18.134287Z</t>
        </is>
      </c>
      <c r="C2" s="24" t="inlineStr">
        <is>
          <t>2026-08-04T18:00:00Z</t>
        </is>
      </c>
      <c r="D2" s="24" t="inlineStr">
        <is>
          <t>68698</t>
        </is>
      </c>
      <c r="E2" s="24" t="inlineStr">
        <is>
          <t>VALORANT</t>
        </is>
      </c>
      <c r="F2" s="24" t="inlineStr">
        <is>
          <t>Twisted Minds Orchid</t>
        </is>
      </c>
      <c r="G2" s="24" t="inlineStr">
        <is>
          <t>SK Nebula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-163</v>
      </c>
      <c r="M2" s="27" t="n">
        <v>1.613497</v>
      </c>
      <c r="N2" s="28" t="n">
        <v>0.619772</v>
      </c>
      <c r="O2" s="28" t="n">
        <v>0.64657</v>
      </c>
      <c r="P2" s="28" t="n"/>
      <c r="Q2" s="28" t="n">
        <v>0.026798</v>
      </c>
      <c r="R2" s="26" t="n">
        <v>33</v>
      </c>
      <c r="S2" s="29" t="n">
        <v>1.75</v>
      </c>
      <c r="T2" s="24" t="inlineStr">
        <is>
          <t>valorant-tiered-elo-v6</t>
        </is>
      </c>
      <c r="U2" s="24" t="inlineStr">
        <is>
          <t>settled</t>
        </is>
      </c>
      <c r="V2" s="24" t="inlineStr">
        <is>
          <t>loss</t>
        </is>
      </c>
      <c r="W2" s="26" t="n">
        <v>1</v>
      </c>
      <c r="X2" s="26" t="n">
        <v>0</v>
      </c>
      <c r="Y2" s="25" t="n"/>
      <c r="Z2" s="26" t="n">
        <v>-170</v>
      </c>
      <c r="AA2" s="28" t="n">
        <v>0.63</v>
      </c>
      <c r="AB2" s="28" t="n">
        <v>0.010228</v>
      </c>
      <c r="AC2" s="30" t="n">
        <v>-1.75</v>
      </c>
      <c r="AD2" s="24" t="inlineStr">
        <is>
          <t>2026-08-04T21:59:59.083380Z</t>
        </is>
      </c>
      <c r="AE2" s="31" t="inlineStr">
        <is>
          <t>Neutral Elo baseline; executable ask 0.6200 (market_slug=aec-valorant-skn-tmo-2026-08-04).</t>
        </is>
      </c>
      <c r="AF2" s="31" t="inlineStr">
        <is>
          <t>Config-promoted esports baseline; gates enforced at log time.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Twisted Minds Orchid</t>
        </is>
      </c>
      <c r="AQ2" s="24" t="inlineStr">
        <is>
          <t>Twisted Minds Orchid</t>
        </is>
      </c>
      <c r="AR2" s="24" t="inlineStr">
        <is>
          <t>Twisted Minds Orchid</t>
        </is>
      </c>
      <c r="AS2" s="24" t="inlineStr">
        <is>
          <t>SK Nebula</t>
        </is>
      </c>
      <c r="AT2" s="24" t="inlineStr">
        <is>
          <t>SK Nebula</t>
        </is>
      </c>
      <c r="AU2" s="24" t="inlineStr">
        <is>
          <t>SK Nebula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2a3a3c0d919df15db76d78df508a996bd8f684ec881c5b644b1e53da56868427</t>
        </is>
      </c>
      <c r="BB2" s="24" t="inlineStr">
        <is>
          <t>neutral_elo</t>
        </is>
      </c>
      <c r="BC2" s="24" t="inlineStr">
        <is>
          <t>valorant-tiered-elo-v6</t>
        </is>
      </c>
      <c r="BD2" s="24" t="inlineStr">
        <is>
          <t>2a3a3c0d919df15db76d78df508a996bd8f684ec881c5b644b1e53da56868427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valorant-tiered-elo-v6</t>
        </is>
      </c>
      <c r="BH2" s="24" t="inlineStr">
        <is>
          <t>2026-08-04T16:54:14.515679Z</t>
        </is>
      </c>
      <c r="BI2" s="24" t="inlineStr">
        <is>
          <t>["same_event","same_team_same_day","same_league_same_day"]</t>
        </is>
      </c>
      <c r="BJ2" s="25" t="n"/>
      <c r="BK2" s="26" t="n">
        <v>-163</v>
      </c>
      <c r="BL2" s="27" t="n">
        <v>1.613497</v>
      </c>
      <c r="BM2" s="28" t="n">
        <v>0.619772</v>
      </c>
      <c r="BN2" s="28" t="n"/>
      <c r="BO2" s="28" t="n"/>
      <c r="BP2" s="25" t="n"/>
      <c r="BQ2" s="27" t="n">
        <v>1.588235</v>
      </c>
      <c r="BR2" s="28" t="n">
        <v>0.63</v>
      </c>
      <c r="BS2" s="28" t="n"/>
      <c r="BT2" s="28" t="n"/>
      <c r="BU2" s="25" t="n"/>
      <c r="BV2" s="29" t="n"/>
      <c r="BW2" s="24" t="n"/>
      <c r="BX2" s="30" t="n">
        <v>1</v>
      </c>
      <c r="BY2" s="27" t="n">
        <v>-1</v>
      </c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0.619772</t>
        </is>
      </c>
      <c r="DK2" s="24" t="n"/>
      <c r="DL2" s="24" t="n"/>
      <c r="DM2" s="24" t="n"/>
      <c r="DN2" s="24" t="n"/>
      <c r="DO2" s="24" t="n"/>
      <c r="DP2" s="24" t="n"/>
      <c r="DQ2" s="24" t="n"/>
    </row>
    <row r="3" ht="36" customHeight="1">
      <c r="A3" s="24" t="inlineStr">
        <is>
          <t>d2e458490c0d44e1</t>
        </is>
      </c>
      <c r="B3" s="24" t="inlineStr">
        <is>
          <t>2026-08-05T04:38:20.842798Z</t>
        </is>
      </c>
      <c r="C3" s="24" t="inlineStr">
        <is>
          <t>2026-08-05T10:00:00Z</t>
        </is>
      </c>
      <c r="D3" s="24" t="inlineStr">
        <is>
          <t>69540</t>
        </is>
      </c>
      <c r="E3" s="24" t="inlineStr">
        <is>
          <t>VALORANT</t>
        </is>
      </c>
      <c r="F3" s="24" t="inlineStr">
        <is>
          <t>KeepBest Gaming</t>
        </is>
      </c>
      <c r="G3" s="24" t="inlineStr">
        <is>
          <t>TEC Esports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122</v>
      </c>
      <c r="M3" s="27" t="n">
        <v>2.22</v>
      </c>
      <c r="N3" s="28" t="n">
        <v>0.45045</v>
      </c>
      <c r="O3" s="28" t="n">
        <v>0.575198</v>
      </c>
      <c r="P3" s="28" t="n"/>
      <c r="Q3" s="28" t="n">
        <v>0.124748</v>
      </c>
      <c r="R3" s="26" t="n">
        <v>82</v>
      </c>
      <c r="S3" s="29" t="n">
        <v>1.25</v>
      </c>
      <c r="T3" s="24" t="inlineStr">
        <is>
          <t>valorant-tiered-elo-v6</t>
        </is>
      </c>
      <c r="U3" s="24" t="inlineStr">
        <is>
          <t>settled</t>
        </is>
      </c>
      <c r="V3" s="24" t="inlineStr">
        <is>
          <t>loss</t>
        </is>
      </c>
      <c r="W3" s="26" t="n">
        <v>0</v>
      </c>
      <c r="X3" s="26" t="n">
        <v>1</v>
      </c>
      <c r="Y3" s="25" t="n"/>
      <c r="Z3" s="26" t="n">
        <v>122</v>
      </c>
      <c r="AA3" s="28" t="n">
        <v>0.45</v>
      </c>
      <c r="AB3" s="28" t="n">
        <v>-0.00045</v>
      </c>
      <c r="AC3" s="30" t="n">
        <v>-1.25</v>
      </c>
      <c r="AD3" s="24" t="inlineStr">
        <is>
          <t>2026-08-05T13:51:50.006749Z</t>
        </is>
      </c>
      <c r="AE3" s="31" t="inlineStr">
        <is>
          <t>Neutral Elo baseline; executable ask 0.4500 (market_slug=aec-valorant-tec-kbg-2026-08-05).</t>
        </is>
      </c>
      <c r="AF3" s="31" t="inlineStr">
        <is>
          <t>Config-promoted esports baseline; gates enforced at log time.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KeepBest Gaming</t>
        </is>
      </c>
      <c r="AQ3" s="24" t="inlineStr">
        <is>
          <t>KeepBest Gaming</t>
        </is>
      </c>
      <c r="AR3" s="24" t="inlineStr">
        <is>
          <t>KeepBest Gaming</t>
        </is>
      </c>
      <c r="AS3" s="24" t="inlineStr">
        <is>
          <t>TEC Esports</t>
        </is>
      </c>
      <c r="AT3" s="24" t="inlineStr">
        <is>
          <t>TEC Esports</t>
        </is>
      </c>
      <c r="AU3" s="24" t="inlineStr">
        <is>
          <t>TEC Esports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186664e065cb2f3876c035d1fafb20f41e71ec1c33421a9590b0fc42032b5796</t>
        </is>
      </c>
      <c r="BB3" s="24" t="inlineStr">
        <is>
          <t>neutral_elo</t>
        </is>
      </c>
      <c r="BC3" s="24" t="inlineStr">
        <is>
          <t>valorant-tiered-elo-v6</t>
        </is>
      </c>
      <c r="BD3" s="24" t="inlineStr">
        <is>
          <t>186664e065cb2f3876c035d1fafb20f41e71ec1c33421a9590b0fc42032b5796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valorant-tiered-elo-v6</t>
        </is>
      </c>
      <c r="BH3" s="24" t="inlineStr">
        <is>
          <t>2026-08-05T04:38:10.028876Z</t>
        </is>
      </c>
      <c r="BI3" s="24" t="inlineStr">
        <is>
          <t>["same_event","same_team_same_day","same_league_same_day"]</t>
        </is>
      </c>
      <c r="BJ3" s="25" t="n"/>
      <c r="BK3" s="26" t="n">
        <v>122</v>
      </c>
      <c r="BL3" s="27" t="n">
        <v>2.22</v>
      </c>
      <c r="BM3" s="28" t="n">
        <v>0.45045</v>
      </c>
      <c r="BN3" s="28" t="n"/>
      <c r="BO3" s="28" t="n"/>
      <c r="BP3" s="25" t="n"/>
      <c r="BQ3" s="27" t="n">
        <v>2.22</v>
      </c>
      <c r="BR3" s="28" t="n">
        <v>0.45</v>
      </c>
      <c r="BS3" s="28" t="n"/>
      <c r="BT3" s="28" t="n"/>
      <c r="BU3" s="25" t="n"/>
      <c r="BV3" s="29" t="n"/>
      <c r="BW3" s="24" t="n"/>
      <c r="BX3" s="30" t="n">
        <v>1</v>
      </c>
      <c r="BY3" s="27" t="n">
        <v>-1</v>
      </c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0.45045</t>
        </is>
      </c>
      <c r="DK3" s="24" t="n"/>
      <c r="DL3" s="24" t="n"/>
      <c r="DM3" s="24" t="n"/>
      <c r="DN3" s="24" t="n"/>
      <c r="DO3" s="24" t="n"/>
      <c r="DP3" s="24" t="n"/>
      <c r="DQ3" s="24" t="n"/>
    </row>
    <row r="4" ht="36" customHeight="1">
      <c r="A4" s="24" t="inlineStr">
        <is>
          <t>cdf578cf7d98458f</t>
        </is>
      </c>
      <c r="B4" s="24" t="inlineStr">
        <is>
          <t>2026-08-05T17:04:46.344950Z</t>
        </is>
      </c>
      <c r="C4" s="24" t="inlineStr">
        <is>
          <t>2026-08-05T18:00:00Z</t>
        </is>
      </c>
      <c r="D4" s="24" t="inlineStr">
        <is>
          <t>69955</t>
        </is>
      </c>
      <c r="E4" s="24" t="inlineStr">
        <is>
          <t>VALORANT</t>
        </is>
      </c>
      <c r="F4" s="24" t="inlineStr">
        <is>
          <t>Twisted Minds Orchid</t>
        </is>
      </c>
      <c r="G4" s="24" t="inlineStr">
        <is>
          <t>Gentle Mates GC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-194</v>
      </c>
      <c r="M4" s="27" t="n">
        <v>1.515464</v>
      </c>
      <c r="N4" s="28" t="n">
        <v>0.659864</v>
      </c>
      <c r="O4" s="28" t="n">
        <v>0.6890849999999999</v>
      </c>
      <c r="P4" s="28" t="n"/>
      <c r="Q4" s="28" t="n">
        <v>0.029221</v>
      </c>
      <c r="R4" s="26" t="n">
        <v>35</v>
      </c>
      <c r="S4" s="29" t="n">
        <v>2</v>
      </c>
      <c r="T4" s="24" t="inlineStr">
        <is>
          <t>valorant-tiered-elo-v6</t>
        </is>
      </c>
      <c r="U4" s="24" t="inlineStr">
        <is>
          <t>settled</t>
        </is>
      </c>
      <c r="V4" s="24" t="inlineStr">
        <is>
          <t>loss</t>
        </is>
      </c>
      <c r="W4" s="26" t="n">
        <v>1</v>
      </c>
      <c r="X4" s="26" t="n">
        <v>0</v>
      </c>
      <c r="Y4" s="25" t="n"/>
      <c r="Z4" s="26" t="n">
        <v>-186</v>
      </c>
      <c r="AA4" s="28" t="n">
        <v>0.65</v>
      </c>
      <c r="AB4" s="28" t="n">
        <v>-0.009864</v>
      </c>
      <c r="AC4" s="30" t="n">
        <v>-2</v>
      </c>
      <c r="AD4" s="24" t="inlineStr">
        <is>
          <t>2026-08-05T21:00:20.306504Z</t>
        </is>
      </c>
      <c r="AE4" s="31" t="inlineStr">
        <is>
          <t>Neutral Elo baseline; executable ask 0.6600 (market_slug=aec-valorant-m8gc-tmo-2026-08-05).</t>
        </is>
      </c>
      <c r="AF4" s="31" t="inlineStr">
        <is>
          <t>Config-promoted esports baseline; gates enforced at log time.</t>
        </is>
      </c>
      <c r="AG4" s="24" t="inlineStr">
        <is>
          <t>review_required</t>
        </is>
      </c>
      <c r="AH4" s="24" t="n"/>
      <c r="AI4" s="31" t="n"/>
      <c r="AJ4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4" s="24" t="inlineStr">
        <is>
          <t>paper_call</t>
        </is>
      </c>
      <c r="AL4" s="26" t="n">
        <v>3</v>
      </c>
      <c r="AM4" s="24" t="inlineStr">
        <is>
          <t>RESEARCH_OBSERVATION</t>
        </is>
      </c>
      <c r="AN4" s="24" t="inlineStr">
        <is>
          <t>CALL</t>
        </is>
      </c>
      <c r="AO4" s="24" t="inlineStr">
        <is>
          <t>PAPER_CALL_WINNER_OVERVALUED</t>
        </is>
      </c>
      <c r="AP4" s="24" t="inlineStr">
        <is>
          <t>Twisted Minds Orchid</t>
        </is>
      </c>
      <c r="AQ4" s="24" t="inlineStr">
        <is>
          <t>Twisted Minds Orchid</t>
        </is>
      </c>
      <c r="AR4" s="24" t="inlineStr">
        <is>
          <t>Twisted Minds Orchid</t>
        </is>
      </c>
      <c r="AS4" s="24" t="inlineStr">
        <is>
          <t>Gentle Mates GC</t>
        </is>
      </c>
      <c r="AT4" s="24" t="inlineStr">
        <is>
          <t>Gentle Mates GC</t>
        </is>
      </c>
      <c r="AU4" s="24" t="inlineStr">
        <is>
          <t>Gentle Mates GC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99605999cbefc3e4318aa2d50dc2b92c9ca2bafd08c79807b93ccfd4969eebcd</t>
        </is>
      </c>
      <c r="BB4" s="24" t="inlineStr">
        <is>
          <t>neutral_elo</t>
        </is>
      </c>
      <c r="BC4" s="24" t="inlineStr">
        <is>
          <t>valorant-tiered-elo-v6</t>
        </is>
      </c>
      <c r="BD4" s="24" t="inlineStr">
        <is>
          <t>99605999cbefc3e4318aa2d50dc2b92c9ca2bafd08c79807b93ccfd4969eebcd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valorant-tiered-elo-v6</t>
        </is>
      </c>
      <c r="BH4" s="24" t="inlineStr">
        <is>
          <t>2026-08-05T17:04:41.254236Z</t>
        </is>
      </c>
      <c r="BI4" s="24" t="inlineStr">
        <is>
          <t>["same_event","same_team_same_day","same_league_same_day"]</t>
        </is>
      </c>
      <c r="BJ4" s="25" t="n"/>
      <c r="BK4" s="26" t="n">
        <v>-194</v>
      </c>
      <c r="BL4" s="27" t="n">
        <v>1.515464</v>
      </c>
      <c r="BM4" s="28" t="n">
        <v>0.659864</v>
      </c>
      <c r="BN4" s="28" t="n"/>
      <c r="BO4" s="28" t="n"/>
      <c r="BP4" s="25" t="n"/>
      <c r="BQ4" s="27" t="n">
        <v>1.537634</v>
      </c>
      <c r="BR4" s="28" t="n">
        <v>0.65</v>
      </c>
      <c r="BS4" s="28" t="n"/>
      <c r="BT4" s="28" t="n"/>
      <c r="BU4" s="25" t="n"/>
      <c r="BV4" s="29" t="n"/>
      <c r="BW4" s="24" t="n"/>
      <c r="BX4" s="30" t="n">
        <v>1</v>
      </c>
      <c r="BY4" s="27" t="n">
        <v>-1</v>
      </c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0.659864</t>
        </is>
      </c>
      <c r="DK4" s="24" t="n"/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cb803518ea764ed5</t>
        </is>
      </c>
      <c r="B5" s="24" t="inlineStr">
        <is>
          <t>2026-08-06T00:24:39.463638Z</t>
        </is>
      </c>
      <c r="C5" s="24" t="inlineStr">
        <is>
          <t>2026-08-06T08:00:00Z</t>
        </is>
      </c>
      <c r="D5" s="24" t="inlineStr">
        <is>
          <t>70564</t>
        </is>
      </c>
      <c r="E5" s="24" t="inlineStr">
        <is>
          <t>VALORANT</t>
        </is>
      </c>
      <c r="F5" s="24" t="inlineStr">
        <is>
          <t>JD Gaming</t>
        </is>
      </c>
      <c r="G5" s="24" t="inlineStr">
        <is>
          <t>FunPlus Phoenix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-170</v>
      </c>
      <c r="M5" s="27" t="n">
        <v>1.588235</v>
      </c>
      <c r="N5" s="28" t="n">
        <v>0.62963</v>
      </c>
      <c r="O5" s="28" t="n">
        <v>0.6551090000000001</v>
      </c>
      <c r="P5" s="28" t="n"/>
      <c r="Q5" s="28" t="n">
        <v>0.025479</v>
      </c>
      <c r="R5" s="26" t="n">
        <v>33</v>
      </c>
      <c r="S5" s="29" t="n">
        <v>1.75</v>
      </c>
      <c r="T5" s="24" t="inlineStr">
        <is>
          <t>valorant-tiered-elo-v6</t>
        </is>
      </c>
      <c r="U5" s="24" t="inlineStr">
        <is>
          <t>settled</t>
        </is>
      </c>
      <c r="V5" s="24" t="inlineStr">
        <is>
          <t>loss</t>
        </is>
      </c>
      <c r="W5" s="26" t="n">
        <v>1</v>
      </c>
      <c r="X5" s="26" t="n">
        <v>0</v>
      </c>
      <c r="Y5" s="25" t="n"/>
      <c r="Z5" s="26" t="n"/>
      <c r="AA5" s="28" t="n"/>
      <c r="AB5" s="28" t="n"/>
      <c r="AC5" s="30" t="n">
        <v>-1.75</v>
      </c>
      <c r="AD5" s="24" t="inlineStr">
        <is>
          <t>2026-08-06T18:56:45.581929Z</t>
        </is>
      </c>
      <c r="AE5" s="31" t="inlineStr">
        <is>
          <t>Neutral Elo baseline; executable ask 0.6300 (market_slug=aec-valorant-fpx-jdg-2026-08-06).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5" s="24" t="inlineStr">
        <is>
          <t>paper_call</t>
        </is>
      </c>
      <c r="AL5" s="26" t="n">
        <v>3</v>
      </c>
      <c r="AM5" s="24" t="inlineStr">
        <is>
          <t>RESEARCH_OBSERVATION</t>
        </is>
      </c>
      <c r="AN5" s="24" t="inlineStr">
        <is>
          <t>CALL</t>
        </is>
      </c>
      <c r="AO5" s="24" t="inlineStr">
        <is>
          <t>PAPER_CALL_WINNER_OVERVALUED</t>
        </is>
      </c>
      <c r="AP5" s="24" t="inlineStr">
        <is>
          <t>JD Gaming</t>
        </is>
      </c>
      <c r="AQ5" s="24" t="inlineStr">
        <is>
          <t>JD Gaming</t>
        </is>
      </c>
      <c r="AR5" s="24" t="inlineStr">
        <is>
          <t>JD Gaming</t>
        </is>
      </c>
      <c r="AS5" s="24" t="inlineStr">
        <is>
          <t>FunPlus Phoenix</t>
        </is>
      </c>
      <c r="AT5" s="24" t="inlineStr">
        <is>
          <t>FunPlus Phoenix</t>
        </is>
      </c>
      <c r="AU5" s="24" t="inlineStr">
        <is>
          <t>FunPlus Phoenix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4df5f295a2b28e76007c7dffc3ff6e8d7c876b7734ec9c379c78b6dce8cd27b3</t>
        </is>
      </c>
      <c r="BB5" s="24" t="inlineStr">
        <is>
          <t>neutral_elo</t>
        </is>
      </c>
      <c r="BC5" s="24" t="inlineStr">
        <is>
          <t>valorant-tiered-elo-v6</t>
        </is>
      </c>
      <c r="BD5" s="24" t="inlineStr">
        <is>
          <t>4df5f295a2b28e76007c7dffc3ff6e8d7c876b7734ec9c379c78b6dce8cd27b3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valorant-tiered-elo-v6</t>
        </is>
      </c>
      <c r="BH5" s="24" t="inlineStr">
        <is>
          <t>2026-08-06T00:24:35.545519Z</t>
        </is>
      </c>
      <c r="BI5" s="24" t="inlineStr">
        <is>
          <t>["same_event","same_team_same_day","same_league_same_day"]</t>
        </is>
      </c>
      <c r="BJ5" s="25" t="n"/>
      <c r="BK5" s="26" t="n">
        <v>-170</v>
      </c>
      <c r="BL5" s="27" t="n">
        <v>1.588235</v>
      </c>
      <c r="BM5" s="28" t="n">
        <v>0.62963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>
        <v>1</v>
      </c>
      <c r="BY5" s="27" t="n">
        <v>-1</v>
      </c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0.62963</t>
        </is>
      </c>
      <c r="DK5" s="24" t="n"/>
      <c r="DL5" s="24" t="n"/>
      <c r="DM5" s="24" t="n"/>
      <c r="DN5" s="24" t="n"/>
      <c r="DO5" s="24" t="n"/>
      <c r="DP5" s="24" t="n"/>
      <c r="DQ5" s="24" t="n"/>
    </row>
    <row r="6" ht="36" customHeight="1">
      <c r="A6" s="24" t="inlineStr">
        <is>
          <t>59e51fb17d924b64</t>
        </is>
      </c>
      <c r="B6" s="24" t="inlineStr">
        <is>
          <t>2026-08-06T00:24:39.463638Z</t>
        </is>
      </c>
      <c r="C6" s="24" t="inlineStr">
        <is>
          <t>2026-08-06T10:00:00Z</t>
        </is>
      </c>
      <c r="D6" s="24" t="inlineStr">
        <is>
          <t>70595</t>
        </is>
      </c>
      <c r="E6" s="24" t="inlineStr">
        <is>
          <t>VALORANT</t>
        </is>
      </c>
      <c r="F6" s="24" t="inlineStr">
        <is>
          <t>Dragon Ranger Gaming</t>
        </is>
      </c>
      <c r="G6" s="24" t="inlineStr">
        <is>
          <t>Wolves Esports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-170</v>
      </c>
      <c r="M6" s="27" t="n">
        <v>1.588235</v>
      </c>
      <c r="N6" s="28" t="n">
        <v>0.62963</v>
      </c>
      <c r="O6" s="28" t="n">
        <v>0.619297</v>
      </c>
      <c r="P6" s="28" t="n"/>
      <c r="Q6" s="28" t="n">
        <v>-0.010333</v>
      </c>
      <c r="R6" s="26" t="n">
        <v>15</v>
      </c>
      <c r="S6" s="29" t="n">
        <v>1.5</v>
      </c>
      <c r="T6" s="24" t="inlineStr">
        <is>
          <t>valorant-tiered-elo-v6</t>
        </is>
      </c>
      <c r="U6" s="24" t="inlineStr">
        <is>
          <t>settled</t>
        </is>
      </c>
      <c r="V6" s="24" t="inlineStr">
        <is>
          <t>win</t>
        </is>
      </c>
      <c r="W6" s="26" t="n">
        <v>1</v>
      </c>
      <c r="X6" s="26" t="n">
        <v>0</v>
      </c>
      <c r="Y6" s="25" t="n"/>
      <c r="Z6" s="26" t="n"/>
      <c r="AA6" s="28" t="n"/>
      <c r="AB6" s="28" t="n"/>
      <c r="AC6" s="30" t="n">
        <v>0.8824</v>
      </c>
      <c r="AD6" s="24" t="inlineStr">
        <is>
          <t>2026-08-06T18:56:47.269533Z</t>
        </is>
      </c>
      <c r="AE6" s="31" t="inlineStr">
        <is>
          <t>Neutral Elo baseline; executable ask 0.6300 (market_slug=aec-valorant-wol-drg-2026-08-06).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6" s="24" t="inlineStr">
        <is>
          <t>paper_call</t>
        </is>
      </c>
      <c r="AL6" s="26" t="n">
        <v>3</v>
      </c>
      <c r="AM6" s="24" t="inlineStr">
        <is>
          <t>RESEARCH_OBSERVATION</t>
        </is>
      </c>
      <c r="AN6" s="24" t="inlineStr">
        <is>
          <t>CALL</t>
        </is>
      </c>
      <c r="AO6" s="24" t="inlineStr">
        <is>
          <t>PAPER_CALL_WINNER_OVERVALUED</t>
        </is>
      </c>
      <c r="AP6" s="24" t="inlineStr">
        <is>
          <t>Dragon Ranger Gaming</t>
        </is>
      </c>
      <c r="AQ6" s="24" t="inlineStr">
        <is>
          <t>Dragon Ranger Gaming</t>
        </is>
      </c>
      <c r="AR6" s="24" t="inlineStr">
        <is>
          <t>Dragon Ranger Gaming</t>
        </is>
      </c>
      <c r="AS6" s="24" t="inlineStr">
        <is>
          <t>Wolves Esports</t>
        </is>
      </c>
      <c r="AT6" s="24" t="inlineStr">
        <is>
          <t>Wolves Esports</t>
        </is>
      </c>
      <c r="AU6" s="24" t="inlineStr">
        <is>
          <t>Wolves Esports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4df5f295a2b28e76007c7dffc3ff6e8d7c876b7734ec9c379c78b6dce8cd27b3</t>
        </is>
      </c>
      <c r="BB6" s="24" t="inlineStr">
        <is>
          <t>neutral_elo</t>
        </is>
      </c>
      <c r="BC6" s="24" t="inlineStr">
        <is>
          <t>valorant-tiered-elo-v6</t>
        </is>
      </c>
      <c r="BD6" s="24" t="inlineStr">
        <is>
          <t>4df5f295a2b28e76007c7dffc3ff6e8d7c876b7734ec9c379c78b6dce8cd27b3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valorant-tiered-elo-v6</t>
        </is>
      </c>
      <c r="BH6" s="24" t="inlineStr">
        <is>
          <t>2026-08-06T00:24:36.130397Z</t>
        </is>
      </c>
      <c r="BI6" s="24" t="inlineStr">
        <is>
          <t>["same_event","same_team_same_day","same_league_same_day"]</t>
        </is>
      </c>
      <c r="BJ6" s="25" t="n"/>
      <c r="BK6" s="26" t="n">
        <v>-170</v>
      </c>
      <c r="BL6" s="27" t="n">
        <v>1.588235</v>
      </c>
      <c r="BM6" s="28" t="n">
        <v>0.62963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>
        <v>1</v>
      </c>
      <c r="BY6" s="27" t="n">
        <v>0.91</v>
      </c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False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0.62963</t>
        </is>
      </c>
      <c r="DK6" s="24" t="n"/>
      <c r="DL6" s="24" t="n"/>
      <c r="DM6" s="24" t="n"/>
      <c r="DN6" s="24" t="n"/>
      <c r="DO6" s="24" t="n"/>
      <c r="DP6" s="24" t="n"/>
      <c r="DQ6" s="24" t="n"/>
    </row>
    <row r="7" ht="36" customHeight="1">
      <c r="A7" s="24" t="inlineStr">
        <is>
          <t>c79618f0ece446a0</t>
        </is>
      </c>
      <c r="B7" s="24" t="inlineStr">
        <is>
          <t>2026-08-06T00:24:39.463638Z</t>
        </is>
      </c>
      <c r="C7" s="24" t="inlineStr">
        <is>
          <t>2026-08-06T15:00:00Z</t>
        </is>
      </c>
      <c r="D7" s="24" t="inlineStr">
        <is>
          <t>70725</t>
        </is>
      </c>
      <c r="E7" s="24" t="inlineStr">
        <is>
          <t>VALORANT</t>
        </is>
      </c>
      <c r="F7" s="24" t="inlineStr">
        <is>
          <t>Karmine Corp GC</t>
        </is>
      </c>
      <c r="G7" s="24" t="inlineStr">
        <is>
          <t>GIANTX GC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-108</v>
      </c>
      <c r="M7" s="27" t="n">
        <v>1.925926</v>
      </c>
      <c r="N7" s="28" t="n">
        <v>0.519231</v>
      </c>
      <c r="O7" s="28" t="n">
        <v>0.55231</v>
      </c>
      <c r="P7" s="28" t="n"/>
      <c r="Q7" s="28" t="n">
        <v>0.033079</v>
      </c>
      <c r="R7" s="26" t="n">
        <v>37</v>
      </c>
      <c r="S7" s="29" t="n">
        <v>1</v>
      </c>
      <c r="T7" s="24" t="inlineStr">
        <is>
          <t>valorant-tiered-elo-v6</t>
        </is>
      </c>
      <c r="U7" s="24" t="inlineStr">
        <is>
          <t>settled</t>
        </is>
      </c>
      <c r="V7" s="24" t="inlineStr">
        <is>
          <t>loss</t>
        </is>
      </c>
      <c r="W7" s="26" t="n">
        <v>1</v>
      </c>
      <c r="X7" s="26" t="n">
        <v>0</v>
      </c>
      <c r="Y7" s="25" t="n"/>
      <c r="Z7" s="26" t="n"/>
      <c r="AA7" s="28" t="n"/>
      <c r="AB7" s="28" t="n"/>
      <c r="AC7" s="30" t="n">
        <v>-1</v>
      </c>
      <c r="AD7" s="24" t="inlineStr">
        <is>
          <t>2026-08-06T18:56:48.944178Z</t>
        </is>
      </c>
      <c r="AE7" s="31" t="inlineStr">
        <is>
          <t>Neutral Elo baseline; executable ask 0.5200 (market_slug=aec-valorant-gxgc-kcg-2026-08-06).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7" s="24" t="inlineStr">
        <is>
          <t>paper_call</t>
        </is>
      </c>
      <c r="AL7" s="26" t="n">
        <v>3</v>
      </c>
      <c r="AM7" s="24" t="inlineStr">
        <is>
          <t>RESEARCH_OBSERVATION</t>
        </is>
      </c>
      <c r="AN7" s="24" t="inlineStr">
        <is>
          <t>CALL</t>
        </is>
      </c>
      <c r="AO7" s="24" t="inlineStr">
        <is>
          <t>PAPER_CALL_WINNER_OVERVALUED</t>
        </is>
      </c>
      <c r="AP7" s="24" t="inlineStr">
        <is>
          <t>Karmine Corp GC</t>
        </is>
      </c>
      <c r="AQ7" s="24" t="inlineStr">
        <is>
          <t>Karmine Corp GC</t>
        </is>
      </c>
      <c r="AR7" s="24" t="inlineStr">
        <is>
          <t>Karmine Corp GC</t>
        </is>
      </c>
      <c r="AS7" s="24" t="inlineStr">
        <is>
          <t>GIANTX GC</t>
        </is>
      </c>
      <c r="AT7" s="24" t="inlineStr">
        <is>
          <t>GIANTX GC</t>
        </is>
      </c>
      <c r="AU7" s="24" t="inlineStr">
        <is>
          <t>GIANTX GC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4df5f295a2b28e76007c7dffc3ff6e8d7c876b7734ec9c379c78b6dce8cd27b3</t>
        </is>
      </c>
      <c r="BB7" s="24" t="inlineStr">
        <is>
          <t>neutral_elo</t>
        </is>
      </c>
      <c r="BC7" s="24" t="inlineStr">
        <is>
          <t>valorant-tiered-elo-v6</t>
        </is>
      </c>
      <c r="BD7" s="24" t="inlineStr">
        <is>
          <t>4df5f295a2b28e76007c7dffc3ff6e8d7c876b7734ec9c379c78b6dce8cd27b3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valorant-tiered-elo-v6</t>
        </is>
      </c>
      <c r="BH7" s="24" t="inlineStr">
        <is>
          <t>2026-08-06T00:24:36.602756Z</t>
        </is>
      </c>
      <c r="BI7" s="24" t="inlineStr">
        <is>
          <t>["same_event","same_team_same_day","same_league_same_day"]</t>
        </is>
      </c>
      <c r="BJ7" s="25" t="n"/>
      <c r="BK7" s="26" t="n">
        <v>-108</v>
      </c>
      <c r="BL7" s="27" t="n">
        <v>1.925926</v>
      </c>
      <c r="BM7" s="28" t="n">
        <v>0.519231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>
        <v>1</v>
      </c>
      <c r="BY7" s="27" t="n">
        <v>-1</v>
      </c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0.519231</t>
        </is>
      </c>
      <c r="DK7" s="24" t="n"/>
      <c r="DL7" s="24" t="n"/>
      <c r="DM7" s="24" t="n"/>
      <c r="DN7" s="24" t="n"/>
      <c r="DO7" s="24" t="n"/>
      <c r="DP7" s="24" t="n"/>
      <c r="DQ7" s="24" t="n"/>
    </row>
    <row r="8" ht="36" customHeight="1">
      <c r="A8" s="24" t="inlineStr">
        <is>
          <t>19496ab933704b9f</t>
        </is>
      </c>
      <c r="B8" s="24" t="inlineStr">
        <is>
          <t>2026-08-06T00:24:39.463638Z</t>
        </is>
      </c>
      <c r="C8" s="24" t="inlineStr">
        <is>
          <t>2026-08-06T15:00:00Z</t>
        </is>
      </c>
      <c r="D8" s="24" t="inlineStr">
        <is>
          <t>70727</t>
        </is>
      </c>
      <c r="E8" s="24" t="inlineStr">
        <is>
          <t>VALORANT</t>
        </is>
      </c>
      <c r="F8" s="24" t="inlineStr">
        <is>
          <t>Habos Babos</t>
        </is>
      </c>
      <c r="G8" s="24" t="inlineStr">
        <is>
          <t>FOKUS Sakura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-170</v>
      </c>
      <c r="M8" s="27" t="n">
        <v>1.588235</v>
      </c>
      <c r="N8" s="28" t="n">
        <v>0.62963</v>
      </c>
      <c r="O8" s="28" t="n">
        <v>0.537492</v>
      </c>
      <c r="P8" s="28" t="n"/>
      <c r="Q8" s="28" t="n">
        <v>-0.092138</v>
      </c>
      <c r="R8" s="26" t="n">
        <v>0</v>
      </c>
      <c r="S8" s="29" t="n">
        <v>1</v>
      </c>
      <c r="T8" s="24" t="inlineStr">
        <is>
          <t>valorant-tiered-elo-v6</t>
        </is>
      </c>
      <c r="U8" s="24" t="inlineStr">
        <is>
          <t>settled</t>
        </is>
      </c>
      <c r="V8" s="24" t="inlineStr">
        <is>
          <t>loss</t>
        </is>
      </c>
      <c r="W8" s="26" t="n">
        <v>1</v>
      </c>
      <c r="X8" s="26" t="n">
        <v>0</v>
      </c>
      <c r="Y8" s="25" t="n"/>
      <c r="Z8" s="26" t="n"/>
      <c r="AA8" s="28" t="n"/>
      <c r="AB8" s="28" t="n"/>
      <c r="AC8" s="30" t="n">
        <v>-1</v>
      </c>
      <c r="AD8" s="24" t="inlineStr">
        <is>
          <t>2026-08-06T18:56:50.514524Z</t>
        </is>
      </c>
      <c r="AE8" s="31" t="inlineStr">
        <is>
          <t>Neutral Elo baseline; executable ask 0.6300 (market_slug=aec-valorant-fso-hbs-2026-08-06).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8" s="24" t="inlineStr">
        <is>
          <t>paper_call</t>
        </is>
      </c>
      <c r="AL8" s="26" t="n">
        <v>3</v>
      </c>
      <c r="AM8" s="24" t="inlineStr">
        <is>
          <t>RESEARCH_OBSERVATION</t>
        </is>
      </c>
      <c r="AN8" s="24" t="inlineStr">
        <is>
          <t>CALL</t>
        </is>
      </c>
      <c r="AO8" s="24" t="inlineStr">
        <is>
          <t>PAPER_CALL_WINNER_OVERVALUED</t>
        </is>
      </c>
      <c r="AP8" s="24" t="inlineStr">
        <is>
          <t>Habos Babos</t>
        </is>
      </c>
      <c r="AQ8" s="24" t="inlineStr">
        <is>
          <t>Habos Babos</t>
        </is>
      </c>
      <c r="AR8" s="24" t="inlineStr">
        <is>
          <t>Habos Babos</t>
        </is>
      </c>
      <c r="AS8" s="24" t="inlineStr">
        <is>
          <t>FOKUS Sakura</t>
        </is>
      </c>
      <c r="AT8" s="24" t="inlineStr">
        <is>
          <t>FOKUS Sakura</t>
        </is>
      </c>
      <c r="AU8" s="24" t="inlineStr">
        <is>
          <t>FOKUS Sakura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4df5f295a2b28e76007c7dffc3ff6e8d7c876b7734ec9c379c78b6dce8cd27b3</t>
        </is>
      </c>
      <c r="BB8" s="24" t="inlineStr">
        <is>
          <t>neutral_elo</t>
        </is>
      </c>
      <c r="BC8" s="24" t="inlineStr">
        <is>
          <t>valorant-tiered-elo-v6</t>
        </is>
      </c>
      <c r="BD8" s="24" t="inlineStr">
        <is>
          <t>4df5f295a2b28e76007c7dffc3ff6e8d7c876b7734ec9c379c78b6dce8cd27b3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valorant-tiered-elo-v6</t>
        </is>
      </c>
      <c r="BH8" s="24" t="inlineStr">
        <is>
          <t>2026-08-06T00:24:37.090341Z</t>
        </is>
      </c>
      <c r="BI8" s="24" t="inlineStr">
        <is>
          <t>["same_event","same_team_same_day","same_league_same_day"]</t>
        </is>
      </c>
      <c r="BJ8" s="25" t="n"/>
      <c r="BK8" s="26" t="n">
        <v>-170</v>
      </c>
      <c r="BL8" s="27" t="n">
        <v>1.588235</v>
      </c>
      <c r="BM8" s="28" t="n">
        <v>0.62963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>
        <v>1</v>
      </c>
      <c r="BY8" s="27" t="n">
        <v>-1</v>
      </c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False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0.62963</t>
        </is>
      </c>
      <c r="DK8" s="24" t="n"/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95d8804e9f6742de</t>
        </is>
      </c>
      <c r="B9" s="24" t="inlineStr">
        <is>
          <t>2026-08-06T00:24:39.463638Z</t>
        </is>
      </c>
      <c r="C9" s="24" t="inlineStr">
        <is>
          <t>2026-08-06T15:00:00Z</t>
        </is>
      </c>
      <c r="D9" s="24" t="inlineStr">
        <is>
          <t>70724</t>
        </is>
      </c>
      <c r="E9" s="24" t="inlineStr">
        <is>
          <t>VALORANT</t>
        </is>
      </c>
      <c r="F9" s="24" t="inlineStr">
        <is>
          <t>Eintracht Frankfurt</t>
        </is>
      </c>
      <c r="G9" s="24" t="inlineStr">
        <is>
          <t>GIANTX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138</v>
      </c>
      <c r="M9" s="27" t="n">
        <v>2.38</v>
      </c>
      <c r="N9" s="28" t="n">
        <v>0.420168</v>
      </c>
      <c r="O9" s="28" t="n">
        <v>0.695761</v>
      </c>
      <c r="P9" s="28" t="n"/>
      <c r="Q9" s="28" t="n">
        <v>0.275593</v>
      </c>
      <c r="R9" s="26" t="n">
        <v>100</v>
      </c>
      <c r="S9" s="29" t="n">
        <v>2</v>
      </c>
      <c r="T9" s="24" t="inlineStr">
        <is>
          <t>valorant-tiered-elo-v6</t>
        </is>
      </c>
      <c r="U9" s="24" t="inlineStr">
        <is>
          <t>settled</t>
        </is>
      </c>
      <c r="V9" s="24" t="inlineStr">
        <is>
          <t>loss</t>
        </is>
      </c>
      <c r="W9" s="26" t="n">
        <v>0</v>
      </c>
      <c r="X9" s="26" t="n">
        <v>1</v>
      </c>
      <c r="Y9" s="25" t="n"/>
      <c r="Z9" s="26" t="n"/>
      <c r="AA9" s="28" t="n"/>
      <c r="AB9" s="28" t="n"/>
      <c r="AC9" s="30" t="n">
        <v>-2</v>
      </c>
      <c r="AD9" s="24" t="inlineStr">
        <is>
          <t>2026-08-06T18:56:52.207320Z</t>
        </is>
      </c>
      <c r="AE9" s="31" t="inlineStr">
        <is>
          <t>Neutral Elo baseline; executable ask 0.4200 (market_slug=aec-valorant-gx-sge-2026-08-06).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Eintracht Frankfurt</t>
        </is>
      </c>
      <c r="AQ9" s="24" t="inlineStr">
        <is>
          <t>Eintracht Frankfurt</t>
        </is>
      </c>
      <c r="AR9" s="24" t="inlineStr">
        <is>
          <t>Eintracht Frankfurt</t>
        </is>
      </c>
      <c r="AS9" s="24" t="inlineStr">
        <is>
          <t>GIANTX</t>
        </is>
      </c>
      <c r="AT9" s="24" t="inlineStr">
        <is>
          <t>GIANTX</t>
        </is>
      </c>
      <c r="AU9" s="24" t="inlineStr">
        <is>
          <t>GIANTX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4df5f295a2b28e76007c7dffc3ff6e8d7c876b7734ec9c379c78b6dce8cd27b3</t>
        </is>
      </c>
      <c r="BB9" s="24" t="inlineStr">
        <is>
          <t>neutral_elo</t>
        </is>
      </c>
      <c r="BC9" s="24" t="inlineStr">
        <is>
          <t>valorant-tiered-elo-v6</t>
        </is>
      </c>
      <c r="BD9" s="24" t="inlineStr">
        <is>
          <t>4df5f295a2b28e76007c7dffc3ff6e8d7c876b7734ec9c379c78b6dce8cd27b3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valorant-tiered-elo-v6</t>
        </is>
      </c>
      <c r="BH9" s="24" t="inlineStr">
        <is>
          <t>2026-08-06T00:24:37.569959Z</t>
        </is>
      </c>
      <c r="BI9" s="24" t="inlineStr">
        <is>
          <t>["same_event","same_team_same_day","same_league_same_day"]</t>
        </is>
      </c>
      <c r="BJ9" s="25" t="n"/>
      <c r="BK9" s="26" t="n">
        <v>138</v>
      </c>
      <c r="BL9" s="27" t="n">
        <v>2.38</v>
      </c>
      <c r="BM9" s="28" t="n">
        <v>0.420168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>
        <v>1</v>
      </c>
      <c r="BY9" s="27" t="n">
        <v>-1</v>
      </c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0.420168</t>
        </is>
      </c>
      <c r="DK9" s="24" t="n"/>
      <c r="DL9" s="24" t="n"/>
      <c r="DM9" s="24" t="n"/>
      <c r="DN9" s="24" t="n"/>
      <c r="DO9" s="24" t="n"/>
      <c r="DP9" s="24" t="n"/>
      <c r="DQ9" s="24" t="n"/>
    </row>
    <row r="10" ht="36" customHeight="1">
      <c r="A10" s="24" t="inlineStr">
        <is>
          <t>192f6189a99f40b2</t>
        </is>
      </c>
      <c r="B10" s="24" t="inlineStr">
        <is>
          <t>2026-08-06T00:24:39.463638Z</t>
        </is>
      </c>
      <c r="C10" s="24" t="inlineStr">
        <is>
          <t>2026-08-06T18:00:00Z</t>
        </is>
      </c>
      <c r="D10" s="24" t="inlineStr">
        <is>
          <t>70912</t>
        </is>
      </c>
      <c r="E10" s="24" t="inlineStr">
        <is>
          <t>VALORANT</t>
        </is>
      </c>
      <c r="F10" s="24" t="inlineStr">
        <is>
          <t>Joblife</t>
        </is>
      </c>
      <c r="G10" s="24" t="inlineStr">
        <is>
          <t>Natus Vincere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178</v>
      </c>
      <c r="M10" s="27" t="n">
        <v>2.78</v>
      </c>
      <c r="N10" s="28" t="n">
        <v>0.359712</v>
      </c>
      <c r="O10" s="28" t="n">
        <v>0.563029</v>
      </c>
      <c r="P10" s="28" t="n"/>
      <c r="Q10" s="28" t="n">
        <v>0.203317</v>
      </c>
      <c r="R10" s="26" t="n">
        <v>100</v>
      </c>
      <c r="S10" s="29" t="n">
        <v>1</v>
      </c>
      <c r="T10" s="24" t="inlineStr">
        <is>
          <t>valorant-tiered-elo-v6</t>
        </is>
      </c>
      <c r="U10" s="24" t="inlineStr">
        <is>
          <t>settled</t>
        </is>
      </c>
      <c r="V10" s="24" t="inlineStr">
        <is>
          <t>win</t>
        </is>
      </c>
      <c r="W10" s="26" t="n">
        <v>1</v>
      </c>
      <c r="X10" s="26" t="n">
        <v>0</v>
      </c>
      <c r="Y10" s="25" t="n"/>
      <c r="Z10" s="26" t="n"/>
      <c r="AA10" s="28" t="n"/>
      <c r="AB10" s="28" t="n"/>
      <c r="AC10" s="30" t="n">
        <v>1.78</v>
      </c>
      <c r="AD10" s="24" t="inlineStr">
        <is>
          <t>2026-08-07T06:01:46.955979Z</t>
        </is>
      </c>
      <c r="AE10" s="31" t="inlineStr">
        <is>
          <t>Neutral Elo baseline; executable ask 0.3600 (market_slug=aec-valorant-navi-jl-2026-08-06).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Joblife</t>
        </is>
      </c>
      <c r="AQ10" s="24" t="inlineStr">
        <is>
          <t>Joblife</t>
        </is>
      </c>
      <c r="AR10" s="24" t="inlineStr">
        <is>
          <t>Joblife</t>
        </is>
      </c>
      <c r="AS10" s="24" t="inlineStr">
        <is>
          <t>Natus Vincere</t>
        </is>
      </c>
      <c r="AT10" s="24" t="inlineStr">
        <is>
          <t>Natus Vincere</t>
        </is>
      </c>
      <c r="AU10" s="24" t="inlineStr">
        <is>
          <t>Natus Vincere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4df5f295a2b28e76007c7dffc3ff6e8d7c876b7734ec9c379c78b6dce8cd27b3</t>
        </is>
      </c>
      <c r="BB10" s="24" t="inlineStr">
        <is>
          <t>neutral_elo</t>
        </is>
      </c>
      <c r="BC10" s="24" t="inlineStr">
        <is>
          <t>valorant-tiered-elo-v6</t>
        </is>
      </c>
      <c r="BD10" s="24" t="inlineStr">
        <is>
          <t>4df5f295a2b28e76007c7dffc3ff6e8d7c876b7734ec9c379c78b6dce8cd27b3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valorant-tiered-elo-v6</t>
        </is>
      </c>
      <c r="BH10" s="24" t="inlineStr">
        <is>
          <t>2026-08-06T00:24:38.040365Z</t>
        </is>
      </c>
      <c r="BI10" s="24" t="inlineStr">
        <is>
          <t>["same_event","same_team_same_day","same_league_same_day"]</t>
        </is>
      </c>
      <c r="BJ10" s="25" t="n"/>
      <c r="BK10" s="26" t="n">
        <v>178</v>
      </c>
      <c r="BL10" s="27" t="n">
        <v>2.78</v>
      </c>
      <c r="BM10" s="28" t="n">
        <v>0.359712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>
        <v>1</v>
      </c>
      <c r="BY10" s="27" t="n">
        <v>0.91</v>
      </c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0.359712</t>
        </is>
      </c>
      <c r="DK10" s="24" t="n"/>
      <c r="DL10" s="24" t="n"/>
      <c r="DM10" s="24" t="n"/>
      <c r="DN10" s="24" t="n"/>
      <c r="DO10" s="24" t="n"/>
      <c r="DP10" s="24" t="n"/>
      <c r="DQ10" s="24" t="n"/>
    </row>
    <row r="11" ht="36" customHeight="1">
      <c r="A11" s="24" t="inlineStr">
        <is>
          <t>29f26cb8522341d1</t>
        </is>
      </c>
      <c r="B11" s="24" t="inlineStr">
        <is>
          <t>2026-08-06T19:00:18.001858Z</t>
        </is>
      </c>
      <c r="C11" s="24" t="inlineStr">
        <is>
          <t>2026-08-06T21:00:00Z</t>
        </is>
      </c>
      <c r="D11" s="24" t="inlineStr">
        <is>
          <t>71315</t>
        </is>
      </c>
      <c r="E11" s="24" t="inlineStr">
        <is>
          <t>VALORANT</t>
        </is>
      </c>
      <c r="F11" s="24" t="inlineStr">
        <is>
          <t>FURIA Esports</t>
        </is>
      </c>
      <c r="G11" s="24" t="inlineStr">
        <is>
          <t>Evil Geniuses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117</v>
      </c>
      <c r="M11" s="27" t="n">
        <v>2.17</v>
      </c>
      <c r="N11" s="28" t="n">
        <v>0.460829</v>
      </c>
      <c r="O11" s="28" t="n">
        <v>0.615411</v>
      </c>
      <c r="P11" s="28" t="n"/>
      <c r="Q11" s="28" t="n">
        <v>0.154582</v>
      </c>
      <c r="R11" s="26" t="n">
        <v>97</v>
      </c>
      <c r="S11" s="29" t="n">
        <v>1.5</v>
      </c>
      <c r="T11" s="24" t="inlineStr">
        <is>
          <t>valorant-tiered-elo-v6</t>
        </is>
      </c>
      <c r="U11" s="24" t="inlineStr">
        <is>
          <t>settled</t>
        </is>
      </c>
      <c r="V11" s="24" t="inlineStr">
        <is>
          <t>win</t>
        </is>
      </c>
      <c r="W11" s="26" t="n">
        <v>0</v>
      </c>
      <c r="X11" s="26" t="n">
        <v>1</v>
      </c>
      <c r="Y11" s="25" t="n"/>
      <c r="Z11" s="26" t="n">
        <v>117</v>
      </c>
      <c r="AA11" s="28" t="n">
        <v>0.46</v>
      </c>
      <c r="AB11" s="28" t="n">
        <v>-0.000829</v>
      </c>
      <c r="AC11" s="30" t="n">
        <v>1.755</v>
      </c>
      <c r="AD11" s="24" t="inlineStr">
        <is>
          <t>2026-08-07T06:01:48.504320Z</t>
        </is>
      </c>
      <c r="AE11" s="31" t="inlineStr">
        <is>
          <t>Neutral Elo baseline; executable ask 0.4600 (market_slug=aec-valorant-eg-fur-2026-08-06).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FURIA Esports</t>
        </is>
      </c>
      <c r="AQ11" s="24" t="inlineStr">
        <is>
          <t>FURIA Esports</t>
        </is>
      </c>
      <c r="AR11" s="24" t="inlineStr">
        <is>
          <t>FURIA Esports</t>
        </is>
      </c>
      <c r="AS11" s="24" t="inlineStr">
        <is>
          <t>Evil Geniuses</t>
        </is>
      </c>
      <c r="AT11" s="24" t="inlineStr">
        <is>
          <t>Evil Geniuses</t>
        </is>
      </c>
      <c r="AU11" s="24" t="inlineStr">
        <is>
          <t>Evil Geniuses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b32c21f8580cb36d2689c3449e18565f3db3f1690f09f65a3c552f717e24b35d</t>
        </is>
      </c>
      <c r="BB11" s="24" t="inlineStr">
        <is>
          <t>neutral_elo</t>
        </is>
      </c>
      <c r="BC11" s="24" t="inlineStr">
        <is>
          <t>valorant-tiered-elo-v6</t>
        </is>
      </c>
      <c r="BD11" s="24" t="inlineStr">
        <is>
          <t>b32c21f8580cb36d2689c3449e18565f3db3f1690f09f65a3c552f717e24b35d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valorant-tiered-elo-v6</t>
        </is>
      </c>
      <c r="BH11" s="24" t="inlineStr">
        <is>
          <t>2026-08-06T19:00:13.149018Z</t>
        </is>
      </c>
      <c r="BI11" s="24" t="inlineStr">
        <is>
          <t>["same_event","same_team_same_day","same_league_same_day"]</t>
        </is>
      </c>
      <c r="BJ11" s="25" t="n"/>
      <c r="BK11" s="26" t="n">
        <v>117</v>
      </c>
      <c r="BL11" s="27" t="n">
        <v>2.17</v>
      </c>
      <c r="BM11" s="28" t="n">
        <v>0.460829</v>
      </c>
      <c r="BN11" s="28" t="n"/>
      <c r="BO11" s="28" t="n"/>
      <c r="BP11" s="25" t="n"/>
      <c r="BQ11" s="27" t="n">
        <v>2.17</v>
      </c>
      <c r="BR11" s="28" t="n">
        <v>0.46</v>
      </c>
      <c r="BS11" s="28" t="n"/>
      <c r="BT11" s="28" t="n"/>
      <c r="BU11" s="25" t="n"/>
      <c r="BV11" s="29" t="n"/>
      <c r="BW11" s="24" t="n"/>
      <c r="BX11" s="30" t="n">
        <v>1</v>
      </c>
      <c r="BY11" s="27" t="n">
        <v>0.91</v>
      </c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0.460829</t>
        </is>
      </c>
      <c r="DK11" s="24" t="n"/>
      <c r="DL11" s="24" t="n"/>
      <c r="DM11" s="24" t="n"/>
      <c r="DN11" s="24" t="n"/>
      <c r="DO11" s="24" t="n"/>
      <c r="DP11" s="24" t="n"/>
      <c r="DQ11" s="24" t="n"/>
    </row>
    <row r="12" ht="36" customHeight="1">
      <c r="A12" s="24" t="inlineStr">
        <is>
          <t>d7b622e9018b43c2</t>
        </is>
      </c>
      <c r="B12" s="24" t="inlineStr">
        <is>
          <t>2026-08-07T06:05:11.884581Z</t>
        </is>
      </c>
      <c r="C12" s="24" t="inlineStr">
        <is>
          <t>2026-08-07T08:00:00Z</t>
        </is>
      </c>
      <c r="D12" s="24" t="inlineStr">
        <is>
          <t>71675</t>
        </is>
      </c>
      <c r="E12" s="24" t="inlineStr">
        <is>
          <t>VALORANT</t>
        </is>
      </c>
      <c r="F12" s="24" t="inlineStr">
        <is>
          <t>DetonatioN FocusMe</t>
        </is>
      </c>
      <c r="G12" s="24" t="inlineStr">
        <is>
          <t>Team Secret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-186</v>
      </c>
      <c r="M12" s="27" t="n">
        <v>1.537634</v>
      </c>
      <c r="N12" s="28" t="n">
        <v>0.65035</v>
      </c>
      <c r="O12" s="28" t="n">
        <v>0.653762</v>
      </c>
      <c r="P12" s="28" t="n"/>
      <c r="Q12" s="28" t="n">
        <v>0.003412</v>
      </c>
      <c r="R12" s="26" t="n">
        <v>22</v>
      </c>
      <c r="S12" s="29" t="n">
        <v>1.75</v>
      </c>
      <c r="T12" s="24" t="inlineStr">
        <is>
          <t>valorant-tiered-elo-v6</t>
        </is>
      </c>
      <c r="U12" s="24" t="inlineStr">
        <is>
          <t>settled</t>
        </is>
      </c>
      <c r="V12" s="24" t="inlineStr">
        <is>
          <t>win</t>
        </is>
      </c>
      <c r="W12" s="26" t="n">
        <v>1</v>
      </c>
      <c r="X12" s="26" t="n">
        <v>0</v>
      </c>
      <c r="Y12" s="25" t="n"/>
      <c r="Z12" s="26" t="n">
        <v>-186</v>
      </c>
      <c r="AA12" s="28" t="n">
        <v>0.65</v>
      </c>
      <c r="AB12" s="28" t="n">
        <v>-0.00035</v>
      </c>
      <c r="AC12" s="30" t="n">
        <v>0.9409</v>
      </c>
      <c r="AD12" s="24" t="inlineStr">
        <is>
          <t>2026-08-07T12:14:17.233910Z</t>
        </is>
      </c>
      <c r="AE12" s="31" t="inlineStr">
        <is>
          <t>Neutral Elo baseline; executable ask 0.6500 (market_slug=aec-valorant-ts-dfm-2026-08-07).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12" s="24" t="inlineStr">
        <is>
          <t>paper_call</t>
        </is>
      </c>
      <c r="AL12" s="26" t="n">
        <v>3</v>
      </c>
      <c r="AM12" s="24" t="inlineStr">
        <is>
          <t>RESEARCH_OBSERVATION</t>
        </is>
      </c>
      <c r="AN12" s="24" t="inlineStr">
        <is>
          <t>CALL</t>
        </is>
      </c>
      <c r="AO12" s="24" t="inlineStr">
        <is>
          <t>PAPER_CALL_WINNER_OVERVALUED</t>
        </is>
      </c>
      <c r="AP12" s="24" t="inlineStr">
        <is>
          <t>DetonatioN FocusMe</t>
        </is>
      </c>
      <c r="AQ12" s="24" t="inlineStr">
        <is>
          <t>DetonatioN FocusMe</t>
        </is>
      </c>
      <c r="AR12" s="24" t="inlineStr">
        <is>
          <t>DetonatioN FocusMe</t>
        </is>
      </c>
      <c r="AS12" s="24" t="inlineStr">
        <is>
          <t>Team Secret</t>
        </is>
      </c>
      <c r="AT12" s="24" t="inlineStr">
        <is>
          <t>Team Secret</t>
        </is>
      </c>
      <c r="AU12" s="24" t="inlineStr">
        <is>
          <t>Team Secret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b73645bf1ecd543fdd6eef3fb18bf1f86790dae2d994242a68d3628f34298e3b</t>
        </is>
      </c>
      <c r="BB12" s="24" t="inlineStr">
        <is>
          <t>neutral_elo</t>
        </is>
      </c>
      <c r="BC12" s="24" t="inlineStr">
        <is>
          <t>valorant-tiered-elo-v6</t>
        </is>
      </c>
      <c r="BD12" s="24" t="inlineStr">
        <is>
          <t>b73645bf1ecd543fdd6eef3fb18bf1f86790dae2d994242a68d3628f34298e3b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valorant-tiered-elo-v6</t>
        </is>
      </c>
      <c r="BH12" s="24" t="inlineStr">
        <is>
          <t>2026-08-07T06:04:59.654949Z</t>
        </is>
      </c>
      <c r="BI12" s="24" t="inlineStr">
        <is>
          <t>["same_event","same_team_same_day","same_league_same_day"]</t>
        </is>
      </c>
      <c r="BJ12" s="25" t="n"/>
      <c r="BK12" s="26" t="n">
        <v>-186</v>
      </c>
      <c r="BL12" s="27" t="n">
        <v>1.537634</v>
      </c>
      <c r="BM12" s="28" t="n">
        <v>0.65035</v>
      </c>
      <c r="BN12" s="28" t="n"/>
      <c r="BO12" s="28" t="n"/>
      <c r="BP12" s="25" t="n"/>
      <c r="BQ12" s="27" t="n">
        <v>1.537634</v>
      </c>
      <c r="BR12" s="28" t="n">
        <v>0.65</v>
      </c>
      <c r="BS12" s="28" t="n"/>
      <c r="BT12" s="28" t="n"/>
      <c r="BU12" s="25" t="n"/>
      <c r="BV12" s="29" t="n"/>
      <c r="BW12" s="24" t="n"/>
      <c r="BX12" s="30" t="n">
        <v>1</v>
      </c>
      <c r="BY12" s="27" t="n">
        <v>0.91</v>
      </c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0.65035</t>
        </is>
      </c>
      <c r="DK12" s="24" t="n"/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f9a9f444e7804efc</t>
        </is>
      </c>
      <c r="B13" s="24" t="inlineStr">
        <is>
          <t>2026-08-07T09:11:28.912966Z</t>
        </is>
      </c>
      <c r="C13" s="24" t="inlineStr">
        <is>
          <t>2026-08-07T11:00:00Z</t>
        </is>
      </c>
      <c r="D13" s="24" t="inlineStr">
        <is>
          <t>71752</t>
        </is>
      </c>
      <c r="E13" s="24" t="inlineStr">
        <is>
          <t>VALORANT</t>
        </is>
      </c>
      <c r="F13" s="24" t="inlineStr">
        <is>
          <t>FULL SENSE</t>
        </is>
      </c>
      <c r="G13" s="24" t="inlineStr">
        <is>
          <t>Gen.G Esports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-156</v>
      </c>
      <c r="M13" s="27" t="n">
        <v>1.641026</v>
      </c>
      <c r="N13" s="28" t="n">
        <v>0.609375</v>
      </c>
      <c r="O13" s="28" t="n">
        <v>0.781485</v>
      </c>
      <c r="P13" s="28" t="n"/>
      <c r="Q13" s="28" t="n">
        <v>0.17211</v>
      </c>
      <c r="R13" s="26" t="n">
        <v>100</v>
      </c>
      <c r="S13" s="29" t="n">
        <v>2</v>
      </c>
      <c r="T13" s="24" t="inlineStr">
        <is>
          <t>valorant-tiered-elo-v6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1</v>
      </c>
      <c r="Y13" s="25" t="n"/>
      <c r="Z13" s="26" t="n">
        <v>-156</v>
      </c>
      <c r="AA13" s="28" t="n">
        <v>0.61</v>
      </c>
      <c r="AB13" s="28" t="n">
        <v>0.000625</v>
      </c>
      <c r="AC13" s="30" t="n">
        <v>1.2821</v>
      </c>
      <c r="AD13" s="24" t="inlineStr">
        <is>
          <t>2026-08-07T15:20:01.811967Z</t>
        </is>
      </c>
      <c r="AE13" s="31" t="inlineStr">
        <is>
          <t>Neutral Elo baseline; executable ask 0.6100 (market_slug=aec-valorant-geng-fs-2026-08-07).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FULL SENSE</t>
        </is>
      </c>
      <c r="AQ13" s="24" t="inlineStr">
        <is>
          <t>FULL SENSE</t>
        </is>
      </c>
      <c r="AR13" s="24" t="inlineStr">
        <is>
          <t>FULL SENSE</t>
        </is>
      </c>
      <c r="AS13" s="24" t="inlineStr">
        <is>
          <t>Gen.G Esports</t>
        </is>
      </c>
      <c r="AT13" s="24" t="inlineStr">
        <is>
          <t>Gen.G Esports</t>
        </is>
      </c>
      <c r="AU13" s="24" t="inlineStr">
        <is>
          <t>Gen.G Esports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42b19475ad40d4c6f417c5f7897f490415fd91fcca876fa2415c941da1fd3bc7</t>
        </is>
      </c>
      <c r="BB13" s="24" t="inlineStr">
        <is>
          <t>neutral_elo</t>
        </is>
      </c>
      <c r="BC13" s="24" t="inlineStr">
        <is>
          <t>valorant-tiered-elo-v6</t>
        </is>
      </c>
      <c r="BD13" s="24" t="inlineStr">
        <is>
          <t>42b19475ad40d4c6f417c5f7897f490415fd91fcca876fa2415c941da1fd3bc7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valorant-tiered-elo-v6</t>
        </is>
      </c>
      <c r="BH13" s="24" t="inlineStr">
        <is>
          <t>2026-08-07T09:11:21.351080Z</t>
        </is>
      </c>
      <c r="BI13" s="24" t="inlineStr">
        <is>
          <t>["same_event","same_team_same_day","same_league_same_day"]</t>
        </is>
      </c>
      <c r="BJ13" s="25" t="n"/>
      <c r="BK13" s="26" t="n">
        <v>-156</v>
      </c>
      <c r="BL13" s="27" t="n">
        <v>1.641026</v>
      </c>
      <c r="BM13" s="28" t="n">
        <v>0.609375</v>
      </c>
      <c r="BN13" s="28" t="n"/>
      <c r="BO13" s="28" t="n"/>
      <c r="BP13" s="25" t="n"/>
      <c r="BQ13" s="27" t="n">
        <v>1.641026</v>
      </c>
      <c r="BR13" s="28" t="n">
        <v>0.61</v>
      </c>
      <c r="BS13" s="28" t="n"/>
      <c r="BT13" s="28" t="n"/>
      <c r="BU13" s="25" t="n"/>
      <c r="BV13" s="29" t="n"/>
      <c r="BW13" s="24" t="n"/>
      <c r="BX13" s="30" t="n">
        <v>1</v>
      </c>
      <c r="BY13" s="27" t="n">
        <v>0.91</v>
      </c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0.609375</t>
        </is>
      </c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9f013dd7475f4195</t>
        </is>
      </c>
      <c r="B14" s="24" t="inlineStr">
        <is>
          <t>2026-08-07T15:24:00.757019Z</t>
        </is>
      </c>
      <c r="C14" s="24" t="inlineStr">
        <is>
          <t>2026-08-07T18:00:00Z</t>
        </is>
      </c>
      <c r="D14" s="24" t="inlineStr">
        <is>
          <t>72078</t>
        </is>
      </c>
      <c r="E14" s="24" t="inlineStr">
        <is>
          <t>VALORANT</t>
        </is>
      </c>
      <c r="F14" s="24" t="inlineStr">
        <is>
          <t>Enterprise Esports</t>
        </is>
      </c>
      <c r="G14" s="24" t="inlineStr">
        <is>
          <t>Fnatic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178</v>
      </c>
      <c r="M14" s="27" t="n">
        <v>2.78</v>
      </c>
      <c r="N14" s="28" t="n">
        <v>0.359712</v>
      </c>
      <c r="O14" s="28" t="n">
        <v>0.743264</v>
      </c>
      <c r="P14" s="28" t="n"/>
      <c r="Q14" s="28" t="n">
        <v>0.383552</v>
      </c>
      <c r="R14" s="26" t="n">
        <v>100</v>
      </c>
      <c r="S14" s="29" t="n">
        <v>2</v>
      </c>
      <c r="T14" s="24" t="inlineStr">
        <is>
          <t>valorant-tiered-elo-v6</t>
        </is>
      </c>
      <c r="U14" s="24" t="inlineStr">
        <is>
          <t>settled</t>
        </is>
      </c>
      <c r="V14" s="24" t="inlineStr">
        <is>
          <t>win</t>
        </is>
      </c>
      <c r="W14" s="26" t="n">
        <v>1</v>
      </c>
      <c r="X14" s="26" t="n">
        <v>0</v>
      </c>
      <c r="Y14" s="25" t="n"/>
      <c r="Z14" s="26" t="n">
        <v>178</v>
      </c>
      <c r="AA14" s="28" t="n">
        <v>0.36</v>
      </c>
      <c r="AB14" s="28" t="n">
        <v>0.000288</v>
      </c>
      <c r="AC14" s="30" t="n">
        <v>3.56</v>
      </c>
      <c r="AD14" s="24" t="inlineStr">
        <is>
          <t>2026-08-07T21:55:32.607505Z</t>
        </is>
      </c>
      <c r="AE14" s="31" t="inlineStr">
        <is>
          <t>Neutral Elo baseline; executable ask 0.3600 (market_slug=aec-valorant-fnc-ep-2026-08-07).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Enterprise Esports</t>
        </is>
      </c>
      <c r="AQ14" s="24" t="inlineStr">
        <is>
          <t>Enterprise Esports</t>
        </is>
      </c>
      <c r="AR14" s="24" t="inlineStr">
        <is>
          <t>Enterprise Esports</t>
        </is>
      </c>
      <c r="AS14" s="24" t="inlineStr">
        <is>
          <t>Fnatic</t>
        </is>
      </c>
      <c r="AT14" s="24" t="inlineStr">
        <is>
          <t>Fnatic</t>
        </is>
      </c>
      <c r="AU14" s="24" t="inlineStr">
        <is>
          <t>Fnatic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81f6739aa819ab85b1d04cc8b0c18852e0f247d6e491c0f3ef1b501fc8699698</t>
        </is>
      </c>
      <c r="BB14" s="24" t="inlineStr">
        <is>
          <t>neutral_elo</t>
        </is>
      </c>
      <c r="BC14" s="24" t="inlineStr">
        <is>
          <t>valorant-tiered-elo-v6</t>
        </is>
      </c>
      <c r="BD14" s="24" t="inlineStr">
        <is>
          <t>81f6739aa819ab85b1d04cc8b0c18852e0f247d6e491c0f3ef1b501fc8699698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valorant-tiered-elo-v6</t>
        </is>
      </c>
      <c r="BH14" s="24" t="inlineStr">
        <is>
          <t>2026-08-07T15:23:54.113763Z</t>
        </is>
      </c>
      <c r="BI14" s="24" t="inlineStr">
        <is>
          <t>["same_event","same_team_same_day","same_league_same_day"]</t>
        </is>
      </c>
      <c r="BJ14" s="25" t="n"/>
      <c r="BK14" s="26" t="n">
        <v>178</v>
      </c>
      <c r="BL14" s="27" t="n">
        <v>2.78</v>
      </c>
      <c r="BM14" s="28" t="n">
        <v>0.359712</v>
      </c>
      <c r="BN14" s="28" t="n"/>
      <c r="BO14" s="28" t="n"/>
      <c r="BP14" s="25" t="n"/>
      <c r="BQ14" s="27" t="n">
        <v>2.78</v>
      </c>
      <c r="BR14" s="28" t="n">
        <v>0.36</v>
      </c>
      <c r="BS14" s="28" t="n"/>
      <c r="BT14" s="28" t="n"/>
      <c r="BU14" s="25" t="n"/>
      <c r="BV14" s="29" t="n"/>
      <c r="BW14" s="24" t="n"/>
      <c r="BX14" s="30" t="n">
        <v>1</v>
      </c>
      <c r="BY14" s="27" t="n">
        <v>0.91</v>
      </c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0.359712</t>
        </is>
      </c>
      <c r="DK14" s="24" t="n"/>
      <c r="DL14" s="24" t="n"/>
      <c r="DM14" s="24" t="n"/>
      <c r="DN14" s="24" t="n"/>
      <c r="DO14" s="24" t="n"/>
      <c r="DP14" s="24" t="n"/>
      <c r="DQ14" s="24" t="n"/>
    </row>
    <row r="15" ht="36" customHeight="1">
      <c r="A15" s="24" t="inlineStr">
        <is>
          <t>9993a87fbb6e4802</t>
        </is>
      </c>
      <c r="B15" s="24" t="inlineStr">
        <is>
          <t>2026-08-08T04:08:03.360816Z</t>
        </is>
      </c>
      <c r="C15" s="24" t="inlineStr">
        <is>
          <t>2026-08-08T08:00:00Z</t>
        </is>
      </c>
      <c r="D15" s="24" t="inlineStr">
        <is>
          <t>72723</t>
        </is>
      </c>
      <c r="E15" s="24" t="inlineStr">
        <is>
          <t>VALORANT</t>
        </is>
      </c>
      <c r="F15" s="24" t="inlineStr">
        <is>
          <t>T1</t>
        </is>
      </c>
      <c r="G15" s="24" t="inlineStr">
        <is>
          <t>Kiwoom DRX</t>
        </is>
      </c>
      <c r="H15" s="24" t="inlineStr">
        <is>
          <t>moneyline</t>
        </is>
      </c>
      <c r="I15" s="24" t="inlineStr">
        <is>
          <t>away</t>
        </is>
      </c>
      <c r="J15" s="25" t="n"/>
      <c r="K15" s="24" t="inlineStr">
        <is>
          <t>polymarket_us</t>
        </is>
      </c>
      <c r="L15" s="26" t="n">
        <v>-186</v>
      </c>
      <c r="M15" s="27" t="n">
        <v>1.537634</v>
      </c>
      <c r="N15" s="28" t="n">
        <v>0.65035</v>
      </c>
      <c r="O15" s="28" t="n">
        <v>0.5763740000000001</v>
      </c>
      <c r="P15" s="28" t="n"/>
      <c r="Q15" s="28" t="n">
        <v>-0.073976</v>
      </c>
      <c r="R15" s="26" t="n">
        <v>0</v>
      </c>
      <c r="S15" s="29" t="n">
        <v>1.25</v>
      </c>
      <c r="T15" s="24" t="inlineStr">
        <is>
          <t>valorant-tiered-elo-v6</t>
        </is>
      </c>
      <c r="U15" s="24" t="inlineStr">
        <is>
          <t>settled</t>
        </is>
      </c>
      <c r="V15" s="24" t="inlineStr">
        <is>
          <t>win</t>
        </is>
      </c>
      <c r="W15" s="26" t="n">
        <v>1</v>
      </c>
      <c r="X15" s="26" t="n">
        <v>0</v>
      </c>
      <c r="Y15" s="25" t="n"/>
      <c r="Z15" s="26" t="n">
        <v>-186</v>
      </c>
      <c r="AA15" s="28" t="n">
        <v>0.65</v>
      </c>
      <c r="AB15" s="28" t="n">
        <v>-0.00035</v>
      </c>
      <c r="AC15" s="30" t="n">
        <v>0.672</v>
      </c>
      <c r="AD15" s="24" t="inlineStr">
        <is>
          <t>2026-08-08T18:35:05.774831Z</t>
        </is>
      </c>
      <c r="AE15" s="31" t="inlineStr">
        <is>
          <t>Neutral Elo baseline; executable ask 0.6500 (market_slug=aec-valorant-krx-t1-2026-08-08).</t>
        </is>
      </c>
      <c r="AF15" s="31" t="inlineStr">
        <is>
          <t>Config-promoted esports baseline; gates enforced at log time.</t>
        </is>
      </c>
      <c r="AG15" s="24" t="inlineStr">
        <is>
          <t>not_applicable</t>
        </is>
      </c>
      <c r="AH15" s="24" t="n"/>
      <c r="AI15" s="31" t="n"/>
      <c r="AJ15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15" s="24" t="inlineStr">
        <is>
          <t>paper_call</t>
        </is>
      </c>
      <c r="AL15" s="26" t="n">
        <v>3</v>
      </c>
      <c r="AM15" s="24" t="inlineStr">
        <is>
          <t>RESEARCH_OBSERVATION</t>
        </is>
      </c>
      <c r="AN15" s="24" t="inlineStr">
        <is>
          <t>CALL</t>
        </is>
      </c>
      <c r="AO15" s="24" t="inlineStr">
        <is>
          <t>PAPER_CALL_WINNER_OVERVALUED</t>
        </is>
      </c>
      <c r="AP15" s="24" t="inlineStr">
        <is>
          <t>T1</t>
        </is>
      </c>
      <c r="AQ15" s="24" t="inlineStr">
        <is>
          <t>T1</t>
        </is>
      </c>
      <c r="AR15" s="24" t="inlineStr">
        <is>
          <t>T1</t>
        </is>
      </c>
      <c r="AS15" s="24" t="inlineStr">
        <is>
          <t>Kiwoom DRX</t>
        </is>
      </c>
      <c r="AT15" s="24" t="inlineStr">
        <is>
          <t>Kiwoom DRX</t>
        </is>
      </c>
      <c r="AU15" s="24" t="inlineStr">
        <is>
          <t>Kiwoom DRX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3872c38b702bf6b771cccbf3d7328f103bab6ce6532929fbccfccdf50d924825</t>
        </is>
      </c>
      <c r="BB15" s="24" t="inlineStr">
        <is>
          <t>neutral_elo</t>
        </is>
      </c>
      <c r="BC15" s="24" t="inlineStr">
        <is>
          <t>valorant-tiered-elo-v6</t>
        </is>
      </c>
      <c r="BD15" s="24" t="inlineStr">
        <is>
          <t>3872c38b702bf6b771cccbf3d7328f103bab6ce6532929fbccfccdf50d924825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valorant-tiered-elo-v6</t>
        </is>
      </c>
      <c r="BH15" s="24" t="inlineStr">
        <is>
          <t>2026-08-08T04:07:51.526487Z</t>
        </is>
      </c>
      <c r="BI15" s="24" t="inlineStr">
        <is>
          <t>["same_event","same_team_same_day","same_league_same_day"]</t>
        </is>
      </c>
      <c r="BJ15" s="25" t="n"/>
      <c r="BK15" s="26" t="n">
        <v>-186</v>
      </c>
      <c r="BL15" s="27" t="n">
        <v>1.537634</v>
      </c>
      <c r="BM15" s="28" t="n">
        <v>0.65035</v>
      </c>
      <c r="BN15" s="28" t="n"/>
      <c r="BO15" s="28" t="n"/>
      <c r="BP15" s="25" t="n"/>
      <c r="BQ15" s="27" t="n">
        <v>1.537634</v>
      </c>
      <c r="BR15" s="28" t="n">
        <v>0.65</v>
      </c>
      <c r="BS15" s="28" t="n"/>
      <c r="BT15" s="28" t="n"/>
      <c r="BU15" s="25" t="n"/>
      <c r="BV15" s="29" t="n"/>
      <c r="BW15" s="24" t="n"/>
      <c r="BX15" s="30" t="n">
        <v>1</v>
      </c>
      <c r="BY15" s="27" t="n">
        <v>0.91</v>
      </c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False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0.65035</t>
        </is>
      </c>
      <c r="DK15" s="24" t="n"/>
      <c r="DL15" s="24" t="n"/>
      <c r="DM15" s="24" t="n"/>
      <c r="DN15" s="24" t="n"/>
      <c r="DO15" s="24" t="n"/>
      <c r="DP15" s="24" t="n"/>
      <c r="DQ15" s="24" t="n"/>
    </row>
    <row r="16" ht="36" customHeight="1">
      <c r="A16" s="24" t="inlineStr">
        <is>
          <t>6d0862d698cc4baf</t>
        </is>
      </c>
      <c r="B16" s="24" t="inlineStr">
        <is>
          <t>2026-08-08T04:08:03.360816Z</t>
        </is>
      </c>
      <c r="C16" s="24" t="inlineStr">
        <is>
          <t>2026-08-08T11:00:00Z</t>
        </is>
      </c>
      <c r="D16" s="24" t="inlineStr">
        <is>
          <t>72754</t>
        </is>
      </c>
      <c r="E16" s="24" t="inlineStr">
        <is>
          <t>VALORANT</t>
        </is>
      </c>
      <c r="F16" s="24" t="inlineStr">
        <is>
          <t>ZETA DIVISION</t>
        </is>
      </c>
      <c r="G16" s="24" t="inlineStr">
        <is>
          <t>Global Esports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-233</v>
      </c>
      <c r="M16" s="27" t="n">
        <v>1.429185</v>
      </c>
      <c r="N16" s="28" t="n">
        <v>0.6997</v>
      </c>
      <c r="O16" s="28" t="n">
        <v>0.672256</v>
      </c>
      <c r="P16" s="28" t="n"/>
      <c r="Q16" s="28" t="n">
        <v>-0.027444</v>
      </c>
      <c r="R16" s="26" t="n">
        <v>6</v>
      </c>
      <c r="S16" s="29" t="n">
        <v>1.75</v>
      </c>
      <c r="T16" s="24" t="inlineStr">
        <is>
          <t>valorant-tiered-elo-v6</t>
        </is>
      </c>
      <c r="U16" s="24" t="inlineStr">
        <is>
          <t>settled</t>
        </is>
      </c>
      <c r="V16" s="24" t="inlineStr">
        <is>
          <t>win</t>
        </is>
      </c>
      <c r="W16" s="26" t="n">
        <v>0</v>
      </c>
      <c r="X16" s="26" t="n">
        <v>1</v>
      </c>
      <c r="Y16" s="25" t="n"/>
      <c r="Z16" s="26" t="n">
        <v>-233</v>
      </c>
      <c r="AA16" s="28" t="n">
        <v>0.7</v>
      </c>
      <c r="AB16" s="28" t="n">
        <v>0.0003</v>
      </c>
      <c r="AC16" s="30" t="n">
        <v>0.7511</v>
      </c>
      <c r="AD16" s="24" t="inlineStr">
        <is>
          <t>2026-08-08T18:35:07.456103Z</t>
        </is>
      </c>
      <c r="AE16" s="31" t="inlineStr">
        <is>
          <t>Neutral Elo baseline; executable ask 0.7000 (market_slug=aec-valorant-ge-zeta-2026-08-08).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16" s="24" t="inlineStr">
        <is>
          <t>paper_call</t>
        </is>
      </c>
      <c r="AL16" s="26" t="n">
        <v>3</v>
      </c>
      <c r="AM16" s="24" t="inlineStr">
        <is>
          <t>RESEARCH_OBSERVATION</t>
        </is>
      </c>
      <c r="AN16" s="24" t="inlineStr">
        <is>
          <t>CALL</t>
        </is>
      </c>
      <c r="AO16" s="24" t="inlineStr">
        <is>
          <t>PAPER_CALL_WINNER_OVERVALUED</t>
        </is>
      </c>
      <c r="AP16" s="24" t="inlineStr">
        <is>
          <t>ZETA DIVISION</t>
        </is>
      </c>
      <c r="AQ16" s="24" t="inlineStr">
        <is>
          <t>ZETA DIVISION</t>
        </is>
      </c>
      <c r="AR16" s="24" t="inlineStr">
        <is>
          <t>ZETA DIVISION</t>
        </is>
      </c>
      <c r="AS16" s="24" t="inlineStr">
        <is>
          <t>Global Esports</t>
        </is>
      </c>
      <c r="AT16" s="24" t="inlineStr">
        <is>
          <t>Global Esports</t>
        </is>
      </c>
      <c r="AU16" s="24" t="inlineStr">
        <is>
          <t>Global Esports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3872c38b702bf6b771cccbf3d7328f103bab6ce6532929fbccfccdf50d924825</t>
        </is>
      </c>
      <c r="BB16" s="24" t="inlineStr">
        <is>
          <t>neutral_elo</t>
        </is>
      </c>
      <c r="BC16" s="24" t="inlineStr">
        <is>
          <t>valorant-tiered-elo-v6</t>
        </is>
      </c>
      <c r="BD16" s="24" t="inlineStr">
        <is>
          <t>3872c38b702bf6b771cccbf3d7328f103bab6ce6532929fbccfccdf50d924825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valorant-tiered-elo-v6</t>
        </is>
      </c>
      <c r="BH16" s="24" t="inlineStr">
        <is>
          <t>2026-08-08T04:07:53.608135Z</t>
        </is>
      </c>
      <c r="BI16" s="24" t="inlineStr">
        <is>
          <t>["same_event","same_team_same_day","same_league_same_day"]</t>
        </is>
      </c>
      <c r="BJ16" s="25" t="n"/>
      <c r="BK16" s="26" t="n">
        <v>-233</v>
      </c>
      <c r="BL16" s="27" t="n">
        <v>1.429185</v>
      </c>
      <c r="BM16" s="28" t="n">
        <v>0.6997</v>
      </c>
      <c r="BN16" s="28" t="n"/>
      <c r="BO16" s="28" t="n"/>
      <c r="BP16" s="25" t="n"/>
      <c r="BQ16" s="27" t="n">
        <v>1.429185</v>
      </c>
      <c r="BR16" s="28" t="n">
        <v>0.7</v>
      </c>
      <c r="BS16" s="28" t="n"/>
      <c r="BT16" s="28" t="n"/>
      <c r="BU16" s="25" t="n"/>
      <c r="BV16" s="29" t="n"/>
      <c r="BW16" s="24" t="n"/>
      <c r="BX16" s="30" t="n">
        <v>1</v>
      </c>
      <c r="BY16" s="27" t="n">
        <v>0.91</v>
      </c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False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0.6997</t>
        </is>
      </c>
      <c r="DK16" s="24" t="n"/>
      <c r="DL16" s="24" t="n"/>
      <c r="DM16" s="24" t="n"/>
      <c r="DN16" s="24" t="n"/>
      <c r="DO16" s="24" t="n"/>
      <c r="DP16" s="24" t="n"/>
      <c r="DQ16" s="24" t="n"/>
    </row>
    <row r="17" ht="36" customHeight="1">
      <c r="A17" s="24" t="inlineStr">
        <is>
          <t>e637acf0a2214ef6</t>
        </is>
      </c>
      <c r="B17" s="24" t="inlineStr">
        <is>
          <t>2026-08-08T18:37:42.784329Z</t>
        </is>
      </c>
      <c r="C17" s="24" t="inlineStr">
        <is>
          <t>2026-08-09T00:00:00Z</t>
        </is>
      </c>
      <c r="D17" s="24" t="inlineStr">
        <is>
          <t>73525</t>
        </is>
      </c>
      <c r="E17" s="24" t="inlineStr">
        <is>
          <t>VALORANT</t>
        </is>
      </c>
      <c r="F17" s="24" t="inlineStr">
        <is>
          <t>MIBR</t>
        </is>
      </c>
      <c r="G17" s="24" t="inlineStr">
        <is>
          <t>Leviatán Esports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-163</v>
      </c>
      <c r="M17" s="27" t="n">
        <v>1.613497</v>
      </c>
      <c r="N17" s="28" t="n">
        <v>0.619772</v>
      </c>
      <c r="O17" s="28" t="n">
        <v>0.699299</v>
      </c>
      <c r="P17" s="28" t="n"/>
      <c r="Q17" s="28" t="n">
        <v>0.079527</v>
      </c>
      <c r="R17" s="26" t="n">
        <v>60</v>
      </c>
      <c r="S17" s="29" t="n">
        <v>2</v>
      </c>
      <c r="T17" s="24" t="inlineStr">
        <is>
          <t>valorant-tiered-elo-v6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1</v>
      </c>
      <c r="Y17" s="25" t="n"/>
      <c r="Z17" s="26" t="n">
        <v>-163</v>
      </c>
      <c r="AA17" s="28" t="n">
        <v>0.62</v>
      </c>
      <c r="AB17" s="28" t="n">
        <v>0.000228</v>
      </c>
      <c r="AC17" s="30" t="n">
        <v>1.227</v>
      </c>
      <c r="AD17" s="24" t="inlineStr">
        <is>
          <t>2026-08-09T05:14:26.752743Z</t>
        </is>
      </c>
      <c r="AE17" s="31" t="inlineStr">
        <is>
          <t>Neutral Elo baseline; executable ask 0.6200 (market_slug=aec-valorant-lev-mibr-2026-08-09).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17" s="24" t="inlineStr">
        <is>
          <t>paper_call</t>
        </is>
      </c>
      <c r="AL17" s="26" t="n">
        <v>3</v>
      </c>
      <c r="AM17" s="24" t="inlineStr">
        <is>
          <t>RESEARCH_OBSERVATION</t>
        </is>
      </c>
      <c r="AN17" s="24" t="inlineStr">
        <is>
          <t>CALL</t>
        </is>
      </c>
      <c r="AO17" s="24" t="inlineStr">
        <is>
          <t>PAPER_CALL_WINNER_OVERVALUED</t>
        </is>
      </c>
      <c r="AP17" s="24" t="inlineStr">
        <is>
          <t>MIBR</t>
        </is>
      </c>
      <c r="AQ17" s="24" t="inlineStr">
        <is>
          <t>MIBR</t>
        </is>
      </c>
      <c r="AR17" s="24" t="inlineStr">
        <is>
          <t>MIBR</t>
        </is>
      </c>
      <c r="AS17" s="24" t="inlineStr">
        <is>
          <t>Leviatán Esports</t>
        </is>
      </c>
      <c r="AT17" s="24" t="inlineStr">
        <is>
          <t>Leviatán Esports</t>
        </is>
      </c>
      <c r="AU17" s="24" t="inlineStr">
        <is>
          <t>Leviatán Esports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0143b7480c8c874906c4a86760d5098c16dffe337ec25198184122f1f4815a2e</t>
        </is>
      </c>
      <c r="BB17" s="24" t="inlineStr">
        <is>
          <t>neutral_elo</t>
        </is>
      </c>
      <c r="BC17" s="24" t="inlineStr">
        <is>
          <t>valorant-tiered-elo-v6</t>
        </is>
      </c>
      <c r="BD17" s="24" t="inlineStr">
        <is>
          <t>0143b7480c8c874906c4a86760d5098c16dffe337ec25198184122f1f4815a2e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valorant-tiered-elo-v6</t>
        </is>
      </c>
      <c r="BH17" s="24" t="inlineStr">
        <is>
          <t>2026-08-08T18:37:36.951203Z</t>
        </is>
      </c>
      <c r="BI17" s="24" t="inlineStr">
        <is>
          <t>["same_event","same_team_same_day","same_league_same_day"]</t>
        </is>
      </c>
      <c r="BJ17" s="25" t="n"/>
      <c r="BK17" s="26" t="n">
        <v>-163</v>
      </c>
      <c r="BL17" s="27" t="n">
        <v>1.613497</v>
      </c>
      <c r="BM17" s="28" t="n">
        <v>0.619772</v>
      </c>
      <c r="BN17" s="28" t="n"/>
      <c r="BO17" s="28" t="n"/>
      <c r="BP17" s="25" t="n"/>
      <c r="BQ17" s="27" t="n">
        <v>1.613497</v>
      </c>
      <c r="BR17" s="28" t="n">
        <v>0.62</v>
      </c>
      <c r="BS17" s="28" t="n"/>
      <c r="BT17" s="28" t="n"/>
      <c r="BU17" s="25" t="n"/>
      <c r="BV17" s="29" t="n"/>
      <c r="BW17" s="24" t="n"/>
      <c r="BX17" s="30" t="n">
        <v>1</v>
      </c>
      <c r="BY17" s="27" t="n">
        <v>0.91</v>
      </c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0.619772</t>
        </is>
      </c>
      <c r="DK17" s="24" t="n"/>
      <c r="DL17" s="24" t="n"/>
      <c r="DM17" s="24" t="n"/>
      <c r="DN17" s="24" t="n"/>
      <c r="DO17" s="24" t="n"/>
      <c r="DP17" s="24" t="n"/>
      <c r="DQ17" s="24" t="n"/>
    </row>
    <row r="18" ht="36" customHeight="1">
      <c r="A18" s="24" t="inlineStr">
        <is>
          <t>5eed1a53242e4bd8</t>
        </is>
      </c>
      <c r="B18" s="24" t="inlineStr">
        <is>
          <t>2026-08-09T05:18:41.462497Z</t>
        </is>
      </c>
      <c r="C18" s="24" t="inlineStr">
        <is>
          <t>2026-08-09T10:00:00Z</t>
        </is>
      </c>
      <c r="D18" s="24" t="inlineStr">
        <is>
          <t>75198</t>
        </is>
      </c>
      <c r="E18" s="24" t="inlineStr">
        <is>
          <t>VALORANT</t>
        </is>
      </c>
      <c r="F18" s="24" t="inlineStr">
        <is>
          <t>FunPlus Phoenix</t>
        </is>
      </c>
      <c r="G18" s="24" t="inlineStr">
        <is>
          <t>Trace Esports</t>
        </is>
      </c>
      <c r="H18" s="24" t="inlineStr">
        <is>
          <t>moneyline</t>
        </is>
      </c>
      <c r="I18" s="24" t="inlineStr">
        <is>
          <t>away</t>
        </is>
      </c>
      <c r="J18" s="25" t="n"/>
      <c r="K18" s="24" t="inlineStr">
        <is>
          <t>polymarket_us</t>
        </is>
      </c>
      <c r="L18" s="26" t="n">
        <v>-156</v>
      </c>
      <c r="M18" s="27" t="n">
        <v>1.641026</v>
      </c>
      <c r="N18" s="28" t="n">
        <v>0.609375</v>
      </c>
      <c r="O18" s="28" t="n">
        <v>0.573219</v>
      </c>
      <c r="P18" s="28" t="n"/>
      <c r="Q18" s="28" t="n">
        <v>-0.036156</v>
      </c>
      <c r="R18" s="26" t="n">
        <v>2</v>
      </c>
      <c r="S18" s="29" t="n">
        <v>1.25</v>
      </c>
      <c r="T18" s="24" t="inlineStr">
        <is>
          <t>valorant-tiered-elo-v6</t>
        </is>
      </c>
      <c r="U18" s="24" t="inlineStr">
        <is>
          <t>settled</t>
        </is>
      </c>
      <c r="V18" s="24" t="inlineStr">
        <is>
          <t>loss</t>
        </is>
      </c>
      <c r="W18" s="26" t="n">
        <v>0</v>
      </c>
      <c r="X18" s="26" t="n">
        <v>1</v>
      </c>
      <c r="Y18" s="25" t="n"/>
      <c r="Z18" s="26" t="n">
        <v>-156</v>
      </c>
      <c r="AA18" s="28" t="n">
        <v>0.61</v>
      </c>
      <c r="AB18" s="28" t="n">
        <v>0.000625</v>
      </c>
      <c r="AC18" s="30" t="n">
        <v>-1.25</v>
      </c>
      <c r="AD18" s="24" t="inlineStr">
        <is>
          <t>2026-08-09T13:57:24.859683Z</t>
        </is>
      </c>
      <c r="AE18" s="31" t="inlineStr">
        <is>
          <t>Neutral Elo baseline; executable ask 0.6100 (market_slug=aec-valorant-te-fpx-2026-08-09).</t>
        </is>
      </c>
      <c r="AF18" s="31" t="inlineStr">
        <is>
          <t>Config-promoted esports baseline; gates enforced at log time.</t>
        </is>
      </c>
      <c r="AG18" s="24" t="inlineStr">
        <is>
          <t>review_required</t>
        </is>
      </c>
      <c r="AH18" s="24" t="n"/>
      <c r="AI18" s="31" t="n"/>
      <c r="AJ18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18" s="24" t="inlineStr">
        <is>
          <t>paper_call</t>
        </is>
      </c>
      <c r="AL18" s="26" t="n">
        <v>3</v>
      </c>
      <c r="AM18" s="24" t="inlineStr">
        <is>
          <t>RESEARCH_OBSERVATION</t>
        </is>
      </c>
      <c r="AN18" s="24" t="inlineStr">
        <is>
          <t>CALL</t>
        </is>
      </c>
      <c r="AO18" s="24" t="inlineStr">
        <is>
          <t>PAPER_CALL_WINNER_OVERVALUED</t>
        </is>
      </c>
      <c r="AP18" s="24" t="inlineStr">
        <is>
          <t>FunPlus Phoenix</t>
        </is>
      </c>
      <c r="AQ18" s="24" t="inlineStr">
        <is>
          <t>FunPlus Phoenix</t>
        </is>
      </c>
      <c r="AR18" s="24" t="inlineStr">
        <is>
          <t>FunPlus Phoenix</t>
        </is>
      </c>
      <c r="AS18" s="24" t="inlineStr">
        <is>
          <t>Trace Esports</t>
        </is>
      </c>
      <c r="AT18" s="24" t="inlineStr">
        <is>
          <t>Trace Esports</t>
        </is>
      </c>
      <c r="AU18" s="24" t="inlineStr">
        <is>
          <t>Trace Esports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67b3e354232dcf7d42c7254652acf9571d8428f0525233a41801be58038d644b</t>
        </is>
      </c>
      <c r="BB18" s="24" t="inlineStr">
        <is>
          <t>neutral_elo</t>
        </is>
      </c>
      <c r="BC18" s="24" t="inlineStr">
        <is>
          <t>valorant-tiered-elo-v6</t>
        </is>
      </c>
      <c r="BD18" s="24" t="inlineStr">
        <is>
          <t>67b3e354232dcf7d42c7254652acf9571d8428f0525233a41801be58038d644b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valorant-tiered-elo-v6</t>
        </is>
      </c>
      <c r="BH18" s="24" t="inlineStr">
        <is>
          <t>2026-08-09T05:18:28.783887Z</t>
        </is>
      </c>
      <c r="BI18" s="24" t="inlineStr">
        <is>
          <t>["same_event","same_team_same_day","same_league_same_day"]</t>
        </is>
      </c>
      <c r="BJ18" s="25" t="n"/>
      <c r="BK18" s="26" t="n">
        <v>-156</v>
      </c>
      <c r="BL18" s="27" t="n">
        <v>1.641026</v>
      </c>
      <c r="BM18" s="28" t="n">
        <v>0.609375</v>
      </c>
      <c r="BN18" s="28" t="n"/>
      <c r="BO18" s="28" t="n"/>
      <c r="BP18" s="25" t="n"/>
      <c r="BQ18" s="27" t="n">
        <v>1.641026</v>
      </c>
      <c r="BR18" s="28" t="n">
        <v>0.61</v>
      </c>
      <c r="BS18" s="28" t="n"/>
      <c r="BT18" s="28" t="n"/>
      <c r="BU18" s="25" t="n"/>
      <c r="BV18" s="29" t="n"/>
      <c r="BW18" s="24" t="n"/>
      <c r="BX18" s="30" t="n">
        <v>1</v>
      </c>
      <c r="BY18" s="27" t="n">
        <v>-1</v>
      </c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False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0.609375</t>
        </is>
      </c>
      <c r="DK18" s="24" t="n"/>
      <c r="DL18" s="24" t="n"/>
      <c r="DM18" s="24" t="n"/>
      <c r="DN18" s="24" t="n"/>
      <c r="DO18" s="24" t="n"/>
      <c r="DP18" s="24" t="n"/>
      <c r="DQ18" s="24" t="n"/>
    </row>
    <row r="19" ht="36" customHeight="1">
      <c r="A19" s="24" t="inlineStr">
        <is>
          <t>e22019103a834bca</t>
        </is>
      </c>
      <c r="B19" s="24" t="inlineStr">
        <is>
          <t>2026-08-09T05:18:41.462497Z</t>
        </is>
      </c>
      <c r="C19" s="24" t="inlineStr">
        <is>
          <t>2026-08-09T11:00:00Z</t>
        </is>
      </c>
      <c r="D19" s="24" t="inlineStr">
        <is>
          <t>73687</t>
        </is>
      </c>
      <c r="E19" s="24" t="inlineStr">
        <is>
          <t>VALORANT</t>
        </is>
      </c>
      <c r="F19" s="24" t="inlineStr">
        <is>
          <t>Rex Regum Qeon</t>
        </is>
      </c>
      <c r="G19" s="24" t="inlineStr">
        <is>
          <t>Nongshim RedForce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-223</v>
      </c>
      <c r="M19" s="27" t="n">
        <v>1.44843</v>
      </c>
      <c r="N19" s="28" t="n">
        <v>0.690402</v>
      </c>
      <c r="O19" s="28" t="n">
        <v>0.752573</v>
      </c>
      <c r="P19" s="28" t="n"/>
      <c r="Q19" s="28" t="n">
        <v>0.062171</v>
      </c>
      <c r="R19" s="26" t="n">
        <v>51</v>
      </c>
      <c r="S19" s="29" t="n">
        <v>2</v>
      </c>
      <c r="T19" s="24" t="inlineStr">
        <is>
          <t>valorant-tiered-elo-v6</t>
        </is>
      </c>
      <c r="U19" s="24" t="inlineStr">
        <is>
          <t>settled</t>
        </is>
      </c>
      <c r="V19" s="24" t="inlineStr">
        <is>
          <t>loss</t>
        </is>
      </c>
      <c r="W19" s="26" t="n">
        <v>1</v>
      </c>
      <c r="X19" s="26" t="n">
        <v>0</v>
      </c>
      <c r="Y19" s="25" t="n"/>
      <c r="Z19" s="26" t="n">
        <v>-223</v>
      </c>
      <c r="AA19" s="28" t="n">
        <v>0.6899999999999999</v>
      </c>
      <c r="AB19" s="28" t="n">
        <v>-0.000402</v>
      </c>
      <c r="AC19" s="30" t="n">
        <v>-2</v>
      </c>
      <c r="AD19" s="24" t="inlineStr">
        <is>
          <t>2026-08-09T13:57:26.709272Z</t>
        </is>
      </c>
      <c r="AE19" s="31" t="inlineStr">
        <is>
          <t>Neutral Elo baseline; executable ask 0.6900 (market_slug=aec-valorant-ns-rrq-2026-08-09).</t>
        </is>
      </c>
      <c r="AF19" s="31" t="inlineStr">
        <is>
          <t>Config-promoted esports baseline; gates enforced at log time.</t>
        </is>
      </c>
      <c r="AG19" s="24" t="inlineStr">
        <is>
          <t>review_required</t>
        </is>
      </c>
      <c r="AH19" s="24" t="n"/>
      <c r="AI19" s="31" t="n"/>
      <c r="AJ19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19" s="24" t="inlineStr">
        <is>
          <t>paper_call</t>
        </is>
      </c>
      <c r="AL19" s="26" t="n">
        <v>3</v>
      </c>
      <c r="AM19" s="24" t="inlineStr">
        <is>
          <t>RESEARCH_OBSERVATION</t>
        </is>
      </c>
      <c r="AN19" s="24" t="inlineStr">
        <is>
          <t>CALL</t>
        </is>
      </c>
      <c r="AO19" s="24" t="inlineStr">
        <is>
          <t>PAPER_CALL_WINNER_OVERVALUED</t>
        </is>
      </c>
      <c r="AP19" s="24" t="inlineStr">
        <is>
          <t>Rex Regum Qeon</t>
        </is>
      </c>
      <c r="AQ19" s="24" t="inlineStr">
        <is>
          <t>Rex Regum Qeon</t>
        </is>
      </c>
      <c r="AR19" s="24" t="inlineStr">
        <is>
          <t>Rex Regum Qeon</t>
        </is>
      </c>
      <c r="AS19" s="24" t="inlineStr">
        <is>
          <t>Nongshim RedForce</t>
        </is>
      </c>
      <c r="AT19" s="24" t="inlineStr">
        <is>
          <t>Nongshim RedForce</t>
        </is>
      </c>
      <c r="AU19" s="24" t="inlineStr">
        <is>
          <t>Nongshim RedForce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67b3e354232dcf7d42c7254652acf9571d8428f0525233a41801be58038d644b</t>
        </is>
      </c>
      <c r="BB19" s="24" t="inlineStr">
        <is>
          <t>neutral_elo</t>
        </is>
      </c>
      <c r="BC19" s="24" t="inlineStr">
        <is>
          <t>valorant-tiered-elo-v6</t>
        </is>
      </c>
      <c r="BD19" s="24" t="inlineStr">
        <is>
          <t>67b3e354232dcf7d42c7254652acf9571d8428f0525233a41801be58038d644b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valorant-tiered-elo-v6</t>
        </is>
      </c>
      <c r="BH19" s="24" t="inlineStr">
        <is>
          <t>2026-08-09T05:18:29.333380Z</t>
        </is>
      </c>
      <c r="BI19" s="24" t="inlineStr">
        <is>
          <t>["same_event","same_team_same_day","same_league_same_day"]</t>
        </is>
      </c>
      <c r="BJ19" s="25" t="n"/>
      <c r="BK19" s="26" t="n">
        <v>-223</v>
      </c>
      <c r="BL19" s="27" t="n">
        <v>1.44843</v>
      </c>
      <c r="BM19" s="28" t="n">
        <v>0.690402</v>
      </c>
      <c r="BN19" s="28" t="n"/>
      <c r="BO19" s="28" t="n"/>
      <c r="BP19" s="25" t="n"/>
      <c r="BQ19" s="27" t="n">
        <v>1.44843</v>
      </c>
      <c r="BR19" s="28" t="n">
        <v>0.6899999999999999</v>
      </c>
      <c r="BS19" s="28" t="n"/>
      <c r="BT19" s="28" t="n"/>
      <c r="BU19" s="25" t="n"/>
      <c r="BV19" s="29" t="n"/>
      <c r="BW19" s="24" t="n"/>
      <c r="BX19" s="30" t="n">
        <v>1</v>
      </c>
      <c r="BY19" s="27" t="n">
        <v>-1</v>
      </c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0.690402</t>
        </is>
      </c>
      <c r="DK19" s="24" t="n"/>
      <c r="DL19" s="24" t="n"/>
      <c r="DM19" s="24" t="n"/>
      <c r="DN19" s="24" t="n"/>
      <c r="DO19" s="24" t="n"/>
      <c r="DP19" s="24" t="n"/>
      <c r="DQ19" s="24" t="n"/>
    </row>
    <row r="20" ht="36" customHeight="1">
      <c r="A20" s="24" t="inlineStr">
        <is>
          <t>b62da450a9f84624</t>
        </is>
      </c>
      <c r="B20" s="24" t="inlineStr">
        <is>
          <t>2026-08-09T14:01:54.078227Z</t>
        </is>
      </c>
      <c r="C20" s="24" t="inlineStr">
        <is>
          <t>2026-08-09T15:00:00Z</t>
        </is>
      </c>
      <c r="D20" s="24" t="inlineStr">
        <is>
          <t>74126</t>
        </is>
      </c>
      <c r="E20" s="24" t="inlineStr">
        <is>
          <t>VALORANT</t>
        </is>
      </c>
      <c r="F20" s="24" t="inlineStr">
        <is>
          <t>Mom Said No</t>
        </is>
      </c>
      <c r="G20" s="24" t="inlineStr">
        <is>
          <t>Barça eSports GC</t>
        </is>
      </c>
      <c r="H20" s="24" t="inlineStr">
        <is>
          <t>moneyline</t>
        </is>
      </c>
      <c r="I20" s="24" t="inlineStr">
        <is>
          <t>away</t>
        </is>
      </c>
      <c r="J20" s="25" t="n"/>
      <c r="K20" s="24" t="inlineStr">
        <is>
          <t>polymarket_us</t>
        </is>
      </c>
      <c r="L20" s="26" t="n">
        <v>178</v>
      </c>
      <c r="M20" s="27" t="n">
        <v>2.78</v>
      </c>
      <c r="N20" s="28" t="n">
        <v>0.359712</v>
      </c>
      <c r="O20" s="28" t="n">
        <v>0.526416</v>
      </c>
      <c r="P20" s="28" t="n"/>
      <c r="Q20" s="28" t="n">
        <v>0.166704</v>
      </c>
      <c r="R20" s="26" t="n">
        <v>100</v>
      </c>
      <c r="S20" s="29" t="n">
        <v>1</v>
      </c>
      <c r="T20" s="24" t="inlineStr">
        <is>
          <t>valorant-tiered-elo-v6</t>
        </is>
      </c>
      <c r="U20" s="24" t="inlineStr">
        <is>
          <t>settled</t>
        </is>
      </c>
      <c r="V20" s="24" t="inlineStr">
        <is>
          <t>loss</t>
        </is>
      </c>
      <c r="W20" s="26" t="n">
        <v>0</v>
      </c>
      <c r="X20" s="26" t="n">
        <v>1</v>
      </c>
      <c r="Y20" s="25" t="n"/>
      <c r="Z20" s="26" t="n">
        <v>178</v>
      </c>
      <c r="AA20" s="28" t="n">
        <v>0.36</v>
      </c>
      <c r="AB20" s="28" t="n">
        <v>0.000288</v>
      </c>
      <c r="AC20" s="30" t="n">
        <v>-1</v>
      </c>
      <c r="AD20" s="24" t="inlineStr">
        <is>
          <t>2026-08-09T17:05:14.996643Z</t>
        </is>
      </c>
      <c r="AE20" s="31" t="inlineStr">
        <is>
          <t>Neutral Elo baseline; executable ask 0.3600 (market_slug=aec-valorant-beg-msn-2026-08-09).</t>
        </is>
      </c>
      <c r="AF20" s="31" t="inlineStr">
        <is>
          <t>Config-promoted esports baseline; gates enforced at log time.</t>
        </is>
      </c>
      <c r="AG20" s="24" t="inlineStr">
        <is>
          <t>review_required</t>
        </is>
      </c>
      <c r="AH20" s="24" t="n"/>
      <c r="AI20" s="31" t="n"/>
      <c r="AJ20" s="31" t="n"/>
      <c r="AK20" s="24" t="inlineStr">
        <is>
          <t>paper_call</t>
        </is>
      </c>
      <c r="AL20" s="26" t="n">
        <v>3</v>
      </c>
      <c r="AM20" s="24" t="inlineStr">
        <is>
          <t>RESEARCH_OBSERVATION</t>
        </is>
      </c>
      <c r="AN20" s="24" t="inlineStr">
        <is>
          <t>CALL</t>
        </is>
      </c>
      <c r="AO20" s="24" t="inlineStr">
        <is>
          <t>PAPER_CALL_MODEL_UNVALIDATED</t>
        </is>
      </c>
      <c r="AP20" s="24" t="inlineStr">
        <is>
          <t>Mom Said No</t>
        </is>
      </c>
      <c r="AQ20" s="24" t="inlineStr">
        <is>
          <t>Mom Said No</t>
        </is>
      </c>
      <c r="AR20" s="24" t="inlineStr">
        <is>
          <t>Mom Said No</t>
        </is>
      </c>
      <c r="AS20" s="24" t="inlineStr">
        <is>
          <t>Barça eSports GC</t>
        </is>
      </c>
      <c r="AT20" s="24" t="inlineStr">
        <is>
          <t>Barça eSports GC</t>
        </is>
      </c>
      <c r="AU20" s="24" t="inlineStr">
        <is>
          <t>Barça eSports GC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81f6f136ed670ca8e0bae95e7cbf7a73346c6b57de3226092fe100fd3713f0b1</t>
        </is>
      </c>
      <c r="BB20" s="24" t="inlineStr">
        <is>
          <t>neutral_elo</t>
        </is>
      </c>
      <c r="BC20" s="24" t="inlineStr">
        <is>
          <t>valorant-tiered-elo-v6</t>
        </is>
      </c>
      <c r="BD20" s="24" t="inlineStr">
        <is>
          <t>81f6f136ed670ca8e0bae95e7cbf7a73346c6b57de3226092fe100fd3713f0b1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valorant-tiered-elo-v6</t>
        </is>
      </c>
      <c r="BH20" s="24" t="inlineStr">
        <is>
          <t>2026-08-09T14:01:44.060563Z</t>
        </is>
      </c>
      <c r="BI20" s="24" t="inlineStr">
        <is>
          <t>["same_event","same_team_same_day","same_league_same_day"]</t>
        </is>
      </c>
      <c r="BJ20" s="25" t="n"/>
      <c r="BK20" s="26" t="n">
        <v>178</v>
      </c>
      <c r="BL20" s="27" t="n">
        <v>2.78</v>
      </c>
      <c r="BM20" s="28" t="n">
        <v>0.359712</v>
      </c>
      <c r="BN20" s="28" t="n"/>
      <c r="BO20" s="28" t="n"/>
      <c r="BP20" s="25" t="n"/>
      <c r="BQ20" s="27" t="n">
        <v>2.78</v>
      </c>
      <c r="BR20" s="28" t="n">
        <v>0.36</v>
      </c>
      <c r="BS20" s="28" t="n"/>
      <c r="BT20" s="28" t="n"/>
      <c r="BU20" s="25" t="n"/>
      <c r="BV20" s="29" t="n"/>
      <c r="BW20" s="24" t="n"/>
      <c r="BX20" s="30" t="n">
        <v>1</v>
      </c>
      <c r="BY20" s="27" t="n">
        <v>-1</v>
      </c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0.359712</t>
        </is>
      </c>
      <c r="DK20" s="24" t="n"/>
      <c r="DL20" s="24" t="n"/>
      <c r="DM20" s="24" t="n"/>
      <c r="DN20" s="24" t="n"/>
      <c r="DO20" s="24" t="n"/>
      <c r="DP20" s="24" t="n"/>
      <c r="DQ20" s="24" t="n"/>
    </row>
    <row r="21" ht="36" customHeight="1">
      <c r="A21" s="24" t="inlineStr">
        <is>
          <t>507b911ccae0449b</t>
        </is>
      </c>
      <c r="B21" s="24" t="inlineStr">
        <is>
          <t>2026-08-09T14:01:54.078227Z</t>
        </is>
      </c>
      <c r="C21" s="24" t="inlineStr">
        <is>
          <t>2026-08-09T17:00:00Z</t>
        </is>
      </c>
      <c r="D21" s="24" t="inlineStr">
        <is>
          <t>74304</t>
        </is>
      </c>
      <c r="E21" s="24" t="inlineStr">
        <is>
          <t>VALORANT</t>
        </is>
      </c>
      <c r="F21" s="24" t="inlineStr">
        <is>
          <t>FALKE VENOM</t>
        </is>
      </c>
      <c r="G21" s="24" t="inlineStr">
        <is>
          <t>GIANTX GC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-213</v>
      </c>
      <c r="M21" s="27" t="n">
        <v>1.469484</v>
      </c>
      <c r="N21" s="28" t="n">
        <v>0.680511</v>
      </c>
      <c r="O21" s="28" t="n">
        <v>0.528101</v>
      </c>
      <c r="P21" s="28" t="n"/>
      <c r="Q21" s="28" t="n">
        <v>-0.15241</v>
      </c>
      <c r="R21" s="26" t="n">
        <v>0</v>
      </c>
      <c r="S21" s="29" t="n">
        <v>1</v>
      </c>
      <c r="T21" s="24" t="inlineStr">
        <is>
          <t>valorant-tiered-elo-v6</t>
        </is>
      </c>
      <c r="U21" s="24" t="inlineStr">
        <is>
          <t>settled</t>
        </is>
      </c>
      <c r="V21" s="24" t="inlineStr">
        <is>
          <t>win</t>
        </is>
      </c>
      <c r="W21" s="26" t="n">
        <v>0</v>
      </c>
      <c r="X21" s="26" t="n">
        <v>1</v>
      </c>
      <c r="Y21" s="25" t="n"/>
      <c r="Z21" s="26" t="n">
        <v>-213</v>
      </c>
      <c r="AA21" s="28" t="n">
        <v>0.68</v>
      </c>
      <c r="AB21" s="28" t="n">
        <v>-0.000511</v>
      </c>
      <c r="AC21" s="30" t="n">
        <v>0.4695</v>
      </c>
      <c r="AD21" s="24" t="inlineStr">
        <is>
          <t>2026-08-09T20:26:18.099085Z</t>
        </is>
      </c>
      <c r="AE21" s="31" t="inlineStr">
        <is>
          <t>Neutral Elo baseline; executable ask 0.6800 (market_slug=aec-valorant-gxgc-fva-2026-08-09).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1" s="24" t="inlineStr">
        <is>
          <t>paper_call</t>
        </is>
      </c>
      <c r="AL21" s="26" t="n">
        <v>3</v>
      </c>
      <c r="AM21" s="24" t="inlineStr">
        <is>
          <t>RESEARCH_OBSERVATION</t>
        </is>
      </c>
      <c r="AN21" s="24" t="inlineStr">
        <is>
          <t>CALL</t>
        </is>
      </c>
      <c r="AO21" s="24" t="inlineStr">
        <is>
          <t>PAPER_CALL_WINNER_OVERVALUED</t>
        </is>
      </c>
      <c r="AP21" s="24" t="inlineStr">
        <is>
          <t>FALKE VENOM</t>
        </is>
      </c>
      <c r="AQ21" s="24" t="inlineStr">
        <is>
          <t>FALKE VENOM</t>
        </is>
      </c>
      <c r="AR21" s="24" t="inlineStr">
        <is>
          <t>FALKE VENOM</t>
        </is>
      </c>
      <c r="AS21" s="24" t="inlineStr">
        <is>
          <t>GIANTX GC</t>
        </is>
      </c>
      <c r="AT21" s="24" t="inlineStr">
        <is>
          <t>GIANTX GC</t>
        </is>
      </c>
      <c r="AU21" s="24" t="inlineStr">
        <is>
          <t>GIANTX GC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81f6f136ed670ca8e0bae95e7cbf7a73346c6b57de3226092fe100fd3713f0b1</t>
        </is>
      </c>
      <c r="BB21" s="24" t="inlineStr">
        <is>
          <t>neutral_elo</t>
        </is>
      </c>
      <c r="BC21" s="24" t="inlineStr">
        <is>
          <t>valorant-tiered-elo-v6</t>
        </is>
      </c>
      <c r="BD21" s="24" t="inlineStr">
        <is>
          <t>81f6f136ed670ca8e0bae95e7cbf7a73346c6b57de3226092fe100fd3713f0b1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valorant-tiered-elo-v6</t>
        </is>
      </c>
      <c r="BH21" s="24" t="inlineStr">
        <is>
          <t>2026-08-09T14:01:44.670733Z</t>
        </is>
      </c>
      <c r="BI21" s="24" t="inlineStr">
        <is>
          <t>["same_event","same_team_same_day","same_league_same_day"]</t>
        </is>
      </c>
      <c r="BJ21" s="25" t="n"/>
      <c r="BK21" s="26" t="n">
        <v>-213</v>
      </c>
      <c r="BL21" s="27" t="n">
        <v>1.469484</v>
      </c>
      <c r="BM21" s="28" t="n">
        <v>0.680511</v>
      </c>
      <c r="BN21" s="28" t="n"/>
      <c r="BO21" s="28" t="n"/>
      <c r="BP21" s="25" t="n"/>
      <c r="BQ21" s="27" t="n">
        <v>1.469484</v>
      </c>
      <c r="BR21" s="28" t="n">
        <v>0.68</v>
      </c>
      <c r="BS21" s="28" t="n"/>
      <c r="BT21" s="28" t="n"/>
      <c r="BU21" s="25" t="n"/>
      <c r="BV21" s="29" t="n"/>
      <c r="BW21" s="24" t="n"/>
      <c r="BX21" s="30" t="n">
        <v>1</v>
      </c>
      <c r="BY21" s="27" t="n">
        <v>0.91</v>
      </c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False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0.680511</t>
        </is>
      </c>
      <c r="DK21" s="24" t="n"/>
      <c r="DL21" s="24" t="n"/>
      <c r="DM21" s="24" t="n"/>
      <c r="DN21" s="24" t="n"/>
      <c r="DO21" s="24" t="n"/>
      <c r="DP21" s="24" t="n"/>
      <c r="DQ21" s="24" t="n"/>
    </row>
    <row r="22" ht="36" customHeight="1">
      <c r="A22" s="24" t="inlineStr">
        <is>
          <t>0b03eb258bf34565</t>
        </is>
      </c>
      <c r="B22" s="24" t="inlineStr">
        <is>
          <t>2026-08-09T17:08:20.055519Z</t>
        </is>
      </c>
      <c r="C22" s="24" t="inlineStr">
        <is>
          <t>2026-08-09T18:00:00Z</t>
        </is>
      </c>
      <c r="D22" s="24" t="inlineStr">
        <is>
          <t>74609</t>
        </is>
      </c>
      <c r="E22" s="24" t="inlineStr">
        <is>
          <t>VALORANT</t>
        </is>
      </c>
      <c r="F22" s="24" t="inlineStr">
        <is>
          <t>Enterprise Esports</t>
        </is>
      </c>
      <c r="G22" s="24" t="inlineStr">
        <is>
          <t>Gentle Mates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150</v>
      </c>
      <c r="M22" s="27" t="n">
        <v>2.5</v>
      </c>
      <c r="N22" s="28" t="n">
        <v>0.4</v>
      </c>
      <c r="O22" s="28" t="n">
        <v>0.804725</v>
      </c>
      <c r="P22" s="28" t="n"/>
      <c r="Q22" s="28" t="n">
        <v>0.404725</v>
      </c>
      <c r="R22" s="26" t="n">
        <v>100</v>
      </c>
      <c r="S22" s="29" t="n">
        <v>2</v>
      </c>
      <c r="T22" s="24" t="inlineStr">
        <is>
          <t>valorant-tiered-elo-v6</t>
        </is>
      </c>
      <c r="U22" s="24" t="inlineStr">
        <is>
          <t>settled</t>
        </is>
      </c>
      <c r="V22" s="24" t="inlineStr">
        <is>
          <t>win</t>
        </is>
      </c>
      <c r="W22" s="26" t="n">
        <v>1</v>
      </c>
      <c r="X22" s="26" t="n">
        <v>0</v>
      </c>
      <c r="Y22" s="25" t="n"/>
      <c r="Z22" s="26" t="n">
        <v>150</v>
      </c>
      <c r="AA22" s="28" t="n">
        <v>0.4</v>
      </c>
      <c r="AB22" s="28" t="n">
        <v>0</v>
      </c>
      <c r="AC22" s="30" t="n">
        <v>3</v>
      </c>
      <c r="AD22" s="24" t="inlineStr">
        <is>
          <t>2026-08-09T20:26:19.644495Z</t>
        </is>
      </c>
      <c r="AE22" s="31" t="inlineStr">
        <is>
          <t>Neutral Elo baseline; executable ask 0.4000 (market_slug=aec-valorant-gm-ep-2026-08-09).</t>
        </is>
      </c>
      <c r="AF22" s="31" t="inlineStr">
        <is>
          <t>Config-promoted esports baseline; gates enforced at log time.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Enterprise Esports</t>
        </is>
      </c>
      <c r="AQ22" s="24" t="inlineStr">
        <is>
          <t>Enterprise Esports</t>
        </is>
      </c>
      <c r="AR22" s="24" t="inlineStr">
        <is>
          <t>Enterprise Esports</t>
        </is>
      </c>
      <c r="AS22" s="24" t="inlineStr">
        <is>
          <t>Gentle Mates</t>
        </is>
      </c>
      <c r="AT22" s="24" t="inlineStr">
        <is>
          <t>Gentle Mates</t>
        </is>
      </c>
      <c r="AU22" s="24" t="inlineStr">
        <is>
          <t>Gentle Mates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43316dd49e7f9b1a20757c6d2b94b720f27a77b2c5fd90af5fff6a8c8dacabc4</t>
        </is>
      </c>
      <c r="BB22" s="24" t="inlineStr">
        <is>
          <t>neutral_elo</t>
        </is>
      </c>
      <c r="BC22" s="24" t="inlineStr">
        <is>
          <t>valorant-tiered-elo-v6</t>
        </is>
      </c>
      <c r="BD22" s="24" t="inlineStr">
        <is>
          <t>43316dd49e7f9b1a20757c6d2b94b720f27a77b2c5fd90af5fff6a8c8dacabc4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valorant-tiered-elo-v6</t>
        </is>
      </c>
      <c r="BH22" s="24" t="inlineStr">
        <is>
          <t>2026-08-09T17:08:10.558137Z</t>
        </is>
      </c>
      <c r="BI22" s="24" t="inlineStr">
        <is>
          <t>["same_event","same_team_same_day","same_league_same_day"]</t>
        </is>
      </c>
      <c r="BJ22" s="25" t="n"/>
      <c r="BK22" s="26" t="n">
        <v>150</v>
      </c>
      <c r="BL22" s="27" t="n">
        <v>2.5</v>
      </c>
      <c r="BM22" s="28" t="n">
        <v>0.4</v>
      </c>
      <c r="BN22" s="28" t="n"/>
      <c r="BO22" s="28" t="n"/>
      <c r="BP22" s="25" t="n"/>
      <c r="BQ22" s="27" t="n">
        <v>2.5</v>
      </c>
      <c r="BR22" s="28" t="n">
        <v>0.4</v>
      </c>
      <c r="BS22" s="28" t="n"/>
      <c r="BT22" s="28" t="n"/>
      <c r="BU22" s="25" t="n"/>
      <c r="BV22" s="29" t="n"/>
      <c r="BW22" s="24" t="n"/>
      <c r="BX22" s="30" t="n">
        <v>1</v>
      </c>
      <c r="BY22" s="27" t="n">
        <v>0.91</v>
      </c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0.4</t>
        </is>
      </c>
      <c r="DK22" s="24" t="n"/>
      <c r="DL22" s="24" t="n"/>
      <c r="DM22" s="24" t="n"/>
      <c r="DN22" s="24" t="n"/>
      <c r="DO22" s="24" t="n"/>
      <c r="DP22" s="24" t="n"/>
      <c r="DQ22" s="24" t="n"/>
    </row>
    <row r="23" ht="36" customHeight="1">
      <c r="A23" s="24" t="inlineStr">
        <is>
          <t>13245694d2e241b2</t>
        </is>
      </c>
      <c r="B23" s="24" t="inlineStr">
        <is>
          <t>2026-08-10T05:41:22.375323Z</t>
        </is>
      </c>
      <c r="C23" s="24" t="inlineStr">
        <is>
          <t>2026-08-10T10:00:00Z</t>
        </is>
      </c>
      <c r="D23" s="24" t="inlineStr">
        <is>
          <t>74398</t>
        </is>
      </c>
      <c r="E23" s="24" t="inlineStr">
        <is>
          <t>VALORANT</t>
        </is>
      </c>
      <c r="F23" s="24" t="inlineStr">
        <is>
          <t>TEC Esports</t>
        </is>
      </c>
      <c r="G23" s="24" t="inlineStr">
        <is>
          <t>Dragon Ranger Gaming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-186</v>
      </c>
      <c r="M23" s="27" t="n">
        <v>1.537634</v>
      </c>
      <c r="N23" s="28" t="n">
        <v>0.65035</v>
      </c>
      <c r="O23" s="28" t="n">
        <v>0.52471</v>
      </c>
      <c r="P23" s="28" t="n"/>
      <c r="Q23" s="28" t="n">
        <v>-0.12564</v>
      </c>
      <c r="R23" s="26" t="n">
        <v>0</v>
      </c>
      <c r="S23" s="29" t="n">
        <v>1</v>
      </c>
      <c r="T23" s="24" t="inlineStr">
        <is>
          <t>valorant-tiered-elo-v6</t>
        </is>
      </c>
      <c r="U23" s="24" t="inlineStr">
        <is>
          <t>settled</t>
        </is>
      </c>
      <c r="V23" s="24" t="inlineStr">
        <is>
          <t>loss</t>
        </is>
      </c>
      <c r="W23" s="26" t="n">
        <v>1</v>
      </c>
      <c r="X23" s="26" t="n">
        <v>0</v>
      </c>
      <c r="Y23" s="25" t="n"/>
      <c r="Z23" s="26" t="n">
        <v>-186</v>
      </c>
      <c r="AA23" s="28" t="n">
        <v>0.65</v>
      </c>
      <c r="AB23" s="28" t="n">
        <v>-0.00035</v>
      </c>
      <c r="AC23" s="30" t="n">
        <v>-1</v>
      </c>
      <c r="AD23" s="24" t="inlineStr">
        <is>
          <t>2026-08-10T16:33:30.239596Z</t>
        </is>
      </c>
      <c r="AE23" s="31" t="inlineStr">
        <is>
          <t>Neutral Elo baseline; executable ask 0.6500 (market_slug=aec-valorant-drg-tec-2026-08-10).</t>
        </is>
      </c>
      <c r="AF23" s="31" t="inlineStr">
        <is>
          <t>Config-promoted esports baseline; gates enforced at log time.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paper_call</t>
        </is>
      </c>
      <c r="AL23" s="26" t="n">
        <v>3</v>
      </c>
      <c r="AM23" s="24" t="inlineStr">
        <is>
          <t>RESEARCH_OBSERVATION</t>
        </is>
      </c>
      <c r="AN23" s="24" t="inlineStr">
        <is>
          <t>CALL</t>
        </is>
      </c>
      <c r="AO23" s="24" t="inlineStr">
        <is>
          <t>PAPER_CALL_LOW_EDGE</t>
        </is>
      </c>
      <c r="AP23" s="24" t="inlineStr">
        <is>
          <t>TEC Esports</t>
        </is>
      </c>
      <c r="AQ23" s="24" t="inlineStr">
        <is>
          <t>TEC Esports</t>
        </is>
      </c>
      <c r="AR23" s="24" t="inlineStr">
        <is>
          <t>TEC Esports</t>
        </is>
      </c>
      <c r="AS23" s="24" t="inlineStr">
        <is>
          <t>Dragon Ranger Gaming</t>
        </is>
      </c>
      <c r="AT23" s="24" t="inlineStr">
        <is>
          <t>Dragon Ranger Gaming</t>
        </is>
      </c>
      <c r="AU23" s="24" t="inlineStr">
        <is>
          <t>Dragon Ranger Gaming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72266705b8963b767d143e41ed9cc1fa063d302f1a1376fa6a6c7c696f8946b8</t>
        </is>
      </c>
      <c r="BB23" s="24" t="inlineStr">
        <is>
          <t>neutral_elo</t>
        </is>
      </c>
      <c r="BC23" s="24" t="inlineStr">
        <is>
          <t>valorant-tiered-elo-v6</t>
        </is>
      </c>
      <c r="BD23" s="24" t="inlineStr">
        <is>
          <t>72266705b8963b767d143e41ed9cc1fa063d302f1a1376fa6a6c7c696f8946b8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valorant-tiered-elo-v6</t>
        </is>
      </c>
      <c r="BH23" s="24" t="inlineStr">
        <is>
          <t>2026-08-10T05:41:12.310605Z</t>
        </is>
      </c>
      <c r="BI23" s="24" t="inlineStr">
        <is>
          <t>["same_event","same_team_same_day","same_league_same_day"]</t>
        </is>
      </c>
      <c r="BJ23" s="25" t="n"/>
      <c r="BK23" s="26" t="n">
        <v>-186</v>
      </c>
      <c r="BL23" s="27" t="n">
        <v>1.537634</v>
      </c>
      <c r="BM23" s="28" t="n">
        <v>0.65035</v>
      </c>
      <c r="BN23" s="28" t="n"/>
      <c r="BO23" s="28" t="n"/>
      <c r="BP23" s="25" t="n"/>
      <c r="BQ23" s="27" t="n">
        <v>1.537634</v>
      </c>
      <c r="BR23" s="28" t="n">
        <v>0.65</v>
      </c>
      <c r="BS23" s="28" t="n"/>
      <c r="BT23" s="28" t="n"/>
      <c r="BU23" s="25" t="n"/>
      <c r="BV23" s="29" t="n"/>
      <c r="BW23" s="24" t="n"/>
      <c r="BX23" s="30" t="n">
        <v>1</v>
      </c>
      <c r="BY23" s="27" t="n">
        <v>-1</v>
      </c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False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0.65035</t>
        </is>
      </c>
      <c r="DK23" s="24" t="n"/>
      <c r="DL23" s="24" t="n"/>
      <c r="DM23" s="24" t="n"/>
      <c r="DN23" s="24" t="n"/>
      <c r="DO23" s="24" t="n"/>
      <c r="DP23" s="24" t="n"/>
      <c r="DQ23" s="24" t="n"/>
    </row>
    <row r="24" ht="36" customHeight="1">
      <c r="A24" s="24" t="inlineStr">
        <is>
          <t>9847fafdd60e486d</t>
        </is>
      </c>
      <c r="B24" s="24" t="inlineStr">
        <is>
          <t>2026-08-10T16:36:45.039622Z</t>
        </is>
      </c>
      <c r="C24" s="24" t="inlineStr">
        <is>
          <t>2026-08-10T18:00:00Z</t>
        </is>
      </c>
      <c r="D24" s="24" t="inlineStr">
        <is>
          <t>76786</t>
        </is>
      </c>
      <c r="E24" s="24" t="inlineStr">
        <is>
          <t>VALORANT</t>
        </is>
      </c>
      <c r="F24" s="24" t="inlineStr">
        <is>
          <t>GIANTX GC</t>
        </is>
      </c>
      <c r="G24" s="24" t="inlineStr">
        <is>
          <t>Barça eSports GC</t>
        </is>
      </c>
      <c r="H24" s="24" t="inlineStr">
        <is>
          <t>moneyline</t>
        </is>
      </c>
      <c r="I24" s="24" t="inlineStr">
        <is>
          <t>away</t>
        </is>
      </c>
      <c r="J24" s="25" t="n"/>
      <c r="K24" s="24" t="inlineStr">
        <is>
          <t>polymarket_us</t>
        </is>
      </c>
      <c r="L24" s="26" t="n">
        <v>-127</v>
      </c>
      <c r="M24" s="27" t="n">
        <v>1.787402</v>
      </c>
      <c r="N24" s="28" t="n">
        <v>0.5594710000000001</v>
      </c>
      <c r="O24" s="28" t="n">
        <v>0.575653</v>
      </c>
      <c r="P24" s="28" t="n"/>
      <c r="Q24" s="28" t="n">
        <v>0.016182</v>
      </c>
      <c r="R24" s="26" t="n">
        <v>28</v>
      </c>
      <c r="S24" s="29" t="n">
        <v>1.25</v>
      </c>
      <c r="T24" s="24" t="inlineStr">
        <is>
          <t>valorant-tiered-elo-v6</t>
        </is>
      </c>
      <c r="U24" s="24" t="inlineStr">
        <is>
          <t>settled</t>
        </is>
      </c>
      <c r="V24" s="24" t="inlineStr">
        <is>
          <t>win</t>
        </is>
      </c>
      <c r="W24" s="26" t="n">
        <v>1</v>
      </c>
      <c r="X24" s="26" t="n">
        <v>0</v>
      </c>
      <c r="Y24" s="25" t="n"/>
      <c r="Z24" s="26" t="n">
        <v>-127</v>
      </c>
      <c r="AA24" s="28" t="n">
        <v>0.5600000000000001</v>
      </c>
      <c r="AB24" s="28" t="n">
        <v>0.000529</v>
      </c>
      <c r="AC24" s="30" t="n">
        <v>0.9843</v>
      </c>
      <c r="AD24" s="24" t="inlineStr">
        <is>
          <t>2026-08-11T13:08:45.083511Z</t>
        </is>
      </c>
      <c r="AE24" s="31" t="inlineStr">
        <is>
          <t>Neutral Elo baseline; executable ask 0.5600 (market_slug=aec-valorant-beg-gxgc-2026-08-10).</t>
        </is>
      </c>
      <c r="AF24" s="31" t="inlineStr">
        <is>
          <t>Config-promoted esports baseline; gates enforced at log time.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paper_call</t>
        </is>
      </c>
      <c r="AL24" s="26" t="n">
        <v>3</v>
      </c>
      <c r="AM24" s="24" t="inlineStr">
        <is>
          <t>RESEARCH_OBSERVATION</t>
        </is>
      </c>
      <c r="AN24" s="24" t="inlineStr">
        <is>
          <t>CALL</t>
        </is>
      </c>
      <c r="AO24" s="24" t="inlineStr">
        <is>
          <t>PAPER_CALL_LOW_EDGE</t>
        </is>
      </c>
      <c r="AP24" s="24" t="inlineStr">
        <is>
          <t>GIANTX GC</t>
        </is>
      </c>
      <c r="AQ24" s="24" t="inlineStr">
        <is>
          <t>GIANTX GC</t>
        </is>
      </c>
      <c r="AR24" s="24" t="inlineStr">
        <is>
          <t>GIANTX GC</t>
        </is>
      </c>
      <c r="AS24" s="24" t="inlineStr">
        <is>
          <t>Barça eSports GC</t>
        </is>
      </c>
      <c r="AT24" s="24" t="inlineStr">
        <is>
          <t>Barça eSports GC</t>
        </is>
      </c>
      <c r="AU24" s="24" t="inlineStr">
        <is>
          <t>Barça eSports GC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2bc5ea39dc27eb41c7f3cbd9b58da9bee3940cd90f1ffefbd7b6a82f96fdee45</t>
        </is>
      </c>
      <c r="BB24" s="24" t="inlineStr">
        <is>
          <t>neutral_elo</t>
        </is>
      </c>
      <c r="BC24" s="24" t="inlineStr">
        <is>
          <t>valorant-tiered-elo-v6</t>
        </is>
      </c>
      <c r="BD24" s="24" t="inlineStr">
        <is>
          <t>2bc5ea39dc27eb41c7f3cbd9b58da9bee3940cd90f1ffefbd7b6a82f96fdee45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valorant-tiered-elo-v6</t>
        </is>
      </c>
      <c r="BH24" s="24" t="inlineStr">
        <is>
          <t>2026-08-10T16:36:29.267540Z</t>
        </is>
      </c>
      <c r="BI24" s="24" t="inlineStr">
        <is>
          <t>["same_event","same_team_same_day","same_league_same_day"]</t>
        </is>
      </c>
      <c r="BJ24" s="25" t="n"/>
      <c r="BK24" s="26" t="n">
        <v>-127</v>
      </c>
      <c r="BL24" s="27" t="n">
        <v>1.787402</v>
      </c>
      <c r="BM24" s="28" t="n">
        <v>0.5594710000000001</v>
      </c>
      <c r="BN24" s="28" t="n"/>
      <c r="BO24" s="28" t="n"/>
      <c r="BP24" s="25" t="n"/>
      <c r="BQ24" s="27" t="n">
        <v>1.787402</v>
      </c>
      <c r="BR24" s="28" t="n">
        <v>0.5600000000000001</v>
      </c>
      <c r="BS24" s="28" t="n"/>
      <c r="BT24" s="28" t="n"/>
      <c r="BU24" s="25" t="n"/>
      <c r="BV24" s="29" t="n"/>
      <c r="BW24" s="24" t="n"/>
      <c r="BX24" s="30" t="n">
        <v>1</v>
      </c>
      <c r="BY24" s="27" t="n">
        <v>0.91</v>
      </c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0.559471</t>
        </is>
      </c>
      <c r="DK24" s="24" t="n"/>
      <c r="DL24" s="24" t="n"/>
      <c r="DM24" s="24" t="n"/>
      <c r="DN24" s="24" t="n"/>
      <c r="DO24" s="24" t="n"/>
      <c r="DP24" s="24" t="n"/>
      <c r="DQ24" s="24" t="n"/>
    </row>
    <row r="25" ht="36" customHeight="1">
      <c r="A25" s="24" t="inlineStr">
        <is>
          <t>622d47fd9b3a46fa</t>
        </is>
      </c>
      <c r="B25" s="24" t="inlineStr">
        <is>
          <t>2026-08-10T16:36:45.039622Z</t>
        </is>
      </c>
      <c r="C25" s="24" t="inlineStr">
        <is>
          <t>2026-08-10T21:00:00Z</t>
        </is>
      </c>
      <c r="D25" s="24" t="inlineStr">
        <is>
          <t>74870</t>
        </is>
      </c>
      <c r="E25" s="24" t="inlineStr">
        <is>
          <t>VALORANT</t>
        </is>
      </c>
      <c r="F25" s="24" t="inlineStr">
        <is>
          <t>:3</t>
        </is>
      </c>
      <c r="G25" s="24" t="inlineStr">
        <is>
          <t>SEN Otters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-133</v>
      </c>
      <c r="M25" s="27" t="n">
        <v>1.75188</v>
      </c>
      <c r="N25" s="28" t="n">
        <v>0.570815</v>
      </c>
      <c r="O25" s="28" t="n">
        <v>0.5605290000000001</v>
      </c>
      <c r="P25" s="28" t="n"/>
      <c r="Q25" s="28" t="n">
        <v>-0.010286</v>
      </c>
      <c r="R25" s="26" t="n">
        <v>15</v>
      </c>
      <c r="S25" s="29" t="n">
        <v>1</v>
      </c>
      <c r="T25" s="24" t="inlineStr">
        <is>
          <t>valorant-tiered-elo-v6</t>
        </is>
      </c>
      <c r="U25" s="24" t="inlineStr">
        <is>
          <t>settled</t>
        </is>
      </c>
      <c r="V25" s="24" t="inlineStr">
        <is>
          <t>win</t>
        </is>
      </c>
      <c r="W25" s="26" t="n">
        <v>0</v>
      </c>
      <c r="X25" s="26" t="n">
        <v>1</v>
      </c>
      <c r="Y25" s="25" t="n"/>
      <c r="Z25" s="26" t="n">
        <v>-133</v>
      </c>
      <c r="AA25" s="28" t="n">
        <v>0.57</v>
      </c>
      <c r="AB25" s="28" t="n">
        <v>-0.000815</v>
      </c>
      <c r="AC25" s="30" t="n">
        <v>0.7519</v>
      </c>
      <c r="AD25" s="24" t="inlineStr">
        <is>
          <t>2026-08-11T13:08:46.885412Z</t>
        </is>
      </c>
      <c r="AE25" s="31" t="inlineStr">
        <is>
          <t>Neutral Elo baseline; executable ask 0.5700 (market_slug=aec-valorant-soe-meow-2026-08-10).</t>
        </is>
      </c>
      <c r="AF25" s="31" t="inlineStr">
        <is>
          <t>Config-promoted esports baseline; gates enforced at log time.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paper_call</t>
        </is>
      </c>
      <c r="AL25" s="26" t="n">
        <v>3</v>
      </c>
      <c r="AM25" s="24" t="inlineStr">
        <is>
          <t>RESEARCH_OBSERVATION</t>
        </is>
      </c>
      <c r="AN25" s="24" t="inlineStr">
        <is>
          <t>CALL</t>
        </is>
      </c>
      <c r="AO25" s="24" t="inlineStr">
        <is>
          <t>PAPER_CALL_LOW_EDGE</t>
        </is>
      </c>
      <c r="AP25" s="24" t="inlineStr">
        <is>
          <t>:3</t>
        </is>
      </c>
      <c r="AQ25" s="24" t="inlineStr">
        <is>
          <t>:3</t>
        </is>
      </c>
      <c r="AR25" s="24" t="inlineStr">
        <is>
          <t>:3</t>
        </is>
      </c>
      <c r="AS25" s="24" t="inlineStr">
        <is>
          <t>SEN Otters</t>
        </is>
      </c>
      <c r="AT25" s="24" t="inlineStr">
        <is>
          <t>SEN Otters</t>
        </is>
      </c>
      <c r="AU25" s="24" t="inlineStr">
        <is>
          <t>SEN Otters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2bc5ea39dc27eb41c7f3cbd9b58da9bee3940cd90f1ffefbd7b6a82f96fdee45</t>
        </is>
      </c>
      <c r="BB25" s="24" t="inlineStr">
        <is>
          <t>neutral_elo</t>
        </is>
      </c>
      <c r="BC25" s="24" t="inlineStr">
        <is>
          <t>valorant-tiered-elo-v6</t>
        </is>
      </c>
      <c r="BD25" s="24" t="inlineStr">
        <is>
          <t>2bc5ea39dc27eb41c7f3cbd9b58da9bee3940cd90f1ffefbd7b6a82f96fdee45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valorant-tiered-elo-v6</t>
        </is>
      </c>
      <c r="BH25" s="24" t="inlineStr">
        <is>
          <t>2026-08-10T16:36:30.692296Z</t>
        </is>
      </c>
      <c r="BI25" s="24" t="inlineStr">
        <is>
          <t>["same_event","same_team_same_day","same_league_same_day"]</t>
        </is>
      </c>
      <c r="BJ25" s="25" t="n"/>
      <c r="BK25" s="26" t="n">
        <v>-133</v>
      </c>
      <c r="BL25" s="27" t="n">
        <v>1.75188</v>
      </c>
      <c r="BM25" s="28" t="n">
        <v>0.570815</v>
      </c>
      <c r="BN25" s="28" t="n"/>
      <c r="BO25" s="28" t="n"/>
      <c r="BP25" s="25" t="n"/>
      <c r="BQ25" s="27" t="n">
        <v>1.75188</v>
      </c>
      <c r="BR25" s="28" t="n">
        <v>0.57</v>
      </c>
      <c r="BS25" s="28" t="n"/>
      <c r="BT25" s="28" t="n"/>
      <c r="BU25" s="25" t="n"/>
      <c r="BV25" s="29" t="n"/>
      <c r="BW25" s="24" t="n"/>
      <c r="BX25" s="30" t="n">
        <v>1</v>
      </c>
      <c r="BY25" s="27" t="n">
        <v>0.91</v>
      </c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False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0.570815</t>
        </is>
      </c>
      <c r="DK25" s="24" t="n"/>
      <c r="DL25" s="24" t="n"/>
      <c r="DM25" s="24" t="n"/>
      <c r="DN25" s="24" t="n"/>
      <c r="DO25" s="24" t="n"/>
      <c r="DP25" s="24" t="n"/>
      <c r="DQ25" s="24" t="n"/>
    </row>
    <row r="26" ht="36" customHeight="1">
      <c r="A26" s="24" t="inlineStr">
        <is>
          <t>ce1cc50ba0664fb0</t>
        </is>
      </c>
      <c r="B26" s="24" t="inlineStr">
        <is>
          <t>2026-08-10T16:36:45.039622Z</t>
        </is>
      </c>
      <c r="C26" s="24" t="inlineStr">
        <is>
          <t>2026-08-10T22:00:00Z</t>
        </is>
      </c>
      <c r="D26" s="24" t="inlineStr">
        <is>
          <t>75255</t>
        </is>
      </c>
      <c r="E26" s="24" t="inlineStr">
        <is>
          <t>VALORANT</t>
        </is>
      </c>
      <c r="F26" s="24" t="inlineStr">
        <is>
          <t>Olimpo Gold</t>
        </is>
      </c>
      <c r="G26" s="24" t="inlineStr">
        <is>
          <t>NPC Team</t>
        </is>
      </c>
      <c r="H26" s="24" t="inlineStr">
        <is>
          <t>moneyline</t>
        </is>
      </c>
      <c r="I26" s="24" t="inlineStr">
        <is>
          <t>away</t>
        </is>
      </c>
      <c r="J26" s="25" t="n"/>
      <c r="K26" s="24" t="inlineStr">
        <is>
          <t>polymarket_us</t>
        </is>
      </c>
      <c r="L26" s="26" t="n">
        <v>150</v>
      </c>
      <c r="M26" s="27" t="n">
        <v>2.5</v>
      </c>
      <c r="N26" s="28" t="n">
        <v>0.4</v>
      </c>
      <c r="O26" s="28" t="n">
        <v>0.559409</v>
      </c>
      <c r="P26" s="28" t="n"/>
      <c r="Q26" s="28" t="n">
        <v>0.159409</v>
      </c>
      <c r="R26" s="26" t="n">
        <v>100</v>
      </c>
      <c r="S26" s="29" t="n">
        <v>1</v>
      </c>
      <c r="T26" s="24" t="inlineStr">
        <is>
          <t>valorant-tiered-elo-v6</t>
        </is>
      </c>
      <c r="U26" s="24" t="inlineStr">
        <is>
          <t>settled</t>
        </is>
      </c>
      <c r="V26" s="24" t="inlineStr">
        <is>
          <t>loss</t>
        </is>
      </c>
      <c r="W26" s="26" t="n">
        <v>0</v>
      </c>
      <c r="X26" s="26" t="n">
        <v>1</v>
      </c>
      <c r="Y26" s="25" t="n"/>
      <c r="Z26" s="26" t="n">
        <v>150</v>
      </c>
      <c r="AA26" s="28" t="n">
        <v>0.4</v>
      </c>
      <c r="AB26" s="28" t="n">
        <v>0</v>
      </c>
      <c r="AC26" s="30" t="n">
        <v>-1</v>
      </c>
      <c r="AD26" s="24" t="inlineStr">
        <is>
          <t>2026-08-11T13:08:48.462698Z</t>
        </is>
      </c>
      <c r="AE26" s="31" t="inlineStr">
        <is>
          <t>Neutral Elo baseline; executable ask 0.4000 (market_slug=aec-valorant-ntp-og-2026-08-10).</t>
        </is>
      </c>
      <c r="AF26" s="31" t="inlineStr">
        <is>
          <t>Config-promoted esports baseline; gates enforced at log time.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Olimpo Gold</t>
        </is>
      </c>
      <c r="AQ26" s="24" t="inlineStr">
        <is>
          <t>Olimpo Gold</t>
        </is>
      </c>
      <c r="AR26" s="24" t="inlineStr">
        <is>
          <t>Olimpo Gold</t>
        </is>
      </c>
      <c r="AS26" s="24" t="inlineStr">
        <is>
          <t>NPC Team</t>
        </is>
      </c>
      <c r="AT26" s="24" t="inlineStr">
        <is>
          <t>NPC Team</t>
        </is>
      </c>
      <c r="AU26" s="24" t="inlineStr">
        <is>
          <t>NPC Team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2bc5ea39dc27eb41c7f3cbd9b58da9bee3940cd90f1ffefbd7b6a82f96fdee45</t>
        </is>
      </c>
      <c r="BB26" s="24" t="inlineStr">
        <is>
          <t>neutral_elo</t>
        </is>
      </c>
      <c r="BC26" s="24" t="inlineStr">
        <is>
          <t>valorant-tiered-elo-v6</t>
        </is>
      </c>
      <c r="BD26" s="24" t="inlineStr">
        <is>
          <t>2bc5ea39dc27eb41c7f3cbd9b58da9bee3940cd90f1ffefbd7b6a82f96fdee45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valorant-tiered-elo-v6</t>
        </is>
      </c>
      <c r="BH26" s="24" t="inlineStr">
        <is>
          <t>2026-08-10T16:36:32.706040Z</t>
        </is>
      </c>
      <c r="BI26" s="24" t="inlineStr">
        <is>
          <t>["same_event","same_team_same_day","same_league_same_day"]</t>
        </is>
      </c>
      <c r="BJ26" s="25" t="n"/>
      <c r="BK26" s="26" t="n">
        <v>150</v>
      </c>
      <c r="BL26" s="27" t="n">
        <v>2.5</v>
      </c>
      <c r="BM26" s="28" t="n">
        <v>0.4</v>
      </c>
      <c r="BN26" s="28" t="n"/>
      <c r="BO26" s="28" t="n"/>
      <c r="BP26" s="25" t="n"/>
      <c r="BQ26" s="27" t="n">
        <v>2.5</v>
      </c>
      <c r="BR26" s="28" t="n">
        <v>0.4</v>
      </c>
      <c r="BS26" s="28" t="n"/>
      <c r="BT26" s="28" t="n"/>
      <c r="BU26" s="25" t="n"/>
      <c r="BV26" s="29" t="n"/>
      <c r="BW26" s="24" t="n"/>
      <c r="BX26" s="30" t="n">
        <v>1</v>
      </c>
      <c r="BY26" s="27" t="n">
        <v>-1</v>
      </c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True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0.4</t>
        </is>
      </c>
      <c r="DK26" s="24" t="n"/>
      <c r="DL26" s="24" t="n"/>
      <c r="DM26" s="24" t="n"/>
      <c r="DN26" s="24" t="n"/>
      <c r="DO26" s="24" t="n"/>
      <c r="DP26" s="24" t="n"/>
      <c r="DQ26" s="24" t="n"/>
    </row>
    <row r="27" ht="36" customHeight="1">
      <c r="A27" s="24" t="inlineStr">
        <is>
          <t>4fda40e97bca4f2b</t>
        </is>
      </c>
      <c r="B27" s="24" t="inlineStr">
        <is>
          <t>2026-08-10T16:36:45.039622Z</t>
        </is>
      </c>
      <c r="C27" s="24" t="inlineStr">
        <is>
          <t>2026-08-10T23:00:00Z</t>
        </is>
      </c>
      <c r="D27" s="24" t="inlineStr">
        <is>
          <t>77301</t>
        </is>
      </c>
      <c r="E27" s="24" t="inlineStr">
        <is>
          <t>VALORANT</t>
        </is>
      </c>
      <c r="F27" s="24" t="inlineStr">
        <is>
          <t>7VEN STARS</t>
        </is>
      </c>
      <c r="G27" s="24" t="inlineStr">
        <is>
          <t>Low Cortisol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-117</v>
      </c>
      <c r="M27" s="27" t="n">
        <v>1.854701</v>
      </c>
      <c r="N27" s="28" t="n">
        <v>0.539171</v>
      </c>
      <c r="O27" s="28" t="n">
        <v>0.513493</v>
      </c>
      <c r="P27" s="28" t="n"/>
      <c r="Q27" s="28" t="n">
        <v>-0.025678</v>
      </c>
      <c r="R27" s="26" t="n">
        <v>7</v>
      </c>
      <c r="S27" s="29" t="n">
        <v>1</v>
      </c>
      <c r="T27" s="24" t="inlineStr">
        <is>
          <t>valorant-tiered-elo-v6</t>
        </is>
      </c>
      <c r="U27" s="24" t="inlineStr">
        <is>
          <t>settled</t>
        </is>
      </c>
      <c r="V27" s="24" t="inlineStr">
        <is>
          <t>win</t>
        </is>
      </c>
      <c r="W27" s="26" t="n">
        <v>0</v>
      </c>
      <c r="X27" s="26" t="n">
        <v>1</v>
      </c>
      <c r="Y27" s="25" t="n"/>
      <c r="Z27" s="26" t="n">
        <v>-117</v>
      </c>
      <c r="AA27" s="28" t="n">
        <v>0.54</v>
      </c>
      <c r="AB27" s="28" t="n">
        <v>0.000829</v>
      </c>
      <c r="AC27" s="30" t="n">
        <v>0.8547</v>
      </c>
      <c r="AD27" s="24" t="inlineStr">
        <is>
          <t>2026-08-11T13:08:50.184324Z</t>
        </is>
      </c>
      <c r="AE27" s="31" t="inlineStr">
        <is>
          <t>Neutral Elo baseline; executable ask 0.5400 (market_slug=aec-valorant-lc-7ven-2026-08-10).</t>
        </is>
      </c>
      <c r="AF27" s="31" t="inlineStr">
        <is>
          <t>Config-promoted esports baseline; gates enforced at log time.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paper_call</t>
        </is>
      </c>
      <c r="AL27" s="26" t="n">
        <v>3</v>
      </c>
      <c r="AM27" s="24" t="inlineStr">
        <is>
          <t>RESEARCH_OBSERVATION</t>
        </is>
      </c>
      <c r="AN27" s="24" t="inlineStr">
        <is>
          <t>CALL</t>
        </is>
      </c>
      <c r="AO27" s="24" t="inlineStr">
        <is>
          <t>PAPER_CALL_MODEL_UNVALIDATED</t>
        </is>
      </c>
      <c r="AP27" s="24" t="inlineStr">
        <is>
          <t>7VEN STARS</t>
        </is>
      </c>
      <c r="AQ27" s="24" t="inlineStr">
        <is>
          <t>7VEN STARS</t>
        </is>
      </c>
      <c r="AR27" s="24" t="inlineStr">
        <is>
          <t>7VEN STARS</t>
        </is>
      </c>
      <c r="AS27" s="24" t="inlineStr">
        <is>
          <t>Low Cortisol</t>
        </is>
      </c>
      <c r="AT27" s="24" t="inlineStr">
        <is>
          <t>Low Cortisol</t>
        </is>
      </c>
      <c r="AU27" s="24" t="inlineStr">
        <is>
          <t>Low Cortisol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2bc5ea39dc27eb41c7f3cbd9b58da9bee3940cd90f1ffefbd7b6a82f96fdee45</t>
        </is>
      </c>
      <c r="BB27" s="24" t="inlineStr">
        <is>
          <t>neutral_elo</t>
        </is>
      </c>
      <c r="BC27" s="24" t="inlineStr">
        <is>
          <t>valorant-tiered-elo-v6</t>
        </is>
      </c>
      <c r="BD27" s="24" t="inlineStr">
        <is>
          <t>2bc5ea39dc27eb41c7f3cbd9b58da9bee3940cd90f1ffefbd7b6a82f96fdee45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valorant-tiered-elo-v6</t>
        </is>
      </c>
      <c r="BH27" s="24" t="inlineStr">
        <is>
          <t>2026-08-10T16:36:33.713404Z</t>
        </is>
      </c>
      <c r="BI27" s="24" t="inlineStr">
        <is>
          <t>["same_event","same_team_same_day","same_league_same_day"]</t>
        </is>
      </c>
      <c r="BJ27" s="25" t="n"/>
      <c r="BK27" s="26" t="n">
        <v>-117</v>
      </c>
      <c r="BL27" s="27" t="n">
        <v>1.854701</v>
      </c>
      <c r="BM27" s="28" t="n">
        <v>0.539171</v>
      </c>
      <c r="BN27" s="28" t="n"/>
      <c r="BO27" s="28" t="n"/>
      <c r="BP27" s="25" t="n"/>
      <c r="BQ27" s="27" t="n">
        <v>1.854701</v>
      </c>
      <c r="BR27" s="28" t="n">
        <v>0.54</v>
      </c>
      <c r="BS27" s="28" t="n"/>
      <c r="BT27" s="28" t="n"/>
      <c r="BU27" s="25" t="n"/>
      <c r="BV27" s="29" t="n"/>
      <c r="BW27" s="24" t="n"/>
      <c r="BX27" s="30" t="n">
        <v>1</v>
      </c>
      <c r="BY27" s="27" t="n">
        <v>0.91</v>
      </c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False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0.539171</t>
        </is>
      </c>
      <c r="DK27" s="24" t="n"/>
      <c r="DL27" s="24" t="n"/>
      <c r="DM27" s="24" t="n"/>
      <c r="DN27" s="24" t="n"/>
      <c r="DO27" s="24" t="n"/>
      <c r="DP27" s="24" t="n"/>
      <c r="DQ27" s="24" t="n"/>
    </row>
    <row r="28" ht="36" customHeight="1">
      <c r="A28" s="24" t="inlineStr">
        <is>
          <t>aa68ce9405504ae6</t>
        </is>
      </c>
      <c r="B28" s="24" t="inlineStr">
        <is>
          <t>2026-08-10T16:36:45.039622Z</t>
        </is>
      </c>
      <c r="C28" s="24" t="inlineStr">
        <is>
          <t>2026-08-10T23:30:00Z</t>
        </is>
      </c>
      <c r="D28" s="24" t="inlineStr">
        <is>
          <t>74941</t>
        </is>
      </c>
      <c r="E28" s="24" t="inlineStr">
        <is>
          <t>VALORANT</t>
        </is>
      </c>
      <c r="F28" s="24" t="inlineStr">
        <is>
          <t>Los Chudeles</t>
        </is>
      </c>
      <c r="G28" s="24" t="inlineStr">
        <is>
          <t>MVSK Secret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-163</v>
      </c>
      <c r="M28" s="27" t="n">
        <v>1.613497</v>
      </c>
      <c r="N28" s="28" t="n">
        <v>0.619772</v>
      </c>
      <c r="O28" s="28" t="n">
        <v>0.518303</v>
      </c>
      <c r="P28" s="28" t="n"/>
      <c r="Q28" s="28" t="n">
        <v>-0.101469</v>
      </c>
      <c r="R28" s="26" t="n">
        <v>0</v>
      </c>
      <c r="S28" s="29" t="n">
        <v>1</v>
      </c>
      <c r="T28" s="24" t="inlineStr">
        <is>
          <t>valorant-tiered-elo-v6</t>
        </is>
      </c>
      <c r="U28" s="24" t="inlineStr">
        <is>
          <t>settled</t>
        </is>
      </c>
      <c r="V28" s="24" t="inlineStr">
        <is>
          <t>win</t>
        </is>
      </c>
      <c r="W28" s="26" t="n">
        <v>0</v>
      </c>
      <c r="X28" s="26" t="n">
        <v>1</v>
      </c>
      <c r="Y28" s="25" t="n"/>
      <c r="Z28" s="26" t="n">
        <v>-163</v>
      </c>
      <c r="AA28" s="28" t="n">
        <v>0.62</v>
      </c>
      <c r="AB28" s="28" t="n">
        <v>0.000228</v>
      </c>
      <c r="AC28" s="30" t="n">
        <v>0.6135</v>
      </c>
      <c r="AD28" s="24" t="inlineStr">
        <is>
          <t>2026-08-11T13:08:51.771291Z</t>
        </is>
      </c>
      <c r="AE28" s="31" t="inlineStr">
        <is>
          <t>Neutral Elo baseline; executable ask 0.6200 (market_slug=aec-valorant-mvs-lcd-2026-08-10).</t>
        </is>
      </c>
      <c r="AF28" s="31" t="inlineStr">
        <is>
          <t>Config-promoted esports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paper_call</t>
        </is>
      </c>
      <c r="AL28" s="26" t="n">
        <v>3</v>
      </c>
      <c r="AM28" s="24" t="inlineStr">
        <is>
          <t>RESEARCH_OBSERVATION</t>
        </is>
      </c>
      <c r="AN28" s="24" t="inlineStr">
        <is>
          <t>CALL</t>
        </is>
      </c>
      <c r="AO28" s="24" t="inlineStr">
        <is>
          <t>PAPER_CALL_LOW_EDGE</t>
        </is>
      </c>
      <c r="AP28" s="24" t="inlineStr">
        <is>
          <t>Los Chudeles</t>
        </is>
      </c>
      <c r="AQ28" s="24" t="inlineStr">
        <is>
          <t>Los Chudeles</t>
        </is>
      </c>
      <c r="AR28" s="24" t="inlineStr">
        <is>
          <t>Los Chudeles</t>
        </is>
      </c>
      <c r="AS28" s="24" t="inlineStr">
        <is>
          <t>MVSK Secret</t>
        </is>
      </c>
      <c r="AT28" s="24" t="inlineStr">
        <is>
          <t>MVSK Secret</t>
        </is>
      </c>
      <c r="AU28" s="24" t="inlineStr">
        <is>
          <t>MVSK Secret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2bc5ea39dc27eb41c7f3cbd9b58da9bee3940cd90f1ffefbd7b6a82f96fdee45</t>
        </is>
      </c>
      <c r="BB28" s="24" t="inlineStr">
        <is>
          <t>neutral_elo</t>
        </is>
      </c>
      <c r="BC28" s="24" t="inlineStr">
        <is>
          <t>valorant-tiered-elo-v6</t>
        </is>
      </c>
      <c r="BD28" s="24" t="inlineStr">
        <is>
          <t>2bc5ea39dc27eb41c7f3cbd9b58da9bee3940cd90f1ffefbd7b6a82f96fdee45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valorant-tiered-elo-v6</t>
        </is>
      </c>
      <c r="BH28" s="24" t="inlineStr">
        <is>
          <t>2026-08-10T16:36:34.248666Z</t>
        </is>
      </c>
      <c r="BI28" s="24" t="inlineStr">
        <is>
          <t>["same_event","same_team_same_day","same_league_same_day"]</t>
        </is>
      </c>
      <c r="BJ28" s="25" t="n"/>
      <c r="BK28" s="26" t="n">
        <v>-163</v>
      </c>
      <c r="BL28" s="27" t="n">
        <v>1.613497</v>
      </c>
      <c r="BM28" s="28" t="n">
        <v>0.619772</v>
      </c>
      <c r="BN28" s="28" t="n"/>
      <c r="BO28" s="28" t="n"/>
      <c r="BP28" s="25" t="n"/>
      <c r="BQ28" s="27" t="n">
        <v>1.613497</v>
      </c>
      <c r="BR28" s="28" t="n">
        <v>0.62</v>
      </c>
      <c r="BS28" s="28" t="n"/>
      <c r="BT28" s="28" t="n"/>
      <c r="BU28" s="25" t="n"/>
      <c r="BV28" s="29" t="n"/>
      <c r="BW28" s="24" t="n"/>
      <c r="BX28" s="30" t="n">
        <v>1</v>
      </c>
      <c r="BY28" s="27" t="n">
        <v>0.91</v>
      </c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False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0.619772</t>
        </is>
      </c>
      <c r="DK28" s="24" t="n"/>
      <c r="DL28" s="24" t="n"/>
      <c r="DM28" s="24" t="n"/>
      <c r="DN28" s="24" t="n"/>
      <c r="DO28" s="24" t="n"/>
      <c r="DP28" s="24" t="n"/>
      <c r="DQ28" s="24" t="n"/>
    </row>
    <row r="29" ht="36" customHeight="1">
      <c r="A29" s="24" t="inlineStr">
        <is>
          <t>405f5a8a9d4e4ddf</t>
        </is>
      </c>
      <c r="B29" s="24" t="inlineStr">
        <is>
          <t>2026-08-10T16:36:45.039622Z</t>
        </is>
      </c>
      <c r="C29" s="24" t="inlineStr">
        <is>
          <t>2026-08-10T23:30:00Z</t>
        </is>
      </c>
      <c r="D29" s="24" t="inlineStr">
        <is>
          <t>74942</t>
        </is>
      </c>
      <c r="E29" s="24" t="inlineStr">
        <is>
          <t>VALORANT</t>
        </is>
      </c>
      <c r="F29" s="24" t="inlineStr">
        <is>
          <t>ROSO GC</t>
        </is>
      </c>
      <c r="G29" s="24" t="inlineStr">
        <is>
          <t>SaD GC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-117</v>
      </c>
      <c r="M29" s="27" t="n">
        <v>1.854701</v>
      </c>
      <c r="N29" s="28" t="n">
        <v>0.539171</v>
      </c>
      <c r="O29" s="28" t="n">
        <v>0.533752</v>
      </c>
      <c r="P29" s="28" t="n"/>
      <c r="Q29" s="28" t="n">
        <v>-0.005419</v>
      </c>
      <c r="R29" s="26" t="n">
        <v>17</v>
      </c>
      <c r="S29" s="29" t="n">
        <v>1</v>
      </c>
      <c r="T29" s="24" t="inlineStr">
        <is>
          <t>valorant-tiered-elo-v6</t>
        </is>
      </c>
      <c r="U29" s="24" t="inlineStr">
        <is>
          <t>settled</t>
        </is>
      </c>
      <c r="V29" s="24" t="inlineStr">
        <is>
          <t>win</t>
        </is>
      </c>
      <c r="W29" s="26" t="n">
        <v>0</v>
      </c>
      <c r="X29" s="26" t="n">
        <v>1</v>
      </c>
      <c r="Y29" s="25" t="n"/>
      <c r="Z29" s="26" t="n">
        <v>-117</v>
      </c>
      <c r="AA29" s="28" t="n">
        <v>0.54</v>
      </c>
      <c r="AB29" s="28" t="n">
        <v>0.000829</v>
      </c>
      <c r="AC29" s="30" t="n">
        <v>0.8547</v>
      </c>
      <c r="AD29" s="24" t="inlineStr">
        <is>
          <t>2026-08-11T13:08:53.344006Z</t>
        </is>
      </c>
      <c r="AE29" s="31" t="inlineStr">
        <is>
          <t>Neutral Elo baseline; executable ask 0.5400 (market_slug=aec-valorant-sga-roso-2026-08-10).</t>
        </is>
      </c>
      <c r="AF29" s="31" t="inlineStr">
        <is>
          <t>Config-promoted esports baseline; gates enforced at log time.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paper_call</t>
        </is>
      </c>
      <c r="AL29" s="26" t="n">
        <v>3</v>
      </c>
      <c r="AM29" s="24" t="inlineStr">
        <is>
          <t>RESEARCH_OBSERVATION</t>
        </is>
      </c>
      <c r="AN29" s="24" t="inlineStr">
        <is>
          <t>CALL</t>
        </is>
      </c>
      <c r="AO29" s="24" t="inlineStr">
        <is>
          <t>PAPER_CALL_LOW_EDGE</t>
        </is>
      </c>
      <c r="AP29" s="24" t="inlineStr">
        <is>
          <t>ROSO GC</t>
        </is>
      </c>
      <c r="AQ29" s="24" t="inlineStr">
        <is>
          <t>ROSO GC</t>
        </is>
      </c>
      <c r="AR29" s="24" t="inlineStr">
        <is>
          <t>ROSO GC</t>
        </is>
      </c>
      <c r="AS29" s="24" t="inlineStr">
        <is>
          <t>SaD GC</t>
        </is>
      </c>
      <c r="AT29" s="24" t="inlineStr">
        <is>
          <t>SaD GC</t>
        </is>
      </c>
      <c r="AU29" s="24" t="inlineStr">
        <is>
          <t>SaD GC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2bc5ea39dc27eb41c7f3cbd9b58da9bee3940cd90f1ffefbd7b6a82f96fdee45</t>
        </is>
      </c>
      <c r="BB29" s="24" t="inlineStr">
        <is>
          <t>neutral_elo</t>
        </is>
      </c>
      <c r="BC29" s="24" t="inlineStr">
        <is>
          <t>valorant-tiered-elo-v6</t>
        </is>
      </c>
      <c r="BD29" s="24" t="inlineStr">
        <is>
          <t>2bc5ea39dc27eb41c7f3cbd9b58da9bee3940cd90f1ffefbd7b6a82f96fdee45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valorant-tiered-elo-v6</t>
        </is>
      </c>
      <c r="BH29" s="24" t="inlineStr">
        <is>
          <t>2026-08-10T16:36:35.896441Z</t>
        </is>
      </c>
      <c r="BI29" s="24" t="inlineStr">
        <is>
          <t>["same_event","same_team_same_day","same_league_same_day"]</t>
        </is>
      </c>
      <c r="BJ29" s="25" t="n"/>
      <c r="BK29" s="26" t="n">
        <v>-117</v>
      </c>
      <c r="BL29" s="27" t="n">
        <v>1.854701</v>
      </c>
      <c r="BM29" s="28" t="n">
        <v>0.539171</v>
      </c>
      <c r="BN29" s="28" t="n"/>
      <c r="BO29" s="28" t="n"/>
      <c r="BP29" s="25" t="n"/>
      <c r="BQ29" s="27" t="n">
        <v>1.854701</v>
      </c>
      <c r="BR29" s="28" t="n">
        <v>0.54</v>
      </c>
      <c r="BS29" s="28" t="n"/>
      <c r="BT29" s="28" t="n"/>
      <c r="BU29" s="25" t="n"/>
      <c r="BV29" s="29" t="n"/>
      <c r="BW29" s="24" t="n"/>
      <c r="BX29" s="30" t="n">
        <v>1</v>
      </c>
      <c r="BY29" s="27" t="n">
        <v>0.91</v>
      </c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False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0.539171</t>
        </is>
      </c>
      <c r="DK29" s="24" t="n"/>
      <c r="DL29" s="24" t="n"/>
      <c r="DM29" s="24" t="n"/>
      <c r="DN29" s="24" t="n"/>
      <c r="DO29" s="24" t="n"/>
      <c r="DP29" s="24" t="n"/>
      <c r="DQ29" s="24" t="n"/>
    </row>
    <row r="30" ht="36" customHeight="1">
      <c r="A30" s="24" t="inlineStr">
        <is>
          <t>57bd2277bbbc4774</t>
        </is>
      </c>
      <c r="B30" s="24" t="inlineStr">
        <is>
          <t>2026-08-10T16:36:45.039622Z</t>
        </is>
      </c>
      <c r="C30" s="24" t="inlineStr">
        <is>
          <t>2026-08-11T01:00:00Z</t>
        </is>
      </c>
      <c r="D30" s="24" t="inlineStr">
        <is>
          <t>75257</t>
        </is>
      </c>
      <c r="E30" s="24" t="inlineStr">
        <is>
          <t>VALORANT</t>
        </is>
      </c>
      <c r="F30" s="24" t="inlineStr">
        <is>
          <t>FUSION X</t>
        </is>
      </c>
      <c r="G30" s="24" t="inlineStr">
        <is>
          <t>MYVRA GC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-178</v>
      </c>
      <c r="M30" s="27" t="n">
        <v>1.561798</v>
      </c>
      <c r="N30" s="28" t="n">
        <v>0.640288</v>
      </c>
      <c r="O30" s="28" t="n">
        <v>0.750891</v>
      </c>
      <c r="P30" s="28" t="n"/>
      <c r="Q30" s="28" t="n">
        <v>0.110603</v>
      </c>
      <c r="R30" s="26" t="n">
        <v>75</v>
      </c>
      <c r="S30" s="29" t="n">
        <v>2</v>
      </c>
      <c r="T30" s="24" t="inlineStr">
        <is>
          <t>valorant-tiered-elo-v6</t>
        </is>
      </c>
      <c r="U30" s="24" t="inlineStr">
        <is>
          <t>settled</t>
        </is>
      </c>
      <c r="V30" s="24" t="inlineStr">
        <is>
          <t>loss</t>
        </is>
      </c>
      <c r="W30" s="26" t="n">
        <v>1</v>
      </c>
      <c r="X30" s="26" t="n">
        <v>0</v>
      </c>
      <c r="Y30" s="25" t="n"/>
      <c r="Z30" s="26" t="n">
        <v>-178</v>
      </c>
      <c r="AA30" s="28" t="n">
        <v>0.64</v>
      </c>
      <c r="AB30" s="28" t="n">
        <v>-0.000288</v>
      </c>
      <c r="AC30" s="30" t="n">
        <v>-2</v>
      </c>
      <c r="AD30" s="24" t="inlineStr">
        <is>
          <t>2026-08-13T05:34:52.043586Z</t>
        </is>
      </c>
      <c r="AE30" s="31" t="inlineStr">
        <is>
          <t>Neutral Elo baseline; executable ask 0.6400 (market_slug=aec-valorant-myvgc-fsnx-2026-08-11).</t>
        </is>
      </c>
      <c r="AF30" s="31" t="inlineStr">
        <is>
          <t>Config-promoted esports baseline; gates enforced at log time.</t>
        </is>
      </c>
      <c r="AG30" s="24" t="inlineStr">
        <is>
          <t>review_required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3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FUSION X</t>
        </is>
      </c>
      <c r="AQ30" s="24" t="inlineStr">
        <is>
          <t>FUSION X</t>
        </is>
      </c>
      <c r="AR30" s="24" t="inlineStr">
        <is>
          <t>FUSION X</t>
        </is>
      </c>
      <c r="AS30" s="24" t="inlineStr">
        <is>
          <t>MYVRA GC</t>
        </is>
      </c>
      <c r="AT30" s="24" t="inlineStr">
        <is>
          <t>MYVRA GC</t>
        </is>
      </c>
      <c r="AU30" s="24" t="inlineStr">
        <is>
          <t>MYVRA GC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2bc5ea39dc27eb41c7f3cbd9b58da9bee3940cd90f1ffefbd7b6a82f96fdee45</t>
        </is>
      </c>
      <c r="BB30" s="24" t="inlineStr">
        <is>
          <t>neutral_elo</t>
        </is>
      </c>
      <c r="BC30" s="24" t="inlineStr">
        <is>
          <t>valorant-tiered-elo-v6</t>
        </is>
      </c>
      <c r="BD30" s="24" t="inlineStr">
        <is>
          <t>2bc5ea39dc27eb41c7f3cbd9b58da9bee3940cd90f1ffefbd7b6a82f96fdee45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valorant-tiered-elo-v6</t>
        </is>
      </c>
      <c r="BH30" s="24" t="inlineStr">
        <is>
          <t>2026-08-10T16:36:36.768051Z</t>
        </is>
      </c>
      <c r="BI30" s="24" t="inlineStr">
        <is>
          <t>["same_event","same_team_same_day","same_league_same_day"]</t>
        </is>
      </c>
      <c r="BJ30" s="25" t="n"/>
      <c r="BK30" s="26" t="n">
        <v>-178</v>
      </c>
      <c r="BL30" s="27" t="n">
        <v>1.561798</v>
      </c>
      <c r="BM30" s="28" t="n">
        <v>0.640288</v>
      </c>
      <c r="BN30" s="28" t="n"/>
      <c r="BO30" s="28" t="n"/>
      <c r="BP30" s="25" t="n"/>
      <c r="BQ30" s="27" t="n">
        <v>1.561798</v>
      </c>
      <c r="BR30" s="28" t="n">
        <v>0.64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True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0.640288</t>
        </is>
      </c>
      <c r="DK30" s="24" t="n"/>
      <c r="DL30" s="24" t="n"/>
      <c r="DM30" s="24" t="n"/>
      <c r="DN30" s="24" t="n"/>
      <c r="DO30" s="24" t="n"/>
      <c r="DP30" s="24" t="n"/>
      <c r="DQ30" s="24" t="n"/>
    </row>
    <row r="31" ht="36" customHeight="1">
      <c r="A31" s="24" t="inlineStr">
        <is>
          <t>3acfddd1d0a74f41</t>
        </is>
      </c>
      <c r="B31" s="24" t="inlineStr">
        <is>
          <t>2026-08-10T16:36:45.039622Z</t>
        </is>
      </c>
      <c r="C31" s="24" t="inlineStr">
        <is>
          <t>2026-08-11T10:00:00Z</t>
        </is>
      </c>
      <c r="D31" s="24" t="inlineStr">
        <is>
          <t>77309</t>
        </is>
      </c>
      <c r="E31" s="24" t="inlineStr">
        <is>
          <t>VALORANT</t>
        </is>
      </c>
      <c r="F31" s="24" t="inlineStr">
        <is>
          <t>Dragon Ranger Gaming</t>
        </is>
      </c>
      <c r="G31" s="24" t="inlineStr">
        <is>
          <t>Trace Esports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156</v>
      </c>
      <c r="M31" s="27" t="n">
        <v>2.56</v>
      </c>
      <c r="N31" s="28" t="n">
        <v>0.390625</v>
      </c>
      <c r="O31" s="28" t="n">
        <v>0.521278</v>
      </c>
      <c r="P31" s="28" t="n"/>
      <c r="Q31" s="28" t="n">
        <v>0.130653</v>
      </c>
      <c r="R31" s="26" t="n">
        <v>85</v>
      </c>
      <c r="S31" s="29" t="n">
        <v>1</v>
      </c>
      <c r="T31" s="24" t="inlineStr">
        <is>
          <t>valorant-tiered-elo-v6</t>
        </is>
      </c>
      <c r="U31" s="24" t="inlineStr">
        <is>
          <t>settled</t>
        </is>
      </c>
      <c r="V31" s="24" t="inlineStr">
        <is>
          <t>win</t>
        </is>
      </c>
      <c r="W31" s="26" t="n">
        <v>0</v>
      </c>
      <c r="X31" s="26" t="n">
        <v>1</v>
      </c>
      <c r="Y31" s="25" t="n"/>
      <c r="Z31" s="26" t="n"/>
      <c r="AA31" s="28" t="n"/>
      <c r="AB31" s="28" t="n"/>
      <c r="AC31" s="30" t="n">
        <v>1.56</v>
      </c>
      <c r="AD31" s="24" t="inlineStr">
        <is>
          <t>2026-08-11T16:30:27.536526Z</t>
        </is>
      </c>
      <c r="AE31" s="31" t="inlineStr">
        <is>
          <t>Neutral Elo baseline; executable ask 0.3900 (market_slug=aec-valorant-te-drg-2026-08-11).</t>
        </is>
      </c>
      <c r="AF31" s="31" t="inlineStr">
        <is>
          <t>Config-promoted esports baseline; gates enforced at log time.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3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Dragon Ranger Gaming</t>
        </is>
      </c>
      <c r="AQ31" s="24" t="inlineStr">
        <is>
          <t>Dragon Ranger Gaming</t>
        </is>
      </c>
      <c r="AR31" s="24" t="inlineStr">
        <is>
          <t>Dragon Ranger Gaming</t>
        </is>
      </c>
      <c r="AS31" s="24" t="inlineStr">
        <is>
          <t>Trace Esports</t>
        </is>
      </c>
      <c r="AT31" s="24" t="inlineStr">
        <is>
          <t>Trace Esports</t>
        </is>
      </c>
      <c r="AU31" s="24" t="inlineStr">
        <is>
          <t>Trace Esports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2bc5ea39dc27eb41c7f3cbd9b58da9bee3940cd90f1ffefbd7b6a82f96fdee45</t>
        </is>
      </c>
      <c r="BB31" s="24" t="inlineStr">
        <is>
          <t>neutral_elo</t>
        </is>
      </c>
      <c r="BC31" s="24" t="inlineStr">
        <is>
          <t>valorant-tiered-elo-v6</t>
        </is>
      </c>
      <c r="BD31" s="24" t="inlineStr">
        <is>
          <t>2bc5ea39dc27eb41c7f3cbd9b58da9bee3940cd90f1ffefbd7b6a82f96fdee45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valorant-tiered-elo-v6</t>
        </is>
      </c>
      <c r="BH31" s="24" t="inlineStr">
        <is>
          <t>2026-08-10T16:36:39.099981Z</t>
        </is>
      </c>
      <c r="BI31" s="24" t="inlineStr">
        <is>
          <t>["same_event","same_team_same_day","same_league_same_day"]</t>
        </is>
      </c>
      <c r="BJ31" s="25" t="n"/>
      <c r="BK31" s="26" t="n">
        <v>156</v>
      </c>
      <c r="BL31" s="27" t="n">
        <v>2.56</v>
      </c>
      <c r="BM31" s="28" t="n">
        <v>0.390625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>
        <v>1</v>
      </c>
      <c r="BY31" s="27" t="n">
        <v>0.91</v>
      </c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True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0.390625</t>
        </is>
      </c>
      <c r="DK31" s="24" t="n"/>
      <c r="DL31" s="24" t="n"/>
      <c r="DM31" s="24" t="n"/>
      <c r="DN31" s="24" t="n"/>
      <c r="DO31" s="24" t="n"/>
      <c r="DP31" s="24" t="n"/>
      <c r="DQ31" s="24" t="n"/>
    </row>
    <row r="32" ht="36" customHeight="1">
      <c r="A32" s="24" t="inlineStr">
        <is>
          <t>930b2d203195468b</t>
        </is>
      </c>
      <c r="B32" s="24" t="inlineStr">
        <is>
          <t>2026-08-12T05:16:18.213867Z</t>
        </is>
      </c>
      <c r="C32" s="24" t="inlineStr">
        <is>
          <t>2026-08-12T08:00:00Z</t>
        </is>
      </c>
      <c r="D32" s="24" t="inlineStr">
        <is>
          <t>77310</t>
        </is>
      </c>
      <c r="E32" s="24" t="inlineStr">
        <is>
          <t>VALORANT</t>
        </is>
      </c>
      <c r="F32" s="24" t="inlineStr">
        <is>
          <t>TEC Esports</t>
        </is>
      </c>
      <c r="G32" s="24" t="inlineStr">
        <is>
          <t>All Gamers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-194</v>
      </c>
      <c r="M32" s="27" t="n">
        <v>1.515464</v>
      </c>
      <c r="N32" s="28" t="n">
        <v>0.659864</v>
      </c>
      <c r="O32" s="28" t="n">
        <v>0.644266</v>
      </c>
      <c r="P32" s="28" t="n"/>
      <c r="Q32" s="28" t="n">
        <v>-0.015598</v>
      </c>
      <c r="R32" s="26" t="n">
        <v>12</v>
      </c>
      <c r="S32" s="29" t="n">
        <v>1.75</v>
      </c>
      <c r="T32" s="24" t="inlineStr">
        <is>
          <t>valorant-tiered-elo-v6</t>
        </is>
      </c>
      <c r="U32" s="24" t="inlineStr">
        <is>
          <t>settled</t>
        </is>
      </c>
      <c r="V32" s="24" t="inlineStr">
        <is>
          <t>loss</t>
        </is>
      </c>
      <c r="W32" s="26" t="n">
        <v>1</v>
      </c>
      <c r="X32" s="26" t="n">
        <v>0</v>
      </c>
      <c r="Y32" s="25" t="n"/>
      <c r="Z32" s="26" t="n">
        <v>-194</v>
      </c>
      <c r="AA32" s="28" t="n">
        <v>0.66</v>
      </c>
      <c r="AB32" s="28" t="n">
        <v>0.000136</v>
      </c>
      <c r="AC32" s="30" t="n">
        <v>-1.75</v>
      </c>
      <c r="AD32" s="24" t="inlineStr">
        <is>
          <t>2026-08-12T11:26:02.044238Z</t>
        </is>
      </c>
      <c r="AE32" s="31" t="inlineStr">
        <is>
          <t>Neutral Elo baseline; executable ask 0.6600 (market_slug=aec-valorant-ag-tec-2026-08-12).</t>
        </is>
      </c>
      <c r="AF32" s="31" t="inlineStr">
        <is>
          <t>Config-promoted esports baseline; gates enforced at log time.</t>
        </is>
      </c>
      <c r="AG32" s="24" t="inlineStr">
        <is>
          <t>review_required</t>
        </is>
      </c>
      <c r="AH32" s="24" t="n"/>
      <c r="AI32" s="31" t="n"/>
      <c r="AJ32" s="31" t="n"/>
      <c r="AK32" s="24" t="inlineStr">
        <is>
          <t>paper_call</t>
        </is>
      </c>
      <c r="AL32" s="26" t="n">
        <v>3</v>
      </c>
      <c r="AM32" s="24" t="inlineStr">
        <is>
          <t>RESEARCH_OBSERVATION</t>
        </is>
      </c>
      <c r="AN32" s="24" t="inlineStr">
        <is>
          <t>CALL</t>
        </is>
      </c>
      <c r="AO32" s="24" t="inlineStr">
        <is>
          <t>PAPER_CALL_LOW_EDGE</t>
        </is>
      </c>
      <c r="AP32" s="24" t="inlineStr">
        <is>
          <t>TEC Esports</t>
        </is>
      </c>
      <c r="AQ32" s="24" t="inlineStr">
        <is>
          <t>TEC Esports</t>
        </is>
      </c>
      <c r="AR32" s="24" t="inlineStr">
        <is>
          <t>TEC Esports</t>
        </is>
      </c>
      <c r="AS32" s="24" t="inlineStr">
        <is>
          <t>All Gamers</t>
        </is>
      </c>
      <c r="AT32" s="24" t="inlineStr">
        <is>
          <t>All Gamers</t>
        </is>
      </c>
      <c r="AU32" s="24" t="inlineStr">
        <is>
          <t>All Gamers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4792dd578222575dd6709f4cd58cc915816e25c48588fd98c5aca4aac9d7b76c</t>
        </is>
      </c>
      <c r="BB32" s="24" t="inlineStr">
        <is>
          <t>neutral_elo</t>
        </is>
      </c>
      <c r="BC32" s="24" t="inlineStr">
        <is>
          <t>valorant-tiered-elo-v6</t>
        </is>
      </c>
      <c r="BD32" s="24" t="inlineStr">
        <is>
          <t>4792dd578222575dd6709f4cd58cc915816e25c48588fd98c5aca4aac9d7b76c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valorant-tiered-elo-v6</t>
        </is>
      </c>
      <c r="BH32" s="24" t="inlineStr">
        <is>
          <t>2026-08-12T05:16:07.036998Z</t>
        </is>
      </c>
      <c r="BI32" s="24" t="inlineStr">
        <is>
          <t>["same_event","same_team_same_day","same_league_same_day"]</t>
        </is>
      </c>
      <c r="BJ32" s="25" t="n"/>
      <c r="BK32" s="26" t="n">
        <v>-194</v>
      </c>
      <c r="BL32" s="27" t="n">
        <v>1.515464</v>
      </c>
      <c r="BM32" s="28" t="n">
        <v>0.659864</v>
      </c>
      <c r="BN32" s="28" t="n"/>
      <c r="BO32" s="28" t="n"/>
      <c r="BP32" s="25" t="n"/>
      <c r="BQ32" s="27" t="n">
        <v>1.515464</v>
      </c>
      <c r="BR32" s="28" t="n">
        <v>0.66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False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0.659864</t>
        </is>
      </c>
      <c r="DK32" s="24" t="n"/>
      <c r="DL32" s="24" t="n"/>
      <c r="DM32" s="24" t="n"/>
      <c r="DN32" s="24" t="n"/>
      <c r="DO32" s="24" t="n"/>
      <c r="DP32" s="24" t="n"/>
      <c r="DQ32" s="24" t="n"/>
    </row>
    <row r="33" ht="36" customHeight="1">
      <c r="A33" s="24" t="inlineStr">
        <is>
          <t>3324452a86f24b80</t>
        </is>
      </c>
      <c r="B33" s="24" t="inlineStr">
        <is>
          <t>2026-08-12T08:22:32.920392Z</t>
        </is>
      </c>
      <c r="C33" s="24" t="inlineStr">
        <is>
          <t>2026-08-12T10:00:00Z</t>
        </is>
      </c>
      <c r="D33" s="24" t="inlineStr">
        <is>
          <t>78281</t>
        </is>
      </c>
      <c r="E33" s="24" t="inlineStr">
        <is>
          <t>VALORANT</t>
        </is>
      </c>
      <c r="F33" s="24" t="inlineStr">
        <is>
          <t>Trace Esports</t>
        </is>
      </c>
      <c r="G33" s="24" t="inlineStr">
        <is>
          <t>JD Gaming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-133</v>
      </c>
      <c r="M33" s="27" t="n">
        <v>1.75188</v>
      </c>
      <c r="N33" s="28" t="n">
        <v>0.570815</v>
      </c>
      <c r="O33" s="28" t="n">
        <v>0.527775</v>
      </c>
      <c r="P33" s="28" t="n"/>
      <c r="Q33" s="28" t="n">
        <v>-0.04304</v>
      </c>
      <c r="R33" s="26" t="n">
        <v>0</v>
      </c>
      <c r="S33" s="29" t="n">
        <v>1</v>
      </c>
      <c r="T33" s="24" t="inlineStr">
        <is>
          <t>valorant-tiered-elo-v6</t>
        </is>
      </c>
      <c r="U33" s="24" t="inlineStr">
        <is>
          <t>settled</t>
        </is>
      </c>
      <c r="V33" s="24" t="inlineStr">
        <is>
          <t>loss</t>
        </is>
      </c>
      <c r="W33" s="26" t="n">
        <v>1</v>
      </c>
      <c r="X33" s="26" t="n">
        <v>0</v>
      </c>
      <c r="Y33" s="25" t="n"/>
      <c r="Z33" s="26" t="n">
        <v>-133</v>
      </c>
      <c r="AA33" s="28" t="n">
        <v>0.57</v>
      </c>
      <c r="AB33" s="28" t="n">
        <v>-0.000815</v>
      </c>
      <c r="AC33" s="30" t="n">
        <v>-1</v>
      </c>
      <c r="AD33" s="24" t="inlineStr">
        <is>
          <t>2026-08-12T14:33:37.126879Z</t>
        </is>
      </c>
      <c r="AE33" s="31" t="inlineStr">
        <is>
          <t>Neutral Elo baseline; executable ask 0.5700 (market_slug=aec-valorant-jdg-te-2026-08-12).</t>
        </is>
      </c>
      <c r="AF33" s="31" t="inlineStr">
        <is>
          <t>Config-promoted esports baseline; gates enforced at log time.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paper_call</t>
        </is>
      </c>
      <c r="AL33" s="26" t="n">
        <v>3</v>
      </c>
      <c r="AM33" s="24" t="inlineStr">
        <is>
          <t>RESEARCH_OBSERVATION</t>
        </is>
      </c>
      <c r="AN33" s="24" t="inlineStr">
        <is>
          <t>CALL</t>
        </is>
      </c>
      <c r="AO33" s="24" t="inlineStr">
        <is>
          <t>PAPER_CALL_LOW_EDGE</t>
        </is>
      </c>
      <c r="AP33" s="24" t="inlineStr">
        <is>
          <t>Trace Esports</t>
        </is>
      </c>
      <c r="AQ33" s="24" t="inlineStr">
        <is>
          <t>Trace Esports</t>
        </is>
      </c>
      <c r="AR33" s="24" t="inlineStr">
        <is>
          <t>Trace Esports</t>
        </is>
      </c>
      <c r="AS33" s="24" t="inlineStr">
        <is>
          <t>JD Gaming</t>
        </is>
      </c>
      <c r="AT33" s="24" t="inlineStr">
        <is>
          <t>JD Gaming</t>
        </is>
      </c>
      <c r="AU33" s="24" t="inlineStr">
        <is>
          <t>JD Gaming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af3d00b935358b29757b887763afd672c7c8a6d4157c0044d3888bfce55ec3d6</t>
        </is>
      </c>
      <c r="BB33" s="24" t="inlineStr">
        <is>
          <t>neutral_elo</t>
        </is>
      </c>
      <c r="BC33" s="24" t="inlineStr">
        <is>
          <t>valorant-tiered-elo-v6</t>
        </is>
      </c>
      <c r="BD33" s="24" t="inlineStr">
        <is>
          <t>af3d00b935358b29757b887763afd672c7c8a6d4157c0044d3888bfce55ec3d6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valorant-tiered-elo-v6</t>
        </is>
      </c>
      <c r="BH33" s="24" t="inlineStr">
        <is>
          <t>2026-08-12T08:22:23.424687Z</t>
        </is>
      </c>
      <c r="BI33" s="24" t="inlineStr">
        <is>
          <t>["same_event","same_team_same_day","same_league_same_day"]</t>
        </is>
      </c>
      <c r="BJ33" s="25" t="n"/>
      <c r="BK33" s="26" t="n">
        <v>-133</v>
      </c>
      <c r="BL33" s="27" t="n">
        <v>1.75188</v>
      </c>
      <c r="BM33" s="28" t="n">
        <v>0.570815</v>
      </c>
      <c r="BN33" s="28" t="n"/>
      <c r="BO33" s="28" t="n"/>
      <c r="BP33" s="25" t="n"/>
      <c r="BQ33" s="27" t="n">
        <v>1.75188</v>
      </c>
      <c r="BR33" s="28" t="n">
        <v>0.57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False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0.570815</t>
        </is>
      </c>
      <c r="DK33" s="24" t="n"/>
      <c r="DL33" s="24" t="n"/>
      <c r="DM33" s="24" t="n"/>
      <c r="DN33" s="24" t="n"/>
      <c r="DO33" s="24" t="n"/>
      <c r="DP33" s="24" t="n"/>
      <c r="DQ33" s="24" t="n"/>
    </row>
    <row r="34" ht="36" customHeight="1">
      <c r="A34" s="24" t="inlineStr">
        <is>
          <t>ae036ee3fab94c33</t>
        </is>
      </c>
      <c r="B34" s="24" t="inlineStr">
        <is>
          <t>2026-08-12T14:37:16.864247Z</t>
        </is>
      </c>
      <c r="C34" s="24" t="inlineStr">
        <is>
          <t>2026-08-12T15:00:00Z</t>
        </is>
      </c>
      <c r="D34" s="24" t="inlineStr">
        <is>
          <t>76905</t>
        </is>
      </c>
      <c r="E34" s="24" t="inlineStr">
        <is>
          <t>VALORANT</t>
        </is>
      </c>
      <c r="F34" s="24" t="inlineStr">
        <is>
          <t>Gentle Mates</t>
        </is>
      </c>
      <c r="G34" s="24" t="inlineStr">
        <is>
          <t>Eintracht Frankfurt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223</v>
      </c>
      <c r="M34" s="27" t="n">
        <v>3.23</v>
      </c>
      <c r="N34" s="28" t="n">
        <v>0.309598</v>
      </c>
      <c r="O34" s="28" t="n">
        <v>0.601267</v>
      </c>
      <c r="P34" s="28" t="n"/>
      <c r="Q34" s="28" t="n">
        <v>0.291669</v>
      </c>
      <c r="R34" s="26" t="n">
        <v>100</v>
      </c>
      <c r="S34" s="29" t="n">
        <v>1.25</v>
      </c>
      <c r="T34" s="24" t="inlineStr">
        <is>
          <t>valorant-tiered-elo-v6</t>
        </is>
      </c>
      <c r="U34" s="24" t="inlineStr">
        <is>
          <t>settled</t>
        </is>
      </c>
      <c r="V34" s="24" t="inlineStr">
        <is>
          <t>win</t>
        </is>
      </c>
      <c r="W34" s="26" t="n">
        <v>0</v>
      </c>
      <c r="X34" s="26" t="n">
        <v>1</v>
      </c>
      <c r="Y34" s="25" t="n"/>
      <c r="Z34" s="26" t="n">
        <v>223</v>
      </c>
      <c r="AA34" s="28" t="n">
        <v>0.31</v>
      </c>
      <c r="AB34" s="28" t="n">
        <v>0.000402</v>
      </c>
      <c r="AC34" s="30" t="n">
        <v>2.7875</v>
      </c>
      <c r="AD34" s="24" t="inlineStr">
        <is>
          <t>2026-08-12T17:40:52.702365Z</t>
        </is>
      </c>
      <c r="AE34" s="31" t="inlineStr">
        <is>
          <t>Neutral Elo baseline; executable ask 0.3100 (market_slug=aec-valorant-sge-gm-2026-08-12).</t>
        </is>
      </c>
      <c r="AF34" s="31" t="inlineStr">
        <is>
          <t>Config-promoted esports baseline; gates enforced at log time.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3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Gentle Mates</t>
        </is>
      </c>
      <c r="AQ34" s="24" t="inlineStr">
        <is>
          <t>Gentle Mates</t>
        </is>
      </c>
      <c r="AR34" s="24" t="inlineStr">
        <is>
          <t>Gentle Mates</t>
        </is>
      </c>
      <c r="AS34" s="24" t="inlineStr">
        <is>
          <t>Eintracht Frankfurt</t>
        </is>
      </c>
      <c r="AT34" s="24" t="inlineStr">
        <is>
          <t>Eintracht Frankfurt</t>
        </is>
      </c>
      <c r="AU34" s="24" t="inlineStr">
        <is>
          <t>Eintracht Frankfurt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544d1cd34df6c8d22913af55b6e1b019f8a76a060474a2450daa185b339b6d8d</t>
        </is>
      </c>
      <c r="BB34" s="24" t="inlineStr">
        <is>
          <t>neutral_elo</t>
        </is>
      </c>
      <c r="BC34" s="24" t="inlineStr">
        <is>
          <t>valorant-tiered-elo-v6</t>
        </is>
      </c>
      <c r="BD34" s="24" t="inlineStr">
        <is>
          <t>544d1cd34df6c8d22913af55b6e1b019f8a76a060474a2450daa185b339b6d8d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valorant-tiered-elo-v6</t>
        </is>
      </c>
      <c r="BH34" s="24" t="inlineStr">
        <is>
          <t>2026-08-12T14:37:09.887094Z</t>
        </is>
      </c>
      <c r="BI34" s="24" t="inlineStr">
        <is>
          <t>["same_event","same_team_same_day","same_league_same_day"]</t>
        </is>
      </c>
      <c r="BJ34" s="25" t="n"/>
      <c r="BK34" s="26" t="n">
        <v>223</v>
      </c>
      <c r="BL34" s="27" t="n">
        <v>3.23</v>
      </c>
      <c r="BM34" s="28" t="n">
        <v>0.309598</v>
      </c>
      <c r="BN34" s="28" t="n"/>
      <c r="BO34" s="28" t="n"/>
      <c r="BP34" s="25" t="n"/>
      <c r="BQ34" s="27" t="n">
        <v>3.23</v>
      </c>
      <c r="BR34" s="28" t="n">
        <v>0.31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0.309598</t>
        </is>
      </c>
      <c r="DK34" s="24" t="n"/>
      <c r="DL34" s="24" t="n"/>
      <c r="DM34" s="24" t="n"/>
      <c r="DN34" s="24" t="n"/>
      <c r="DO34" s="24" t="n"/>
      <c r="DP34" s="24" t="n"/>
      <c r="DQ34" s="24" t="n"/>
    </row>
    <row r="35" ht="36" customHeight="1">
      <c r="A35" s="24" t="inlineStr">
        <is>
          <t>b1034ef267cd49a7</t>
        </is>
      </c>
      <c r="B35" s="24" t="inlineStr">
        <is>
          <t>2026-08-12T17:44:36.247336Z</t>
        </is>
      </c>
      <c r="C35" s="24" t="inlineStr">
        <is>
          <t>2026-08-12T18:00:00Z</t>
        </is>
      </c>
      <c r="D35" s="24" t="inlineStr">
        <is>
          <t>76535</t>
        </is>
      </c>
      <c r="E35" s="24" t="inlineStr">
        <is>
          <t>VALORANT</t>
        </is>
      </c>
      <c r="F35" s="24" t="inlineStr">
        <is>
          <t>Natus Vincere</t>
        </is>
      </c>
      <c r="G35" s="24" t="inlineStr">
        <is>
          <t>Team Heretics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-138</v>
      </c>
      <c r="M35" s="27" t="n">
        <v>1.724638</v>
      </c>
      <c r="N35" s="28" t="n">
        <v>0.579832</v>
      </c>
      <c r="O35" s="28" t="n">
        <v>0.642814</v>
      </c>
      <c r="P35" s="28" t="n"/>
      <c r="Q35" s="28" t="n">
        <v>0.062982</v>
      </c>
      <c r="R35" s="26" t="n">
        <v>51</v>
      </c>
      <c r="S35" s="29" t="n">
        <v>1.5</v>
      </c>
      <c r="T35" s="24" t="inlineStr">
        <is>
          <t>valorant-tiered-elo-v6</t>
        </is>
      </c>
      <c r="U35" s="24" t="inlineStr">
        <is>
          <t>settled</t>
        </is>
      </c>
      <c r="V35" s="24" t="inlineStr">
        <is>
          <t>win</t>
        </is>
      </c>
      <c r="W35" s="26" t="n">
        <v>0</v>
      </c>
      <c r="X35" s="26" t="n">
        <v>1</v>
      </c>
      <c r="Y35" s="25" t="n"/>
      <c r="Z35" s="26" t="n">
        <v>-138</v>
      </c>
      <c r="AA35" s="28" t="n">
        <v>0.58</v>
      </c>
      <c r="AB35" s="28" t="n">
        <v>0.000168</v>
      </c>
      <c r="AC35" s="30" t="n">
        <v>1.087</v>
      </c>
      <c r="AD35" s="24" t="inlineStr">
        <is>
          <t>2026-08-12T21:15:48.780684Z</t>
        </is>
      </c>
      <c r="AE35" s="31" t="inlineStr">
        <is>
          <t>Neutral Elo baseline; executable ask 0.5800 (market_slug=aec-valorant-th-navi-2026-08-12).</t>
        </is>
      </c>
      <c r="AF35" s="31" t="inlineStr">
        <is>
          <t>Config-promoted esports baseline; gates enforced at log time.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3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Natus Vincere</t>
        </is>
      </c>
      <c r="AQ35" s="24" t="inlineStr">
        <is>
          <t>Natus Vincere</t>
        </is>
      </c>
      <c r="AR35" s="24" t="inlineStr">
        <is>
          <t>Natus Vincere</t>
        </is>
      </c>
      <c r="AS35" s="24" t="inlineStr">
        <is>
          <t>Team Heretics</t>
        </is>
      </c>
      <c r="AT35" s="24" t="inlineStr">
        <is>
          <t>Team Heretics</t>
        </is>
      </c>
      <c r="AU35" s="24" t="inlineStr">
        <is>
          <t>Team Heretics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3e30c9a8fb6f01c0c89924e36259c4ce725d15ed0ed8c2c80c389169eabcc95f</t>
        </is>
      </c>
      <c r="BB35" s="24" t="inlineStr">
        <is>
          <t>neutral_elo</t>
        </is>
      </c>
      <c r="BC35" s="24" t="inlineStr">
        <is>
          <t>valorant-tiered-elo-v6</t>
        </is>
      </c>
      <c r="BD35" s="24" t="inlineStr">
        <is>
          <t>3e30c9a8fb6f01c0c89924e36259c4ce725d15ed0ed8c2c80c389169eabcc95f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valorant-tiered-elo-v6</t>
        </is>
      </c>
      <c r="BH35" s="24" t="inlineStr">
        <is>
          <t>2026-08-12T17:44:26.441713Z</t>
        </is>
      </c>
      <c r="BI35" s="24" t="inlineStr">
        <is>
          <t>["same_event","same_team_same_day","same_league_same_day"]</t>
        </is>
      </c>
      <c r="BJ35" s="25" t="n"/>
      <c r="BK35" s="26" t="n">
        <v>-138</v>
      </c>
      <c r="BL35" s="27" t="n">
        <v>1.724638</v>
      </c>
      <c r="BM35" s="28" t="n">
        <v>0.579832</v>
      </c>
      <c r="BN35" s="28" t="n"/>
      <c r="BO35" s="28" t="n"/>
      <c r="BP35" s="25" t="n"/>
      <c r="BQ35" s="27" t="n">
        <v>1.724638</v>
      </c>
      <c r="BR35" s="28" t="n">
        <v>0.58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True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0.579832</t>
        </is>
      </c>
      <c r="DK35" s="24" t="n"/>
      <c r="DL35" s="24" t="n"/>
      <c r="DM35" s="24" t="n"/>
      <c r="DN35" s="24" t="n"/>
      <c r="DO35" s="24" t="n"/>
      <c r="DP35" s="24" t="n"/>
      <c r="DQ35" s="24" t="n"/>
    </row>
    <row r="36" ht="36" customHeight="1">
      <c r="A36" s="24" t="inlineStr">
        <is>
          <t>00aa6aaa613b4e55</t>
        </is>
      </c>
      <c r="B36" s="24" t="inlineStr">
        <is>
          <t>2026-08-12T17:44:36.247336Z</t>
        </is>
      </c>
      <c r="C36" s="24" t="inlineStr">
        <is>
          <t>2026-08-12T21:00:00Z</t>
        </is>
      </c>
      <c r="D36" s="24" t="inlineStr">
        <is>
          <t>78198</t>
        </is>
      </c>
      <c r="E36" s="24" t="inlineStr">
        <is>
          <t>VALORANT</t>
        </is>
      </c>
      <c r="F36" s="24" t="inlineStr">
        <is>
          <t>HIMMERS</t>
        </is>
      </c>
      <c r="G36" s="24" t="inlineStr">
        <is>
          <t>SEN Otters</t>
        </is>
      </c>
      <c r="H36" s="24" t="inlineStr">
        <is>
          <t>moneyline</t>
        </is>
      </c>
      <c r="I36" s="24" t="inlineStr">
        <is>
          <t>home</t>
        </is>
      </c>
      <c r="J36" s="25" t="n"/>
      <c r="K36" s="24" t="inlineStr">
        <is>
          <t>polymarket_us</t>
        </is>
      </c>
      <c r="L36" s="26" t="n">
        <v>-133</v>
      </c>
      <c r="M36" s="27" t="n">
        <v>1.75188</v>
      </c>
      <c r="N36" s="28" t="n">
        <v>0.570815</v>
      </c>
      <c r="O36" s="28" t="n">
        <v>0.538521</v>
      </c>
      <c r="P36" s="28" t="n"/>
      <c r="Q36" s="28" t="n">
        <v>-0.032294</v>
      </c>
      <c r="R36" s="26" t="n">
        <v>4</v>
      </c>
      <c r="S36" s="29" t="n">
        <v>1</v>
      </c>
      <c r="T36" s="24" t="inlineStr">
        <is>
          <t>valorant-tiered-elo-v6</t>
        </is>
      </c>
      <c r="U36" s="24" t="inlineStr">
        <is>
          <t>settled</t>
        </is>
      </c>
      <c r="V36" s="24" t="inlineStr">
        <is>
          <t>loss</t>
        </is>
      </c>
      <c r="W36" s="26" t="n">
        <v>1</v>
      </c>
      <c r="X36" s="26" t="n">
        <v>0</v>
      </c>
      <c r="Y36" s="25" t="n"/>
      <c r="Z36" s="26" t="n">
        <v>-133</v>
      </c>
      <c r="AA36" s="28" t="n">
        <v>0.57</v>
      </c>
      <c r="AB36" s="28" t="n">
        <v>-0.000815</v>
      </c>
      <c r="AC36" s="30" t="n">
        <v>-1</v>
      </c>
      <c r="AD36" s="24" t="inlineStr">
        <is>
          <t>2026-08-13T05:34:53.538532Z</t>
        </is>
      </c>
      <c r="AE36" s="31" t="inlineStr">
        <is>
          <t>Neutral Elo baseline; executable ask 0.5700 (market_slug=aec-valorant-soe-him-2026-08-12).</t>
        </is>
      </c>
      <c r="AF36" s="31" t="inlineStr">
        <is>
          <t>Config-promoted esports baseline; gates enforced at log time.</t>
        </is>
      </c>
      <c r="AG36" s="24" t="inlineStr">
        <is>
          <t>review_required</t>
        </is>
      </c>
      <c r="AH36" s="24" t="n"/>
      <c r="AI36" s="31" t="n"/>
      <c r="AJ36" s="31" t="n"/>
      <c r="AK36" s="24" t="inlineStr">
        <is>
          <t>paper_call</t>
        </is>
      </c>
      <c r="AL36" s="26" t="n">
        <v>3</v>
      </c>
      <c r="AM36" s="24" t="inlineStr">
        <is>
          <t>RESEARCH_OBSERVATION</t>
        </is>
      </c>
      <c r="AN36" s="24" t="inlineStr">
        <is>
          <t>CALL</t>
        </is>
      </c>
      <c r="AO36" s="24" t="inlineStr">
        <is>
          <t>PAPER_CALL_LOW_EDGE</t>
        </is>
      </c>
      <c r="AP36" s="24" t="inlineStr">
        <is>
          <t>HIMMERS</t>
        </is>
      </c>
      <c r="AQ36" s="24" t="inlineStr">
        <is>
          <t>HIMMERS</t>
        </is>
      </c>
      <c r="AR36" s="24" t="inlineStr">
        <is>
          <t>HIMMERS</t>
        </is>
      </c>
      <c r="AS36" s="24" t="inlineStr">
        <is>
          <t>SEN Otters</t>
        </is>
      </c>
      <c r="AT36" s="24" t="inlineStr">
        <is>
          <t>SEN Otters</t>
        </is>
      </c>
      <c r="AU36" s="24" t="inlineStr">
        <is>
          <t>SEN Otters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3e30c9a8fb6f01c0c89924e36259c4ce725d15ed0ed8c2c80c389169eabcc95f</t>
        </is>
      </c>
      <c r="BB36" s="24" t="inlineStr">
        <is>
          <t>neutral_elo</t>
        </is>
      </c>
      <c r="BC36" s="24" t="inlineStr">
        <is>
          <t>valorant-tiered-elo-v6</t>
        </is>
      </c>
      <c r="BD36" s="24" t="inlineStr">
        <is>
          <t>3e30c9a8fb6f01c0c89924e36259c4ce725d15ed0ed8c2c80c389169eabcc95f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valorant-tiered-elo-v6</t>
        </is>
      </c>
      <c r="BH36" s="24" t="inlineStr">
        <is>
          <t>2026-08-12T17:44:26.918442Z</t>
        </is>
      </c>
      <c r="BI36" s="24" t="inlineStr">
        <is>
          <t>["same_event","same_team_same_day","same_league_same_day"]</t>
        </is>
      </c>
      <c r="BJ36" s="25" t="n"/>
      <c r="BK36" s="26" t="n">
        <v>-133</v>
      </c>
      <c r="BL36" s="27" t="n">
        <v>1.75188</v>
      </c>
      <c r="BM36" s="28" t="n">
        <v>0.570815</v>
      </c>
      <c r="BN36" s="28" t="n"/>
      <c r="BO36" s="28" t="n"/>
      <c r="BP36" s="25" t="n"/>
      <c r="BQ36" s="27" t="n">
        <v>1.75188</v>
      </c>
      <c r="BR36" s="28" t="n">
        <v>0.57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False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0.570815</t>
        </is>
      </c>
      <c r="DK36" s="24" t="n"/>
      <c r="DL36" s="24" t="n"/>
      <c r="DM36" s="24" t="n"/>
      <c r="DN36" s="24" t="n"/>
      <c r="DO36" s="24" t="n"/>
      <c r="DP36" s="24" t="n"/>
      <c r="DQ36" s="24" t="n"/>
    </row>
    <row r="37" ht="36" customHeight="1">
      <c r="A37" s="24" t="inlineStr">
        <is>
          <t>164c733353294acf</t>
        </is>
      </c>
      <c r="B37" s="24" t="inlineStr">
        <is>
          <t>2026-08-12T21:33:44.211826Z</t>
        </is>
      </c>
      <c r="C37" s="24" t="inlineStr">
        <is>
          <t>2026-08-12T23:30:00Z</t>
        </is>
      </c>
      <c r="D37" s="24" t="inlineStr">
        <is>
          <t>78205</t>
        </is>
      </c>
      <c r="E37" s="24" t="inlineStr">
        <is>
          <t>VALORANT</t>
        </is>
      </c>
      <c r="F37" s="24" t="inlineStr">
        <is>
          <t>The Spiders</t>
        </is>
      </c>
      <c r="G37" s="24" t="inlineStr">
        <is>
          <t>MVSK Secret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203</v>
      </c>
      <c r="M37" s="27" t="n">
        <v>3.03</v>
      </c>
      <c r="N37" s="28" t="n">
        <v>0.330033</v>
      </c>
      <c r="O37" s="28" t="n">
        <v>0.519894</v>
      </c>
      <c r="P37" s="28" t="n"/>
      <c r="Q37" s="28" t="n">
        <v>0.189861</v>
      </c>
      <c r="R37" s="26" t="n">
        <v>100</v>
      </c>
      <c r="S37" s="29" t="n">
        <v>1</v>
      </c>
      <c r="T37" s="24" t="inlineStr">
        <is>
          <t>valorant-tiered-elo-v6</t>
        </is>
      </c>
      <c r="U37" s="24" t="inlineStr">
        <is>
          <t>settled</t>
        </is>
      </c>
      <c r="V37" s="24" t="inlineStr">
        <is>
          <t>loss</t>
        </is>
      </c>
      <c r="W37" s="26" t="n">
        <v>1</v>
      </c>
      <c r="X37" s="26" t="n">
        <v>0</v>
      </c>
      <c r="Y37" s="25" t="n"/>
      <c r="Z37" s="26" t="n">
        <v>203</v>
      </c>
      <c r="AA37" s="28" t="n">
        <v>0.33</v>
      </c>
      <c r="AB37" s="28" t="n">
        <v>-3.3e-05</v>
      </c>
      <c r="AC37" s="30" t="n">
        <v>-1</v>
      </c>
      <c r="AD37" s="24" t="inlineStr">
        <is>
          <t>2026-08-13T05:34:55.000552Z</t>
        </is>
      </c>
      <c r="AE37" s="31" t="inlineStr">
        <is>
          <t>Neutral Elo baseline; executable ask 0.3300 (market_slug=aec-valorant-mvs-spi-2026-08-12).</t>
        </is>
      </c>
      <c r="AF37" s="31" t="inlineStr">
        <is>
          <t>Config-promoted esports baseline; gates enforced at log time.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3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The Spiders</t>
        </is>
      </c>
      <c r="AQ37" s="24" t="inlineStr">
        <is>
          <t>The Spiders</t>
        </is>
      </c>
      <c r="AR37" s="24" t="inlineStr">
        <is>
          <t>The Spiders</t>
        </is>
      </c>
      <c r="AS37" s="24" t="inlineStr">
        <is>
          <t>MVSK Secret</t>
        </is>
      </c>
      <c r="AT37" s="24" t="inlineStr">
        <is>
          <t>MVSK Secret</t>
        </is>
      </c>
      <c r="AU37" s="24" t="inlineStr">
        <is>
          <t>MVSK Secret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b58416f26420ee9d55d05ce1518c442566f4b73f4e41b9531abbe4559267bbea</t>
        </is>
      </c>
      <c r="BB37" s="24" t="inlineStr">
        <is>
          <t>neutral_elo</t>
        </is>
      </c>
      <c r="BC37" s="24" t="inlineStr">
        <is>
          <t>valorant-tiered-elo-v6</t>
        </is>
      </c>
      <c r="BD37" s="24" t="inlineStr">
        <is>
          <t>b58416f26420ee9d55d05ce1518c442566f4b73f4e41b9531abbe4559267bbea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valorant-tiered-elo-v6</t>
        </is>
      </c>
      <c r="BH37" s="24" t="inlineStr">
        <is>
          <t>2026-08-12T21:33:38.241347Z</t>
        </is>
      </c>
      <c r="BI37" s="24" t="inlineStr">
        <is>
          <t>["same_event","same_team_same_day","same_league_same_day"]</t>
        </is>
      </c>
      <c r="BJ37" s="25" t="n"/>
      <c r="BK37" s="26" t="n">
        <v>203</v>
      </c>
      <c r="BL37" s="27" t="n">
        <v>3.03</v>
      </c>
      <c r="BM37" s="28" t="n">
        <v>0.330033</v>
      </c>
      <c r="BN37" s="28" t="n"/>
      <c r="BO37" s="28" t="n"/>
      <c r="BP37" s="25" t="n"/>
      <c r="BQ37" s="27" t="n">
        <v>3.03</v>
      </c>
      <c r="BR37" s="28" t="n">
        <v>0.33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0.330033</t>
        </is>
      </c>
      <c r="DK37" s="24" t="n"/>
      <c r="DL37" s="24" t="n"/>
      <c r="DM37" s="24" t="n"/>
      <c r="DN37" s="24" t="n"/>
      <c r="DO37" s="24" t="n"/>
      <c r="DP37" s="24" t="n"/>
      <c r="DQ37" s="24" t="n"/>
    </row>
    <row r="38" ht="36" customHeight="1">
      <c r="A38" s="24" t="inlineStr">
        <is>
          <t>1975785ed3304e81</t>
        </is>
      </c>
      <c r="B38" s="24" t="inlineStr">
        <is>
          <t>2026-08-12T21:33:44.211826Z</t>
        </is>
      </c>
      <c r="C38" s="24" t="inlineStr">
        <is>
          <t>2026-08-12T23:30:00Z</t>
        </is>
      </c>
      <c r="D38" s="24" t="inlineStr">
        <is>
          <t>78203</t>
        </is>
      </c>
      <c r="E38" s="24" t="inlineStr">
        <is>
          <t>VALORANT</t>
        </is>
      </c>
      <c r="F38" s="24" t="inlineStr">
        <is>
          <t>ORA Temper</t>
        </is>
      </c>
      <c r="G38" s="24" t="inlineStr">
        <is>
          <t>:3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-133</v>
      </c>
      <c r="M38" s="27" t="n">
        <v>1.75188</v>
      </c>
      <c r="N38" s="28" t="n">
        <v>0.570815</v>
      </c>
      <c r="O38" s="28" t="n">
        <v>0.508842</v>
      </c>
      <c r="P38" s="28" t="n"/>
      <c r="Q38" s="28" t="n">
        <v>-0.061973</v>
      </c>
      <c r="R38" s="26" t="n">
        <v>0</v>
      </c>
      <c r="S38" s="29" t="n">
        <v>1</v>
      </c>
      <c r="T38" s="24" t="inlineStr">
        <is>
          <t>valorant-tiered-elo-v6</t>
        </is>
      </c>
      <c r="U38" s="24" t="inlineStr">
        <is>
          <t>settled</t>
        </is>
      </c>
      <c r="V38" s="24" t="inlineStr">
        <is>
          <t>win</t>
        </is>
      </c>
      <c r="W38" s="26" t="n">
        <v>0</v>
      </c>
      <c r="X38" s="26" t="n">
        <v>1</v>
      </c>
      <c r="Y38" s="25" t="n"/>
      <c r="Z38" s="26" t="n">
        <v>-133</v>
      </c>
      <c r="AA38" s="28" t="n">
        <v>0.57</v>
      </c>
      <c r="AB38" s="28" t="n">
        <v>-0.000815</v>
      </c>
      <c r="AC38" s="30" t="n">
        <v>0.7519</v>
      </c>
      <c r="AD38" s="24" t="inlineStr">
        <is>
          <t>2026-08-13T05:34:56.454788Z</t>
        </is>
      </c>
      <c r="AE38" s="31" t="inlineStr">
        <is>
          <t>Neutral Elo baseline; executable ask 0.5700 (market_slug=aec-valorant-meow-orat-2026-08-12).</t>
        </is>
      </c>
      <c r="AF38" s="31" t="inlineStr">
        <is>
          <t>Config-promoted esports baseline; gates enforced at log time.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paper_call</t>
        </is>
      </c>
      <c r="AL38" s="26" t="n">
        <v>3</v>
      </c>
      <c r="AM38" s="24" t="inlineStr">
        <is>
          <t>RESEARCH_OBSERVATION</t>
        </is>
      </c>
      <c r="AN38" s="24" t="inlineStr">
        <is>
          <t>CALL</t>
        </is>
      </c>
      <c r="AO38" s="24" t="inlineStr">
        <is>
          <t>PAPER_CALL_LOW_EDGE</t>
        </is>
      </c>
      <c r="AP38" s="24" t="inlineStr">
        <is>
          <t>ORA Temper</t>
        </is>
      </c>
      <c r="AQ38" s="24" t="inlineStr">
        <is>
          <t>ORA Temper</t>
        </is>
      </c>
      <c r="AR38" s="24" t="inlineStr">
        <is>
          <t>ORA Temper</t>
        </is>
      </c>
      <c r="AS38" s="24" t="inlineStr">
        <is>
          <t>:3</t>
        </is>
      </c>
      <c r="AT38" s="24" t="inlineStr">
        <is>
          <t>:3</t>
        </is>
      </c>
      <c r="AU38" s="24" t="inlineStr">
        <is>
          <t>:3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b58416f26420ee9d55d05ce1518c442566f4b73f4e41b9531abbe4559267bbea</t>
        </is>
      </c>
      <c r="BB38" s="24" t="inlineStr">
        <is>
          <t>neutral_elo</t>
        </is>
      </c>
      <c r="BC38" s="24" t="inlineStr">
        <is>
          <t>valorant-tiered-elo-v6</t>
        </is>
      </c>
      <c r="BD38" s="24" t="inlineStr">
        <is>
          <t>b58416f26420ee9d55d05ce1518c442566f4b73f4e41b9531abbe4559267bbea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valorant-tiered-elo-v6</t>
        </is>
      </c>
      <c r="BH38" s="24" t="inlineStr">
        <is>
          <t>2026-08-12T21:33:39.312489Z</t>
        </is>
      </c>
      <c r="BI38" s="24" t="inlineStr">
        <is>
          <t>["same_event","same_team_same_day","same_league_same_day"]</t>
        </is>
      </c>
      <c r="BJ38" s="25" t="n"/>
      <c r="BK38" s="26" t="n">
        <v>-133</v>
      </c>
      <c r="BL38" s="27" t="n">
        <v>1.75188</v>
      </c>
      <c r="BM38" s="28" t="n">
        <v>0.570815</v>
      </c>
      <c r="BN38" s="28" t="n"/>
      <c r="BO38" s="28" t="n"/>
      <c r="BP38" s="25" t="n"/>
      <c r="BQ38" s="27" t="n">
        <v>1.75188</v>
      </c>
      <c r="BR38" s="28" t="n">
        <v>0.57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False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0.570815</t>
        </is>
      </c>
      <c r="DK38" s="24" t="n"/>
      <c r="DL38" s="24" t="n"/>
      <c r="DM38" s="24" t="n"/>
      <c r="DN38" s="24" t="n"/>
      <c r="DO38" s="24" t="n"/>
      <c r="DP38" s="24" t="n"/>
      <c r="DQ38" s="24" t="n"/>
    </row>
    <row r="39" ht="36" customHeight="1">
      <c r="A39" s="24" t="inlineStr">
        <is>
          <t>cdec64484e9944be</t>
        </is>
      </c>
      <c r="B39" s="24" t="inlineStr">
        <is>
          <t>2026-08-12T21:33:44.211826Z</t>
        </is>
      </c>
      <c r="C39" s="24" t="inlineStr">
        <is>
          <t>2026-08-14T00:00:00Z</t>
        </is>
      </c>
      <c r="D39" s="24" t="inlineStr">
        <is>
          <t>78063</t>
        </is>
      </c>
      <c r="E39" s="24" t="inlineStr">
        <is>
          <t>VALORANT</t>
        </is>
      </c>
      <c r="F39" s="24" t="inlineStr">
        <is>
          <t>M80</t>
        </is>
      </c>
      <c r="G39" s="24" t="inlineStr">
        <is>
          <t>Team Envy</t>
        </is>
      </c>
      <c r="H39" s="24" t="inlineStr">
        <is>
          <t>moneyline</t>
        </is>
      </c>
      <c r="I39" s="24" t="inlineStr">
        <is>
          <t>away</t>
        </is>
      </c>
      <c r="J39" s="25" t="n"/>
      <c r="K39" s="24" t="inlineStr">
        <is>
          <t>polymarket_us</t>
        </is>
      </c>
      <c r="L39" s="26" t="n">
        <v>-144</v>
      </c>
      <c r="M39" s="27" t="n">
        <v>1.694444</v>
      </c>
      <c r="N39" s="28" t="n">
        <v>0.590164</v>
      </c>
      <c r="O39" s="28" t="n">
        <v>0.7639010000000001</v>
      </c>
      <c r="P39" s="28" t="n"/>
      <c r="Q39" s="28" t="n">
        <v>0.173737</v>
      </c>
      <c r="R39" s="26" t="n">
        <v>100</v>
      </c>
      <c r="S39" s="29" t="n">
        <v>2</v>
      </c>
      <c r="T39" s="24" t="inlineStr">
        <is>
          <t>valorant-tiered-elo-v6</t>
        </is>
      </c>
      <c r="U39" s="24" t="inlineStr">
        <is>
          <t>settled</t>
        </is>
      </c>
      <c r="V39" s="24" t="inlineStr">
        <is>
          <t>loss</t>
        </is>
      </c>
      <c r="W39" s="26" t="n">
        <v>0</v>
      </c>
      <c r="X39" s="26" t="n">
        <v>1</v>
      </c>
      <c r="Y39" s="25" t="n"/>
      <c r="Z39" s="26" t="n">
        <v>-150</v>
      </c>
      <c r="AA39" s="28" t="n">
        <v>0.6</v>
      </c>
      <c r="AB39" s="28" t="n">
        <v>0.009835999999999999</v>
      </c>
      <c r="AC39" s="30" t="n">
        <v>-2</v>
      </c>
      <c r="AD39" s="24" t="inlineStr">
        <is>
          <t>2026-08-14T02:22:57.285344Z</t>
        </is>
      </c>
      <c r="AE39" s="31" t="inlineStr">
        <is>
          <t>Neutral Elo baseline; executable ask 0.5900 (market_slug=aec-valorant-nv-m80-2026-08-14).</t>
        </is>
      </c>
      <c r="AF39" s="31" t="inlineStr">
        <is>
          <t>Config-promoted esports baseline; gates enforced at log time.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M80</t>
        </is>
      </c>
      <c r="AQ39" s="24" t="inlineStr">
        <is>
          <t>M80</t>
        </is>
      </c>
      <c r="AR39" s="24" t="inlineStr">
        <is>
          <t>M80</t>
        </is>
      </c>
      <c r="AS39" s="24" t="inlineStr">
        <is>
          <t>Team Envy</t>
        </is>
      </c>
      <c r="AT39" s="24" t="inlineStr">
        <is>
          <t>Team Envy</t>
        </is>
      </c>
      <c r="AU39" s="24" t="inlineStr">
        <is>
          <t>Team Envy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b58416f26420ee9d55d05ce1518c442566f4b73f4e41b9531abbe4559267bbea</t>
        </is>
      </c>
      <c r="BB39" s="24" t="inlineStr">
        <is>
          <t>neutral_elo</t>
        </is>
      </c>
      <c r="BC39" s="24" t="inlineStr">
        <is>
          <t>valorant-tiered-elo-v6</t>
        </is>
      </c>
      <c r="BD39" s="24" t="inlineStr">
        <is>
          <t>b58416f26420ee9d55d05ce1518c442566f4b73f4e41b9531abbe4559267bbea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valorant-tiered-elo-v6</t>
        </is>
      </c>
      <c r="BH39" s="24" t="inlineStr">
        <is>
          <t>2026-08-12T21:33:44.207376Z</t>
        </is>
      </c>
      <c r="BI39" s="24" t="inlineStr">
        <is>
          <t>["same_event","same_team_same_day","same_league_same_day"]</t>
        </is>
      </c>
      <c r="BJ39" s="25" t="n"/>
      <c r="BK39" s="26" t="n">
        <v>-144</v>
      </c>
      <c r="BL39" s="27" t="n">
        <v>1.694444</v>
      </c>
      <c r="BM39" s="28" t="n">
        <v>0.590164</v>
      </c>
      <c r="BN39" s="28" t="n"/>
      <c r="BO39" s="28" t="n"/>
      <c r="BP39" s="25" t="n"/>
      <c r="BQ39" s="27" t="n">
        <v>1.666667</v>
      </c>
      <c r="BR39" s="28" t="n">
        <v>0.6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0.590164</t>
        </is>
      </c>
      <c r="DK39" s="24" t="n"/>
      <c r="DL39" s="24" t="n"/>
      <c r="DM39" s="24" t="n"/>
      <c r="DN39" s="24" t="n"/>
      <c r="DO39" s="24" t="n"/>
      <c r="DP39" s="24" t="n"/>
      <c r="DQ39" s="24" t="n"/>
    </row>
    <row r="40" ht="36" customHeight="1">
      <c r="A40" s="24" t="inlineStr">
        <is>
          <t>4bd1ae98c84744c0</t>
        </is>
      </c>
      <c r="B40" s="24" t="inlineStr">
        <is>
          <t>2026-08-13T07:33:38.167763Z</t>
        </is>
      </c>
      <c r="C40" s="24" t="inlineStr">
        <is>
          <t>2026-08-13T08:00:00Z</t>
        </is>
      </c>
      <c r="D40" s="24" t="inlineStr">
        <is>
          <t>77171</t>
        </is>
      </c>
      <c r="E40" s="24" t="inlineStr">
        <is>
          <t>VALORANT</t>
        </is>
      </c>
      <c r="F40" s="24" t="inlineStr">
        <is>
          <t>ONSIDE GAMING</t>
        </is>
      </c>
      <c r="G40" s="24" t="inlineStr">
        <is>
          <t>Kiwoom DRX</t>
        </is>
      </c>
      <c r="H40" s="24" t="inlineStr">
        <is>
          <t>moneyline</t>
        </is>
      </c>
      <c r="I40" s="24" t="inlineStr">
        <is>
          <t>away</t>
        </is>
      </c>
      <c r="J40" s="25" t="n"/>
      <c r="K40" s="24" t="inlineStr">
        <is>
          <t>polymarket_us</t>
        </is>
      </c>
      <c r="L40" s="26" t="n">
        <v>122</v>
      </c>
      <c r="M40" s="27" t="n">
        <v>2.22</v>
      </c>
      <c r="N40" s="28" t="n">
        <v>0.45045</v>
      </c>
      <c r="O40" s="28" t="n">
        <v>0.577877</v>
      </c>
      <c r="P40" s="28" t="n"/>
      <c r="Q40" s="28" t="n">
        <v>0.127427</v>
      </c>
      <c r="R40" s="26" t="n">
        <v>84</v>
      </c>
      <c r="S40" s="29" t="n">
        <v>1.25</v>
      </c>
      <c r="T40" s="24" t="inlineStr">
        <is>
          <t>valorant-tiered-elo-v6</t>
        </is>
      </c>
      <c r="U40" s="24" t="inlineStr">
        <is>
          <t>settled</t>
        </is>
      </c>
      <c r="V40" s="24" t="inlineStr">
        <is>
          <t>loss</t>
        </is>
      </c>
      <c r="W40" s="26" t="n">
        <v>0</v>
      </c>
      <c r="X40" s="26" t="n">
        <v>1</v>
      </c>
      <c r="Y40" s="25" t="n"/>
      <c r="Z40" s="26" t="n">
        <v>122</v>
      </c>
      <c r="AA40" s="28" t="n">
        <v>0.45</v>
      </c>
      <c r="AB40" s="28" t="n">
        <v>-0.00045</v>
      </c>
      <c r="AC40" s="30" t="n">
        <v>-1.25</v>
      </c>
      <c r="AD40" s="24" t="inlineStr">
        <is>
          <t>2026-08-13T10:07:01.177575Z</t>
        </is>
      </c>
      <c r="AE40" s="31" t="inlineStr">
        <is>
          <t>Neutral Elo baseline; executable ask 0.4500 (market_slug=aec-valorant-krx-osg-2026-08-13).</t>
        </is>
      </c>
      <c r="AF40" s="31" t="inlineStr">
        <is>
          <t>Config-promoted esports baseline; gates enforced at log time.</t>
        </is>
      </c>
      <c r="AG40" s="24" t="inlineStr">
        <is>
          <t>review_required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3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ONSIDE GAMING</t>
        </is>
      </c>
      <c r="AQ40" s="24" t="inlineStr">
        <is>
          <t>ONSIDE GAMING</t>
        </is>
      </c>
      <c r="AR40" s="24" t="inlineStr">
        <is>
          <t>ONSIDE GAMING</t>
        </is>
      </c>
      <c r="AS40" s="24" t="inlineStr">
        <is>
          <t>Kiwoom DRX</t>
        </is>
      </c>
      <c r="AT40" s="24" t="inlineStr">
        <is>
          <t>Kiwoom DRX</t>
        </is>
      </c>
      <c r="AU40" s="24" t="inlineStr">
        <is>
          <t>Kiwoom DRX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9a4dfa85f36adcfca5ea0511c0f369e0181e4aa5804896696079fbe36b54d3d2</t>
        </is>
      </c>
      <c r="BB40" s="24" t="inlineStr">
        <is>
          <t>neutral_elo</t>
        </is>
      </c>
      <c r="BC40" s="24" t="inlineStr">
        <is>
          <t>valorant-tiered-elo-v6</t>
        </is>
      </c>
      <c r="BD40" s="24" t="inlineStr">
        <is>
          <t>9a4dfa85f36adcfca5ea0511c0f369e0181e4aa5804896696079fbe36b54d3d2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valorant-tiered-elo-v6</t>
        </is>
      </c>
      <c r="BH40" s="24" t="inlineStr">
        <is>
          <t>2026-08-13T07:33:28.262454Z</t>
        </is>
      </c>
      <c r="BI40" s="24" t="inlineStr">
        <is>
          <t>["same_event","same_team_same_day","same_league_same_day"]</t>
        </is>
      </c>
      <c r="BJ40" s="25" t="n"/>
      <c r="BK40" s="26" t="n">
        <v>122</v>
      </c>
      <c r="BL40" s="27" t="n">
        <v>2.22</v>
      </c>
      <c r="BM40" s="28" t="n">
        <v>0.45045</v>
      </c>
      <c r="BN40" s="28" t="n"/>
      <c r="BO40" s="28" t="n"/>
      <c r="BP40" s="25" t="n"/>
      <c r="BQ40" s="27" t="n">
        <v>2.22</v>
      </c>
      <c r="BR40" s="28" t="n">
        <v>0.45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0.45045</t>
        </is>
      </c>
      <c r="DK40" s="24" t="n"/>
      <c r="DL40" s="24" t="n"/>
      <c r="DM40" s="24" t="n"/>
      <c r="DN40" s="24" t="n"/>
      <c r="DO40" s="24" t="n"/>
      <c r="DP40" s="24" t="n"/>
      <c r="DQ40" s="24" t="n"/>
    </row>
    <row r="41" ht="36" customHeight="1">
      <c r="A41" s="24" t="inlineStr">
        <is>
          <t>9d38d8dc80344adf</t>
        </is>
      </c>
      <c r="B41" s="24" t="inlineStr">
        <is>
          <t>2026-08-13T10:40:22.988810Z</t>
        </is>
      </c>
      <c r="C41" s="24" t="inlineStr">
        <is>
          <t>2026-08-13T11:00:00Z</t>
        </is>
      </c>
      <c r="D41" s="24" t="inlineStr">
        <is>
          <t>77227</t>
        </is>
      </c>
      <c r="E41" s="24" t="inlineStr">
        <is>
          <t>VALORANT</t>
        </is>
      </c>
      <c r="F41" s="24" t="inlineStr">
        <is>
          <t>Sharper Esport</t>
        </is>
      </c>
      <c r="G41" s="24" t="inlineStr">
        <is>
          <t>Rex Regum Qeon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178</v>
      </c>
      <c r="M41" s="27" t="n">
        <v>2.78</v>
      </c>
      <c r="N41" s="28" t="n">
        <v>0.359712</v>
      </c>
      <c r="O41" s="28" t="n">
        <v>0.5357769999999999</v>
      </c>
      <c r="P41" s="28" t="n"/>
      <c r="Q41" s="28" t="n">
        <v>0.176065</v>
      </c>
      <c r="R41" s="26" t="n">
        <v>100</v>
      </c>
      <c r="S41" s="29" t="n">
        <v>1</v>
      </c>
      <c r="T41" s="24" t="inlineStr">
        <is>
          <t>valorant-tiered-elo-v6</t>
        </is>
      </c>
      <c r="U41" s="24" t="inlineStr">
        <is>
          <t>settled</t>
        </is>
      </c>
      <c r="V41" s="24" t="inlineStr">
        <is>
          <t>win</t>
        </is>
      </c>
      <c r="W41" s="26" t="n">
        <v>1</v>
      </c>
      <c r="X41" s="26" t="n">
        <v>0</v>
      </c>
      <c r="Y41" s="25" t="n"/>
      <c r="Z41" s="26" t="n">
        <v>113</v>
      </c>
      <c r="AA41" s="28" t="n">
        <v>0.47</v>
      </c>
      <c r="AB41" s="28" t="n">
        <v>0.110288</v>
      </c>
      <c r="AC41" s="30" t="n">
        <v>1.78</v>
      </c>
      <c r="AD41" s="24" t="inlineStr">
        <is>
          <t>2026-08-13T13:43:35.673212Z</t>
        </is>
      </c>
      <c r="AE41" s="31" t="inlineStr">
        <is>
          <t>Neutral Elo baseline; executable ask 0.3600 (market_slug=aec-valorant-rrq-spe-2026-08-13).</t>
        </is>
      </c>
      <c r="AF41" s="31" t="inlineStr">
        <is>
          <t>Config-promoted esports baseline; gates enforced at log time.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3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Sharper Esport</t>
        </is>
      </c>
      <c r="AQ41" s="24" t="inlineStr">
        <is>
          <t>Sharper Esport</t>
        </is>
      </c>
      <c r="AR41" s="24" t="inlineStr">
        <is>
          <t>Sharper Esport</t>
        </is>
      </c>
      <c r="AS41" s="24" t="inlineStr">
        <is>
          <t>Rex Regum Qeon</t>
        </is>
      </c>
      <c r="AT41" s="24" t="inlineStr">
        <is>
          <t>Rex Regum Qeon</t>
        </is>
      </c>
      <c r="AU41" s="24" t="inlineStr">
        <is>
          <t>Rex Regum Qeon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34c63be26d0e2cc14119f679adaf024aa89287fce612ad18898d49f1dee15418</t>
        </is>
      </c>
      <c r="BB41" s="24" t="inlineStr">
        <is>
          <t>neutral_elo</t>
        </is>
      </c>
      <c r="BC41" s="24" t="inlineStr">
        <is>
          <t>valorant-tiered-elo-v6</t>
        </is>
      </c>
      <c r="BD41" s="24" t="inlineStr">
        <is>
          <t>34c63be26d0e2cc14119f679adaf024aa89287fce612ad18898d49f1dee15418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valorant-tiered-elo-v6</t>
        </is>
      </c>
      <c r="BH41" s="24" t="inlineStr">
        <is>
          <t>2026-08-13T10:40:13.696977Z</t>
        </is>
      </c>
      <c r="BI41" s="24" t="inlineStr">
        <is>
          <t>["same_event","same_team_same_day","same_league_same_day"]</t>
        </is>
      </c>
      <c r="BJ41" s="25" t="n"/>
      <c r="BK41" s="26" t="n">
        <v>178</v>
      </c>
      <c r="BL41" s="27" t="n">
        <v>2.78</v>
      </c>
      <c r="BM41" s="28" t="n">
        <v>0.359712</v>
      </c>
      <c r="BN41" s="28" t="n"/>
      <c r="BO41" s="28" t="n"/>
      <c r="BP41" s="25" t="n"/>
      <c r="BQ41" s="27" t="n">
        <v>2.13</v>
      </c>
      <c r="BR41" s="28" t="n">
        <v>0.47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0.359712</t>
        </is>
      </c>
      <c r="DK41" s="24" t="n"/>
      <c r="DL41" s="24" t="n"/>
      <c r="DM41" s="24" t="n"/>
      <c r="DN41" s="24" t="n"/>
      <c r="DO41" s="24" t="n"/>
      <c r="DP41" s="24" t="n"/>
      <c r="DQ41" s="24" t="n"/>
    </row>
    <row r="42" ht="36" customHeight="1">
      <c r="A42" s="24" t="inlineStr">
        <is>
          <t>b3edbecae1474f22</t>
        </is>
      </c>
      <c r="B42" s="24" t="inlineStr">
        <is>
          <t>2026-08-13T13:47:19.845301Z</t>
        </is>
      </c>
      <c r="C42" s="24" t="inlineStr">
        <is>
          <t>2026-08-13T15:00:00Z</t>
        </is>
      </c>
      <c r="D42" s="24" t="inlineStr">
        <is>
          <t>77363</t>
        </is>
      </c>
      <c r="E42" s="24" t="inlineStr">
        <is>
          <t>VALORANT</t>
        </is>
      </c>
      <c r="F42" s="24" t="inlineStr">
        <is>
          <t>Pcific Esports</t>
        </is>
      </c>
      <c r="G42" s="24" t="inlineStr">
        <is>
          <t>Joblife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-233</v>
      </c>
      <c r="M42" s="27" t="n">
        <v>1.429185</v>
      </c>
      <c r="N42" s="28" t="n">
        <v>0.6997</v>
      </c>
      <c r="O42" s="28" t="n">
        <v>0.83509</v>
      </c>
      <c r="P42" s="28" t="n"/>
      <c r="Q42" s="28" t="n">
        <v>0.13539</v>
      </c>
      <c r="R42" s="26" t="n">
        <v>88</v>
      </c>
      <c r="S42" s="29" t="n">
        <v>2</v>
      </c>
      <c r="T42" s="24" t="inlineStr">
        <is>
          <t>valorant-tiered-elo-v6</t>
        </is>
      </c>
      <c r="U42" s="24" t="inlineStr">
        <is>
          <t>settled</t>
        </is>
      </c>
      <c r="V42" s="24" t="inlineStr">
        <is>
          <t>win</t>
        </is>
      </c>
      <c r="W42" s="26" t="n">
        <v>0</v>
      </c>
      <c r="X42" s="26" t="n">
        <v>1</v>
      </c>
      <c r="Y42" s="25" t="n"/>
      <c r="Z42" s="26" t="n">
        <v>-233</v>
      </c>
      <c r="AA42" s="28" t="n">
        <v>0.7</v>
      </c>
      <c r="AB42" s="28" t="n">
        <v>0.0003</v>
      </c>
      <c r="AC42" s="30" t="n">
        <v>0.8584000000000001</v>
      </c>
      <c r="AD42" s="24" t="inlineStr">
        <is>
          <t>2026-08-13T19:19:33.672185Z</t>
        </is>
      </c>
      <c r="AE42" s="31" t="inlineStr">
        <is>
          <t>Neutral Elo baseline; executable ask 0.7000 (market_slug=aec-valorant-jl-pcfic-2026-08-13).</t>
        </is>
      </c>
      <c r="AF42" s="31" t="inlineStr">
        <is>
          <t>Config-promoted esports baseline; gates enforced at log time.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3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Pcific Esports</t>
        </is>
      </c>
      <c r="AQ42" s="24" t="inlineStr">
        <is>
          <t>Pcific Esports</t>
        </is>
      </c>
      <c r="AR42" s="24" t="inlineStr">
        <is>
          <t>Pcific Esports</t>
        </is>
      </c>
      <c r="AS42" s="24" t="inlineStr">
        <is>
          <t>Joblife</t>
        </is>
      </c>
      <c r="AT42" s="24" t="inlineStr">
        <is>
          <t>Joblife</t>
        </is>
      </c>
      <c r="AU42" s="24" t="inlineStr">
        <is>
          <t>Joblife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da0677ab8abe2b527063872e9a3414ee4e73a14497c101342ddcfce29bd189b4</t>
        </is>
      </c>
      <c r="BB42" s="24" t="inlineStr">
        <is>
          <t>neutral_elo</t>
        </is>
      </c>
      <c r="BC42" s="24" t="inlineStr">
        <is>
          <t>valorant-tiered-elo-v6</t>
        </is>
      </c>
      <c r="BD42" s="24" t="inlineStr">
        <is>
          <t>da0677ab8abe2b527063872e9a3414ee4e73a14497c101342ddcfce29bd189b4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valorant-tiered-elo-v6</t>
        </is>
      </c>
      <c r="BH42" s="24" t="inlineStr">
        <is>
          <t>2026-08-13T13:47:13.179473Z</t>
        </is>
      </c>
      <c r="BI42" s="24" t="inlineStr">
        <is>
          <t>["same_event","same_team_same_day","same_league_same_day"]</t>
        </is>
      </c>
      <c r="BJ42" s="25" t="n"/>
      <c r="BK42" s="26" t="n">
        <v>-233</v>
      </c>
      <c r="BL42" s="27" t="n">
        <v>1.429185</v>
      </c>
      <c r="BM42" s="28" t="n">
        <v>0.6997</v>
      </c>
      <c r="BN42" s="28" t="n"/>
      <c r="BO42" s="28" t="n"/>
      <c r="BP42" s="25" t="n"/>
      <c r="BQ42" s="27" t="n">
        <v>1.429185</v>
      </c>
      <c r="BR42" s="28" t="n">
        <v>0.7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True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0.6997</t>
        </is>
      </c>
      <c r="DK42" s="24" t="n"/>
      <c r="DL42" s="24" t="n"/>
      <c r="DM42" s="24" t="n"/>
      <c r="DN42" s="24" t="n"/>
      <c r="DO42" s="24" t="n"/>
      <c r="DP42" s="24" t="n"/>
      <c r="DQ42" s="24" t="n"/>
    </row>
    <row r="43" ht="36" customHeight="1">
      <c r="A43" s="24" t="inlineStr">
        <is>
          <t>ccc04a50da7a48e2</t>
        </is>
      </c>
      <c r="B43" s="24" t="inlineStr">
        <is>
          <t>2026-08-13T17:16:26.831639Z</t>
        </is>
      </c>
      <c r="C43" s="24" t="inlineStr">
        <is>
          <t>2026-08-13T18:00:00Z</t>
        </is>
      </c>
      <c r="D43" s="24" t="inlineStr">
        <is>
          <t>77546</t>
        </is>
      </c>
      <c r="E43" s="24" t="inlineStr">
        <is>
          <t>VALORANT</t>
        </is>
      </c>
      <c r="F43" s="24" t="inlineStr">
        <is>
          <t>Gentle Mates GC</t>
        </is>
      </c>
      <c r="G43" s="24" t="inlineStr">
        <is>
          <t>FOKUS Sakura</t>
        </is>
      </c>
      <c r="H43" s="24" t="inlineStr">
        <is>
          <t>moneyline</t>
        </is>
      </c>
      <c r="I43" s="24" t="inlineStr">
        <is>
          <t>away</t>
        </is>
      </c>
      <c r="J43" s="25" t="n"/>
      <c r="K43" s="24" t="inlineStr">
        <is>
          <t>polymarket_us</t>
        </is>
      </c>
      <c r="L43" s="26" t="n">
        <v>-144</v>
      </c>
      <c r="M43" s="27" t="n">
        <v>1.694444</v>
      </c>
      <c r="N43" s="28" t="n">
        <v>0.590164</v>
      </c>
      <c r="O43" s="28" t="n">
        <v>0.687518</v>
      </c>
      <c r="P43" s="28" t="n"/>
      <c r="Q43" s="28" t="n">
        <v>0.097354</v>
      </c>
      <c r="R43" s="26" t="n">
        <v>69</v>
      </c>
      <c r="S43" s="29" t="n">
        <v>2</v>
      </c>
      <c r="T43" s="24" t="inlineStr">
        <is>
          <t>valorant-tiered-elo-v6</t>
        </is>
      </c>
      <c r="U43" s="24" t="inlineStr">
        <is>
          <t>settled</t>
        </is>
      </c>
      <c r="V43" s="24" t="inlineStr">
        <is>
          <t>win</t>
        </is>
      </c>
      <c r="W43" s="26" t="n">
        <v>1</v>
      </c>
      <c r="X43" s="26" t="n">
        <v>0</v>
      </c>
      <c r="Y43" s="25" t="n"/>
      <c r="Z43" s="26" t="n">
        <v>-144</v>
      </c>
      <c r="AA43" s="28" t="n">
        <v>0.59</v>
      </c>
      <c r="AB43" s="28" t="n">
        <v>-0.000164</v>
      </c>
      <c r="AC43" s="30" t="n">
        <v>1.3889</v>
      </c>
      <c r="AD43" s="24" t="inlineStr">
        <is>
          <t>2026-08-13T23:17:46.316359Z</t>
        </is>
      </c>
      <c r="AE43" s="31" t="inlineStr">
        <is>
          <t>Neutral Elo baseline; executable ask 0.5900 (market_slug=aec-valorant-fso-m8gc-2026-08-13).</t>
        </is>
      </c>
      <c r="AF43" s="31" t="inlineStr">
        <is>
          <t>Config-promoted esports baseline; gates enforced at log time.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3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Gentle Mates GC</t>
        </is>
      </c>
      <c r="AQ43" s="24" t="inlineStr">
        <is>
          <t>Gentle Mates GC</t>
        </is>
      </c>
      <c r="AR43" s="24" t="inlineStr">
        <is>
          <t>Gentle Mates GC</t>
        </is>
      </c>
      <c r="AS43" s="24" t="inlineStr">
        <is>
          <t>FOKUS Sakura</t>
        </is>
      </c>
      <c r="AT43" s="24" t="inlineStr">
        <is>
          <t>FOKUS Sakura</t>
        </is>
      </c>
      <c r="AU43" s="24" t="inlineStr">
        <is>
          <t>FOKUS Sakura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b7c1dabbbbc9554691b923884077a0c9e2fdb894454c83cbe181c9fcf1b2e71f</t>
        </is>
      </c>
      <c r="BB43" s="24" t="inlineStr">
        <is>
          <t>neutral_elo</t>
        </is>
      </c>
      <c r="BC43" s="24" t="inlineStr">
        <is>
          <t>valorant-tiered-elo-v6</t>
        </is>
      </c>
      <c r="BD43" s="24" t="inlineStr">
        <is>
          <t>b7c1dabbbbc9554691b923884077a0c9e2fdb894454c83cbe181c9fcf1b2e71f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valorant-tiered-elo-v6</t>
        </is>
      </c>
      <c r="BH43" s="24" t="inlineStr">
        <is>
          <t>2026-08-13T17:16:20.850586Z</t>
        </is>
      </c>
      <c r="BI43" s="24" t="inlineStr">
        <is>
          <t>["same_event","same_team_same_day","same_league_same_day"]</t>
        </is>
      </c>
      <c r="BJ43" s="25" t="n"/>
      <c r="BK43" s="26" t="n">
        <v>-144</v>
      </c>
      <c r="BL43" s="27" t="n">
        <v>1.694444</v>
      </c>
      <c r="BM43" s="28" t="n">
        <v>0.590164</v>
      </c>
      <c r="BN43" s="28" t="n"/>
      <c r="BO43" s="28" t="n"/>
      <c r="BP43" s="25" t="n"/>
      <c r="BQ43" s="27" t="n">
        <v>1.694444</v>
      </c>
      <c r="BR43" s="28" t="n">
        <v>0.59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0.590164</t>
        </is>
      </c>
      <c r="DK43" s="24" t="n"/>
      <c r="DL43" s="24" t="n"/>
      <c r="DM43" s="24" t="n"/>
      <c r="DN43" s="24" t="n"/>
      <c r="DO43" s="24" t="n"/>
      <c r="DP43" s="24" t="n"/>
      <c r="DQ43" s="24" t="n"/>
    </row>
    <row r="44" ht="36" customHeight="1">
      <c r="A44" s="24" t="inlineStr">
        <is>
          <t>599d6f57d7b9405a</t>
        </is>
      </c>
      <c r="B44" s="24" t="inlineStr">
        <is>
          <t>2026-08-13T20:15:25.038456Z</t>
        </is>
      </c>
      <c r="C44" s="24" t="inlineStr">
        <is>
          <t>2026-08-13T21:00:00Z</t>
        </is>
      </c>
      <c r="D44" s="24" t="inlineStr">
        <is>
          <t>77923</t>
        </is>
      </c>
      <c r="E44" s="24" t="inlineStr">
        <is>
          <t>VALORANT</t>
        </is>
      </c>
      <c r="F44" s="24" t="inlineStr">
        <is>
          <t>BESTIA</t>
        </is>
      </c>
      <c r="G44" s="24" t="inlineStr">
        <is>
          <t>KRÜ Esports</t>
        </is>
      </c>
      <c r="H44" s="24" t="inlineStr">
        <is>
          <t>moneyline</t>
        </is>
      </c>
      <c r="I44" s="24" t="inlineStr">
        <is>
          <t>away</t>
        </is>
      </c>
      <c r="J44" s="25" t="n"/>
      <c r="K44" s="24" t="inlineStr">
        <is>
          <t>polymarket_us</t>
        </is>
      </c>
      <c r="L44" s="26" t="n">
        <v>170</v>
      </c>
      <c r="M44" s="27" t="n">
        <v>2.7</v>
      </c>
      <c r="N44" s="28" t="n">
        <v>0.37037</v>
      </c>
      <c r="O44" s="28" t="n">
        <v>0.724374</v>
      </c>
      <c r="P44" s="28" t="n"/>
      <c r="Q44" s="28" t="n">
        <v>0.354004</v>
      </c>
      <c r="R44" s="26" t="n">
        <v>100</v>
      </c>
      <c r="S44" s="29" t="n">
        <v>2</v>
      </c>
      <c r="T44" s="24" t="inlineStr">
        <is>
          <t>valorant-tiered-elo-v6</t>
        </is>
      </c>
      <c r="U44" s="24" t="inlineStr">
        <is>
          <t>settled</t>
        </is>
      </c>
      <c r="V44" s="24" t="inlineStr">
        <is>
          <t>loss</t>
        </is>
      </c>
      <c r="W44" s="26" t="n">
        <v>0</v>
      </c>
      <c r="X44" s="26" t="n">
        <v>1</v>
      </c>
      <c r="Y44" s="25" t="n"/>
      <c r="Z44" s="26" t="n">
        <v>170</v>
      </c>
      <c r="AA44" s="28" t="n">
        <v>0.37</v>
      </c>
      <c r="AB44" s="28" t="n">
        <v>-0.00037</v>
      </c>
      <c r="AC44" s="30" t="n">
        <v>-2</v>
      </c>
      <c r="AD44" s="24" t="inlineStr">
        <is>
          <t>2026-08-14T02:22:59.926034Z</t>
        </is>
      </c>
      <c r="AE44" s="31" t="inlineStr">
        <is>
          <t>Neutral Elo baseline; executable ask 0.3700 (market_slug=aec-valorant-kr-bst-2026-08-13).</t>
        </is>
      </c>
      <c r="AF44" s="31" t="inlineStr">
        <is>
          <t>Config-promoted esports baseline; gates enforced at log time.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3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BESTIA</t>
        </is>
      </c>
      <c r="AQ44" s="24" t="inlineStr">
        <is>
          <t>BESTIA</t>
        </is>
      </c>
      <c r="AR44" s="24" t="inlineStr">
        <is>
          <t>BESTIA</t>
        </is>
      </c>
      <c r="AS44" s="24" t="inlineStr">
        <is>
          <t>KRÜ Esports</t>
        </is>
      </c>
      <c r="AT44" s="24" t="inlineStr">
        <is>
          <t>KRÜ Esports</t>
        </is>
      </c>
      <c r="AU44" s="24" t="inlineStr">
        <is>
          <t>KRÜ Esports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5bbf61826ad50ebb0ce71d774b0815f20c3999fa14c6bb5fef835f4876caaa18</t>
        </is>
      </c>
      <c r="BB44" s="24" t="inlineStr">
        <is>
          <t>neutral_elo</t>
        </is>
      </c>
      <c r="BC44" s="24" t="inlineStr">
        <is>
          <t>valorant-tiered-elo-v6</t>
        </is>
      </c>
      <c r="BD44" s="24" t="inlineStr">
        <is>
          <t>5bbf61826ad50ebb0ce71d774b0815f20c3999fa14c6bb5fef835f4876caaa18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valorant-tiered-elo-v6</t>
        </is>
      </c>
      <c r="BH44" s="24" t="inlineStr">
        <is>
          <t>2026-08-13T20:15:18.918970Z</t>
        </is>
      </c>
      <c r="BI44" s="24" t="inlineStr">
        <is>
          <t>["same_event","same_team_same_day","same_league_same_day"]</t>
        </is>
      </c>
      <c r="BJ44" s="25" t="n"/>
      <c r="BK44" s="26" t="n">
        <v>170</v>
      </c>
      <c r="BL44" s="27" t="n">
        <v>2.7</v>
      </c>
      <c r="BM44" s="28" t="n">
        <v>0.37037</v>
      </c>
      <c r="BN44" s="28" t="n"/>
      <c r="BO44" s="28" t="n"/>
      <c r="BP44" s="25" t="n"/>
      <c r="BQ44" s="27" t="n">
        <v>2.7</v>
      </c>
      <c r="BR44" s="28" t="n">
        <v>0.37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True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0.37037</t>
        </is>
      </c>
      <c r="DK44" s="24" t="n"/>
      <c r="DL44" s="24" t="n"/>
      <c r="DM44" s="24" t="n"/>
      <c r="DN44" s="24" t="n"/>
      <c r="DO44" s="24" t="n"/>
      <c r="DP44" s="24" t="n"/>
      <c r="DQ44" s="24" t="n"/>
    </row>
    <row r="45" ht="36" customHeight="1">
      <c r="A45" s="24" t="inlineStr">
        <is>
          <t>0b734449e12c4200</t>
        </is>
      </c>
      <c r="B45" s="24" t="inlineStr">
        <is>
          <t>2026-08-14T07:41:59.802132Z</t>
        </is>
      </c>
      <c r="C45" s="24" t="inlineStr">
        <is>
          <t>2026-08-14T08:00:00Z</t>
        </is>
      </c>
      <c r="D45" s="24" t="inlineStr">
        <is>
          <t>79716</t>
        </is>
      </c>
      <c r="E45" s="24" t="inlineStr">
        <is>
          <t>VALORANT</t>
        </is>
      </c>
      <c r="F45" s="24" t="inlineStr">
        <is>
          <t>JD Gaming</t>
        </is>
      </c>
      <c r="G45" s="24" t="inlineStr">
        <is>
          <t>Nova Esports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-223</v>
      </c>
      <c r="M45" s="27" t="n">
        <v>1.44843</v>
      </c>
      <c r="N45" s="28" t="n">
        <v>0.690402</v>
      </c>
      <c r="O45" s="28" t="n">
        <v>0.794306</v>
      </c>
      <c r="P45" s="28" t="n"/>
      <c r="Q45" s="28" t="n">
        <v>0.103904</v>
      </c>
      <c r="R45" s="26" t="n">
        <v>72</v>
      </c>
      <c r="S45" s="29" t="n">
        <v>2</v>
      </c>
      <c r="T45" s="24" t="inlineStr">
        <is>
          <t>valorant-tiered-elo-v6</t>
        </is>
      </c>
      <c r="U45" s="24" t="inlineStr">
        <is>
          <t>settled</t>
        </is>
      </c>
      <c r="V45" s="24" t="inlineStr">
        <is>
          <t>loss</t>
        </is>
      </c>
      <c r="W45" s="26" t="n">
        <v>1</v>
      </c>
      <c r="X45" s="26" t="n">
        <v>0</v>
      </c>
      <c r="Y45" s="25" t="n"/>
      <c r="Z45" s="26" t="n">
        <v>-223</v>
      </c>
      <c r="AA45" s="28" t="n">
        <v>0.6899999999999999</v>
      </c>
      <c r="AB45" s="28" t="n">
        <v>-0.000402</v>
      </c>
      <c r="AC45" s="30" t="n">
        <v>-2</v>
      </c>
      <c r="AD45" s="24" t="inlineStr">
        <is>
          <t>2026-08-14T10:45:42.864874Z</t>
        </is>
      </c>
      <c r="AE45" s="31" t="inlineStr">
        <is>
          <t>Neutral Elo baseline; executable ask 0.6900 (market_slug=aec-valorant-nova-jdg-2026-08-14).</t>
        </is>
      </c>
      <c r="AF45" s="31" t="inlineStr">
        <is>
          <t>Config-promoted esports baseline; gates enforced at log time.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3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JD Gaming</t>
        </is>
      </c>
      <c r="AQ45" s="24" t="inlineStr">
        <is>
          <t>JD Gaming</t>
        </is>
      </c>
      <c r="AR45" s="24" t="inlineStr">
        <is>
          <t>JD Gaming</t>
        </is>
      </c>
      <c r="AS45" s="24" t="inlineStr">
        <is>
          <t>Nova Esports</t>
        </is>
      </c>
      <c r="AT45" s="24" t="inlineStr">
        <is>
          <t>Nova Esports</t>
        </is>
      </c>
      <c r="AU45" s="24" t="inlineStr">
        <is>
          <t>Nova Esports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8c19e0e07693dafb9fbb3e27dd05f3040444d8db46bc32f448a5a875fe850dff</t>
        </is>
      </c>
      <c r="BB45" s="24" t="inlineStr">
        <is>
          <t>neutral_elo</t>
        </is>
      </c>
      <c r="BC45" s="24" t="inlineStr">
        <is>
          <t>valorant-tiered-elo-v6</t>
        </is>
      </c>
      <c r="BD45" s="24" t="inlineStr">
        <is>
          <t>8c19e0e07693dafb9fbb3e27dd05f3040444d8db46bc32f448a5a875fe850dff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valorant-tiered-elo-v6</t>
        </is>
      </c>
      <c r="BH45" s="24" t="inlineStr">
        <is>
          <t>2026-08-14T07:41:48.013521Z</t>
        </is>
      </c>
      <c r="BI45" s="24" t="inlineStr">
        <is>
          <t>["same_event","same_team_same_day","same_league_same_day"]</t>
        </is>
      </c>
      <c r="BJ45" s="25" t="n"/>
      <c r="BK45" s="26" t="n">
        <v>-223</v>
      </c>
      <c r="BL45" s="27" t="n">
        <v>1.44843</v>
      </c>
      <c r="BM45" s="28" t="n">
        <v>0.690402</v>
      </c>
      <c r="BN45" s="28" t="n"/>
      <c r="BO45" s="28" t="n"/>
      <c r="BP45" s="25" t="n"/>
      <c r="BQ45" s="27" t="n">
        <v>1.44843</v>
      </c>
      <c r="BR45" s="28" t="n">
        <v>0.6899999999999999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True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0.690402</t>
        </is>
      </c>
      <c r="DK45" s="24" t="n"/>
      <c r="DL45" s="24" t="n"/>
      <c r="DM45" s="24" t="n"/>
      <c r="DN45" s="24" t="n"/>
      <c r="DO45" s="24" t="n"/>
      <c r="DP45" s="24" t="n"/>
      <c r="DQ45" s="24" t="n"/>
    </row>
    <row r="46" ht="36" customHeight="1">
      <c r="A46" s="24" t="inlineStr">
        <is>
          <t>b25d7d974f9f4d77</t>
        </is>
      </c>
      <c r="B46" s="24" t="inlineStr">
        <is>
          <t>2026-08-14T07:41:59.802132Z</t>
        </is>
      </c>
      <c r="C46" s="24" t="inlineStr">
        <is>
          <t>2026-08-14T10:00:00Z</t>
        </is>
      </c>
      <c r="D46" s="24" t="inlineStr">
        <is>
          <t>79717</t>
        </is>
      </c>
      <c r="E46" s="24" t="inlineStr">
        <is>
          <t>VALORANT</t>
        </is>
      </c>
      <c r="F46" s="24" t="inlineStr">
        <is>
          <t>TEC Esports</t>
        </is>
      </c>
      <c r="G46" s="24" t="inlineStr">
        <is>
          <t>TYLOO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-178</v>
      </c>
      <c r="M46" s="27" t="n">
        <v>1.561798</v>
      </c>
      <c r="N46" s="28" t="n">
        <v>0.640288</v>
      </c>
      <c r="O46" s="28" t="n">
        <v>0.5360510000000001</v>
      </c>
      <c r="P46" s="28" t="n"/>
      <c r="Q46" s="28" t="n">
        <v>-0.104237</v>
      </c>
      <c r="R46" s="26" t="n">
        <v>0</v>
      </c>
      <c r="S46" s="29" t="n">
        <v>1</v>
      </c>
      <c r="T46" s="24" t="inlineStr">
        <is>
          <t>valorant-tiered-elo-v6</t>
        </is>
      </c>
      <c r="U46" s="24" t="inlineStr">
        <is>
          <t>settled</t>
        </is>
      </c>
      <c r="V46" s="24" t="inlineStr">
        <is>
          <t>win</t>
        </is>
      </c>
      <c r="W46" s="26" t="n">
        <v>0</v>
      </c>
      <c r="X46" s="26" t="n">
        <v>1</v>
      </c>
      <c r="Y46" s="25" t="n"/>
      <c r="Z46" s="26" t="n">
        <v>-178</v>
      </c>
      <c r="AA46" s="28" t="n">
        <v>0.64</v>
      </c>
      <c r="AB46" s="28" t="n">
        <v>-0.000288</v>
      </c>
      <c r="AC46" s="30" t="n">
        <v>0.5618</v>
      </c>
      <c r="AD46" s="24" t="inlineStr">
        <is>
          <t>2026-08-14T13:53:49.959772Z</t>
        </is>
      </c>
      <c r="AE46" s="31" t="inlineStr">
        <is>
          <t>Neutral Elo baseline; executable ask 0.6400 (market_slug=aec-valorant-tyloo-tec-2026-08-14).</t>
        </is>
      </c>
      <c r="AF46" s="31" t="inlineStr">
        <is>
          <t>Config-promoted esports baseline; gates enforced at log time.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paper_call</t>
        </is>
      </c>
      <c r="AL46" s="26" t="n">
        <v>3</v>
      </c>
      <c r="AM46" s="24" t="inlineStr">
        <is>
          <t>RESEARCH_OBSERVATION</t>
        </is>
      </c>
      <c r="AN46" s="24" t="inlineStr">
        <is>
          <t>CALL</t>
        </is>
      </c>
      <c r="AO46" s="24" t="inlineStr">
        <is>
          <t>PAPER_CALL_LOW_EDGE</t>
        </is>
      </c>
      <c r="AP46" s="24" t="inlineStr">
        <is>
          <t>TEC Esports</t>
        </is>
      </c>
      <c r="AQ46" s="24" t="inlineStr">
        <is>
          <t>TEC Esports</t>
        </is>
      </c>
      <c r="AR46" s="24" t="inlineStr">
        <is>
          <t>TEC Esports</t>
        </is>
      </c>
      <c r="AS46" s="24" t="inlineStr">
        <is>
          <t>TYLOO</t>
        </is>
      </c>
      <c r="AT46" s="24" t="inlineStr">
        <is>
          <t>TYLOO</t>
        </is>
      </c>
      <c r="AU46" s="24" t="inlineStr">
        <is>
          <t>TYLOO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8c19e0e07693dafb9fbb3e27dd05f3040444d8db46bc32f448a5a875fe850dff</t>
        </is>
      </c>
      <c r="BB46" s="24" t="inlineStr">
        <is>
          <t>neutral_elo</t>
        </is>
      </c>
      <c r="BC46" s="24" t="inlineStr">
        <is>
          <t>valorant-tiered-elo-v6</t>
        </is>
      </c>
      <c r="BD46" s="24" t="inlineStr">
        <is>
          <t>8c19e0e07693dafb9fbb3e27dd05f3040444d8db46bc32f448a5a875fe850dff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valorant-tiered-elo-v6</t>
        </is>
      </c>
      <c r="BH46" s="24" t="inlineStr">
        <is>
          <t>2026-08-14T07:41:49.250106Z</t>
        </is>
      </c>
      <c r="BI46" s="24" t="inlineStr">
        <is>
          <t>["same_event","same_team_same_day","same_league_same_day"]</t>
        </is>
      </c>
      <c r="BJ46" s="25" t="n"/>
      <c r="BK46" s="26" t="n">
        <v>-178</v>
      </c>
      <c r="BL46" s="27" t="n">
        <v>1.561798</v>
      </c>
      <c r="BM46" s="28" t="n">
        <v>0.640288</v>
      </c>
      <c r="BN46" s="28" t="n"/>
      <c r="BO46" s="28" t="n"/>
      <c r="BP46" s="25" t="n"/>
      <c r="BQ46" s="27" t="n">
        <v>1.561798</v>
      </c>
      <c r="BR46" s="28" t="n">
        <v>0.64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False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0.640288</t>
        </is>
      </c>
      <c r="DK46" s="24" t="n"/>
      <c r="DL46" s="24" t="n"/>
      <c r="DM46" s="24" t="n"/>
      <c r="DN46" s="24" t="n"/>
      <c r="DO46" s="24" t="n"/>
      <c r="DP46" s="24" t="n"/>
      <c r="DQ46" s="24" t="n"/>
    </row>
    <row r="47" ht="36" customHeight="1">
      <c r="A47" s="24" t="inlineStr">
        <is>
          <t>95410c13422c431e</t>
        </is>
      </c>
      <c r="B47" s="24" t="inlineStr">
        <is>
          <t>2026-08-14T10:49:40.794541Z</t>
        </is>
      </c>
      <c r="C47" s="24" t="inlineStr">
        <is>
          <t>2026-08-14T11:00:00Z</t>
        </is>
      </c>
      <c r="D47" s="24" t="inlineStr">
        <is>
          <t>78288</t>
        </is>
      </c>
      <c r="E47" s="24" t="inlineStr">
        <is>
          <t>VALORANT</t>
        </is>
      </c>
      <c r="F47" s="24" t="inlineStr">
        <is>
          <t>Xipto Esports</t>
        </is>
      </c>
      <c r="G47" s="24" t="inlineStr">
        <is>
          <t>Team Secret</t>
        </is>
      </c>
      <c r="H47" s="24" t="inlineStr">
        <is>
          <t>moneyline</t>
        </is>
      </c>
      <c r="I47" s="24" t="inlineStr">
        <is>
          <t>away</t>
        </is>
      </c>
      <c r="J47" s="25" t="n"/>
      <c r="K47" s="24" t="inlineStr">
        <is>
          <t>polymarket_us</t>
        </is>
      </c>
      <c r="L47" s="26" t="n">
        <v>100</v>
      </c>
      <c r="M47" s="27" t="n">
        <v>2</v>
      </c>
      <c r="N47" s="28" t="n">
        <v>0.5</v>
      </c>
      <c r="O47" s="28" t="n">
        <v>0.53207</v>
      </c>
      <c r="P47" s="28" t="n"/>
      <c r="Q47" s="28" t="n">
        <v>0.03207</v>
      </c>
      <c r="R47" s="26" t="n">
        <v>36</v>
      </c>
      <c r="S47" s="29" t="n">
        <v>1</v>
      </c>
      <c r="T47" s="24" t="inlineStr">
        <is>
          <t>valorant-tiered-elo-v6</t>
        </is>
      </c>
      <c r="U47" s="24" t="inlineStr">
        <is>
          <t>settled</t>
        </is>
      </c>
      <c r="V47" s="24" t="inlineStr">
        <is>
          <t>loss</t>
        </is>
      </c>
      <c r="W47" s="26" t="n">
        <v>0</v>
      </c>
      <c r="X47" s="26" t="n">
        <v>1</v>
      </c>
      <c r="Y47" s="25" t="n"/>
      <c r="Z47" s="26" t="n">
        <v>117</v>
      </c>
      <c r="AA47" s="28" t="n">
        <v>0.46</v>
      </c>
      <c r="AB47" s="28" t="n">
        <v>-0.04</v>
      </c>
      <c r="AC47" s="30" t="n">
        <v>-1</v>
      </c>
      <c r="AD47" s="24" t="inlineStr">
        <is>
          <t>2026-08-14T13:53:51.688558Z</t>
        </is>
      </c>
      <c r="AE47" s="31" t="inlineStr">
        <is>
          <t>Neutral Elo baseline; executable ask 0.5000 (market_slug=aec-valorant-ts-xe-2026-08-14).</t>
        </is>
      </c>
      <c r="AF47" s="31" t="inlineStr">
        <is>
          <t>Config-promoted esports baseline; gates enforced at log time.</t>
        </is>
      </c>
      <c r="AG47" s="24" t="inlineStr">
        <is>
          <t>review_required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3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Xipto Esports</t>
        </is>
      </c>
      <c r="AQ47" s="24" t="inlineStr">
        <is>
          <t>Xipto Esports</t>
        </is>
      </c>
      <c r="AR47" s="24" t="inlineStr">
        <is>
          <t>Xipto Esports</t>
        </is>
      </c>
      <c r="AS47" s="24" t="inlineStr">
        <is>
          <t>Team Secret</t>
        </is>
      </c>
      <c r="AT47" s="24" t="inlineStr">
        <is>
          <t>Team Secret</t>
        </is>
      </c>
      <c r="AU47" s="24" t="inlineStr">
        <is>
          <t>Team Secret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8141afc28a422f86e849f82582efcf40b8cc94fed38d7a025f285e80e257f2c6</t>
        </is>
      </c>
      <c r="BB47" s="24" t="inlineStr">
        <is>
          <t>neutral_elo</t>
        </is>
      </c>
      <c r="BC47" s="24" t="inlineStr">
        <is>
          <t>valorant-tiered-elo-v6</t>
        </is>
      </c>
      <c r="BD47" s="24" t="inlineStr">
        <is>
          <t>8141afc28a422f86e849f82582efcf40b8cc94fed38d7a025f285e80e257f2c6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valorant-tiered-elo-v6</t>
        </is>
      </c>
      <c r="BH47" s="24" t="inlineStr">
        <is>
          <t>2026-08-14T10:49:32.736371Z</t>
        </is>
      </c>
      <c r="BI47" s="24" t="inlineStr">
        <is>
          <t>["same_event","same_team_same_day","same_league_same_day"]</t>
        </is>
      </c>
      <c r="BJ47" s="25" t="n"/>
      <c r="BK47" s="26" t="n">
        <v>100</v>
      </c>
      <c r="BL47" s="27" t="n">
        <v>2</v>
      </c>
      <c r="BM47" s="28" t="n">
        <v>0.5</v>
      </c>
      <c r="BN47" s="28" t="n"/>
      <c r="BO47" s="28" t="n"/>
      <c r="BP47" s="25" t="n"/>
      <c r="BQ47" s="27" t="n">
        <v>2.17</v>
      </c>
      <c r="BR47" s="28" t="n">
        <v>0.46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0.5</t>
        </is>
      </c>
      <c r="DK47" s="24" t="n"/>
      <c r="DL47" s="24" t="n"/>
      <c r="DM47" s="24" t="n"/>
      <c r="DN47" s="24" t="n"/>
      <c r="DO47" s="24" t="n"/>
      <c r="DP47" s="24" t="n"/>
      <c r="DQ47" s="24" t="n"/>
    </row>
    <row r="48" ht="36" customHeight="1">
      <c r="A48" s="24" t="inlineStr">
        <is>
          <t>6c9c3b4e3dfd485a</t>
        </is>
      </c>
      <c r="B48" s="24" t="inlineStr">
        <is>
          <t>2026-08-14T13:58:26.227194Z</t>
        </is>
      </c>
      <c r="C48" s="24" t="inlineStr">
        <is>
          <t>2026-08-14T15:00:00Z</t>
        </is>
      </c>
      <c r="D48" s="24" t="inlineStr">
        <is>
          <t>78290</t>
        </is>
      </c>
      <c r="E48" s="24" t="inlineStr">
        <is>
          <t>VALORANT</t>
        </is>
      </c>
      <c r="F48" s="24" t="inlineStr">
        <is>
          <t>GIANTX GC</t>
        </is>
      </c>
      <c r="G48" s="24" t="inlineStr">
        <is>
          <t>Habos Babos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-178</v>
      </c>
      <c r="M48" s="27" t="n">
        <v>1.561798</v>
      </c>
      <c r="N48" s="28" t="n">
        <v>0.640288</v>
      </c>
      <c r="O48" s="28" t="n">
        <v>0.601747</v>
      </c>
      <c r="P48" s="28" t="n"/>
      <c r="Q48" s="28" t="n">
        <v>-0.038541</v>
      </c>
      <c r="R48" s="26" t="n">
        <v>1</v>
      </c>
      <c r="S48" s="29" t="n">
        <v>1.25</v>
      </c>
      <c r="T48" s="24" t="inlineStr">
        <is>
          <t>valorant-tiered-elo-v6</t>
        </is>
      </c>
      <c r="U48" s="24" t="inlineStr">
        <is>
          <t>settled</t>
        </is>
      </c>
      <c r="V48" s="24" t="inlineStr">
        <is>
          <t>loss</t>
        </is>
      </c>
      <c r="W48" s="26" t="n">
        <v>1</v>
      </c>
      <c r="X48" s="26" t="n">
        <v>0</v>
      </c>
      <c r="Y48" s="25" t="n"/>
      <c r="Z48" s="26" t="n">
        <v>-178</v>
      </c>
      <c r="AA48" s="28" t="n">
        <v>0.64</v>
      </c>
      <c r="AB48" s="28" t="n">
        <v>-0.000288</v>
      </c>
      <c r="AC48" s="30" t="n">
        <v>-1.25</v>
      </c>
      <c r="AD48" s="24" t="inlineStr">
        <is>
          <t>2026-08-14T17:02:02.753673Z</t>
        </is>
      </c>
      <c r="AE48" s="31" t="inlineStr">
        <is>
          <t>Neutral Elo baseline; executable ask 0.6400 (market_slug=aec-valorant-hbs-gxgc-2026-08-14).</t>
        </is>
      </c>
      <c r="AF48" s="31" t="inlineStr">
        <is>
          <t>Config-promoted esports baseline; gates enforced at log time.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paper_call</t>
        </is>
      </c>
      <c r="AL48" s="26" t="n">
        <v>3</v>
      </c>
      <c r="AM48" s="24" t="inlineStr">
        <is>
          <t>RESEARCH_OBSERVATION</t>
        </is>
      </c>
      <c r="AN48" s="24" t="inlineStr">
        <is>
          <t>CALL</t>
        </is>
      </c>
      <c r="AO48" s="24" t="inlineStr">
        <is>
          <t>PAPER_CALL_LOW_EDGE</t>
        </is>
      </c>
      <c r="AP48" s="24" t="inlineStr">
        <is>
          <t>GIANTX GC</t>
        </is>
      </c>
      <c r="AQ48" s="24" t="inlineStr">
        <is>
          <t>GIANTX GC</t>
        </is>
      </c>
      <c r="AR48" s="24" t="inlineStr">
        <is>
          <t>GIANTX GC</t>
        </is>
      </c>
      <c r="AS48" s="24" t="inlineStr">
        <is>
          <t>Habos Babos</t>
        </is>
      </c>
      <c r="AT48" s="24" t="inlineStr">
        <is>
          <t>Habos Babos</t>
        </is>
      </c>
      <c r="AU48" s="24" t="inlineStr">
        <is>
          <t>Habos Babos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87d32dac6d16407d97939b04fd5904d501e28934e29662ed5624e342545b1551</t>
        </is>
      </c>
      <c r="BB48" s="24" t="inlineStr">
        <is>
          <t>neutral_elo</t>
        </is>
      </c>
      <c r="BC48" s="24" t="inlineStr">
        <is>
          <t>valorant-tiered-elo-v6</t>
        </is>
      </c>
      <c r="BD48" s="24" t="inlineStr">
        <is>
          <t>87d32dac6d16407d97939b04fd5904d501e28934e29662ed5624e342545b1551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valorant-tiered-elo-v6</t>
        </is>
      </c>
      <c r="BH48" s="24" t="inlineStr">
        <is>
          <t>2026-08-14T13:58:18.383651Z</t>
        </is>
      </c>
      <c r="BI48" s="24" t="inlineStr">
        <is>
          <t>["same_event","same_team_same_day","same_league_same_day"]</t>
        </is>
      </c>
      <c r="BJ48" s="25" t="n"/>
      <c r="BK48" s="26" t="n">
        <v>-178</v>
      </c>
      <c r="BL48" s="27" t="n">
        <v>1.561798</v>
      </c>
      <c r="BM48" s="28" t="n">
        <v>0.640288</v>
      </c>
      <c r="BN48" s="28" t="n"/>
      <c r="BO48" s="28" t="n"/>
      <c r="BP48" s="25" t="n"/>
      <c r="BQ48" s="27" t="n">
        <v>1.561798</v>
      </c>
      <c r="BR48" s="28" t="n">
        <v>0.64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False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0.640288</t>
        </is>
      </c>
      <c r="DK48" s="24" t="n"/>
      <c r="DL48" s="24" t="n"/>
      <c r="DM48" s="24" t="n"/>
      <c r="DN48" s="24" t="n"/>
      <c r="DO48" s="24" t="n"/>
      <c r="DP48" s="24" t="n"/>
      <c r="DQ48" s="24" t="n"/>
    </row>
    <row r="49" ht="36" customHeight="1">
      <c r="A49" s="24" t="inlineStr">
        <is>
          <t>4b857a414a9b4178</t>
        </is>
      </c>
      <c r="B49" s="24" t="inlineStr">
        <is>
          <t>2026-08-14T13:58:26.227194Z</t>
        </is>
      </c>
      <c r="C49" s="24" t="inlineStr">
        <is>
          <t>2026-08-14T15:00:00Z</t>
        </is>
      </c>
      <c r="D49" s="24" t="inlineStr">
        <is>
          <t>80237</t>
        </is>
      </c>
      <c r="E49" s="24" t="inlineStr">
        <is>
          <t>VALORANT</t>
        </is>
      </c>
      <c r="F49" s="24" t="inlineStr">
        <is>
          <t>Team Heretics</t>
        </is>
      </c>
      <c r="G49" s="24" t="inlineStr">
        <is>
          <t>Eintracht Frankfurt</t>
        </is>
      </c>
      <c r="H49" s="24" t="inlineStr">
        <is>
          <t>moneyline</t>
        </is>
      </c>
      <c r="I49" s="24" t="inlineStr">
        <is>
          <t>home</t>
        </is>
      </c>
      <c r="J49" s="25" t="n"/>
      <c r="K49" s="24" t="inlineStr">
        <is>
          <t>polymarket_us</t>
        </is>
      </c>
      <c r="L49" s="26" t="n">
        <v>212</v>
      </c>
      <c r="M49" s="27" t="n">
        <v>3.12</v>
      </c>
      <c r="N49" s="28" t="n">
        <v>0.320513</v>
      </c>
      <c r="O49" s="28" t="n">
        <v>0.578388</v>
      </c>
      <c r="P49" s="28" t="n"/>
      <c r="Q49" s="28" t="n">
        <v>0.257875</v>
      </c>
      <c r="R49" s="26" t="n">
        <v>100</v>
      </c>
      <c r="S49" s="29" t="n">
        <v>1.25</v>
      </c>
      <c r="T49" s="24" t="inlineStr">
        <is>
          <t>valorant-tiered-elo-v6</t>
        </is>
      </c>
      <c r="U49" s="24" t="inlineStr">
        <is>
          <t>settled</t>
        </is>
      </c>
      <c r="V49" s="24" t="inlineStr">
        <is>
          <t>win</t>
        </is>
      </c>
      <c r="W49" s="26" t="n">
        <v>0</v>
      </c>
      <c r="X49" s="26" t="n">
        <v>1</v>
      </c>
      <c r="Y49" s="25" t="n"/>
      <c r="Z49" s="26" t="n">
        <v>212</v>
      </c>
      <c r="AA49" s="28" t="n">
        <v>0.32</v>
      </c>
      <c r="AB49" s="28" t="n">
        <v>-0.000513</v>
      </c>
      <c r="AC49" s="30" t="n">
        <v>2.65</v>
      </c>
      <c r="AD49" s="24" t="inlineStr">
        <is>
          <t>2026-08-14T18:41:47.141519Z</t>
        </is>
      </c>
      <c r="AE49" s="31" t="inlineStr">
        <is>
          <t>Neutral Elo baseline; executable ask 0.3200 (market_slug=aec-valorant-sge-th-2026-08-14).</t>
        </is>
      </c>
      <c r="AF49" s="31" t="inlineStr">
        <is>
          <t>Config-promoted esports baseline; gates enforced at log time.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model_qualified</t>
        </is>
      </c>
      <c r="AL49" s="26" t="n">
        <v>3</v>
      </c>
      <c r="AM49" s="24" t="inlineStr">
        <is>
          <t>QUALIFIED_SHADOW_CALL</t>
        </is>
      </c>
      <c r="AN49" s="24" t="inlineStr">
        <is>
          <t>CALL</t>
        </is>
      </c>
      <c r="AO49" s="24" t="inlineStr">
        <is>
          <t>QUALIFIED</t>
        </is>
      </c>
      <c r="AP49" s="24" t="inlineStr">
        <is>
          <t>Team Heretics</t>
        </is>
      </c>
      <c r="AQ49" s="24" t="inlineStr">
        <is>
          <t>Team Heretics</t>
        </is>
      </c>
      <c r="AR49" s="24" t="inlineStr">
        <is>
          <t>Team Heretics</t>
        </is>
      </c>
      <c r="AS49" s="24" t="inlineStr">
        <is>
          <t>Eintracht Frankfurt</t>
        </is>
      </c>
      <c r="AT49" s="24" t="inlineStr">
        <is>
          <t>Eintracht Frankfurt</t>
        </is>
      </c>
      <c r="AU49" s="24" t="inlineStr">
        <is>
          <t>Eintracht Frankfurt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87d32dac6d16407d97939b04fd5904d501e28934e29662ed5624e342545b1551</t>
        </is>
      </c>
      <c r="BB49" s="24" t="inlineStr">
        <is>
          <t>neutral_elo</t>
        </is>
      </c>
      <c r="BC49" s="24" t="inlineStr">
        <is>
          <t>valorant-tiered-elo-v6</t>
        </is>
      </c>
      <c r="BD49" s="24" t="inlineStr">
        <is>
          <t>87d32dac6d16407d97939b04fd5904d501e28934e29662ed5624e342545b1551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valorant-tiered-elo-v6</t>
        </is>
      </c>
      <c r="BH49" s="24" t="inlineStr">
        <is>
          <t>2026-08-14T13:58:18.865513Z</t>
        </is>
      </c>
      <c r="BI49" s="24" t="inlineStr">
        <is>
          <t>["same_event","same_team_same_day","same_league_same_day"]</t>
        </is>
      </c>
      <c r="BJ49" s="25" t="n"/>
      <c r="BK49" s="26" t="n">
        <v>212</v>
      </c>
      <c r="BL49" s="27" t="n">
        <v>3.12</v>
      </c>
      <c r="BM49" s="28" t="n">
        <v>0.320513</v>
      </c>
      <c r="BN49" s="28" t="n"/>
      <c r="BO49" s="28" t="n"/>
      <c r="BP49" s="25" t="n"/>
      <c r="BQ49" s="27" t="n">
        <v>3.12</v>
      </c>
      <c r="BR49" s="28" t="n">
        <v>0.32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inlineStr">
        <is>
          <t>0.320513</t>
        </is>
      </c>
      <c r="DK49" s="24" t="n"/>
      <c r="DL49" s="24" t="n"/>
      <c r="DM49" s="24" t="n"/>
      <c r="DN49" s="24" t="n"/>
      <c r="DO49" s="24" t="n"/>
      <c r="DP49" s="24" t="n"/>
      <c r="DQ49" s="24" t="n"/>
    </row>
    <row r="50" ht="36" customHeight="1">
      <c r="A50" s="24" t="inlineStr">
        <is>
          <t>2ad9a3a17b514a0e</t>
        </is>
      </c>
      <c r="B50" s="24" t="inlineStr">
        <is>
          <t>2026-08-14T17:06:00.787922Z</t>
        </is>
      </c>
      <c r="C50" s="24" t="inlineStr">
        <is>
          <t>2026-08-14T18:00:00Z</t>
        </is>
      </c>
      <c r="D50" s="24" t="inlineStr">
        <is>
          <t>80938</t>
        </is>
      </c>
      <c r="E50" s="24" t="inlineStr">
        <is>
          <t>VALORANT</t>
        </is>
      </c>
      <c r="F50" s="24" t="inlineStr">
        <is>
          <t>Fnatic</t>
        </is>
      </c>
      <c r="G50" s="24" t="inlineStr">
        <is>
          <t>Joblife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170</v>
      </c>
      <c r="M50" s="27" t="n">
        <v>2.7</v>
      </c>
      <c r="N50" s="28" t="n">
        <v>0.37037</v>
      </c>
      <c r="O50" s="28" t="n">
        <v>0.621108</v>
      </c>
      <c r="P50" s="28" t="n"/>
      <c r="Q50" s="28" t="n">
        <v>0.250738</v>
      </c>
      <c r="R50" s="26" t="n">
        <v>100</v>
      </c>
      <c r="S50" s="29" t="n">
        <v>1.5</v>
      </c>
      <c r="T50" s="24" t="inlineStr">
        <is>
          <t>valorant-tiered-elo-v6</t>
        </is>
      </c>
      <c r="U50" s="24" t="inlineStr">
        <is>
          <t>settled</t>
        </is>
      </c>
      <c r="V50" s="24" t="inlineStr">
        <is>
          <t>win</t>
        </is>
      </c>
      <c r="W50" s="26" t="n">
        <v>0</v>
      </c>
      <c r="X50" s="26" t="n">
        <v>1</v>
      </c>
      <c r="Y50" s="25" t="n"/>
      <c r="Z50" s="26" t="n">
        <v>170</v>
      </c>
      <c r="AA50" s="28" t="n">
        <v>0.37</v>
      </c>
      <c r="AB50" s="28" t="n">
        <v>-0.00037</v>
      </c>
      <c r="AC50" s="30" t="n">
        <v>2.55</v>
      </c>
      <c r="AD50" s="24" t="inlineStr">
        <is>
          <t>2026-08-14T20:41:59.459764Z</t>
        </is>
      </c>
      <c r="AE50" s="31" t="inlineStr">
        <is>
          <t>Neutral Elo baseline; executable ask 0.3700 (market_slug=aec-valorant-jl-fnc-2026-08-14).</t>
        </is>
      </c>
      <c r="AF50" s="31" t="inlineStr">
        <is>
          <t>Config-promoted esports baseline; gates enforced at log time.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3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Fnatic</t>
        </is>
      </c>
      <c r="AQ50" s="24" t="inlineStr">
        <is>
          <t>Fnatic</t>
        </is>
      </c>
      <c r="AR50" s="24" t="inlineStr">
        <is>
          <t>Fnatic</t>
        </is>
      </c>
      <c r="AS50" s="24" t="inlineStr">
        <is>
          <t>Joblife</t>
        </is>
      </c>
      <c r="AT50" s="24" t="inlineStr">
        <is>
          <t>Joblife</t>
        </is>
      </c>
      <c r="AU50" s="24" t="inlineStr">
        <is>
          <t>Joblife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1f6bd84cbe3d69fe7d88e593e38f4ada2172690460cd9e4d28c765d4253550c7</t>
        </is>
      </c>
      <c r="BB50" s="24" t="inlineStr">
        <is>
          <t>neutral_elo</t>
        </is>
      </c>
      <c r="BC50" s="24" t="inlineStr">
        <is>
          <t>valorant-tiered-elo-v6</t>
        </is>
      </c>
      <c r="BD50" s="24" t="inlineStr">
        <is>
          <t>1f6bd84cbe3d69fe7d88e593e38f4ada2172690460cd9e4d28c765d4253550c7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valorant-tiered-elo-v6</t>
        </is>
      </c>
      <c r="BH50" s="24" t="inlineStr">
        <is>
          <t>2026-08-14T17:05:54.311970Z</t>
        </is>
      </c>
      <c r="BI50" s="24" t="inlineStr">
        <is>
          <t>["same_event","same_team_same_day","same_league_same_day"]</t>
        </is>
      </c>
      <c r="BJ50" s="25" t="n"/>
      <c r="BK50" s="26" t="n">
        <v>170</v>
      </c>
      <c r="BL50" s="27" t="n">
        <v>2.7</v>
      </c>
      <c r="BM50" s="28" t="n">
        <v>0.37037</v>
      </c>
      <c r="BN50" s="28" t="n"/>
      <c r="BO50" s="28" t="n"/>
      <c r="BP50" s="25" t="n"/>
      <c r="BQ50" s="27" t="n">
        <v>2.7</v>
      </c>
      <c r="BR50" s="28" t="n">
        <v>0.37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True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inlineStr">
        <is>
          <t>0.37037</t>
        </is>
      </c>
      <c r="DK50" s="24" t="n"/>
      <c r="DL50" s="24" t="n"/>
      <c r="DM50" s="24" t="n"/>
      <c r="DN50" s="24" t="n"/>
      <c r="DO50" s="24" t="n"/>
      <c r="DP50" s="24" t="n"/>
      <c r="DQ50" s="24" t="n"/>
    </row>
    <row r="51" ht="36" customHeight="1">
      <c r="A51" s="24" t="inlineStr">
        <is>
          <t>f2fae370277c463a</t>
        </is>
      </c>
      <c r="B51" s="24" t="inlineStr">
        <is>
          <t>2026-08-14T17:06:00.787922Z</t>
        </is>
      </c>
      <c r="C51" s="24" t="inlineStr">
        <is>
          <t>2026-08-14T18:00:00Z</t>
        </is>
      </c>
      <c r="D51" s="24" t="inlineStr">
        <is>
          <t>78828</t>
        </is>
      </c>
      <c r="E51" s="24" t="inlineStr">
        <is>
          <t>VALORANT</t>
        </is>
      </c>
      <c r="F51" s="24" t="inlineStr">
        <is>
          <t>SK Nebula</t>
        </is>
      </c>
      <c r="G51" s="24" t="inlineStr">
        <is>
          <t>Twisted Minds Orchid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polymarket_us</t>
        </is>
      </c>
      <c r="L51" s="26" t="n">
        <v>108</v>
      </c>
      <c r="M51" s="27" t="n">
        <v>2.08</v>
      </c>
      <c r="N51" s="28" t="n">
        <v>0.480769</v>
      </c>
      <c r="O51" s="28" t="n">
        <v>0.5419079999999999</v>
      </c>
      <c r="P51" s="28" t="n"/>
      <c r="Q51" s="28" t="n">
        <v>0.061139</v>
      </c>
      <c r="R51" s="26" t="n">
        <v>51</v>
      </c>
      <c r="S51" s="29" t="n">
        <v>1</v>
      </c>
      <c r="T51" s="24" t="inlineStr">
        <is>
          <t>valorant-tiered-elo-v6</t>
        </is>
      </c>
      <c r="U51" s="24" t="inlineStr">
        <is>
          <t>settled</t>
        </is>
      </c>
      <c r="V51" s="24" t="inlineStr">
        <is>
          <t>loss</t>
        </is>
      </c>
      <c r="W51" s="26" t="n">
        <v>1</v>
      </c>
      <c r="X51" s="26" t="n">
        <v>0</v>
      </c>
      <c r="Y51" s="25" t="n"/>
      <c r="Z51" s="26" t="n">
        <v>108</v>
      </c>
      <c r="AA51" s="28" t="n">
        <v>0.48</v>
      </c>
      <c r="AB51" s="28" t="n">
        <v>-0.000769</v>
      </c>
      <c r="AC51" s="30" t="n">
        <v>-1</v>
      </c>
      <c r="AD51" s="24" t="inlineStr">
        <is>
          <t>2026-08-14T20:42:00.861910Z</t>
        </is>
      </c>
      <c r="AE51" s="31" t="inlineStr">
        <is>
          <t>Neutral Elo baseline; executable ask 0.4800 (market_slug=aec-valorant-tmo-skn-2026-08-14).</t>
        </is>
      </c>
      <c r="AF51" s="31" t="inlineStr">
        <is>
          <t>Config-promoted esports baseline; gates enforced at log time.</t>
        </is>
      </c>
      <c r="AG51" s="24" t="inlineStr">
        <is>
          <t>review_required</t>
        </is>
      </c>
      <c r="AH51" s="24" t="n"/>
      <c r="AI51" s="31" t="n"/>
      <c r="AJ51" s="31" t="n"/>
      <c r="AK51" s="24" t="inlineStr">
        <is>
          <t>model_qualified</t>
        </is>
      </c>
      <c r="AL51" s="26" t="n">
        <v>3</v>
      </c>
      <c r="AM51" s="24" t="inlineStr">
        <is>
          <t>QUALIFIED_SHADOW_CALL</t>
        </is>
      </c>
      <c r="AN51" s="24" t="inlineStr">
        <is>
          <t>CALL</t>
        </is>
      </c>
      <c r="AO51" s="24" t="inlineStr">
        <is>
          <t>QUALIFIED</t>
        </is>
      </c>
      <c r="AP51" s="24" t="inlineStr">
        <is>
          <t>SK Nebula</t>
        </is>
      </c>
      <c r="AQ51" s="24" t="inlineStr">
        <is>
          <t>SK Nebula</t>
        </is>
      </c>
      <c r="AR51" s="24" t="inlineStr">
        <is>
          <t>SK Nebula</t>
        </is>
      </c>
      <c r="AS51" s="24" t="inlineStr">
        <is>
          <t>Twisted Minds Orchid</t>
        </is>
      </c>
      <c r="AT51" s="24" t="inlineStr">
        <is>
          <t>Twisted Minds Orchid</t>
        </is>
      </c>
      <c r="AU51" s="24" t="inlineStr">
        <is>
          <t>Twisted Minds Orchid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1f6bd84cbe3d69fe7d88e593e38f4ada2172690460cd9e4d28c765d4253550c7</t>
        </is>
      </c>
      <c r="BB51" s="24" t="inlineStr">
        <is>
          <t>neutral_elo</t>
        </is>
      </c>
      <c r="BC51" s="24" t="inlineStr">
        <is>
          <t>valorant-tiered-elo-v6</t>
        </is>
      </c>
      <c r="BD51" s="24" t="inlineStr">
        <is>
          <t>1f6bd84cbe3d69fe7d88e593e38f4ada2172690460cd9e4d28c765d4253550c7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valorant-tiered-elo-v6</t>
        </is>
      </c>
      <c r="BH51" s="24" t="inlineStr">
        <is>
          <t>2026-08-14T17:05:54.784712Z</t>
        </is>
      </c>
      <c r="BI51" s="24" t="inlineStr">
        <is>
          <t>["same_event","same_team_same_day","same_league_same_day"]</t>
        </is>
      </c>
      <c r="BJ51" s="25" t="n"/>
      <c r="BK51" s="26" t="n">
        <v>108</v>
      </c>
      <c r="BL51" s="27" t="n">
        <v>2.08</v>
      </c>
      <c r="BM51" s="28" t="n">
        <v>0.480769</v>
      </c>
      <c r="BN51" s="28" t="n"/>
      <c r="BO51" s="28" t="n"/>
      <c r="BP51" s="25" t="n"/>
      <c r="BQ51" s="27" t="n">
        <v>2.08</v>
      </c>
      <c r="BR51" s="28" t="n">
        <v>0.48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True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inlineStr">
        <is>
          <t>0.480769</t>
        </is>
      </c>
      <c r="DK51" s="24" t="n"/>
      <c r="DL51" s="24" t="n"/>
      <c r="DM51" s="24" t="n"/>
      <c r="DN51" s="24" t="n"/>
      <c r="DO51" s="24" t="n"/>
      <c r="DP51" s="24" t="n"/>
      <c r="DQ51" s="24" t="n"/>
    </row>
    <row r="52" ht="36" customHeight="1">
      <c r="A52" s="24" t="inlineStr">
        <is>
          <t>683384cb33dc4a0c</t>
        </is>
      </c>
      <c r="B52" s="24" t="inlineStr">
        <is>
          <t>2026-08-14T20:44:21.829342Z</t>
        </is>
      </c>
      <c r="C52" s="24" t="inlineStr">
        <is>
          <t>2026-08-14T21:00:00Z</t>
        </is>
      </c>
      <c r="D52" s="24" t="inlineStr">
        <is>
          <t>79349</t>
        </is>
      </c>
      <c r="E52" s="24" t="inlineStr">
        <is>
          <t>VALORANT</t>
        </is>
      </c>
      <c r="F52" s="24" t="inlineStr">
        <is>
          <t>2GAME Esports</t>
        </is>
      </c>
      <c r="G52" s="24" t="inlineStr">
        <is>
          <t>FURIA Esports</t>
        </is>
      </c>
      <c r="H52" s="24" t="inlineStr">
        <is>
          <t>moneyline</t>
        </is>
      </c>
      <c r="I52" s="24" t="inlineStr">
        <is>
          <t>away</t>
        </is>
      </c>
      <c r="J52" s="25" t="n"/>
      <c r="K52" s="24" t="inlineStr">
        <is>
          <t>polymarket_us</t>
        </is>
      </c>
      <c r="L52" s="26" t="n">
        <v>122</v>
      </c>
      <c r="M52" s="27" t="n">
        <v>2.22</v>
      </c>
      <c r="N52" s="28" t="n">
        <v>0.45045</v>
      </c>
      <c r="O52" s="28" t="n">
        <v>0.774983</v>
      </c>
      <c r="P52" s="28" t="n"/>
      <c r="Q52" s="28" t="n">
        <v>0.324533</v>
      </c>
      <c r="R52" s="26" t="n">
        <v>100</v>
      </c>
      <c r="S52" s="29" t="n">
        <v>2</v>
      </c>
      <c r="T52" s="24" t="inlineStr">
        <is>
          <t>valorant-tiered-elo-v6</t>
        </is>
      </c>
      <c r="U52" s="24" t="inlineStr">
        <is>
          <t>settled</t>
        </is>
      </c>
      <c r="V52" s="24" t="inlineStr">
        <is>
          <t>loss</t>
        </is>
      </c>
      <c r="W52" s="26" t="n">
        <v>0</v>
      </c>
      <c r="X52" s="26" t="n">
        <v>1</v>
      </c>
      <c r="Y52" s="25" t="n"/>
      <c r="Z52" s="26" t="n">
        <v>122</v>
      </c>
      <c r="AA52" s="28" t="n">
        <v>0.45</v>
      </c>
      <c r="AB52" s="28" t="n">
        <v>-0.00045</v>
      </c>
      <c r="AC52" s="30" t="n">
        <v>-2</v>
      </c>
      <c r="AD52" s="24" t="inlineStr">
        <is>
          <t>2026-08-15T02:11:51.776206Z</t>
        </is>
      </c>
      <c r="AE52" s="31" t="inlineStr">
        <is>
          <t>Neutral Elo baseline; executable ask 0.4500 (market_slug=aec-valorant-fur-2game-2026-08-14).</t>
        </is>
      </c>
      <c r="AF52" s="31" t="inlineStr">
        <is>
          <t>Config-promoted esports baseline; gates enforced at log time.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model_qualified</t>
        </is>
      </c>
      <c r="AL52" s="26" t="n">
        <v>3</v>
      </c>
      <c r="AM52" s="24" t="inlineStr">
        <is>
          <t>QUALIFIED_SHADOW_CALL</t>
        </is>
      </c>
      <c r="AN52" s="24" t="inlineStr">
        <is>
          <t>CALL</t>
        </is>
      </c>
      <c r="AO52" s="24" t="inlineStr">
        <is>
          <t>QUALIFIED</t>
        </is>
      </c>
      <c r="AP52" s="24" t="inlineStr">
        <is>
          <t>2GAME Esports</t>
        </is>
      </c>
      <c r="AQ52" s="24" t="inlineStr">
        <is>
          <t>2GAME Esports</t>
        </is>
      </c>
      <c r="AR52" s="24" t="inlineStr">
        <is>
          <t>2GAME Esports</t>
        </is>
      </c>
      <c r="AS52" s="24" t="inlineStr">
        <is>
          <t>FURIA Esports</t>
        </is>
      </c>
      <c r="AT52" s="24" t="inlineStr">
        <is>
          <t>FURIA Esports</t>
        </is>
      </c>
      <c r="AU52" s="24" t="inlineStr">
        <is>
          <t>FURIA Esports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bd8831975baa7ecb2da7bb1c699d74573c3f775685818cfb2e808f6b431e3b09</t>
        </is>
      </c>
      <c r="BB52" s="24" t="inlineStr">
        <is>
          <t>neutral_elo</t>
        </is>
      </c>
      <c r="BC52" s="24" t="inlineStr">
        <is>
          <t>valorant-tiered-elo-v6</t>
        </is>
      </c>
      <c r="BD52" s="24" t="inlineStr">
        <is>
          <t>bd8831975baa7ecb2da7bb1c699d74573c3f775685818cfb2e808f6b431e3b09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valorant-tiered-elo-v6</t>
        </is>
      </c>
      <c r="BH52" s="24" t="inlineStr">
        <is>
          <t>2026-08-14T20:44:15.737591Z</t>
        </is>
      </c>
      <c r="BI52" s="24" t="inlineStr">
        <is>
          <t>["same_event","same_team_same_day","same_league_same_day"]</t>
        </is>
      </c>
      <c r="BJ52" s="25" t="n"/>
      <c r="BK52" s="26" t="n">
        <v>122</v>
      </c>
      <c r="BL52" s="27" t="n">
        <v>2.22</v>
      </c>
      <c r="BM52" s="28" t="n">
        <v>0.45045</v>
      </c>
      <c r="BN52" s="28" t="n"/>
      <c r="BO52" s="28" t="n"/>
      <c r="BP52" s="25" t="n"/>
      <c r="BQ52" s="27" t="n">
        <v>2.22</v>
      </c>
      <c r="BR52" s="28" t="n">
        <v>0.45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True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inlineStr">
        <is>
          <t>0.45045</t>
        </is>
      </c>
      <c r="DK52" s="24" t="n"/>
      <c r="DL52" s="24" t="n"/>
      <c r="DM52" s="24" t="n"/>
      <c r="DN52" s="24" t="n"/>
      <c r="DO52" s="24" t="n"/>
      <c r="DP52" s="24" t="n"/>
      <c r="DQ52" s="24" t="n"/>
    </row>
    <row r="53" ht="36" customHeight="1">
      <c r="A53" s="24" t="inlineStr">
        <is>
          <t>059c53ded0854c50</t>
        </is>
      </c>
      <c r="B53" s="24" t="inlineStr">
        <is>
          <t>2026-08-14T23:10:04.843469Z</t>
        </is>
      </c>
      <c r="C53" s="24" t="inlineStr">
        <is>
          <t>2026-08-15T00:00:00Z</t>
        </is>
      </c>
      <c r="D53" s="24" t="inlineStr">
        <is>
          <t>79491</t>
        </is>
      </c>
      <c r="E53" s="24" t="inlineStr">
        <is>
          <t>VALORANT</t>
        </is>
      </c>
      <c r="F53" s="24" t="inlineStr">
        <is>
          <t>Fluxo W7M</t>
        </is>
      </c>
      <c r="G53" s="24" t="inlineStr">
        <is>
          <t>Cloud9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-233</v>
      </c>
      <c r="M53" s="27" t="n">
        <v>1.429185</v>
      </c>
      <c r="N53" s="28" t="n">
        <v>0.6997</v>
      </c>
      <c r="O53" s="28" t="n">
        <v>0.547724</v>
      </c>
      <c r="P53" s="28" t="n"/>
      <c r="Q53" s="28" t="n">
        <v>-0.151976</v>
      </c>
      <c r="R53" s="26" t="n">
        <v>0</v>
      </c>
      <c r="S53" s="29" t="n">
        <v>1</v>
      </c>
      <c r="T53" s="24" t="inlineStr">
        <is>
          <t>valorant-tiered-elo-v6</t>
        </is>
      </c>
      <c r="U53" s="24" t="inlineStr">
        <is>
          <t>settled</t>
        </is>
      </c>
      <c r="V53" s="24" t="inlineStr">
        <is>
          <t>win</t>
        </is>
      </c>
      <c r="W53" s="26" t="n">
        <v>0</v>
      </c>
      <c r="X53" s="26" t="n">
        <v>1</v>
      </c>
      <c r="Y53" s="25" t="n"/>
      <c r="Z53" s="26" t="n">
        <v>-233</v>
      </c>
      <c r="AA53" s="28" t="n">
        <v>0.7</v>
      </c>
      <c r="AB53" s="28" t="n">
        <v>0.0003</v>
      </c>
      <c r="AC53" s="30" t="n">
        <v>0.4292</v>
      </c>
      <c r="AD53" s="24" t="inlineStr">
        <is>
          <t>2026-08-15T05:16:05.060243Z</t>
        </is>
      </c>
      <c r="AE53" s="31" t="inlineStr">
        <is>
          <t>Neutral Elo baseline; executable ask 0.7000 (market_slug=aec-valorant-c9-w7m-2026-08-15).</t>
        </is>
      </c>
      <c r="AF53" s="31" t="inlineStr">
        <is>
          <t>Config-promoted esports baseline; gates enforced at log time.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paper_call</t>
        </is>
      </c>
      <c r="AL53" s="26" t="n">
        <v>3</v>
      </c>
      <c r="AM53" s="24" t="inlineStr">
        <is>
          <t>RESEARCH_OBSERVATION</t>
        </is>
      </c>
      <c r="AN53" s="24" t="inlineStr">
        <is>
          <t>CALL</t>
        </is>
      </c>
      <c r="AO53" s="24" t="inlineStr">
        <is>
          <t>PAPER_CALL_MODEL_UNVALIDATED</t>
        </is>
      </c>
      <c r="AP53" s="24" t="inlineStr">
        <is>
          <t>Fluxo W7M</t>
        </is>
      </c>
      <c r="AQ53" s="24" t="inlineStr">
        <is>
          <t>Fluxo W7M</t>
        </is>
      </c>
      <c r="AR53" s="24" t="inlineStr">
        <is>
          <t>Fluxo W7M</t>
        </is>
      </c>
      <c r="AS53" s="24" t="inlineStr">
        <is>
          <t>Cloud9</t>
        </is>
      </c>
      <c r="AT53" s="24" t="inlineStr">
        <is>
          <t>Cloud9</t>
        </is>
      </c>
      <c r="AU53" s="24" t="inlineStr">
        <is>
          <t>Cloud9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5d1418226de23428e339d0ab305ed3f34c52b0acaae13d56c1fd984278b36e01</t>
        </is>
      </c>
      <c r="BB53" s="24" t="inlineStr">
        <is>
          <t>neutral_elo</t>
        </is>
      </c>
      <c r="BC53" s="24" t="inlineStr">
        <is>
          <t>valorant-tiered-elo-v6</t>
        </is>
      </c>
      <c r="BD53" s="24" t="inlineStr">
        <is>
          <t>5d1418226de23428e339d0ab305ed3f34c52b0acaae13d56c1fd984278b36e01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valorant-tiered-elo-v6</t>
        </is>
      </c>
      <c r="BH53" s="24" t="inlineStr">
        <is>
          <t>2026-08-14T23:09:59.629963Z</t>
        </is>
      </c>
      <c r="BI53" s="24" t="inlineStr">
        <is>
          <t>["same_event","same_team_same_day","same_league_same_day"]</t>
        </is>
      </c>
      <c r="BJ53" s="25" t="n"/>
      <c r="BK53" s="26" t="n">
        <v>-233</v>
      </c>
      <c r="BL53" s="27" t="n">
        <v>1.429185</v>
      </c>
      <c r="BM53" s="28" t="n">
        <v>0.6997</v>
      </c>
      <c r="BN53" s="28" t="n"/>
      <c r="BO53" s="28" t="n"/>
      <c r="BP53" s="25" t="n"/>
      <c r="BQ53" s="27" t="n">
        <v>1.429185</v>
      </c>
      <c r="BR53" s="28" t="n">
        <v>0.7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False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inlineStr">
        <is>
          <t>0.6997</t>
        </is>
      </c>
      <c r="DK53" s="24" t="n"/>
      <c r="DL53" s="24" t="n"/>
      <c r="DM53" s="24" t="n"/>
      <c r="DN53" s="24" t="n"/>
      <c r="DO53" s="24" t="n"/>
      <c r="DP53" s="24" t="n"/>
      <c r="DQ53" s="24" t="n"/>
    </row>
    <row r="54" ht="36" customHeight="1">
      <c r="A54" s="24" t="inlineStr">
        <is>
          <t>42144c0b31a54f09</t>
        </is>
      </c>
      <c r="B54" s="24" t="inlineStr">
        <is>
          <t>2026-08-15T05:20:54.696146Z</t>
        </is>
      </c>
      <c r="C54" s="24" t="inlineStr">
        <is>
          <t>2026-08-15T08:00:00Z</t>
        </is>
      </c>
      <c r="D54" s="24" t="inlineStr">
        <is>
          <t>80469</t>
        </is>
      </c>
      <c r="E54" s="24" t="inlineStr">
        <is>
          <t>VALORANT</t>
        </is>
      </c>
      <c r="F54" s="24" t="inlineStr">
        <is>
          <t>ZETA DIVISION</t>
        </is>
      </c>
      <c r="G54" s="24" t="inlineStr">
        <is>
          <t>Kiwoom DRX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-178</v>
      </c>
      <c r="M54" s="27" t="n">
        <v>1.561798</v>
      </c>
      <c r="N54" s="28" t="n">
        <v>0.640288</v>
      </c>
      <c r="O54" s="28" t="n">
        <v>0.711854</v>
      </c>
      <c r="P54" s="28" t="n"/>
      <c r="Q54" s="28" t="n">
        <v>0.071566</v>
      </c>
      <c r="R54" s="26" t="n">
        <v>56</v>
      </c>
      <c r="S54" s="29" t="n">
        <v>2</v>
      </c>
      <c r="T54" s="24" t="inlineStr">
        <is>
          <t>valorant-tiered-elo-v6</t>
        </is>
      </c>
      <c r="U54" s="24" t="inlineStr">
        <is>
          <t>settled</t>
        </is>
      </c>
      <c r="V54" s="24" t="inlineStr">
        <is>
          <t>win</t>
        </is>
      </c>
      <c r="W54" s="26" t="n">
        <v>0</v>
      </c>
      <c r="X54" s="26" t="n">
        <v>1</v>
      </c>
      <c r="Y54" s="25" t="n"/>
      <c r="Z54" s="26" t="n">
        <v>-178</v>
      </c>
      <c r="AA54" s="28" t="n">
        <v>0.64</v>
      </c>
      <c r="AB54" s="28" t="n">
        <v>-0.000288</v>
      </c>
      <c r="AC54" s="30" t="n">
        <v>1.1236</v>
      </c>
      <c r="AD54" s="24" t="inlineStr">
        <is>
          <t>2026-08-15T11:31:57.742096Z</t>
        </is>
      </c>
      <c r="AE54" s="31" t="inlineStr">
        <is>
          <t>Neutral Elo baseline; executable ask 0.6400 (market_slug=aec-valorant-krx-zeta-2026-08-15).</t>
        </is>
      </c>
      <c r="AF54" s="31" t="inlineStr">
        <is>
          <t>Config-promoted esports baseline; gates enforced at log time.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model_qualified</t>
        </is>
      </c>
      <c r="AL54" s="26" t="n">
        <v>3</v>
      </c>
      <c r="AM54" s="24" t="inlineStr">
        <is>
          <t>QUALIFIED_SHADOW_CALL</t>
        </is>
      </c>
      <c r="AN54" s="24" t="inlineStr">
        <is>
          <t>CALL</t>
        </is>
      </c>
      <c r="AO54" s="24" t="inlineStr">
        <is>
          <t>QUALIFIED</t>
        </is>
      </c>
      <c r="AP54" s="24" t="inlineStr">
        <is>
          <t>ZETA DIVISION</t>
        </is>
      </c>
      <c r="AQ54" s="24" t="inlineStr">
        <is>
          <t>ZETA DIVISION</t>
        </is>
      </c>
      <c r="AR54" s="24" t="inlineStr">
        <is>
          <t>ZETA DIVISION</t>
        </is>
      </c>
      <c r="AS54" s="24" t="inlineStr">
        <is>
          <t>Kiwoom DRX</t>
        </is>
      </c>
      <c r="AT54" s="24" t="inlineStr">
        <is>
          <t>Kiwoom DRX</t>
        </is>
      </c>
      <c r="AU54" s="24" t="inlineStr">
        <is>
          <t>Kiwoom DRX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8b71ae02e72f80de437779cc960074152e30dab093868ebe7cf80ceb18d75304</t>
        </is>
      </c>
      <c r="BB54" s="24" t="inlineStr">
        <is>
          <t>neutral_elo</t>
        </is>
      </c>
      <c r="BC54" s="24" t="inlineStr">
        <is>
          <t>valorant-tiered-elo-v6</t>
        </is>
      </c>
      <c r="BD54" s="24" t="inlineStr">
        <is>
          <t>8b71ae02e72f80de437779cc960074152e30dab093868ebe7cf80ceb18d75304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valorant-tiered-elo-v6</t>
        </is>
      </c>
      <c r="BH54" s="24" t="inlineStr">
        <is>
          <t>2026-08-15T05:20:46.056599Z</t>
        </is>
      </c>
      <c r="BI54" s="24" t="inlineStr">
        <is>
          <t>["same_event","same_team_same_day","same_league_same_day"]</t>
        </is>
      </c>
      <c r="BJ54" s="25" t="n"/>
      <c r="BK54" s="26" t="n">
        <v>-178</v>
      </c>
      <c r="BL54" s="27" t="n">
        <v>1.561798</v>
      </c>
      <c r="BM54" s="28" t="n">
        <v>0.640288</v>
      </c>
      <c r="BN54" s="28" t="n"/>
      <c r="BO54" s="28" t="n"/>
      <c r="BP54" s="25" t="n"/>
      <c r="BQ54" s="27" t="n">
        <v>1.561798</v>
      </c>
      <c r="BR54" s="28" t="n">
        <v>0.64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True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inlineStr">
        <is>
          <t>0.640288</t>
        </is>
      </c>
      <c r="DK54" s="24" t="n"/>
      <c r="DL54" s="24" t="n"/>
      <c r="DM54" s="24" t="n"/>
      <c r="DN54" s="24" t="n"/>
      <c r="DO54" s="24" t="n"/>
      <c r="DP54" s="24" t="n"/>
      <c r="DQ54" s="24" t="n"/>
    </row>
    <row r="55" ht="36" customHeight="1">
      <c r="A55" s="24" t="inlineStr">
        <is>
          <t>3ff490c8503540b1</t>
        </is>
      </c>
      <c r="B55" s="24" t="inlineStr">
        <is>
          <t>2026-08-15T05:20:54.696146Z</t>
        </is>
      </c>
      <c r="C55" s="24" t="inlineStr">
        <is>
          <t>2026-08-15T08:00:00Z</t>
        </is>
      </c>
      <c r="D55" s="24" t="inlineStr">
        <is>
          <t>79718</t>
        </is>
      </c>
      <c r="E55" s="24" t="inlineStr">
        <is>
          <t>VALORANT</t>
        </is>
      </c>
      <c r="F55" s="24" t="inlineStr">
        <is>
          <t>Trace Esports</t>
        </is>
      </c>
      <c r="G55" s="24" t="inlineStr">
        <is>
          <t>Bilibili Gaming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-150</v>
      </c>
      <c r="M55" s="27" t="n">
        <v>1.666667</v>
      </c>
      <c r="N55" s="28" t="n">
        <v>0.6</v>
      </c>
      <c r="O55" s="28" t="n">
        <v>0.595723</v>
      </c>
      <c r="P55" s="28" t="n"/>
      <c r="Q55" s="28" t="n">
        <v>-0.004277</v>
      </c>
      <c r="R55" s="26" t="n">
        <v>18</v>
      </c>
      <c r="S55" s="29" t="n">
        <v>1.25</v>
      </c>
      <c r="T55" s="24" t="inlineStr">
        <is>
          <t>valorant-tiered-elo-v6</t>
        </is>
      </c>
      <c r="U55" s="24" t="inlineStr">
        <is>
          <t>settled</t>
        </is>
      </c>
      <c r="V55" s="24" t="inlineStr">
        <is>
          <t>win</t>
        </is>
      </c>
      <c r="W55" s="26" t="n">
        <v>0</v>
      </c>
      <c r="X55" s="26" t="n">
        <v>1</v>
      </c>
      <c r="Y55" s="25" t="n"/>
      <c r="Z55" s="26" t="n">
        <v>-150</v>
      </c>
      <c r="AA55" s="28" t="n">
        <v>0.6</v>
      </c>
      <c r="AB55" s="28" t="n">
        <v>0</v>
      </c>
      <c r="AC55" s="30" t="n">
        <v>0.8333</v>
      </c>
      <c r="AD55" s="24" t="inlineStr">
        <is>
          <t>2026-08-15T11:31:59.198474Z</t>
        </is>
      </c>
      <c r="AE55" s="31" t="inlineStr">
        <is>
          <t>Neutral Elo baseline; executable ask 0.6000 (market_slug=aec-valorant-blg-te-2026-08-15).</t>
        </is>
      </c>
      <c r="AF55" s="31" t="inlineStr">
        <is>
          <t>Config-promoted esports baseline; gates enforced at log time.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paper_call</t>
        </is>
      </c>
      <c r="AL55" s="26" t="n">
        <v>3</v>
      </c>
      <c r="AM55" s="24" t="inlineStr">
        <is>
          <t>RESEARCH_OBSERVATION</t>
        </is>
      </c>
      <c r="AN55" s="24" t="inlineStr">
        <is>
          <t>CALL</t>
        </is>
      </c>
      <c r="AO55" s="24" t="inlineStr">
        <is>
          <t>PAPER_CALL_LOW_EDGE</t>
        </is>
      </c>
      <c r="AP55" s="24" t="inlineStr">
        <is>
          <t>Trace Esports</t>
        </is>
      </c>
      <c r="AQ55" s="24" t="inlineStr">
        <is>
          <t>Trace Esports</t>
        </is>
      </c>
      <c r="AR55" s="24" t="inlineStr">
        <is>
          <t>Trace Esports</t>
        </is>
      </c>
      <c r="AS55" s="24" t="inlineStr">
        <is>
          <t>Bilibili Gaming</t>
        </is>
      </c>
      <c r="AT55" s="24" t="inlineStr">
        <is>
          <t>Bilibili Gaming</t>
        </is>
      </c>
      <c r="AU55" s="24" t="inlineStr">
        <is>
          <t>Bilibili Gaming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8b71ae02e72f80de437779cc960074152e30dab093868ebe7cf80ceb18d75304</t>
        </is>
      </c>
      <c r="BB55" s="24" t="inlineStr">
        <is>
          <t>neutral_elo</t>
        </is>
      </c>
      <c r="BC55" s="24" t="inlineStr">
        <is>
          <t>valorant-tiered-elo-v6</t>
        </is>
      </c>
      <c r="BD55" s="24" t="inlineStr">
        <is>
          <t>8b71ae02e72f80de437779cc960074152e30dab093868ebe7cf80ceb18d75304</t>
        </is>
      </c>
      <c r="BE55" s="24" t="inlineStr">
        <is>
          <t>1</t>
        </is>
      </c>
      <c r="BF55" s="24" t="inlineStr">
        <is>
          <t>1</t>
        </is>
      </c>
      <c r="BG55" s="24" t="inlineStr">
        <is>
          <t>valorant-tiered-elo-v6</t>
        </is>
      </c>
      <c r="BH55" s="24" t="inlineStr">
        <is>
          <t>2026-08-15T05:20:46.538182Z</t>
        </is>
      </c>
      <c r="BI55" s="24" t="inlineStr">
        <is>
          <t>["same_event","same_team_same_day","same_league_same_day"]</t>
        </is>
      </c>
      <c r="BJ55" s="25" t="n"/>
      <c r="BK55" s="26" t="n">
        <v>-150</v>
      </c>
      <c r="BL55" s="27" t="n">
        <v>1.666667</v>
      </c>
      <c r="BM55" s="28" t="n">
        <v>0.6</v>
      </c>
      <c r="BN55" s="28" t="n"/>
      <c r="BO55" s="28" t="n"/>
      <c r="BP55" s="25" t="n"/>
      <c r="BQ55" s="27" t="n">
        <v>1.666667</v>
      </c>
      <c r="BR55" s="28" t="n">
        <v>0.6</v>
      </c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False</t>
        </is>
      </c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inlineStr">
        <is>
          <t>0.6</t>
        </is>
      </c>
      <c r="DK55" s="24" t="n"/>
      <c r="DL55" s="24" t="n"/>
      <c r="DM55" s="24" t="n"/>
      <c r="DN55" s="24" t="n"/>
      <c r="DO55" s="24" t="n"/>
      <c r="DP55" s="24" t="n"/>
      <c r="DQ55" s="24" t="n"/>
    </row>
    <row r="56" ht="36" customHeight="1">
      <c r="A56" s="24" t="inlineStr">
        <is>
          <t>aeab0be17d864942</t>
        </is>
      </c>
      <c r="B56" s="24" t="inlineStr">
        <is>
          <t>2026-08-15T08:28:05.506193Z</t>
        </is>
      </c>
      <c r="C56" s="24" t="inlineStr">
        <is>
          <t>2026-08-15T10:00:00Z</t>
        </is>
      </c>
      <c r="D56" s="24" t="inlineStr">
        <is>
          <t>79719</t>
        </is>
      </c>
      <c r="E56" s="24" t="inlineStr">
        <is>
          <t>VALORANT</t>
        </is>
      </c>
      <c r="F56" s="24" t="inlineStr">
        <is>
          <t>All Gamers</t>
        </is>
      </c>
      <c r="G56" s="24" t="inlineStr">
        <is>
          <t>XLG Gaming</t>
        </is>
      </c>
      <c r="H56" s="24" t="inlineStr">
        <is>
          <t>moneyline</t>
        </is>
      </c>
      <c r="I56" s="24" t="inlineStr">
        <is>
          <t>away</t>
        </is>
      </c>
      <c r="J56" s="25" t="n"/>
      <c r="K56" s="24" t="inlineStr">
        <is>
          <t>polymarket_us</t>
        </is>
      </c>
      <c r="L56" s="26" t="n">
        <v>150</v>
      </c>
      <c r="M56" s="27" t="n">
        <v>2.5</v>
      </c>
      <c r="N56" s="28" t="n">
        <v>0.4</v>
      </c>
      <c r="O56" s="28" t="n">
        <v>0.523634</v>
      </c>
      <c r="P56" s="28" t="n"/>
      <c r="Q56" s="28" t="n">
        <v>0.123634</v>
      </c>
      <c r="R56" s="26" t="n">
        <v>82</v>
      </c>
      <c r="S56" s="29" t="n">
        <v>1</v>
      </c>
      <c r="T56" s="24" t="inlineStr">
        <is>
          <t>valorant-tiered-elo-v6</t>
        </is>
      </c>
      <c r="U56" s="24" t="inlineStr">
        <is>
          <t>settled</t>
        </is>
      </c>
      <c r="V56" s="24" t="inlineStr">
        <is>
          <t>loss</t>
        </is>
      </c>
      <c r="W56" s="26" t="n">
        <v>0</v>
      </c>
      <c r="X56" s="26" t="n">
        <v>1</v>
      </c>
      <c r="Y56" s="25" t="n"/>
      <c r="Z56" s="26" t="n">
        <v>150</v>
      </c>
      <c r="AA56" s="28" t="n">
        <v>0.4</v>
      </c>
      <c r="AB56" s="28" t="n">
        <v>0</v>
      </c>
      <c r="AC56" s="30" t="n">
        <v>-1</v>
      </c>
      <c r="AD56" s="24" t="inlineStr">
        <is>
          <t>2026-08-15T14:40:03.832879Z</t>
        </is>
      </c>
      <c r="AE56" s="31" t="inlineStr">
        <is>
          <t>Neutral Elo baseline; executable ask 0.4000 (market_slug=aec-valorant-xlg-ag-2026-08-15).</t>
        </is>
      </c>
      <c r="AF56" s="31" t="inlineStr">
        <is>
          <t>Config-promoted esports baseline; gates enforced at log time.</t>
        </is>
      </c>
      <c r="AG56" s="24" t="inlineStr">
        <is>
          <t>review_required</t>
        </is>
      </c>
      <c r="AH56" s="24" t="n"/>
      <c r="AI56" s="31" t="n"/>
      <c r="AJ56" s="31" t="n"/>
      <c r="AK56" s="24" t="inlineStr">
        <is>
          <t>paper_call</t>
        </is>
      </c>
      <c r="AL56" s="26" t="n">
        <v>3</v>
      </c>
      <c r="AM56" s="24" t="inlineStr">
        <is>
          <t>RESEARCH_OBSERVATION</t>
        </is>
      </c>
      <c r="AN56" s="24" t="inlineStr">
        <is>
          <t>CALL</t>
        </is>
      </c>
      <c r="AO56" s="24" t="inlineStr">
        <is>
          <t>PAPER_CALL_MODEL_UNVALIDATED</t>
        </is>
      </c>
      <c r="AP56" s="24" t="inlineStr">
        <is>
          <t>All Gamers</t>
        </is>
      </c>
      <c r="AQ56" s="24" t="inlineStr">
        <is>
          <t>All Gamers</t>
        </is>
      </c>
      <c r="AR56" s="24" t="inlineStr">
        <is>
          <t>All Gamers</t>
        </is>
      </c>
      <c r="AS56" s="24" t="inlineStr">
        <is>
          <t>XLG Gaming</t>
        </is>
      </c>
      <c r="AT56" s="24" t="inlineStr">
        <is>
          <t>XLG Gaming</t>
        </is>
      </c>
      <c r="AU56" s="24" t="inlineStr">
        <is>
          <t>XLG Gaming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2141a8607abd2e9ca2f36722766c530120867a2b2cd5683a4b099684683f58ef</t>
        </is>
      </c>
      <c r="BB56" s="24" t="inlineStr">
        <is>
          <t>neutral_elo</t>
        </is>
      </c>
      <c r="BC56" s="24" t="inlineStr">
        <is>
          <t>valorant-tiered-elo-v6</t>
        </is>
      </c>
      <c r="BD56" s="24" t="inlineStr">
        <is>
          <t>2141a8607abd2e9ca2f36722766c530120867a2b2cd5683a4b099684683f58ef</t>
        </is>
      </c>
      <c r="BE56" s="24" t="inlineStr">
        <is>
          <t>1</t>
        </is>
      </c>
      <c r="BF56" s="24" t="inlineStr">
        <is>
          <t>1</t>
        </is>
      </c>
      <c r="BG56" s="24" t="inlineStr">
        <is>
          <t>valorant-tiered-elo-v6</t>
        </is>
      </c>
      <c r="BH56" s="24" t="inlineStr">
        <is>
          <t>2026-08-15T08:27:56.369692Z</t>
        </is>
      </c>
      <c r="BI56" s="24" t="inlineStr">
        <is>
          <t>["same_event","same_team_same_day","same_league_same_day"]</t>
        </is>
      </c>
      <c r="BJ56" s="25" t="n"/>
      <c r="BK56" s="26" t="n">
        <v>150</v>
      </c>
      <c r="BL56" s="27" t="n">
        <v>2.5</v>
      </c>
      <c r="BM56" s="28" t="n">
        <v>0.4</v>
      </c>
      <c r="BN56" s="28" t="n"/>
      <c r="BO56" s="28" t="n"/>
      <c r="BP56" s="25" t="n"/>
      <c r="BQ56" s="27" t="n">
        <v>2.5</v>
      </c>
      <c r="BR56" s="28" t="n">
        <v>0.4</v>
      </c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True</t>
        </is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inlineStr">
        <is>
          <t>0.4</t>
        </is>
      </c>
      <c r="DK56" s="24" t="n"/>
      <c r="DL56" s="24" t="n"/>
      <c r="DM56" s="24" t="n"/>
      <c r="DN56" s="24" t="n"/>
      <c r="DO56" s="24" t="n"/>
      <c r="DP56" s="24" t="n"/>
      <c r="DQ56" s="24" t="n"/>
    </row>
    <row r="57" ht="36" customHeight="1">
      <c r="A57" s="24" t="inlineStr">
        <is>
          <t>deadd11a4f034869</t>
        </is>
      </c>
      <c r="B57" s="24" t="inlineStr">
        <is>
          <t>2026-08-15T08:28:05.506193Z</t>
        </is>
      </c>
      <c r="C57" s="24" t="inlineStr">
        <is>
          <t>2026-08-15T11:00:00Z</t>
        </is>
      </c>
      <c r="D57" s="24" t="inlineStr">
        <is>
          <t>80491</t>
        </is>
      </c>
      <c r="E57" s="24" t="inlineStr">
        <is>
          <t>VALORANT</t>
        </is>
      </c>
      <c r="F57" s="24" t="inlineStr">
        <is>
          <t>DetonatioN FocusMe</t>
        </is>
      </c>
      <c r="G57" s="24" t="inlineStr">
        <is>
          <t>Sharper Esport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150</v>
      </c>
      <c r="M57" s="27" t="n">
        <v>2.5</v>
      </c>
      <c r="N57" s="28" t="n">
        <v>0.4</v>
      </c>
      <c r="O57" s="28" t="n">
        <v>0.7594109999999999</v>
      </c>
      <c r="P57" s="28" t="n"/>
      <c r="Q57" s="28" t="n">
        <v>0.359411</v>
      </c>
      <c r="R57" s="26" t="n">
        <v>100</v>
      </c>
      <c r="S57" s="29" t="n">
        <v>2</v>
      </c>
      <c r="T57" s="24" t="inlineStr">
        <is>
          <t>valorant-tiered-elo-v6</t>
        </is>
      </c>
      <c r="U57" s="24" t="inlineStr">
        <is>
          <t>settled</t>
        </is>
      </c>
      <c r="V57" s="24" t="inlineStr">
        <is>
          <t>win</t>
        </is>
      </c>
      <c r="W57" s="26" t="n">
        <v>0</v>
      </c>
      <c r="X57" s="26" t="n">
        <v>1</v>
      </c>
      <c r="Y57" s="25" t="n"/>
      <c r="Z57" s="26" t="n">
        <v>150</v>
      </c>
      <c r="AA57" s="28" t="n">
        <v>0.4</v>
      </c>
      <c r="AB57" s="28" t="n">
        <v>0</v>
      </c>
      <c r="AC57" s="30" t="n">
        <v>3</v>
      </c>
      <c r="AD57" s="24" t="inlineStr">
        <is>
          <t>2026-08-15T14:40:07.083155Z</t>
        </is>
      </c>
      <c r="AE57" s="31" t="inlineStr">
        <is>
          <t>Neutral Elo baseline; executable ask 0.4000 (market_slug=aec-valorant-spe-dfm-2026-08-15).</t>
        </is>
      </c>
      <c r="AF57" s="31" t="inlineStr">
        <is>
          <t>Config-promoted esports baseline; gates enforced at log time.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model_qualified</t>
        </is>
      </c>
      <c r="AL57" s="26" t="n">
        <v>3</v>
      </c>
      <c r="AM57" s="24" t="inlineStr">
        <is>
          <t>QUALIFIED_SHADOW_CALL</t>
        </is>
      </c>
      <c r="AN57" s="24" t="inlineStr">
        <is>
          <t>CALL</t>
        </is>
      </c>
      <c r="AO57" s="24" t="inlineStr">
        <is>
          <t>QUALIFIED</t>
        </is>
      </c>
      <c r="AP57" s="24" t="inlineStr">
        <is>
          <t>DetonatioN FocusMe</t>
        </is>
      </c>
      <c r="AQ57" s="24" t="inlineStr">
        <is>
          <t>DetonatioN FocusMe</t>
        </is>
      </c>
      <c r="AR57" s="24" t="inlineStr">
        <is>
          <t>DetonatioN FocusMe</t>
        </is>
      </c>
      <c r="AS57" s="24" t="inlineStr">
        <is>
          <t>Sharper Esport</t>
        </is>
      </c>
      <c r="AT57" s="24" t="inlineStr">
        <is>
          <t>Sharper Esport</t>
        </is>
      </c>
      <c r="AU57" s="24" t="inlineStr">
        <is>
          <t>Sharper Esport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2141a8607abd2e9ca2f36722766c530120867a2b2cd5683a4b099684683f58ef</t>
        </is>
      </c>
      <c r="BB57" s="24" t="inlineStr">
        <is>
          <t>neutral_elo</t>
        </is>
      </c>
      <c r="BC57" s="24" t="inlineStr">
        <is>
          <t>valorant-tiered-elo-v6</t>
        </is>
      </c>
      <c r="BD57" s="24" t="inlineStr">
        <is>
          <t>2141a8607abd2e9ca2f36722766c530120867a2b2cd5683a4b099684683f58ef</t>
        </is>
      </c>
      <c r="BE57" s="24" t="inlineStr">
        <is>
          <t>1</t>
        </is>
      </c>
      <c r="BF57" s="24" t="inlineStr">
        <is>
          <t>1</t>
        </is>
      </c>
      <c r="BG57" s="24" t="inlineStr">
        <is>
          <t>valorant-tiered-elo-v6</t>
        </is>
      </c>
      <c r="BH57" s="24" t="inlineStr">
        <is>
          <t>2026-08-15T08:27:56.986681Z</t>
        </is>
      </c>
      <c r="BI57" s="24" t="inlineStr">
        <is>
          <t>["same_event","same_team_same_day","same_league_same_day"]</t>
        </is>
      </c>
      <c r="BJ57" s="25" t="n"/>
      <c r="BK57" s="26" t="n">
        <v>150</v>
      </c>
      <c r="BL57" s="27" t="n">
        <v>2.5</v>
      </c>
      <c r="BM57" s="28" t="n">
        <v>0.4</v>
      </c>
      <c r="BN57" s="28" t="n"/>
      <c r="BO57" s="28" t="n"/>
      <c r="BP57" s="25" t="n"/>
      <c r="BQ57" s="27" t="n">
        <v>2.5</v>
      </c>
      <c r="BR57" s="28" t="n">
        <v>0.4</v>
      </c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True</t>
        </is>
      </c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inlineStr">
        <is>
          <t>0.4</t>
        </is>
      </c>
      <c r="DK57" s="24" t="n"/>
      <c r="DL57" s="24" t="n"/>
      <c r="DM57" s="24" t="n"/>
      <c r="DN57" s="24" t="n"/>
      <c r="DO57" s="24" t="n"/>
      <c r="DP57" s="24" t="n"/>
      <c r="DQ57" s="24" t="n"/>
    </row>
    <row r="58" ht="36" customHeight="1">
      <c r="A58" s="24" t="inlineStr">
        <is>
          <t>7dd9636cc42549b4</t>
        </is>
      </c>
      <c r="B58" s="24" t="inlineStr">
        <is>
          <t>2026-08-15T14:44:35.685068Z</t>
        </is>
      </c>
      <c r="C58" s="24" t="inlineStr">
        <is>
          <t>2026-08-15T15:00:00Z</t>
        </is>
      </c>
      <c r="D58" s="24" t="inlineStr">
        <is>
          <t>79720</t>
        </is>
      </c>
      <c r="E58" s="24" t="inlineStr">
        <is>
          <t>VALORANT</t>
        </is>
      </c>
      <c r="F58" s="24" t="inlineStr">
        <is>
          <t>Eternal Fire</t>
        </is>
      </c>
      <c r="G58" s="24" t="inlineStr">
        <is>
          <t>FUT Esports</t>
        </is>
      </c>
      <c r="H58" s="24" t="inlineStr">
        <is>
          <t>moneyline</t>
        </is>
      </c>
      <c r="I58" s="24" t="inlineStr">
        <is>
          <t>home</t>
        </is>
      </c>
      <c r="J58" s="25" t="n"/>
      <c r="K58" s="24" t="inlineStr">
        <is>
          <t>polymarket_us</t>
        </is>
      </c>
      <c r="L58" s="26" t="n">
        <v>-150</v>
      </c>
      <c r="M58" s="27" t="n">
        <v>1.666667</v>
      </c>
      <c r="N58" s="28" t="n">
        <v>0.6</v>
      </c>
      <c r="O58" s="28" t="n">
        <v>0.611803</v>
      </c>
      <c r="P58" s="28" t="n"/>
      <c r="Q58" s="28" t="n">
        <v>0.011803</v>
      </c>
      <c r="R58" s="26" t="n">
        <v>26</v>
      </c>
      <c r="S58" s="29" t="n">
        <v>1.5</v>
      </c>
      <c r="T58" s="24" t="inlineStr">
        <is>
          <t>valorant-tiered-elo-v6</t>
        </is>
      </c>
      <c r="U58" s="24" t="inlineStr">
        <is>
          <t>settled</t>
        </is>
      </c>
      <c r="V58" s="24" t="inlineStr">
        <is>
          <t>win</t>
        </is>
      </c>
      <c r="W58" s="26" t="n">
        <v>0</v>
      </c>
      <c r="X58" s="26" t="n">
        <v>1</v>
      </c>
      <c r="Y58" s="25" t="n"/>
      <c r="Z58" s="26" t="n">
        <v>-150</v>
      </c>
      <c r="AA58" s="28" t="n">
        <v>0.6</v>
      </c>
      <c r="AB58" s="28" t="n">
        <v>0</v>
      </c>
      <c r="AC58" s="30" t="n">
        <v>1</v>
      </c>
      <c r="AD58" s="24" t="inlineStr">
        <is>
          <t>2026-08-15T21:04:22.851752Z</t>
        </is>
      </c>
      <c r="AE58" s="31" t="inlineStr">
        <is>
          <t>Neutral Elo baseline; executable ask 0.6000 (market_slug=aec-valorant-fut-ef-2026-08-15).</t>
        </is>
      </c>
      <c r="AF58" s="31" t="inlineStr">
        <is>
          <t>Config-promoted esports baseline; gates enforced at log time.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paper_call</t>
        </is>
      </c>
      <c r="AL58" s="26" t="n">
        <v>3</v>
      </c>
      <c r="AM58" s="24" t="inlineStr">
        <is>
          <t>RESEARCH_OBSERVATION</t>
        </is>
      </c>
      <c r="AN58" s="24" t="inlineStr">
        <is>
          <t>CALL</t>
        </is>
      </c>
      <c r="AO58" s="24" t="inlineStr">
        <is>
          <t>PAPER_CALL_LOW_EDGE</t>
        </is>
      </c>
      <c r="AP58" s="24" t="inlineStr">
        <is>
          <t>Eternal Fire</t>
        </is>
      </c>
      <c r="AQ58" s="24" t="inlineStr">
        <is>
          <t>Eternal Fire</t>
        </is>
      </c>
      <c r="AR58" s="24" t="inlineStr">
        <is>
          <t>Eternal Fire</t>
        </is>
      </c>
      <c r="AS58" s="24" t="inlineStr">
        <is>
          <t>FUT Esports</t>
        </is>
      </c>
      <c r="AT58" s="24" t="inlineStr">
        <is>
          <t>FUT Esports</t>
        </is>
      </c>
      <c r="AU58" s="24" t="inlineStr">
        <is>
          <t>FUT Esports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ffbf11c2eaae266d8048c12c4a2ecd1f3bee19b85e6118a713992e5deacc08fc</t>
        </is>
      </c>
      <c r="BB58" s="24" t="inlineStr">
        <is>
          <t>neutral_elo</t>
        </is>
      </c>
      <c r="BC58" s="24" t="inlineStr">
        <is>
          <t>valorant-tiered-elo-v6</t>
        </is>
      </c>
      <c r="BD58" s="24" t="inlineStr">
        <is>
          <t>ffbf11c2eaae266d8048c12c4a2ecd1f3bee19b85e6118a713992e5deacc08fc</t>
        </is>
      </c>
      <c r="BE58" s="24" t="inlineStr">
        <is>
          <t>1</t>
        </is>
      </c>
      <c r="BF58" s="24" t="inlineStr">
        <is>
          <t>1</t>
        </is>
      </c>
      <c r="BG58" s="24" t="inlineStr">
        <is>
          <t>valorant-tiered-elo-v6</t>
        </is>
      </c>
      <c r="BH58" s="24" t="inlineStr">
        <is>
          <t>2026-08-15T14:44:29.742951Z</t>
        </is>
      </c>
      <c r="BI58" s="24" t="inlineStr">
        <is>
          <t>["same_event","same_team_same_day","same_league_same_day"]</t>
        </is>
      </c>
      <c r="BJ58" s="25" t="n"/>
      <c r="BK58" s="26" t="n">
        <v>-150</v>
      </c>
      <c r="BL58" s="27" t="n">
        <v>1.666667</v>
      </c>
      <c r="BM58" s="28" t="n">
        <v>0.6</v>
      </c>
      <c r="BN58" s="28" t="n"/>
      <c r="BO58" s="28" t="n"/>
      <c r="BP58" s="25" t="n"/>
      <c r="BQ58" s="27" t="n">
        <v>1.666667</v>
      </c>
      <c r="BR58" s="28" t="n">
        <v>0.6</v>
      </c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True</t>
        </is>
      </c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inlineStr">
        <is>
          <t>0.6</t>
        </is>
      </c>
      <c r="DK58" s="24" t="n"/>
      <c r="DL58" s="24" t="n"/>
      <c r="DM58" s="24" t="n"/>
      <c r="DN58" s="24" t="n"/>
      <c r="DO58" s="24" t="n"/>
      <c r="DP58" s="24" t="n"/>
      <c r="DQ58" s="24" t="n"/>
    </row>
    <row r="59" ht="36" customHeight="1">
      <c r="A59" s="24" t="inlineStr">
        <is>
          <t>eaa6c829f0ce4754</t>
        </is>
      </c>
      <c r="B59" s="24" t="inlineStr">
        <is>
          <t>2026-08-15T14:44:35.685068Z</t>
        </is>
      </c>
      <c r="C59" s="24" t="inlineStr">
        <is>
          <t>2026-08-15T17:00:00Z</t>
        </is>
      </c>
      <c r="D59" s="24" t="inlineStr">
        <is>
          <t>81759</t>
        </is>
      </c>
      <c r="E59" s="24" t="inlineStr">
        <is>
          <t>VALORANT</t>
        </is>
      </c>
      <c r="F59" s="24" t="inlineStr">
        <is>
          <t>Twisted Minds Orchid</t>
        </is>
      </c>
      <c r="G59" s="24" t="inlineStr">
        <is>
          <t>Habos Babos</t>
        </is>
      </c>
      <c r="H59" s="24" t="inlineStr">
        <is>
          <t>moneyline</t>
        </is>
      </c>
      <c r="I59" s="24" t="inlineStr">
        <is>
          <t>away</t>
        </is>
      </c>
      <c r="J59" s="25" t="n"/>
      <c r="K59" s="24" t="inlineStr">
        <is>
          <t>polymarket_us</t>
        </is>
      </c>
      <c r="L59" s="26" t="n">
        <v>-138</v>
      </c>
      <c r="M59" s="27" t="n">
        <v>1.724638</v>
      </c>
      <c r="N59" s="28" t="n">
        <v>0.579832</v>
      </c>
      <c r="O59" s="28" t="n">
        <v>0.561976</v>
      </c>
      <c r="P59" s="28" t="n"/>
      <c r="Q59" s="28" t="n">
        <v>-0.017856</v>
      </c>
      <c r="R59" s="26" t="n">
        <v>11</v>
      </c>
      <c r="S59" s="29" t="n">
        <v>1</v>
      </c>
      <c r="T59" s="24" t="inlineStr">
        <is>
          <t>valorant-tiered-elo-v6</t>
        </is>
      </c>
      <c r="U59" s="24" t="inlineStr">
        <is>
          <t>settled</t>
        </is>
      </c>
      <c r="V59" s="24" t="inlineStr">
        <is>
          <t>loss</t>
        </is>
      </c>
      <c r="W59" s="26" t="n">
        <v>0</v>
      </c>
      <c r="X59" s="26" t="n">
        <v>1</v>
      </c>
      <c r="Y59" s="25" t="n"/>
      <c r="Z59" s="26" t="n">
        <v>-138</v>
      </c>
      <c r="AA59" s="28" t="n">
        <v>0.58</v>
      </c>
      <c r="AB59" s="28" t="n">
        <v>0.000168</v>
      </c>
      <c r="AC59" s="30" t="n">
        <v>-1</v>
      </c>
      <c r="AD59" s="24" t="inlineStr">
        <is>
          <t>2026-08-15T21:04:24.351961Z</t>
        </is>
      </c>
      <c r="AE59" s="31" t="inlineStr">
        <is>
          <t>Neutral Elo baseline; executable ask 0.5800 (market_slug=aec-valorant-hbs-tmo-2026-08-15).</t>
        </is>
      </c>
      <c r="AF59" s="31" t="inlineStr">
        <is>
          <t>Config-promoted esports baseline; gates enforced at log time.</t>
        </is>
      </c>
      <c r="AG59" s="24" t="inlineStr">
        <is>
          <t>review_required</t>
        </is>
      </c>
      <c r="AH59" s="24" t="n"/>
      <c r="AI59" s="31" t="n"/>
      <c r="AJ59" s="31" t="n"/>
      <c r="AK59" s="24" t="inlineStr">
        <is>
          <t>paper_call</t>
        </is>
      </c>
      <c r="AL59" s="26" t="n">
        <v>3</v>
      </c>
      <c r="AM59" s="24" t="inlineStr">
        <is>
          <t>RESEARCH_OBSERVATION</t>
        </is>
      </c>
      <c r="AN59" s="24" t="inlineStr">
        <is>
          <t>CALL</t>
        </is>
      </c>
      <c r="AO59" s="24" t="inlineStr">
        <is>
          <t>PAPER_CALL_LOW_EDGE</t>
        </is>
      </c>
      <c r="AP59" s="24" t="inlineStr">
        <is>
          <t>Twisted Minds Orchid</t>
        </is>
      </c>
      <c r="AQ59" s="24" t="inlineStr">
        <is>
          <t>Twisted Minds Orchid</t>
        </is>
      </c>
      <c r="AR59" s="24" t="inlineStr">
        <is>
          <t>Twisted Minds Orchid</t>
        </is>
      </c>
      <c r="AS59" s="24" t="inlineStr">
        <is>
          <t>Habos Babos</t>
        </is>
      </c>
      <c r="AT59" s="24" t="inlineStr">
        <is>
          <t>Habos Babos</t>
        </is>
      </c>
      <c r="AU59" s="24" t="inlineStr">
        <is>
          <t>Habos Babos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ffbf11c2eaae266d8048c12c4a2ecd1f3bee19b85e6118a713992e5deacc08fc</t>
        </is>
      </c>
      <c r="BB59" s="24" t="inlineStr">
        <is>
          <t>neutral_elo</t>
        </is>
      </c>
      <c r="BC59" s="24" t="inlineStr">
        <is>
          <t>valorant-tiered-elo-v6</t>
        </is>
      </c>
      <c r="BD59" s="24" t="inlineStr">
        <is>
          <t>ffbf11c2eaae266d8048c12c4a2ecd1f3bee19b85e6118a713992e5deacc08fc</t>
        </is>
      </c>
      <c r="BE59" s="24" t="inlineStr">
        <is>
          <t>1</t>
        </is>
      </c>
      <c r="BF59" s="24" t="inlineStr">
        <is>
          <t>1</t>
        </is>
      </c>
      <c r="BG59" s="24" t="inlineStr">
        <is>
          <t>valorant-tiered-elo-v6</t>
        </is>
      </c>
      <c r="BH59" s="24" t="inlineStr">
        <is>
          <t>2026-08-15T14:44:30.219269Z</t>
        </is>
      </c>
      <c r="BI59" s="24" t="inlineStr">
        <is>
          <t>["same_event","same_team_same_day","same_league_same_day"]</t>
        </is>
      </c>
      <c r="BJ59" s="25" t="n"/>
      <c r="BK59" s="26" t="n">
        <v>-138</v>
      </c>
      <c r="BL59" s="27" t="n">
        <v>1.724638</v>
      </c>
      <c r="BM59" s="28" t="n">
        <v>0.579832</v>
      </c>
      <c r="BN59" s="28" t="n"/>
      <c r="BO59" s="28" t="n"/>
      <c r="BP59" s="25" t="n"/>
      <c r="BQ59" s="27" t="n">
        <v>1.724638</v>
      </c>
      <c r="BR59" s="28" t="n">
        <v>0.58</v>
      </c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False</t>
        </is>
      </c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inlineStr">
        <is>
          <t>0.579832</t>
        </is>
      </c>
      <c r="DK59" s="24" t="n"/>
      <c r="DL59" s="24" t="n"/>
      <c r="DM59" s="24" t="n"/>
      <c r="DN59" s="24" t="n"/>
      <c r="DO59" s="24" t="n"/>
      <c r="DP59" s="24" t="n"/>
      <c r="DQ59" s="24" t="n"/>
    </row>
    <row r="60" ht="36" customHeight="1">
      <c r="A60" s="24" t="inlineStr">
        <is>
          <t>3084acd2c1114e7f</t>
        </is>
      </c>
      <c r="B60" s="24" t="inlineStr">
        <is>
          <t>2026-08-15T21:07:37.341184Z</t>
        </is>
      </c>
      <c r="C60" s="24" t="inlineStr">
        <is>
          <t>2026-08-16T00:00:00Z</t>
        </is>
      </c>
      <c r="D60" s="24" t="inlineStr">
        <is>
          <t>81159</t>
        </is>
      </c>
      <c r="E60" s="24" t="inlineStr">
        <is>
          <t>VALORANT</t>
        </is>
      </c>
      <c r="F60" s="24" t="inlineStr">
        <is>
          <t>Sentinels</t>
        </is>
      </c>
      <c r="G60" s="24" t="inlineStr">
        <is>
          <t>Team Envy</t>
        </is>
      </c>
      <c r="H60" s="24" t="inlineStr">
        <is>
          <t>moneyline</t>
        </is>
      </c>
      <c r="I60" s="24" t="inlineStr">
        <is>
          <t>home</t>
        </is>
      </c>
      <c r="J60" s="25" t="n"/>
      <c r="K60" s="24" t="inlineStr">
        <is>
          <t>polymarket_us</t>
        </is>
      </c>
      <c r="L60" s="26" t="n">
        <v>194</v>
      </c>
      <c r="M60" s="27" t="n">
        <v>2.94</v>
      </c>
      <c r="N60" s="28" t="n">
        <v>0.340136</v>
      </c>
      <c r="O60" s="28" t="n">
        <v>0.578012</v>
      </c>
      <c r="P60" s="28" t="n"/>
      <c r="Q60" s="28" t="n">
        <v>0.237876</v>
      </c>
      <c r="R60" s="26" t="n">
        <v>100</v>
      </c>
      <c r="S60" s="29" t="n">
        <v>1.25</v>
      </c>
      <c r="T60" s="24" t="inlineStr">
        <is>
          <t>valorant-tiered-elo-v6</t>
        </is>
      </c>
      <c r="U60" s="24" t="inlineStr">
        <is>
          <t>settled</t>
        </is>
      </c>
      <c r="V60" s="24" t="inlineStr">
        <is>
          <t>win</t>
        </is>
      </c>
      <c r="W60" s="26" t="n">
        <v>0</v>
      </c>
      <c r="X60" s="26" t="n">
        <v>1</v>
      </c>
      <c r="Y60" s="25" t="n"/>
      <c r="Z60" s="26" t="n">
        <v>194</v>
      </c>
      <c r="AA60" s="28" t="n">
        <v>0.34</v>
      </c>
      <c r="AB60" s="28" t="n">
        <v>-0.000136</v>
      </c>
      <c r="AC60" s="30" t="n">
        <v>2.425</v>
      </c>
      <c r="AD60" s="24" t="inlineStr">
        <is>
          <t>2026-08-16T03:17:16.861423Z</t>
        </is>
      </c>
      <c r="AE60" s="31" t="inlineStr">
        <is>
          <t>Neutral Elo baseline; executable ask 0.3400 (market_slug=aec-valorant-nv-sen-2026-08-16).</t>
        </is>
      </c>
      <c r="AF60" s="31" t="inlineStr">
        <is>
          <t>Config-promoted esports baseline; gates enforced at log time.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model_qualified</t>
        </is>
      </c>
      <c r="AL60" s="26" t="n">
        <v>3</v>
      </c>
      <c r="AM60" s="24" t="inlineStr">
        <is>
          <t>QUALIFIED_SHADOW_CALL</t>
        </is>
      </c>
      <c r="AN60" s="24" t="inlineStr">
        <is>
          <t>CALL</t>
        </is>
      </c>
      <c r="AO60" s="24" t="inlineStr">
        <is>
          <t>QUALIFIED</t>
        </is>
      </c>
      <c r="AP60" s="24" t="inlineStr">
        <is>
          <t>Sentinels</t>
        </is>
      </c>
      <c r="AQ60" s="24" t="inlineStr">
        <is>
          <t>Sentinels</t>
        </is>
      </c>
      <c r="AR60" s="24" t="inlineStr">
        <is>
          <t>Sentinels</t>
        </is>
      </c>
      <c r="AS60" s="24" t="inlineStr">
        <is>
          <t>Team Envy</t>
        </is>
      </c>
      <c r="AT60" s="24" t="inlineStr">
        <is>
          <t>Team Envy</t>
        </is>
      </c>
      <c r="AU60" s="24" t="inlineStr">
        <is>
          <t>Team Envy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dbb3b6433bcdb4df5be47396fdb9949d7f012e879f379e2ba9e1ee5253efe89b</t>
        </is>
      </c>
      <c r="BB60" s="24" t="inlineStr">
        <is>
          <t>neutral_elo</t>
        </is>
      </c>
      <c r="BC60" s="24" t="inlineStr">
        <is>
          <t>valorant-tiered-elo-v6</t>
        </is>
      </c>
      <c r="BD60" s="24" t="inlineStr">
        <is>
          <t>dbb3b6433bcdb4df5be47396fdb9949d7f012e879f379e2ba9e1ee5253efe89b</t>
        </is>
      </c>
      <c r="BE60" s="24" t="inlineStr">
        <is>
          <t>1</t>
        </is>
      </c>
      <c r="BF60" s="24" t="inlineStr">
        <is>
          <t>1</t>
        </is>
      </c>
      <c r="BG60" s="24" t="inlineStr">
        <is>
          <t>valorant-tiered-elo-v6</t>
        </is>
      </c>
      <c r="BH60" s="24" t="inlineStr">
        <is>
          <t>2026-08-15T21:07:31.641095Z</t>
        </is>
      </c>
      <c r="BI60" s="24" t="inlineStr">
        <is>
          <t>["same_event","same_team_same_day","same_league_same_day"]</t>
        </is>
      </c>
      <c r="BJ60" s="25" t="n"/>
      <c r="BK60" s="26" t="n">
        <v>194</v>
      </c>
      <c r="BL60" s="27" t="n">
        <v>2.94</v>
      </c>
      <c r="BM60" s="28" t="n">
        <v>0.340136</v>
      </c>
      <c r="BN60" s="28" t="n"/>
      <c r="BO60" s="28" t="n"/>
      <c r="BP60" s="25" t="n"/>
      <c r="BQ60" s="27" t="n">
        <v>2.94</v>
      </c>
      <c r="BR60" s="28" t="n">
        <v>0.34</v>
      </c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True</t>
        </is>
      </c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inlineStr">
        <is>
          <t>0.340136</t>
        </is>
      </c>
      <c r="DK60" s="24" t="n"/>
      <c r="DL60" s="24" t="n"/>
      <c r="DM60" s="24" t="n"/>
      <c r="DN60" s="24" t="n"/>
      <c r="DO60" s="24" t="n"/>
      <c r="DP60" s="24" t="n"/>
      <c r="DQ60" s="24" t="n"/>
    </row>
    <row r="61" ht="36" customHeight="1">
      <c r="A61" s="24" t="inlineStr">
        <is>
          <t>ae5e8903f37c4ff1</t>
        </is>
      </c>
      <c r="B61" s="24" t="inlineStr">
        <is>
          <t>2026-08-16T06:25:42.422956Z</t>
        </is>
      </c>
      <c r="C61" s="24" t="inlineStr">
        <is>
          <t>2026-08-16T08:00:00Z</t>
        </is>
      </c>
      <c r="D61" s="24" t="inlineStr">
        <is>
          <t>81266</t>
        </is>
      </c>
      <c r="E61" s="24" t="inlineStr">
        <is>
          <t>VALORANT</t>
        </is>
      </c>
      <c r="F61" s="24" t="inlineStr">
        <is>
          <t>T1</t>
        </is>
      </c>
      <c r="G61" s="24" t="inlineStr">
        <is>
          <t>FULL SENSE</t>
        </is>
      </c>
      <c r="H61" s="24" t="inlineStr">
        <is>
          <t>moneyline</t>
        </is>
      </c>
      <c r="I61" s="24" t="inlineStr">
        <is>
          <t>away</t>
        </is>
      </c>
      <c r="J61" s="25" t="n"/>
      <c r="K61" s="24" t="inlineStr">
        <is>
          <t>polymarket_us</t>
        </is>
      </c>
      <c r="L61" s="26" t="n">
        <v>-186</v>
      </c>
      <c r="M61" s="27" t="n">
        <v>1.537634</v>
      </c>
      <c r="N61" s="28" t="n">
        <v>0.65035</v>
      </c>
      <c r="O61" s="28" t="n">
        <v>0.617934</v>
      </c>
      <c r="P61" s="28" t="n"/>
      <c r="Q61" s="28" t="n">
        <v>-0.032416</v>
      </c>
      <c r="R61" s="26" t="n">
        <v>4</v>
      </c>
      <c r="S61" s="29" t="n">
        <v>1.5</v>
      </c>
      <c r="T61" s="24" t="inlineStr">
        <is>
          <t>valorant-tiered-elo-v6</t>
        </is>
      </c>
      <c r="U61" s="24" t="inlineStr">
        <is>
          <t>settled</t>
        </is>
      </c>
      <c r="V61" s="24" t="inlineStr">
        <is>
          <t>win</t>
        </is>
      </c>
      <c r="W61" s="26" t="n">
        <v>1</v>
      </c>
      <c r="X61" s="26" t="n">
        <v>0</v>
      </c>
      <c r="Y61" s="25" t="n"/>
      <c r="Z61" s="26" t="n">
        <v>-186</v>
      </c>
      <c r="AA61" s="28" t="n">
        <v>0.65</v>
      </c>
      <c r="AB61" s="28" t="n">
        <v>-0.00035</v>
      </c>
      <c r="AC61" s="30" t="n">
        <v>0.8065</v>
      </c>
      <c r="AD61" s="24" t="inlineStr">
        <is>
          <t>2026-08-16T09:29:52.553546Z</t>
        </is>
      </c>
      <c r="AE61" s="31" t="inlineStr">
        <is>
          <t>Neutral Elo baseline; executable ask 0.6500 (market_slug=aec-valorant-fs-t1-2026-08-16).</t>
        </is>
      </c>
      <c r="AF61" s="31" t="inlineStr">
        <is>
          <t>Config-promoted esports baseline; gates enforced at log time.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paper_call</t>
        </is>
      </c>
      <c r="AL61" s="26" t="n">
        <v>3</v>
      </c>
      <c r="AM61" s="24" t="inlineStr">
        <is>
          <t>RESEARCH_OBSERVATION</t>
        </is>
      </c>
      <c r="AN61" s="24" t="inlineStr">
        <is>
          <t>CALL</t>
        </is>
      </c>
      <c r="AO61" s="24" t="inlineStr">
        <is>
          <t>PAPER_CALL_LOW_EDGE</t>
        </is>
      </c>
      <c r="AP61" s="24" t="inlineStr">
        <is>
          <t>T1</t>
        </is>
      </c>
      <c r="AQ61" s="24" t="inlineStr">
        <is>
          <t>T1</t>
        </is>
      </c>
      <c r="AR61" s="24" t="inlineStr">
        <is>
          <t>T1</t>
        </is>
      </c>
      <c r="AS61" s="24" t="inlineStr">
        <is>
          <t>FULL SENSE</t>
        </is>
      </c>
      <c r="AT61" s="24" t="inlineStr">
        <is>
          <t>FULL SENSE</t>
        </is>
      </c>
      <c r="AU61" s="24" t="inlineStr">
        <is>
          <t>FULL SENSE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ea89424e8f9aba327cdf1861839d3a6a9cfd985416ca99eaf03f78c7aeb72938</t>
        </is>
      </c>
      <c r="BB61" s="24" t="inlineStr">
        <is>
          <t>neutral_elo</t>
        </is>
      </c>
      <c r="BC61" s="24" t="inlineStr">
        <is>
          <t>valorant-tiered-elo-v6</t>
        </is>
      </c>
      <c r="BD61" s="24" t="inlineStr">
        <is>
          <t>ea89424e8f9aba327cdf1861839d3a6a9cfd985416ca99eaf03f78c7aeb72938</t>
        </is>
      </c>
      <c r="BE61" s="24" t="inlineStr">
        <is>
          <t>1</t>
        </is>
      </c>
      <c r="BF61" s="24" t="inlineStr">
        <is>
          <t>1</t>
        </is>
      </c>
      <c r="BG61" s="24" t="inlineStr">
        <is>
          <t>valorant-tiered-elo-v6</t>
        </is>
      </c>
      <c r="BH61" s="24" t="inlineStr">
        <is>
          <t>2026-08-16T06:25:33.336516Z</t>
        </is>
      </c>
      <c r="BI61" s="24" t="inlineStr">
        <is>
          <t>["same_event","same_team_same_day","same_league_same_day"]</t>
        </is>
      </c>
      <c r="BJ61" s="25" t="n"/>
      <c r="BK61" s="26" t="n">
        <v>-186</v>
      </c>
      <c r="BL61" s="27" t="n">
        <v>1.537634</v>
      </c>
      <c r="BM61" s="28" t="n">
        <v>0.65035</v>
      </c>
      <c r="BN61" s="28" t="n"/>
      <c r="BO61" s="28" t="n"/>
      <c r="BP61" s="25" t="n"/>
      <c r="BQ61" s="27" t="n">
        <v>1.537634</v>
      </c>
      <c r="BR61" s="28" t="n">
        <v>0.65</v>
      </c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False</t>
        </is>
      </c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inlineStr">
        <is>
          <t>0.65035</t>
        </is>
      </c>
      <c r="DK61" s="24" t="n"/>
      <c r="DL61" s="24" t="n"/>
      <c r="DM61" s="24" t="n"/>
      <c r="DN61" s="24" t="n"/>
      <c r="DO61" s="24" t="n"/>
      <c r="DP61" s="24" t="n"/>
      <c r="DQ61" s="24" t="n"/>
    </row>
    <row r="62" ht="36" customHeight="1">
      <c r="A62" s="24" t="inlineStr">
        <is>
          <t>939d0dbd7c4b4f46</t>
        </is>
      </c>
      <c r="B62" s="24" t="inlineStr">
        <is>
          <t>2026-08-16T06:25:42.422956Z</t>
        </is>
      </c>
      <c r="C62" s="24" t="inlineStr">
        <is>
          <t>2026-08-16T08:00:00Z</t>
        </is>
      </c>
      <c r="D62" s="24" t="inlineStr">
        <is>
          <t>81283</t>
        </is>
      </c>
      <c r="E62" s="24" t="inlineStr">
        <is>
          <t>VALORANT</t>
        </is>
      </c>
      <c r="F62" s="24" t="inlineStr">
        <is>
          <t>TEC Esports</t>
        </is>
      </c>
      <c r="G62" s="24" t="inlineStr">
        <is>
          <t>Nova Esports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-163</v>
      </c>
      <c r="M62" s="27" t="n">
        <v>1.613497</v>
      </c>
      <c r="N62" s="28" t="n">
        <v>0.619772</v>
      </c>
      <c r="O62" s="28" t="n">
        <v>0.681862</v>
      </c>
      <c r="P62" s="28" t="n"/>
      <c r="Q62" s="28" t="n">
        <v>0.06209</v>
      </c>
      <c r="R62" s="26" t="n">
        <v>51</v>
      </c>
      <c r="S62" s="29" t="n">
        <v>2</v>
      </c>
      <c r="T62" s="24" t="inlineStr">
        <is>
          <t>valorant-tiered-elo-v6</t>
        </is>
      </c>
      <c r="U62" s="24" t="inlineStr">
        <is>
          <t>settled</t>
        </is>
      </c>
      <c r="V62" s="24" t="inlineStr">
        <is>
          <t>win</t>
        </is>
      </c>
      <c r="W62" s="26" t="n">
        <v>0</v>
      </c>
      <c r="X62" s="26" t="n">
        <v>1</v>
      </c>
      <c r="Y62" s="25" t="n"/>
      <c r="Z62" s="26" t="n">
        <v>-163</v>
      </c>
      <c r="AA62" s="28" t="n">
        <v>0.62</v>
      </c>
      <c r="AB62" s="28" t="n">
        <v>0.000228</v>
      </c>
      <c r="AC62" s="30" t="n">
        <v>1.227</v>
      </c>
      <c r="AD62" s="24" t="inlineStr">
        <is>
          <t>2026-08-16T14:32:05.231610Z</t>
        </is>
      </c>
      <c r="AE62" s="31" t="inlineStr">
        <is>
          <t>Neutral Elo baseline; executable ask 0.6200 (market_slug=aec-valorant-nova-tec-2026-08-16).</t>
        </is>
      </c>
      <c r="AF62" s="31" t="inlineStr">
        <is>
          <t>Config-promoted esports baseline; gates enforced at log time.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model_qualified</t>
        </is>
      </c>
      <c r="AL62" s="26" t="n">
        <v>3</v>
      </c>
      <c r="AM62" s="24" t="inlineStr">
        <is>
          <t>QUALIFIED_SHADOW_CALL</t>
        </is>
      </c>
      <c r="AN62" s="24" t="inlineStr">
        <is>
          <t>CALL</t>
        </is>
      </c>
      <c r="AO62" s="24" t="inlineStr">
        <is>
          <t>QUALIFIED</t>
        </is>
      </c>
      <c r="AP62" s="24" t="inlineStr">
        <is>
          <t>TEC Esports</t>
        </is>
      </c>
      <c r="AQ62" s="24" t="inlineStr">
        <is>
          <t>TEC Esports</t>
        </is>
      </c>
      <c r="AR62" s="24" t="inlineStr">
        <is>
          <t>TEC Esports</t>
        </is>
      </c>
      <c r="AS62" s="24" t="inlineStr">
        <is>
          <t>Nova Esports</t>
        </is>
      </c>
      <c r="AT62" s="24" t="inlineStr">
        <is>
          <t>Nova Esports</t>
        </is>
      </c>
      <c r="AU62" s="24" t="inlineStr">
        <is>
          <t>Nova Esports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ea89424e8f9aba327cdf1861839d3a6a9cfd985416ca99eaf03f78c7aeb72938</t>
        </is>
      </c>
      <c r="BB62" s="24" t="inlineStr">
        <is>
          <t>neutral_elo</t>
        </is>
      </c>
      <c r="BC62" s="24" t="inlineStr">
        <is>
          <t>valorant-tiered-elo-v6</t>
        </is>
      </c>
      <c r="BD62" s="24" t="inlineStr">
        <is>
          <t>ea89424e8f9aba327cdf1861839d3a6a9cfd985416ca99eaf03f78c7aeb72938</t>
        </is>
      </c>
      <c r="BE62" s="24" t="inlineStr">
        <is>
          <t>1</t>
        </is>
      </c>
      <c r="BF62" s="24" t="inlineStr">
        <is>
          <t>1</t>
        </is>
      </c>
      <c r="BG62" s="24" t="inlineStr">
        <is>
          <t>valorant-tiered-elo-v6</t>
        </is>
      </c>
      <c r="BH62" s="24" t="inlineStr">
        <is>
          <t>2026-08-16T06:25:34.091975Z</t>
        </is>
      </c>
      <c r="BI62" s="24" t="inlineStr">
        <is>
          <t>["same_event","same_team_same_day","same_league_same_day"]</t>
        </is>
      </c>
      <c r="BJ62" s="25" t="n"/>
      <c r="BK62" s="26" t="n">
        <v>-163</v>
      </c>
      <c r="BL62" s="27" t="n">
        <v>1.613497</v>
      </c>
      <c r="BM62" s="28" t="n">
        <v>0.619772</v>
      </c>
      <c r="BN62" s="28" t="n"/>
      <c r="BO62" s="28" t="n"/>
      <c r="BP62" s="25" t="n"/>
      <c r="BQ62" s="27" t="n">
        <v>1.613497</v>
      </c>
      <c r="BR62" s="28" t="n">
        <v>0.62</v>
      </c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True</t>
        </is>
      </c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inlineStr">
        <is>
          <t>0.619772</t>
        </is>
      </c>
      <c r="DK62" s="24" t="n"/>
      <c r="DL62" s="24" t="n"/>
      <c r="DM62" s="24" t="n"/>
      <c r="DN62" s="24" t="n"/>
      <c r="DO62" s="24" t="n"/>
      <c r="DP62" s="24" t="n"/>
      <c r="DQ62" s="24" t="n"/>
    </row>
    <row r="63" ht="36" customHeight="1">
      <c r="A63" s="24" t="inlineStr">
        <is>
          <t>eef998f597224654</t>
        </is>
      </c>
      <c r="B63" s="24" t="inlineStr">
        <is>
          <t>2026-08-16T09:37:02.120391Z</t>
        </is>
      </c>
      <c r="C63" s="24" t="inlineStr">
        <is>
          <t>2026-08-16T10:00:00Z</t>
        </is>
      </c>
      <c r="D63" s="24" t="inlineStr">
        <is>
          <t>82103</t>
        </is>
      </c>
      <c r="E63" s="24" t="inlineStr">
        <is>
          <t>VALORANT</t>
        </is>
      </c>
      <c r="F63" s="24" t="inlineStr">
        <is>
          <t>All Gamers</t>
        </is>
      </c>
      <c r="G63" s="24" t="inlineStr">
        <is>
          <t>Trace Esports</t>
        </is>
      </c>
      <c r="H63" s="24" t="inlineStr">
        <is>
          <t>moneyline</t>
        </is>
      </c>
      <c r="I63" s="24" t="inlineStr">
        <is>
          <t>away</t>
        </is>
      </c>
      <c r="J63" s="25" t="n"/>
      <c r="K63" s="24" t="inlineStr">
        <is>
          <t>polymarket_us</t>
        </is>
      </c>
      <c r="L63" s="26" t="n">
        <v>-213</v>
      </c>
      <c r="M63" s="27" t="n">
        <v>1.469484</v>
      </c>
      <c r="N63" s="28" t="n">
        <v>0.680511</v>
      </c>
      <c r="O63" s="28" t="n">
        <v>0.5437070000000001</v>
      </c>
      <c r="P63" s="28" t="n"/>
      <c r="Q63" s="28" t="n">
        <v>-0.136804</v>
      </c>
      <c r="R63" s="26" t="n">
        <v>0</v>
      </c>
      <c r="S63" s="29" t="n">
        <v>1</v>
      </c>
      <c r="T63" s="24" t="inlineStr">
        <is>
          <t>valorant-tiered-elo-v6</t>
        </is>
      </c>
      <c r="U63" s="24" t="inlineStr">
        <is>
          <t>settled</t>
        </is>
      </c>
      <c r="V63" s="24" t="inlineStr">
        <is>
          <t>win</t>
        </is>
      </c>
      <c r="W63" s="26" t="n">
        <v>1</v>
      </c>
      <c r="X63" s="26" t="n">
        <v>0</v>
      </c>
      <c r="Y63" s="25" t="n"/>
      <c r="Z63" s="26" t="n">
        <v>-213</v>
      </c>
      <c r="AA63" s="28" t="n">
        <v>0.68</v>
      </c>
      <c r="AB63" s="28" t="n">
        <v>-0.000511</v>
      </c>
      <c r="AC63" s="30" t="n">
        <v>0.4695</v>
      </c>
      <c r="AD63" s="24" t="inlineStr">
        <is>
          <t>2026-08-16T14:32:06.901965Z</t>
        </is>
      </c>
      <c r="AE63" s="31" t="inlineStr">
        <is>
          <t>Neutral Elo baseline; executable ask 0.6800 (market_slug=aec-valorant-te-ag-2026-08-16).</t>
        </is>
      </c>
      <c r="AF63" s="31" t="inlineStr">
        <is>
          <t>Config-promoted esports baseline; gates enforced at log time.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paper_call</t>
        </is>
      </c>
      <c r="AL63" s="26" t="n">
        <v>3</v>
      </c>
      <c r="AM63" s="24" t="inlineStr">
        <is>
          <t>RESEARCH_OBSERVATION</t>
        </is>
      </c>
      <c r="AN63" s="24" t="inlineStr">
        <is>
          <t>CALL</t>
        </is>
      </c>
      <c r="AO63" s="24" t="inlineStr">
        <is>
          <t>PAPER_CALL_LOW_EDGE</t>
        </is>
      </c>
      <c r="AP63" s="24" t="inlineStr">
        <is>
          <t>All Gamers</t>
        </is>
      </c>
      <c r="AQ63" s="24" t="inlineStr">
        <is>
          <t>All Gamers</t>
        </is>
      </c>
      <c r="AR63" s="24" t="inlineStr">
        <is>
          <t>All Gamers</t>
        </is>
      </c>
      <c r="AS63" s="24" t="inlineStr">
        <is>
          <t>Trace Esports</t>
        </is>
      </c>
      <c r="AT63" s="24" t="inlineStr">
        <is>
          <t>Trace Esports</t>
        </is>
      </c>
      <c r="AU63" s="24" t="inlineStr">
        <is>
          <t>Trace Esports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9b14bd8f4aa99c5fcee11367d5540281124223669f3ba889a3e7c0c38feef63a</t>
        </is>
      </c>
      <c r="BB63" s="24" t="inlineStr">
        <is>
          <t>neutral_elo</t>
        </is>
      </c>
      <c r="BC63" s="24" t="inlineStr">
        <is>
          <t>valorant-tiered-elo-v6</t>
        </is>
      </c>
      <c r="BD63" s="24" t="inlineStr">
        <is>
          <t>9b14bd8f4aa99c5fcee11367d5540281124223669f3ba889a3e7c0c38feef63a</t>
        </is>
      </c>
      <c r="BE63" s="24" t="inlineStr">
        <is>
          <t>1</t>
        </is>
      </c>
      <c r="BF63" s="24" t="inlineStr">
        <is>
          <t>1</t>
        </is>
      </c>
      <c r="BG63" s="24" t="inlineStr">
        <is>
          <t>valorant-tiered-elo-v6</t>
        </is>
      </c>
      <c r="BH63" s="24" t="inlineStr">
        <is>
          <t>2026-08-16T09:36:54.980539Z</t>
        </is>
      </c>
      <c r="BI63" s="24" t="inlineStr">
        <is>
          <t>["same_event","same_team_same_day","same_league_same_day"]</t>
        </is>
      </c>
      <c r="BJ63" s="25" t="n"/>
      <c r="BK63" s="26" t="n">
        <v>-213</v>
      </c>
      <c r="BL63" s="27" t="n">
        <v>1.469484</v>
      </c>
      <c r="BM63" s="28" t="n">
        <v>0.680511</v>
      </c>
      <c r="BN63" s="28" t="n"/>
      <c r="BO63" s="28" t="n"/>
      <c r="BP63" s="25" t="n"/>
      <c r="BQ63" s="27" t="n">
        <v>1.469484</v>
      </c>
      <c r="BR63" s="28" t="n">
        <v>0.68</v>
      </c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False</t>
        </is>
      </c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inlineStr">
        <is>
          <t>0.680511</t>
        </is>
      </c>
      <c r="DK63" s="24" t="n"/>
      <c r="DL63" s="24" t="n"/>
      <c r="DM63" s="24" t="n"/>
      <c r="DN63" s="24" t="n"/>
      <c r="DO63" s="24" t="n"/>
      <c r="DP63" s="24" t="n"/>
      <c r="DQ63" s="24" t="n"/>
    </row>
    <row r="64" ht="36" customHeight="1">
      <c r="A64" s="24" t="inlineStr">
        <is>
          <t>351accc270ad46e2</t>
        </is>
      </c>
      <c r="B64" s="24" t="inlineStr">
        <is>
          <t>2026-08-16T09:37:02.120391Z</t>
        </is>
      </c>
      <c r="C64" s="24" t="inlineStr">
        <is>
          <t>2026-08-16T13:00:00Z</t>
        </is>
      </c>
      <c r="D64" s="24" t="inlineStr">
        <is>
          <t>82859</t>
        </is>
      </c>
      <c r="E64" s="24" t="inlineStr">
        <is>
          <t>VALORANT</t>
        </is>
      </c>
      <c r="F64" s="24" t="inlineStr">
        <is>
          <t>Eintracht Frankfurt</t>
        </is>
      </c>
      <c r="G64" s="24" t="inlineStr">
        <is>
          <t>Eternal Fire</t>
        </is>
      </c>
      <c r="H64" s="24" t="inlineStr">
        <is>
          <t>moneyline</t>
        </is>
      </c>
      <c r="I64" s="24" t="inlineStr">
        <is>
          <t>away</t>
        </is>
      </c>
      <c r="J64" s="25" t="n"/>
      <c r="K64" s="24" t="inlineStr">
        <is>
          <t>polymarket_us</t>
        </is>
      </c>
      <c r="L64" s="26" t="n">
        <v>117</v>
      </c>
      <c r="M64" s="27" t="n">
        <v>2.17</v>
      </c>
      <c r="N64" s="28" t="n">
        <v>0.460829</v>
      </c>
      <c r="O64" s="28" t="n">
        <v>0.643495</v>
      </c>
      <c r="P64" s="28" t="n"/>
      <c r="Q64" s="28" t="n">
        <v>0.182666</v>
      </c>
      <c r="R64" s="26" t="n">
        <v>100</v>
      </c>
      <c r="S64" s="29" t="n">
        <v>1.5</v>
      </c>
      <c r="T64" s="24" t="inlineStr">
        <is>
          <t>valorant-tiered-elo-v6</t>
        </is>
      </c>
      <c r="U64" s="24" t="inlineStr">
        <is>
          <t>settled</t>
        </is>
      </c>
      <c r="V64" s="24" t="inlineStr">
        <is>
          <t>win</t>
        </is>
      </c>
      <c r="W64" s="26" t="n">
        <v>1</v>
      </c>
      <c r="X64" s="26" t="n">
        <v>0</v>
      </c>
      <c r="Y64" s="25" t="n"/>
      <c r="Z64" s="26" t="n">
        <v>117</v>
      </c>
      <c r="AA64" s="28" t="n">
        <v>0.46</v>
      </c>
      <c r="AB64" s="28" t="n">
        <v>-0.000829</v>
      </c>
      <c r="AC64" s="30" t="n">
        <v>1.755</v>
      </c>
      <c r="AD64" s="24" t="inlineStr">
        <is>
          <t>2026-08-16T17:41:50.770232Z</t>
        </is>
      </c>
      <c r="AE64" s="31" t="inlineStr">
        <is>
          <t>Neutral Elo baseline; executable ask 0.4600 (market_slug=aec-valorant-ef-sge-2026-08-16).</t>
        </is>
      </c>
      <c r="AF64" s="31" t="inlineStr">
        <is>
          <t>Config-promoted esports baseline; gates enforced at log time.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model_qualified</t>
        </is>
      </c>
      <c r="AL64" s="26" t="n">
        <v>3</v>
      </c>
      <c r="AM64" s="24" t="inlineStr">
        <is>
          <t>QUALIFIED_SHADOW_CALL</t>
        </is>
      </c>
      <c r="AN64" s="24" t="inlineStr">
        <is>
          <t>CALL</t>
        </is>
      </c>
      <c r="AO64" s="24" t="inlineStr">
        <is>
          <t>QUALIFIED</t>
        </is>
      </c>
      <c r="AP64" s="24" t="inlineStr">
        <is>
          <t>Eintracht Frankfurt</t>
        </is>
      </c>
      <c r="AQ64" s="24" t="inlineStr">
        <is>
          <t>Eintracht Frankfurt</t>
        </is>
      </c>
      <c r="AR64" s="24" t="inlineStr">
        <is>
          <t>Eintracht Frankfurt</t>
        </is>
      </c>
      <c r="AS64" s="24" t="inlineStr">
        <is>
          <t>Eternal Fire</t>
        </is>
      </c>
      <c r="AT64" s="24" t="inlineStr">
        <is>
          <t>Eternal Fire</t>
        </is>
      </c>
      <c r="AU64" s="24" t="inlineStr">
        <is>
          <t>Eternal Fire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9b14bd8f4aa99c5fcee11367d5540281124223669f3ba889a3e7c0c38feef63a</t>
        </is>
      </c>
      <c r="BB64" s="24" t="inlineStr">
        <is>
          <t>neutral_elo</t>
        </is>
      </c>
      <c r="BC64" s="24" t="inlineStr">
        <is>
          <t>valorant-tiered-elo-v6</t>
        </is>
      </c>
      <c r="BD64" s="24" t="inlineStr">
        <is>
          <t>9b14bd8f4aa99c5fcee11367d5540281124223669f3ba889a3e7c0c38feef63a</t>
        </is>
      </c>
      <c r="BE64" s="24" t="inlineStr">
        <is>
          <t>1</t>
        </is>
      </c>
      <c r="BF64" s="24" t="inlineStr">
        <is>
          <t>1</t>
        </is>
      </c>
      <c r="BG64" s="24" t="inlineStr">
        <is>
          <t>valorant-tiered-elo-v6</t>
        </is>
      </c>
      <c r="BH64" s="24" t="inlineStr">
        <is>
          <t>2026-08-16T09:36:56.205280Z</t>
        </is>
      </c>
      <c r="BI64" s="24" t="inlineStr">
        <is>
          <t>["same_event","same_team_same_day","same_league_same_day"]</t>
        </is>
      </c>
      <c r="BJ64" s="25" t="n"/>
      <c r="BK64" s="26" t="n">
        <v>117</v>
      </c>
      <c r="BL64" s="27" t="n">
        <v>2.17</v>
      </c>
      <c r="BM64" s="28" t="n">
        <v>0.460829</v>
      </c>
      <c r="BN64" s="28" t="n"/>
      <c r="BO64" s="28" t="n"/>
      <c r="BP64" s="25" t="n"/>
      <c r="BQ64" s="27" t="n">
        <v>2.17</v>
      </c>
      <c r="BR64" s="28" t="n">
        <v>0.46</v>
      </c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True</t>
        </is>
      </c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inlineStr">
        <is>
          <t>0.460829</t>
        </is>
      </c>
      <c r="DK64" s="24" t="n"/>
      <c r="DL64" s="24" t="n"/>
      <c r="DM64" s="24" t="n"/>
      <c r="DN64" s="24" t="n"/>
      <c r="DO64" s="24" t="n"/>
      <c r="DP64" s="24" t="n"/>
      <c r="DQ64" s="24" t="n"/>
    </row>
    <row r="65" ht="36" customHeight="1">
      <c r="A65" s="24" t="inlineStr">
        <is>
          <t>34f3745816de4fa3</t>
        </is>
      </c>
      <c r="B65" s="24" t="inlineStr">
        <is>
          <t>2026-08-16T14:37:18.048442Z</t>
        </is>
      </c>
      <c r="C65" s="24" t="inlineStr">
        <is>
          <t>2026-08-16T15:00:00Z</t>
        </is>
      </c>
      <c r="D65" s="24" t="inlineStr">
        <is>
          <t>80983</t>
        </is>
      </c>
      <c r="E65" s="24" t="inlineStr">
        <is>
          <t>VALORANT</t>
        </is>
      </c>
      <c r="F65" s="24" t="inlineStr">
        <is>
          <t>Gentle Mates GC</t>
        </is>
      </c>
      <c r="G65" s="24" t="inlineStr">
        <is>
          <t>G2 Gozen</t>
        </is>
      </c>
      <c r="H65" s="24" t="inlineStr">
        <is>
          <t>moneyline</t>
        </is>
      </c>
      <c r="I65" s="24" t="inlineStr">
        <is>
          <t>home</t>
        </is>
      </c>
      <c r="J65" s="25" t="n"/>
      <c r="K65" s="24" t="inlineStr">
        <is>
          <t>polymarket_us</t>
        </is>
      </c>
      <c r="L65" s="26" t="n">
        <v>-113</v>
      </c>
      <c r="M65" s="27" t="n">
        <v>1.884956</v>
      </c>
      <c r="N65" s="28" t="n">
        <v>0.530516</v>
      </c>
      <c r="O65" s="28" t="n">
        <v>0.520455</v>
      </c>
      <c r="P65" s="28" t="n"/>
      <c r="Q65" s="28" t="n">
        <v>-0.010061</v>
      </c>
      <c r="R65" s="26" t="n">
        <v>15</v>
      </c>
      <c r="S65" s="29" t="n">
        <v>1</v>
      </c>
      <c r="T65" s="24" t="inlineStr">
        <is>
          <t>valorant-tiered-elo-v6</t>
        </is>
      </c>
      <c r="U65" s="24" t="inlineStr">
        <is>
          <t>settled</t>
        </is>
      </c>
      <c r="V65" s="24" t="inlineStr">
        <is>
          <t>loss</t>
        </is>
      </c>
      <c r="W65" s="26" t="n">
        <v>1</v>
      </c>
      <c r="X65" s="26" t="n">
        <v>0</v>
      </c>
      <c r="Y65" s="25" t="n"/>
      <c r="Z65" s="26" t="n">
        <v>-113</v>
      </c>
      <c r="AA65" s="28" t="n">
        <v>0.53</v>
      </c>
      <c r="AB65" s="28" t="n">
        <v>-0.000516</v>
      </c>
      <c r="AC65" s="30" t="n">
        <v>-1</v>
      </c>
      <c r="AD65" s="24" t="inlineStr">
        <is>
          <t>2026-08-17T05:30:26.612511Z</t>
        </is>
      </c>
      <c r="AE65" s="31" t="inlineStr">
        <is>
          <t>Neutral Elo baseline; executable ask 0.5300 (market_slug=aec-valorant-ggo-m8gc-2026-08-16).</t>
        </is>
      </c>
      <c r="AF65" s="31" t="inlineStr">
        <is>
          <t>Config-promoted esports baseline; gates enforced at log time.</t>
        </is>
      </c>
      <c r="AG65" s="24" t="inlineStr">
        <is>
          <t>review_required</t>
        </is>
      </c>
      <c r="AH65" s="24" t="n"/>
      <c r="AI65" s="31" t="n"/>
      <c r="AJ65" s="31" t="n"/>
      <c r="AK65" s="24" t="inlineStr">
        <is>
          <t>paper_call</t>
        </is>
      </c>
      <c r="AL65" s="26" t="n">
        <v>3</v>
      </c>
      <c r="AM65" s="24" t="inlineStr">
        <is>
          <t>RESEARCH_OBSERVATION</t>
        </is>
      </c>
      <c r="AN65" s="24" t="inlineStr">
        <is>
          <t>CALL</t>
        </is>
      </c>
      <c r="AO65" s="24" t="inlineStr">
        <is>
          <t>PAPER_CALL_LOW_EDGE</t>
        </is>
      </c>
      <c r="AP65" s="24" t="inlineStr">
        <is>
          <t>Gentle Mates GC</t>
        </is>
      </c>
      <c r="AQ65" s="24" t="inlineStr">
        <is>
          <t>Gentle Mates GC</t>
        </is>
      </c>
      <c r="AR65" s="24" t="inlineStr">
        <is>
          <t>Gentle Mates GC</t>
        </is>
      </c>
      <c r="AS65" s="24" t="inlineStr">
        <is>
          <t>G2 Gozen</t>
        </is>
      </c>
      <c r="AT65" s="24" t="inlineStr">
        <is>
          <t>G2 Gozen</t>
        </is>
      </c>
      <c r="AU65" s="24" t="inlineStr">
        <is>
          <t>G2 Gozen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7189be839fd3e50a6ce4d8d11aa67e8238e02645f50570fd792145fb4abfdf3c</t>
        </is>
      </c>
      <c r="BB65" s="24" t="inlineStr">
        <is>
          <t>neutral_elo</t>
        </is>
      </c>
      <c r="BC65" s="24" t="inlineStr">
        <is>
          <t>valorant-tiered-elo-v6</t>
        </is>
      </c>
      <c r="BD65" s="24" t="inlineStr">
        <is>
          <t>7189be839fd3e50a6ce4d8d11aa67e8238e02645f50570fd792145fb4abfdf3c</t>
        </is>
      </c>
      <c r="BE65" s="24" t="inlineStr">
        <is>
          <t>1</t>
        </is>
      </c>
      <c r="BF65" s="24" t="inlineStr">
        <is>
          <t>1</t>
        </is>
      </c>
      <c r="BG65" s="24" t="inlineStr">
        <is>
          <t>valorant-tiered-elo-v6</t>
        </is>
      </c>
      <c r="BH65" s="24" t="inlineStr">
        <is>
          <t>2026-08-16T14:37:11.470844Z</t>
        </is>
      </c>
      <c r="BI65" s="24" t="inlineStr">
        <is>
          <t>["same_event","same_team_same_day","same_league_same_day"]</t>
        </is>
      </c>
      <c r="BJ65" s="25" t="n"/>
      <c r="BK65" s="26" t="n">
        <v>-113</v>
      </c>
      <c r="BL65" s="27" t="n">
        <v>1.884956</v>
      </c>
      <c r="BM65" s="28" t="n">
        <v>0.530516</v>
      </c>
      <c r="BN65" s="28" t="n"/>
      <c r="BO65" s="28" t="n"/>
      <c r="BP65" s="25" t="n"/>
      <c r="BQ65" s="27" t="n">
        <v>1.884956</v>
      </c>
      <c r="BR65" s="28" t="n">
        <v>0.53</v>
      </c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False</t>
        </is>
      </c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inlineStr">
        <is>
          <t>0.530516</t>
        </is>
      </c>
      <c r="DK65" s="24" t="n"/>
      <c r="DL65" s="24" t="n"/>
      <c r="DM65" s="24" t="n"/>
      <c r="DN65" s="24" t="n"/>
      <c r="DO65" s="24" t="n"/>
      <c r="DP65" s="24" t="n"/>
      <c r="DQ65" s="24" t="n"/>
    </row>
    <row r="66" ht="36" customHeight="1">
      <c r="A66" s="24" t="inlineStr">
        <is>
          <t>c9c7bc9205334627</t>
        </is>
      </c>
      <c r="B66" s="24" t="inlineStr">
        <is>
          <t>2026-08-16T14:37:18.048442Z</t>
        </is>
      </c>
      <c r="C66" s="24" t="inlineStr">
        <is>
          <t>2026-08-16T16:00:00Z</t>
        </is>
      </c>
      <c r="D66" s="24" t="inlineStr">
        <is>
          <t>82860</t>
        </is>
      </c>
      <c r="E66" s="24" t="inlineStr">
        <is>
          <t>VALORANT</t>
        </is>
      </c>
      <c r="F66" s="24" t="inlineStr">
        <is>
          <t>Joblife</t>
        </is>
      </c>
      <c r="G66" s="24" t="inlineStr">
        <is>
          <t>Fire Flux Esports</t>
        </is>
      </c>
      <c r="H66" s="24" t="inlineStr">
        <is>
          <t>moneyline</t>
        </is>
      </c>
      <c r="I66" s="24" t="inlineStr">
        <is>
          <t>away</t>
        </is>
      </c>
      <c r="J66" s="25" t="n"/>
      <c r="K66" s="24" t="inlineStr">
        <is>
          <t>polymarket_us</t>
        </is>
      </c>
      <c r="L66" s="26" t="n">
        <v>104</v>
      </c>
      <c r="M66" s="27" t="n">
        <v>2.04</v>
      </c>
      <c r="N66" s="28" t="n">
        <v>0.490196</v>
      </c>
      <c r="O66" s="28" t="n">
        <v>0.711539</v>
      </c>
      <c r="P66" s="28" t="n"/>
      <c r="Q66" s="28" t="n">
        <v>0.221343</v>
      </c>
      <c r="R66" s="26" t="n">
        <v>100</v>
      </c>
      <c r="S66" s="29" t="n">
        <v>2</v>
      </c>
      <c r="T66" s="24" t="inlineStr">
        <is>
          <t>valorant-tiered-elo-v6</t>
        </is>
      </c>
      <c r="U66" s="24" t="inlineStr">
        <is>
          <t>settled</t>
        </is>
      </c>
      <c r="V66" s="24" t="inlineStr">
        <is>
          <t>loss</t>
        </is>
      </c>
      <c r="W66" s="26" t="n">
        <v>0</v>
      </c>
      <c r="X66" s="26" t="n">
        <v>1</v>
      </c>
      <c r="Y66" s="25" t="n"/>
      <c r="Z66" s="26" t="n">
        <v>104</v>
      </c>
      <c r="AA66" s="28" t="n">
        <v>0.49</v>
      </c>
      <c r="AB66" s="28" t="n">
        <v>-0.000196</v>
      </c>
      <c r="AC66" s="30" t="n">
        <v>-2</v>
      </c>
      <c r="AD66" s="24" t="inlineStr">
        <is>
          <t>2026-08-16T17:41:53.504002Z</t>
        </is>
      </c>
      <c r="AE66" s="31" t="inlineStr">
        <is>
          <t>Neutral Elo baseline; executable ask 0.4900 (market_slug=aec-valorant-ff-jl-2026-08-16).</t>
        </is>
      </c>
      <c r="AF66" s="31" t="inlineStr">
        <is>
          <t>Config-promoted esports baseline; gates enforced at log time.</t>
        </is>
      </c>
      <c r="AG66" s="24" t="inlineStr">
        <is>
          <t>review_required</t>
        </is>
      </c>
      <c r="AH66" s="24" t="n"/>
      <c r="AI66" s="31" t="n"/>
      <c r="AJ66" s="31" t="n"/>
      <c r="AK66" s="24" t="inlineStr">
        <is>
          <t>model_qualified</t>
        </is>
      </c>
      <c r="AL66" s="26" t="n">
        <v>3</v>
      </c>
      <c r="AM66" s="24" t="inlineStr">
        <is>
          <t>QUALIFIED_SHADOW_CALL</t>
        </is>
      </c>
      <c r="AN66" s="24" t="inlineStr">
        <is>
          <t>CALL</t>
        </is>
      </c>
      <c r="AO66" s="24" t="inlineStr">
        <is>
          <t>QUALIFIED</t>
        </is>
      </c>
      <c r="AP66" s="24" t="inlineStr">
        <is>
          <t>Joblife</t>
        </is>
      </c>
      <c r="AQ66" s="24" t="inlineStr">
        <is>
          <t>Joblife</t>
        </is>
      </c>
      <c r="AR66" s="24" t="inlineStr">
        <is>
          <t>Joblife</t>
        </is>
      </c>
      <c r="AS66" s="24" t="inlineStr">
        <is>
          <t>Fire Flux Esports</t>
        </is>
      </c>
      <c r="AT66" s="24" t="inlineStr">
        <is>
          <t>Fire Flux Esports</t>
        </is>
      </c>
      <c r="AU66" s="24" t="inlineStr">
        <is>
          <t>Fire Flux Esports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7189be839fd3e50a6ce4d8d11aa67e8238e02645f50570fd792145fb4abfdf3c</t>
        </is>
      </c>
      <c r="BB66" s="24" t="inlineStr">
        <is>
          <t>neutral_elo</t>
        </is>
      </c>
      <c r="BC66" s="24" t="inlineStr">
        <is>
          <t>valorant-tiered-elo-v6</t>
        </is>
      </c>
      <c r="BD66" s="24" t="inlineStr">
        <is>
          <t>7189be839fd3e50a6ce4d8d11aa67e8238e02645f50570fd792145fb4abfdf3c</t>
        </is>
      </c>
      <c r="BE66" s="24" t="inlineStr">
        <is>
          <t>1</t>
        </is>
      </c>
      <c r="BF66" s="24" t="inlineStr">
        <is>
          <t>1</t>
        </is>
      </c>
      <c r="BG66" s="24" t="inlineStr">
        <is>
          <t>valorant-tiered-elo-v6</t>
        </is>
      </c>
      <c r="BH66" s="24" t="inlineStr">
        <is>
          <t>2026-08-16T14:37:12.084622Z</t>
        </is>
      </c>
      <c r="BI66" s="24" t="inlineStr">
        <is>
          <t>["same_event","same_team_same_day","same_league_same_day"]</t>
        </is>
      </c>
      <c r="BJ66" s="25" t="n"/>
      <c r="BK66" s="26" t="n">
        <v>104</v>
      </c>
      <c r="BL66" s="27" t="n">
        <v>2.04</v>
      </c>
      <c r="BM66" s="28" t="n">
        <v>0.490196</v>
      </c>
      <c r="BN66" s="28" t="n"/>
      <c r="BO66" s="28" t="n"/>
      <c r="BP66" s="25" t="n"/>
      <c r="BQ66" s="27" t="n">
        <v>2.04</v>
      </c>
      <c r="BR66" s="28" t="n">
        <v>0.49</v>
      </c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True</t>
        </is>
      </c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inlineStr">
        <is>
          <t>0.490196</t>
        </is>
      </c>
      <c r="DK66" s="24" t="n"/>
      <c r="DL66" s="24" t="n"/>
      <c r="DM66" s="24" t="n"/>
      <c r="DN66" s="24" t="n"/>
      <c r="DO66" s="24" t="n"/>
      <c r="DP66" s="24" t="n"/>
      <c r="DQ66" s="24" t="n"/>
    </row>
    <row r="67" ht="36" customHeight="1">
      <c r="A67" s="24" t="inlineStr">
        <is>
          <t>2af2256a55304742</t>
        </is>
      </c>
      <c r="B67" s="24" t="inlineStr">
        <is>
          <t>2026-08-16T14:37:18.048442Z</t>
        </is>
      </c>
      <c r="C67" s="24" t="inlineStr">
        <is>
          <t>2026-08-16T17:00:00Z</t>
        </is>
      </c>
      <c r="D67" s="24" t="inlineStr">
        <is>
          <t>81760</t>
        </is>
      </c>
      <c r="E67" s="24" t="inlineStr">
        <is>
          <t>VALORANT</t>
        </is>
      </c>
      <c r="F67" s="24" t="inlineStr">
        <is>
          <t>SK Nebula</t>
        </is>
      </c>
      <c r="G67" s="24" t="inlineStr">
        <is>
          <t>GIANTX GC</t>
        </is>
      </c>
      <c r="H67" s="24" t="inlineStr">
        <is>
          <t>moneyline</t>
        </is>
      </c>
      <c r="I67" s="24" t="inlineStr">
        <is>
          <t>away</t>
        </is>
      </c>
      <c r="J67" s="25" t="n"/>
      <c r="K67" s="24" t="inlineStr">
        <is>
          <t>polymarket_us</t>
        </is>
      </c>
      <c r="L67" s="26" t="n">
        <v>-203</v>
      </c>
      <c r="M67" s="27" t="n">
        <v>1.492611</v>
      </c>
      <c r="N67" s="28" t="n">
        <v>0.669967</v>
      </c>
      <c r="O67" s="28" t="n">
        <v>0.619238</v>
      </c>
      <c r="P67" s="28" t="n"/>
      <c r="Q67" s="28" t="n">
        <v>-0.050729</v>
      </c>
      <c r="R67" s="26" t="n">
        <v>0</v>
      </c>
      <c r="S67" s="29" t="n">
        <v>1.5</v>
      </c>
      <c r="T67" s="24" t="inlineStr">
        <is>
          <t>valorant-tiered-elo-v6</t>
        </is>
      </c>
      <c r="U67" s="24" t="inlineStr">
        <is>
          <t>settled</t>
        </is>
      </c>
      <c r="V67" s="24" t="inlineStr">
        <is>
          <t>win</t>
        </is>
      </c>
      <c r="W67" s="26" t="n">
        <v>1</v>
      </c>
      <c r="X67" s="26" t="n">
        <v>0</v>
      </c>
      <c r="Y67" s="25" t="n"/>
      <c r="Z67" s="26" t="n">
        <v>-203</v>
      </c>
      <c r="AA67" s="28" t="n">
        <v>0.67</v>
      </c>
      <c r="AB67" s="28" t="n">
        <v>3.3e-05</v>
      </c>
      <c r="AC67" s="30" t="n">
        <v>0.7389</v>
      </c>
      <c r="AD67" s="24" t="inlineStr">
        <is>
          <t>2026-08-17T05:30:28.696991Z</t>
        </is>
      </c>
      <c r="AE67" s="31" t="inlineStr">
        <is>
          <t>Neutral Elo baseline; executable ask 0.6700 (market_slug=aec-valorant-gxgc-skn-2026-08-16).</t>
        </is>
      </c>
      <c r="AF67" s="31" t="inlineStr">
        <is>
          <t>Config-promoted esports baseline; gates enforced at log time.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paper_call</t>
        </is>
      </c>
      <c r="AL67" s="26" t="n">
        <v>3</v>
      </c>
      <c r="AM67" s="24" t="inlineStr">
        <is>
          <t>RESEARCH_OBSERVATION</t>
        </is>
      </c>
      <c r="AN67" s="24" t="inlineStr">
        <is>
          <t>CALL</t>
        </is>
      </c>
      <c r="AO67" s="24" t="inlineStr">
        <is>
          <t>PAPER_CALL_LOW_EDGE</t>
        </is>
      </c>
      <c r="AP67" s="24" t="inlineStr">
        <is>
          <t>SK Nebula</t>
        </is>
      </c>
      <c r="AQ67" s="24" t="inlineStr">
        <is>
          <t>SK Nebula</t>
        </is>
      </c>
      <c r="AR67" s="24" t="inlineStr">
        <is>
          <t>SK Nebula</t>
        </is>
      </c>
      <c r="AS67" s="24" t="inlineStr">
        <is>
          <t>GIANTX GC</t>
        </is>
      </c>
      <c r="AT67" s="24" t="inlineStr">
        <is>
          <t>GIANTX GC</t>
        </is>
      </c>
      <c r="AU67" s="24" t="inlineStr">
        <is>
          <t>GIANTX GC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7189be839fd3e50a6ce4d8d11aa67e8238e02645f50570fd792145fb4abfdf3c</t>
        </is>
      </c>
      <c r="BB67" s="24" t="inlineStr">
        <is>
          <t>neutral_elo</t>
        </is>
      </c>
      <c r="BC67" s="24" t="inlineStr">
        <is>
          <t>valorant-tiered-elo-v6</t>
        </is>
      </c>
      <c r="BD67" s="24" t="inlineStr">
        <is>
          <t>7189be839fd3e50a6ce4d8d11aa67e8238e02645f50570fd792145fb4abfdf3c</t>
        </is>
      </c>
      <c r="BE67" s="24" t="inlineStr">
        <is>
          <t>1</t>
        </is>
      </c>
      <c r="BF67" s="24" t="inlineStr">
        <is>
          <t>1</t>
        </is>
      </c>
      <c r="BG67" s="24" t="inlineStr">
        <is>
          <t>valorant-tiered-elo-v6</t>
        </is>
      </c>
      <c r="BH67" s="24" t="inlineStr">
        <is>
          <t>2026-08-16T14:37:13.232186Z</t>
        </is>
      </c>
      <c r="BI67" s="24" t="inlineStr">
        <is>
          <t>["same_event","same_team_same_day","same_league_same_day"]</t>
        </is>
      </c>
      <c r="BJ67" s="25" t="n"/>
      <c r="BK67" s="26" t="n">
        <v>-203</v>
      </c>
      <c r="BL67" s="27" t="n">
        <v>1.492611</v>
      </c>
      <c r="BM67" s="28" t="n">
        <v>0.669967</v>
      </c>
      <c r="BN67" s="28" t="n"/>
      <c r="BO67" s="28" t="n"/>
      <c r="BP67" s="25" t="n"/>
      <c r="BQ67" s="27" t="n">
        <v>1.492611</v>
      </c>
      <c r="BR67" s="28" t="n">
        <v>0.67</v>
      </c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False</t>
        </is>
      </c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inlineStr">
        <is>
          <t>0.669967</t>
        </is>
      </c>
      <c r="DK67" s="24" t="n"/>
      <c r="DL67" s="24" t="n"/>
      <c r="DM67" s="24" t="n"/>
      <c r="DN67" s="24" t="n"/>
      <c r="DO67" s="24" t="n"/>
      <c r="DP67" s="24" t="n"/>
      <c r="DQ67" s="24" t="n"/>
    </row>
    <row r="68" ht="36" customHeight="1">
      <c r="A68" s="24" t="inlineStr">
        <is>
          <t>773dc78318f64c2f</t>
        </is>
      </c>
      <c r="B68" s="24" t="inlineStr">
        <is>
          <t>2026-08-16T17:45:36.898142Z</t>
        </is>
      </c>
      <c r="C68" s="24" t="inlineStr">
        <is>
          <t>2026-08-17T00:00:00Z</t>
        </is>
      </c>
      <c r="D68" s="24" t="inlineStr">
        <is>
          <t>81919</t>
        </is>
      </c>
      <c r="E68" s="24" t="inlineStr">
        <is>
          <t>VALORANT</t>
        </is>
      </c>
      <c r="F68" s="24" t="inlineStr">
        <is>
          <t>Evil Geniuses</t>
        </is>
      </c>
      <c r="G68" s="24" t="inlineStr">
        <is>
          <t>Cloud9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-122</v>
      </c>
      <c r="M68" s="27" t="n">
        <v>1.819672</v>
      </c>
      <c r="N68" s="28" t="n">
        <v>0.54955</v>
      </c>
      <c r="O68" s="28" t="n">
        <v>0.579521</v>
      </c>
      <c r="P68" s="28" t="n"/>
      <c r="Q68" s="28" t="n">
        <v>0.029971</v>
      </c>
      <c r="R68" s="26" t="n">
        <v>35</v>
      </c>
      <c r="S68" s="29" t="n">
        <v>1.25</v>
      </c>
      <c r="T68" s="24" t="inlineStr">
        <is>
          <t>valorant-tiered-elo-v6</t>
        </is>
      </c>
      <c r="U68" s="24" t="inlineStr">
        <is>
          <t>settled</t>
        </is>
      </c>
      <c r="V68" s="24" t="inlineStr">
        <is>
          <t>loss</t>
        </is>
      </c>
      <c r="W68" s="26" t="n">
        <v>1</v>
      </c>
      <c r="X68" s="26" t="n">
        <v>0</v>
      </c>
      <c r="Y68" s="25" t="n"/>
      <c r="Z68" s="26" t="n">
        <v>-122</v>
      </c>
      <c r="AA68" s="28" t="n">
        <v>0.55</v>
      </c>
      <c r="AB68" s="28" t="n">
        <v>0.00045</v>
      </c>
      <c r="AC68" s="30" t="n">
        <v>-1.25</v>
      </c>
      <c r="AD68" s="24" t="inlineStr">
        <is>
          <t>2026-08-17T05:30:30.816377Z</t>
        </is>
      </c>
      <c r="AE68" s="31" t="inlineStr">
        <is>
          <t>Neutral Elo baseline; executable ask 0.5500 (market_slug=aec-valorant-c9-eg-2026-08-17).</t>
        </is>
      </c>
      <c r="AF68" s="31" t="inlineStr">
        <is>
          <t>Config-promoted esports baseline; gates enforced at log time.</t>
        </is>
      </c>
      <c r="AG68" s="24" t="inlineStr">
        <is>
          <t>review_required</t>
        </is>
      </c>
      <c r="AH68" s="24" t="n"/>
      <c r="AI68" s="31" t="n"/>
      <c r="AJ68" s="31" t="n"/>
      <c r="AK68" s="24" t="inlineStr">
        <is>
          <t>model_qualified</t>
        </is>
      </c>
      <c r="AL68" s="26" t="n">
        <v>3</v>
      </c>
      <c r="AM68" s="24" t="inlineStr">
        <is>
          <t>QUALIFIED_SHADOW_CALL</t>
        </is>
      </c>
      <c r="AN68" s="24" t="inlineStr">
        <is>
          <t>CALL</t>
        </is>
      </c>
      <c r="AO68" s="24" t="inlineStr">
        <is>
          <t>QUALIFIED</t>
        </is>
      </c>
      <c r="AP68" s="24" t="inlineStr">
        <is>
          <t>Evil Geniuses</t>
        </is>
      </c>
      <c r="AQ68" s="24" t="inlineStr">
        <is>
          <t>Evil Geniuses</t>
        </is>
      </c>
      <c r="AR68" s="24" t="inlineStr">
        <is>
          <t>Evil Geniuses</t>
        </is>
      </c>
      <c r="AS68" s="24" t="inlineStr">
        <is>
          <t>Cloud9</t>
        </is>
      </c>
      <c r="AT68" s="24" t="inlineStr">
        <is>
          <t>Cloud9</t>
        </is>
      </c>
      <c r="AU68" s="24" t="inlineStr">
        <is>
          <t>Cloud9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c982c51bd8d11952543db65ccf2e537502f9ec51356bd78771b2987d043ea012</t>
        </is>
      </c>
      <c r="BB68" s="24" t="inlineStr">
        <is>
          <t>neutral_elo</t>
        </is>
      </c>
      <c r="BC68" s="24" t="inlineStr">
        <is>
          <t>valorant-tiered-elo-v6</t>
        </is>
      </c>
      <c r="BD68" s="24" t="inlineStr">
        <is>
          <t>c982c51bd8d11952543db65ccf2e537502f9ec51356bd78771b2987d043ea012</t>
        </is>
      </c>
      <c r="BE68" s="24" t="inlineStr">
        <is>
          <t>1</t>
        </is>
      </c>
      <c r="BF68" s="24" t="inlineStr">
        <is>
          <t>1</t>
        </is>
      </c>
      <c r="BG68" s="24" t="inlineStr">
        <is>
          <t>valorant-tiered-elo-v6</t>
        </is>
      </c>
      <c r="BH68" s="24" t="inlineStr">
        <is>
          <t>2026-08-16T17:45:34.125929Z</t>
        </is>
      </c>
      <c r="BI68" s="24" t="inlineStr">
        <is>
          <t>["same_event","same_team_same_day","same_league_same_day"]</t>
        </is>
      </c>
      <c r="BJ68" s="25" t="n"/>
      <c r="BK68" s="26" t="n">
        <v>-122</v>
      </c>
      <c r="BL68" s="27" t="n">
        <v>1.819672</v>
      </c>
      <c r="BM68" s="28" t="n">
        <v>0.54955</v>
      </c>
      <c r="BN68" s="28" t="n"/>
      <c r="BO68" s="28" t="n"/>
      <c r="BP68" s="25" t="n"/>
      <c r="BQ68" s="27" t="n">
        <v>1.819672</v>
      </c>
      <c r="BR68" s="28" t="n">
        <v>0.55</v>
      </c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True</t>
        </is>
      </c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inlineStr">
        <is>
          <t>0.54955</t>
        </is>
      </c>
      <c r="DK68" s="24" t="n"/>
      <c r="DL68" s="24" t="n"/>
      <c r="DM68" s="24" t="n"/>
      <c r="DN68" s="24" t="n"/>
      <c r="DO68" s="24" t="n"/>
      <c r="DP68" s="24" t="n"/>
      <c r="DQ68" s="24" t="n"/>
    </row>
    <row r="69" ht="36" customHeight="1">
      <c r="A69" s="24" t="inlineStr">
        <is>
          <t>b0bd076e8eca42c3</t>
        </is>
      </c>
      <c r="B69" s="24" t="inlineStr">
        <is>
          <t>2026-08-17T08:41:00.664424Z</t>
        </is>
      </c>
      <c r="C69" s="24" t="inlineStr">
        <is>
          <t>2026-08-17T15:00:00Z</t>
        </is>
      </c>
      <c r="D69" s="24" t="inlineStr">
        <is>
          <t>83847</t>
        </is>
      </c>
      <c r="E69" s="24" t="inlineStr">
        <is>
          <t>VALORANT</t>
        </is>
      </c>
      <c r="F69" s="24" t="inlineStr">
        <is>
          <t>GIANTX GC</t>
        </is>
      </c>
      <c r="G69" s="24" t="inlineStr">
        <is>
          <t>FOKUS Sakura</t>
        </is>
      </c>
      <c r="H69" s="24" t="inlineStr">
        <is>
          <t>moneyline</t>
        </is>
      </c>
      <c r="I69" s="24" t="inlineStr">
        <is>
          <t>home</t>
        </is>
      </c>
      <c r="J69" s="25" t="n"/>
      <c r="K69" s="24" t="inlineStr">
        <is>
          <t>polymarket_us</t>
        </is>
      </c>
      <c r="L69" s="26" t="n">
        <v>-163</v>
      </c>
      <c r="M69" s="27" t="n">
        <v>1.613497</v>
      </c>
      <c r="N69" s="28" t="n">
        <v>0.619772</v>
      </c>
      <c r="O69" s="28" t="n">
        <v>0.538503</v>
      </c>
      <c r="P69" s="28" t="n"/>
      <c r="Q69" s="28" t="n">
        <v>-0.08126899999999999</v>
      </c>
      <c r="R69" s="26" t="n">
        <v>0</v>
      </c>
      <c r="S69" s="29" t="n">
        <v>1</v>
      </c>
      <c r="T69" s="24" t="inlineStr">
        <is>
          <t>valorant-tiered-elo-v6</t>
        </is>
      </c>
      <c r="U69" s="24" t="inlineStr">
        <is>
          <t>settled</t>
        </is>
      </c>
      <c r="V69" s="24" t="inlineStr">
        <is>
          <t>win</t>
        </is>
      </c>
      <c r="W69" s="26" t="n">
        <v>0</v>
      </c>
      <c r="X69" s="26" t="n">
        <v>1</v>
      </c>
      <c r="Y69" s="25" t="n"/>
      <c r="Z69" s="26" t="n">
        <v>-163</v>
      </c>
      <c r="AA69" s="28" t="n">
        <v>0.62</v>
      </c>
      <c r="AB69" s="28" t="n">
        <v>0.000228</v>
      </c>
      <c r="AC69" s="30" t="n">
        <v>0.6135</v>
      </c>
      <c r="AD69" s="24" t="inlineStr">
        <is>
          <t>2026-08-18T15:13:31.791546Z</t>
        </is>
      </c>
      <c r="AE69" s="31" t="inlineStr">
        <is>
          <t>Neutral Elo baseline; executable ask 0.6200 (market_slug=aec-valorant-fso-gxgc-2026-08-17).</t>
        </is>
      </c>
      <c r="AF69" s="31" t="inlineStr">
        <is>
          <t>Config-promoted esports baseline; gates enforced at log time.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paper_call</t>
        </is>
      </c>
      <c r="AL69" s="26" t="n">
        <v>3</v>
      </c>
      <c r="AM69" s="24" t="inlineStr">
        <is>
          <t>RESEARCH_OBSERVATION</t>
        </is>
      </c>
      <c r="AN69" s="24" t="inlineStr">
        <is>
          <t>CALL</t>
        </is>
      </c>
      <c r="AO69" s="24" t="inlineStr">
        <is>
          <t>PAPER_CALL_LOW_EDGE</t>
        </is>
      </c>
      <c r="AP69" s="24" t="inlineStr">
        <is>
          <t>GIANTX GC</t>
        </is>
      </c>
      <c r="AQ69" s="24" t="inlineStr">
        <is>
          <t>GIANTX GC</t>
        </is>
      </c>
      <c r="AR69" s="24" t="inlineStr">
        <is>
          <t>GIANTX GC</t>
        </is>
      </c>
      <c r="AS69" s="24" t="inlineStr">
        <is>
          <t>FOKUS Sakura</t>
        </is>
      </c>
      <c r="AT69" s="24" t="inlineStr">
        <is>
          <t>FOKUS Sakura</t>
        </is>
      </c>
      <c r="AU69" s="24" t="inlineStr">
        <is>
          <t>FOKUS Sakura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c7f4e0ed6ef99bdd2a229cb7985e4a4bdaede52727edcbdbde4d10ec03034187</t>
        </is>
      </c>
      <c r="BB69" s="24" t="inlineStr">
        <is>
          <t>neutral_elo</t>
        </is>
      </c>
      <c r="BC69" s="24" t="inlineStr">
        <is>
          <t>valorant-tiered-elo-v6</t>
        </is>
      </c>
      <c r="BD69" s="24" t="inlineStr">
        <is>
          <t>c7f4e0ed6ef99bdd2a229cb7985e4a4bdaede52727edcbdbde4d10ec03034187</t>
        </is>
      </c>
      <c r="BE69" s="24" t="inlineStr">
        <is>
          <t>1</t>
        </is>
      </c>
      <c r="BF69" s="24" t="inlineStr">
        <is>
          <t>1</t>
        </is>
      </c>
      <c r="BG69" s="24" t="inlineStr">
        <is>
          <t>valorant-tiered-elo-v6</t>
        </is>
      </c>
      <c r="BH69" s="24" t="inlineStr">
        <is>
          <t>2026-08-17T08:40:54.136347Z</t>
        </is>
      </c>
      <c r="BI69" s="24" t="inlineStr">
        <is>
          <t>["same_event","same_team_same_day","same_league_same_day"]</t>
        </is>
      </c>
      <c r="BJ69" s="25" t="n"/>
      <c r="BK69" s="26" t="n">
        <v>-163</v>
      </c>
      <c r="BL69" s="27" t="n">
        <v>1.613497</v>
      </c>
      <c r="BM69" s="28" t="n">
        <v>0.619772</v>
      </c>
      <c r="BN69" s="28" t="n"/>
      <c r="BO69" s="28" t="n"/>
      <c r="BP69" s="25" t="n"/>
      <c r="BQ69" s="27" t="n">
        <v>1.613497</v>
      </c>
      <c r="BR69" s="28" t="n">
        <v>0.62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False</t>
        </is>
      </c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inlineStr">
        <is>
          <t>0.619772</t>
        </is>
      </c>
      <c r="DK69" s="24" t="n"/>
      <c r="DL69" s="24" t="n"/>
      <c r="DM69" s="24" t="n"/>
      <c r="DN69" s="24" t="n"/>
      <c r="DO69" s="24" t="n"/>
      <c r="DP69" s="24" t="n"/>
      <c r="DQ69" s="24" t="n"/>
    </row>
    <row r="70" ht="36" customHeight="1">
      <c r="A70" s="24" t="inlineStr">
        <is>
          <t>4b9064e00a5b4960</t>
        </is>
      </c>
      <c r="B70" s="24" t="inlineStr">
        <is>
          <t>2026-08-17T08:41:00.664424Z</t>
        </is>
      </c>
      <c r="C70" s="24" t="inlineStr">
        <is>
          <t>2026-08-17T21:00:00Z</t>
        </is>
      </c>
      <c r="D70" s="24" t="inlineStr">
        <is>
          <t>81784</t>
        </is>
      </c>
      <c r="E70" s="24" t="inlineStr">
        <is>
          <t>VALORANT</t>
        </is>
      </c>
      <c r="F70" s="24" t="inlineStr">
        <is>
          <t>SEN Otters</t>
        </is>
      </c>
      <c r="G70" s="24" t="inlineStr">
        <is>
          <t>Cloud9 GC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150</v>
      </c>
      <c r="M70" s="27" t="n">
        <v>2.5</v>
      </c>
      <c r="N70" s="28" t="n">
        <v>0.4</v>
      </c>
      <c r="O70" s="28" t="n">
        <v>0.50959</v>
      </c>
      <c r="P70" s="28" t="n"/>
      <c r="Q70" s="28" t="n">
        <v>0.10959</v>
      </c>
      <c r="R70" s="26" t="n">
        <v>75</v>
      </c>
      <c r="S70" s="29" t="n">
        <v>1</v>
      </c>
      <c r="T70" s="24" t="inlineStr">
        <is>
          <t>valorant-tiered-elo-v6</t>
        </is>
      </c>
      <c r="U70" s="24" t="inlineStr">
        <is>
          <t>settled</t>
        </is>
      </c>
      <c r="V70" s="24" t="inlineStr">
        <is>
          <t>win</t>
        </is>
      </c>
      <c r="W70" s="26" t="n">
        <v>0</v>
      </c>
      <c r="X70" s="26" t="n">
        <v>1</v>
      </c>
      <c r="Y70" s="25" t="n"/>
      <c r="Z70" s="26" t="n">
        <v>150</v>
      </c>
      <c r="AA70" s="28" t="n">
        <v>0.4</v>
      </c>
      <c r="AB70" s="28" t="n">
        <v>0</v>
      </c>
      <c r="AC70" s="30" t="n">
        <v>1.5</v>
      </c>
      <c r="AD70" s="24" t="inlineStr">
        <is>
          <t>2026-08-18T15:13:32.415318Z</t>
        </is>
      </c>
      <c r="AE70" s="31" t="inlineStr">
        <is>
          <t>Neutral Elo baseline; executable ask 0.4000 (market_slug=aec-valorant-c9gc-soe-2026-08-17).</t>
        </is>
      </c>
      <c r="AF70" s="31" t="inlineStr">
        <is>
          <t>Config-promoted esports baseline; gates enforced at log time.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model_qualified</t>
        </is>
      </c>
      <c r="AL70" s="26" t="n">
        <v>3</v>
      </c>
      <c r="AM70" s="24" t="inlineStr">
        <is>
          <t>QUALIFIED_SHADOW_CALL</t>
        </is>
      </c>
      <c r="AN70" s="24" t="inlineStr">
        <is>
          <t>CALL</t>
        </is>
      </c>
      <c r="AO70" s="24" t="inlineStr">
        <is>
          <t>QUALIFIED</t>
        </is>
      </c>
      <c r="AP70" s="24" t="inlineStr">
        <is>
          <t>SEN Otters</t>
        </is>
      </c>
      <c r="AQ70" s="24" t="inlineStr">
        <is>
          <t>SEN Otters</t>
        </is>
      </c>
      <c r="AR70" s="24" t="inlineStr">
        <is>
          <t>SEN Otters</t>
        </is>
      </c>
      <c r="AS70" s="24" t="inlineStr">
        <is>
          <t>Cloud9 GC</t>
        </is>
      </c>
      <c r="AT70" s="24" t="inlineStr">
        <is>
          <t>Cloud9 GC</t>
        </is>
      </c>
      <c r="AU70" s="24" t="inlineStr">
        <is>
          <t>Cloud9 GC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c7f4e0ed6ef99bdd2a229cb7985e4a4bdaede52727edcbdbde4d10ec03034187</t>
        </is>
      </c>
      <c r="BB70" s="24" t="inlineStr">
        <is>
          <t>neutral_elo</t>
        </is>
      </c>
      <c r="BC70" s="24" t="inlineStr">
        <is>
          <t>valorant-tiered-elo-v6</t>
        </is>
      </c>
      <c r="BD70" s="24" t="inlineStr">
        <is>
          <t>c7f4e0ed6ef99bdd2a229cb7985e4a4bdaede52727edcbdbde4d10ec03034187</t>
        </is>
      </c>
      <c r="BE70" s="24" t="inlineStr">
        <is>
          <t>1</t>
        </is>
      </c>
      <c r="BF70" s="24" t="inlineStr">
        <is>
          <t>1</t>
        </is>
      </c>
      <c r="BG70" s="24" t="inlineStr">
        <is>
          <t>valorant-tiered-elo-v6</t>
        </is>
      </c>
      <c r="BH70" s="24" t="inlineStr">
        <is>
          <t>2026-08-17T08:40:56.803503Z</t>
        </is>
      </c>
      <c r="BI70" s="24" t="inlineStr">
        <is>
          <t>["same_event","same_team_same_day","same_league_same_day"]</t>
        </is>
      </c>
      <c r="BJ70" s="25" t="n"/>
      <c r="BK70" s="26" t="n">
        <v>150</v>
      </c>
      <c r="BL70" s="27" t="n">
        <v>2.5</v>
      </c>
      <c r="BM70" s="28" t="n">
        <v>0.4</v>
      </c>
      <c r="BN70" s="28" t="n"/>
      <c r="BO70" s="28" t="n"/>
      <c r="BP70" s="25" t="n"/>
      <c r="BQ70" s="27" t="n">
        <v>2.5</v>
      </c>
      <c r="BR70" s="28" t="n">
        <v>0.4</v>
      </c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True</t>
        </is>
      </c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inlineStr">
        <is>
          <t>0.4</t>
        </is>
      </c>
      <c r="DK70" s="24" t="n"/>
      <c r="DL70" s="24" t="n"/>
      <c r="DM70" s="24" t="n"/>
      <c r="DN70" s="24" t="n"/>
      <c r="DO70" s="24" t="n"/>
      <c r="DP70" s="24" t="n"/>
      <c r="DQ70" s="24" t="n"/>
    </row>
    <row r="71" ht="36" customHeight="1">
      <c r="A71" s="24" t="inlineStr">
        <is>
          <t>9b019849fdd94884</t>
        </is>
      </c>
      <c r="B71" s="24" t="inlineStr">
        <is>
          <t>2026-08-18T15:15:36.318792Z</t>
        </is>
      </c>
      <c r="C71" s="24" t="inlineStr">
        <is>
          <t>2026-08-18T17:00:00Z</t>
        </is>
      </c>
      <c r="D71" s="24" t="inlineStr">
        <is>
          <t>84813</t>
        </is>
      </c>
      <c r="E71" s="24" t="inlineStr">
        <is>
          <t>VALORANT</t>
        </is>
      </c>
      <c r="F71" s="24" t="inlineStr">
        <is>
          <t>G2 Gozen</t>
        </is>
      </c>
      <c r="G71" s="24" t="inlineStr">
        <is>
          <t>FOKUS Sakura</t>
        </is>
      </c>
      <c r="H71" s="24" t="inlineStr">
        <is>
          <t>moneyline</t>
        </is>
      </c>
      <c r="I71" s="24" t="inlineStr">
        <is>
          <t>away</t>
        </is>
      </c>
      <c r="J71" s="25" t="n"/>
      <c r="K71" s="24" t="inlineStr">
        <is>
          <t>polymarket_us</t>
        </is>
      </c>
      <c r="L71" s="26" t="n">
        <v>-163</v>
      </c>
      <c r="M71" s="27" t="n">
        <v>1.613497</v>
      </c>
      <c r="N71" s="28" t="n">
        <v>0.619772</v>
      </c>
      <c r="O71" s="28" t="n">
        <v>0.654523</v>
      </c>
      <c r="P71" s="28" t="n"/>
      <c r="Q71" s="28" t="n">
        <v>0.034751</v>
      </c>
      <c r="R71" s="26" t="n">
        <v>37</v>
      </c>
      <c r="S71" s="29" t="n">
        <v>1.75</v>
      </c>
      <c r="T71" s="24" t="inlineStr">
        <is>
          <t>valorant-tiered-elo-v6</t>
        </is>
      </c>
      <c r="U71" s="24" t="inlineStr">
        <is>
          <t>settled</t>
        </is>
      </c>
      <c r="V71" s="24" t="inlineStr">
        <is>
          <t>win</t>
        </is>
      </c>
      <c r="W71" s="26" t="n">
        <v>1</v>
      </c>
      <c r="X71" s="26" t="n">
        <v>0</v>
      </c>
      <c r="Y71" s="25" t="n"/>
      <c r="Z71" s="26" t="n">
        <v>-163</v>
      </c>
      <c r="AA71" s="28" t="n">
        <v>0.62</v>
      </c>
      <c r="AB71" s="28" t="n">
        <v>0.000228</v>
      </c>
      <c r="AC71" s="30" t="n">
        <v>1.0736</v>
      </c>
      <c r="AD71" s="24" t="inlineStr">
        <is>
          <t>2026-08-18T21:39:05.782860Z</t>
        </is>
      </c>
      <c r="AE71" s="31" t="inlineStr">
        <is>
          <t>Neutral Elo baseline; executable ask 0.6200 (market_slug=aec-valorant-fso-ggo-2026-08-18).</t>
        </is>
      </c>
      <c r="AF71" s="31" t="inlineStr">
        <is>
          <t>Config-promoted esports baseline; gates enforced at log time.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model_qualified</t>
        </is>
      </c>
      <c r="AL71" s="26" t="n">
        <v>3</v>
      </c>
      <c r="AM71" s="24" t="inlineStr">
        <is>
          <t>QUALIFIED_SHADOW_CALL</t>
        </is>
      </c>
      <c r="AN71" s="24" t="inlineStr">
        <is>
          <t>CALL</t>
        </is>
      </c>
      <c r="AO71" s="24" t="inlineStr">
        <is>
          <t>QUALIFIED</t>
        </is>
      </c>
      <c r="AP71" s="24" t="inlineStr">
        <is>
          <t>G2 Gozen</t>
        </is>
      </c>
      <c r="AQ71" s="24" t="inlineStr">
        <is>
          <t>G2 Gozen</t>
        </is>
      </c>
      <c r="AR71" s="24" t="inlineStr">
        <is>
          <t>G2 Gozen</t>
        </is>
      </c>
      <c r="AS71" s="24" t="inlineStr">
        <is>
          <t>FOKUS Sakura</t>
        </is>
      </c>
      <c r="AT71" s="24" t="inlineStr">
        <is>
          <t>FOKUS Sakura</t>
        </is>
      </c>
      <c r="AU71" s="24" t="inlineStr">
        <is>
          <t>FOKUS Sakura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302f6f85dbca0f4c66c04fd1c7bf0d8a0ba1dd4975ceb0f1dd64c54d76ad84c9</t>
        </is>
      </c>
      <c r="BB71" s="24" t="inlineStr">
        <is>
          <t>neutral_elo</t>
        </is>
      </c>
      <c r="BC71" s="24" t="inlineStr">
        <is>
          <t>valorant-tiered-elo-v6</t>
        </is>
      </c>
      <c r="BD71" s="24" t="inlineStr">
        <is>
          <t>302f6f85dbca0f4c66c04fd1c7bf0d8a0ba1dd4975ceb0f1dd64c54d76ad84c9</t>
        </is>
      </c>
      <c r="BE71" s="24" t="inlineStr">
        <is>
          <t>1</t>
        </is>
      </c>
      <c r="BF71" s="24" t="inlineStr">
        <is>
          <t>1</t>
        </is>
      </c>
      <c r="BG71" s="24" t="inlineStr">
        <is>
          <t>valorant-tiered-elo-v6</t>
        </is>
      </c>
      <c r="BH71" s="24" t="inlineStr">
        <is>
          <t>2026-08-18T15:15:34.895545Z</t>
        </is>
      </c>
      <c r="BI71" s="24" t="inlineStr">
        <is>
          <t>["same_event","same_team_same_day","same_league_same_day"]</t>
        </is>
      </c>
      <c r="BJ71" s="25" t="n"/>
      <c r="BK71" s="26" t="n">
        <v>-163</v>
      </c>
      <c r="BL71" s="27" t="n">
        <v>1.613497</v>
      </c>
      <c r="BM71" s="28" t="n">
        <v>0.619772</v>
      </c>
      <c r="BN71" s="28" t="n"/>
      <c r="BO71" s="28" t="n"/>
      <c r="BP71" s="25" t="n"/>
      <c r="BQ71" s="27" t="n">
        <v>1.613497</v>
      </c>
      <c r="BR71" s="28" t="n">
        <v>0.62</v>
      </c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True</t>
        </is>
      </c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inlineStr">
        <is>
          <t>0.619772</t>
        </is>
      </c>
      <c r="DK71" s="24" t="n"/>
      <c r="DL71" s="24" t="n"/>
      <c r="DM71" s="24" t="n"/>
      <c r="DN71" s="24" t="n"/>
      <c r="DO71" s="24" t="n"/>
      <c r="DP71" s="24" t="n"/>
      <c r="DQ71" s="24" t="n"/>
    </row>
    <row r="72" ht="36" customHeight="1">
      <c r="A72" s="24" t="inlineStr">
        <is>
          <t>cbab86b035a44460</t>
        </is>
      </c>
      <c r="B72" s="24" t="inlineStr">
        <is>
          <t>2026-08-18T21:41:15.197240Z</t>
        </is>
      </c>
      <c r="C72" s="24" t="inlineStr">
        <is>
          <t>2026-08-18T22:00:00Z</t>
        </is>
      </c>
      <c r="D72" s="24" t="inlineStr">
        <is>
          <t>82861</t>
        </is>
      </c>
      <c r="E72" s="24" t="inlineStr">
        <is>
          <t>VALORANT</t>
        </is>
      </c>
      <c r="F72" s="24" t="inlineStr">
        <is>
          <t>FUSION X</t>
        </is>
      </c>
      <c r="G72" s="24" t="inlineStr">
        <is>
          <t>No Sweat Blossom</t>
        </is>
      </c>
      <c r="H72" s="24" t="inlineStr">
        <is>
          <t>moneyline</t>
        </is>
      </c>
      <c r="I72" s="24" t="inlineStr">
        <is>
          <t>home</t>
        </is>
      </c>
      <c r="J72" s="25" t="n"/>
      <c r="K72" s="24" t="inlineStr">
        <is>
          <t>polymarket_us</t>
        </is>
      </c>
      <c r="L72" s="26" t="n">
        <v>-150</v>
      </c>
      <c r="M72" s="27" t="n">
        <v>1.666667</v>
      </c>
      <c r="N72" s="28" t="n">
        <v>0.6</v>
      </c>
      <c r="O72" s="28" t="n">
        <v>0.622567</v>
      </c>
      <c r="P72" s="28" t="n"/>
      <c r="Q72" s="28" t="n">
        <v>0.022567</v>
      </c>
      <c r="R72" s="26" t="n">
        <v>31</v>
      </c>
      <c r="S72" s="29" t="n">
        <v>1.5</v>
      </c>
      <c r="T72" s="24" t="inlineStr">
        <is>
          <t>valorant-tiered-elo-v6</t>
        </is>
      </c>
      <c r="U72" s="24" t="inlineStr">
        <is>
          <t>settled</t>
        </is>
      </c>
      <c r="V72" s="24" t="inlineStr">
        <is>
          <t>loss</t>
        </is>
      </c>
      <c r="W72" s="26" t="n">
        <v>1</v>
      </c>
      <c r="X72" s="26" t="n">
        <v>0</v>
      </c>
      <c r="Y72" s="25" t="n"/>
      <c r="Z72" s="26" t="n">
        <v>-150</v>
      </c>
      <c r="AA72" s="28" t="n">
        <v>0.6</v>
      </c>
      <c r="AB72" s="28" t="n">
        <v>0</v>
      </c>
      <c r="AC72" s="30" t="n">
        <v>-1.5</v>
      </c>
      <c r="AD72" s="24" t="inlineStr">
        <is>
          <t>2026-08-19T07:06:17.888458Z</t>
        </is>
      </c>
      <c r="AE72" s="31" t="inlineStr">
        <is>
          <t>Neutral Elo baseline; executable ask 0.6000 (market_slug=aec-valorant-nsb-fsnx-2026-08-18).</t>
        </is>
      </c>
      <c r="AF72" s="31" t="inlineStr">
        <is>
          <t>Config-promoted esports baseline; gates enforced at log time.</t>
        </is>
      </c>
      <c r="AG72" s="24" t="inlineStr">
        <is>
          <t>review_required</t>
        </is>
      </c>
      <c r="AH72" s="24" t="n"/>
      <c r="AI72" s="31" t="n"/>
      <c r="AJ72" s="31" t="n"/>
      <c r="AK72" s="24" t="inlineStr">
        <is>
          <t>model_qualified</t>
        </is>
      </c>
      <c r="AL72" s="26" t="n">
        <v>3</v>
      </c>
      <c r="AM72" s="24" t="inlineStr">
        <is>
          <t>QUALIFIED_SHADOW_CALL</t>
        </is>
      </c>
      <c r="AN72" s="24" t="inlineStr">
        <is>
          <t>CALL</t>
        </is>
      </c>
      <c r="AO72" s="24" t="inlineStr">
        <is>
          <t>QUALIFIED</t>
        </is>
      </c>
      <c r="AP72" s="24" t="inlineStr">
        <is>
          <t>FUSION X</t>
        </is>
      </c>
      <c r="AQ72" s="24" t="inlineStr">
        <is>
          <t>FUSION X</t>
        </is>
      </c>
      <c r="AR72" s="24" t="inlineStr">
        <is>
          <t>FUSION X</t>
        </is>
      </c>
      <c r="AS72" s="24" t="inlineStr">
        <is>
          <t>No Sweat Blossom</t>
        </is>
      </c>
      <c r="AT72" s="24" t="inlineStr">
        <is>
          <t>No Sweat Blossom</t>
        </is>
      </c>
      <c r="AU72" s="24" t="inlineStr">
        <is>
          <t>No Sweat Blossom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e032e8f70d04da7d8718d11b80019a6d5167e66e671fc45ccde8a6fd35cce2b8</t>
        </is>
      </c>
      <c r="BB72" s="24" t="inlineStr">
        <is>
          <t>neutral_elo</t>
        </is>
      </c>
      <c r="BC72" s="24" t="inlineStr">
        <is>
          <t>valorant-tiered-elo-v6</t>
        </is>
      </c>
      <c r="BD72" s="24" t="inlineStr">
        <is>
          <t>e032e8f70d04da7d8718d11b80019a6d5167e66e671fc45ccde8a6fd35cce2b8</t>
        </is>
      </c>
      <c r="BE72" s="24" t="inlineStr">
        <is>
          <t>1</t>
        </is>
      </c>
      <c r="BF72" s="24" t="inlineStr">
        <is>
          <t>1</t>
        </is>
      </c>
      <c r="BG72" s="24" t="inlineStr">
        <is>
          <t>valorant-tiered-elo-v6</t>
        </is>
      </c>
      <c r="BH72" s="24" t="inlineStr">
        <is>
          <t>2026-08-18T21:41:13.839846Z</t>
        </is>
      </c>
      <c r="BI72" s="24" t="inlineStr">
        <is>
          <t>["same_event","same_team_same_day","same_league_same_day"]</t>
        </is>
      </c>
      <c r="BJ72" s="25" t="n"/>
      <c r="BK72" s="26" t="n">
        <v>-150</v>
      </c>
      <c r="BL72" s="27" t="n">
        <v>1.666667</v>
      </c>
      <c r="BM72" s="28" t="n">
        <v>0.6</v>
      </c>
      <c r="BN72" s="28" t="n"/>
      <c r="BO72" s="28" t="n"/>
      <c r="BP72" s="25" t="n"/>
      <c r="BQ72" s="27" t="n">
        <v>1.666667</v>
      </c>
      <c r="BR72" s="28" t="n">
        <v>0.6</v>
      </c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True</t>
        </is>
      </c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inlineStr">
        <is>
          <t>0.6</t>
        </is>
      </c>
      <c r="DK72" s="24" t="n"/>
      <c r="DL72" s="24" t="n"/>
      <c r="DM72" s="24" t="n"/>
      <c r="DN72" s="24" t="n"/>
      <c r="DO72" s="24" t="n"/>
      <c r="DP72" s="24" t="n"/>
      <c r="DQ72" s="24" t="n"/>
    </row>
    <row r="73" ht="36" customHeight="1">
      <c r="A73" s="24" t="inlineStr">
        <is>
          <t>2ea8b02a5fd24055</t>
        </is>
      </c>
      <c r="B73" s="24" t="inlineStr">
        <is>
          <t>2026-08-19T07:08:23.790288Z</t>
        </is>
      </c>
      <c r="C73" s="24" t="inlineStr">
        <is>
          <t>2026-08-19T08:00:00Z</t>
        </is>
      </c>
      <c r="D73" s="24" t="inlineStr">
        <is>
          <t>83066</t>
        </is>
      </c>
      <c r="E73" s="24" t="inlineStr">
        <is>
          <t>VALORANT</t>
        </is>
      </c>
      <c r="F73" s="24" t="inlineStr">
        <is>
          <t>TYLOO</t>
        </is>
      </c>
      <c r="G73" s="24" t="inlineStr">
        <is>
          <t>JD Gaming</t>
        </is>
      </c>
      <c r="H73" s="24" t="inlineStr">
        <is>
          <t>moneyline</t>
        </is>
      </c>
      <c r="I73" s="24" t="inlineStr">
        <is>
          <t>away</t>
        </is>
      </c>
      <c r="J73" s="25" t="n"/>
      <c r="K73" s="24" t="inlineStr">
        <is>
          <t>polymarket_us</t>
        </is>
      </c>
      <c r="L73" s="26" t="n">
        <v>-186</v>
      </c>
      <c r="M73" s="27" t="n">
        <v>1.537634</v>
      </c>
      <c r="N73" s="28" t="n">
        <v>0.65035</v>
      </c>
      <c r="O73" s="28" t="n">
        <v>0.602606</v>
      </c>
      <c r="P73" s="28" t="n"/>
      <c r="Q73" s="28" t="n">
        <v>-0.047744</v>
      </c>
      <c r="R73" s="26" t="n">
        <v>0</v>
      </c>
      <c r="S73" s="29" t="n">
        <v>1.25</v>
      </c>
      <c r="T73" s="24" t="inlineStr">
        <is>
          <t>valorant-tiered-elo-v6</t>
        </is>
      </c>
      <c r="U73" s="24" t="inlineStr">
        <is>
          <t>settled</t>
        </is>
      </c>
      <c r="V73" s="24" t="inlineStr">
        <is>
          <t>loss</t>
        </is>
      </c>
      <c r="W73" s="26" t="n">
        <v>0</v>
      </c>
      <c r="X73" s="26" t="n">
        <v>1</v>
      </c>
      <c r="Y73" s="25" t="n"/>
      <c r="Z73" s="26" t="n"/>
      <c r="AA73" s="28" t="n"/>
      <c r="AB73" s="28" t="n"/>
      <c r="AC73" s="30" t="n">
        <v>-1.25</v>
      </c>
      <c r="AD73" s="24" t="inlineStr">
        <is>
          <t>2026-08-19T13:40:36.979115Z</t>
        </is>
      </c>
      <c r="AE73" s="31" t="inlineStr">
        <is>
          <t>Neutral Elo baseline; executable ask 0.6500 (market_slug=aec-valorant-jdg-tyloo-2026-08-19).</t>
        </is>
      </c>
      <c r="AF73" s="31" t="inlineStr">
        <is>
          <t>Config-promoted esports baseline; gates enforced at log time.</t>
        </is>
      </c>
      <c r="AG73" s="24" t="inlineStr">
        <is>
          <t>review_required</t>
        </is>
      </c>
      <c r="AH73" s="24" t="n"/>
      <c r="AI73" s="31" t="n"/>
      <c r="AJ73" s="31" t="n"/>
      <c r="AK73" s="24" t="inlineStr">
        <is>
          <t>paper_call</t>
        </is>
      </c>
      <c r="AL73" s="26" t="n">
        <v>3</v>
      </c>
      <c r="AM73" s="24" t="inlineStr">
        <is>
          <t>RESEARCH_OBSERVATION</t>
        </is>
      </c>
      <c r="AN73" s="24" t="inlineStr">
        <is>
          <t>CALL</t>
        </is>
      </c>
      <c r="AO73" s="24" t="inlineStr">
        <is>
          <t>PAPER_CALL_LOW_EDGE</t>
        </is>
      </c>
      <c r="AP73" s="24" t="inlineStr">
        <is>
          <t>TYLOO</t>
        </is>
      </c>
      <c r="AQ73" s="24" t="inlineStr">
        <is>
          <t>TYLOO</t>
        </is>
      </c>
      <c r="AR73" s="24" t="inlineStr">
        <is>
          <t>TYLOO</t>
        </is>
      </c>
      <c r="AS73" s="24" t="inlineStr">
        <is>
          <t>JD Gaming</t>
        </is>
      </c>
      <c r="AT73" s="24" t="inlineStr">
        <is>
          <t>JD Gaming</t>
        </is>
      </c>
      <c r="AU73" s="24" t="inlineStr">
        <is>
          <t>JD Gaming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cfdfa888d29abcab0170a2148738858b61663d4405b965b1c4c847c046006def</t>
        </is>
      </c>
      <c r="BB73" s="24" t="inlineStr">
        <is>
          <t>neutral_elo</t>
        </is>
      </c>
      <c r="BC73" s="24" t="inlineStr">
        <is>
          <t>valorant-tiered-elo-v6</t>
        </is>
      </c>
      <c r="BD73" s="24" t="inlineStr">
        <is>
          <t>cfdfa888d29abcab0170a2148738858b61663d4405b965b1c4c847c046006def</t>
        </is>
      </c>
      <c r="BE73" s="24" t="inlineStr">
        <is>
          <t>1</t>
        </is>
      </c>
      <c r="BF73" s="24" t="inlineStr">
        <is>
          <t>1</t>
        </is>
      </c>
      <c r="BG73" s="24" t="inlineStr">
        <is>
          <t>valorant-tiered-elo-v6</t>
        </is>
      </c>
      <c r="BH73" s="24" t="inlineStr">
        <is>
          <t>2026-08-19T07:08:21.461311Z</t>
        </is>
      </c>
      <c r="BI73" s="24" t="inlineStr">
        <is>
          <t>["same_event","same_team_same_day","same_league_same_day"]</t>
        </is>
      </c>
      <c r="BJ73" s="25" t="n"/>
      <c r="BK73" s="26" t="n">
        <v>-186</v>
      </c>
      <c r="BL73" s="27" t="n">
        <v>1.537634</v>
      </c>
      <c r="BM73" s="28" t="n">
        <v>0.65035</v>
      </c>
      <c r="BN73" s="28" t="n"/>
      <c r="BO73" s="28" t="n"/>
      <c r="BP73" s="25" t="n"/>
      <c r="BQ73" s="27" t="n"/>
      <c r="BR73" s="28" t="n"/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False</t>
        </is>
      </c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inlineStr">
        <is>
          <t>0.65035</t>
        </is>
      </c>
      <c r="DK73" s="24" t="n"/>
      <c r="DL73" s="24" t="n"/>
      <c r="DM73" s="24" t="n"/>
      <c r="DN73" s="24" t="n"/>
      <c r="DO73" s="24" t="n"/>
      <c r="DP73" s="24" t="n"/>
      <c r="DQ73" s="24" t="n"/>
    </row>
    <row r="74" ht="36" customHeight="1">
      <c r="A74" s="24" t="inlineStr">
        <is>
          <t>dd3086c017dc4dff</t>
        </is>
      </c>
      <c r="B74" s="24" t="inlineStr">
        <is>
          <t>2026-08-19T07:08:23.790288Z</t>
        </is>
      </c>
      <c r="C74" s="24" t="inlineStr">
        <is>
          <t>2026-08-19T08:00:00Z</t>
        </is>
      </c>
      <c r="D74" s="24" t="inlineStr">
        <is>
          <t>83121</t>
        </is>
      </c>
      <c r="E74" s="24" t="inlineStr">
        <is>
          <t>VALORANT</t>
        </is>
      </c>
      <c r="F74" s="24" t="inlineStr">
        <is>
          <t>Team Secret</t>
        </is>
      </c>
      <c r="G74" s="24" t="inlineStr">
        <is>
          <t>ONSIDE GAMING</t>
        </is>
      </c>
      <c r="H74" s="24" t="inlineStr">
        <is>
          <t>moneyline</t>
        </is>
      </c>
      <c r="I74" s="24" t="inlineStr">
        <is>
          <t>home</t>
        </is>
      </c>
      <c r="J74" s="25" t="n"/>
      <c r="K74" s="24" t="inlineStr">
        <is>
          <t>polymarket_us</t>
        </is>
      </c>
      <c r="L74" s="26" t="n">
        <v>-138</v>
      </c>
      <c r="M74" s="27" t="n">
        <v>1.724638</v>
      </c>
      <c r="N74" s="28" t="n">
        <v>0.579832</v>
      </c>
      <c r="O74" s="28" t="n">
        <v>0.751102</v>
      </c>
      <c r="P74" s="28" t="n"/>
      <c r="Q74" s="28" t="n">
        <v>0.17127</v>
      </c>
      <c r="R74" s="26" t="n">
        <v>100</v>
      </c>
      <c r="S74" s="29" t="n">
        <v>2</v>
      </c>
      <c r="T74" s="24" t="inlineStr">
        <is>
          <t>valorant-tiered-elo-v6</t>
        </is>
      </c>
      <c r="U74" s="24" t="inlineStr">
        <is>
          <t>settled</t>
        </is>
      </c>
      <c r="V74" s="24" t="inlineStr">
        <is>
          <t>win</t>
        </is>
      </c>
      <c r="W74" s="26" t="n">
        <v>0</v>
      </c>
      <c r="X74" s="26" t="n">
        <v>1</v>
      </c>
      <c r="Y74" s="25" t="n"/>
      <c r="Z74" s="26" t="n"/>
      <c r="AA74" s="28" t="n"/>
      <c r="AB74" s="28" t="n"/>
      <c r="AC74" s="30" t="n">
        <v>1.4493</v>
      </c>
      <c r="AD74" s="24" t="inlineStr">
        <is>
          <t>2026-08-19T10:12:29.620107Z</t>
        </is>
      </c>
      <c r="AE74" s="31" t="inlineStr">
        <is>
          <t>Neutral Elo baseline; executable ask 0.5800 (market_slug=aec-valorant-osg-ts-2026-08-19).</t>
        </is>
      </c>
      <c r="AF74" s="31" t="inlineStr">
        <is>
          <t>Config-promoted esports baseline; gates enforced at log time.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model_qualified</t>
        </is>
      </c>
      <c r="AL74" s="26" t="n">
        <v>3</v>
      </c>
      <c r="AM74" s="24" t="inlineStr">
        <is>
          <t>QUALIFIED_SHADOW_CALL</t>
        </is>
      </c>
      <c r="AN74" s="24" t="inlineStr">
        <is>
          <t>CALL</t>
        </is>
      </c>
      <c r="AO74" s="24" t="inlineStr">
        <is>
          <t>QUALIFIED</t>
        </is>
      </c>
      <c r="AP74" s="24" t="inlineStr">
        <is>
          <t>Team Secret</t>
        </is>
      </c>
      <c r="AQ74" s="24" t="inlineStr">
        <is>
          <t>Team Secret</t>
        </is>
      </c>
      <c r="AR74" s="24" t="inlineStr">
        <is>
          <t>Team Secret</t>
        </is>
      </c>
      <c r="AS74" s="24" t="inlineStr">
        <is>
          <t>ONSIDE GAMING</t>
        </is>
      </c>
      <c r="AT74" s="24" t="inlineStr">
        <is>
          <t>ONSIDE GAMING</t>
        </is>
      </c>
      <c r="AU74" s="24" t="inlineStr">
        <is>
          <t>ONSIDE GAMING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cfdfa888d29abcab0170a2148738858b61663d4405b965b1c4c847c046006def</t>
        </is>
      </c>
      <c r="BB74" s="24" t="inlineStr">
        <is>
          <t>neutral_elo</t>
        </is>
      </c>
      <c r="BC74" s="24" t="inlineStr">
        <is>
          <t>valorant-tiered-elo-v6</t>
        </is>
      </c>
      <c r="BD74" s="24" t="inlineStr">
        <is>
          <t>cfdfa888d29abcab0170a2148738858b61663d4405b965b1c4c847c046006def</t>
        </is>
      </c>
      <c r="BE74" s="24" t="inlineStr">
        <is>
          <t>1</t>
        </is>
      </c>
      <c r="BF74" s="24" t="inlineStr">
        <is>
          <t>1</t>
        </is>
      </c>
      <c r="BG74" s="24" t="inlineStr">
        <is>
          <t>valorant-tiered-elo-v6</t>
        </is>
      </c>
      <c r="BH74" s="24" t="inlineStr">
        <is>
          <t>2026-08-19T07:08:21.723091Z</t>
        </is>
      </c>
      <c r="BI74" s="24" t="inlineStr">
        <is>
          <t>["same_event","same_team_same_day","same_league_same_day"]</t>
        </is>
      </c>
      <c r="BJ74" s="25" t="n"/>
      <c r="BK74" s="26" t="n">
        <v>-138</v>
      </c>
      <c r="BL74" s="27" t="n">
        <v>1.724638</v>
      </c>
      <c r="BM74" s="28" t="n">
        <v>0.579832</v>
      </c>
      <c r="BN74" s="28" t="n"/>
      <c r="BO74" s="28" t="n"/>
      <c r="BP74" s="25" t="n"/>
      <c r="BQ74" s="27" t="n"/>
      <c r="BR74" s="28" t="n"/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True</t>
        </is>
      </c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inlineStr">
        <is>
          <t>0.579832</t>
        </is>
      </c>
      <c r="DK74" s="24" t="n"/>
      <c r="DL74" s="24" t="n"/>
      <c r="DM74" s="24" t="n"/>
      <c r="DN74" s="24" t="n"/>
      <c r="DO74" s="24" t="n"/>
      <c r="DP74" s="24" t="n"/>
      <c r="DQ74" s="24" t="n"/>
    </row>
    <row r="75" ht="36" customHeight="1">
      <c r="A75" s="24" t="inlineStr">
        <is>
          <t>55d1406d215346cc</t>
        </is>
      </c>
      <c r="B75" s="24" t="inlineStr">
        <is>
          <t>2026-08-19T07:08:23.790288Z</t>
        </is>
      </c>
      <c r="C75" s="24" t="inlineStr">
        <is>
          <t>2026-08-19T10:00:00Z</t>
        </is>
      </c>
      <c r="D75" s="24" t="inlineStr">
        <is>
          <t>83092</t>
        </is>
      </c>
      <c r="E75" s="24" t="inlineStr">
        <is>
          <t>VALORANT</t>
        </is>
      </c>
      <c r="F75" s="24" t="inlineStr">
        <is>
          <t>XLG Gaming</t>
        </is>
      </c>
      <c r="G75" s="24" t="inlineStr">
        <is>
          <t>Bilibili Gaming</t>
        </is>
      </c>
      <c r="H75" s="24" t="inlineStr">
        <is>
          <t>moneyline</t>
        </is>
      </c>
      <c r="I75" s="24" t="inlineStr">
        <is>
          <t>home</t>
        </is>
      </c>
      <c r="J75" s="25" t="n"/>
      <c r="K75" s="24" t="inlineStr">
        <is>
          <t>polymarket_us</t>
        </is>
      </c>
      <c r="L75" s="26" t="n">
        <v>133</v>
      </c>
      <c r="M75" s="27" t="n">
        <v>2.33</v>
      </c>
      <c r="N75" s="28" t="n">
        <v>0.429185</v>
      </c>
      <c r="O75" s="28" t="n">
        <v>0.572191</v>
      </c>
      <c r="P75" s="28" t="n"/>
      <c r="Q75" s="28" t="n">
        <v>0.143006</v>
      </c>
      <c r="R75" s="26" t="n">
        <v>92</v>
      </c>
      <c r="S75" s="29" t="n">
        <v>1.25</v>
      </c>
      <c r="T75" s="24" t="inlineStr">
        <is>
          <t>valorant-tiered-elo-v6</t>
        </is>
      </c>
      <c r="U75" s="24" t="inlineStr">
        <is>
          <t>settled</t>
        </is>
      </c>
      <c r="V75" s="24" t="inlineStr">
        <is>
          <t>win</t>
        </is>
      </c>
      <c r="W75" s="26" t="n">
        <v>0</v>
      </c>
      <c r="X75" s="26" t="n">
        <v>1</v>
      </c>
      <c r="Y75" s="25" t="n"/>
      <c r="Z75" s="26" t="n"/>
      <c r="AA75" s="28" t="n"/>
      <c r="AB75" s="28" t="n"/>
      <c r="AC75" s="30" t="n">
        <v>1.6625</v>
      </c>
      <c r="AD75" s="24" t="inlineStr">
        <is>
          <t>2026-08-19T16:47:09.484594Z</t>
        </is>
      </c>
      <c r="AE75" s="31" t="inlineStr">
        <is>
          <t>Neutral Elo baseline; executable ask 0.4300 (market_slug=aec-valorant-blg-xlg-2026-08-19).</t>
        </is>
      </c>
      <c r="AF75" s="31" t="inlineStr">
        <is>
          <t>Config-promoted esports baseline; gates enforced at log time.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paper_call</t>
        </is>
      </c>
      <c r="AL75" s="26" t="n">
        <v>3</v>
      </c>
      <c r="AM75" s="24" t="inlineStr">
        <is>
          <t>RESEARCH_OBSERVATION</t>
        </is>
      </c>
      <c r="AN75" s="24" t="inlineStr">
        <is>
          <t>CALL</t>
        </is>
      </c>
      <c r="AO75" s="24" t="inlineStr">
        <is>
          <t>PAPER_CALL_MODEL_UNVALIDATED</t>
        </is>
      </c>
      <c r="AP75" s="24" t="inlineStr">
        <is>
          <t>XLG Gaming</t>
        </is>
      </c>
      <c r="AQ75" s="24" t="inlineStr">
        <is>
          <t>XLG Gaming</t>
        </is>
      </c>
      <c r="AR75" s="24" t="inlineStr">
        <is>
          <t>XLG Gaming</t>
        </is>
      </c>
      <c r="AS75" s="24" t="inlineStr">
        <is>
          <t>Bilibili Gaming</t>
        </is>
      </c>
      <c r="AT75" s="24" t="inlineStr">
        <is>
          <t>Bilibili Gaming</t>
        </is>
      </c>
      <c r="AU75" s="24" t="inlineStr">
        <is>
          <t>Bilibili Gaming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cfdfa888d29abcab0170a2148738858b61663d4405b965b1c4c847c046006def</t>
        </is>
      </c>
      <c r="BB75" s="24" t="inlineStr">
        <is>
          <t>neutral_elo</t>
        </is>
      </c>
      <c r="BC75" s="24" t="inlineStr">
        <is>
          <t>valorant-tiered-elo-v6</t>
        </is>
      </c>
      <c r="BD75" s="24" t="inlineStr">
        <is>
          <t>cfdfa888d29abcab0170a2148738858b61663d4405b965b1c4c847c046006def</t>
        </is>
      </c>
      <c r="BE75" s="24" t="inlineStr">
        <is>
          <t>1</t>
        </is>
      </c>
      <c r="BF75" s="24" t="inlineStr">
        <is>
          <t>1</t>
        </is>
      </c>
      <c r="BG75" s="24" t="inlineStr">
        <is>
          <t>valorant-tiered-elo-v6</t>
        </is>
      </c>
      <c r="BH75" s="24" t="inlineStr">
        <is>
          <t>2026-08-19T07:08:22.326326Z</t>
        </is>
      </c>
      <c r="BI75" s="24" t="inlineStr">
        <is>
          <t>["same_event","same_team_same_day","same_league_same_day"]</t>
        </is>
      </c>
      <c r="BJ75" s="25" t="n"/>
      <c r="BK75" s="26" t="n">
        <v>133</v>
      </c>
      <c r="BL75" s="27" t="n">
        <v>2.33</v>
      </c>
      <c r="BM75" s="28" t="n">
        <v>0.429185</v>
      </c>
      <c r="BN75" s="28" t="n"/>
      <c r="BO75" s="28" t="n"/>
      <c r="BP75" s="25" t="n"/>
      <c r="BQ75" s="27" t="n"/>
      <c r="BR75" s="28" t="n"/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inlineStr">
        <is>
          <t>0.429185</t>
        </is>
      </c>
      <c r="DK75" s="24" t="n"/>
      <c r="DL75" s="24" t="n"/>
      <c r="DM75" s="24" t="n"/>
      <c r="DN75" s="24" t="n"/>
      <c r="DO75" s="24" t="n"/>
      <c r="DP75" s="24" t="n"/>
      <c r="DQ75" s="24" t="n"/>
    </row>
    <row r="76" ht="36" customHeight="1">
      <c r="A76" s="24" t="inlineStr">
        <is>
          <t>ad6525d6b73c48ac</t>
        </is>
      </c>
      <c r="B76" s="24" t="inlineStr">
        <is>
          <t>2026-08-19T10:15:11.531414Z</t>
        </is>
      </c>
      <c r="C76" s="24" t="inlineStr">
        <is>
          <t>2026-08-19T11:00:00Z</t>
        </is>
      </c>
      <c r="D76" s="24" t="inlineStr">
        <is>
          <t>83109</t>
        </is>
      </c>
      <c r="E76" s="24" t="inlineStr">
        <is>
          <t>VALORANT</t>
        </is>
      </c>
      <c r="F76" s="24" t="inlineStr">
        <is>
          <t>FULL SENSE</t>
        </is>
      </c>
      <c r="G76" s="24" t="inlineStr">
        <is>
          <t>Rex Regum Qeon</t>
        </is>
      </c>
      <c r="H76" s="24" t="inlineStr">
        <is>
          <t>moneyline</t>
        </is>
      </c>
      <c r="I76" s="24" t="inlineStr">
        <is>
          <t>home</t>
        </is>
      </c>
      <c r="J76" s="25" t="n"/>
      <c r="K76" s="24" t="inlineStr">
        <is>
          <t>polymarket_us</t>
        </is>
      </c>
      <c r="L76" s="26" t="n">
        <v>104</v>
      </c>
      <c r="M76" s="27" t="n">
        <v>2.04</v>
      </c>
      <c r="N76" s="28" t="n">
        <v>0.490196</v>
      </c>
      <c r="O76" s="28" t="n">
        <v>0.61034</v>
      </c>
      <c r="P76" s="28" t="n"/>
      <c r="Q76" s="28" t="n">
        <v>0.120144</v>
      </c>
      <c r="R76" s="26" t="n">
        <v>80</v>
      </c>
      <c r="S76" s="29" t="n">
        <v>1.5</v>
      </c>
      <c r="T76" s="24" t="inlineStr">
        <is>
          <t>valorant-tiered-elo-v6</t>
        </is>
      </c>
      <c r="U76" s="24" t="inlineStr">
        <is>
          <t>settled</t>
        </is>
      </c>
      <c r="V76" s="24" t="inlineStr">
        <is>
          <t>loss</t>
        </is>
      </c>
      <c r="W76" s="26" t="n">
        <v>1</v>
      </c>
      <c r="X76" s="26" t="n">
        <v>0</v>
      </c>
      <c r="Y76" s="25" t="n"/>
      <c r="Z76" s="26" t="n"/>
      <c r="AA76" s="28" t="n"/>
      <c r="AB76" s="28" t="n"/>
      <c r="AC76" s="30" t="n">
        <v>-1.5</v>
      </c>
      <c r="AD76" s="24" t="inlineStr">
        <is>
          <t>2026-08-19T13:40:37.836296Z</t>
        </is>
      </c>
      <c r="AE76" s="31" t="inlineStr">
        <is>
          <t>Neutral Elo baseline; executable ask 0.4900 (market_slug=aec-valorant-rrq-fs-2026-08-19).</t>
        </is>
      </c>
      <c r="AF76" s="31" t="inlineStr">
        <is>
          <t>Config-promoted esports baseline; gates enforced at log time.</t>
        </is>
      </c>
      <c r="AG76" s="24" t="inlineStr">
        <is>
          <t>review_required</t>
        </is>
      </c>
      <c r="AH76" s="24" t="n"/>
      <c r="AI76" s="31" t="n"/>
      <c r="AJ76" s="31" t="n"/>
      <c r="AK76" s="24" t="inlineStr">
        <is>
          <t>model_qualified</t>
        </is>
      </c>
      <c r="AL76" s="26" t="n">
        <v>3</v>
      </c>
      <c r="AM76" s="24" t="inlineStr">
        <is>
          <t>QUALIFIED_SHADOW_CALL</t>
        </is>
      </c>
      <c r="AN76" s="24" t="inlineStr">
        <is>
          <t>CALL</t>
        </is>
      </c>
      <c r="AO76" s="24" t="inlineStr">
        <is>
          <t>QUALIFIED</t>
        </is>
      </c>
      <c r="AP76" s="24" t="inlineStr">
        <is>
          <t>FULL SENSE</t>
        </is>
      </c>
      <c r="AQ76" s="24" t="inlineStr">
        <is>
          <t>FULL SENSE</t>
        </is>
      </c>
      <c r="AR76" s="24" t="inlineStr">
        <is>
          <t>FULL SENSE</t>
        </is>
      </c>
      <c r="AS76" s="24" t="inlineStr">
        <is>
          <t>Rex Regum Qeon</t>
        </is>
      </c>
      <c r="AT76" s="24" t="inlineStr">
        <is>
          <t>Rex Regum Qeon</t>
        </is>
      </c>
      <c r="AU76" s="24" t="inlineStr">
        <is>
          <t>Rex Regum Qeon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31246973999c6e6a847251a5ff014cd4d8f0742ccb77f4cf71336ca7bb073a1e</t>
        </is>
      </c>
      <c r="BB76" s="24" t="inlineStr">
        <is>
          <t>neutral_elo</t>
        </is>
      </c>
      <c r="BC76" s="24" t="inlineStr">
        <is>
          <t>valorant-tiered-elo-v6</t>
        </is>
      </c>
      <c r="BD76" s="24" t="inlineStr">
        <is>
          <t>31246973999c6e6a847251a5ff014cd4d8f0742ccb77f4cf71336ca7bb073a1e</t>
        </is>
      </c>
      <c r="BE76" s="24" t="inlineStr">
        <is>
          <t>1</t>
        </is>
      </c>
      <c r="BF76" s="24" t="inlineStr">
        <is>
          <t>1</t>
        </is>
      </c>
      <c r="BG76" s="24" t="inlineStr">
        <is>
          <t>valorant-tiered-elo-v6</t>
        </is>
      </c>
      <c r="BH76" s="24" t="inlineStr">
        <is>
          <t>2026-08-19T10:15:10.242694Z</t>
        </is>
      </c>
      <c r="BI76" s="24" t="inlineStr">
        <is>
          <t>["same_event","same_team_same_day","same_league_same_day"]</t>
        </is>
      </c>
      <c r="BJ76" s="25" t="n"/>
      <c r="BK76" s="26" t="n">
        <v>104</v>
      </c>
      <c r="BL76" s="27" t="n">
        <v>2.04</v>
      </c>
      <c r="BM76" s="28" t="n">
        <v>0.490196</v>
      </c>
      <c r="BN76" s="28" t="n"/>
      <c r="BO76" s="28" t="n"/>
      <c r="BP76" s="25" t="n"/>
      <c r="BQ76" s="27" t="n"/>
      <c r="BR76" s="28" t="n"/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True</t>
        </is>
      </c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inlineStr">
        <is>
          <t>0.490196</t>
        </is>
      </c>
      <c r="DK76" s="24" t="n"/>
      <c r="DL76" s="24" t="n"/>
      <c r="DM76" s="24" t="n"/>
      <c r="DN76" s="24" t="n"/>
      <c r="DO76" s="24" t="n"/>
      <c r="DP76" s="24" t="n"/>
      <c r="DQ76" s="24" t="n"/>
    </row>
    <row r="77" ht="36" customHeight="1">
      <c r="A77" s="24" t="inlineStr">
        <is>
          <t>335f6b9359ec4766</t>
        </is>
      </c>
      <c r="B77" s="24" t="inlineStr">
        <is>
          <t>2026-08-19T13:43:26.159640Z</t>
        </is>
      </c>
      <c r="C77" s="24" t="inlineStr">
        <is>
          <t>2026-08-19T15:00:00Z</t>
        </is>
      </c>
      <c r="D77" s="24" t="inlineStr">
        <is>
          <t>85953</t>
        </is>
      </c>
      <c r="E77" s="24" t="inlineStr">
        <is>
          <t>VALORANT</t>
        </is>
      </c>
      <c r="F77" s="24" t="inlineStr">
        <is>
          <t>G2 Gozen</t>
        </is>
      </c>
      <c r="G77" s="24" t="inlineStr">
        <is>
          <t>SK Nebula</t>
        </is>
      </c>
      <c r="H77" s="24" t="inlineStr">
        <is>
          <t>moneyline</t>
        </is>
      </c>
      <c r="I77" s="24" t="inlineStr">
        <is>
          <t>away</t>
        </is>
      </c>
      <c r="J77" s="25" t="n"/>
      <c r="K77" s="24" t="inlineStr">
        <is>
          <t>polymarket_us</t>
        </is>
      </c>
      <c r="L77" s="26" t="n">
        <v>-178</v>
      </c>
      <c r="M77" s="27" t="n">
        <v>1.561798</v>
      </c>
      <c r="N77" s="28" t="n">
        <v>0.640288</v>
      </c>
      <c r="O77" s="28" t="n">
        <v>0.554881</v>
      </c>
      <c r="P77" s="28" t="n"/>
      <c r="Q77" s="28" t="n">
        <v>-0.085407</v>
      </c>
      <c r="R77" s="26" t="n">
        <v>0</v>
      </c>
      <c r="S77" s="29" t="n">
        <v>1</v>
      </c>
      <c r="T77" s="24" t="inlineStr">
        <is>
          <t>valorant-tiered-elo-v6</t>
        </is>
      </c>
      <c r="U77" s="24" t="inlineStr">
        <is>
          <t>settled</t>
        </is>
      </c>
      <c r="V77" s="24" t="inlineStr">
        <is>
          <t>win</t>
        </is>
      </c>
      <c r="W77" s="26" t="n">
        <v>1</v>
      </c>
      <c r="X77" s="26" t="n">
        <v>0</v>
      </c>
      <c r="Y77" s="25" t="n"/>
      <c r="Z77" s="26" t="n">
        <v>-178</v>
      </c>
      <c r="AA77" s="28" t="n">
        <v>0.64</v>
      </c>
      <c r="AB77" s="28" t="n">
        <v>-0.000288</v>
      </c>
      <c r="AC77" s="30" t="n">
        <v>0.5618</v>
      </c>
      <c r="AD77" s="24" t="inlineStr">
        <is>
          <t>2026-08-19T23:06:05.297733Z</t>
        </is>
      </c>
      <c r="AE77" s="31" t="inlineStr">
        <is>
          <t>Neutral Elo baseline; executable ask 0.6400 (market_slug=aec-valorant-skn-ggo-2026-08-19).</t>
        </is>
      </c>
      <c r="AF77" s="31" t="inlineStr">
        <is>
          <t>Config-promoted esports baseline; gates enforced at log time.</t>
        </is>
      </c>
      <c r="AG77" s="24" t="inlineStr">
        <is>
          <t>not_applicable</t>
        </is>
      </c>
      <c r="AH77" s="24" t="n"/>
      <c r="AI77" s="31" t="n"/>
      <c r="AJ77" s="31" t="n"/>
      <c r="AK77" s="24" t="inlineStr">
        <is>
          <t>paper_call</t>
        </is>
      </c>
      <c r="AL77" s="26" t="n">
        <v>3</v>
      </c>
      <c r="AM77" s="24" t="inlineStr">
        <is>
          <t>RESEARCH_OBSERVATION</t>
        </is>
      </c>
      <c r="AN77" s="24" t="inlineStr">
        <is>
          <t>CALL</t>
        </is>
      </c>
      <c r="AO77" s="24" t="inlineStr">
        <is>
          <t>PAPER_CALL_LOW_EDGE</t>
        </is>
      </c>
      <c r="AP77" s="24" t="inlineStr">
        <is>
          <t>G2 Gozen</t>
        </is>
      </c>
      <c r="AQ77" s="24" t="inlineStr">
        <is>
          <t>G2 Gozen</t>
        </is>
      </c>
      <c r="AR77" s="24" t="inlineStr">
        <is>
          <t>G2 Gozen</t>
        </is>
      </c>
      <c r="AS77" s="24" t="inlineStr">
        <is>
          <t>SK Nebula</t>
        </is>
      </c>
      <c r="AT77" s="24" t="inlineStr">
        <is>
          <t>SK Nebula</t>
        </is>
      </c>
      <c r="AU77" s="24" t="inlineStr">
        <is>
          <t>SK Nebula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fc1c2780fdf1508448cab4e9769192802d357a32856ef06ec5704d08971cd43d</t>
        </is>
      </c>
      <c r="BB77" s="24" t="inlineStr">
        <is>
          <t>neutral_elo</t>
        </is>
      </c>
      <c r="BC77" s="24" t="inlineStr">
        <is>
          <t>valorant-tiered-elo-v6</t>
        </is>
      </c>
      <c r="BD77" s="24" t="inlineStr">
        <is>
          <t>fc1c2780fdf1508448cab4e9769192802d357a32856ef06ec5704d08971cd43d</t>
        </is>
      </c>
      <c r="BE77" s="24" t="inlineStr">
        <is>
          <t>1</t>
        </is>
      </c>
      <c r="BF77" s="24" t="inlineStr">
        <is>
          <t>1</t>
        </is>
      </c>
      <c r="BG77" s="24" t="inlineStr">
        <is>
          <t>valorant-tiered-elo-v6</t>
        </is>
      </c>
      <c r="BH77" s="24" t="inlineStr">
        <is>
          <t>2026-08-19T13:43:24.415770Z</t>
        </is>
      </c>
      <c r="BI77" s="24" t="inlineStr">
        <is>
          <t>["same_event","same_team_same_day","same_league_same_day"]</t>
        </is>
      </c>
      <c r="BJ77" s="25" t="n"/>
      <c r="BK77" s="26" t="n">
        <v>-178</v>
      </c>
      <c r="BL77" s="27" t="n">
        <v>1.561798</v>
      </c>
      <c r="BM77" s="28" t="n">
        <v>0.640288</v>
      </c>
      <c r="BN77" s="28" t="n"/>
      <c r="BO77" s="28" t="n"/>
      <c r="BP77" s="25" t="n"/>
      <c r="BQ77" s="27" t="n">
        <v>1.561798</v>
      </c>
      <c r="BR77" s="28" t="n">
        <v>0.64</v>
      </c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False</t>
        </is>
      </c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inlineStr">
        <is>
          <t>0.640288</t>
        </is>
      </c>
      <c r="DK77" s="24" t="n"/>
      <c r="DL77" s="24" t="n"/>
      <c r="DM77" s="24" t="n"/>
      <c r="DN77" s="24" t="n"/>
      <c r="DO77" s="24" t="n"/>
      <c r="DP77" s="24" t="n"/>
      <c r="DQ77" s="24" t="n"/>
    </row>
    <row r="78" ht="36" customHeight="1">
      <c r="A78" s="24" t="inlineStr">
        <is>
          <t>802148395c5b4844</t>
        </is>
      </c>
      <c r="B78" s="24" t="inlineStr">
        <is>
          <t>2026-08-20T05:36:54.838210Z</t>
        </is>
      </c>
      <c r="C78" s="24" t="inlineStr">
        <is>
          <t>2026-08-20T08:00:00Z</t>
        </is>
      </c>
      <c r="D78" s="24" t="inlineStr">
        <is>
          <t>84045</t>
        </is>
      </c>
      <c r="E78" s="24" t="inlineStr">
        <is>
          <t>VALORANT</t>
        </is>
      </c>
      <c r="F78" s="24" t="inlineStr">
        <is>
          <t>QT DIG∞</t>
        </is>
      </c>
      <c r="G78" s="24" t="inlineStr">
        <is>
          <t>DetonatioN FocusMe</t>
        </is>
      </c>
      <c r="H78" s="24" t="inlineStr">
        <is>
          <t>moneyline</t>
        </is>
      </c>
      <c r="I78" s="24" t="inlineStr">
        <is>
          <t>home</t>
        </is>
      </c>
      <c r="J78" s="25" t="n"/>
      <c r="K78" s="24" t="inlineStr">
        <is>
          <t>polymarket_us</t>
        </is>
      </c>
      <c r="L78" s="26" t="n">
        <v>-163</v>
      </c>
      <c r="M78" s="27" t="n">
        <v>1.613497</v>
      </c>
      <c r="N78" s="28" t="n">
        <v>0.619772</v>
      </c>
      <c r="O78" s="28" t="n">
        <v>0.503964</v>
      </c>
      <c r="P78" s="28" t="n"/>
      <c r="Q78" s="28" t="n">
        <v>-0.115808</v>
      </c>
      <c r="R78" s="26" t="n">
        <v>0</v>
      </c>
      <c r="S78" s="29" t="n">
        <v>1</v>
      </c>
      <c r="T78" s="24" t="inlineStr">
        <is>
          <t>valorant-tiered-elo-v6</t>
        </is>
      </c>
      <c r="U78" s="24" t="inlineStr">
        <is>
          <t>settled</t>
        </is>
      </c>
      <c r="V78" s="24" t="inlineStr">
        <is>
          <t>win</t>
        </is>
      </c>
      <c r="W78" s="26" t="n">
        <v>0</v>
      </c>
      <c r="X78" s="26" t="n">
        <v>1</v>
      </c>
      <c r="Y78" s="25" t="n"/>
      <c r="Z78" s="26" t="n">
        <v>-163</v>
      </c>
      <c r="AA78" s="28" t="n">
        <v>0.62</v>
      </c>
      <c r="AB78" s="28" t="n">
        <v>0.000228</v>
      </c>
      <c r="AC78" s="30" t="n">
        <v>0.6135</v>
      </c>
      <c r="AD78" s="24" t="inlineStr">
        <is>
          <t>2026-08-20T12:45:29.749133Z</t>
        </is>
      </c>
      <c r="AE78" s="31" t="inlineStr">
        <is>
          <t>Neutral Elo baseline; executable ask 0.6200 (market_slug=aec-valorant-dfm-qtd-2026-08-20).</t>
        </is>
      </c>
      <c r="AF78" s="31" t="inlineStr">
        <is>
          <t>Config-promoted esports baseline; gates enforced at log time.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paper_call</t>
        </is>
      </c>
      <c r="AL78" s="26" t="n">
        <v>3</v>
      </c>
      <c r="AM78" s="24" t="inlineStr">
        <is>
          <t>RESEARCH_OBSERVATION</t>
        </is>
      </c>
      <c r="AN78" s="24" t="inlineStr">
        <is>
          <t>CALL</t>
        </is>
      </c>
      <c r="AO78" s="24" t="inlineStr">
        <is>
          <t>PAPER_CALL_LOW_EDGE</t>
        </is>
      </c>
      <c r="AP78" s="24" t="inlineStr">
        <is>
          <t>QT DIG∞</t>
        </is>
      </c>
      <c r="AQ78" s="24" t="inlineStr">
        <is>
          <t>QT DIG∞</t>
        </is>
      </c>
      <c r="AR78" s="24" t="inlineStr">
        <is>
          <t>QT DIG∞</t>
        </is>
      </c>
      <c r="AS78" s="24" t="inlineStr">
        <is>
          <t>DetonatioN FocusMe</t>
        </is>
      </c>
      <c r="AT78" s="24" t="inlineStr">
        <is>
          <t>DetonatioN FocusMe</t>
        </is>
      </c>
      <c r="AU78" s="24" t="inlineStr">
        <is>
          <t>DetonatioN FocusMe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bcec6675ce6abdd105809fcd94dcd88feaf5ec4eae81419955f8bb73c0ac591c</t>
        </is>
      </c>
      <c r="BB78" s="24" t="inlineStr">
        <is>
          <t>neutral_elo</t>
        </is>
      </c>
      <c r="BC78" s="24" t="inlineStr">
        <is>
          <t>valorant-tiered-elo-v6</t>
        </is>
      </c>
      <c r="BD78" s="24" t="inlineStr">
        <is>
          <t>bcec6675ce6abdd105809fcd94dcd88feaf5ec4eae81419955f8bb73c0ac591c</t>
        </is>
      </c>
      <c r="BE78" s="24" t="inlineStr">
        <is>
          <t>1</t>
        </is>
      </c>
      <c r="BF78" s="24" t="inlineStr">
        <is>
          <t>1</t>
        </is>
      </c>
      <c r="BG78" s="24" t="inlineStr">
        <is>
          <t>valorant-tiered-elo-v6</t>
        </is>
      </c>
      <c r="BH78" s="24" t="inlineStr">
        <is>
          <t>2026-08-20T05:36:52.384570Z</t>
        </is>
      </c>
      <c r="BI78" s="24" t="inlineStr">
        <is>
          <t>["same_event","same_team_same_day","same_league_same_day"]</t>
        </is>
      </c>
      <c r="BJ78" s="25" t="n"/>
      <c r="BK78" s="26" t="n">
        <v>-163</v>
      </c>
      <c r="BL78" s="27" t="n">
        <v>1.613497</v>
      </c>
      <c r="BM78" s="28" t="n">
        <v>0.619772</v>
      </c>
      <c r="BN78" s="28" t="n"/>
      <c r="BO78" s="28" t="n"/>
      <c r="BP78" s="25" t="n"/>
      <c r="BQ78" s="27" t="n">
        <v>1.613497</v>
      </c>
      <c r="BR78" s="28" t="n">
        <v>0.62</v>
      </c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False</t>
        </is>
      </c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inlineStr">
        <is>
          <t>0.619772</t>
        </is>
      </c>
      <c r="DK78" s="24" t="n"/>
      <c r="DL78" s="24" t="n"/>
      <c r="DM78" s="24" t="n"/>
      <c r="DN78" s="24" t="n"/>
      <c r="DO78" s="24" t="n"/>
      <c r="DP78" s="24" t="n"/>
      <c r="DQ78" s="24" t="n"/>
    </row>
    <row r="79" ht="36" customHeight="1">
      <c r="A79" s="24" t="inlineStr">
        <is>
          <t>ac55c60902e24074</t>
        </is>
      </c>
      <c r="B79" s="24" t="inlineStr">
        <is>
          <t>2026-08-20T05:36:54.838210Z</t>
        </is>
      </c>
      <c r="C79" s="24" t="inlineStr">
        <is>
          <t>2026-08-20T08:00:00Z</t>
        </is>
      </c>
      <c r="D79" s="24" t="inlineStr">
        <is>
          <t>86236</t>
        </is>
      </c>
      <c r="E79" s="24" t="inlineStr">
        <is>
          <t>VALORANT</t>
        </is>
      </c>
      <c r="F79" s="24" t="inlineStr">
        <is>
          <t>TYLOO</t>
        </is>
      </c>
      <c r="G79" s="24" t="inlineStr">
        <is>
          <t>All Gamers</t>
        </is>
      </c>
      <c r="H79" s="24" t="inlineStr">
        <is>
          <t>moneyline</t>
        </is>
      </c>
      <c r="I79" s="24" t="inlineStr">
        <is>
          <t>home</t>
        </is>
      </c>
      <c r="J79" s="25" t="n"/>
      <c r="K79" s="24" t="inlineStr">
        <is>
          <t>polymarket_us</t>
        </is>
      </c>
      <c r="L79" s="26" t="n">
        <v>-108</v>
      </c>
      <c r="M79" s="27" t="n">
        <v>1.925926</v>
      </c>
      <c r="N79" s="28" t="n">
        <v>0.519231</v>
      </c>
      <c r="O79" s="28" t="n">
        <v>0.5371089999999999</v>
      </c>
      <c r="P79" s="28" t="n"/>
      <c r="Q79" s="28" t="n">
        <v>0.017878</v>
      </c>
      <c r="R79" s="26" t="n">
        <v>29</v>
      </c>
      <c r="S79" s="29" t="n">
        <v>1</v>
      </c>
      <c r="T79" s="24" t="inlineStr">
        <is>
          <t>valorant-tiered-elo-v6</t>
        </is>
      </c>
      <c r="U79" s="24" t="inlineStr">
        <is>
          <t>settled</t>
        </is>
      </c>
      <c r="V79" s="24" t="inlineStr">
        <is>
          <t>loss</t>
        </is>
      </c>
      <c r="W79" s="26" t="n">
        <v>1</v>
      </c>
      <c r="X79" s="26" t="n">
        <v>0</v>
      </c>
      <c r="Y79" s="25" t="n"/>
      <c r="Z79" s="26" t="n">
        <v>-108</v>
      </c>
      <c r="AA79" s="28" t="n">
        <v>0.52</v>
      </c>
      <c r="AB79" s="28" t="n">
        <v>0.000769</v>
      </c>
      <c r="AC79" s="30" t="n">
        <v>-1</v>
      </c>
      <c r="AD79" s="24" t="inlineStr">
        <is>
          <t>2026-08-20T12:45:30.383558Z</t>
        </is>
      </c>
      <c r="AE79" s="31" t="inlineStr">
        <is>
          <t>Neutral Elo baseline; executable ask 0.5200 (market_slug=aec-valorant-ag-tyloo-2026-08-20).</t>
        </is>
      </c>
      <c r="AF79" s="31" t="inlineStr">
        <is>
          <t>Config-promoted esports baseline; gates enforced at log time.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paper_call</t>
        </is>
      </c>
      <c r="AL79" s="26" t="n">
        <v>3</v>
      </c>
      <c r="AM79" s="24" t="inlineStr">
        <is>
          <t>RESEARCH_OBSERVATION</t>
        </is>
      </c>
      <c r="AN79" s="24" t="inlineStr">
        <is>
          <t>CALL</t>
        </is>
      </c>
      <c r="AO79" s="24" t="inlineStr">
        <is>
          <t>PAPER_CALL_LOW_EDGE</t>
        </is>
      </c>
      <c r="AP79" s="24" t="inlineStr">
        <is>
          <t>TYLOO</t>
        </is>
      </c>
      <c r="AQ79" s="24" t="inlineStr">
        <is>
          <t>TYLOO</t>
        </is>
      </c>
      <c r="AR79" s="24" t="inlineStr">
        <is>
          <t>TYLOO</t>
        </is>
      </c>
      <c r="AS79" s="24" t="inlineStr">
        <is>
          <t>All Gamers</t>
        </is>
      </c>
      <c r="AT79" s="24" t="inlineStr">
        <is>
          <t>All Gamers</t>
        </is>
      </c>
      <c r="AU79" s="24" t="inlineStr">
        <is>
          <t>All Gamers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bcec6675ce6abdd105809fcd94dcd88feaf5ec4eae81419955f8bb73c0ac591c</t>
        </is>
      </c>
      <c r="BB79" s="24" t="inlineStr">
        <is>
          <t>neutral_elo</t>
        </is>
      </c>
      <c r="BC79" s="24" t="inlineStr">
        <is>
          <t>valorant-tiered-elo-v6</t>
        </is>
      </c>
      <c r="BD79" s="24" t="inlineStr">
        <is>
          <t>bcec6675ce6abdd105809fcd94dcd88feaf5ec4eae81419955f8bb73c0ac591c</t>
        </is>
      </c>
      <c r="BE79" s="24" t="inlineStr">
        <is>
          <t>1</t>
        </is>
      </c>
      <c r="BF79" s="24" t="inlineStr">
        <is>
          <t>1</t>
        </is>
      </c>
      <c r="BG79" s="24" t="inlineStr">
        <is>
          <t>valorant-tiered-elo-v6</t>
        </is>
      </c>
      <c r="BH79" s="24" t="inlineStr">
        <is>
          <t>2026-08-20T05:36:52.581463Z</t>
        </is>
      </c>
      <c r="BI79" s="24" t="inlineStr">
        <is>
          <t>["same_event","same_team_same_day","same_league_same_day"]</t>
        </is>
      </c>
      <c r="BJ79" s="25" t="n"/>
      <c r="BK79" s="26" t="n">
        <v>-108</v>
      </c>
      <c r="BL79" s="27" t="n">
        <v>1.925926</v>
      </c>
      <c r="BM79" s="28" t="n">
        <v>0.519231</v>
      </c>
      <c r="BN79" s="28" t="n"/>
      <c r="BO79" s="28" t="n"/>
      <c r="BP79" s="25" t="n"/>
      <c r="BQ79" s="27" t="n">
        <v>1.925926</v>
      </c>
      <c r="BR79" s="28" t="n">
        <v>0.52</v>
      </c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inlineStr">
        <is>
          <t>True</t>
        </is>
      </c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inlineStr">
        <is>
          <t>0.519231</t>
        </is>
      </c>
      <c r="DK79" s="24" t="n"/>
      <c r="DL79" s="24" t="n"/>
      <c r="DM79" s="24" t="n"/>
      <c r="DN79" s="24" t="n"/>
      <c r="DO79" s="24" t="n"/>
      <c r="DP79" s="24" t="n"/>
      <c r="DQ79" s="24" t="n"/>
    </row>
    <row r="80" ht="36" customHeight="1">
      <c r="A80" s="24" t="inlineStr">
        <is>
          <t>5acac32eb5f5483f</t>
        </is>
      </c>
      <c r="B80" s="24" t="inlineStr">
        <is>
          <t>2026-08-20T09:42:16.306285Z</t>
        </is>
      </c>
      <c r="C80" s="24" t="inlineStr">
        <is>
          <t>2026-08-20T10:00:00Z</t>
        </is>
      </c>
      <c r="D80" s="24" t="inlineStr">
        <is>
          <t>86290</t>
        </is>
      </c>
      <c r="E80" s="24" t="inlineStr">
        <is>
          <t>VALORANT</t>
        </is>
      </c>
      <c r="F80" s="24" t="inlineStr">
        <is>
          <t>XLG Gaming</t>
        </is>
      </c>
      <c r="G80" s="24" t="inlineStr">
        <is>
          <t>Nova Esports</t>
        </is>
      </c>
      <c r="H80" s="24" t="inlineStr">
        <is>
          <t>moneyline</t>
        </is>
      </c>
      <c r="I80" s="24" t="inlineStr">
        <is>
          <t>home</t>
        </is>
      </c>
      <c r="J80" s="25" t="n"/>
      <c r="K80" s="24" t="inlineStr">
        <is>
          <t>polymarket_us</t>
        </is>
      </c>
      <c r="L80" s="26" t="n">
        <v>127</v>
      </c>
      <c r="M80" s="27" t="n">
        <v>2.27</v>
      </c>
      <c r="N80" s="28" t="n">
        <v>0.440529</v>
      </c>
      <c r="O80" s="28" t="n">
        <v>0.612169</v>
      </c>
      <c r="P80" s="28" t="n"/>
      <c r="Q80" s="28" t="n">
        <v>0.17164</v>
      </c>
      <c r="R80" s="26" t="n">
        <v>100</v>
      </c>
      <c r="S80" s="29" t="n">
        <v>1.5</v>
      </c>
      <c r="T80" s="24" t="inlineStr">
        <is>
          <t>valorant-tiered-elo-v6</t>
        </is>
      </c>
      <c r="U80" s="24" t="inlineStr">
        <is>
          <t>settled</t>
        </is>
      </c>
      <c r="V80" s="24" t="inlineStr">
        <is>
          <t>win</t>
        </is>
      </c>
      <c r="W80" s="26" t="n">
        <v>0</v>
      </c>
      <c r="X80" s="26" t="n">
        <v>1</v>
      </c>
      <c r="Y80" s="25" t="n"/>
      <c r="Z80" s="26" t="n">
        <v>127</v>
      </c>
      <c r="AA80" s="28" t="n">
        <v>0.44</v>
      </c>
      <c r="AB80" s="28" t="n">
        <v>-0.000529</v>
      </c>
      <c r="AC80" s="30" t="n">
        <v>1.905</v>
      </c>
      <c r="AD80" s="24" t="inlineStr">
        <is>
          <t>2026-08-20T15:50:43.734588Z</t>
        </is>
      </c>
      <c r="AE80" s="31" t="inlineStr">
        <is>
          <t>Neutral Elo baseline; executable ask 0.4400 (market_slug=aec-valorant-nova-xlg-2026-08-20).</t>
        </is>
      </c>
      <c r="AF80" s="31" t="inlineStr">
        <is>
          <t>Config-promoted esports baseline; gates enforced at log time.</t>
        </is>
      </c>
      <c r="AG80" s="24" t="inlineStr">
        <is>
          <t>not_applicable</t>
        </is>
      </c>
      <c r="AH80" s="24" t="n"/>
      <c r="AI80" s="31" t="n"/>
      <c r="AJ80" s="31" t="n"/>
      <c r="AK80" s="24" t="inlineStr">
        <is>
          <t>paper_call</t>
        </is>
      </c>
      <c r="AL80" s="26" t="n">
        <v>3</v>
      </c>
      <c r="AM80" s="24" t="inlineStr">
        <is>
          <t>RESEARCH_OBSERVATION</t>
        </is>
      </c>
      <c r="AN80" s="24" t="inlineStr">
        <is>
          <t>CALL</t>
        </is>
      </c>
      <c r="AO80" s="24" t="inlineStr">
        <is>
          <t>PAPER_CALL_MODEL_UNVALIDATED</t>
        </is>
      </c>
      <c r="AP80" s="24" t="inlineStr">
        <is>
          <t>XLG Gaming</t>
        </is>
      </c>
      <c r="AQ80" s="24" t="inlineStr">
        <is>
          <t>XLG Gaming</t>
        </is>
      </c>
      <c r="AR80" s="24" t="inlineStr">
        <is>
          <t>XLG Gaming</t>
        </is>
      </c>
      <c r="AS80" s="24" t="inlineStr">
        <is>
          <t>Nova Esports</t>
        </is>
      </c>
      <c r="AT80" s="24" t="inlineStr">
        <is>
          <t>Nova Esports</t>
        </is>
      </c>
      <c r="AU80" s="24" t="inlineStr">
        <is>
          <t>Nova Esports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2043c46d82c31ecb84278542994aacfd2762a7c2cef180e6420737021ee7cffb</t>
        </is>
      </c>
      <c r="BB80" s="24" t="inlineStr">
        <is>
          <t>neutral_elo</t>
        </is>
      </c>
      <c r="BC80" s="24" t="inlineStr">
        <is>
          <t>valorant-tiered-elo-v6</t>
        </is>
      </c>
      <c r="BD80" s="24" t="inlineStr">
        <is>
          <t>2043c46d82c31ecb84278542994aacfd2762a7c2cef180e6420737021ee7cffb</t>
        </is>
      </c>
      <c r="BE80" s="24" t="inlineStr">
        <is>
          <t>1</t>
        </is>
      </c>
      <c r="BF80" s="24" t="inlineStr">
        <is>
          <t>1</t>
        </is>
      </c>
      <c r="BG80" s="24" t="inlineStr">
        <is>
          <t>valorant-tiered-elo-v6</t>
        </is>
      </c>
      <c r="BH80" s="24" t="inlineStr">
        <is>
          <t>2026-08-20T09:42:14.592891Z</t>
        </is>
      </c>
      <c r="BI80" s="24" t="inlineStr">
        <is>
          <t>["same_event","same_team_same_day","same_league_same_day"]</t>
        </is>
      </c>
      <c r="BJ80" s="25" t="n"/>
      <c r="BK80" s="26" t="n">
        <v>127</v>
      </c>
      <c r="BL80" s="27" t="n">
        <v>2.27</v>
      </c>
      <c r="BM80" s="28" t="n">
        <v>0.440529</v>
      </c>
      <c r="BN80" s="28" t="n"/>
      <c r="BO80" s="28" t="n"/>
      <c r="BP80" s="25" t="n"/>
      <c r="BQ80" s="27" t="n">
        <v>2.27</v>
      </c>
      <c r="BR80" s="28" t="n">
        <v>0.44</v>
      </c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True</t>
        </is>
      </c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inlineStr">
        <is>
          <t>0.440529</t>
        </is>
      </c>
      <c r="DK80" s="24" t="n"/>
      <c r="DL80" s="24" t="n"/>
      <c r="DM80" s="24" t="n"/>
      <c r="DN80" s="24" t="n"/>
      <c r="DO80" s="24" t="n"/>
      <c r="DP80" s="24" t="n"/>
      <c r="DQ80" s="24" t="n"/>
    </row>
    <row r="81" ht="36" customHeight="1">
      <c r="A81" s="24" t="inlineStr">
        <is>
          <t>8cc9199fb9bc4680</t>
        </is>
      </c>
      <c r="B81" s="24" t="inlineStr">
        <is>
          <t>2026-08-20T09:42:16.306285Z</t>
        </is>
      </c>
      <c r="C81" s="24" t="inlineStr">
        <is>
          <t>2026-08-20T11:00:00Z</t>
        </is>
      </c>
      <c r="D81" s="24" t="inlineStr">
        <is>
          <t>84118</t>
        </is>
      </c>
      <c r="E81" s="24" t="inlineStr">
        <is>
          <t>VALORANT</t>
        </is>
      </c>
      <c r="F81" s="24" t="inlineStr">
        <is>
          <t>Xipto Esports</t>
        </is>
      </c>
      <c r="G81" s="24" t="inlineStr">
        <is>
          <t>ZETA DIVISION</t>
        </is>
      </c>
      <c r="H81" s="24" t="inlineStr">
        <is>
          <t>moneyline</t>
        </is>
      </c>
      <c r="I81" s="24" t="inlineStr">
        <is>
          <t>home</t>
        </is>
      </c>
      <c r="J81" s="25" t="n"/>
      <c r="K81" s="24" t="inlineStr">
        <is>
          <t>polymarket_us</t>
        </is>
      </c>
      <c r="L81" s="26" t="n">
        <v>-138</v>
      </c>
      <c r="M81" s="27" t="n">
        <v>1.724638</v>
      </c>
      <c r="N81" s="28" t="n">
        <v>0.579832</v>
      </c>
      <c r="O81" s="28" t="n">
        <v>0.547225</v>
      </c>
      <c r="P81" s="28" t="n"/>
      <c r="Q81" s="28" t="n">
        <v>-0.032607</v>
      </c>
      <c r="R81" s="26" t="n">
        <v>4</v>
      </c>
      <c r="S81" s="29" t="n">
        <v>1</v>
      </c>
      <c r="T81" s="24" t="inlineStr">
        <is>
          <t>valorant-tiered-elo-v6</t>
        </is>
      </c>
      <c r="U81" s="24" t="inlineStr">
        <is>
          <t>settled</t>
        </is>
      </c>
      <c r="V81" s="24" t="inlineStr">
        <is>
          <t>win</t>
        </is>
      </c>
      <c r="W81" s="26" t="n">
        <v>0</v>
      </c>
      <c r="X81" s="26" t="n">
        <v>1</v>
      </c>
      <c r="Y81" s="25" t="n"/>
      <c r="Z81" s="26" t="n">
        <v>-138</v>
      </c>
      <c r="AA81" s="28" t="n">
        <v>0.58</v>
      </c>
      <c r="AB81" s="28" t="n">
        <v>0.000168</v>
      </c>
      <c r="AC81" s="30" t="n">
        <v>0.7246</v>
      </c>
      <c r="AD81" s="24" t="inlineStr">
        <is>
          <t>2026-08-20T15:50:44.358768Z</t>
        </is>
      </c>
      <c r="AE81" s="31" t="inlineStr">
        <is>
          <t>Neutral Elo baseline; executable ask 0.5800 (market_slug=aec-valorant-zeta-xe-2026-08-20).</t>
        </is>
      </c>
      <c r="AF81" s="31" t="inlineStr">
        <is>
          <t>Config-promoted esports baseline; gates enforced at log time.</t>
        </is>
      </c>
      <c r="AG81" s="24" t="inlineStr">
        <is>
          <t>not_applicable</t>
        </is>
      </c>
      <c r="AH81" s="24" t="n"/>
      <c r="AI81" s="31" t="n"/>
      <c r="AJ81" s="31" t="n"/>
      <c r="AK81" s="24" t="inlineStr">
        <is>
          <t>paper_call</t>
        </is>
      </c>
      <c r="AL81" s="26" t="n">
        <v>3</v>
      </c>
      <c r="AM81" s="24" t="inlineStr">
        <is>
          <t>RESEARCH_OBSERVATION</t>
        </is>
      </c>
      <c r="AN81" s="24" t="inlineStr">
        <is>
          <t>CALL</t>
        </is>
      </c>
      <c r="AO81" s="24" t="inlineStr">
        <is>
          <t>PAPER_CALL_LOW_EDGE</t>
        </is>
      </c>
      <c r="AP81" s="24" t="inlineStr">
        <is>
          <t>Xipto Esports</t>
        </is>
      </c>
      <c r="AQ81" s="24" t="inlineStr">
        <is>
          <t>Xipto Esports</t>
        </is>
      </c>
      <c r="AR81" s="24" t="inlineStr">
        <is>
          <t>Xipto Esports</t>
        </is>
      </c>
      <c r="AS81" s="24" t="inlineStr">
        <is>
          <t>ZETA DIVISION</t>
        </is>
      </c>
      <c r="AT81" s="24" t="inlineStr">
        <is>
          <t>ZETA DIVISION</t>
        </is>
      </c>
      <c r="AU81" s="24" t="inlineStr">
        <is>
          <t>ZETA DIVISION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2043c46d82c31ecb84278542994aacfd2762a7c2cef180e6420737021ee7cffb</t>
        </is>
      </c>
      <c r="BB81" s="24" t="inlineStr">
        <is>
          <t>neutral_elo</t>
        </is>
      </c>
      <c r="BC81" s="24" t="inlineStr">
        <is>
          <t>valorant-tiered-elo-v6</t>
        </is>
      </c>
      <c r="BD81" s="24" t="inlineStr">
        <is>
          <t>2043c46d82c31ecb84278542994aacfd2762a7c2cef180e6420737021ee7cffb</t>
        </is>
      </c>
      <c r="BE81" s="24" t="inlineStr">
        <is>
          <t>1</t>
        </is>
      </c>
      <c r="BF81" s="24" t="inlineStr">
        <is>
          <t>1</t>
        </is>
      </c>
      <c r="BG81" s="24" t="inlineStr">
        <is>
          <t>valorant-tiered-elo-v6</t>
        </is>
      </c>
      <c r="BH81" s="24" t="inlineStr">
        <is>
          <t>2026-08-20T09:42:14.699562Z</t>
        </is>
      </c>
      <c r="BI81" s="24" t="inlineStr">
        <is>
          <t>["same_event","same_team_same_day","same_league_same_day"]</t>
        </is>
      </c>
      <c r="BJ81" s="25" t="n"/>
      <c r="BK81" s="26" t="n">
        <v>-138</v>
      </c>
      <c r="BL81" s="27" t="n">
        <v>1.724638</v>
      </c>
      <c r="BM81" s="28" t="n">
        <v>0.579832</v>
      </c>
      <c r="BN81" s="28" t="n"/>
      <c r="BO81" s="28" t="n"/>
      <c r="BP81" s="25" t="n"/>
      <c r="BQ81" s="27" t="n">
        <v>1.724638</v>
      </c>
      <c r="BR81" s="28" t="n">
        <v>0.58</v>
      </c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False</t>
        </is>
      </c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inlineStr">
        <is>
          <t>0.579832</t>
        </is>
      </c>
      <c r="DK81" s="24" t="n"/>
      <c r="DL81" s="24" t="n"/>
      <c r="DM81" s="24" t="n"/>
      <c r="DN81" s="24" t="n"/>
      <c r="DO81" s="24" t="n"/>
      <c r="DP81" s="24" t="n"/>
      <c r="DQ81" s="24" t="n"/>
    </row>
    <row r="82" ht="36" customHeight="1">
      <c r="A82" s="24" t="inlineStr">
        <is>
          <t>9fdf0bcb2aee4d1f</t>
        </is>
      </c>
      <c r="B82" s="24" t="inlineStr">
        <is>
          <t>2026-08-20T12:47:58.268333Z</t>
        </is>
      </c>
      <c r="C82" s="24" t="inlineStr">
        <is>
          <t>2026-08-20T15:00:00Z</t>
        </is>
      </c>
      <c r="D82" s="24" t="inlineStr">
        <is>
          <t>84218</t>
        </is>
      </c>
      <c r="E82" s="24" t="inlineStr">
        <is>
          <t>VALORANT</t>
        </is>
      </c>
      <c r="F82" s="24" t="inlineStr">
        <is>
          <t>FUT Esports</t>
        </is>
      </c>
      <c r="G82" s="24" t="inlineStr">
        <is>
          <t>Team Liquid</t>
        </is>
      </c>
      <c r="H82" s="24" t="inlineStr">
        <is>
          <t>moneyline</t>
        </is>
      </c>
      <c r="I82" s="24" t="inlineStr">
        <is>
          <t>away</t>
        </is>
      </c>
      <c r="J82" s="25" t="n"/>
      <c r="K82" s="24" t="inlineStr">
        <is>
          <t>polymarket_us</t>
        </is>
      </c>
      <c r="L82" s="26" t="n">
        <v>127</v>
      </c>
      <c r="M82" s="27" t="n">
        <v>2.27</v>
      </c>
      <c r="N82" s="28" t="n">
        <v>0.440529</v>
      </c>
      <c r="O82" s="28" t="n">
        <v>0.60559</v>
      </c>
      <c r="P82" s="28" t="n"/>
      <c r="Q82" s="28" t="n">
        <v>0.165061</v>
      </c>
      <c r="R82" s="26" t="n">
        <v>100</v>
      </c>
      <c r="S82" s="29" t="n">
        <v>1.25</v>
      </c>
      <c r="T82" s="24" t="inlineStr">
        <is>
          <t>valorant-tiered-elo-v6</t>
        </is>
      </c>
      <c r="U82" s="24" t="inlineStr">
        <is>
          <t>settled</t>
        </is>
      </c>
      <c r="V82" s="24" t="inlineStr">
        <is>
          <t>win</t>
        </is>
      </c>
      <c r="W82" s="26" t="n">
        <v>1</v>
      </c>
      <c r="X82" s="26" t="n">
        <v>0</v>
      </c>
      <c r="Y82" s="25" t="n"/>
      <c r="Z82" s="26" t="n">
        <v>127</v>
      </c>
      <c r="AA82" s="28" t="n">
        <v>0.44</v>
      </c>
      <c r="AB82" s="28" t="n">
        <v>-0.000529</v>
      </c>
      <c r="AC82" s="30" t="n">
        <v>1.5875</v>
      </c>
      <c r="AD82" s="24" t="inlineStr">
        <is>
          <t>2026-08-20T22:22:22.811643Z</t>
        </is>
      </c>
      <c r="AE82" s="31" t="inlineStr">
        <is>
          <t>Neutral Elo baseline; executable ask 0.4400 (market_slug=aec-valorant-tl-fut-2026-08-20).</t>
        </is>
      </c>
      <c r="AF82" s="31" t="inlineStr">
        <is>
          <t>Config-promoted esports baseline; gates enforced at log time.</t>
        </is>
      </c>
      <c r="AG82" s="24" t="inlineStr">
        <is>
          <t>not_applicable</t>
        </is>
      </c>
      <c r="AH82" s="24" t="n"/>
      <c r="AI82" s="31" t="n"/>
      <c r="AJ82" s="31" t="n"/>
      <c r="AK82" s="24" t="inlineStr">
        <is>
          <t>model_qualified</t>
        </is>
      </c>
      <c r="AL82" s="26" t="n">
        <v>3</v>
      </c>
      <c r="AM82" s="24" t="inlineStr">
        <is>
          <t>QUALIFIED_SHADOW_CALL</t>
        </is>
      </c>
      <c r="AN82" s="24" t="inlineStr">
        <is>
          <t>CALL</t>
        </is>
      </c>
      <c r="AO82" s="24" t="inlineStr">
        <is>
          <t>QUALIFIED</t>
        </is>
      </c>
      <c r="AP82" s="24" t="inlineStr">
        <is>
          <t>FUT Esports</t>
        </is>
      </c>
      <c r="AQ82" s="24" t="inlineStr">
        <is>
          <t>FUT Esports</t>
        </is>
      </c>
      <c r="AR82" s="24" t="inlineStr">
        <is>
          <t>FUT Esports</t>
        </is>
      </c>
      <c r="AS82" s="24" t="inlineStr">
        <is>
          <t>Team Liquid</t>
        </is>
      </c>
      <c r="AT82" s="24" t="inlineStr">
        <is>
          <t>Team Liquid</t>
        </is>
      </c>
      <c r="AU82" s="24" t="inlineStr">
        <is>
          <t>Team Liquid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73997a720a3cb8295308c6acc661d1e67eb6f5e9cdd9975c9eab925618662e5a</t>
        </is>
      </c>
      <c r="BB82" s="24" t="inlineStr">
        <is>
          <t>neutral_elo</t>
        </is>
      </c>
      <c r="BC82" s="24" t="inlineStr">
        <is>
          <t>valorant-tiered-elo-v6</t>
        </is>
      </c>
      <c r="BD82" s="24" t="inlineStr">
        <is>
          <t>73997a720a3cb8295308c6acc661d1e67eb6f5e9cdd9975c9eab925618662e5a</t>
        </is>
      </c>
      <c r="BE82" s="24" t="inlineStr">
        <is>
          <t>1</t>
        </is>
      </c>
      <c r="BF82" s="24" t="inlineStr">
        <is>
          <t>1</t>
        </is>
      </c>
      <c r="BG82" s="24" t="inlineStr">
        <is>
          <t>valorant-tiered-elo-v6</t>
        </is>
      </c>
      <c r="BH82" s="24" t="inlineStr">
        <is>
          <t>2026-08-20T12:47:57.178386Z</t>
        </is>
      </c>
      <c r="BI82" s="24" t="inlineStr">
        <is>
          <t>["same_event","same_team_same_day","same_league_same_day"]</t>
        </is>
      </c>
      <c r="BJ82" s="25" t="n"/>
      <c r="BK82" s="26" t="n">
        <v>127</v>
      </c>
      <c r="BL82" s="27" t="n">
        <v>2.27</v>
      </c>
      <c r="BM82" s="28" t="n">
        <v>0.440529</v>
      </c>
      <c r="BN82" s="28" t="n"/>
      <c r="BO82" s="28" t="n"/>
      <c r="BP82" s="25" t="n"/>
      <c r="BQ82" s="27" t="n">
        <v>2.27</v>
      </c>
      <c r="BR82" s="28" t="n">
        <v>0.44</v>
      </c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inlineStr">
        <is>
          <t>True</t>
        </is>
      </c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inlineStr">
        <is>
          <t>0.440529</t>
        </is>
      </c>
      <c r="DK82" s="24" t="n"/>
      <c r="DL82" s="24" t="n"/>
      <c r="DM82" s="24" t="n"/>
      <c r="DN82" s="24" t="n"/>
      <c r="DO82" s="24" t="n"/>
      <c r="DP82" s="24" t="n"/>
      <c r="DQ82" s="24" t="n"/>
    </row>
    <row r="83" ht="36" customHeight="1">
      <c r="A83" s="24" t="inlineStr">
        <is>
          <t>c024aba21d7345ca</t>
        </is>
      </c>
      <c r="B83" s="24" t="inlineStr">
        <is>
          <t>2026-08-20T18:57:30.603796Z</t>
        </is>
      </c>
      <c r="C83" s="24" t="inlineStr">
        <is>
          <t>2026-08-20T21:00:00Z</t>
        </is>
      </c>
      <c r="D83" s="24" t="inlineStr">
        <is>
          <t>84848</t>
        </is>
      </c>
      <c r="E83" s="24" t="inlineStr">
        <is>
          <t>VALORANT</t>
        </is>
      </c>
      <c r="F83" s="24" t="inlineStr">
        <is>
          <t>2GAME Esports</t>
        </is>
      </c>
      <c r="G83" s="24" t="inlineStr">
        <is>
          <t>Sentinels</t>
        </is>
      </c>
      <c r="H83" s="24" t="inlineStr">
        <is>
          <t>moneyline</t>
        </is>
      </c>
      <c r="I83" s="24" t="inlineStr">
        <is>
          <t>away</t>
        </is>
      </c>
      <c r="J83" s="25" t="n"/>
      <c r="K83" s="24" t="inlineStr">
        <is>
          <t>polymarket_us</t>
        </is>
      </c>
      <c r="L83" s="26" t="n">
        <v>212</v>
      </c>
      <c r="M83" s="27" t="n">
        <v>3.12</v>
      </c>
      <c r="N83" s="28" t="n">
        <v>0.320513</v>
      </c>
      <c r="O83" s="28" t="n">
        <v>0.617325</v>
      </c>
      <c r="P83" s="28" t="n"/>
      <c r="Q83" s="28" t="n">
        <v>0.296812</v>
      </c>
      <c r="R83" s="26" t="n">
        <v>100</v>
      </c>
      <c r="S83" s="29" t="n">
        <v>1.5</v>
      </c>
      <c r="T83" s="24" t="inlineStr">
        <is>
          <t>valorant-tiered-elo-v6</t>
        </is>
      </c>
      <c r="U83" s="24" t="inlineStr">
        <is>
          <t>settled</t>
        </is>
      </c>
      <c r="V83" s="24" t="inlineStr">
        <is>
          <t>loss</t>
        </is>
      </c>
      <c r="W83" s="26" t="n">
        <v>0</v>
      </c>
      <c r="X83" s="26" t="n">
        <v>1</v>
      </c>
      <c r="Y83" s="25" t="n"/>
      <c r="Z83" s="26" t="n">
        <v>212</v>
      </c>
      <c r="AA83" s="28" t="n">
        <v>0.32</v>
      </c>
      <c r="AB83" s="28" t="n">
        <v>-0.000513</v>
      </c>
      <c r="AC83" s="30" t="n">
        <v>-1.5</v>
      </c>
      <c r="AD83" s="24" t="inlineStr">
        <is>
          <t>2026-08-21T01:26:01.251721Z</t>
        </is>
      </c>
      <c r="AE83" s="31" t="inlineStr">
        <is>
          <t>Neutral Elo baseline; executable ask 0.3200 (market_slug=aec-valorant-sen-2game-2026-08-20).</t>
        </is>
      </c>
      <c r="AF83" s="31" t="inlineStr">
        <is>
          <t>Config-promoted esports baseline; gates enforced at log time.</t>
        </is>
      </c>
      <c r="AG83" s="24" t="inlineStr">
        <is>
          <t>review_required</t>
        </is>
      </c>
      <c r="AH83" s="24" t="n"/>
      <c r="AI83" s="31" t="n"/>
      <c r="AJ83" s="31" t="n"/>
      <c r="AK83" s="24" t="inlineStr">
        <is>
          <t>model_qualified</t>
        </is>
      </c>
      <c r="AL83" s="26" t="n">
        <v>3</v>
      </c>
      <c r="AM83" s="24" t="inlineStr">
        <is>
          <t>QUALIFIED_SHADOW_CALL</t>
        </is>
      </c>
      <c r="AN83" s="24" t="inlineStr">
        <is>
          <t>CALL</t>
        </is>
      </c>
      <c r="AO83" s="24" t="inlineStr">
        <is>
          <t>QUALIFIED</t>
        </is>
      </c>
      <c r="AP83" s="24" t="inlineStr">
        <is>
          <t>2GAME Esports</t>
        </is>
      </c>
      <c r="AQ83" s="24" t="inlineStr">
        <is>
          <t>2GAME Esports</t>
        </is>
      </c>
      <c r="AR83" s="24" t="inlineStr">
        <is>
          <t>2GAME Esports</t>
        </is>
      </c>
      <c r="AS83" s="24" t="inlineStr">
        <is>
          <t>Sentinels</t>
        </is>
      </c>
      <c r="AT83" s="24" t="inlineStr">
        <is>
          <t>Sentinels</t>
        </is>
      </c>
      <c r="AU83" s="24" t="inlineStr">
        <is>
          <t>Sentinels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15c70d8d8a19d62f81ff25765fe7bcbbcce25aae354fe14a07d3d0db47b6b880</t>
        </is>
      </c>
      <c r="BB83" s="24" t="inlineStr">
        <is>
          <t>neutral_elo</t>
        </is>
      </c>
      <c r="BC83" s="24" t="inlineStr">
        <is>
          <t>valorant-tiered-elo-v6</t>
        </is>
      </c>
      <c r="BD83" s="24" t="inlineStr">
        <is>
          <t>15c70d8d8a19d62f81ff25765fe7bcbbcce25aae354fe14a07d3d0db47b6b880</t>
        </is>
      </c>
      <c r="BE83" s="24" t="inlineStr">
        <is>
          <t>1</t>
        </is>
      </c>
      <c r="BF83" s="24" t="inlineStr">
        <is>
          <t>1</t>
        </is>
      </c>
      <c r="BG83" s="24" t="inlineStr">
        <is>
          <t>valorant-tiered-elo-v6</t>
        </is>
      </c>
      <c r="BH83" s="24" t="inlineStr">
        <is>
          <t>2026-08-20T18:57:29.589362Z</t>
        </is>
      </c>
      <c r="BI83" s="24" t="inlineStr">
        <is>
          <t>["same_event","same_team_same_day","same_league_same_day"]</t>
        </is>
      </c>
      <c r="BJ83" s="25" t="n"/>
      <c r="BK83" s="26" t="n">
        <v>212</v>
      </c>
      <c r="BL83" s="27" t="n">
        <v>3.12</v>
      </c>
      <c r="BM83" s="28" t="n">
        <v>0.320513</v>
      </c>
      <c r="BN83" s="28" t="n"/>
      <c r="BO83" s="28" t="n"/>
      <c r="BP83" s="25" t="n"/>
      <c r="BQ83" s="27" t="n">
        <v>3.12</v>
      </c>
      <c r="BR83" s="28" t="n">
        <v>0.32</v>
      </c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inlineStr">
        <is>
          <t>True</t>
        </is>
      </c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inlineStr">
        <is>
          <t>0.320513</t>
        </is>
      </c>
      <c r="DK83" s="24" t="n"/>
      <c r="DL83" s="24" t="n"/>
      <c r="DM83" s="24" t="n"/>
      <c r="DN83" s="24" t="n"/>
      <c r="DO83" s="24" t="n"/>
      <c r="DP83" s="24" t="n"/>
      <c r="DQ83" s="24" t="n"/>
    </row>
    <row r="84" ht="36" customHeight="1">
      <c r="A84" s="24" t="inlineStr">
        <is>
          <t>eefe2aa403ed4aa5</t>
        </is>
      </c>
      <c r="B84" s="24" t="inlineStr">
        <is>
          <t>2026-08-20T22:24:18.049181Z</t>
        </is>
      </c>
      <c r="C84" s="24" t="inlineStr">
        <is>
          <t>2026-08-21T00:00:00Z</t>
        </is>
      </c>
      <c r="D84" s="24" t="inlineStr">
        <is>
          <t>84971</t>
        </is>
      </c>
      <c r="E84" s="24" t="inlineStr">
        <is>
          <t>VALORANT</t>
        </is>
      </c>
      <c r="F84" s="24" t="inlineStr">
        <is>
          <t>Fluxo W7M</t>
        </is>
      </c>
      <c r="G84" s="24" t="inlineStr">
        <is>
          <t>KRÜ Esports</t>
        </is>
      </c>
      <c r="H84" s="24" t="inlineStr">
        <is>
          <t>moneyline</t>
        </is>
      </c>
      <c r="I84" s="24" t="inlineStr">
        <is>
          <t>home</t>
        </is>
      </c>
      <c r="J84" s="25" t="n"/>
      <c r="K84" s="24" t="inlineStr">
        <is>
          <t>polymarket_us</t>
        </is>
      </c>
      <c r="L84" s="26" t="n">
        <v>-203</v>
      </c>
      <c r="M84" s="27" t="n">
        <v>1.492611</v>
      </c>
      <c r="N84" s="28" t="n">
        <v>0.669967</v>
      </c>
      <c r="O84" s="28" t="n">
        <v>0.545758</v>
      </c>
      <c r="P84" s="28" t="n"/>
      <c r="Q84" s="28" t="n">
        <v>-0.124209</v>
      </c>
      <c r="R84" s="26" t="n">
        <v>0</v>
      </c>
      <c r="S84" s="29" t="n">
        <v>1</v>
      </c>
      <c r="T84" s="24" t="inlineStr">
        <is>
          <t>valorant-tiered-elo-v6</t>
        </is>
      </c>
      <c r="U84" s="24" t="inlineStr">
        <is>
          <t>settled</t>
        </is>
      </c>
      <c r="V84" s="24" t="inlineStr">
        <is>
          <t>win</t>
        </is>
      </c>
      <c r="W84" s="26" t="n">
        <v>0</v>
      </c>
      <c r="X84" s="26" t="n">
        <v>1</v>
      </c>
      <c r="Y84" s="25" t="n"/>
      <c r="Z84" s="26" t="n">
        <v>-203</v>
      </c>
      <c r="AA84" s="28" t="n">
        <v>0.67</v>
      </c>
      <c r="AB84" s="28" t="n">
        <v>3.3e-05</v>
      </c>
      <c r="AC84" s="30" t="n">
        <v>0.4926</v>
      </c>
      <c r="AD84" s="24" t="inlineStr">
        <is>
          <t>2026-08-21T01:26:02.006359Z</t>
        </is>
      </c>
      <c r="AE84" s="31" t="inlineStr">
        <is>
          <t>Neutral Elo baseline; executable ask 0.6700 (market_slug=aec-valorant-kr-w7m-2026-08-21).</t>
        </is>
      </c>
      <c r="AF84" s="31" t="inlineStr">
        <is>
          <t>Config-promoted esports baseline; gates enforced at log time.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paper_call</t>
        </is>
      </c>
      <c r="AL84" s="26" t="n">
        <v>3</v>
      </c>
      <c r="AM84" s="24" t="inlineStr">
        <is>
          <t>RESEARCH_OBSERVATION</t>
        </is>
      </c>
      <c r="AN84" s="24" t="inlineStr">
        <is>
          <t>CALL</t>
        </is>
      </c>
      <c r="AO84" s="24" t="inlineStr">
        <is>
          <t>PAPER_CALL_LOW_EDGE</t>
        </is>
      </c>
      <c r="AP84" s="24" t="inlineStr">
        <is>
          <t>Fluxo W7M</t>
        </is>
      </c>
      <c r="AQ84" s="24" t="inlineStr">
        <is>
          <t>Fluxo W7M</t>
        </is>
      </c>
      <c r="AR84" s="24" t="inlineStr">
        <is>
          <t>Fluxo W7M</t>
        </is>
      </c>
      <c r="AS84" s="24" t="inlineStr">
        <is>
          <t>KRÜ Esports</t>
        </is>
      </c>
      <c r="AT84" s="24" t="inlineStr">
        <is>
          <t>KRÜ Esports</t>
        </is>
      </c>
      <c r="AU84" s="24" t="inlineStr">
        <is>
          <t>KRÜ Esports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723dc6c2989acae432eab840a213b99fe55536381a9159aade25105c6a1efa32</t>
        </is>
      </c>
      <c r="BB84" s="24" t="inlineStr">
        <is>
          <t>neutral_elo</t>
        </is>
      </c>
      <c r="BC84" s="24" t="inlineStr">
        <is>
          <t>valorant-tiered-elo-v6</t>
        </is>
      </c>
      <c r="BD84" s="24" t="inlineStr">
        <is>
          <t>723dc6c2989acae432eab840a213b99fe55536381a9159aade25105c6a1efa32</t>
        </is>
      </c>
      <c r="BE84" s="24" t="inlineStr">
        <is>
          <t>1</t>
        </is>
      </c>
      <c r="BF84" s="24" t="inlineStr">
        <is>
          <t>1</t>
        </is>
      </c>
      <c r="BG84" s="24" t="inlineStr">
        <is>
          <t>valorant-tiered-elo-v6</t>
        </is>
      </c>
      <c r="BH84" s="24" t="inlineStr">
        <is>
          <t>2026-08-20T22:24:17.011561Z</t>
        </is>
      </c>
      <c r="BI84" s="24" t="inlineStr">
        <is>
          <t>["same_event","same_team_same_day","same_league_same_day"]</t>
        </is>
      </c>
      <c r="BJ84" s="25" t="n"/>
      <c r="BK84" s="26" t="n">
        <v>-203</v>
      </c>
      <c r="BL84" s="27" t="n">
        <v>1.492611</v>
      </c>
      <c r="BM84" s="28" t="n">
        <v>0.669967</v>
      </c>
      <c r="BN84" s="28" t="n"/>
      <c r="BO84" s="28" t="n"/>
      <c r="BP84" s="25" t="n"/>
      <c r="BQ84" s="27" t="n">
        <v>1.492611</v>
      </c>
      <c r="BR84" s="28" t="n">
        <v>0.67</v>
      </c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inlineStr">
        <is>
          <t>False</t>
        </is>
      </c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inlineStr">
        <is>
          <t>0.669967</t>
        </is>
      </c>
      <c r="DK84" s="24" t="n"/>
      <c r="DL84" s="24" t="n"/>
      <c r="DM84" s="24" t="n"/>
      <c r="DN84" s="24" t="n"/>
      <c r="DO84" s="24" t="n"/>
      <c r="DP84" s="24" t="n"/>
      <c r="DQ84" s="24" t="n"/>
    </row>
    <row r="85" ht="36" customHeight="1">
      <c r="A85" s="24" t="inlineStr">
        <is>
          <t>a40f6a00222a43a4</t>
        </is>
      </c>
      <c r="B85" s="24" t="inlineStr">
        <is>
          <t>2026-08-21T04:32:28.223208Z</t>
        </is>
      </c>
      <c r="C85" s="24" t="inlineStr">
        <is>
          <t>2026-08-21T08:00:00Z</t>
        </is>
      </c>
      <c r="D85" s="24" t="inlineStr">
        <is>
          <t>86291</t>
        </is>
      </c>
      <c r="E85" s="24" t="inlineStr">
        <is>
          <t>VALORANT</t>
        </is>
      </c>
      <c r="F85" s="24" t="inlineStr">
        <is>
          <t>Bilibili Gaming</t>
        </is>
      </c>
      <c r="G85" s="24" t="inlineStr">
        <is>
          <t>JD Gaming</t>
        </is>
      </c>
      <c r="H85" s="24" t="inlineStr">
        <is>
          <t>moneyline</t>
        </is>
      </c>
      <c r="I85" s="24" t="inlineStr">
        <is>
          <t>away</t>
        </is>
      </c>
      <c r="J85" s="25" t="n"/>
      <c r="K85" s="24" t="inlineStr">
        <is>
          <t>polymarket_us</t>
        </is>
      </c>
      <c r="L85" s="26" t="n">
        <v>-150</v>
      </c>
      <c r="M85" s="27" t="n">
        <v>1.666667</v>
      </c>
      <c r="N85" s="28" t="n">
        <v>0.6</v>
      </c>
      <c r="O85" s="28" t="n">
        <v>0.5924469999999999</v>
      </c>
      <c r="P85" s="28" t="n"/>
      <c r="Q85" s="28" t="n">
        <v>-0.007553</v>
      </c>
      <c r="R85" s="26" t="n">
        <v>16</v>
      </c>
      <c r="S85" s="29" t="n">
        <v>1.25</v>
      </c>
      <c r="T85" s="24" t="inlineStr">
        <is>
          <t>valorant-tiered-elo-v6</t>
        </is>
      </c>
      <c r="U85" s="24" t="inlineStr">
        <is>
          <t>settled</t>
        </is>
      </c>
      <c r="V85" s="24" t="inlineStr">
        <is>
          <t>loss</t>
        </is>
      </c>
      <c r="W85" s="26" t="n">
        <v>0</v>
      </c>
      <c r="X85" s="26" t="n">
        <v>1</v>
      </c>
      <c r="Y85" s="25" t="n"/>
      <c r="Z85" s="26" t="n">
        <v>-150</v>
      </c>
      <c r="AA85" s="28" t="n">
        <v>0.6</v>
      </c>
      <c r="AB85" s="28" t="n">
        <v>0</v>
      </c>
      <c r="AC85" s="30" t="n">
        <v>-1.25</v>
      </c>
      <c r="AD85" s="24" t="inlineStr">
        <is>
          <t>2026-08-21T11:27:11.784126Z</t>
        </is>
      </c>
      <c r="AE85" s="31" t="inlineStr">
        <is>
          <t>Neutral Elo baseline; executable ask 0.6000 (market_slug=aec-valorant-jdg-blg-2026-08-21).</t>
        </is>
      </c>
      <c r="AF85" s="31" t="inlineStr">
        <is>
          <t>Config-promoted esports baseline; gates enforced at log time.</t>
        </is>
      </c>
      <c r="AG85" s="24" t="inlineStr">
        <is>
          <t>review_required</t>
        </is>
      </c>
      <c r="AH85" s="24" t="n"/>
      <c r="AI85" s="31" t="n"/>
      <c r="AJ85" s="31" t="n"/>
      <c r="AK85" s="24" t="inlineStr">
        <is>
          <t>paper_call</t>
        </is>
      </c>
      <c r="AL85" s="26" t="n">
        <v>4</v>
      </c>
      <c r="AM85" s="24" t="inlineStr">
        <is>
          <t>RESEARCH_OBSERVATION</t>
        </is>
      </c>
      <c r="AN85" s="24" t="inlineStr">
        <is>
          <t>CALL</t>
        </is>
      </c>
      <c r="AO85" s="24" t="inlineStr">
        <is>
          <t>PAPER_CALL_LOW_EDGE</t>
        </is>
      </c>
      <c r="AP85" s="24" t="inlineStr">
        <is>
          <t>Bilibili Gaming</t>
        </is>
      </c>
      <c r="AQ85" s="24" t="inlineStr">
        <is>
          <t>Bilibili Gaming</t>
        </is>
      </c>
      <c r="AR85" s="24" t="inlineStr">
        <is>
          <t>Bilibili Gaming</t>
        </is>
      </c>
      <c r="AS85" s="24" t="inlineStr">
        <is>
          <t>JD Gaming</t>
        </is>
      </c>
      <c r="AT85" s="24" t="inlineStr">
        <is>
          <t>JD Gaming</t>
        </is>
      </c>
      <c r="AU85" s="24" t="inlineStr">
        <is>
          <t>JD Gaming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67f962b91afa23ee5eb2a70b88708d5667fbc538cf2c3e68235133a3a978a371</t>
        </is>
      </c>
      <c r="BB85" s="24" t="inlineStr">
        <is>
          <t>neutral_elo</t>
        </is>
      </c>
      <c r="BC85" s="24" t="inlineStr">
        <is>
          <t>valorant-tiered-elo-v6</t>
        </is>
      </c>
      <c r="BD85" s="24" t="inlineStr">
        <is>
          <t>67f962b91afa23ee5eb2a70b88708d5667fbc538cf2c3e68235133a3a978a371</t>
        </is>
      </c>
      <c r="BE85" s="24" t="inlineStr">
        <is>
          <t>1</t>
        </is>
      </c>
      <c r="BF85" s="24" t="inlineStr">
        <is>
          <t>1</t>
        </is>
      </c>
      <c r="BG85" s="24" t="inlineStr">
        <is>
          <t>valorant-tiered-elo-v6</t>
        </is>
      </c>
      <c r="BH85" s="24" t="inlineStr">
        <is>
          <t>2026-08-21T04:32:26.212631Z</t>
        </is>
      </c>
      <c r="BI85" s="24" t="inlineStr">
        <is>
          <t>["same_event","same_team_same_day","same_league_same_day"]</t>
        </is>
      </c>
      <c r="BJ85" s="25" t="n"/>
      <c r="BK85" s="26" t="n">
        <v>-150</v>
      </c>
      <c r="BL85" s="27" t="n">
        <v>1.666667</v>
      </c>
      <c r="BM85" s="28" t="n">
        <v>0.6</v>
      </c>
      <c r="BN85" s="28" t="n"/>
      <c r="BO85" s="28" t="n"/>
      <c r="BP85" s="25" t="n"/>
      <c r="BQ85" s="27" t="n">
        <v>1.666667</v>
      </c>
      <c r="BR85" s="28" t="n">
        <v>0.6</v>
      </c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False</t>
        </is>
      </c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inlineStr">
        <is>
          <t>0.6</t>
        </is>
      </c>
      <c r="DK85" s="24" t="n"/>
      <c r="DL85" s="24" t="n"/>
      <c r="DM85" s="24" t="n"/>
      <c r="DN85" s="24" t="n"/>
      <c r="DO85" s="24" t="n"/>
      <c r="DP85" s="24" t="n"/>
      <c r="DQ85" s="24" t="n"/>
    </row>
    <row r="86" ht="36" customHeight="1">
      <c r="A86" s="24" t="inlineStr">
        <is>
          <t>0d14714d37f54651</t>
        </is>
      </c>
      <c r="B86" s="24" t="inlineStr">
        <is>
          <t>2026-08-21T04:32:28.223208Z</t>
        </is>
      </c>
      <c r="C86" s="24" t="inlineStr">
        <is>
          <t>2026-08-21T08:00:00Z</t>
        </is>
      </c>
      <c r="D86" s="24" t="inlineStr">
        <is>
          <t>85091</t>
        </is>
      </c>
      <c r="E86" s="24" t="inlineStr">
        <is>
          <t>VALORANT</t>
        </is>
      </c>
      <c r="F86" s="24" t="inlineStr">
        <is>
          <t>Sharper Esport</t>
        </is>
      </c>
      <c r="G86" s="24" t="inlineStr">
        <is>
          <t>Kiwoom DRX</t>
        </is>
      </c>
      <c r="H86" s="24" t="inlineStr">
        <is>
          <t>moneyline</t>
        </is>
      </c>
      <c r="I86" s="24" t="inlineStr">
        <is>
          <t>away</t>
        </is>
      </c>
      <c r="J86" s="25" t="n"/>
      <c r="K86" s="24" t="inlineStr">
        <is>
          <t>polymarket_us</t>
        </is>
      </c>
      <c r="L86" s="26" t="n">
        <v>144</v>
      </c>
      <c r="M86" s="27" t="n">
        <v>2.44</v>
      </c>
      <c r="N86" s="28" t="n">
        <v>0.409836</v>
      </c>
      <c r="O86" s="28" t="n">
        <v>0.668922</v>
      </c>
      <c r="P86" s="28" t="n"/>
      <c r="Q86" s="28" t="n">
        <v>0.259086</v>
      </c>
      <c r="R86" s="26" t="n">
        <v>100</v>
      </c>
      <c r="S86" s="29" t="n">
        <v>1.75</v>
      </c>
      <c r="T86" s="24" t="inlineStr">
        <is>
          <t>valorant-tiered-elo-v6</t>
        </is>
      </c>
      <c r="U86" s="24" t="inlineStr">
        <is>
          <t>settled</t>
        </is>
      </c>
      <c r="V86" s="24" t="inlineStr">
        <is>
          <t>loss</t>
        </is>
      </c>
      <c r="W86" s="26" t="n">
        <v>0</v>
      </c>
      <c r="X86" s="26" t="n">
        <v>1</v>
      </c>
      <c r="Y86" s="25" t="n"/>
      <c r="Z86" s="26" t="n">
        <v>144</v>
      </c>
      <c r="AA86" s="28" t="n">
        <v>0.41</v>
      </c>
      <c r="AB86" s="28" t="n">
        <v>0.000164</v>
      </c>
      <c r="AC86" s="30" t="n">
        <v>-1.75</v>
      </c>
      <c r="AD86" s="24" t="inlineStr">
        <is>
          <t>2026-08-21T11:27:12.737840Z</t>
        </is>
      </c>
      <c r="AE86" s="31" t="inlineStr">
        <is>
          <t>Neutral Elo baseline; executable ask 0.4100 (market_slug=aec-valorant-krx-spe-2026-08-21).</t>
        </is>
      </c>
      <c r="AF86" s="31" t="inlineStr">
        <is>
          <t>Config-promoted esports baseline; gates enforced at log time.</t>
        </is>
      </c>
      <c r="AG86" s="24" t="inlineStr">
        <is>
          <t>review_required</t>
        </is>
      </c>
      <c r="AH86" s="24" t="n"/>
      <c r="AI86" s="31" t="n"/>
      <c r="AJ86" s="31" t="n"/>
      <c r="AK86" s="24" t="inlineStr">
        <is>
          <t>model_qualified</t>
        </is>
      </c>
      <c r="AL86" s="26" t="n">
        <v>4</v>
      </c>
      <c r="AM86" s="24" t="inlineStr">
        <is>
          <t>QUALIFIED_SHADOW_CALL</t>
        </is>
      </c>
      <c r="AN86" s="24" t="inlineStr">
        <is>
          <t>CALL</t>
        </is>
      </c>
      <c r="AO86" s="24" t="inlineStr">
        <is>
          <t>QUALIFIED</t>
        </is>
      </c>
      <c r="AP86" s="24" t="inlineStr">
        <is>
          <t>Sharper Esport</t>
        </is>
      </c>
      <c r="AQ86" s="24" t="inlineStr">
        <is>
          <t>Sharper Esport</t>
        </is>
      </c>
      <c r="AR86" s="24" t="inlineStr">
        <is>
          <t>Sharper Esport</t>
        </is>
      </c>
      <c r="AS86" s="24" t="inlineStr">
        <is>
          <t>Kiwoom DRX</t>
        </is>
      </c>
      <c r="AT86" s="24" t="inlineStr">
        <is>
          <t>Kiwoom DRX</t>
        </is>
      </c>
      <c r="AU86" s="24" t="inlineStr">
        <is>
          <t>Kiwoom DRX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67f962b91afa23ee5eb2a70b88708d5667fbc538cf2c3e68235133a3a978a371</t>
        </is>
      </c>
      <c r="BB86" s="24" t="inlineStr">
        <is>
          <t>neutral_elo</t>
        </is>
      </c>
      <c r="BC86" s="24" t="inlineStr">
        <is>
          <t>valorant-tiered-elo-v6</t>
        </is>
      </c>
      <c r="BD86" s="24" t="inlineStr">
        <is>
          <t>67f962b91afa23ee5eb2a70b88708d5667fbc538cf2c3e68235133a3a978a371</t>
        </is>
      </c>
      <c r="BE86" s="24" t="inlineStr">
        <is>
          <t>1</t>
        </is>
      </c>
      <c r="BF86" s="24" t="inlineStr">
        <is>
          <t>1</t>
        </is>
      </c>
      <c r="BG86" s="24" t="inlineStr">
        <is>
          <t>valorant-tiered-elo-v6</t>
        </is>
      </c>
      <c r="BH86" s="24" t="inlineStr">
        <is>
          <t>2026-08-21T04:32:26.329654Z</t>
        </is>
      </c>
      <c r="BI86" s="24" t="inlineStr">
        <is>
          <t>["same_event","same_team_same_day","same_league_same_day"]</t>
        </is>
      </c>
      <c r="BJ86" s="25" t="n"/>
      <c r="BK86" s="26" t="n">
        <v>144</v>
      </c>
      <c r="BL86" s="27" t="n">
        <v>2.44</v>
      </c>
      <c r="BM86" s="28" t="n">
        <v>0.409836</v>
      </c>
      <c r="BN86" s="28" t="n"/>
      <c r="BO86" s="28" t="n"/>
      <c r="BP86" s="25" t="n"/>
      <c r="BQ86" s="27" t="n">
        <v>2.44</v>
      </c>
      <c r="BR86" s="28" t="n">
        <v>0.41</v>
      </c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True</t>
        </is>
      </c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inlineStr">
        <is>
          <t>0.409836</t>
        </is>
      </c>
      <c r="DK86" s="24" t="n"/>
      <c r="DL86" s="24" t="n"/>
      <c r="DM86" s="24" t="n"/>
      <c r="DN86" s="24" t="n"/>
      <c r="DO86" s="24" t="n"/>
      <c r="DP86" s="24" t="n"/>
      <c r="DQ86" s="24" t="n"/>
    </row>
    <row r="87" ht="36" customHeight="1">
      <c r="A87" s="24" t="inlineStr">
        <is>
          <t>55fd24db734a4897</t>
        </is>
      </c>
      <c r="B87" s="24" t="inlineStr">
        <is>
          <t>2026-08-21T04:32:28.223208Z</t>
        </is>
      </c>
      <c r="C87" s="24" t="inlineStr">
        <is>
          <t>2026-08-21T10:00:00Z</t>
        </is>
      </c>
      <c r="D87" s="24" t="inlineStr">
        <is>
          <t>87304</t>
        </is>
      </c>
      <c r="E87" s="24" t="inlineStr">
        <is>
          <t>VALORANT</t>
        </is>
      </c>
      <c r="F87" s="24" t="inlineStr">
        <is>
          <t>Nova Esports</t>
        </is>
      </c>
      <c r="G87" s="24" t="inlineStr">
        <is>
          <t>TYLOO</t>
        </is>
      </c>
      <c r="H87" s="24" t="inlineStr">
        <is>
          <t>moneyline</t>
        </is>
      </c>
      <c r="I87" s="24" t="inlineStr">
        <is>
          <t>away</t>
        </is>
      </c>
      <c r="J87" s="25" t="n"/>
      <c r="K87" s="24" t="inlineStr">
        <is>
          <t>polymarket_us</t>
        </is>
      </c>
      <c r="L87" s="26" t="n">
        <v>-117</v>
      </c>
      <c r="M87" s="27" t="n">
        <v>1.854701</v>
      </c>
      <c r="N87" s="28" t="n">
        <v>0.539171</v>
      </c>
      <c r="O87" s="28" t="n">
        <v>0.604497</v>
      </c>
      <c r="P87" s="28" t="n"/>
      <c r="Q87" s="28" t="n">
        <v>0.065326</v>
      </c>
      <c r="R87" s="26" t="n">
        <v>53</v>
      </c>
      <c r="S87" s="29" t="n">
        <v>1.25</v>
      </c>
      <c r="T87" s="24" t="inlineStr">
        <is>
          <t>valorant-tiered-elo-v6</t>
        </is>
      </c>
      <c r="U87" s="24" t="inlineStr">
        <is>
          <t>settled</t>
        </is>
      </c>
      <c r="V87" s="24" t="inlineStr">
        <is>
          <t>loss</t>
        </is>
      </c>
      <c r="W87" s="26" t="n">
        <v>0</v>
      </c>
      <c r="X87" s="26" t="n">
        <v>1</v>
      </c>
      <c r="Y87" s="25" t="n"/>
      <c r="Z87" s="26" t="n">
        <v>-117</v>
      </c>
      <c r="AA87" s="28" t="n">
        <v>0.54</v>
      </c>
      <c r="AB87" s="28" t="n">
        <v>0.000829</v>
      </c>
      <c r="AC87" s="30" t="n">
        <v>-1.25</v>
      </c>
      <c r="AD87" s="24" t="inlineStr">
        <is>
          <t>2026-08-21T18:25:41.003311Z</t>
        </is>
      </c>
      <c r="AE87" s="31" t="inlineStr">
        <is>
          <t>Neutral Elo baseline; executable ask 0.5400 (market_slug=aec-valorant-tyloo-nova-2026-08-21).</t>
        </is>
      </c>
      <c r="AF87" s="31" t="inlineStr">
        <is>
          <t>Config-promoted esports baseline; gates enforced at log time.</t>
        </is>
      </c>
      <c r="AG87" s="24" t="inlineStr">
        <is>
          <t>review_required</t>
        </is>
      </c>
      <c r="AH87" s="24" t="n"/>
      <c r="AI87" s="31" t="n"/>
      <c r="AJ87" s="31" t="n"/>
      <c r="AK87" s="24" t="inlineStr">
        <is>
          <t>model_qualified</t>
        </is>
      </c>
      <c r="AL87" s="26" t="n">
        <v>4</v>
      </c>
      <c r="AM87" s="24" t="inlineStr">
        <is>
          <t>QUALIFIED_SHADOW_CALL</t>
        </is>
      </c>
      <c r="AN87" s="24" t="inlineStr">
        <is>
          <t>CALL</t>
        </is>
      </c>
      <c r="AO87" s="24" t="inlineStr">
        <is>
          <t>QUALIFIED</t>
        </is>
      </c>
      <c r="AP87" s="24" t="inlineStr">
        <is>
          <t>Nova Esports</t>
        </is>
      </c>
      <c r="AQ87" s="24" t="inlineStr">
        <is>
          <t>Nova Esports</t>
        </is>
      </c>
      <c r="AR87" s="24" t="inlineStr">
        <is>
          <t>Nova Esports</t>
        </is>
      </c>
      <c r="AS87" s="24" t="inlineStr">
        <is>
          <t>TYLOO</t>
        </is>
      </c>
      <c r="AT87" s="24" t="inlineStr">
        <is>
          <t>TYLOO</t>
        </is>
      </c>
      <c r="AU87" s="24" t="inlineStr">
        <is>
          <t>TYLOO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67f962b91afa23ee5eb2a70b88708d5667fbc538cf2c3e68235133a3a978a371</t>
        </is>
      </c>
      <c r="BB87" s="24" t="inlineStr">
        <is>
          <t>neutral_elo</t>
        </is>
      </c>
      <c r="BC87" s="24" t="inlineStr">
        <is>
          <t>valorant-tiered-elo-v6</t>
        </is>
      </c>
      <c r="BD87" s="24" t="inlineStr">
        <is>
          <t>67f962b91afa23ee5eb2a70b88708d5667fbc538cf2c3e68235133a3a978a371</t>
        </is>
      </c>
      <c r="BE87" s="24" t="inlineStr">
        <is>
          <t>1</t>
        </is>
      </c>
      <c r="BF87" s="24" t="inlineStr">
        <is>
          <t>1</t>
        </is>
      </c>
      <c r="BG87" s="24" t="inlineStr">
        <is>
          <t>valorant-tiered-elo-v6</t>
        </is>
      </c>
      <c r="BH87" s="24" t="inlineStr">
        <is>
          <t>2026-08-21T04:32:26.886347Z</t>
        </is>
      </c>
      <c r="BI87" s="24" t="inlineStr">
        <is>
          <t>["same_event","same_team_same_day","same_league_same_day"]</t>
        </is>
      </c>
      <c r="BJ87" s="25" t="n"/>
      <c r="BK87" s="26" t="n">
        <v>-117</v>
      </c>
      <c r="BL87" s="27" t="n">
        <v>1.854701</v>
      </c>
      <c r="BM87" s="28" t="n">
        <v>0.539171</v>
      </c>
      <c r="BN87" s="28" t="n"/>
      <c r="BO87" s="28" t="n"/>
      <c r="BP87" s="25" t="n"/>
      <c r="BQ87" s="27" t="n">
        <v>1.854701</v>
      </c>
      <c r="BR87" s="28" t="n">
        <v>0.54</v>
      </c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inlineStr">
        <is>
          <t>True</t>
        </is>
      </c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inlineStr">
        <is>
          <t>0.539171</t>
        </is>
      </c>
      <c r="DK87" s="24" t="n"/>
      <c r="DL87" s="24" t="n"/>
      <c r="DM87" s="24" t="n"/>
      <c r="DN87" s="24" t="n"/>
      <c r="DO87" s="24" t="n"/>
      <c r="DP87" s="24" t="n"/>
      <c r="DQ87" s="24" t="n"/>
    </row>
    <row r="88" ht="36" customHeight="1">
      <c r="A88" s="24" t="inlineStr">
        <is>
          <t>7852361136504b64</t>
        </is>
      </c>
      <c r="B88" s="24" t="inlineStr">
        <is>
          <t>2026-08-21T04:32:28.223208Z</t>
        </is>
      </c>
      <c r="C88" s="24" t="inlineStr">
        <is>
          <t>2026-08-21T11:00:00Z</t>
        </is>
      </c>
      <c r="D88" s="24" t="inlineStr">
        <is>
          <t>85169</t>
        </is>
      </c>
      <c r="E88" s="24" t="inlineStr">
        <is>
          <t>VALORANT</t>
        </is>
      </c>
      <c r="F88" s="24" t="inlineStr">
        <is>
          <t>Nongshim RedForce</t>
        </is>
      </c>
      <c r="G88" s="24" t="inlineStr">
        <is>
          <t>T1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-117</v>
      </c>
      <c r="M88" s="27" t="n">
        <v>1.854701</v>
      </c>
      <c r="N88" s="28" t="n">
        <v>0.539171</v>
      </c>
      <c r="O88" s="28" t="n">
        <v>0.50283</v>
      </c>
      <c r="P88" s="28" t="n"/>
      <c r="Q88" s="28" t="n">
        <v>-0.036341</v>
      </c>
      <c r="R88" s="26" t="n">
        <v>2</v>
      </c>
      <c r="S88" s="29" t="n">
        <v>1</v>
      </c>
      <c r="T88" s="24" t="inlineStr">
        <is>
          <t>valorant-tiered-elo-v6</t>
        </is>
      </c>
      <c r="U88" s="24" t="inlineStr">
        <is>
          <t>settled</t>
        </is>
      </c>
      <c r="V88" s="24" t="inlineStr">
        <is>
          <t>loss</t>
        </is>
      </c>
      <c r="W88" s="26" t="n">
        <v>1</v>
      </c>
      <c r="X88" s="26" t="n">
        <v>0</v>
      </c>
      <c r="Y88" s="25" t="n"/>
      <c r="Z88" s="26" t="n">
        <v>-117</v>
      </c>
      <c r="AA88" s="28" t="n">
        <v>0.54</v>
      </c>
      <c r="AB88" s="28" t="n">
        <v>0.000829</v>
      </c>
      <c r="AC88" s="30" t="n">
        <v>-1</v>
      </c>
      <c r="AD88" s="24" t="inlineStr">
        <is>
          <t>2026-08-21T18:25:41.759647Z</t>
        </is>
      </c>
      <c r="AE88" s="31" t="inlineStr">
        <is>
          <t>Neutral Elo baseline; executable ask 0.5400 (market_slug=aec-valorant-t1-ns-2026-08-21).</t>
        </is>
      </c>
      <c r="AF88" s="31" t="inlineStr">
        <is>
          <t>Config-promoted esports baseline; gates enforced at log time.</t>
        </is>
      </c>
      <c r="AG88" s="24" t="inlineStr">
        <is>
          <t>review_required</t>
        </is>
      </c>
      <c r="AH88" s="24" t="n"/>
      <c r="AI88" s="31" t="n"/>
      <c r="AJ88" s="31" t="n"/>
      <c r="AK88" s="24" t="inlineStr">
        <is>
          <t>paper_call</t>
        </is>
      </c>
      <c r="AL88" s="26" t="n">
        <v>4</v>
      </c>
      <c r="AM88" s="24" t="inlineStr">
        <is>
          <t>RESEARCH_OBSERVATION</t>
        </is>
      </c>
      <c r="AN88" s="24" t="inlineStr">
        <is>
          <t>CALL</t>
        </is>
      </c>
      <c r="AO88" s="24" t="inlineStr">
        <is>
          <t>PAPER_CALL_LOW_EDGE</t>
        </is>
      </c>
      <c r="AP88" s="24" t="inlineStr">
        <is>
          <t>Nongshim RedForce</t>
        </is>
      </c>
      <c r="AQ88" s="24" t="inlineStr">
        <is>
          <t>Nongshim RedForce</t>
        </is>
      </c>
      <c r="AR88" s="24" t="inlineStr">
        <is>
          <t>Nongshim RedForce</t>
        </is>
      </c>
      <c r="AS88" s="24" t="inlineStr">
        <is>
          <t>T1</t>
        </is>
      </c>
      <c r="AT88" s="24" t="inlineStr">
        <is>
          <t>T1</t>
        </is>
      </c>
      <c r="AU88" s="24" t="inlineStr">
        <is>
          <t>T1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67f962b91afa23ee5eb2a70b88708d5667fbc538cf2c3e68235133a3a978a371</t>
        </is>
      </c>
      <c r="BB88" s="24" t="inlineStr">
        <is>
          <t>neutral_elo</t>
        </is>
      </c>
      <c r="BC88" s="24" t="inlineStr">
        <is>
          <t>valorant-tiered-elo-v6</t>
        </is>
      </c>
      <c r="BD88" s="24" t="inlineStr">
        <is>
          <t>67f962b91afa23ee5eb2a70b88708d5667fbc538cf2c3e68235133a3a978a371</t>
        </is>
      </c>
      <c r="BE88" s="24" t="inlineStr">
        <is>
          <t>1</t>
        </is>
      </c>
      <c r="BF88" s="24" t="inlineStr">
        <is>
          <t>1</t>
        </is>
      </c>
      <c r="BG88" s="24" t="inlineStr">
        <is>
          <t>valorant-tiered-elo-v6</t>
        </is>
      </c>
      <c r="BH88" s="24" t="inlineStr">
        <is>
          <t>2026-08-21T04:32:26.999739Z</t>
        </is>
      </c>
      <c r="BI88" s="24" t="inlineStr">
        <is>
          <t>["same_event","same_team_same_day","same_league_same_day"]</t>
        </is>
      </c>
      <c r="BJ88" s="25" t="n"/>
      <c r="BK88" s="26" t="n">
        <v>-117</v>
      </c>
      <c r="BL88" s="27" t="n">
        <v>1.854701</v>
      </c>
      <c r="BM88" s="28" t="n">
        <v>0.539171</v>
      </c>
      <c r="BN88" s="28" t="n"/>
      <c r="BO88" s="28" t="n"/>
      <c r="BP88" s="25" t="n"/>
      <c r="BQ88" s="27" t="n">
        <v>1.854701</v>
      </c>
      <c r="BR88" s="28" t="n">
        <v>0.54</v>
      </c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False</t>
        </is>
      </c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inlineStr">
        <is>
          <t>0.539171</t>
        </is>
      </c>
      <c r="DK88" s="24" t="n"/>
      <c r="DL88" s="24" t="n"/>
      <c r="DM88" s="24" t="n"/>
      <c r="DN88" s="24" t="n"/>
      <c r="DO88" s="24" t="n"/>
      <c r="DP88" s="24" t="n"/>
      <c r="DQ88" s="24" t="n"/>
    </row>
    <row r="89" ht="36" customHeight="1">
      <c r="A89" s="24" t="inlineStr">
        <is>
          <t>d5fdb0193fbb4540</t>
        </is>
      </c>
      <c r="B89" s="24" t="inlineStr">
        <is>
          <t>2026-08-21T11:34:16.777709Z</t>
        </is>
      </c>
      <c r="C89" s="24" t="inlineStr">
        <is>
          <t>2026-08-21T15:00:00Z</t>
        </is>
      </c>
      <c r="D89" s="24" t="inlineStr">
        <is>
          <t>87411</t>
        </is>
      </c>
      <c r="E89" s="24" t="inlineStr">
        <is>
          <t>VALORANT</t>
        </is>
      </c>
      <c r="F89" s="24" t="inlineStr">
        <is>
          <t>Karmine Corp</t>
        </is>
      </c>
      <c r="G89" s="24" t="inlineStr">
        <is>
          <t>Enterprise Esports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122</v>
      </c>
      <c r="M89" s="27" t="n">
        <v>2.22</v>
      </c>
      <c r="N89" s="28" t="n">
        <v>0.45045</v>
      </c>
      <c r="O89" s="28" t="n">
        <v>0.8462460000000001</v>
      </c>
      <c r="P89" s="28" t="n"/>
      <c r="Q89" s="28" t="n">
        <v>0.395796</v>
      </c>
      <c r="R89" s="26" t="n">
        <v>100</v>
      </c>
      <c r="S89" s="29" t="n">
        <v>2</v>
      </c>
      <c r="T89" s="24" t="inlineStr">
        <is>
          <t>valorant-tiered-elo-v6</t>
        </is>
      </c>
      <c r="U89" s="24" t="inlineStr">
        <is>
          <t>settled</t>
        </is>
      </c>
      <c r="V89" s="24" t="inlineStr">
        <is>
          <t>loss</t>
        </is>
      </c>
      <c r="W89" s="26" t="n">
        <v>1</v>
      </c>
      <c r="X89" s="26" t="n">
        <v>0</v>
      </c>
      <c r="Y89" s="25" t="n"/>
      <c r="Z89" s="26" t="n">
        <v>122</v>
      </c>
      <c r="AA89" s="28" t="n">
        <v>0.45</v>
      </c>
      <c r="AB89" s="28" t="n">
        <v>-0.00045</v>
      </c>
      <c r="AC89" s="30" t="n">
        <v>-2</v>
      </c>
      <c r="AD89" s="24" t="inlineStr">
        <is>
          <t>2026-08-21T18:25:42.449172Z</t>
        </is>
      </c>
      <c r="AE89" s="31" t="inlineStr">
        <is>
          <t>Neutral Elo baseline; executable ask 0.4500 (market_slug=aec-valorant-ep-kc-2026-08-21).</t>
        </is>
      </c>
      <c r="AF89" s="31" t="inlineStr">
        <is>
          <t>Config-promoted esports baseline; gates enforced at log time.</t>
        </is>
      </c>
      <c r="AG89" s="24" t="inlineStr">
        <is>
          <t>review_required</t>
        </is>
      </c>
      <c r="AH89" s="24" t="n"/>
      <c r="AI89" s="31" t="n"/>
      <c r="AJ89" s="31" t="n"/>
      <c r="AK89" s="24" t="inlineStr">
        <is>
          <t>model_qualified</t>
        </is>
      </c>
      <c r="AL89" s="26" t="n">
        <v>4</v>
      </c>
      <c r="AM89" s="24" t="inlineStr">
        <is>
          <t>QUALIFIED_SHADOW_CALL</t>
        </is>
      </c>
      <c r="AN89" s="24" t="inlineStr">
        <is>
          <t>CALL</t>
        </is>
      </c>
      <c r="AO89" s="24" t="inlineStr">
        <is>
          <t>QUALIFIED</t>
        </is>
      </c>
      <c r="AP89" s="24" t="inlineStr">
        <is>
          <t>Karmine Corp</t>
        </is>
      </c>
      <c r="AQ89" s="24" t="inlineStr">
        <is>
          <t>Karmine Corp</t>
        </is>
      </c>
      <c r="AR89" s="24" t="inlineStr">
        <is>
          <t>Karmine Corp</t>
        </is>
      </c>
      <c r="AS89" s="24" t="inlineStr">
        <is>
          <t>Enterprise Esports</t>
        </is>
      </c>
      <c r="AT89" s="24" t="inlineStr">
        <is>
          <t>Enterprise Esports</t>
        </is>
      </c>
      <c r="AU89" s="24" t="inlineStr">
        <is>
          <t>Enterprise Esports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d2bfef36392a6ffeaf6fb6f2cbabea53080ba182b7f95c0920b41f84ff52bcb4</t>
        </is>
      </c>
      <c r="BB89" s="24" t="inlineStr">
        <is>
          <t>neutral_elo</t>
        </is>
      </c>
      <c r="BC89" s="24" t="inlineStr">
        <is>
          <t>valorant-tiered-elo-v6</t>
        </is>
      </c>
      <c r="BD89" s="24" t="inlineStr">
        <is>
          <t>d2bfef36392a6ffeaf6fb6f2cbabea53080ba182b7f95c0920b41f84ff52bcb4</t>
        </is>
      </c>
      <c r="BE89" s="24" t="inlineStr">
        <is>
          <t>1</t>
        </is>
      </c>
      <c r="BF89" s="24" t="inlineStr">
        <is>
          <t>1</t>
        </is>
      </c>
      <c r="BG89" s="24" t="inlineStr">
        <is>
          <t>valorant-tiered-elo-v6</t>
        </is>
      </c>
      <c r="BH89" s="24" t="inlineStr">
        <is>
          <t>2026-08-21T11:34:15.637847Z</t>
        </is>
      </c>
      <c r="BI89" s="24" t="inlineStr">
        <is>
          <t>["same_event","same_team_same_day","same_league_same_day"]</t>
        </is>
      </c>
      <c r="BJ89" s="25" t="n"/>
      <c r="BK89" s="26" t="n">
        <v>122</v>
      </c>
      <c r="BL89" s="27" t="n">
        <v>2.22</v>
      </c>
      <c r="BM89" s="28" t="n">
        <v>0.45045</v>
      </c>
      <c r="BN89" s="28" t="n"/>
      <c r="BO89" s="28" t="n"/>
      <c r="BP89" s="25" t="n"/>
      <c r="BQ89" s="27" t="n">
        <v>2.22</v>
      </c>
      <c r="BR89" s="28" t="n">
        <v>0.45</v>
      </c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inlineStr">
        <is>
          <t>True</t>
        </is>
      </c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n"/>
      <c r="DE89" s="24" t="n"/>
      <c r="DF89" s="24" t="n"/>
      <c r="DG89" s="24" t="n"/>
      <c r="DH89" s="24" t="n"/>
      <c r="DI89" s="24" t="n"/>
      <c r="DJ89" s="24" t="inlineStr">
        <is>
          <t>0.45045</t>
        </is>
      </c>
      <c r="DK89" s="24" t="n"/>
      <c r="DL89" s="24" t="n"/>
      <c r="DM89" s="24" t="n"/>
      <c r="DN89" s="24" t="n"/>
      <c r="DO89" s="24" t="n"/>
      <c r="DP89" s="24" t="n"/>
      <c r="DQ89" s="24" t="n"/>
    </row>
    <row r="90" ht="36" customHeight="1">
      <c r="A90" s="24" t="inlineStr">
        <is>
          <t>973679bd3177454f</t>
        </is>
      </c>
      <c r="B90" s="24" t="inlineStr">
        <is>
          <t>2026-08-21T11:34:16.777709Z</t>
        </is>
      </c>
      <c r="C90" s="24" t="inlineStr">
        <is>
          <t>2026-08-21T18:00:00Z</t>
        </is>
      </c>
      <c r="D90" s="24" t="inlineStr">
        <is>
          <t>87755</t>
        </is>
      </c>
      <c r="E90" s="24" t="inlineStr">
        <is>
          <t>VALORANT</t>
        </is>
      </c>
      <c r="F90" s="24" t="inlineStr">
        <is>
          <t>BBL Esports</t>
        </is>
      </c>
      <c r="G90" s="24" t="inlineStr">
        <is>
          <t>FUT Esports</t>
        </is>
      </c>
      <c r="H90" s="24" t="inlineStr">
        <is>
          <t>moneyline</t>
        </is>
      </c>
      <c r="I90" s="24" t="inlineStr">
        <is>
          <t>home</t>
        </is>
      </c>
      <c r="J90" s="25" t="n"/>
      <c r="K90" s="24" t="inlineStr">
        <is>
          <t>polymarket_us</t>
        </is>
      </c>
      <c r="L90" s="26" t="n">
        <v>113</v>
      </c>
      <c r="M90" s="27" t="n">
        <v>2.13</v>
      </c>
      <c r="N90" s="28" t="n">
        <v>0.469484</v>
      </c>
      <c r="O90" s="28" t="n">
        <v>0.589011</v>
      </c>
      <c r="P90" s="28" t="n"/>
      <c r="Q90" s="28" t="n">
        <v>0.119527</v>
      </c>
      <c r="R90" s="26" t="n">
        <v>80</v>
      </c>
      <c r="S90" s="29" t="n">
        <v>1.25</v>
      </c>
      <c r="T90" s="24" t="inlineStr">
        <is>
          <t>valorant-tiered-elo-v6</t>
        </is>
      </c>
      <c r="U90" s="24" t="inlineStr">
        <is>
          <t>settled</t>
        </is>
      </c>
      <c r="V90" s="24" t="inlineStr">
        <is>
          <t>win</t>
        </is>
      </c>
      <c r="W90" s="26" t="n">
        <v>0</v>
      </c>
      <c r="X90" s="26" t="n">
        <v>1</v>
      </c>
      <c r="Y90" s="25" t="n"/>
      <c r="Z90" s="26" t="n">
        <v>113</v>
      </c>
      <c r="AA90" s="28" t="n">
        <v>0.47</v>
      </c>
      <c r="AB90" s="28" t="n">
        <v>0.000516</v>
      </c>
      <c r="AC90" s="30" t="n">
        <v>1.4125</v>
      </c>
      <c r="AD90" s="24" t="inlineStr">
        <is>
          <t>2026-08-21T21:54:22.942394Z</t>
        </is>
      </c>
      <c r="AE90" s="31" t="inlineStr">
        <is>
          <t>Neutral Elo baseline; executable ask 0.4700 (market_slug=aec-valorant-fut-bbl-2026-08-21).</t>
        </is>
      </c>
      <c r="AF90" s="31" t="inlineStr">
        <is>
          <t>Config-promoted esports baseline; gates enforced at log time.</t>
        </is>
      </c>
      <c r="AG90" s="24" t="inlineStr">
        <is>
          <t>not_applicable</t>
        </is>
      </c>
      <c r="AH90" s="24" t="n"/>
      <c r="AI90" s="31" t="n"/>
      <c r="AJ90" s="31" t="n"/>
      <c r="AK90" s="24" t="inlineStr">
        <is>
          <t>model_qualified</t>
        </is>
      </c>
      <c r="AL90" s="26" t="n">
        <v>4</v>
      </c>
      <c r="AM90" s="24" t="inlineStr">
        <is>
          <t>QUALIFIED_SHADOW_CALL</t>
        </is>
      </c>
      <c r="AN90" s="24" t="inlineStr">
        <is>
          <t>CALL</t>
        </is>
      </c>
      <c r="AO90" s="24" t="inlineStr">
        <is>
          <t>QUALIFIED</t>
        </is>
      </c>
      <c r="AP90" s="24" t="inlineStr">
        <is>
          <t>BBL Esports</t>
        </is>
      </c>
      <c r="AQ90" s="24" t="inlineStr">
        <is>
          <t>BBL Esports</t>
        </is>
      </c>
      <c r="AR90" s="24" t="inlineStr">
        <is>
          <t>BBL Esports</t>
        </is>
      </c>
      <c r="AS90" s="24" t="inlineStr">
        <is>
          <t>FUT Esports</t>
        </is>
      </c>
      <c r="AT90" s="24" t="inlineStr">
        <is>
          <t>FUT Esports</t>
        </is>
      </c>
      <c r="AU90" s="24" t="inlineStr">
        <is>
          <t>FUT Esports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d2bfef36392a6ffeaf6fb6f2cbabea53080ba182b7f95c0920b41f84ff52bcb4</t>
        </is>
      </c>
      <c r="BB90" s="24" t="inlineStr">
        <is>
          <t>neutral_elo</t>
        </is>
      </c>
      <c r="BC90" s="24" t="inlineStr">
        <is>
          <t>valorant-tiered-elo-v6</t>
        </is>
      </c>
      <c r="BD90" s="24" t="inlineStr">
        <is>
          <t>d2bfef36392a6ffeaf6fb6f2cbabea53080ba182b7f95c0920b41f84ff52bcb4</t>
        </is>
      </c>
      <c r="BE90" s="24" t="inlineStr">
        <is>
          <t>1</t>
        </is>
      </c>
      <c r="BF90" s="24" t="inlineStr">
        <is>
          <t>1</t>
        </is>
      </c>
      <c r="BG90" s="24" t="inlineStr">
        <is>
          <t>valorant-tiered-elo-v6</t>
        </is>
      </c>
      <c r="BH90" s="24" t="inlineStr">
        <is>
          <t>2026-08-21T11:34:15.760411Z</t>
        </is>
      </c>
      <c r="BI90" s="24" t="inlineStr">
        <is>
          <t>["same_event","same_team_same_day","same_league_same_day"]</t>
        </is>
      </c>
      <c r="BJ90" s="25" t="n"/>
      <c r="BK90" s="26" t="n">
        <v>113</v>
      </c>
      <c r="BL90" s="27" t="n">
        <v>2.13</v>
      </c>
      <c r="BM90" s="28" t="n">
        <v>0.469484</v>
      </c>
      <c r="BN90" s="28" t="n"/>
      <c r="BO90" s="28" t="n"/>
      <c r="BP90" s="25" t="n"/>
      <c r="BQ90" s="27" t="n">
        <v>2.13</v>
      </c>
      <c r="BR90" s="28" t="n">
        <v>0.47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inlineStr">
        <is>
          <t>True</t>
        </is>
      </c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inlineStr">
        <is>
          <t>0.469484</t>
        </is>
      </c>
      <c r="DK90" s="24" t="n"/>
      <c r="DL90" s="24" t="n"/>
      <c r="DM90" s="24" t="n"/>
      <c r="DN90" s="24" t="n"/>
      <c r="DO90" s="24" t="n"/>
      <c r="DP90" s="24" t="n"/>
      <c r="DQ90" s="24" t="n"/>
    </row>
    <row r="91" ht="36" customHeight="1">
      <c r="A91" s="24" t="inlineStr">
        <is>
          <t>ee194182bd9d45b6</t>
        </is>
      </c>
      <c r="B91" s="24" t="inlineStr">
        <is>
          <t>2026-08-21T21:57:07.650106Z</t>
        </is>
      </c>
      <c r="C91" s="24" t="inlineStr">
        <is>
          <t>2026-08-22T00:00:00Z</t>
        </is>
      </c>
      <c r="D91" s="24" t="inlineStr">
        <is>
          <t>86081</t>
        </is>
      </c>
      <c r="E91" s="24" t="inlineStr">
        <is>
          <t>VALORANT</t>
        </is>
      </c>
      <c r="F91" s="24" t="inlineStr">
        <is>
          <t>Evil Geniuses</t>
        </is>
      </c>
      <c r="G91" s="24" t="inlineStr">
        <is>
          <t>FURIA Esports</t>
        </is>
      </c>
      <c r="H91" s="24" t="inlineStr">
        <is>
          <t>moneyline</t>
        </is>
      </c>
      <c r="I91" s="24" t="inlineStr">
        <is>
          <t>away</t>
        </is>
      </c>
      <c r="J91" s="25" t="n"/>
      <c r="K91" s="24" t="inlineStr">
        <is>
          <t>polymarket_us</t>
        </is>
      </c>
      <c r="L91" s="26" t="n">
        <v>104</v>
      </c>
      <c r="M91" s="27" t="n">
        <v>2.04</v>
      </c>
      <c r="N91" s="28" t="n">
        <v>0.490196</v>
      </c>
      <c r="O91" s="28" t="n">
        <v>0.5224490000000001</v>
      </c>
      <c r="P91" s="28" t="n"/>
      <c r="Q91" s="28" t="n">
        <v>0.032253</v>
      </c>
      <c r="R91" s="26" t="n">
        <v>36</v>
      </c>
      <c r="S91" s="29" t="n">
        <v>1</v>
      </c>
      <c r="T91" s="24" t="inlineStr">
        <is>
          <t>valorant-tiered-elo-v6</t>
        </is>
      </c>
      <c r="U91" s="24" t="inlineStr">
        <is>
          <t>settled</t>
        </is>
      </c>
      <c r="V91" s="24" t="inlineStr">
        <is>
          <t>loss</t>
        </is>
      </c>
      <c r="W91" s="26" t="n">
        <v>0</v>
      </c>
      <c r="X91" s="26" t="n">
        <v>1</v>
      </c>
      <c r="Y91" s="25" t="n"/>
      <c r="Z91" s="26" t="n">
        <v>104</v>
      </c>
      <c r="AA91" s="28" t="n">
        <v>0.49</v>
      </c>
      <c r="AB91" s="28" t="n">
        <v>-0.000196</v>
      </c>
      <c r="AC91" s="30" t="n">
        <v>-1</v>
      </c>
      <c r="AD91" s="24" t="inlineStr">
        <is>
          <t>2026-08-22T04:09:15.572584Z</t>
        </is>
      </c>
      <c r="AE91" s="31" t="inlineStr">
        <is>
          <t>Neutral Elo baseline; executable ask 0.4900 (market_slug=aec-valorant-fur-eg-2026-08-22).</t>
        </is>
      </c>
      <c r="AF91" s="31" t="inlineStr">
        <is>
          <t>Config-promoted esports baseline; gates enforced at log time.</t>
        </is>
      </c>
      <c r="AG91" s="24" t="inlineStr">
        <is>
          <t>review_required</t>
        </is>
      </c>
      <c r="AH91" s="24" t="n"/>
      <c r="AI91" s="31" t="n"/>
      <c r="AJ91" s="31" t="n"/>
      <c r="AK91" s="24" t="inlineStr">
        <is>
          <t>model_qualified</t>
        </is>
      </c>
      <c r="AL91" s="26" t="n">
        <v>4</v>
      </c>
      <c r="AM91" s="24" t="inlineStr">
        <is>
          <t>QUALIFIED_SHADOW_CALL</t>
        </is>
      </c>
      <c r="AN91" s="24" t="inlineStr">
        <is>
          <t>CALL</t>
        </is>
      </c>
      <c r="AO91" s="24" t="inlineStr">
        <is>
          <t>QUALIFIED</t>
        </is>
      </c>
      <c r="AP91" s="24" t="inlineStr">
        <is>
          <t>Evil Geniuses</t>
        </is>
      </c>
      <c r="AQ91" s="24" t="inlineStr">
        <is>
          <t>Evil Geniuses</t>
        </is>
      </c>
      <c r="AR91" s="24" t="inlineStr">
        <is>
          <t>Evil Geniuses</t>
        </is>
      </c>
      <c r="AS91" s="24" t="inlineStr">
        <is>
          <t>FURIA Esports</t>
        </is>
      </c>
      <c r="AT91" s="24" t="inlineStr">
        <is>
          <t>FURIA Esports</t>
        </is>
      </c>
      <c r="AU91" s="24" t="inlineStr">
        <is>
          <t>FURIA Esports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ea9955960f12e7a26c2b90936e125cbc0f5f8b92fc53a3cdc9b275b133555a0c</t>
        </is>
      </c>
      <c r="BB91" s="24" t="inlineStr">
        <is>
          <t>neutral_elo</t>
        </is>
      </c>
      <c r="BC91" s="24" t="inlineStr">
        <is>
          <t>valorant-tiered-elo-v6</t>
        </is>
      </c>
      <c r="BD91" s="24" t="inlineStr">
        <is>
          <t>ea9955960f12e7a26c2b90936e125cbc0f5f8b92fc53a3cdc9b275b133555a0c</t>
        </is>
      </c>
      <c r="BE91" s="24" t="inlineStr">
        <is>
          <t>1</t>
        </is>
      </c>
      <c r="BF91" s="24" t="inlineStr">
        <is>
          <t>1</t>
        </is>
      </c>
      <c r="BG91" s="24" t="inlineStr">
        <is>
          <t>valorant-tiered-elo-v6</t>
        </is>
      </c>
      <c r="BH91" s="24" t="inlineStr">
        <is>
          <t>2026-08-21T21:57:06.909465Z</t>
        </is>
      </c>
      <c r="BI91" s="24" t="inlineStr">
        <is>
          <t>["same_event","same_team_same_day","same_league_same_day"]</t>
        </is>
      </c>
      <c r="BJ91" s="25" t="n"/>
      <c r="BK91" s="26" t="n">
        <v>104</v>
      </c>
      <c r="BL91" s="27" t="n">
        <v>2.04</v>
      </c>
      <c r="BM91" s="28" t="n">
        <v>0.490196</v>
      </c>
      <c r="BN91" s="28" t="n"/>
      <c r="BO91" s="28" t="n"/>
      <c r="BP91" s="25" t="n"/>
      <c r="BQ91" s="27" t="n">
        <v>2.04</v>
      </c>
      <c r="BR91" s="28" t="n">
        <v>0.49</v>
      </c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inlineStr">
        <is>
          <t>True</t>
        </is>
      </c>
      <c r="CT91" s="24" t="n"/>
      <c r="CU91" s="24" t="n"/>
      <c r="CV91" s="24" t="n"/>
      <c r="CW91" s="24" t="n"/>
      <c r="CX91" s="24" t="n"/>
      <c r="CY91" s="24" t="n"/>
      <c r="CZ91" s="24" t="n"/>
      <c r="DA91" s="24" t="n"/>
      <c r="DB91" s="24" t="n"/>
      <c r="DC91" s="24" t="n"/>
      <c r="DD91" s="24" t="n"/>
      <c r="DE91" s="24" t="n"/>
      <c r="DF91" s="24" t="n"/>
      <c r="DG91" s="24" t="n"/>
      <c r="DH91" s="24" t="n"/>
      <c r="DI91" s="24" t="n"/>
      <c r="DJ91" s="24" t="inlineStr">
        <is>
          <t>0.490196</t>
        </is>
      </c>
      <c r="DK91" s="24" t="n"/>
      <c r="DL91" s="24" t="n"/>
      <c r="DM91" s="24" t="n"/>
      <c r="DN91" s="24" t="n"/>
      <c r="DO91" s="24" t="n"/>
      <c r="DP91" s="24" t="n"/>
      <c r="DQ91" s="24" t="n"/>
    </row>
    <row r="92" ht="36" customHeight="1">
      <c r="A92" s="24" t="inlineStr">
        <is>
          <t>544f736a0275417f</t>
        </is>
      </c>
      <c r="B92" s="24" t="inlineStr">
        <is>
          <t>2026-08-22T07:30:20.423170Z</t>
        </is>
      </c>
      <c r="C92" s="24" t="inlineStr">
        <is>
          <t>2026-08-22T08:00:00Z</t>
        </is>
      </c>
      <c r="D92" s="24" t="inlineStr">
        <is>
          <t>87984</t>
        </is>
      </c>
      <c r="E92" s="24" t="inlineStr">
        <is>
          <t>VALORANT</t>
        </is>
      </c>
      <c r="F92" s="24" t="inlineStr">
        <is>
          <t>TYLOO</t>
        </is>
      </c>
      <c r="G92" s="24" t="inlineStr">
        <is>
          <t>Bilibili Gaming</t>
        </is>
      </c>
      <c r="H92" s="24" t="inlineStr">
        <is>
          <t>moneyline</t>
        </is>
      </c>
      <c r="I92" s="24" t="inlineStr">
        <is>
          <t>away</t>
        </is>
      </c>
      <c r="J92" s="25" t="n"/>
      <c r="K92" s="24" t="inlineStr">
        <is>
          <t>polymarket_us</t>
        </is>
      </c>
      <c r="L92" s="26" t="n">
        <v>-133</v>
      </c>
      <c r="M92" s="27" t="n">
        <v>1.75188</v>
      </c>
      <c r="N92" s="28" t="n">
        <v>0.570815</v>
      </c>
      <c r="O92" s="28" t="n">
        <v>0.523871</v>
      </c>
      <c r="P92" s="28" t="n"/>
      <c r="Q92" s="28" t="n">
        <v>-0.046944</v>
      </c>
      <c r="R92" s="26" t="n">
        <v>0</v>
      </c>
      <c r="S92" s="29" t="n">
        <v>1</v>
      </c>
      <c r="T92" s="24" t="inlineStr">
        <is>
          <t>valorant-tiered-elo-v6</t>
        </is>
      </c>
      <c r="U92" s="24" t="inlineStr">
        <is>
          <t>settled</t>
        </is>
      </c>
      <c r="V92" s="24" t="inlineStr">
        <is>
          <t>win</t>
        </is>
      </c>
      <c r="W92" s="26" t="n">
        <v>1</v>
      </c>
      <c r="X92" s="26" t="n">
        <v>0</v>
      </c>
      <c r="Y92" s="25" t="n"/>
      <c r="Z92" s="26" t="n">
        <v>-133</v>
      </c>
      <c r="AA92" s="28" t="n">
        <v>0.57</v>
      </c>
      <c r="AB92" s="28" t="n">
        <v>-0.000815</v>
      </c>
      <c r="AC92" s="30" t="n">
        <v>0.7519</v>
      </c>
      <c r="AD92" s="24" t="inlineStr">
        <is>
          <t>2026-08-22T12:23:47.954106Z</t>
        </is>
      </c>
      <c r="AE92" s="31" t="inlineStr">
        <is>
          <t>Neutral Elo baseline; executable ask 0.5700 (market_slug=aec-valorant-blg-tyloo-2026-08-22).</t>
        </is>
      </c>
      <c r="AF92" s="31" t="inlineStr">
        <is>
          <t>Config-promoted esports baseline; gates enforced at log time.</t>
        </is>
      </c>
      <c r="AG92" s="24" t="inlineStr">
        <is>
          <t>not_applicable</t>
        </is>
      </c>
      <c r="AH92" s="24" t="n"/>
      <c r="AI92" s="31" t="n"/>
      <c r="AJ92" s="31" t="n"/>
      <c r="AK92" s="24" t="inlineStr">
        <is>
          <t>paper_call</t>
        </is>
      </c>
      <c r="AL92" s="26" t="n">
        <v>4</v>
      </c>
      <c r="AM92" s="24" t="inlineStr">
        <is>
          <t>RESEARCH_OBSERVATION</t>
        </is>
      </c>
      <c r="AN92" s="24" t="inlineStr">
        <is>
          <t>CALL</t>
        </is>
      </c>
      <c r="AO92" s="24" t="inlineStr">
        <is>
          <t>PAPER_CALL_LOW_EDGE</t>
        </is>
      </c>
      <c r="AP92" s="24" t="inlineStr">
        <is>
          <t>TYLOO</t>
        </is>
      </c>
      <c r="AQ92" s="24" t="inlineStr">
        <is>
          <t>TYLOO</t>
        </is>
      </c>
      <c r="AR92" s="24" t="inlineStr">
        <is>
          <t>TYLOO</t>
        </is>
      </c>
      <c r="AS92" s="24" t="inlineStr">
        <is>
          <t>Bilibili Gaming</t>
        </is>
      </c>
      <c r="AT92" s="24" t="inlineStr">
        <is>
          <t>Bilibili Gaming</t>
        </is>
      </c>
      <c r="AU92" s="24" t="inlineStr">
        <is>
          <t>Bilibili Gaming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1a6e440b1b97e9b82b6a7765378f51c863c4b5283a22c2ea43821295c9fb6424</t>
        </is>
      </c>
      <c r="BB92" s="24" t="inlineStr">
        <is>
          <t>neutral_elo</t>
        </is>
      </c>
      <c r="BC92" s="24" t="inlineStr">
        <is>
          <t>valorant-tiered-elo-v6</t>
        </is>
      </c>
      <c r="BD92" s="24" t="inlineStr">
        <is>
          <t>1a6e440b1b97e9b82b6a7765378f51c863c4b5283a22c2ea43821295c9fb6424</t>
        </is>
      </c>
      <c r="BE92" s="24" t="inlineStr">
        <is>
          <t>1</t>
        </is>
      </c>
      <c r="BF92" s="24" t="inlineStr">
        <is>
          <t>1</t>
        </is>
      </c>
      <c r="BG92" s="24" t="inlineStr">
        <is>
          <t>valorant-tiered-elo-v6</t>
        </is>
      </c>
      <c r="BH92" s="24" t="inlineStr">
        <is>
          <t>2026-08-22T07:30:19.781052Z</t>
        </is>
      </c>
      <c r="BI92" s="24" t="inlineStr">
        <is>
          <t>["same_event","same_team_same_day","same_league_same_day"]</t>
        </is>
      </c>
      <c r="BJ92" s="25" t="n"/>
      <c r="BK92" s="26" t="n">
        <v>-133</v>
      </c>
      <c r="BL92" s="27" t="n">
        <v>1.75188</v>
      </c>
      <c r="BM92" s="28" t="n">
        <v>0.570815</v>
      </c>
      <c r="BN92" s="28" t="n"/>
      <c r="BO92" s="28" t="n"/>
      <c r="BP92" s="25" t="n"/>
      <c r="BQ92" s="27" t="n">
        <v>1.75188</v>
      </c>
      <c r="BR92" s="28" t="n">
        <v>0.57</v>
      </c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inlineStr">
        <is>
          <t>False</t>
        </is>
      </c>
      <c r="CT92" s="24" t="n"/>
      <c r="CU92" s="24" t="n"/>
      <c r="CV92" s="24" t="n"/>
      <c r="CW92" s="24" t="n"/>
      <c r="CX92" s="24" t="n"/>
      <c r="CY92" s="24" t="n"/>
      <c r="CZ92" s="24" t="n"/>
      <c r="DA92" s="24" t="n"/>
      <c r="DB92" s="24" t="n"/>
      <c r="DC92" s="24" t="n"/>
      <c r="DD92" s="24" t="n"/>
      <c r="DE92" s="24" t="n"/>
      <c r="DF92" s="24" t="n"/>
      <c r="DG92" s="24" t="n"/>
      <c r="DH92" s="24" t="n"/>
      <c r="DI92" s="24" t="n"/>
      <c r="DJ92" s="24" t="inlineStr">
        <is>
          <t>0.570815</t>
        </is>
      </c>
      <c r="DK92" s="24" t="n"/>
      <c r="DL92" s="24" t="n"/>
      <c r="DM92" s="24" t="n"/>
      <c r="DN92" s="24" t="n"/>
      <c r="DO92" s="24" t="n"/>
      <c r="DP92" s="24" t="n"/>
      <c r="DQ92" s="24" t="n"/>
    </row>
    <row r="93" ht="36" customHeight="1">
      <c r="A93" s="24" t="inlineStr">
        <is>
          <t>c3bfc6e9031d43c1</t>
        </is>
      </c>
      <c r="B93" s="24" t="inlineStr">
        <is>
          <t>2026-08-22T07:30:20.423170Z</t>
        </is>
      </c>
      <c r="C93" s="24" t="inlineStr">
        <is>
          <t>2026-08-22T08:00:00Z</t>
        </is>
      </c>
      <c r="D93" s="24" t="inlineStr">
        <is>
          <t>86248</t>
        </is>
      </c>
      <c r="E93" s="24" t="inlineStr">
        <is>
          <t>VALORANT</t>
        </is>
      </c>
      <c r="F93" s="24" t="inlineStr">
        <is>
          <t>FULL SENSE</t>
        </is>
      </c>
      <c r="G93" s="24" t="inlineStr">
        <is>
          <t>ONSIDE GAMING</t>
        </is>
      </c>
      <c r="H93" s="24" t="inlineStr">
        <is>
          <t>moneyline</t>
        </is>
      </c>
      <c r="I93" s="24" t="inlineStr">
        <is>
          <t>home</t>
        </is>
      </c>
      <c r="J93" s="25" t="n"/>
      <c r="K93" s="24" t="inlineStr">
        <is>
          <t>polymarket_us</t>
        </is>
      </c>
      <c r="L93" s="26" t="n">
        <v>170</v>
      </c>
      <c r="M93" s="27" t="n">
        <v>2.7</v>
      </c>
      <c r="N93" s="28" t="n">
        <v>0.37037</v>
      </c>
      <c r="O93" s="28" t="n">
        <v>0.59722</v>
      </c>
      <c r="P93" s="28" t="n"/>
      <c r="Q93" s="28" t="n">
        <v>0.22685</v>
      </c>
      <c r="R93" s="26" t="n">
        <v>100</v>
      </c>
      <c r="S93" s="29" t="n">
        <v>1.25</v>
      </c>
      <c r="T93" s="24" t="inlineStr">
        <is>
          <t>valorant-tiered-elo-v6</t>
        </is>
      </c>
      <c r="U93" s="24" t="inlineStr">
        <is>
          <t>settled</t>
        </is>
      </c>
      <c r="V93" s="24" t="inlineStr">
        <is>
          <t>win</t>
        </is>
      </c>
      <c r="W93" s="26" t="n">
        <v>0</v>
      </c>
      <c r="X93" s="26" t="n">
        <v>1</v>
      </c>
      <c r="Y93" s="25" t="n"/>
      <c r="Z93" s="26" t="n">
        <v>186</v>
      </c>
      <c r="AA93" s="28" t="n">
        <v>0.35</v>
      </c>
      <c r="AB93" s="28" t="n">
        <v>-0.02037</v>
      </c>
      <c r="AC93" s="30" t="n">
        <v>2.125</v>
      </c>
      <c r="AD93" s="24" t="inlineStr">
        <is>
          <t>2026-08-22T12:23:48.906244Z</t>
        </is>
      </c>
      <c r="AE93" s="31" t="inlineStr">
        <is>
          <t>Neutral Elo baseline; executable ask 0.3700 (market_slug=aec-valorant-osg-fs-2026-08-22).</t>
        </is>
      </c>
      <c r="AF93" s="31" t="inlineStr">
        <is>
          <t>Config-promoted esports baseline; gates enforced at log time.</t>
        </is>
      </c>
      <c r="AG93" s="24" t="inlineStr">
        <is>
          <t>not_applicable</t>
        </is>
      </c>
      <c r="AH93" s="24" t="n"/>
      <c r="AI93" s="31" t="n"/>
      <c r="AJ93" s="31" t="n"/>
      <c r="AK93" s="24" t="inlineStr">
        <is>
          <t>model_qualified</t>
        </is>
      </c>
      <c r="AL93" s="26" t="n">
        <v>4</v>
      </c>
      <c r="AM93" s="24" t="inlineStr">
        <is>
          <t>QUALIFIED_SHADOW_CALL</t>
        </is>
      </c>
      <c r="AN93" s="24" t="inlineStr">
        <is>
          <t>CALL</t>
        </is>
      </c>
      <c r="AO93" s="24" t="inlineStr">
        <is>
          <t>QUALIFIED</t>
        </is>
      </c>
      <c r="AP93" s="24" t="inlineStr">
        <is>
          <t>FULL SENSE</t>
        </is>
      </c>
      <c r="AQ93" s="24" t="inlineStr">
        <is>
          <t>FULL SENSE</t>
        </is>
      </c>
      <c r="AR93" s="24" t="inlineStr">
        <is>
          <t>FULL SENSE</t>
        </is>
      </c>
      <c r="AS93" s="24" t="inlineStr">
        <is>
          <t>ONSIDE GAMING</t>
        </is>
      </c>
      <c r="AT93" s="24" t="inlineStr">
        <is>
          <t>ONSIDE GAMING</t>
        </is>
      </c>
      <c r="AU93" s="24" t="inlineStr">
        <is>
          <t>ONSIDE GAMING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shadow_qualified</t>
        </is>
      </c>
      <c r="BA93" s="24" t="inlineStr">
        <is>
          <t>1a6e440b1b97e9b82b6a7765378f51c863c4b5283a22c2ea43821295c9fb6424</t>
        </is>
      </c>
      <c r="BB93" s="24" t="inlineStr">
        <is>
          <t>neutral_elo</t>
        </is>
      </c>
      <c r="BC93" s="24" t="inlineStr">
        <is>
          <t>valorant-tiered-elo-v6</t>
        </is>
      </c>
      <c r="BD93" s="24" t="inlineStr">
        <is>
          <t>1a6e440b1b97e9b82b6a7765378f51c863c4b5283a22c2ea43821295c9fb6424</t>
        </is>
      </c>
      <c r="BE93" s="24" t="inlineStr">
        <is>
          <t>1</t>
        </is>
      </c>
      <c r="BF93" s="24" t="inlineStr">
        <is>
          <t>1</t>
        </is>
      </c>
      <c r="BG93" s="24" t="inlineStr">
        <is>
          <t>valorant-tiered-elo-v6</t>
        </is>
      </c>
      <c r="BH93" s="24" t="inlineStr">
        <is>
          <t>2026-08-22T07:30:19.864154Z</t>
        </is>
      </c>
      <c r="BI93" s="24" t="inlineStr">
        <is>
          <t>["same_event","same_team_same_day","same_league_same_day"]</t>
        </is>
      </c>
      <c r="BJ93" s="25" t="n"/>
      <c r="BK93" s="26" t="n">
        <v>170</v>
      </c>
      <c r="BL93" s="27" t="n">
        <v>2.7</v>
      </c>
      <c r="BM93" s="28" t="n">
        <v>0.37037</v>
      </c>
      <c r="BN93" s="28" t="n"/>
      <c r="BO93" s="28" t="n"/>
      <c r="BP93" s="25" t="n"/>
      <c r="BQ93" s="27" t="n">
        <v>2.86</v>
      </c>
      <c r="BR93" s="28" t="n">
        <v>0.35</v>
      </c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inlineStr">
        <is>
          <t>True</t>
        </is>
      </c>
      <c r="CT93" s="24" t="n"/>
      <c r="CU93" s="24" t="n"/>
      <c r="CV93" s="24" t="n"/>
      <c r="CW93" s="24" t="n"/>
      <c r="CX93" s="24" t="n"/>
      <c r="CY93" s="24" t="n"/>
      <c r="CZ93" s="24" t="n"/>
      <c r="DA93" s="24" t="n"/>
      <c r="DB93" s="24" t="n"/>
      <c r="DC93" s="24" t="n"/>
      <c r="DD93" s="24" t="n"/>
      <c r="DE93" s="24" t="n"/>
      <c r="DF93" s="24" t="n"/>
      <c r="DG93" s="24" t="n"/>
      <c r="DH93" s="24" t="n"/>
      <c r="DI93" s="24" t="n"/>
      <c r="DJ93" s="24" t="inlineStr">
        <is>
          <t>0.37037</t>
        </is>
      </c>
      <c r="DK93" s="24" t="n"/>
      <c r="DL93" s="24" t="n"/>
      <c r="DM93" s="24" t="n"/>
      <c r="DN93" s="24" t="n"/>
      <c r="DO93" s="24" t="n"/>
      <c r="DP93" s="24" t="n"/>
      <c r="DQ93" s="24" t="n"/>
    </row>
    <row r="94" ht="36" customHeight="1">
      <c r="A94" s="24" t="inlineStr">
        <is>
          <t>a613c1c7b537410b</t>
        </is>
      </c>
      <c r="B94" s="24" t="inlineStr">
        <is>
          <t>2026-08-22T09:16:44.843626Z</t>
        </is>
      </c>
      <c r="C94" s="24" t="inlineStr">
        <is>
          <t>2026-08-22T11:00:00Z</t>
        </is>
      </c>
      <c r="D94" s="24" t="inlineStr">
        <is>
          <t>87310</t>
        </is>
      </c>
      <c r="E94" s="24" t="inlineStr">
        <is>
          <t>VALORANT</t>
        </is>
      </c>
      <c r="F94" s="24" t="inlineStr">
        <is>
          <t>ZETA DIVISION</t>
        </is>
      </c>
      <c r="G94" s="24" t="inlineStr">
        <is>
          <t>DetonatioN FocusMe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-170</v>
      </c>
      <c r="M94" s="27" t="n">
        <v>1.588235</v>
      </c>
      <c r="N94" s="28" t="n">
        <v>0.62963</v>
      </c>
      <c r="O94" s="28" t="n">
        <v>0.667824</v>
      </c>
      <c r="P94" s="28" t="n"/>
      <c r="Q94" s="28" t="n">
        <v>0.038194</v>
      </c>
      <c r="R94" s="26" t="n">
        <v>39</v>
      </c>
      <c r="S94" s="29" t="n">
        <v>1.75</v>
      </c>
      <c r="T94" s="24" t="inlineStr">
        <is>
          <t>valorant-tiered-elo-v6</t>
        </is>
      </c>
      <c r="U94" s="24" t="inlineStr">
        <is>
          <t>settled</t>
        </is>
      </c>
      <c r="V94" s="24" t="inlineStr">
        <is>
          <t>win</t>
        </is>
      </c>
      <c r="W94" s="26" t="n">
        <v>0</v>
      </c>
      <c r="X94" s="26" t="n">
        <v>1</v>
      </c>
      <c r="Y94" s="25" t="n"/>
      <c r="Z94" s="26" t="n">
        <v>-170</v>
      </c>
      <c r="AA94" s="28" t="n">
        <v>0.63</v>
      </c>
      <c r="AB94" s="28" t="n">
        <v>0.00037</v>
      </c>
      <c r="AC94" s="30" t="n">
        <v>1.0294</v>
      </c>
      <c r="AD94" s="24" t="inlineStr">
        <is>
          <t>2026-08-22T12:23:50.314625Z</t>
        </is>
      </c>
      <c r="AE94" s="31" t="inlineStr">
        <is>
          <t>Neutral Elo baseline; executable ask 0.6300 (market_slug=aec-valorant-dfm-zeta-2026-08-22).</t>
        </is>
      </c>
      <c r="AF94" s="31" t="inlineStr">
        <is>
          <t>Config-promoted esports baseline; gates enforced at log time.</t>
        </is>
      </c>
      <c r="AG94" s="24" t="inlineStr">
        <is>
          <t>not_applicable</t>
        </is>
      </c>
      <c r="AH94" s="24" t="n"/>
      <c r="AI94" s="31" t="n"/>
      <c r="AJ94" s="31" t="n"/>
      <c r="AK94" s="24" t="inlineStr">
        <is>
          <t>model_qualified</t>
        </is>
      </c>
      <c r="AL94" s="26" t="n">
        <v>4</v>
      </c>
      <c r="AM94" s="24" t="inlineStr">
        <is>
          <t>QUALIFIED_SHADOW_CALL</t>
        </is>
      </c>
      <c r="AN94" s="24" t="inlineStr">
        <is>
          <t>CALL</t>
        </is>
      </c>
      <c r="AO94" s="24" t="inlineStr">
        <is>
          <t>QUALIFIED</t>
        </is>
      </c>
      <c r="AP94" s="24" t="inlineStr">
        <is>
          <t>ZETA DIVISION</t>
        </is>
      </c>
      <c r="AQ94" s="24" t="inlineStr">
        <is>
          <t>ZETA DIVISION</t>
        </is>
      </c>
      <c r="AR94" s="24" t="inlineStr">
        <is>
          <t>ZETA DIVISION</t>
        </is>
      </c>
      <c r="AS94" s="24" t="inlineStr">
        <is>
          <t>DetonatioN FocusMe</t>
        </is>
      </c>
      <c r="AT94" s="24" t="inlineStr">
        <is>
          <t>DetonatioN FocusMe</t>
        </is>
      </c>
      <c r="AU94" s="24" t="inlineStr">
        <is>
          <t>DetonatioN FocusMe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shadow_qualified</t>
        </is>
      </c>
      <c r="BA94" s="24" t="inlineStr">
        <is>
          <t>55ef07e787cab88753d6203e002af42a233650012c6ac9e4af084541c849b526</t>
        </is>
      </c>
      <c r="BB94" s="24" t="inlineStr">
        <is>
          <t>neutral_elo</t>
        </is>
      </c>
      <c r="BC94" s="24" t="inlineStr">
        <is>
          <t>valorant-tiered-elo-v6</t>
        </is>
      </c>
      <c r="BD94" s="24" t="inlineStr">
        <is>
          <t>55ef07e787cab88753d6203e002af42a233650012c6ac9e4af084541c849b526</t>
        </is>
      </c>
      <c r="BE94" s="24" t="inlineStr">
        <is>
          <t>1</t>
        </is>
      </c>
      <c r="BF94" s="24" t="inlineStr">
        <is>
          <t>1</t>
        </is>
      </c>
      <c r="BG94" s="24" t="inlineStr">
        <is>
          <t>valorant-tiered-elo-v6</t>
        </is>
      </c>
      <c r="BH94" s="24" t="inlineStr">
        <is>
          <t>2026-08-22T09:16:44.449014Z</t>
        </is>
      </c>
      <c r="BI94" s="24" t="inlineStr">
        <is>
          <t>["same_event","same_team_same_day","same_league_same_day"]</t>
        </is>
      </c>
      <c r="BJ94" s="25" t="n"/>
      <c r="BK94" s="26" t="n">
        <v>-170</v>
      </c>
      <c r="BL94" s="27" t="n">
        <v>1.588235</v>
      </c>
      <c r="BM94" s="28" t="n">
        <v>0.62963</v>
      </c>
      <c r="BN94" s="28" t="n"/>
      <c r="BO94" s="28" t="n"/>
      <c r="BP94" s="25" t="n"/>
      <c r="BQ94" s="27" t="n">
        <v>1.588235</v>
      </c>
      <c r="BR94" s="28" t="n">
        <v>0.63</v>
      </c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inlineStr">
        <is>
          <t>True</t>
        </is>
      </c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/>
      <c r="DH94" s="24" t="n"/>
      <c r="DI94" s="24" t="n"/>
      <c r="DJ94" s="24" t="inlineStr">
        <is>
          <t>0.62963</t>
        </is>
      </c>
      <c r="DK94" s="24" t="n"/>
      <c r="DL94" s="24" t="n"/>
      <c r="DM94" s="24" t="n"/>
      <c r="DN94" s="24" t="n"/>
      <c r="DO94" s="24" t="n"/>
      <c r="DP94" s="24" t="n"/>
      <c r="DQ94" s="24" t="n"/>
    </row>
    <row r="95" ht="36" customHeight="1">
      <c r="A95" s="24" t="inlineStr">
        <is>
          <t>92084d9c09bf4f7a</t>
        </is>
      </c>
      <c r="B95" s="24" t="inlineStr">
        <is>
          <t>2026-08-22T12:31:03.369654Z</t>
        </is>
      </c>
      <c r="C95" s="24" t="inlineStr">
        <is>
          <t>2026-08-22T14:00:00Z</t>
        </is>
      </c>
      <c r="D95" s="24" t="inlineStr">
        <is>
          <t>87756</t>
        </is>
      </c>
      <c r="E95" s="24" t="inlineStr">
        <is>
          <t>VALORANT</t>
        </is>
      </c>
      <c r="F95" s="24" t="inlineStr">
        <is>
          <t>Eintracht Frankfurt</t>
        </is>
      </c>
      <c r="G95" s="24" t="inlineStr">
        <is>
          <t>Team Liquid</t>
        </is>
      </c>
      <c r="H95" s="24" t="inlineStr">
        <is>
          <t>moneyline</t>
        </is>
      </c>
      <c r="I95" s="24" t="inlineStr">
        <is>
          <t>away</t>
        </is>
      </c>
      <c r="J95" s="25" t="n"/>
      <c r="K95" s="24" t="inlineStr">
        <is>
          <t>polymarket_us</t>
        </is>
      </c>
      <c r="L95" s="26" t="n">
        <v>156</v>
      </c>
      <c r="M95" s="27" t="n">
        <v>2.56</v>
      </c>
      <c r="N95" s="28" t="n">
        <v>0.390625</v>
      </c>
      <c r="O95" s="28" t="n">
        <v>0.621295</v>
      </c>
      <c r="P95" s="28" t="n"/>
      <c r="Q95" s="28" t="n">
        <v>0.23067</v>
      </c>
      <c r="R95" s="26" t="n">
        <v>100</v>
      </c>
      <c r="S95" s="29" t="n">
        <v>1.5</v>
      </c>
      <c r="T95" s="24" t="inlineStr">
        <is>
          <t>valorant-tiered-elo-v6</t>
        </is>
      </c>
      <c r="U95" s="24" t="inlineStr">
        <is>
          <t>settled</t>
        </is>
      </c>
      <c r="V95" s="24" t="inlineStr">
        <is>
          <t>loss</t>
        </is>
      </c>
      <c r="W95" s="26" t="n">
        <v>0</v>
      </c>
      <c r="X95" s="26" t="n">
        <v>1</v>
      </c>
      <c r="Y95" s="25" t="n"/>
      <c r="Z95" s="26" t="n">
        <v>150</v>
      </c>
      <c r="AA95" s="28" t="n">
        <v>0.4</v>
      </c>
      <c r="AB95" s="28" t="n">
        <v>0.009375</v>
      </c>
      <c r="AC95" s="30" t="n">
        <v>-1.5</v>
      </c>
      <c r="AD95" s="24" t="inlineStr">
        <is>
          <t>2026-08-22T19:04:58.013571Z</t>
        </is>
      </c>
      <c r="AE95" s="31" t="inlineStr">
        <is>
          <t>Neutral Elo baseline; executable ask 0.3900 (market_slug=aec-valorant-tl-sge-2026-08-22).</t>
        </is>
      </c>
      <c r="AF95" s="31" t="inlineStr">
        <is>
          <t>Config-promoted esports baseline; gates enforced at log time.</t>
        </is>
      </c>
      <c r="AG95" s="24" t="inlineStr">
        <is>
          <t>review_required</t>
        </is>
      </c>
      <c r="AH95" s="24" t="n"/>
      <c r="AI95" s="31" t="n"/>
      <c r="AJ95" s="31" t="n"/>
      <c r="AK95" s="24" t="inlineStr">
        <is>
          <t>model_qualified</t>
        </is>
      </c>
      <c r="AL95" s="26" t="n">
        <v>4</v>
      </c>
      <c r="AM95" s="24" t="inlineStr">
        <is>
          <t>QUALIFIED_SHADOW_CALL</t>
        </is>
      </c>
      <c r="AN95" s="24" t="inlineStr">
        <is>
          <t>CALL</t>
        </is>
      </c>
      <c r="AO95" s="24" t="inlineStr">
        <is>
          <t>QUALIFIED</t>
        </is>
      </c>
      <c r="AP95" s="24" t="inlineStr">
        <is>
          <t>Eintracht Frankfurt</t>
        </is>
      </c>
      <c r="AQ95" s="24" t="inlineStr">
        <is>
          <t>Eintracht Frankfurt</t>
        </is>
      </c>
      <c r="AR95" s="24" t="inlineStr">
        <is>
          <t>Eintracht Frankfurt</t>
        </is>
      </c>
      <c r="AS95" s="24" t="inlineStr">
        <is>
          <t>Team Liquid</t>
        </is>
      </c>
      <c r="AT95" s="24" t="inlineStr">
        <is>
          <t>Team Liquid</t>
        </is>
      </c>
      <c r="AU95" s="24" t="inlineStr">
        <is>
          <t>Team Liquid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393f3bf8c1039408aeddc5788c6ac918d431cb56e76b3a4d2055cc96fdac7ee8</t>
        </is>
      </c>
      <c r="BB95" s="24" t="inlineStr">
        <is>
          <t>neutral_elo</t>
        </is>
      </c>
      <c r="BC95" s="24" t="inlineStr">
        <is>
          <t>valorant-tiered-elo-v6</t>
        </is>
      </c>
      <c r="BD95" s="24" t="inlineStr">
        <is>
          <t>393f3bf8c1039408aeddc5788c6ac918d431cb56e76b3a4d2055cc96fdac7ee8</t>
        </is>
      </c>
      <c r="BE95" s="24" t="inlineStr">
        <is>
          <t>1</t>
        </is>
      </c>
      <c r="BF95" s="24" t="inlineStr">
        <is>
          <t>1</t>
        </is>
      </c>
      <c r="BG95" s="24" t="inlineStr">
        <is>
          <t>valorant-tiered-elo-v6</t>
        </is>
      </c>
      <c r="BH95" s="24" t="inlineStr">
        <is>
          <t>2026-08-22T12:31:02.739338Z</t>
        </is>
      </c>
      <c r="BI95" s="24" t="inlineStr">
        <is>
          <t>["same_event","same_team_same_day","same_league_same_day"]</t>
        </is>
      </c>
      <c r="BJ95" s="25" t="n"/>
      <c r="BK95" s="26" t="n">
        <v>156</v>
      </c>
      <c r="BL95" s="27" t="n">
        <v>2.56</v>
      </c>
      <c r="BM95" s="28" t="n">
        <v>0.390625</v>
      </c>
      <c r="BN95" s="28" t="n"/>
      <c r="BO95" s="28" t="n"/>
      <c r="BP95" s="25" t="n"/>
      <c r="BQ95" s="27" t="n">
        <v>2.5</v>
      </c>
      <c r="BR95" s="28" t="n">
        <v>0.4</v>
      </c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inlineStr">
        <is>
          <t>True</t>
        </is>
      </c>
      <c r="CT95" s="24" t="n"/>
      <c r="CU95" s="24" t="n"/>
      <c r="CV95" s="24" t="n"/>
      <c r="CW95" s="24" t="n"/>
      <c r="CX95" s="24" t="n"/>
      <c r="CY95" s="24" t="n"/>
      <c r="CZ95" s="24" t="n"/>
      <c r="DA95" s="24" t="n"/>
      <c r="DB95" s="24" t="n"/>
      <c r="DC95" s="24" t="n"/>
      <c r="DD95" s="24" t="n"/>
      <c r="DE95" s="24" t="n"/>
      <c r="DF95" s="24" t="n"/>
      <c r="DG95" s="24" t="n"/>
      <c r="DH95" s="24" t="n"/>
      <c r="DI95" s="24" t="n"/>
      <c r="DJ95" s="24" t="inlineStr">
        <is>
          <t>0.390625</t>
        </is>
      </c>
      <c r="DK95" s="24" t="n"/>
      <c r="DL95" s="24" t="n"/>
      <c r="DM95" s="24" t="n"/>
      <c r="DN95" s="24" t="n"/>
      <c r="DO95" s="24" t="n"/>
      <c r="DP95" s="24" t="n"/>
      <c r="DQ95" s="24" t="n"/>
    </row>
    <row r="96" ht="36" customHeight="1">
      <c r="A96" s="24" t="inlineStr">
        <is>
          <t>ac2d4631267a407b</t>
        </is>
      </c>
      <c r="B96" s="24" t="inlineStr">
        <is>
          <t>2026-08-22T23:01:59.494513Z</t>
        </is>
      </c>
      <c r="C96" s="24" t="inlineStr">
        <is>
          <t>2026-08-23T00:00:00Z</t>
        </is>
      </c>
      <c r="D96" s="24" t="inlineStr">
        <is>
          <t>87867</t>
        </is>
      </c>
      <c r="E96" s="24" t="inlineStr">
        <is>
          <t>VALORANT</t>
        </is>
      </c>
      <c r="F96" s="24" t="inlineStr">
        <is>
          <t>KRÜ Esports</t>
        </is>
      </c>
      <c r="G96" s="24" t="inlineStr">
        <is>
          <t>Sentinels</t>
        </is>
      </c>
      <c r="H96" s="24" t="inlineStr">
        <is>
          <t>moneyline</t>
        </is>
      </c>
      <c r="I96" s="24" t="inlineStr">
        <is>
          <t>home</t>
        </is>
      </c>
      <c r="J96" s="25" t="n"/>
      <c r="K96" s="24" t="inlineStr">
        <is>
          <t>polymarket_us</t>
        </is>
      </c>
      <c r="L96" s="26" t="n">
        <v>-156</v>
      </c>
      <c r="M96" s="27" t="n">
        <v>1.641026</v>
      </c>
      <c r="N96" s="28" t="n">
        <v>0.609375</v>
      </c>
      <c r="O96" s="28" t="n">
        <v>0.571292</v>
      </c>
      <c r="P96" s="28" t="n"/>
      <c r="Q96" s="28" t="n">
        <v>-0.038083</v>
      </c>
      <c r="R96" s="26" t="n">
        <v>1</v>
      </c>
      <c r="S96" s="29" t="n">
        <v>1</v>
      </c>
      <c r="T96" s="24" t="inlineStr">
        <is>
          <t>valorant-tiered-elo-v6</t>
        </is>
      </c>
      <c r="U96" s="24" t="inlineStr">
        <is>
          <t>settled</t>
        </is>
      </c>
      <c r="V96" s="24" t="inlineStr">
        <is>
          <t>loss</t>
        </is>
      </c>
      <c r="W96" s="26" t="n">
        <v>1</v>
      </c>
      <c r="X96" s="26" t="n">
        <v>0</v>
      </c>
      <c r="Y96" s="25" t="n"/>
      <c r="Z96" s="26" t="n">
        <v>-156</v>
      </c>
      <c r="AA96" s="28" t="n">
        <v>0.61</v>
      </c>
      <c r="AB96" s="28" t="n">
        <v>0.000625</v>
      </c>
      <c r="AC96" s="30" t="n">
        <v>-1</v>
      </c>
      <c r="AD96" s="24" t="inlineStr">
        <is>
          <t>2026-08-23T05:12:51.422070Z</t>
        </is>
      </c>
      <c r="AE96" s="31" t="inlineStr">
        <is>
          <t>Neutral Elo baseline; executable ask 0.6100 (market_slug=aec-valorant-sen-kr-2026-08-23).</t>
        </is>
      </c>
      <c r="AF96" s="31" t="inlineStr">
        <is>
          <t>Config-promoted esports baseline; gates enforced at log time.</t>
        </is>
      </c>
      <c r="AG96" s="24" t="inlineStr">
        <is>
          <t>review_required</t>
        </is>
      </c>
      <c r="AH96" s="24" t="n"/>
      <c r="AI96" s="31" t="n"/>
      <c r="AJ96" s="31" t="n"/>
      <c r="AK96" s="24" t="inlineStr">
        <is>
          <t>paper_call</t>
        </is>
      </c>
      <c r="AL96" s="26" t="n">
        <v>4</v>
      </c>
      <c r="AM96" s="24" t="inlineStr">
        <is>
          <t>RESEARCH_OBSERVATION</t>
        </is>
      </c>
      <c r="AN96" s="24" t="inlineStr">
        <is>
          <t>CALL</t>
        </is>
      </c>
      <c r="AO96" s="24" t="inlineStr">
        <is>
          <t>PAPER_CALL_LOW_EDGE</t>
        </is>
      </c>
      <c r="AP96" s="24" t="inlineStr">
        <is>
          <t>KRÜ Esports</t>
        </is>
      </c>
      <c r="AQ96" s="24" t="inlineStr">
        <is>
          <t>KRÜ Esports</t>
        </is>
      </c>
      <c r="AR96" s="24" t="inlineStr">
        <is>
          <t>KRÜ Esports</t>
        </is>
      </c>
      <c r="AS96" s="24" t="inlineStr">
        <is>
          <t>Sentinels</t>
        </is>
      </c>
      <c r="AT96" s="24" t="inlineStr">
        <is>
          <t>Sentinels</t>
        </is>
      </c>
      <c r="AU96" s="24" t="inlineStr">
        <is>
          <t>Sentinels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shadow_qualified</t>
        </is>
      </c>
      <c r="BA96" s="24" t="inlineStr">
        <is>
          <t>d9b55ad857b70256adb7b14448af37d1227c9c4de7beb0364cdaf00e0096a1bd</t>
        </is>
      </c>
      <c r="BB96" s="24" t="inlineStr">
        <is>
          <t>neutral_elo</t>
        </is>
      </c>
      <c r="BC96" s="24" t="inlineStr">
        <is>
          <t>valorant-tiered-elo-v6</t>
        </is>
      </c>
      <c r="BD96" s="24" t="inlineStr">
        <is>
          <t>d9b55ad857b70256adb7b14448af37d1227c9c4de7beb0364cdaf00e0096a1bd</t>
        </is>
      </c>
      <c r="BE96" s="24" t="inlineStr">
        <is>
          <t>1</t>
        </is>
      </c>
      <c r="BF96" s="24" t="inlineStr">
        <is>
          <t>1</t>
        </is>
      </c>
      <c r="BG96" s="24" t="inlineStr">
        <is>
          <t>valorant-tiered-elo-v6</t>
        </is>
      </c>
      <c r="BH96" s="24" t="inlineStr">
        <is>
          <t>2026-08-22T23:01:58.544695Z</t>
        </is>
      </c>
      <c r="BI96" s="24" t="inlineStr">
        <is>
          <t>["same_event","same_team_same_day","same_league_same_day"]</t>
        </is>
      </c>
      <c r="BJ96" s="25" t="n"/>
      <c r="BK96" s="26" t="n">
        <v>-156</v>
      </c>
      <c r="BL96" s="27" t="n">
        <v>1.641026</v>
      </c>
      <c r="BM96" s="28" t="n">
        <v>0.609375</v>
      </c>
      <c r="BN96" s="28" t="n"/>
      <c r="BO96" s="28" t="n"/>
      <c r="BP96" s="25" t="n"/>
      <c r="BQ96" s="27" t="n">
        <v>1.641026</v>
      </c>
      <c r="BR96" s="28" t="n">
        <v>0.61</v>
      </c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inlineStr">
        <is>
          <t>False</t>
        </is>
      </c>
      <c r="CT96" s="24" t="n"/>
      <c r="CU96" s="24" t="n"/>
      <c r="CV96" s="24" t="n"/>
      <c r="CW96" s="24" t="n"/>
      <c r="CX96" s="24" t="n"/>
      <c r="CY96" s="24" t="n"/>
      <c r="CZ96" s="24" t="n"/>
      <c r="DA96" s="24" t="n"/>
      <c r="DB96" s="24" t="n"/>
      <c r="DC96" s="24" t="n"/>
      <c r="DD96" s="24" t="n"/>
      <c r="DE96" s="24" t="n"/>
      <c r="DF96" s="24" t="n"/>
      <c r="DG96" s="24" t="n"/>
      <c r="DH96" s="24" t="n"/>
      <c r="DI96" s="24" t="n"/>
      <c r="DJ96" s="24" t="inlineStr">
        <is>
          <t>0.609375</t>
        </is>
      </c>
      <c r="DK96" s="24" t="n"/>
      <c r="DL96" s="24" t="n"/>
      <c r="DM96" s="24" t="n"/>
      <c r="DN96" s="24" t="n"/>
      <c r="DO96" s="24" t="n"/>
      <c r="DP96" s="24" t="n"/>
      <c r="DQ96" s="24" t="n"/>
    </row>
    <row r="97" ht="36" customHeight="1">
      <c r="A97" s="24" t="inlineStr">
        <is>
          <t>ac636bb3c4874454</t>
        </is>
      </c>
      <c r="B97" s="24" t="inlineStr">
        <is>
          <t>2026-08-23T05:28:22.541457Z</t>
        </is>
      </c>
      <c r="C97" s="24" t="inlineStr">
        <is>
          <t>2026-08-23T08:00:00Z</t>
        </is>
      </c>
      <c r="D97" s="24" t="inlineStr">
        <is>
          <t>88682</t>
        </is>
      </c>
      <c r="E97" s="24" t="inlineStr">
        <is>
          <t>VALORANT</t>
        </is>
      </c>
      <c r="F97" s="24" t="inlineStr">
        <is>
          <t>ONSIDE GAMING</t>
        </is>
      </c>
      <c r="G97" s="24" t="inlineStr">
        <is>
          <t>Sharper Esport</t>
        </is>
      </c>
      <c r="H97" s="24" t="inlineStr">
        <is>
          <t>moneyline</t>
        </is>
      </c>
      <c r="I97" s="24" t="inlineStr">
        <is>
          <t>home</t>
        </is>
      </c>
      <c r="J97" s="25" t="n"/>
      <c r="K97" s="24" t="inlineStr">
        <is>
          <t>polymarket_us</t>
        </is>
      </c>
      <c r="L97" s="26" t="n">
        <v>104</v>
      </c>
      <c r="M97" s="27" t="n">
        <v>2.04</v>
      </c>
      <c r="N97" s="28" t="n">
        <v>0.490196</v>
      </c>
      <c r="O97" s="28" t="n">
        <v>0.590654</v>
      </c>
      <c r="P97" s="28" t="n"/>
      <c r="Q97" s="28" t="n">
        <v>0.100458</v>
      </c>
      <c r="R97" s="26" t="n">
        <v>70</v>
      </c>
      <c r="S97" s="29" t="n">
        <v>1.25</v>
      </c>
      <c r="T97" s="24" t="inlineStr">
        <is>
          <t>valorant-tiered-elo-v6</t>
        </is>
      </c>
      <c r="U97" s="24" t="inlineStr">
        <is>
          <t>settled</t>
        </is>
      </c>
      <c r="V97" s="24" t="inlineStr">
        <is>
          <t>loss</t>
        </is>
      </c>
      <c r="W97" s="26" t="n">
        <v>1</v>
      </c>
      <c r="X97" s="26" t="n">
        <v>0</v>
      </c>
      <c r="Y97" s="25" t="n"/>
      <c r="Z97" s="26" t="n"/>
      <c r="AA97" s="28" t="n"/>
      <c r="AB97" s="28" t="n"/>
      <c r="AC97" s="30" t="n">
        <v>-1.25</v>
      </c>
      <c r="AD97" s="24" t="inlineStr">
        <is>
          <t>2026-08-23T15:50:27.341927Z</t>
        </is>
      </c>
      <c r="AE97" s="31" t="inlineStr">
        <is>
          <t>Neutral Elo baseline; executable ask 0.4900 (market_slug=aec-valorant-spe-osg-2026-08-23).</t>
        </is>
      </c>
      <c r="AF97" s="31" t="inlineStr">
        <is>
          <t>Config-promoted esports baseline; gates enforced at log time.</t>
        </is>
      </c>
      <c r="AG97" s="24" t="inlineStr">
        <is>
          <t>review_required</t>
        </is>
      </c>
      <c r="AH97" s="24" t="n"/>
      <c r="AI97" s="31" t="n"/>
      <c r="AJ97" s="31" t="n"/>
      <c r="AK97" s="24" t="inlineStr">
        <is>
          <t>model_qualified</t>
        </is>
      </c>
      <c r="AL97" s="26" t="n">
        <v>4</v>
      </c>
      <c r="AM97" s="24" t="inlineStr">
        <is>
          <t>QUALIFIED_SHADOW_CALL</t>
        </is>
      </c>
      <c r="AN97" s="24" t="inlineStr">
        <is>
          <t>CALL</t>
        </is>
      </c>
      <c r="AO97" s="24" t="inlineStr">
        <is>
          <t>QUALIFIED</t>
        </is>
      </c>
      <c r="AP97" s="24" t="inlineStr">
        <is>
          <t>ONSIDE GAMING</t>
        </is>
      </c>
      <c r="AQ97" s="24" t="inlineStr">
        <is>
          <t>ONSIDE GAMING</t>
        </is>
      </c>
      <c r="AR97" s="24" t="inlineStr">
        <is>
          <t>ONSIDE GAMING</t>
        </is>
      </c>
      <c r="AS97" s="24" t="inlineStr">
        <is>
          <t>Sharper Esport</t>
        </is>
      </c>
      <c r="AT97" s="24" t="inlineStr">
        <is>
          <t>Sharper Esport</t>
        </is>
      </c>
      <c r="AU97" s="24" t="inlineStr">
        <is>
          <t>Sharper Esport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shadow_qualified</t>
        </is>
      </c>
      <c r="BA97" s="24" t="inlineStr">
        <is>
          <t>02ff8f9c947fcaa1a06e48a6fab12a2c8404c394b907c8372d707605a0fc21ee</t>
        </is>
      </c>
      <c r="BB97" s="24" t="inlineStr">
        <is>
          <t>neutral_elo</t>
        </is>
      </c>
      <c r="BC97" s="24" t="inlineStr">
        <is>
          <t>valorant-tiered-elo-v6</t>
        </is>
      </c>
      <c r="BD97" s="24" t="inlineStr">
        <is>
          <t>02ff8f9c947fcaa1a06e48a6fab12a2c8404c394b907c8372d707605a0fc21ee</t>
        </is>
      </c>
      <c r="BE97" s="24" t="inlineStr">
        <is>
          <t>1</t>
        </is>
      </c>
      <c r="BF97" s="24" t="inlineStr">
        <is>
          <t>1</t>
        </is>
      </c>
      <c r="BG97" s="24" t="inlineStr">
        <is>
          <t>valorant-tiered-elo-v6</t>
        </is>
      </c>
      <c r="BH97" s="24" t="inlineStr">
        <is>
          <t>2026-08-23T05:28:19.217531Z</t>
        </is>
      </c>
      <c r="BI97" s="24" t="inlineStr">
        <is>
          <t>["same_event","same_team_same_day","same_league_same_day"]</t>
        </is>
      </c>
      <c r="BJ97" s="25" t="n"/>
      <c r="BK97" s="26" t="n">
        <v>104</v>
      </c>
      <c r="BL97" s="27" t="n">
        <v>2.04</v>
      </c>
      <c r="BM97" s="28" t="n">
        <v>0.490196</v>
      </c>
      <c r="BN97" s="28" t="n"/>
      <c r="BO97" s="28" t="n"/>
      <c r="BP97" s="25" t="n"/>
      <c r="BQ97" s="27" t="n"/>
      <c r="BR97" s="28" t="n"/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inlineStr">
        <is>
          <t>True</t>
        </is>
      </c>
      <c r="CT97" s="24" t="n"/>
      <c r="CU97" s="24" t="n"/>
      <c r="CV97" s="24" t="n"/>
      <c r="CW97" s="24" t="n"/>
      <c r="CX97" s="24" t="n"/>
      <c r="CY97" s="24" t="n"/>
      <c r="CZ97" s="24" t="n"/>
      <c r="DA97" s="24" t="n"/>
      <c r="DB97" s="24" t="n"/>
      <c r="DC97" s="24" t="n"/>
      <c r="DD97" s="24" t="n"/>
      <c r="DE97" s="24" t="n"/>
      <c r="DF97" s="24" t="n"/>
      <c r="DG97" s="24" t="n"/>
      <c r="DH97" s="24" t="n"/>
      <c r="DI97" s="24" t="n"/>
      <c r="DJ97" s="24" t="inlineStr">
        <is>
          <t>0.490196</t>
        </is>
      </c>
      <c r="DK97" s="24" t="n"/>
      <c r="DL97" s="24" t="n"/>
      <c r="DM97" s="24" t="n"/>
      <c r="DN97" s="24" t="n"/>
      <c r="DO97" s="24" t="n"/>
      <c r="DP97" s="24" t="n"/>
      <c r="DQ97" s="24" t="n"/>
    </row>
    <row r="98" ht="36" customHeight="1">
      <c r="A98" s="24" t="inlineStr">
        <is>
          <t>6cb83c5bfe6b4fc6</t>
        </is>
      </c>
      <c r="B98" s="24" t="inlineStr">
        <is>
          <t>2026-08-23T05:28:22.541457Z</t>
        </is>
      </c>
      <c r="C98" s="24" t="inlineStr">
        <is>
          <t>2026-08-23T08:00:00Z</t>
        </is>
      </c>
      <c r="D98" s="24" t="inlineStr">
        <is>
          <t>88684</t>
        </is>
      </c>
      <c r="E98" s="24" t="inlineStr">
        <is>
          <t>VALORANT</t>
        </is>
      </c>
      <c r="F98" s="24" t="inlineStr">
        <is>
          <t>TYLOO</t>
        </is>
      </c>
      <c r="G98" s="24" t="inlineStr">
        <is>
          <t>JD Gaming</t>
        </is>
      </c>
      <c r="H98" s="24" t="inlineStr">
        <is>
          <t>moneyline</t>
        </is>
      </c>
      <c r="I98" s="24" t="inlineStr">
        <is>
          <t>away</t>
        </is>
      </c>
      <c r="J98" s="25" t="n"/>
      <c r="K98" s="24" t="inlineStr">
        <is>
          <t>polymarket_us</t>
        </is>
      </c>
      <c r="L98" s="26" t="n">
        <v>-122</v>
      </c>
      <c r="M98" s="27" t="n">
        <v>1.819672</v>
      </c>
      <c r="N98" s="28" t="n">
        <v>0.54955</v>
      </c>
      <c r="O98" s="28" t="n">
        <v>0.565988</v>
      </c>
      <c r="P98" s="28" t="n"/>
      <c r="Q98" s="28" t="n">
        <v>0.016438</v>
      </c>
      <c r="R98" s="26" t="n">
        <v>28</v>
      </c>
      <c r="S98" s="29" t="n">
        <v>1</v>
      </c>
      <c r="T98" s="24" t="inlineStr">
        <is>
          <t>valorant-tiered-elo-v6</t>
        </is>
      </c>
      <c r="U98" s="24" t="inlineStr">
        <is>
          <t>settled</t>
        </is>
      </c>
      <c r="V98" s="24" t="inlineStr">
        <is>
          <t>win</t>
        </is>
      </c>
      <c r="W98" s="26" t="n">
        <v>1</v>
      </c>
      <c r="X98" s="26" t="n">
        <v>0</v>
      </c>
      <c r="Y98" s="25" t="n"/>
      <c r="Z98" s="26" t="n"/>
      <c r="AA98" s="28" t="n"/>
      <c r="AB98" s="28" t="n"/>
      <c r="AC98" s="30" t="n">
        <v>0.8197</v>
      </c>
      <c r="AD98" s="24" t="inlineStr">
        <is>
          <t>2026-08-23T15:50:28.265445Z</t>
        </is>
      </c>
      <c r="AE98" s="31" t="inlineStr">
        <is>
          <t>Neutral Elo baseline; executable ask 0.5500 (market_slug=aec-valorant-jdg-tyloo-2026-08-23).</t>
        </is>
      </c>
      <c r="AF98" s="31" t="inlineStr">
        <is>
          <t>Config-promoted esports baseline; gates enforced at log time.</t>
        </is>
      </c>
      <c r="AG98" s="24" t="inlineStr">
        <is>
          <t>not_applicable</t>
        </is>
      </c>
      <c r="AH98" s="24" t="n"/>
      <c r="AI98" s="31" t="n"/>
      <c r="AJ98" s="31" t="n"/>
      <c r="AK98" s="24" t="inlineStr">
        <is>
          <t>paper_call</t>
        </is>
      </c>
      <c r="AL98" s="26" t="n">
        <v>4</v>
      </c>
      <c r="AM98" s="24" t="inlineStr">
        <is>
          <t>RESEARCH_OBSERVATION</t>
        </is>
      </c>
      <c r="AN98" s="24" t="inlineStr">
        <is>
          <t>CALL</t>
        </is>
      </c>
      <c r="AO98" s="24" t="inlineStr">
        <is>
          <t>PAPER_CALL_LOW_EDGE</t>
        </is>
      </c>
      <c r="AP98" s="24" t="inlineStr">
        <is>
          <t>TYLOO</t>
        </is>
      </c>
      <c r="AQ98" s="24" t="inlineStr">
        <is>
          <t>TYLOO</t>
        </is>
      </c>
      <c r="AR98" s="24" t="inlineStr">
        <is>
          <t>TYLOO</t>
        </is>
      </c>
      <c r="AS98" s="24" t="inlineStr">
        <is>
          <t>JD Gaming</t>
        </is>
      </c>
      <c r="AT98" s="24" t="inlineStr">
        <is>
          <t>JD Gaming</t>
        </is>
      </c>
      <c r="AU98" s="24" t="inlineStr">
        <is>
          <t>JD Gaming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shadow_qualified</t>
        </is>
      </c>
      <c r="BA98" s="24" t="inlineStr">
        <is>
          <t>02ff8f9c947fcaa1a06e48a6fab12a2c8404c394b907c8372d707605a0fc21ee</t>
        </is>
      </c>
      <c r="BB98" s="24" t="inlineStr">
        <is>
          <t>neutral_elo</t>
        </is>
      </c>
      <c r="BC98" s="24" t="inlineStr">
        <is>
          <t>valorant-tiered-elo-v6</t>
        </is>
      </c>
      <c r="BD98" s="24" t="inlineStr">
        <is>
          <t>02ff8f9c947fcaa1a06e48a6fab12a2c8404c394b907c8372d707605a0fc21ee</t>
        </is>
      </c>
      <c r="BE98" s="24" t="inlineStr">
        <is>
          <t>1</t>
        </is>
      </c>
      <c r="BF98" s="24" t="inlineStr">
        <is>
          <t>1</t>
        </is>
      </c>
      <c r="BG98" s="24" t="inlineStr">
        <is>
          <t>valorant-tiered-elo-v6</t>
        </is>
      </c>
      <c r="BH98" s="24" t="inlineStr">
        <is>
          <t>2026-08-23T05:28:19.399586Z</t>
        </is>
      </c>
      <c r="BI98" s="24" t="inlineStr">
        <is>
          <t>["same_event","same_team_same_day","same_league_same_day"]</t>
        </is>
      </c>
      <c r="BJ98" s="25" t="n"/>
      <c r="BK98" s="26" t="n">
        <v>-122</v>
      </c>
      <c r="BL98" s="27" t="n">
        <v>1.819672</v>
      </c>
      <c r="BM98" s="28" t="n">
        <v>0.54955</v>
      </c>
      <c r="BN98" s="28" t="n"/>
      <c r="BO98" s="28" t="n"/>
      <c r="BP98" s="25" t="n"/>
      <c r="BQ98" s="27" t="n"/>
      <c r="BR98" s="28" t="n"/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inlineStr">
        <is>
          <t>True</t>
        </is>
      </c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inlineStr">
        <is>
          <t>0.54955</t>
        </is>
      </c>
      <c r="DK98" s="24" t="n"/>
      <c r="DL98" s="24" t="n"/>
      <c r="DM98" s="24" t="n"/>
      <c r="DN98" s="24" t="n"/>
      <c r="DO98" s="24" t="n"/>
      <c r="DP98" s="24" t="n"/>
      <c r="DQ98" s="24" t="n"/>
    </row>
    <row r="99" ht="36" customHeight="1">
      <c r="A99" s="24" t="inlineStr">
        <is>
          <t>0c01448c05184c66</t>
        </is>
      </c>
      <c r="B99" s="24" t="inlineStr">
        <is>
          <t>2026-08-23T08:37:50.036855Z</t>
        </is>
      </c>
      <c r="C99" s="24" t="inlineStr">
        <is>
          <t>2026-08-23T11:00:00Z</t>
        </is>
      </c>
      <c r="D99" s="24" t="inlineStr">
        <is>
          <t>88685</t>
        </is>
      </c>
      <c r="E99" s="24" t="inlineStr">
        <is>
          <t>VALORANT</t>
        </is>
      </c>
      <c r="F99" s="24" t="inlineStr">
        <is>
          <t>DetonatioN FocusMe</t>
        </is>
      </c>
      <c r="G99" s="24" t="inlineStr">
        <is>
          <t>T1</t>
        </is>
      </c>
      <c r="H99" s="24" t="inlineStr">
        <is>
          <t>moneyline</t>
        </is>
      </c>
      <c r="I99" s="24" t="inlineStr">
        <is>
          <t>home</t>
        </is>
      </c>
      <c r="J99" s="25" t="n"/>
      <c r="K99" s="24" t="inlineStr">
        <is>
          <t>polymarket_us</t>
        </is>
      </c>
      <c r="L99" s="26" t="n">
        <v>-194</v>
      </c>
      <c r="M99" s="27" t="n">
        <v>1.515464</v>
      </c>
      <c r="N99" s="28" t="n">
        <v>0.659864</v>
      </c>
      <c r="O99" s="28" t="n">
        <v>0.59153</v>
      </c>
      <c r="P99" s="28" t="n"/>
      <c r="Q99" s="28" t="n">
        <v>-0.06833400000000001</v>
      </c>
      <c r="R99" s="26" t="n">
        <v>0</v>
      </c>
      <c r="S99" s="29" t="n">
        <v>1</v>
      </c>
      <c r="T99" s="24" t="inlineStr">
        <is>
          <t>valorant-tiered-elo-v6</t>
        </is>
      </c>
      <c r="U99" s="24" t="inlineStr">
        <is>
          <t>settled</t>
        </is>
      </c>
      <c r="V99" s="24" t="inlineStr">
        <is>
          <t>win</t>
        </is>
      </c>
      <c r="W99" s="26" t="n">
        <v>0</v>
      </c>
      <c r="X99" s="26" t="n">
        <v>1</v>
      </c>
      <c r="Y99" s="25" t="n"/>
      <c r="Z99" s="26" t="n"/>
      <c r="AA99" s="28" t="n"/>
      <c r="AB99" s="28" t="n"/>
      <c r="AC99" s="30" t="n">
        <v>0.5155</v>
      </c>
      <c r="AD99" s="24" t="inlineStr">
        <is>
          <t>2026-08-23T15:50:28.977352Z</t>
        </is>
      </c>
      <c r="AE99" s="31" t="inlineStr">
        <is>
          <t>Neutral Elo baseline; executable ask 0.6600 (market_slug=aec-valorant-t1-dfm-2026-08-23).</t>
        </is>
      </c>
      <c r="AF99" s="31" t="inlineStr">
        <is>
          <t>Config-promoted esports baseline; gates enforced at log time.</t>
        </is>
      </c>
      <c r="AG99" s="24" t="inlineStr">
        <is>
          <t>not_applicable</t>
        </is>
      </c>
      <c r="AH99" s="24" t="n"/>
      <c r="AI99" s="31" t="n"/>
      <c r="AJ99" s="31" t="n"/>
      <c r="AK99" s="24" t="inlineStr">
        <is>
          <t>paper_call</t>
        </is>
      </c>
      <c r="AL99" s="26" t="n">
        <v>4</v>
      </c>
      <c r="AM99" s="24" t="inlineStr">
        <is>
          <t>RESEARCH_OBSERVATION</t>
        </is>
      </c>
      <c r="AN99" s="24" t="inlineStr">
        <is>
          <t>CALL</t>
        </is>
      </c>
      <c r="AO99" s="24" t="inlineStr">
        <is>
          <t>PAPER_CALL_LOW_EDGE</t>
        </is>
      </c>
      <c r="AP99" s="24" t="inlineStr">
        <is>
          <t>DetonatioN FocusMe</t>
        </is>
      </c>
      <c r="AQ99" s="24" t="inlineStr">
        <is>
          <t>DetonatioN FocusMe</t>
        </is>
      </c>
      <c r="AR99" s="24" t="inlineStr">
        <is>
          <t>DetonatioN FocusMe</t>
        </is>
      </c>
      <c r="AS99" s="24" t="inlineStr">
        <is>
          <t>T1</t>
        </is>
      </c>
      <c r="AT99" s="24" t="inlineStr">
        <is>
          <t>T1</t>
        </is>
      </c>
      <c r="AU99" s="24" t="inlineStr">
        <is>
          <t>T1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d5592fe9dc79608e13b03a07b9e2ac8df1625136d8b7d61542a22360f7fab8bf</t>
        </is>
      </c>
      <c r="BB99" s="24" t="inlineStr">
        <is>
          <t>neutral_elo</t>
        </is>
      </c>
      <c r="BC99" s="24" t="inlineStr">
        <is>
          <t>valorant-tiered-elo-v6</t>
        </is>
      </c>
      <c r="BD99" s="24" t="inlineStr">
        <is>
          <t>d5592fe9dc79608e13b03a07b9e2ac8df1625136d8b7d61542a22360f7fab8bf</t>
        </is>
      </c>
      <c r="BE99" s="24" t="inlineStr">
        <is>
          <t>1</t>
        </is>
      </c>
      <c r="BF99" s="24" t="inlineStr">
        <is>
          <t>1</t>
        </is>
      </c>
      <c r="BG99" s="24" t="inlineStr">
        <is>
          <t>valorant-tiered-elo-v6</t>
        </is>
      </c>
      <c r="BH99" s="24" t="inlineStr">
        <is>
          <t>2026-08-23T08:37:49.229101Z</t>
        </is>
      </c>
      <c r="BI99" s="24" t="inlineStr">
        <is>
          <t>["same_event","same_team_same_day","same_league_same_day"]</t>
        </is>
      </c>
      <c r="BJ99" s="25" t="n"/>
      <c r="BK99" s="26" t="n">
        <v>-194</v>
      </c>
      <c r="BL99" s="27" t="n">
        <v>1.515464</v>
      </c>
      <c r="BM99" s="28" t="n">
        <v>0.659864</v>
      </c>
      <c r="BN99" s="28" t="n"/>
      <c r="BO99" s="28" t="n"/>
      <c r="BP99" s="25" t="n"/>
      <c r="BQ99" s="27" t="n"/>
      <c r="BR99" s="28" t="n"/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inlineStr">
        <is>
          <t>False</t>
        </is>
      </c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inlineStr">
        <is>
          <t>0.659864</t>
        </is>
      </c>
      <c r="DK99" s="24" t="n"/>
      <c r="DL99" s="24" t="n"/>
      <c r="DM99" s="24" t="n"/>
      <c r="DN99" s="24" t="n"/>
      <c r="DO99" s="24" t="n"/>
      <c r="DP99" s="24" t="n"/>
      <c r="DQ99" s="24" t="n"/>
    </row>
    <row r="100" ht="36" customHeight="1">
      <c r="A100" s="24" t="inlineStr">
        <is>
          <t>aa73b628c4cf486c</t>
        </is>
      </c>
      <c r="B100" s="24" t="inlineStr">
        <is>
          <t>2026-08-23T08:37:50.036855Z</t>
        </is>
      </c>
      <c r="C100" s="24" t="inlineStr">
        <is>
          <t>2026-08-23T14:00:00Z</t>
        </is>
      </c>
      <c r="D100" s="24" t="inlineStr">
        <is>
          <t>88830</t>
        </is>
      </c>
      <c r="E100" s="24" t="inlineStr">
        <is>
          <t>VALORANT</t>
        </is>
      </c>
      <c r="F100" s="24" t="inlineStr">
        <is>
          <t>Team Liquid</t>
        </is>
      </c>
      <c r="G100" s="24" t="inlineStr">
        <is>
          <t>Enterprise Esports</t>
        </is>
      </c>
      <c r="H100" s="24" t="inlineStr">
        <is>
          <t>moneyline</t>
        </is>
      </c>
      <c r="I100" s="24" t="inlineStr">
        <is>
          <t>home</t>
        </is>
      </c>
      <c r="J100" s="25" t="n"/>
      <c r="K100" s="24" t="inlineStr">
        <is>
          <t>polymarket_us</t>
        </is>
      </c>
      <c r="L100" s="26" t="n">
        <v>113</v>
      </c>
      <c r="M100" s="27" t="n">
        <v>2.13</v>
      </c>
      <c r="N100" s="28" t="n">
        <v>0.469484</v>
      </c>
      <c r="O100" s="28" t="n">
        <v>0.752022</v>
      </c>
      <c r="P100" s="28" t="n"/>
      <c r="Q100" s="28" t="n">
        <v>0.282538</v>
      </c>
      <c r="R100" s="26" t="n">
        <v>100</v>
      </c>
      <c r="S100" s="29" t="n">
        <v>2</v>
      </c>
      <c r="T100" s="24" t="inlineStr">
        <is>
          <t>valorant-tiered-elo-v6</t>
        </is>
      </c>
      <c r="U100" s="24" t="inlineStr">
        <is>
          <t>settled</t>
        </is>
      </c>
      <c r="V100" s="24" t="inlineStr">
        <is>
          <t>loss</t>
        </is>
      </c>
      <c r="W100" s="26" t="n">
        <v>1</v>
      </c>
      <c r="X100" s="26" t="n">
        <v>0</v>
      </c>
      <c r="Y100" s="25" t="n"/>
      <c r="Z100" s="26" t="n"/>
      <c r="AA100" s="28" t="n"/>
      <c r="AB100" s="28" t="n"/>
      <c r="AC100" s="30" t="n">
        <v>-2</v>
      </c>
      <c r="AD100" s="24" t="inlineStr">
        <is>
          <t>2026-08-23T16:08:18.106696Z</t>
        </is>
      </c>
      <c r="AE100" s="31" t="inlineStr">
        <is>
          <t>Neutral Elo baseline; executable ask 0.4700 (market_slug=aec-valorant-ep-tl-2026-08-23).</t>
        </is>
      </c>
      <c r="AF100" s="31" t="inlineStr">
        <is>
          <t>Config-promoted esports baseline; gates enforced at log time.</t>
        </is>
      </c>
      <c r="AG100" s="24" t="inlineStr">
        <is>
          <t>review_required</t>
        </is>
      </c>
      <c r="AH100" s="24" t="n"/>
      <c r="AI100" s="31" t="n"/>
      <c r="AJ100" s="31" t="n"/>
      <c r="AK100" s="24" t="inlineStr">
        <is>
          <t>model_qualified</t>
        </is>
      </c>
      <c r="AL100" s="26" t="n">
        <v>4</v>
      </c>
      <c r="AM100" s="24" t="inlineStr">
        <is>
          <t>QUALIFIED_SHADOW_CALL</t>
        </is>
      </c>
      <c r="AN100" s="24" t="inlineStr">
        <is>
          <t>CALL</t>
        </is>
      </c>
      <c r="AO100" s="24" t="inlineStr">
        <is>
          <t>QUALIFIED</t>
        </is>
      </c>
      <c r="AP100" s="24" t="inlineStr">
        <is>
          <t>Team Liquid</t>
        </is>
      </c>
      <c r="AQ100" s="24" t="inlineStr">
        <is>
          <t>Team Liquid</t>
        </is>
      </c>
      <c r="AR100" s="24" t="inlineStr">
        <is>
          <t>Team Liquid</t>
        </is>
      </c>
      <c r="AS100" s="24" t="inlineStr">
        <is>
          <t>Enterprise Esports</t>
        </is>
      </c>
      <c r="AT100" s="24" t="inlineStr">
        <is>
          <t>Enterprise Esports</t>
        </is>
      </c>
      <c r="AU100" s="24" t="inlineStr">
        <is>
          <t>Enterprise Esports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shadow_qualified</t>
        </is>
      </c>
      <c r="BA100" s="24" t="inlineStr">
        <is>
          <t>d5592fe9dc79608e13b03a07b9e2ac8df1625136d8b7d61542a22360f7fab8bf</t>
        </is>
      </c>
      <c r="BB100" s="24" t="inlineStr">
        <is>
          <t>neutral_elo</t>
        </is>
      </c>
      <c r="BC100" s="24" t="inlineStr">
        <is>
          <t>valorant-tiered-elo-v6</t>
        </is>
      </c>
      <c r="BD100" s="24" t="inlineStr">
        <is>
          <t>d5592fe9dc79608e13b03a07b9e2ac8df1625136d8b7d61542a22360f7fab8bf</t>
        </is>
      </c>
      <c r="BE100" s="24" t="inlineStr">
        <is>
          <t>1</t>
        </is>
      </c>
      <c r="BF100" s="24" t="inlineStr">
        <is>
          <t>1</t>
        </is>
      </c>
      <c r="BG100" s="24" t="inlineStr">
        <is>
          <t>valorant-tiered-elo-v6</t>
        </is>
      </c>
      <c r="BH100" s="24" t="inlineStr">
        <is>
          <t>2026-08-23T08:37:49.338921Z</t>
        </is>
      </c>
      <c r="BI100" s="24" t="inlineStr">
        <is>
          <t>["same_event","same_team_same_day","same_league_same_day"]</t>
        </is>
      </c>
      <c r="BJ100" s="25" t="n"/>
      <c r="BK100" s="26" t="n">
        <v>113</v>
      </c>
      <c r="BL100" s="27" t="n">
        <v>2.13</v>
      </c>
      <c r="BM100" s="28" t="n">
        <v>0.469484</v>
      </c>
      <c r="BN100" s="28" t="n"/>
      <c r="BO100" s="28" t="n"/>
      <c r="BP100" s="25" t="n"/>
      <c r="BQ100" s="27" t="n"/>
      <c r="BR100" s="28" t="n"/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True</t>
        </is>
      </c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inlineStr">
        <is>
          <t>0.469484</t>
        </is>
      </c>
      <c r="DK100" s="24" t="n"/>
      <c r="DL100" s="24" t="n"/>
      <c r="DM100" s="24" t="n"/>
      <c r="DN100" s="24" t="n"/>
      <c r="DO100" s="24" t="n"/>
      <c r="DP100" s="24" t="n"/>
      <c r="DQ100" s="24" t="n"/>
    </row>
    <row r="101" ht="36" customHeight="1">
      <c r="A101" s="24" t="inlineStr">
        <is>
          <t>74163e59c59045d7</t>
        </is>
      </c>
      <c r="B101" s="24" t="inlineStr">
        <is>
          <t>2026-08-23T16:11:20.718472Z</t>
        </is>
      </c>
      <c r="C101" s="24" t="inlineStr">
        <is>
          <t>2026-08-23T17:00:00Z</t>
        </is>
      </c>
      <c r="D101" s="24" t="inlineStr">
        <is>
          <t>89302</t>
        </is>
      </c>
      <c r="E101" s="24" t="inlineStr">
        <is>
          <t>VALORANT</t>
        </is>
      </c>
      <c r="F101" s="24" t="inlineStr">
        <is>
          <t>Fire Flux Esports</t>
        </is>
      </c>
      <c r="G101" s="24" t="inlineStr">
        <is>
          <t>BBL Esports</t>
        </is>
      </c>
      <c r="H101" s="24" t="inlineStr">
        <is>
          <t>moneyline</t>
        </is>
      </c>
      <c r="I101" s="24" t="inlineStr">
        <is>
          <t>home</t>
        </is>
      </c>
      <c r="J101" s="25" t="n"/>
      <c r="K101" s="24" t="inlineStr">
        <is>
          <t>polymarket_us</t>
        </is>
      </c>
      <c r="L101" s="26" t="n">
        <v>-144</v>
      </c>
      <c r="M101" s="27" t="n">
        <v>1.694444</v>
      </c>
      <c r="N101" s="28" t="n">
        <v>0.590164</v>
      </c>
      <c r="O101" s="28" t="n">
        <v>0.626323</v>
      </c>
      <c r="P101" s="28" t="n"/>
      <c r="Q101" s="28" t="n">
        <v>0.036159</v>
      </c>
      <c r="R101" s="26" t="n">
        <v>38</v>
      </c>
      <c r="S101" s="29" t="n">
        <v>1</v>
      </c>
      <c r="T101" s="24" t="inlineStr">
        <is>
          <t>valorant-tiered-elo-v6</t>
        </is>
      </c>
      <c r="U101" s="24" t="inlineStr">
        <is>
          <t>settled</t>
        </is>
      </c>
      <c r="V101" s="24" t="inlineStr">
        <is>
          <t>loss</t>
        </is>
      </c>
      <c r="W101" s="26" t="n">
        <v>1</v>
      </c>
      <c r="X101" s="26" t="n">
        <v>0</v>
      </c>
      <c r="Y101" s="25" t="n"/>
      <c r="Z101" s="26" t="n"/>
      <c r="AA101" s="28" t="n"/>
      <c r="AB101" s="28" t="n"/>
      <c r="AC101" s="30" t="n">
        <v>-1</v>
      </c>
      <c r="AD101" s="24" t="inlineStr">
        <is>
          <t>2026-08-23T18:43:56.860523Z</t>
        </is>
      </c>
      <c r="AE101" s="31" t="inlineStr">
        <is>
          <t>Neutral Elo baseline; executable ask 0.5900 (market_slug=aec-valorant-bbl-ff-2026-08-23).</t>
        </is>
      </c>
      <c r="AF101" s="31" t="inlineStr">
        <is>
          <t>Config-promoted esports baseline; gates enforced at log time.</t>
        </is>
      </c>
      <c r="AG101" s="24" t="inlineStr">
        <is>
          <t>review_required</t>
        </is>
      </c>
      <c r="AH101" s="24" t="n"/>
      <c r="AI101" s="31" t="n"/>
      <c r="AJ101" s="31" t="n"/>
      <c r="AK101" s="24" t="inlineStr">
        <is>
          <t>model_qualified</t>
        </is>
      </c>
      <c r="AL101" s="26" t="n">
        <v>4</v>
      </c>
      <c r="AM101" s="24" t="inlineStr">
        <is>
          <t>QUALIFIED_SHADOW_CALL</t>
        </is>
      </c>
      <c r="AN101" s="24" t="inlineStr">
        <is>
          <t>CALL</t>
        </is>
      </c>
      <c r="AO101" s="24" t="inlineStr">
        <is>
          <t>QUALIFIED</t>
        </is>
      </c>
      <c r="AP101" s="24" t="inlineStr">
        <is>
          <t>Fire Flux Esports</t>
        </is>
      </c>
      <c r="AQ101" s="24" t="inlineStr">
        <is>
          <t>Fire Flux Esports</t>
        </is>
      </c>
      <c r="AR101" s="24" t="inlineStr">
        <is>
          <t>Fire Flux Esports</t>
        </is>
      </c>
      <c r="AS101" s="24" t="inlineStr">
        <is>
          <t>BBL Esports</t>
        </is>
      </c>
      <c r="AT101" s="24" t="inlineStr">
        <is>
          <t>BBL Esports</t>
        </is>
      </c>
      <c r="AU101" s="24" t="inlineStr">
        <is>
          <t>BBL Esports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51b77af69bf8dceacf9fa28460c2dfe715c42123b6b807db4068c424675a446b</t>
        </is>
      </c>
      <c r="BB101" s="24" t="inlineStr">
        <is>
          <t>neutral_elo</t>
        </is>
      </c>
      <c r="BC101" s="24" t="inlineStr">
        <is>
          <t>valorant-tiered-elo-v6</t>
        </is>
      </c>
      <c r="BD101" s="24" t="inlineStr">
        <is>
          <t>51b77af69bf8dceacf9fa28460c2dfe715c42123b6b807db4068c424675a446b</t>
        </is>
      </c>
      <c r="BE101" s="24" t="inlineStr">
        <is>
          <t>1</t>
        </is>
      </c>
      <c r="BF101" s="24" t="inlineStr">
        <is>
          <t>1</t>
        </is>
      </c>
      <c r="BG101" s="24" t="inlineStr">
        <is>
          <t>valorant-tiered-elo-v6</t>
        </is>
      </c>
      <c r="BH101" s="24" t="inlineStr">
        <is>
          <t>2026-08-23T16:11:19.812182Z</t>
        </is>
      </c>
      <c r="BI101" s="24" t="inlineStr">
        <is>
          <t>["same_event","same_team_same_day","same_league_same_day"]</t>
        </is>
      </c>
      <c r="BJ101" s="25" t="n"/>
      <c r="BK101" s="26" t="n">
        <v>-144</v>
      </c>
      <c r="BL101" s="27" t="n">
        <v>1.694444</v>
      </c>
      <c r="BM101" s="28" t="n">
        <v>0.590164</v>
      </c>
      <c r="BN101" s="28" t="n"/>
      <c r="BO101" s="28" t="n"/>
      <c r="BP101" s="25" t="n"/>
      <c r="BQ101" s="27" t="n"/>
      <c r="BR101" s="28" t="n"/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True</t>
        </is>
      </c>
      <c r="CT101" s="24" t="n"/>
      <c r="CU101" s="24" t="n"/>
      <c r="CV101" s="24" t="n"/>
      <c r="CW101" s="24" t="n"/>
      <c r="CX101" s="24" t="n"/>
      <c r="CY101" s="24" t="n"/>
      <c r="CZ101" s="24" t="n"/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inlineStr">
        <is>
          <t>0.590164</t>
        </is>
      </c>
      <c r="DK101" s="24" t="n"/>
      <c r="DL101" s="24" t="n"/>
      <c r="DM101" s="24" t="n"/>
      <c r="DN101" s="24" t="n"/>
      <c r="DO101" s="24" t="n"/>
      <c r="DP101" s="24" t="n"/>
      <c r="DQ101" s="24" t="n"/>
    </row>
    <row r="102" ht="36" customHeight="1">
      <c r="A102" s="24" t="inlineStr">
        <is>
          <t>3b487031d6c34721</t>
        </is>
      </c>
      <c r="B102" s="24" t="inlineStr">
        <is>
          <t>2026-08-23T22:32:03.044052Z</t>
        </is>
      </c>
      <c r="C102" s="24" t="inlineStr">
        <is>
          <t>2026-08-24T00:00:00Z</t>
        </is>
      </c>
      <c r="D102" s="24" t="inlineStr">
        <is>
          <t>89605</t>
        </is>
      </c>
      <c r="E102" s="24" t="inlineStr">
        <is>
          <t>VALORANT</t>
        </is>
      </c>
      <c r="F102" s="24" t="inlineStr">
        <is>
          <t>KRÜ Esports</t>
        </is>
      </c>
      <c r="G102" s="24" t="inlineStr">
        <is>
          <t>Evil Geniuses</t>
        </is>
      </c>
      <c r="H102" s="24" t="inlineStr">
        <is>
          <t>moneyline</t>
        </is>
      </c>
      <c r="I102" s="24" t="inlineStr">
        <is>
          <t>away</t>
        </is>
      </c>
      <c r="J102" s="25" t="n"/>
      <c r="K102" s="24" t="inlineStr">
        <is>
          <t>polymarket_us</t>
        </is>
      </c>
      <c r="L102" s="26" t="n">
        <v>-133</v>
      </c>
      <c r="M102" s="27" t="n">
        <v>1.75188</v>
      </c>
      <c r="N102" s="28" t="n">
        <v>0.570815</v>
      </c>
      <c r="O102" s="28" t="n">
        <v>0.51546</v>
      </c>
      <c r="P102" s="28" t="n"/>
      <c r="Q102" s="28" t="n">
        <v>-0.055355</v>
      </c>
      <c r="R102" s="26" t="n">
        <v>0</v>
      </c>
      <c r="S102" s="29" t="n">
        <v>1</v>
      </c>
      <c r="T102" s="24" t="inlineStr">
        <is>
          <t>valorant-tiered-elo-v6</t>
        </is>
      </c>
      <c r="U102" s="24" t="inlineStr">
        <is>
          <t>settled</t>
        </is>
      </c>
      <c r="V102" s="24" t="inlineStr">
        <is>
          <t>loss</t>
        </is>
      </c>
      <c r="W102" s="26" t="n">
        <v>0</v>
      </c>
      <c r="X102" s="26" t="n">
        <v>1</v>
      </c>
      <c r="Y102" s="25" t="n"/>
      <c r="Z102" s="26" t="n">
        <v>-133</v>
      </c>
      <c r="AA102" s="28" t="n">
        <v>0.57</v>
      </c>
      <c r="AB102" s="28" t="n">
        <v>-0.000815</v>
      </c>
      <c r="AC102" s="30" t="n">
        <v>-1</v>
      </c>
      <c r="AD102" s="24" t="inlineStr">
        <is>
          <t>2026-08-24T03:21:04.183742Z</t>
        </is>
      </c>
      <c r="AE102" s="31" t="inlineStr">
        <is>
          <t>Neutral Elo baseline; executable ask 0.5700 (market_slug=aec-valorant-eg-kr-2026-08-24).</t>
        </is>
      </c>
      <c r="AF102" s="31" t="inlineStr">
        <is>
          <t>Config-promoted esports baseline; gates enforced at log time.</t>
        </is>
      </c>
      <c r="AG102" s="24" t="inlineStr">
        <is>
          <t>review_required</t>
        </is>
      </c>
      <c r="AH102" s="24" t="n"/>
      <c r="AI102" s="31" t="n"/>
      <c r="AJ102" s="31" t="n"/>
      <c r="AK102" s="24" t="inlineStr">
        <is>
          <t>paper_call</t>
        </is>
      </c>
      <c r="AL102" s="26" t="n">
        <v>4</v>
      </c>
      <c r="AM102" s="24" t="inlineStr">
        <is>
          <t>RESEARCH_OBSERVATION</t>
        </is>
      </c>
      <c r="AN102" s="24" t="inlineStr">
        <is>
          <t>CALL</t>
        </is>
      </c>
      <c r="AO102" s="24" t="inlineStr">
        <is>
          <t>PAPER_CALL_LOW_EDGE</t>
        </is>
      </c>
      <c r="AP102" s="24" t="inlineStr">
        <is>
          <t>KRÜ Esports</t>
        </is>
      </c>
      <c r="AQ102" s="24" t="inlineStr">
        <is>
          <t>KRÜ Esports</t>
        </is>
      </c>
      <c r="AR102" s="24" t="inlineStr">
        <is>
          <t>KRÜ Esports</t>
        </is>
      </c>
      <c r="AS102" s="24" t="inlineStr">
        <is>
          <t>Evil Geniuses</t>
        </is>
      </c>
      <c r="AT102" s="24" t="inlineStr">
        <is>
          <t>Evil Geniuses</t>
        </is>
      </c>
      <c r="AU102" s="24" t="inlineStr">
        <is>
          <t>Evil Geniuses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dd3a934812b2ad261a782b75046bbff4f4c9ea935a9aa8c014d76135b70026f0</t>
        </is>
      </c>
      <c r="BB102" s="24" t="inlineStr">
        <is>
          <t>neutral_elo</t>
        </is>
      </c>
      <c r="BC102" s="24" t="inlineStr">
        <is>
          <t>valorant-tiered-elo-v6</t>
        </is>
      </c>
      <c r="BD102" s="24" t="inlineStr">
        <is>
          <t>dd3a934812b2ad261a782b75046bbff4f4c9ea935a9aa8c014d76135b70026f0</t>
        </is>
      </c>
      <c r="BE102" s="24" t="inlineStr">
        <is>
          <t>1</t>
        </is>
      </c>
      <c r="BF102" s="24" t="inlineStr">
        <is>
          <t>1</t>
        </is>
      </c>
      <c r="BG102" s="24" t="inlineStr">
        <is>
          <t>valorant-tiered-elo-v6</t>
        </is>
      </c>
      <c r="BH102" s="24" t="inlineStr">
        <is>
          <t>2026-08-23T22:32:02.757099Z</t>
        </is>
      </c>
      <c r="BI102" s="24" t="inlineStr">
        <is>
          <t>["same_event","same_team_same_day","same_league_same_day"]</t>
        </is>
      </c>
      <c r="BJ102" s="25" t="n"/>
      <c r="BK102" s="26" t="n">
        <v>-133</v>
      </c>
      <c r="BL102" s="27" t="n">
        <v>1.75188</v>
      </c>
      <c r="BM102" s="28" t="n">
        <v>0.570815</v>
      </c>
      <c r="BN102" s="28" t="n"/>
      <c r="BO102" s="28" t="n"/>
      <c r="BP102" s="25" t="n"/>
      <c r="BQ102" s="27" t="n">
        <v>1.75188</v>
      </c>
      <c r="BR102" s="28" t="n">
        <v>0.57</v>
      </c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False</t>
        </is>
      </c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inlineStr">
        <is>
          <t>0.570815</t>
        </is>
      </c>
      <c r="DK102" s="24" t="n"/>
      <c r="DL102" s="24" t="n"/>
      <c r="DM102" s="24" t="n"/>
      <c r="DN102" s="24" t="n"/>
      <c r="DO102" s="24" t="n"/>
      <c r="DP102" s="24" t="n"/>
      <c r="DQ102" s="24" t="n"/>
    </row>
    <row r="103" ht="36" customHeight="1">
      <c r="A103" s="24" t="inlineStr">
        <is>
          <t>64b124e94b0e4247</t>
        </is>
      </c>
      <c r="B103" s="24" t="inlineStr">
        <is>
          <t>2026-08-24T21:16:33.103630Z</t>
        </is>
      </c>
      <c r="C103" s="24" t="inlineStr">
        <is>
          <t>2026-08-24T23:00:00Z</t>
        </is>
      </c>
      <c r="D103" s="24" t="inlineStr">
        <is>
          <t>88491</t>
        </is>
      </c>
      <c r="E103" s="24" t="inlineStr">
        <is>
          <t>VALORANT</t>
        </is>
      </c>
      <c r="F103" s="24" t="inlineStr">
        <is>
          <t>Arashi GC</t>
        </is>
      </c>
      <c r="G103" s="24" t="inlineStr">
        <is>
          <t>Ushiras</t>
        </is>
      </c>
      <c r="H103" s="24" t="inlineStr">
        <is>
          <t>moneyline</t>
        </is>
      </c>
      <c r="I103" s="24" t="inlineStr">
        <is>
          <t>home</t>
        </is>
      </c>
      <c r="J103" s="25" t="n"/>
      <c r="K103" s="24" t="inlineStr">
        <is>
          <t>polymarket_us</t>
        </is>
      </c>
      <c r="L103" s="26" t="n">
        <v>150</v>
      </c>
      <c r="M103" s="27" t="n">
        <v>2.5</v>
      </c>
      <c r="N103" s="28" t="n">
        <v>0.4</v>
      </c>
      <c r="O103" s="28" t="n">
        <v>0.526629</v>
      </c>
      <c r="P103" s="28" t="n"/>
      <c r="Q103" s="28" t="n">
        <v>0.126629</v>
      </c>
      <c r="R103" s="26" t="n">
        <v>83</v>
      </c>
      <c r="S103" s="29" t="n">
        <v>1.5</v>
      </c>
      <c r="T103" s="24" t="inlineStr">
        <is>
          <t>valorant-tiered-elo-v6</t>
        </is>
      </c>
      <c r="U103" s="24" t="inlineStr">
        <is>
          <t>settled</t>
        </is>
      </c>
      <c r="V103" s="24" t="inlineStr">
        <is>
          <t>win</t>
        </is>
      </c>
      <c r="W103" s="26" t="n">
        <v>0</v>
      </c>
      <c r="X103" s="26" t="n">
        <v>1</v>
      </c>
      <c r="Y103" s="25" t="n"/>
      <c r="Z103" s="26" t="n">
        <v>150</v>
      </c>
      <c r="AA103" s="28" t="n">
        <v>0.4</v>
      </c>
      <c r="AB103" s="28" t="n">
        <v>0</v>
      </c>
      <c r="AC103" s="30" t="n">
        <v>2.25</v>
      </c>
      <c r="AD103" s="24" t="inlineStr">
        <is>
          <t>2026-08-25T01:14:06.994991Z</t>
        </is>
      </c>
      <c r="AE103" s="31" t="inlineStr">
        <is>
          <t>Neutral Elo baseline; executable ask 0.4000 (market_slug=aec-valorant-ushi-ars-2026-08-24).</t>
        </is>
      </c>
      <c r="AF103" s="31" t="inlineStr">
        <is>
          <t>Config-promoted esports baseline; gates enforced at log time.</t>
        </is>
      </c>
      <c r="AG103" s="24" t="inlineStr">
        <is>
          <t>not_applicable</t>
        </is>
      </c>
      <c r="AH103" s="24" t="n"/>
      <c r="AI103" s="31" t="n"/>
      <c r="AJ103" s="31" t="n"/>
      <c r="AK103" s="24" t="inlineStr">
        <is>
          <t>model_qualified</t>
        </is>
      </c>
      <c r="AL103" s="26" t="n">
        <v>4</v>
      </c>
      <c r="AM103" s="24" t="inlineStr">
        <is>
          <t>QUALIFIED_SHADOW_CALL</t>
        </is>
      </c>
      <c r="AN103" s="24" t="inlineStr">
        <is>
          <t>CALL</t>
        </is>
      </c>
      <c r="AO103" s="24" t="inlineStr">
        <is>
          <t>QUALIFIED</t>
        </is>
      </c>
      <c r="AP103" s="24" t="inlineStr">
        <is>
          <t>Arashi GC</t>
        </is>
      </c>
      <c r="AQ103" s="24" t="inlineStr">
        <is>
          <t>Arashi GC</t>
        </is>
      </c>
      <c r="AR103" s="24" t="inlineStr">
        <is>
          <t>Arashi GC</t>
        </is>
      </c>
      <c r="AS103" s="24" t="inlineStr">
        <is>
          <t>Ushiras</t>
        </is>
      </c>
      <c r="AT103" s="24" t="inlineStr">
        <is>
          <t>Ushiras</t>
        </is>
      </c>
      <c r="AU103" s="24" t="inlineStr">
        <is>
          <t>Ushiras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1848a42fe93d82c35243f1fc7d16b87eb8967cb0cda730661586daeec021b4bb</t>
        </is>
      </c>
      <c r="BB103" s="24" t="inlineStr">
        <is>
          <t>neutral_elo</t>
        </is>
      </c>
      <c r="BC103" s="24" t="inlineStr">
        <is>
          <t>valorant-tiered-elo-v6</t>
        </is>
      </c>
      <c r="BD103" s="24" t="inlineStr">
        <is>
          <t>1848a42fe93d82c35243f1fc7d16b87eb8967cb0cda730661586daeec021b4bb</t>
        </is>
      </c>
      <c r="BE103" s="24" t="inlineStr">
        <is>
          <t>1</t>
        </is>
      </c>
      <c r="BF103" s="24" t="inlineStr">
        <is>
          <t>1</t>
        </is>
      </c>
      <c r="BG103" s="24" t="inlineStr">
        <is>
          <t>valorant-tiered-elo-v6</t>
        </is>
      </c>
      <c r="BH103" s="24" t="inlineStr">
        <is>
          <t>2026-08-24T21:16:32.978039Z</t>
        </is>
      </c>
      <c r="BI103" s="24" t="inlineStr">
        <is>
          <t>["same_event","same_team_same_day","same_league_same_day"]</t>
        </is>
      </c>
      <c r="BJ103" s="25" t="n"/>
      <c r="BK103" s="26" t="n">
        <v>150</v>
      </c>
      <c r="BL103" s="27" t="n">
        <v>2.5</v>
      </c>
      <c r="BM103" s="28" t="n">
        <v>0.4</v>
      </c>
      <c r="BN103" s="28" t="n"/>
      <c r="BO103" s="28" t="n"/>
      <c r="BP103" s="25" t="n"/>
      <c r="BQ103" s="27" t="n">
        <v>2.5</v>
      </c>
      <c r="BR103" s="28" t="n">
        <v>0.4</v>
      </c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True</t>
        </is>
      </c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inlineStr">
        <is>
          <t>0.4</t>
        </is>
      </c>
      <c r="DK103" s="24" t="n"/>
      <c r="DL103" s="24" t="n"/>
      <c r="DM103" s="24" t="n"/>
      <c r="DN103" s="24" t="n"/>
      <c r="DO103" s="24" t="n"/>
      <c r="DP103" s="24" t="n"/>
      <c r="DQ103" s="24" t="n"/>
    </row>
    <row r="104" ht="36" customHeight="1">
      <c r="A104" s="24" t="inlineStr">
        <is>
          <t>93be31760d6848a2</t>
        </is>
      </c>
      <c r="B104" s="24" t="inlineStr">
        <is>
          <t>2026-08-25T13:32:40.904779Z</t>
        </is>
      </c>
      <c r="C104" s="24" t="inlineStr">
        <is>
          <t>2026-08-26T08:00:00Z</t>
        </is>
      </c>
      <c r="D104" s="24" t="inlineStr">
        <is>
          <t>89750</t>
        </is>
      </c>
      <c r="E104" s="24" t="inlineStr">
        <is>
          <t>VALORANT</t>
        </is>
      </c>
      <c r="F104" s="24" t="inlineStr">
        <is>
          <t>Nongshim RedForce</t>
        </is>
      </c>
      <c r="G104" s="24" t="inlineStr">
        <is>
          <t>Paper Rex</t>
        </is>
      </c>
      <c r="H104" s="24" t="inlineStr">
        <is>
          <t>moneyline</t>
        </is>
      </c>
      <c r="I104" s="24" t="inlineStr">
        <is>
          <t>away</t>
        </is>
      </c>
      <c r="J104" s="25" t="n"/>
      <c r="K104" s="24" t="inlineStr">
        <is>
          <t>polymarket_us</t>
        </is>
      </c>
      <c r="L104" s="26" t="n">
        <v>113</v>
      </c>
      <c r="M104" s="27" t="n">
        <v>2.13</v>
      </c>
      <c r="N104" s="28" t="n">
        <v>0.469484</v>
      </c>
      <c r="O104" s="28" t="n">
        <v>0.516615</v>
      </c>
      <c r="P104" s="28" t="n"/>
      <c r="Q104" s="28" t="n">
        <v>0.047131</v>
      </c>
      <c r="R104" s="26" t="n">
        <v>44</v>
      </c>
      <c r="S104" s="29" t="n">
        <v>1</v>
      </c>
      <c r="T104" s="24" t="inlineStr">
        <is>
          <t>valorant-tiered-elo-v6</t>
        </is>
      </c>
      <c r="U104" s="24" t="inlineStr">
        <is>
          <t>settled</t>
        </is>
      </c>
      <c r="V104" s="24" t="inlineStr">
        <is>
          <t>win</t>
        </is>
      </c>
      <c r="W104" s="26" t="n">
        <v>1</v>
      </c>
      <c r="X104" s="26" t="n">
        <v>0</v>
      </c>
      <c r="Y104" s="25" t="n"/>
      <c r="Z104" s="26" t="n"/>
      <c r="AA104" s="28" t="n"/>
      <c r="AB104" s="28" t="n"/>
      <c r="AC104" s="30" t="n">
        <v>1.13</v>
      </c>
      <c r="AD104" s="24" t="inlineStr">
        <is>
          <t>2026-08-26T12:41:09.516628Z</t>
        </is>
      </c>
      <c r="AE104" s="31" t="inlineStr">
        <is>
          <t>Neutral Elo baseline; executable ask 0.4700 (market_slug=aec-valorant-pr-ns-2026-08-26).</t>
        </is>
      </c>
      <c r="AF104" s="31" t="inlineStr">
        <is>
          <t>Config-promoted esports baseline; gates enforced at log time.</t>
        </is>
      </c>
      <c r="AG104" s="24" t="inlineStr">
        <is>
          <t>not_applicable</t>
        </is>
      </c>
      <c r="AH104" s="24" t="n"/>
      <c r="AI104" s="31" t="n"/>
      <c r="AJ104" s="31" t="n"/>
      <c r="AK104" s="24" t="inlineStr">
        <is>
          <t>model_qualified</t>
        </is>
      </c>
      <c r="AL104" s="26" t="n">
        <v>4</v>
      </c>
      <c r="AM104" s="24" t="inlineStr">
        <is>
          <t>QUALIFIED_SHADOW_CALL</t>
        </is>
      </c>
      <c r="AN104" s="24" t="inlineStr">
        <is>
          <t>CALL</t>
        </is>
      </c>
      <c r="AO104" s="24" t="inlineStr">
        <is>
          <t>QUALIFIED</t>
        </is>
      </c>
      <c r="AP104" s="24" t="inlineStr">
        <is>
          <t>Nongshim RedForce</t>
        </is>
      </c>
      <c r="AQ104" s="24" t="inlineStr">
        <is>
          <t>Nongshim RedForce</t>
        </is>
      </c>
      <c r="AR104" s="24" t="inlineStr">
        <is>
          <t>Nongshim RedForce</t>
        </is>
      </c>
      <c r="AS104" s="24" t="inlineStr">
        <is>
          <t>Paper Rex</t>
        </is>
      </c>
      <c r="AT104" s="24" t="inlineStr">
        <is>
          <t>Paper Rex</t>
        </is>
      </c>
      <c r="AU104" s="24" t="inlineStr">
        <is>
          <t>Paper Rex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d692030792ccea56d6dc5e09315f8fb0cf0c0423220cf8b4c1a186a6bb990a53</t>
        </is>
      </c>
      <c r="BB104" s="24" t="inlineStr">
        <is>
          <t>neutral_elo</t>
        </is>
      </c>
      <c r="BC104" s="24" t="inlineStr">
        <is>
          <t>valorant-tiered-elo-v6</t>
        </is>
      </c>
      <c r="BD104" s="24" t="inlineStr">
        <is>
          <t>d692030792ccea56d6dc5e09315f8fb0cf0c0423220cf8b4c1a186a6bb990a53</t>
        </is>
      </c>
      <c r="BE104" s="24" t="inlineStr">
        <is>
          <t>1</t>
        </is>
      </c>
      <c r="BF104" s="24" t="inlineStr">
        <is>
          <t>1</t>
        </is>
      </c>
      <c r="BG104" s="24" t="inlineStr">
        <is>
          <t>valorant-tiered-elo-v6</t>
        </is>
      </c>
      <c r="BH104" s="24" t="inlineStr">
        <is>
          <t>2026-08-25T13:32:40.751004Z</t>
        </is>
      </c>
      <c r="BI104" s="24" t="inlineStr">
        <is>
          <t>["same_event","same_team_same_day","same_league_same_day"]</t>
        </is>
      </c>
      <c r="BJ104" s="25" t="n"/>
      <c r="BK104" s="26" t="n">
        <v>113</v>
      </c>
      <c r="BL104" s="27" t="n">
        <v>2.13</v>
      </c>
      <c r="BM104" s="28" t="n">
        <v>0.469484</v>
      </c>
      <c r="BN104" s="28" t="n"/>
      <c r="BO104" s="28" t="n"/>
      <c r="BP104" s="25" t="n"/>
      <c r="BQ104" s="27" t="n"/>
      <c r="BR104" s="28" t="n"/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True</t>
        </is>
      </c>
      <c r="CT104" s="24" t="n"/>
      <c r="CU104" s="24" t="n"/>
      <c r="CV104" s="24" t="n"/>
      <c r="CW104" s="24" t="n"/>
      <c r="CX104" s="24" t="n"/>
      <c r="CY104" s="24" t="n"/>
      <c r="CZ104" s="24" t="n"/>
      <c r="DA104" s="24" t="n"/>
      <c r="DB104" s="24" t="n"/>
      <c r="DC104" s="24" t="n"/>
      <c r="DD104" s="24" t="n"/>
      <c r="DE104" s="24" t="n"/>
      <c r="DF104" s="24" t="n"/>
      <c r="DG104" s="24" t="n"/>
      <c r="DH104" s="24" t="n"/>
      <c r="DI104" s="24" t="n"/>
      <c r="DJ104" s="24" t="inlineStr">
        <is>
          <t>0.469484</t>
        </is>
      </c>
      <c r="DK104" s="24" t="n"/>
      <c r="DL104" s="24" t="n"/>
      <c r="DM104" s="24" t="n"/>
      <c r="DN104" s="24" t="n"/>
      <c r="DO104" s="24" t="n"/>
      <c r="DP104" s="24" t="n"/>
      <c r="DQ104" s="24" t="n"/>
    </row>
    <row r="105" ht="36" customHeight="1">
      <c r="A105" s="24" t="inlineStr">
        <is>
          <t>78c23822020e4e5e</t>
        </is>
      </c>
      <c r="B105" s="24" t="inlineStr">
        <is>
          <t>2026-08-25T13:32:40.904779Z</t>
        </is>
      </c>
      <c r="C105" s="24" t="inlineStr">
        <is>
          <t>2026-08-26T11:00:00Z</t>
        </is>
      </c>
      <c r="D105" s="24" t="inlineStr">
        <is>
          <t>89751</t>
        </is>
      </c>
      <c r="E105" s="24" t="inlineStr">
        <is>
          <t>VALORANT</t>
        </is>
      </c>
      <c r="F105" s="24" t="inlineStr">
        <is>
          <t>Kiwoom DRX</t>
        </is>
      </c>
      <c r="G105" s="24" t="inlineStr">
        <is>
          <t>Global Esports</t>
        </is>
      </c>
      <c r="H105" s="24" t="inlineStr">
        <is>
          <t>moneyline</t>
        </is>
      </c>
      <c r="I105" s="24" t="inlineStr">
        <is>
          <t>away</t>
        </is>
      </c>
      <c r="J105" s="25" t="n"/>
      <c r="K105" s="24" t="inlineStr">
        <is>
          <t>polymarket_us</t>
        </is>
      </c>
      <c r="L105" s="26" t="n">
        <v>122</v>
      </c>
      <c r="M105" s="27" t="n">
        <v>2.22</v>
      </c>
      <c r="N105" s="28" t="n">
        <v>0.45045</v>
      </c>
      <c r="O105" s="28" t="n">
        <v>0.541821</v>
      </c>
      <c r="P105" s="28" t="n"/>
      <c r="Q105" s="28" t="n">
        <v>0.09137099999999999</v>
      </c>
      <c r="R105" s="26" t="n">
        <v>66</v>
      </c>
      <c r="S105" s="29" t="n">
        <v>1.25</v>
      </c>
      <c r="T105" s="24" t="inlineStr">
        <is>
          <t>valorant-tiered-elo-v6</t>
        </is>
      </c>
      <c r="U105" s="24" t="inlineStr">
        <is>
          <t>settled</t>
        </is>
      </c>
      <c r="V105" s="24" t="inlineStr">
        <is>
          <t>loss</t>
        </is>
      </c>
      <c r="W105" s="26" t="n">
        <v>0</v>
      </c>
      <c r="X105" s="26" t="n">
        <v>1</v>
      </c>
      <c r="Y105" s="25" t="n"/>
      <c r="Z105" s="26" t="n"/>
      <c r="AA105" s="28" t="n"/>
      <c r="AB105" s="28" t="n"/>
      <c r="AC105" s="30" t="n">
        <v>-1.25</v>
      </c>
      <c r="AD105" s="24" t="inlineStr">
        <is>
          <t>2026-08-26T16:30:35.439694Z</t>
        </is>
      </c>
      <c r="AE105" s="31" t="inlineStr">
        <is>
          <t>Neutral Elo baseline; executable ask 0.4500 (market_slug=aec-valorant-ge-krx-2026-08-26).</t>
        </is>
      </c>
      <c r="AF105" s="31" t="inlineStr">
        <is>
          <t>Config-promoted esports baseline; gates enforced at log time.</t>
        </is>
      </c>
      <c r="AG105" s="24" t="inlineStr">
        <is>
          <t>review_required</t>
        </is>
      </c>
      <c r="AH105" s="24" t="n"/>
      <c r="AI105" s="31" t="n"/>
      <c r="AJ105" s="31" t="n"/>
      <c r="AK105" s="24" t="inlineStr">
        <is>
          <t>model_qualified</t>
        </is>
      </c>
      <c r="AL105" s="26" t="n">
        <v>4</v>
      </c>
      <c r="AM105" s="24" t="inlineStr">
        <is>
          <t>QUALIFIED_SHADOW_CALL</t>
        </is>
      </c>
      <c r="AN105" s="24" t="inlineStr">
        <is>
          <t>CALL</t>
        </is>
      </c>
      <c r="AO105" s="24" t="inlineStr">
        <is>
          <t>QUALIFIED</t>
        </is>
      </c>
      <c r="AP105" s="24" t="inlineStr">
        <is>
          <t>Kiwoom DRX</t>
        </is>
      </c>
      <c r="AQ105" s="24" t="inlineStr">
        <is>
          <t>Kiwoom DRX</t>
        </is>
      </c>
      <c r="AR105" s="24" t="inlineStr">
        <is>
          <t>Kiwoom DRX</t>
        </is>
      </c>
      <c r="AS105" s="24" t="inlineStr">
        <is>
          <t>Global Esports</t>
        </is>
      </c>
      <c r="AT105" s="24" t="inlineStr">
        <is>
          <t>Global Esports</t>
        </is>
      </c>
      <c r="AU105" s="24" t="inlineStr">
        <is>
          <t>Global Esports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d692030792ccea56d6dc5e09315f8fb0cf0c0423220cf8b4c1a186a6bb990a53</t>
        </is>
      </c>
      <c r="BB105" s="24" t="inlineStr">
        <is>
          <t>neutral_elo</t>
        </is>
      </c>
      <c r="BC105" s="24" t="inlineStr">
        <is>
          <t>valorant-tiered-elo-v6</t>
        </is>
      </c>
      <c r="BD105" s="24" t="inlineStr">
        <is>
          <t>d692030792ccea56d6dc5e09315f8fb0cf0c0423220cf8b4c1a186a6bb990a53</t>
        </is>
      </c>
      <c r="BE105" s="24" t="inlineStr">
        <is>
          <t>1</t>
        </is>
      </c>
      <c r="BF105" s="24" t="inlineStr">
        <is>
          <t>1</t>
        </is>
      </c>
      <c r="BG105" s="24" t="inlineStr">
        <is>
          <t>valorant-tiered-elo-v6</t>
        </is>
      </c>
      <c r="BH105" s="24" t="inlineStr">
        <is>
          <t>2026-08-25T13:32:40.865409Z</t>
        </is>
      </c>
      <c r="BI105" s="24" t="inlineStr">
        <is>
          <t>["same_event","same_team_same_day","same_league_same_day"]</t>
        </is>
      </c>
      <c r="BJ105" s="25" t="n"/>
      <c r="BK105" s="26" t="n">
        <v>122</v>
      </c>
      <c r="BL105" s="27" t="n">
        <v>2.22</v>
      </c>
      <c r="BM105" s="28" t="n">
        <v>0.45045</v>
      </c>
      <c r="BN105" s="28" t="n"/>
      <c r="BO105" s="28" t="n"/>
      <c r="BP105" s="25" t="n"/>
      <c r="BQ105" s="27" t="n"/>
      <c r="BR105" s="28" t="n"/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True</t>
        </is>
      </c>
      <c r="CT105" s="24" t="n"/>
      <c r="CU105" s="24" t="n"/>
      <c r="CV105" s="24" t="n"/>
      <c r="CW105" s="24" t="n"/>
      <c r="CX105" s="24" t="n"/>
      <c r="CY105" s="24" t="n"/>
      <c r="CZ105" s="24" t="n"/>
      <c r="DA105" s="24" t="n"/>
      <c r="DB105" s="24" t="n"/>
      <c r="DC105" s="24" t="n"/>
      <c r="DD105" s="24" t="n"/>
      <c r="DE105" s="24" t="n"/>
      <c r="DF105" s="24" t="n"/>
      <c r="DG105" s="24" t="n"/>
      <c r="DH105" s="24" t="n"/>
      <c r="DI105" s="24" t="n"/>
      <c r="DJ105" s="24" t="inlineStr">
        <is>
          <t>0.45045</t>
        </is>
      </c>
      <c r="DK105" s="24" t="n"/>
      <c r="DL105" s="24" t="n"/>
      <c r="DM105" s="24" t="n"/>
      <c r="DN105" s="24" t="n"/>
      <c r="DO105" s="24" t="n"/>
      <c r="DP105" s="24" t="n"/>
      <c r="DQ105" s="24" t="n"/>
    </row>
    <row r="106" ht="36" customHeight="1">
      <c r="A106" s="24" t="inlineStr">
        <is>
          <t>191ea271149e4f6b</t>
        </is>
      </c>
      <c r="B106" s="24" t="inlineStr">
        <is>
          <t>2026-08-27T00:44:48.344528Z</t>
        </is>
      </c>
      <c r="C106" s="24" t="inlineStr">
        <is>
          <t>2026-08-27T08:00:00Z</t>
        </is>
      </c>
      <c r="D106" s="24" t="inlineStr">
        <is>
          <t>93687</t>
        </is>
      </c>
      <c r="E106" s="24" t="inlineStr">
        <is>
          <t>VALORANT</t>
        </is>
      </c>
      <c r="F106" s="24" t="inlineStr">
        <is>
          <t>Nongshim RedForce</t>
        </is>
      </c>
      <c r="G106" s="24" t="inlineStr">
        <is>
          <t>Gen.G Esports</t>
        </is>
      </c>
      <c r="H106" s="24" t="inlineStr">
        <is>
          <t>moneyline</t>
        </is>
      </c>
      <c r="I106" s="24" t="inlineStr">
        <is>
          <t>away</t>
        </is>
      </c>
      <c r="J106" s="25" t="n"/>
      <c r="K106" s="24" t="inlineStr">
        <is>
          <t>polymarket_us</t>
        </is>
      </c>
      <c r="L106" s="26" t="n">
        <v>-150</v>
      </c>
      <c r="M106" s="27" t="n">
        <v>1.666667</v>
      </c>
      <c r="N106" s="28" t="n">
        <v>0.6</v>
      </c>
      <c r="O106" s="28" t="n">
        <v>0.576065</v>
      </c>
      <c r="P106" s="28" t="n"/>
      <c r="Q106" s="28" t="n">
        <v>-0.023935</v>
      </c>
      <c r="R106" s="26" t="n">
        <v>8</v>
      </c>
      <c r="S106" s="29" t="n">
        <v>1</v>
      </c>
      <c r="T106" s="24" t="inlineStr">
        <is>
          <t>valorant-tiered-elo-v6</t>
        </is>
      </c>
      <c r="U106" s="24" t="inlineStr">
        <is>
          <t>settled</t>
        </is>
      </c>
      <c r="V106" s="24" t="inlineStr">
        <is>
          <t>win</t>
        </is>
      </c>
      <c r="W106" s="26" t="n">
        <v>1</v>
      </c>
      <c r="X106" s="26" t="n">
        <v>0</v>
      </c>
      <c r="Y106" s="25" t="n"/>
      <c r="Z106" s="26" t="n"/>
      <c r="AA106" s="28" t="n"/>
      <c r="AB106" s="28" t="n"/>
      <c r="AC106" s="30" t="n">
        <v>0.6667</v>
      </c>
      <c r="AD106" s="24" t="inlineStr">
        <is>
          <t>2026-08-27T12:31:49.138291Z</t>
        </is>
      </c>
      <c r="AE106" s="31" t="inlineStr">
        <is>
          <t>Neutral Elo baseline; executable ask 0.6000 (market_slug=aec-valorant-geng-ns-2026-08-27).</t>
        </is>
      </c>
      <c r="AF106" s="31" t="inlineStr">
        <is>
          <t>Config-promoted esports baseline; gates enforced at log time.</t>
        </is>
      </c>
      <c r="AG106" s="24" t="inlineStr">
        <is>
          <t>not_applicable</t>
        </is>
      </c>
      <c r="AH106" s="24" t="n"/>
      <c r="AI106" s="31" t="n"/>
      <c r="AJ106" s="31" t="n"/>
      <c r="AK106" s="24" t="inlineStr">
        <is>
          <t>paper_call</t>
        </is>
      </c>
      <c r="AL106" s="26" t="n">
        <v>4</v>
      </c>
      <c r="AM106" s="24" t="inlineStr">
        <is>
          <t>RESEARCH_OBSERVATION</t>
        </is>
      </c>
      <c r="AN106" s="24" t="inlineStr">
        <is>
          <t>CALL</t>
        </is>
      </c>
      <c r="AO106" s="24" t="inlineStr">
        <is>
          <t>PAPER_CALL_LOW_EDGE</t>
        </is>
      </c>
      <c r="AP106" s="24" t="inlineStr">
        <is>
          <t>Nongshim RedForce</t>
        </is>
      </c>
      <c r="AQ106" s="24" t="inlineStr">
        <is>
          <t>Nongshim RedForce</t>
        </is>
      </c>
      <c r="AR106" s="24" t="inlineStr">
        <is>
          <t>Nongshim RedForce</t>
        </is>
      </c>
      <c r="AS106" s="24" t="inlineStr">
        <is>
          <t>Gen.G Esports</t>
        </is>
      </c>
      <c r="AT106" s="24" t="inlineStr">
        <is>
          <t>Gen.G Esports</t>
        </is>
      </c>
      <c r="AU106" s="24" t="inlineStr">
        <is>
          <t>Gen.G Esports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709f3bab8bc11fd47a628286aff889af2edb8fb2879f9675af26d4bf85d4699b</t>
        </is>
      </c>
      <c r="BB106" s="24" t="inlineStr">
        <is>
          <t>neutral_elo</t>
        </is>
      </c>
      <c r="BC106" s="24" t="inlineStr">
        <is>
          <t>valorant-tiered-elo-v6</t>
        </is>
      </c>
      <c r="BD106" s="24" t="inlineStr">
        <is>
          <t>709f3bab8bc11fd47a628286aff889af2edb8fb2879f9675af26d4bf85d4699b</t>
        </is>
      </c>
      <c r="BE106" s="24" t="inlineStr">
        <is>
          <t>1</t>
        </is>
      </c>
      <c r="BF106" s="24" t="inlineStr">
        <is>
          <t>1</t>
        </is>
      </c>
      <c r="BG106" s="24" t="inlineStr">
        <is>
          <t>valorant-tiered-elo-v6</t>
        </is>
      </c>
      <c r="BH106" s="24" t="inlineStr">
        <is>
          <t>2026-08-27T00:44:47.816831Z</t>
        </is>
      </c>
      <c r="BI106" s="24" t="inlineStr">
        <is>
          <t>["same_event","same_team_same_day","same_league_same_day"]</t>
        </is>
      </c>
      <c r="BJ106" s="25" t="n"/>
      <c r="BK106" s="26" t="n">
        <v>-150</v>
      </c>
      <c r="BL106" s="27" t="n">
        <v>1.666667</v>
      </c>
      <c r="BM106" s="28" t="n">
        <v>0.6</v>
      </c>
      <c r="BN106" s="28" t="n"/>
      <c r="BO106" s="28" t="n"/>
      <c r="BP106" s="25" t="n"/>
      <c r="BQ106" s="27" t="n"/>
      <c r="BR106" s="28" t="n"/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False</t>
        </is>
      </c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/>
      <c r="DH106" s="24" t="n"/>
      <c r="DI106" s="24" t="n"/>
      <c r="DJ106" s="24" t="inlineStr">
        <is>
          <t>0.6</t>
        </is>
      </c>
      <c r="DK106" s="24" t="n"/>
      <c r="DL106" s="24" t="n"/>
      <c r="DM106" s="24" t="n"/>
      <c r="DN106" s="24" t="n"/>
      <c r="DO106" s="24" t="n"/>
      <c r="DP106" s="24" t="n"/>
      <c r="DQ106" s="24" t="n"/>
    </row>
    <row r="107" ht="36" customHeight="1">
      <c r="A107" s="24" t="inlineStr">
        <is>
          <t>696f91fa9c5c46c4</t>
        </is>
      </c>
      <c r="B107" s="24" t="inlineStr">
        <is>
          <t>2026-08-27T00:44:48.344528Z</t>
        </is>
      </c>
      <c r="C107" s="24" t="inlineStr">
        <is>
          <t>2026-08-27T11:00:00Z</t>
        </is>
      </c>
      <c r="D107" s="24" t="inlineStr">
        <is>
          <t>93688</t>
        </is>
      </c>
      <c r="E107" s="24" t="inlineStr">
        <is>
          <t>VALORANT</t>
        </is>
      </c>
      <c r="F107" s="24" t="inlineStr">
        <is>
          <t>Global Esports</t>
        </is>
      </c>
      <c r="G107" s="24" t="inlineStr">
        <is>
          <t>VARREL</t>
        </is>
      </c>
      <c r="H107" s="24" t="inlineStr">
        <is>
          <t>moneyline</t>
        </is>
      </c>
      <c r="I107" s="24" t="inlineStr">
        <is>
          <t>away</t>
        </is>
      </c>
      <c r="J107" s="25" t="n"/>
      <c r="K107" s="24" t="inlineStr">
        <is>
          <t>polymarket_us</t>
        </is>
      </c>
      <c r="L107" s="26" t="n">
        <v>-122</v>
      </c>
      <c r="M107" s="27" t="n">
        <v>1.819672</v>
      </c>
      <c r="N107" s="28" t="n">
        <v>0.54955</v>
      </c>
      <c r="O107" s="28" t="n">
        <v>0.601585</v>
      </c>
      <c r="P107" s="28" t="n"/>
      <c r="Q107" s="28" t="n">
        <v>0.052035</v>
      </c>
      <c r="R107" s="26" t="n">
        <v>46</v>
      </c>
      <c r="S107" s="29" t="n">
        <v>1</v>
      </c>
      <c r="T107" s="24" t="inlineStr">
        <is>
          <t>valorant-tiered-elo-v6</t>
        </is>
      </c>
      <c r="U107" s="24" t="inlineStr">
        <is>
          <t>settled</t>
        </is>
      </c>
      <c r="V107" s="24" t="inlineStr">
        <is>
          <t>win</t>
        </is>
      </c>
      <c r="W107" s="26" t="n">
        <v>1</v>
      </c>
      <c r="X107" s="26" t="n">
        <v>0</v>
      </c>
      <c r="Y107" s="25" t="n"/>
      <c r="Z107" s="26" t="n"/>
      <c r="AA107" s="28" t="n"/>
      <c r="AB107" s="28" t="n"/>
      <c r="AC107" s="30" t="n">
        <v>0.8197</v>
      </c>
      <c r="AD107" s="24" t="inlineStr">
        <is>
          <t>2026-08-27T13:56:07.997578Z</t>
        </is>
      </c>
      <c r="AE107" s="31" t="inlineStr">
        <is>
          <t>Neutral Elo baseline; executable ask 0.5500 (market_slug=aec-valorant-var-ge-2026-08-27).</t>
        </is>
      </c>
      <c r="AF107" s="31" t="inlineStr">
        <is>
          <t>Config-promoted esports baseline; gates enforced at log time.</t>
        </is>
      </c>
      <c r="AG107" s="24" t="inlineStr">
        <is>
          <t>not_applicable</t>
        </is>
      </c>
      <c r="AH107" s="24" t="n"/>
      <c r="AI107" s="31" t="n"/>
      <c r="AJ107" s="31" t="n"/>
      <c r="AK107" s="24" t="inlineStr">
        <is>
          <t>model_qualified</t>
        </is>
      </c>
      <c r="AL107" s="26" t="n">
        <v>4</v>
      </c>
      <c r="AM107" s="24" t="inlineStr">
        <is>
          <t>QUALIFIED_SHADOW_CALL</t>
        </is>
      </c>
      <c r="AN107" s="24" t="inlineStr">
        <is>
          <t>CALL</t>
        </is>
      </c>
      <c r="AO107" s="24" t="inlineStr">
        <is>
          <t>QUALIFIED</t>
        </is>
      </c>
      <c r="AP107" s="24" t="inlineStr">
        <is>
          <t>Global Esports</t>
        </is>
      </c>
      <c r="AQ107" s="24" t="inlineStr">
        <is>
          <t>Global Esports</t>
        </is>
      </c>
      <c r="AR107" s="24" t="inlineStr">
        <is>
          <t>Global Esports</t>
        </is>
      </c>
      <c r="AS107" s="24" t="inlineStr">
        <is>
          <t>VARREL</t>
        </is>
      </c>
      <c r="AT107" s="24" t="inlineStr">
        <is>
          <t>VARREL</t>
        </is>
      </c>
      <c r="AU107" s="24" t="inlineStr">
        <is>
          <t>VARREL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709f3bab8bc11fd47a628286aff889af2edb8fb2879f9675af26d4bf85d4699b</t>
        </is>
      </c>
      <c r="BB107" s="24" t="inlineStr">
        <is>
          <t>neutral_elo</t>
        </is>
      </c>
      <c r="BC107" s="24" t="inlineStr">
        <is>
          <t>valorant-tiered-elo-v6</t>
        </is>
      </c>
      <c r="BD107" s="24" t="inlineStr">
        <is>
          <t>709f3bab8bc11fd47a628286aff889af2edb8fb2879f9675af26d4bf85d4699b</t>
        </is>
      </c>
      <c r="BE107" s="24" t="inlineStr">
        <is>
          <t>1</t>
        </is>
      </c>
      <c r="BF107" s="24" t="inlineStr">
        <is>
          <t>1</t>
        </is>
      </c>
      <c r="BG107" s="24" t="inlineStr">
        <is>
          <t>valorant-tiered-elo-v6</t>
        </is>
      </c>
      <c r="BH107" s="24" t="inlineStr">
        <is>
          <t>2026-08-27T00:44:47.918514Z</t>
        </is>
      </c>
      <c r="BI107" s="24" t="inlineStr">
        <is>
          <t>["same_event","same_team_same_day","same_league_same_day"]</t>
        </is>
      </c>
      <c r="BJ107" s="25" t="n"/>
      <c r="BK107" s="26" t="n">
        <v>-122</v>
      </c>
      <c r="BL107" s="27" t="n">
        <v>1.819672</v>
      </c>
      <c r="BM107" s="28" t="n">
        <v>0.54955</v>
      </c>
      <c r="BN107" s="28" t="n"/>
      <c r="BO107" s="28" t="n"/>
      <c r="BP107" s="25" t="n"/>
      <c r="BQ107" s="27" t="n"/>
      <c r="BR107" s="28" t="n"/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True</t>
        </is>
      </c>
      <c r="CT107" s="24" t="n"/>
      <c r="CU107" s="24" t="n"/>
      <c r="CV107" s="24" t="n"/>
      <c r="CW107" s="24" t="n"/>
      <c r="CX107" s="24" t="n"/>
      <c r="CY107" s="24" t="n"/>
      <c r="CZ107" s="24" t="n"/>
      <c r="DA107" s="24" t="n"/>
      <c r="DB107" s="24" t="n"/>
      <c r="DC107" s="24" t="n"/>
      <c r="DD107" s="24" t="n"/>
      <c r="DE107" s="24" t="n"/>
      <c r="DF107" s="24" t="n"/>
      <c r="DG107" s="24" t="n"/>
      <c r="DH107" s="24" t="n"/>
      <c r="DI107" s="24" t="n"/>
      <c r="DJ107" s="24" t="inlineStr">
        <is>
          <t>0.54955</t>
        </is>
      </c>
      <c r="DK107" s="24" t="n"/>
      <c r="DL107" s="24" t="n"/>
      <c r="DM107" s="24" t="n"/>
      <c r="DN107" s="24" t="n"/>
      <c r="DO107" s="24" t="n"/>
      <c r="DP107" s="24" t="n"/>
      <c r="DQ107" s="24" t="n"/>
    </row>
    <row r="108" ht="36" customHeight="1">
      <c r="A108" s="24" t="inlineStr">
        <is>
          <t>d4ef2735d251459c</t>
        </is>
      </c>
      <c r="B108" s="24" t="inlineStr">
        <is>
          <t>2026-08-27T14:00:15.735823Z</t>
        </is>
      </c>
      <c r="C108" s="24" t="inlineStr">
        <is>
          <t>2026-08-27T21:00:00Z</t>
        </is>
      </c>
      <c r="D108" s="24" t="inlineStr">
        <is>
          <t>91217</t>
        </is>
      </c>
      <c r="E108" s="24" t="inlineStr">
        <is>
          <t>VALORANT</t>
        </is>
      </c>
      <c r="F108" s="24" t="inlineStr">
        <is>
          <t>FURIA Esports</t>
        </is>
      </c>
      <c r="G108" s="24" t="inlineStr">
        <is>
          <t>LOUD</t>
        </is>
      </c>
      <c r="H108" s="24" t="inlineStr">
        <is>
          <t>moneyline</t>
        </is>
      </c>
      <c r="I108" s="24" t="inlineStr">
        <is>
          <t>home</t>
        </is>
      </c>
      <c r="J108" s="25" t="n"/>
      <c r="K108" s="24" t="inlineStr">
        <is>
          <t>polymarket_us</t>
        </is>
      </c>
      <c r="L108" s="26" t="n">
        <v>-113</v>
      </c>
      <c r="M108" s="27" t="n">
        <v>1.884956</v>
      </c>
      <c r="N108" s="28" t="n">
        <v>0.530516</v>
      </c>
      <c r="O108" s="28" t="n">
        <v>0.551172</v>
      </c>
      <c r="P108" s="28" t="n"/>
      <c r="Q108" s="28" t="n">
        <v>0.020656</v>
      </c>
      <c r="R108" s="26" t="n">
        <v>30</v>
      </c>
      <c r="S108" s="29" t="n">
        <v>1</v>
      </c>
      <c r="T108" s="24" t="inlineStr">
        <is>
          <t>valorant-tiered-elo-v6</t>
        </is>
      </c>
      <c r="U108" s="24" t="inlineStr">
        <is>
          <t>settled</t>
        </is>
      </c>
      <c r="V108" s="24" t="inlineStr">
        <is>
          <t>win</t>
        </is>
      </c>
      <c r="W108" s="26" t="n">
        <v>0</v>
      </c>
      <c r="X108" s="26" t="n">
        <v>1</v>
      </c>
      <c r="Y108" s="25" t="n"/>
      <c r="Z108" s="26" t="n">
        <v>-113</v>
      </c>
      <c r="AA108" s="28" t="n">
        <v>0.53</v>
      </c>
      <c r="AB108" s="28" t="n">
        <v>-0.000516</v>
      </c>
      <c r="AC108" s="30" t="n">
        <v>0.885</v>
      </c>
      <c r="AD108" s="24" t="inlineStr">
        <is>
          <t>2026-08-28T02:41:50.695816Z</t>
        </is>
      </c>
      <c r="AE108" s="31" t="inlineStr">
        <is>
          <t>Neutral Elo baseline; executable ask 0.5300 (market_slug=aec-valorant-loud-fur-2026-08-27).</t>
        </is>
      </c>
      <c r="AF108" s="31" t="inlineStr">
        <is>
          <t>Config-promoted esports baseline; gates enforced at log time.</t>
        </is>
      </c>
      <c r="AG108" s="24" t="inlineStr">
        <is>
          <t>not_applicable</t>
        </is>
      </c>
      <c r="AH108" s="24" t="n"/>
      <c r="AI108" s="31" t="n"/>
      <c r="AJ108" s="31" t="n"/>
      <c r="AK108" s="24" t="inlineStr">
        <is>
          <t>paper_call</t>
        </is>
      </c>
      <c r="AL108" s="26" t="n">
        <v>4</v>
      </c>
      <c r="AM108" s="24" t="inlineStr">
        <is>
          <t>RESEARCH_OBSERVATION</t>
        </is>
      </c>
      <c r="AN108" s="24" t="inlineStr">
        <is>
          <t>CALL</t>
        </is>
      </c>
      <c r="AO108" s="24" t="inlineStr">
        <is>
          <t>PAPER_CALL_LOW_EDGE</t>
        </is>
      </c>
      <c r="AP108" s="24" t="inlineStr">
        <is>
          <t>FURIA Esports</t>
        </is>
      </c>
      <c r="AQ108" s="24" t="inlineStr">
        <is>
          <t>FURIA Esports</t>
        </is>
      </c>
      <c r="AR108" s="24" t="inlineStr">
        <is>
          <t>FURIA Esports</t>
        </is>
      </c>
      <c r="AS108" s="24" t="inlineStr">
        <is>
          <t>LOUD</t>
        </is>
      </c>
      <c r="AT108" s="24" t="inlineStr">
        <is>
          <t>LOUD</t>
        </is>
      </c>
      <c r="AU108" s="24" t="inlineStr">
        <is>
          <t>LOUD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b8c6c7a20230ca9b370a90ab639d1e19bee53a873d53a05be25ac3fd40695157</t>
        </is>
      </c>
      <c r="BB108" s="24" t="inlineStr">
        <is>
          <t>neutral_elo</t>
        </is>
      </c>
      <c r="BC108" s="24" t="inlineStr">
        <is>
          <t>valorant-tiered-elo-v6</t>
        </is>
      </c>
      <c r="BD108" s="24" t="inlineStr">
        <is>
          <t>b8c6c7a20230ca9b370a90ab639d1e19bee53a873d53a05be25ac3fd40695157</t>
        </is>
      </c>
      <c r="BE108" s="24" t="inlineStr">
        <is>
          <t>1</t>
        </is>
      </c>
      <c r="BF108" s="24" t="inlineStr">
        <is>
          <t>1</t>
        </is>
      </c>
      <c r="BG108" s="24" t="inlineStr">
        <is>
          <t>valorant-tiered-elo-v6</t>
        </is>
      </c>
      <c r="BH108" s="24" t="inlineStr">
        <is>
          <t>2026-08-27T14:00:13.993043Z</t>
        </is>
      </c>
      <c r="BI108" s="24" t="inlineStr">
        <is>
          <t>["same_event","same_team_same_day","same_league_same_day"]</t>
        </is>
      </c>
      <c r="BJ108" s="25" t="n"/>
      <c r="BK108" s="26" t="n">
        <v>-113</v>
      </c>
      <c r="BL108" s="27" t="n">
        <v>1.884956</v>
      </c>
      <c r="BM108" s="28" t="n">
        <v>0.530516</v>
      </c>
      <c r="BN108" s="28" t="n"/>
      <c r="BO108" s="28" t="n"/>
      <c r="BP108" s="25" t="n"/>
      <c r="BQ108" s="27" t="n">
        <v>1.884956</v>
      </c>
      <c r="BR108" s="28" t="n">
        <v>0.53</v>
      </c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True</t>
        </is>
      </c>
      <c r="CT108" s="24" t="n"/>
      <c r="CU108" s="24" t="n"/>
      <c r="CV108" s="24" t="n"/>
      <c r="CW108" s="24" t="n"/>
      <c r="CX108" s="24" t="n"/>
      <c r="CY108" s="24" t="n"/>
      <c r="CZ108" s="24" t="n"/>
      <c r="DA108" s="24" t="n"/>
      <c r="DB108" s="24" t="n"/>
      <c r="DC108" s="24" t="n"/>
      <c r="DD108" s="24" t="n"/>
      <c r="DE108" s="24" t="n"/>
      <c r="DF108" s="24" t="n"/>
      <c r="DG108" s="24" t="n"/>
      <c r="DH108" s="24" t="n"/>
      <c r="DI108" s="24" t="n"/>
      <c r="DJ108" s="24" t="inlineStr">
        <is>
          <t>0.530516</t>
        </is>
      </c>
      <c r="DK108" s="24" t="n"/>
      <c r="DL108" s="24" t="n"/>
      <c r="DM108" s="24" t="n"/>
      <c r="DN108" s="24" t="n"/>
      <c r="DO108" s="24" t="n"/>
      <c r="DP108" s="24" t="n"/>
      <c r="DQ108" s="24" t="n"/>
    </row>
    <row r="109" ht="36" customHeight="1">
      <c r="A109" s="24" t="inlineStr">
        <is>
          <t>9e1e0babc6ea43be</t>
        </is>
      </c>
      <c r="B109" s="24" t="inlineStr">
        <is>
          <t>2026-08-27T22:20:32.271443Z</t>
        </is>
      </c>
      <c r="C109" s="24" t="inlineStr">
        <is>
          <t>2026-08-28T00:00:00Z</t>
        </is>
      </c>
      <c r="D109" s="24" t="inlineStr">
        <is>
          <t>91418</t>
        </is>
      </c>
      <c r="E109" s="24" t="inlineStr">
        <is>
          <t>VALORANT</t>
        </is>
      </c>
      <c r="F109" s="24" t="inlineStr">
        <is>
          <t>MIBR</t>
        </is>
      </c>
      <c r="G109" s="24" t="inlineStr">
        <is>
          <t>Leviatán Esports</t>
        </is>
      </c>
      <c r="H109" s="24" t="inlineStr">
        <is>
          <t>moneyline</t>
        </is>
      </c>
      <c r="I109" s="24" t="inlineStr">
        <is>
          <t>home</t>
        </is>
      </c>
      <c r="J109" s="25" t="n"/>
      <c r="K109" s="24" t="inlineStr">
        <is>
          <t>polymarket_us</t>
        </is>
      </c>
      <c r="L109" s="26" t="n">
        <v>-186</v>
      </c>
      <c r="M109" s="27" t="n">
        <v>1.537634</v>
      </c>
      <c r="N109" s="28" t="n">
        <v>0.65035</v>
      </c>
      <c r="O109" s="28" t="n">
        <v>0.666704</v>
      </c>
      <c r="P109" s="28" t="n"/>
      <c r="Q109" s="28" t="n">
        <v>0.016354</v>
      </c>
      <c r="R109" s="26" t="n">
        <v>28</v>
      </c>
      <c r="S109" s="29" t="n">
        <v>1</v>
      </c>
      <c r="T109" s="24" t="inlineStr">
        <is>
          <t>valorant-tiered-elo-v6</t>
        </is>
      </c>
      <c r="U109" s="24" t="inlineStr">
        <is>
          <t>settled</t>
        </is>
      </c>
      <c r="V109" s="24" t="inlineStr">
        <is>
          <t>win</t>
        </is>
      </c>
      <c r="W109" s="26" t="n">
        <v>0</v>
      </c>
      <c r="X109" s="26" t="n">
        <v>1</v>
      </c>
      <c r="Y109" s="25" t="n"/>
      <c r="Z109" s="26" t="n">
        <v>-186</v>
      </c>
      <c r="AA109" s="28" t="n">
        <v>0.65</v>
      </c>
      <c r="AB109" s="28" t="n">
        <v>-0.00035</v>
      </c>
      <c r="AC109" s="30" t="n">
        <v>0.5376</v>
      </c>
      <c r="AD109" s="24" t="inlineStr">
        <is>
          <t>2026-08-28T02:41:52.127687Z</t>
        </is>
      </c>
      <c r="AE109" s="31" t="inlineStr">
        <is>
          <t>Neutral Elo baseline; executable ask 0.6500 (market_slug=aec-valorant-lev-mibr-2026-08-28).</t>
        </is>
      </c>
      <c r="AF109" s="31" t="inlineStr">
        <is>
          <t>Config-promoted esports baseline; gates enforced at log time.</t>
        </is>
      </c>
      <c r="AG109" s="24" t="inlineStr">
        <is>
          <t>not_applicable</t>
        </is>
      </c>
      <c r="AH109" s="24" t="n"/>
      <c r="AI109" s="31" t="n"/>
      <c r="AJ109" s="31" t="n"/>
      <c r="AK109" s="24" t="inlineStr">
        <is>
          <t>paper_call</t>
        </is>
      </c>
      <c r="AL109" s="26" t="n">
        <v>4</v>
      </c>
      <c r="AM109" s="24" t="inlineStr">
        <is>
          <t>RESEARCH_OBSERVATION</t>
        </is>
      </c>
      <c r="AN109" s="24" t="inlineStr">
        <is>
          <t>CALL</t>
        </is>
      </c>
      <c r="AO109" s="24" t="inlineStr">
        <is>
          <t>PAPER_CALL_MODEL_UNVALIDATED</t>
        </is>
      </c>
      <c r="AP109" s="24" t="inlineStr">
        <is>
          <t>MIBR</t>
        </is>
      </c>
      <c r="AQ109" s="24" t="inlineStr">
        <is>
          <t>MIBR</t>
        </is>
      </c>
      <c r="AR109" s="24" t="inlineStr">
        <is>
          <t>MIBR</t>
        </is>
      </c>
      <c r="AS109" s="24" t="inlineStr">
        <is>
          <t>Leviatán Esports</t>
        </is>
      </c>
      <c r="AT109" s="24" t="inlineStr">
        <is>
          <t>Leviatán Esports</t>
        </is>
      </c>
      <c r="AU109" s="24" t="inlineStr">
        <is>
          <t>Leviatán Esports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8b1d0977d9a4f5027e40ee84e47c0ba49c117dd280c83abc8d12f269e11c93d6</t>
        </is>
      </c>
      <c r="BB109" s="24" t="inlineStr">
        <is>
          <t>neutral_elo</t>
        </is>
      </c>
      <c r="BC109" s="24" t="inlineStr">
        <is>
          <t>valorant-tiered-elo-v6</t>
        </is>
      </c>
      <c r="BD109" s="24" t="inlineStr">
        <is>
          <t>8b1d0977d9a4f5027e40ee84e47c0ba49c117dd280c83abc8d12f269e11c93d6</t>
        </is>
      </c>
      <c r="BE109" s="24" t="inlineStr">
        <is>
          <t>1</t>
        </is>
      </c>
      <c r="BF109" s="24" t="inlineStr">
        <is>
          <t>1</t>
        </is>
      </c>
      <c r="BG109" s="24" t="inlineStr">
        <is>
          <t>valorant-tiered-elo-v6</t>
        </is>
      </c>
      <c r="BH109" s="24" t="inlineStr">
        <is>
          <t>2026-08-27T22:20:31.832934Z</t>
        </is>
      </c>
      <c r="BI109" s="24" t="inlineStr">
        <is>
          <t>["same_event","same_team_same_day","same_league_same_day"]</t>
        </is>
      </c>
      <c r="BJ109" s="25" t="n"/>
      <c r="BK109" s="26" t="n">
        <v>-186</v>
      </c>
      <c r="BL109" s="27" t="n">
        <v>1.537634</v>
      </c>
      <c r="BM109" s="28" t="n">
        <v>0.65035</v>
      </c>
      <c r="BN109" s="28" t="n"/>
      <c r="BO109" s="28" t="n"/>
      <c r="BP109" s="25" t="n"/>
      <c r="BQ109" s="27" t="n">
        <v>1.537634</v>
      </c>
      <c r="BR109" s="28" t="n">
        <v>0.65</v>
      </c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True</t>
        </is>
      </c>
      <c r="CT109" s="24" t="n"/>
      <c r="CU109" s="24" t="n"/>
      <c r="CV109" s="24" t="n"/>
      <c r="CW109" s="24" t="n"/>
      <c r="CX109" s="24" t="n"/>
      <c r="CY109" s="24" t="n"/>
      <c r="CZ109" s="24" t="n"/>
      <c r="DA109" s="24" t="n"/>
      <c r="DB109" s="24" t="n"/>
      <c r="DC109" s="24" t="n"/>
      <c r="DD109" s="24" t="n"/>
      <c r="DE109" s="24" t="n"/>
      <c r="DF109" s="24" t="n"/>
      <c r="DG109" s="24" t="n"/>
      <c r="DH109" s="24" t="n"/>
      <c r="DI109" s="24" t="n"/>
      <c r="DJ109" s="24" t="inlineStr">
        <is>
          <t>0.65035</t>
        </is>
      </c>
      <c r="DK109" s="24" t="n"/>
      <c r="DL109" s="24" t="n"/>
      <c r="DM109" s="24" t="n"/>
      <c r="DN109" s="24" t="n"/>
      <c r="DO109" s="24" t="n"/>
      <c r="DP109" s="24" t="n"/>
      <c r="DQ109" s="24" t="n"/>
    </row>
    <row r="110" ht="36" customHeight="1">
      <c r="A110" s="24" t="inlineStr">
        <is>
          <t>3ec99798f1eb4c64</t>
        </is>
      </c>
      <c r="B110" s="24" t="inlineStr">
        <is>
          <t>2026-08-28T02:44:36.362995Z</t>
        </is>
      </c>
      <c r="C110" s="24" t="inlineStr">
        <is>
          <t>2026-08-28T11:00:00Z</t>
        </is>
      </c>
      <c r="D110" s="24" t="inlineStr">
        <is>
          <t>93724</t>
        </is>
      </c>
      <c r="E110" s="24" t="inlineStr">
        <is>
          <t>VALORANT</t>
        </is>
      </c>
      <c r="F110" s="24" t="inlineStr">
        <is>
          <t>T1</t>
        </is>
      </c>
      <c r="G110" s="24" t="inlineStr">
        <is>
          <t>Kiwoom DRX</t>
        </is>
      </c>
      <c r="H110" s="24" t="inlineStr">
        <is>
          <t>moneyline</t>
        </is>
      </c>
      <c r="I110" s="24" t="inlineStr">
        <is>
          <t>away</t>
        </is>
      </c>
      <c r="J110" s="25" t="n"/>
      <c r="K110" s="24" t="inlineStr">
        <is>
          <t>polymarket_us</t>
        </is>
      </c>
      <c r="L110" s="26" t="n">
        <v>-203</v>
      </c>
      <c r="M110" s="27" t="n">
        <v>1.492611</v>
      </c>
      <c r="N110" s="28" t="n">
        <v>0.669967</v>
      </c>
      <c r="O110" s="28" t="n">
        <v>0.550357</v>
      </c>
      <c r="P110" s="28" t="n"/>
      <c r="Q110" s="28" t="n">
        <v>-0.11961</v>
      </c>
      <c r="R110" s="26" t="n">
        <v>0</v>
      </c>
      <c r="S110" s="29" t="n">
        <v>1</v>
      </c>
      <c r="T110" s="24" t="inlineStr">
        <is>
          <t>valorant-tiered-elo-v6</t>
        </is>
      </c>
      <c r="U110" s="24" t="inlineStr">
        <is>
          <t>settled</t>
        </is>
      </c>
      <c r="V110" s="24" t="inlineStr">
        <is>
          <t>win</t>
        </is>
      </c>
      <c r="W110" s="26" t="n">
        <v>1</v>
      </c>
      <c r="X110" s="26" t="n">
        <v>0</v>
      </c>
      <c r="Y110" s="25" t="n"/>
      <c r="Z110" s="26" t="n"/>
      <c r="AA110" s="28" t="n"/>
      <c r="AB110" s="28" t="n"/>
      <c r="AC110" s="30" t="n">
        <v>0.4926</v>
      </c>
      <c r="AD110" s="24" t="inlineStr">
        <is>
          <t>2026-08-28T12:32:31.764337Z</t>
        </is>
      </c>
      <c r="AE110" s="31" t="inlineStr">
        <is>
          <t>Neutral Elo baseline; executable ask 0.6700 (market_slug=aec-valorant-krx-t1-2026-08-28).</t>
        </is>
      </c>
      <c r="AF110" s="31" t="inlineStr">
        <is>
          <t>Config-promoted esports baseline; gates enforced at log time.</t>
        </is>
      </c>
      <c r="AG110" s="24" t="inlineStr">
        <is>
          <t>not_applicable</t>
        </is>
      </c>
      <c r="AH110" s="24" t="n"/>
      <c r="AI110" s="31" t="n"/>
      <c r="AJ110" s="31" t="n"/>
      <c r="AK110" s="24" t="inlineStr">
        <is>
          <t>paper_call</t>
        </is>
      </c>
      <c r="AL110" s="26" t="n">
        <v>4</v>
      </c>
      <c r="AM110" s="24" t="inlineStr">
        <is>
          <t>RESEARCH_OBSERVATION</t>
        </is>
      </c>
      <c r="AN110" s="24" t="inlineStr">
        <is>
          <t>CALL</t>
        </is>
      </c>
      <c r="AO110" s="24" t="inlineStr">
        <is>
          <t>PAPER_CALL_LOW_EDGE</t>
        </is>
      </c>
      <c r="AP110" s="24" t="inlineStr">
        <is>
          <t>T1</t>
        </is>
      </c>
      <c r="AQ110" s="24" t="inlineStr">
        <is>
          <t>T1</t>
        </is>
      </c>
      <c r="AR110" s="24" t="inlineStr">
        <is>
          <t>T1</t>
        </is>
      </c>
      <c r="AS110" s="24" t="inlineStr">
        <is>
          <t>Kiwoom DRX</t>
        </is>
      </c>
      <c r="AT110" s="24" t="inlineStr">
        <is>
          <t>Kiwoom DRX</t>
        </is>
      </c>
      <c r="AU110" s="24" t="inlineStr">
        <is>
          <t>Kiwoom DRX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c4dfb3a36d36dca8f353d238c32c4786eec72725ff18adb6f403f333e817d17c</t>
        </is>
      </c>
      <c r="BB110" s="24" t="inlineStr">
        <is>
          <t>neutral_elo</t>
        </is>
      </c>
      <c r="BC110" s="24" t="inlineStr">
        <is>
          <t>valorant-tiered-elo-v6</t>
        </is>
      </c>
      <c r="BD110" s="24" t="inlineStr">
        <is>
          <t>c4dfb3a36d36dca8f353d238c32c4786eec72725ff18adb6f403f333e817d17c</t>
        </is>
      </c>
      <c r="BE110" s="24" t="inlineStr">
        <is>
          <t>1</t>
        </is>
      </c>
      <c r="BF110" s="24" t="inlineStr">
        <is>
          <t>1</t>
        </is>
      </c>
      <c r="BG110" s="24" t="inlineStr">
        <is>
          <t>valorant-tiered-elo-v6</t>
        </is>
      </c>
      <c r="BH110" s="24" t="inlineStr">
        <is>
          <t>2026-08-28T02:44:35.249685Z</t>
        </is>
      </c>
      <c r="BI110" s="24" t="inlineStr">
        <is>
          <t>["same_event","same_team_same_day","same_league_same_day"]</t>
        </is>
      </c>
      <c r="BJ110" s="25" t="n"/>
      <c r="BK110" s="26" t="n">
        <v>-203</v>
      </c>
      <c r="BL110" s="27" t="n">
        <v>1.492611</v>
      </c>
      <c r="BM110" s="28" t="n">
        <v>0.669967</v>
      </c>
      <c r="BN110" s="28" t="n"/>
      <c r="BO110" s="28" t="n"/>
      <c r="BP110" s="25" t="n"/>
      <c r="BQ110" s="27" t="n"/>
      <c r="BR110" s="28" t="n"/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False</t>
        </is>
      </c>
      <c r="CT110" s="24" t="n"/>
      <c r="CU110" s="24" t="n"/>
      <c r="CV110" s="24" t="n"/>
      <c r="CW110" s="24" t="n"/>
      <c r="CX110" s="24" t="n"/>
      <c r="CY110" s="24" t="n"/>
      <c r="CZ110" s="24" t="n"/>
      <c r="DA110" s="24" t="n"/>
      <c r="DB110" s="24" t="n"/>
      <c r="DC110" s="24" t="n"/>
      <c r="DD110" s="24" t="n"/>
      <c r="DE110" s="24" t="n"/>
      <c r="DF110" s="24" t="n"/>
      <c r="DG110" s="24" t="n"/>
      <c r="DH110" s="24" t="n"/>
      <c r="DI110" s="24" t="n"/>
      <c r="DJ110" s="24" t="inlineStr">
        <is>
          <t>0.669967</t>
        </is>
      </c>
      <c r="DK110" s="24" t="n"/>
      <c r="DL110" s="24" t="n"/>
      <c r="DM110" s="24" t="n"/>
      <c r="DN110" s="24" t="n"/>
      <c r="DO110" s="24" t="n"/>
      <c r="DP110" s="24" t="n"/>
      <c r="DQ110" s="24" t="n"/>
    </row>
    <row r="111" ht="36" customHeight="1">
      <c r="A111" s="24" t="inlineStr">
        <is>
          <t>09d1711094ac4480</t>
        </is>
      </c>
      <c r="B111" s="24" t="inlineStr">
        <is>
          <t>2026-08-28T12:36:03.419870Z</t>
        </is>
      </c>
      <c r="C111" s="24" t="inlineStr">
        <is>
          <t>2026-08-28T14:00:00Z</t>
        </is>
      </c>
      <c r="D111" s="24" t="inlineStr">
        <is>
          <t>92555</t>
        </is>
      </c>
      <c r="E111" s="24" t="inlineStr">
        <is>
          <t>VALORANT</t>
        </is>
      </c>
      <c r="F111" s="24" t="inlineStr">
        <is>
          <t>Karmine Corp</t>
        </is>
      </c>
      <c r="G111" s="24" t="inlineStr">
        <is>
          <t>FUT Esports</t>
        </is>
      </c>
      <c r="H111" s="24" t="inlineStr">
        <is>
          <t>moneyline</t>
        </is>
      </c>
      <c r="I111" s="24" t="inlineStr">
        <is>
          <t>home</t>
        </is>
      </c>
      <c r="J111" s="25" t="n"/>
      <c r="K111" s="24" t="inlineStr">
        <is>
          <t>polymarket_us</t>
        </is>
      </c>
      <c r="L111" s="26" t="n">
        <v>122</v>
      </c>
      <c r="M111" s="27" t="n">
        <v>2.22</v>
      </c>
      <c r="N111" s="28" t="n">
        <v>0.45045</v>
      </c>
      <c r="O111" s="28" t="n">
        <v>0.569179</v>
      </c>
      <c r="P111" s="28" t="n"/>
      <c r="Q111" s="28" t="n">
        <v>0.118729</v>
      </c>
      <c r="R111" s="26" t="n">
        <v>79</v>
      </c>
      <c r="S111" s="29" t="n">
        <v>1.5</v>
      </c>
      <c r="T111" s="24" t="inlineStr">
        <is>
          <t>valorant-tiered-elo-v6</t>
        </is>
      </c>
      <c r="U111" s="24" t="inlineStr">
        <is>
          <t>settled</t>
        </is>
      </c>
      <c r="V111" s="24" t="inlineStr">
        <is>
          <t>loss</t>
        </is>
      </c>
      <c r="W111" s="26" t="n">
        <v>1</v>
      </c>
      <c r="X111" s="26" t="n">
        <v>0</v>
      </c>
      <c r="Y111" s="25" t="n"/>
      <c r="Z111" s="26" t="n">
        <v>122</v>
      </c>
      <c r="AA111" s="28" t="n">
        <v>0.45</v>
      </c>
      <c r="AB111" s="28" t="n">
        <v>-0.00045</v>
      </c>
      <c r="AC111" s="30" t="n">
        <v>-1.5</v>
      </c>
      <c r="AD111" s="24" t="inlineStr">
        <is>
          <t>2026-08-29T12:39:25.376612Z</t>
        </is>
      </c>
      <c r="AE111" s="31" t="inlineStr">
        <is>
          <t>Neutral Elo baseline; executable ask 0.4500 (market_slug=aec-valorant-fut-kc-2026-08-28).</t>
        </is>
      </c>
      <c r="AF111" s="31" t="inlineStr">
        <is>
          <t>Config-promoted esports baseline; gates enforced at log time.</t>
        </is>
      </c>
      <c r="AG111" s="24" t="inlineStr">
        <is>
          <t>review_required</t>
        </is>
      </c>
      <c r="AH111" s="24" t="n"/>
      <c r="AI111" s="31" t="n"/>
      <c r="AJ111" s="31" t="n"/>
      <c r="AK111" s="24" t="inlineStr">
        <is>
          <t>model_qualified</t>
        </is>
      </c>
      <c r="AL111" s="26" t="n">
        <v>4</v>
      </c>
      <c r="AM111" s="24" t="inlineStr">
        <is>
          <t>QUALIFIED_SHADOW_CALL</t>
        </is>
      </c>
      <c r="AN111" s="24" t="inlineStr">
        <is>
          <t>CALL</t>
        </is>
      </c>
      <c r="AO111" s="24" t="inlineStr">
        <is>
          <t>QUALIFIED</t>
        </is>
      </c>
      <c r="AP111" s="24" t="inlineStr">
        <is>
          <t>Karmine Corp</t>
        </is>
      </c>
      <c r="AQ111" s="24" t="inlineStr">
        <is>
          <t>Karmine Corp</t>
        </is>
      </c>
      <c r="AR111" s="24" t="inlineStr">
        <is>
          <t>Karmine Corp</t>
        </is>
      </c>
      <c r="AS111" s="24" t="inlineStr">
        <is>
          <t>FUT Esports</t>
        </is>
      </c>
      <c r="AT111" s="24" t="inlineStr">
        <is>
          <t>FUT Esports</t>
        </is>
      </c>
      <c r="AU111" s="24" t="inlineStr">
        <is>
          <t>FUT Esports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6e0c75421e2e37c2933888c6d79049a051f0d9b2517bfc5eae6f30b448103ffd</t>
        </is>
      </c>
      <c r="BB111" s="24" t="inlineStr">
        <is>
          <t>neutral_elo</t>
        </is>
      </c>
      <c r="BC111" s="24" t="inlineStr">
        <is>
          <t>valorant-tiered-elo-v6</t>
        </is>
      </c>
      <c r="BD111" s="24" t="inlineStr">
        <is>
          <t>6e0c75421e2e37c2933888c6d79049a051f0d9b2517bfc5eae6f30b448103ffd</t>
        </is>
      </c>
      <c r="BE111" s="24" t="inlineStr">
        <is>
          <t>1</t>
        </is>
      </c>
      <c r="BF111" s="24" t="inlineStr">
        <is>
          <t>1</t>
        </is>
      </c>
      <c r="BG111" s="24" t="inlineStr">
        <is>
          <t>valorant-tiered-elo-v6</t>
        </is>
      </c>
      <c r="BH111" s="24" t="inlineStr">
        <is>
          <t>2026-08-28T12:36:01.797859Z</t>
        </is>
      </c>
      <c r="BI111" s="24" t="inlineStr">
        <is>
          <t>["same_event","same_team_same_day","same_league_same_day"]</t>
        </is>
      </c>
      <c r="BJ111" s="25" t="n"/>
      <c r="BK111" s="26" t="n">
        <v>122</v>
      </c>
      <c r="BL111" s="27" t="n">
        <v>2.22</v>
      </c>
      <c r="BM111" s="28" t="n">
        <v>0.45045</v>
      </c>
      <c r="BN111" s="28" t="n"/>
      <c r="BO111" s="28" t="n"/>
      <c r="BP111" s="25" t="n"/>
      <c r="BQ111" s="27" t="n">
        <v>2.22</v>
      </c>
      <c r="BR111" s="28" t="n">
        <v>0.45</v>
      </c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inlineStr">
        <is>
          <t>True</t>
        </is>
      </c>
      <c r="CT111" s="24" t="n"/>
      <c r="CU111" s="24" t="n"/>
      <c r="CV111" s="24" t="n"/>
      <c r="CW111" s="24" t="n"/>
      <c r="CX111" s="24" t="n"/>
      <c r="CY111" s="24" t="n"/>
      <c r="CZ111" s="24" t="n"/>
      <c r="DA111" s="24" t="n"/>
      <c r="DB111" s="24" t="n"/>
      <c r="DC111" s="24" t="n"/>
      <c r="DD111" s="24" t="n"/>
      <c r="DE111" s="24" t="n"/>
      <c r="DF111" s="24" t="n"/>
      <c r="DG111" s="24" t="n"/>
      <c r="DH111" s="24" t="n"/>
      <c r="DI111" s="24" t="n"/>
      <c r="DJ111" s="24" t="inlineStr">
        <is>
          <t>0.45045</t>
        </is>
      </c>
      <c r="DK111" s="24" t="n"/>
      <c r="DL111" s="24" t="n"/>
      <c r="DM111" s="24" t="n"/>
      <c r="DN111" s="24" t="n"/>
      <c r="DO111" s="24" t="n"/>
      <c r="DP111" s="24" t="n"/>
      <c r="DQ111" s="24" t="n"/>
    </row>
    <row r="112" ht="36" customHeight="1">
      <c r="A112" s="24" t="inlineStr">
        <is>
          <t>c498e10b2c0f4822</t>
        </is>
      </c>
      <c r="B112" s="24" t="inlineStr">
        <is>
          <t>2026-08-28T12:36:03.419870Z</t>
        </is>
      </c>
      <c r="C112" s="24" t="inlineStr">
        <is>
          <t>2026-08-28T17:00:00Z</t>
        </is>
      </c>
      <c r="D112" s="24" t="inlineStr">
        <is>
          <t>92556</t>
        </is>
      </c>
      <c r="E112" s="24" t="inlineStr">
        <is>
          <t>VALORANT</t>
        </is>
      </c>
      <c r="F112" s="24" t="inlineStr">
        <is>
          <t>Fire Flux Esports</t>
        </is>
      </c>
      <c r="G112" s="24" t="inlineStr">
        <is>
          <t>Team Liquid</t>
        </is>
      </c>
      <c r="H112" s="24" t="inlineStr">
        <is>
          <t>moneyline</t>
        </is>
      </c>
      <c r="I112" s="24" t="inlineStr">
        <is>
          <t>home</t>
        </is>
      </c>
      <c r="J112" s="25" t="n"/>
      <c r="K112" s="24" t="inlineStr">
        <is>
          <t>polymarket_us</t>
        </is>
      </c>
      <c r="L112" s="26" t="n">
        <v>-133</v>
      </c>
      <c r="M112" s="27" t="n">
        <v>1.75188</v>
      </c>
      <c r="N112" s="28" t="n">
        <v>0.570815</v>
      </c>
      <c r="O112" s="28" t="n">
        <v>0.582767</v>
      </c>
      <c r="P112" s="28" t="n"/>
      <c r="Q112" s="28" t="n">
        <v>0.011952</v>
      </c>
      <c r="R112" s="26" t="n">
        <v>26</v>
      </c>
      <c r="S112" s="29" t="n">
        <v>1</v>
      </c>
      <c r="T112" s="24" t="inlineStr">
        <is>
          <t>valorant-tiered-elo-v6</t>
        </is>
      </c>
      <c r="U112" s="24" t="inlineStr">
        <is>
          <t>settled</t>
        </is>
      </c>
      <c r="V112" s="24" t="inlineStr">
        <is>
          <t>win</t>
        </is>
      </c>
      <c r="W112" s="26" t="n">
        <v>0</v>
      </c>
      <c r="X112" s="26" t="n">
        <v>1</v>
      </c>
      <c r="Y112" s="25" t="n"/>
      <c r="Z112" s="26" t="n">
        <v>-133</v>
      </c>
      <c r="AA112" s="28" t="n">
        <v>0.57</v>
      </c>
      <c r="AB112" s="28" t="n">
        <v>-0.000815</v>
      </c>
      <c r="AC112" s="30" t="n">
        <v>0.7519</v>
      </c>
      <c r="AD112" s="24" t="inlineStr">
        <is>
          <t>2026-08-29T12:39:26.124286Z</t>
        </is>
      </c>
      <c r="AE112" s="31" t="inlineStr">
        <is>
          <t>Neutral Elo baseline; executable ask 0.5700 (market_slug=aec-valorant-tl-ff-2026-08-28).</t>
        </is>
      </c>
      <c r="AF112" s="31" t="inlineStr">
        <is>
          <t>Config-promoted esports baseline; gates enforced at log time.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paper_call</t>
        </is>
      </c>
      <c r="AL112" s="26" t="n">
        <v>4</v>
      </c>
      <c r="AM112" s="24" t="inlineStr">
        <is>
          <t>RESEARCH_OBSERVATION</t>
        </is>
      </c>
      <c r="AN112" s="24" t="inlineStr">
        <is>
          <t>CALL</t>
        </is>
      </c>
      <c r="AO112" s="24" t="inlineStr">
        <is>
          <t>PAPER_CALL_LOW_EDGE</t>
        </is>
      </c>
      <c r="AP112" s="24" t="inlineStr">
        <is>
          <t>Fire Flux Esports</t>
        </is>
      </c>
      <c r="AQ112" s="24" t="inlineStr">
        <is>
          <t>Fire Flux Esports</t>
        </is>
      </c>
      <c r="AR112" s="24" t="inlineStr">
        <is>
          <t>Fire Flux Esports</t>
        </is>
      </c>
      <c r="AS112" s="24" t="inlineStr">
        <is>
          <t>Team Liquid</t>
        </is>
      </c>
      <c r="AT112" s="24" t="inlineStr">
        <is>
          <t>Team Liquid</t>
        </is>
      </c>
      <c r="AU112" s="24" t="inlineStr">
        <is>
          <t>Team Liquid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6e0c75421e2e37c2933888c6d79049a051f0d9b2517bfc5eae6f30b448103ffd</t>
        </is>
      </c>
      <c r="BB112" s="24" t="inlineStr">
        <is>
          <t>neutral_elo</t>
        </is>
      </c>
      <c r="BC112" s="24" t="inlineStr">
        <is>
          <t>valorant-tiered-elo-v6</t>
        </is>
      </c>
      <c r="BD112" s="24" t="inlineStr">
        <is>
          <t>6e0c75421e2e37c2933888c6d79049a051f0d9b2517bfc5eae6f30b448103ffd</t>
        </is>
      </c>
      <c r="BE112" s="24" t="inlineStr">
        <is>
          <t>1</t>
        </is>
      </c>
      <c r="BF112" s="24" t="inlineStr">
        <is>
          <t>1</t>
        </is>
      </c>
      <c r="BG112" s="24" t="inlineStr">
        <is>
          <t>valorant-tiered-elo-v6</t>
        </is>
      </c>
      <c r="BH112" s="24" t="inlineStr">
        <is>
          <t>2026-08-28T12:36:01.911197Z</t>
        </is>
      </c>
      <c r="BI112" s="24" t="inlineStr">
        <is>
          <t>["same_event","same_team_same_day","same_league_same_day"]</t>
        </is>
      </c>
      <c r="BJ112" s="25" t="n"/>
      <c r="BK112" s="26" t="n">
        <v>-133</v>
      </c>
      <c r="BL112" s="27" t="n">
        <v>1.75188</v>
      </c>
      <c r="BM112" s="28" t="n">
        <v>0.570815</v>
      </c>
      <c r="BN112" s="28" t="n"/>
      <c r="BO112" s="28" t="n"/>
      <c r="BP112" s="25" t="n"/>
      <c r="BQ112" s="27" t="n">
        <v>1.75188</v>
      </c>
      <c r="BR112" s="28" t="n">
        <v>0.57</v>
      </c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inlineStr">
        <is>
          <t>True</t>
        </is>
      </c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inlineStr">
        <is>
          <t>0.570815</t>
        </is>
      </c>
      <c r="DK112" s="24" t="n"/>
      <c r="DL112" s="24" t="n"/>
      <c r="DM112" s="24" t="n"/>
      <c r="DN112" s="24" t="n"/>
      <c r="DO112" s="24" t="n"/>
      <c r="DP112" s="24" t="n"/>
      <c r="DQ112" s="24" t="n"/>
    </row>
    <row r="113" ht="36" customHeight="1">
      <c r="A113" s="24" t="inlineStr">
        <is>
          <t>62a73521b99045c1</t>
        </is>
      </c>
      <c r="B113" s="24" t="inlineStr">
        <is>
          <t>2026-08-28T12:36:03.419870Z</t>
        </is>
      </c>
      <c r="C113" s="24" t="inlineStr">
        <is>
          <t>2026-08-29T00:00:00Z</t>
        </is>
      </c>
      <c r="D113" s="24" t="inlineStr">
        <is>
          <t>94909</t>
        </is>
      </c>
      <c r="E113" s="24" t="inlineStr">
        <is>
          <t>VALORANT</t>
        </is>
      </c>
      <c r="F113" s="24" t="inlineStr">
        <is>
          <t>Leviatán Esports</t>
        </is>
      </c>
      <c r="G113" s="24" t="inlineStr">
        <is>
          <t>100 Thieves</t>
        </is>
      </c>
      <c r="H113" s="24" t="inlineStr">
        <is>
          <t>moneyline</t>
        </is>
      </c>
      <c r="I113" s="24" t="inlineStr">
        <is>
          <t>away</t>
        </is>
      </c>
      <c r="J113" s="25" t="n"/>
      <c r="K113" s="24" t="inlineStr">
        <is>
          <t>polymarket_us</t>
        </is>
      </c>
      <c r="L113" s="26" t="n">
        <v>-178</v>
      </c>
      <c r="M113" s="27" t="n">
        <v>1.561798</v>
      </c>
      <c r="N113" s="28" t="n">
        <v>0.640288</v>
      </c>
      <c r="O113" s="28" t="n">
        <v>0.584775</v>
      </c>
      <c r="P113" s="28" t="n"/>
      <c r="Q113" s="28" t="n">
        <v>-0.055513</v>
      </c>
      <c r="R113" s="26" t="n">
        <v>0</v>
      </c>
      <c r="S113" s="29" t="n">
        <v>1</v>
      </c>
      <c r="T113" s="24" t="inlineStr">
        <is>
          <t>valorant-tiered-elo-v6</t>
        </is>
      </c>
      <c r="U113" s="24" t="inlineStr">
        <is>
          <t>settled</t>
        </is>
      </c>
      <c r="V113" s="24" t="inlineStr">
        <is>
          <t>loss</t>
        </is>
      </c>
      <c r="W113" s="26" t="n">
        <v>0</v>
      </c>
      <c r="X113" s="26" t="n">
        <v>1</v>
      </c>
      <c r="Y113" s="25" t="n"/>
      <c r="Z113" s="26" t="n">
        <v>-178</v>
      </c>
      <c r="AA113" s="28" t="n">
        <v>0.64</v>
      </c>
      <c r="AB113" s="28" t="n">
        <v>-0.000288</v>
      </c>
      <c r="AC113" s="30" t="n">
        <v>-1</v>
      </c>
      <c r="AD113" s="24" t="inlineStr">
        <is>
          <t>2026-08-29T12:39:26.836394Z</t>
        </is>
      </c>
      <c r="AE113" s="31" t="inlineStr">
        <is>
          <t>Neutral Elo baseline; executable ask 0.6400 (market_slug=aec-valorant-100t-lev-2026-08-29).</t>
        </is>
      </c>
      <c r="AF113" s="31" t="inlineStr">
        <is>
          <t>Config-promoted esports baseline; gates enforced at log time.</t>
        </is>
      </c>
      <c r="AG113" s="24" t="inlineStr">
        <is>
          <t>review_required</t>
        </is>
      </c>
      <c r="AH113" s="24" t="n"/>
      <c r="AI113" s="31" t="n"/>
      <c r="AJ113" s="31" t="n"/>
      <c r="AK113" s="24" t="inlineStr">
        <is>
          <t>paper_call</t>
        </is>
      </c>
      <c r="AL113" s="26" t="n">
        <v>4</v>
      </c>
      <c r="AM113" s="24" t="inlineStr">
        <is>
          <t>RESEARCH_OBSERVATION</t>
        </is>
      </c>
      <c r="AN113" s="24" t="inlineStr">
        <is>
          <t>CALL</t>
        </is>
      </c>
      <c r="AO113" s="24" t="inlineStr">
        <is>
          <t>PAPER_CALL_LOW_EDGE</t>
        </is>
      </c>
      <c r="AP113" s="24" t="inlineStr">
        <is>
          <t>Leviatán Esports</t>
        </is>
      </c>
      <c r="AQ113" s="24" t="inlineStr">
        <is>
          <t>Leviatán Esports</t>
        </is>
      </c>
      <c r="AR113" s="24" t="inlineStr">
        <is>
          <t>Leviatán Esports</t>
        </is>
      </c>
      <c r="AS113" s="24" t="inlineStr">
        <is>
          <t>100 Thieves</t>
        </is>
      </c>
      <c r="AT113" s="24" t="inlineStr">
        <is>
          <t>100 Thieves</t>
        </is>
      </c>
      <c r="AU113" s="24" t="inlineStr">
        <is>
          <t>100 Thieves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6e0c75421e2e37c2933888c6d79049a051f0d9b2517bfc5eae6f30b448103ffd</t>
        </is>
      </c>
      <c r="BB113" s="24" t="inlineStr">
        <is>
          <t>neutral_elo</t>
        </is>
      </c>
      <c r="BC113" s="24" t="inlineStr">
        <is>
          <t>valorant-tiered-elo-v6</t>
        </is>
      </c>
      <c r="BD113" s="24" t="inlineStr">
        <is>
          <t>6e0c75421e2e37c2933888c6d79049a051f0d9b2517bfc5eae6f30b448103ffd</t>
        </is>
      </c>
      <c r="BE113" s="24" t="inlineStr">
        <is>
          <t>1</t>
        </is>
      </c>
      <c r="BF113" s="24" t="inlineStr">
        <is>
          <t>1</t>
        </is>
      </c>
      <c r="BG113" s="24" t="inlineStr">
        <is>
          <t>valorant-tiered-elo-v6</t>
        </is>
      </c>
      <c r="BH113" s="24" t="inlineStr">
        <is>
          <t>2026-08-28T12:36:02.132607Z</t>
        </is>
      </c>
      <c r="BI113" s="24" t="inlineStr">
        <is>
          <t>["same_event","same_team_same_day","same_league_same_day"]</t>
        </is>
      </c>
      <c r="BJ113" s="25" t="n"/>
      <c r="BK113" s="26" t="n">
        <v>-178</v>
      </c>
      <c r="BL113" s="27" t="n">
        <v>1.561798</v>
      </c>
      <c r="BM113" s="28" t="n">
        <v>0.640288</v>
      </c>
      <c r="BN113" s="28" t="n"/>
      <c r="BO113" s="28" t="n"/>
      <c r="BP113" s="25" t="n"/>
      <c r="BQ113" s="27" t="n">
        <v>1.561798</v>
      </c>
      <c r="BR113" s="28" t="n">
        <v>0.64</v>
      </c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inlineStr">
        <is>
          <t>False</t>
        </is>
      </c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inlineStr">
        <is>
          <t>0.640288</t>
        </is>
      </c>
      <c r="DK113" s="24" t="n"/>
      <c r="DL113" s="24" t="n"/>
      <c r="DM113" s="24" t="n"/>
      <c r="DN113" s="24" t="n"/>
      <c r="DO113" s="24" t="n"/>
      <c r="DP113" s="24" t="n"/>
      <c r="DQ113" s="24" t="n"/>
    </row>
    <row r="114" ht="36" customHeight="1">
      <c r="A114" s="24" t="inlineStr">
        <is>
          <t>eb8fc8c5aa724647</t>
        </is>
      </c>
      <c r="B114" s="24" t="inlineStr">
        <is>
          <t>2026-08-29T12:43:15.687957Z</t>
        </is>
      </c>
      <c r="C114" s="24" t="inlineStr">
        <is>
          <t>2026-08-29T15:00:00Z</t>
        </is>
      </c>
      <c r="D114" s="24" t="inlineStr">
        <is>
          <t>95366</t>
        </is>
      </c>
      <c r="E114" s="24" t="inlineStr">
        <is>
          <t>VALORANT</t>
        </is>
      </c>
      <c r="F114" s="24" t="inlineStr">
        <is>
          <t>Team Liquid</t>
        </is>
      </c>
      <c r="G114" s="24" t="inlineStr">
        <is>
          <t>FUT Esports</t>
        </is>
      </c>
      <c r="H114" s="24" t="inlineStr">
        <is>
          <t>moneyline</t>
        </is>
      </c>
      <c r="I114" s="24" t="inlineStr">
        <is>
          <t>home</t>
        </is>
      </c>
      <c r="J114" s="25" t="n"/>
      <c r="K114" s="24" t="inlineStr">
        <is>
          <t>polymarket_us</t>
        </is>
      </c>
      <c r="L114" s="26" t="n">
        <v>138</v>
      </c>
      <c r="M114" s="27" t="n">
        <v>2.38</v>
      </c>
      <c r="N114" s="28" t="n">
        <v>0.420168</v>
      </c>
      <c r="O114" s="28" t="n">
        <v>0.517894</v>
      </c>
      <c r="P114" s="28" t="n"/>
      <c r="Q114" s="28" t="n">
        <v>0.09772599999999999</v>
      </c>
      <c r="R114" s="26" t="n">
        <v>69</v>
      </c>
      <c r="S114" s="29" t="n">
        <v>1.25</v>
      </c>
      <c r="T114" s="24" t="inlineStr">
        <is>
          <t>valorant-tiered-elo-v6</t>
        </is>
      </c>
      <c r="U114" s="24" t="inlineStr">
        <is>
          <t>settled</t>
        </is>
      </c>
      <c r="V114" s="24" t="inlineStr">
        <is>
          <t>loss</t>
        </is>
      </c>
      <c r="W114" s="26" t="n">
        <v>1</v>
      </c>
      <c r="X114" s="26" t="n">
        <v>0</v>
      </c>
      <c r="Y114" s="25" t="n"/>
      <c r="Z114" s="26" t="n">
        <v>138</v>
      </c>
      <c r="AA114" s="28" t="n">
        <v>0.42</v>
      </c>
      <c r="AB114" s="28" t="n">
        <v>-0.000168</v>
      </c>
      <c r="AC114" s="30" t="n">
        <v>-1.25</v>
      </c>
      <c r="AD114" s="24" t="inlineStr">
        <is>
          <t>2026-08-30T03:32:33.838119Z</t>
        </is>
      </c>
      <c r="AE114" s="31" t="inlineStr">
        <is>
          <t>Neutral Elo baseline; executable ask 0.4200 (market_slug=aec-valorant-fut-tl-2026-08-29).</t>
        </is>
      </c>
      <c r="AF114" s="31" t="inlineStr">
        <is>
          <t>Config-promoted esports baseline; gates enforced at log time.</t>
        </is>
      </c>
      <c r="AG114" s="24" t="inlineStr">
        <is>
          <t>review_required</t>
        </is>
      </c>
      <c r="AH114" s="24" t="n"/>
      <c r="AI114" s="31" t="n"/>
      <c r="AJ114" s="31" t="n"/>
      <c r="AK114" s="24" t="inlineStr">
        <is>
          <t>model_qualified</t>
        </is>
      </c>
      <c r="AL114" s="26" t="n">
        <v>4</v>
      </c>
      <c r="AM114" s="24" t="inlineStr">
        <is>
          <t>QUALIFIED_SHADOW_CALL</t>
        </is>
      </c>
      <c r="AN114" s="24" t="inlineStr">
        <is>
          <t>CALL</t>
        </is>
      </c>
      <c r="AO114" s="24" t="inlineStr">
        <is>
          <t>QUALIFIED</t>
        </is>
      </c>
      <c r="AP114" s="24" t="inlineStr">
        <is>
          <t>Team Liquid</t>
        </is>
      </c>
      <c r="AQ114" s="24" t="inlineStr">
        <is>
          <t>Team Liquid</t>
        </is>
      </c>
      <c r="AR114" s="24" t="inlineStr">
        <is>
          <t>Team Liquid</t>
        </is>
      </c>
      <c r="AS114" s="24" t="inlineStr">
        <is>
          <t>FUT Esports</t>
        </is>
      </c>
      <c r="AT114" s="24" t="inlineStr">
        <is>
          <t>FUT Esports</t>
        </is>
      </c>
      <c r="AU114" s="24" t="inlineStr">
        <is>
          <t>FUT Esports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f5b6b8e84aaa85eff2218c471866aa746e9e1689eaaac6b03862bd7957b2a1b8</t>
        </is>
      </c>
      <c r="BB114" s="24" t="inlineStr">
        <is>
          <t>neutral_elo</t>
        </is>
      </c>
      <c r="BC114" s="24" t="inlineStr">
        <is>
          <t>valorant-tiered-elo-v6</t>
        </is>
      </c>
      <c r="BD114" s="24" t="inlineStr">
        <is>
          <t>f5b6b8e84aaa85eff2218c471866aa746e9e1689eaaac6b03862bd7957b2a1b8</t>
        </is>
      </c>
      <c r="BE114" s="24" t="inlineStr">
        <is>
          <t>1</t>
        </is>
      </c>
      <c r="BF114" s="24" t="inlineStr">
        <is>
          <t>1</t>
        </is>
      </c>
      <c r="BG114" s="24" t="inlineStr">
        <is>
          <t>valorant-tiered-elo-v6</t>
        </is>
      </c>
      <c r="BH114" s="24" t="inlineStr">
        <is>
          <t>2026-08-29T12:43:13.997729Z</t>
        </is>
      </c>
      <c r="BI114" s="24" t="inlineStr">
        <is>
          <t>["same_event","same_team_same_day","same_league_same_day"]</t>
        </is>
      </c>
      <c r="BJ114" s="25" t="n"/>
      <c r="BK114" s="26" t="n">
        <v>138</v>
      </c>
      <c r="BL114" s="27" t="n">
        <v>2.38</v>
      </c>
      <c r="BM114" s="28" t="n">
        <v>0.420168</v>
      </c>
      <c r="BN114" s="28" t="n"/>
      <c r="BO114" s="28" t="n"/>
      <c r="BP114" s="25" t="n"/>
      <c r="BQ114" s="27" t="n">
        <v>2.38</v>
      </c>
      <c r="BR114" s="28" t="n">
        <v>0.42</v>
      </c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inlineStr">
        <is>
          <t>True</t>
        </is>
      </c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 t="n"/>
      <c r="DG114" s="24" t="n"/>
      <c r="DH114" s="24" t="n"/>
      <c r="DI114" s="24" t="n"/>
      <c r="DJ114" s="24" t="inlineStr">
        <is>
          <t>0.420168</t>
        </is>
      </c>
      <c r="DK114" s="24" t="n"/>
      <c r="DL114" s="24" t="n"/>
      <c r="DM114" s="24" t="n"/>
      <c r="DN114" s="24" t="n"/>
      <c r="DO114" s="24" t="n"/>
      <c r="DP114" s="24" t="n"/>
      <c r="DQ114" s="24" t="n"/>
    </row>
    <row r="115" ht="36" customHeight="1">
      <c r="A115" s="24" t="inlineStr">
        <is>
          <t>e2e87b066adf4763</t>
        </is>
      </c>
      <c r="B115" s="24" t="inlineStr">
        <is>
          <t>2026-08-30T03:35:05.563197Z</t>
        </is>
      </c>
      <c r="C115" s="24" t="inlineStr">
        <is>
          <t>2026-08-30T08:00:00Z</t>
        </is>
      </c>
      <c r="D115" s="24" t="inlineStr">
        <is>
          <t>94637</t>
        </is>
      </c>
      <c r="E115" s="24" t="inlineStr">
        <is>
          <t>VALORANT</t>
        </is>
      </c>
      <c r="F115" s="24" t="inlineStr">
        <is>
          <t>G2 Gozen</t>
        </is>
      </c>
      <c r="G115" s="24" t="inlineStr">
        <is>
          <t>Gentle Mates GC</t>
        </is>
      </c>
      <c r="H115" s="24" t="inlineStr">
        <is>
          <t>moneyline</t>
        </is>
      </c>
      <c r="I115" s="24" t="inlineStr">
        <is>
          <t>home</t>
        </is>
      </c>
      <c r="J115" s="25" t="n"/>
      <c r="K115" s="24" t="inlineStr">
        <is>
          <t>polymarket_us</t>
        </is>
      </c>
      <c r="L115" s="26" t="n">
        <v>100</v>
      </c>
      <c r="M115" s="27" t="n">
        <v>2</v>
      </c>
      <c r="N115" s="28" t="n">
        <v>0.5</v>
      </c>
      <c r="O115" s="28" t="n">
        <v>0.551642</v>
      </c>
      <c r="P115" s="28" t="n"/>
      <c r="Q115" s="28" t="n">
        <v>0.051642</v>
      </c>
      <c r="R115" s="26" t="n">
        <v>46</v>
      </c>
      <c r="S115" s="29" t="n">
        <v>1</v>
      </c>
      <c r="T115" s="24" t="inlineStr">
        <is>
          <t>valorant-tiered-elo-v6</t>
        </is>
      </c>
      <c r="U115" s="24" t="inlineStr">
        <is>
          <t>settled</t>
        </is>
      </c>
      <c r="V115" s="24" t="inlineStr">
        <is>
          <t>loss</t>
        </is>
      </c>
      <c r="W115" s="26" t="n">
        <v>1</v>
      </c>
      <c r="X115" s="26" t="n">
        <v>0</v>
      </c>
      <c r="Y115" s="25" t="n"/>
      <c r="Z115" s="26" t="n">
        <v>100</v>
      </c>
      <c r="AA115" s="28" t="n">
        <v>0.5</v>
      </c>
      <c r="AB115" s="28" t="n">
        <v>0</v>
      </c>
      <c r="AC115" s="30" t="n">
        <v>-1</v>
      </c>
      <c r="AD115" s="24" t="inlineStr">
        <is>
          <t>2026-08-30T16:03:29.903349Z</t>
        </is>
      </c>
      <c r="AE115" s="31" t="inlineStr">
        <is>
          <t>Neutral Elo baseline; executable ask 0.5000 (market_slug=aec-valorant-m8gc-ggo-2026-08-30).</t>
        </is>
      </c>
      <c r="AF115" s="31" t="inlineStr">
        <is>
          <t>Config-promoted esports baseline; gates enforced at log time.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model_qualified</t>
        </is>
      </c>
      <c r="AL115" s="26" t="n">
        <v>4</v>
      </c>
      <c r="AM115" s="24" t="inlineStr">
        <is>
          <t>QUALIFIED_SHADOW_CALL</t>
        </is>
      </c>
      <c r="AN115" s="24" t="inlineStr">
        <is>
          <t>CALL</t>
        </is>
      </c>
      <c r="AO115" s="24" t="inlineStr">
        <is>
          <t>QUALIFIED</t>
        </is>
      </c>
      <c r="AP115" s="24" t="inlineStr">
        <is>
          <t>G2 Gozen</t>
        </is>
      </c>
      <c r="AQ115" s="24" t="inlineStr">
        <is>
          <t>G2 Gozen</t>
        </is>
      </c>
      <c r="AR115" s="24" t="inlineStr">
        <is>
          <t>G2 Gozen</t>
        </is>
      </c>
      <c r="AS115" s="24" t="inlineStr">
        <is>
          <t>Gentle Mates GC</t>
        </is>
      </c>
      <c r="AT115" s="24" t="inlineStr">
        <is>
          <t>Gentle Mates GC</t>
        </is>
      </c>
      <c r="AU115" s="24" t="inlineStr">
        <is>
          <t>Gentle Mates GC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shadow_qualified</t>
        </is>
      </c>
      <c r="BA115" s="24" t="inlineStr">
        <is>
          <t>bffd1fe21431e3a3d866068d2d5a770e911671c0d04ead318b2440df50b97ffc</t>
        </is>
      </c>
      <c r="BB115" s="24" t="inlineStr">
        <is>
          <t>neutral_elo</t>
        </is>
      </c>
      <c r="BC115" s="24" t="inlineStr">
        <is>
          <t>valorant-tiered-elo-v6</t>
        </is>
      </c>
      <c r="BD115" s="24" t="inlineStr">
        <is>
          <t>bffd1fe21431e3a3d866068d2d5a770e911671c0d04ead318b2440df50b97ffc</t>
        </is>
      </c>
      <c r="BE115" s="24" t="inlineStr">
        <is>
          <t>1</t>
        </is>
      </c>
      <c r="BF115" s="24" t="inlineStr">
        <is>
          <t>1</t>
        </is>
      </c>
      <c r="BG115" s="24" t="inlineStr">
        <is>
          <t>valorant-tiered-elo-v6</t>
        </is>
      </c>
      <c r="BH115" s="24" t="inlineStr">
        <is>
          <t>2026-08-30T03:35:05.441649Z</t>
        </is>
      </c>
      <c r="BI115" s="24" t="inlineStr">
        <is>
          <t>["same_event","same_team_same_day","same_league_same_day"]</t>
        </is>
      </c>
      <c r="BJ115" s="25" t="n"/>
      <c r="BK115" s="26" t="n">
        <v>100</v>
      </c>
      <c r="BL115" s="27" t="n">
        <v>2</v>
      </c>
      <c r="BM115" s="28" t="n">
        <v>0.5</v>
      </c>
      <c r="BN115" s="28" t="n"/>
      <c r="BO115" s="28" t="n"/>
      <c r="BP115" s="25" t="n"/>
      <c r="BQ115" s="27" t="n">
        <v>2</v>
      </c>
      <c r="BR115" s="28" t="n">
        <v>0.5</v>
      </c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True</t>
        </is>
      </c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inlineStr">
        <is>
          <t>0.5</t>
        </is>
      </c>
      <c r="DK115" s="24" t="n"/>
      <c r="DL115" s="24" t="n"/>
      <c r="DM115" s="24" t="n"/>
      <c r="DN115" s="24" t="n"/>
      <c r="DO115" s="24" t="n"/>
      <c r="DP115" s="24" t="n"/>
      <c r="DQ115" s="24" t="n"/>
    </row>
    <row r="116" ht="36" customHeight="1">
      <c r="A116" s="24" t="inlineStr">
        <is>
          <t>f95d4797585f432c</t>
        </is>
      </c>
      <c r="B116" s="24" t="inlineStr">
        <is>
          <t>2026-08-30T16:07:30.175758Z</t>
        </is>
      </c>
      <c r="C116" s="24" t="inlineStr">
        <is>
          <t>2026-08-30T21:00:00Z</t>
        </is>
      </c>
      <c r="D116" s="24" t="inlineStr">
        <is>
          <t>97022</t>
        </is>
      </c>
      <c r="E116" s="24" t="inlineStr">
        <is>
          <t>VALORANT</t>
        </is>
      </c>
      <c r="F116" s="24" t="inlineStr">
        <is>
          <t>G2 Esports</t>
        </is>
      </c>
      <c r="G116" s="24" t="inlineStr">
        <is>
          <t>Leviatán Esports</t>
        </is>
      </c>
      <c r="H116" s="24" t="inlineStr">
        <is>
          <t>moneyline</t>
        </is>
      </c>
      <c r="I116" s="24" t="inlineStr">
        <is>
          <t>home</t>
        </is>
      </c>
      <c r="J116" s="25" t="n"/>
      <c r="K116" s="24" t="inlineStr">
        <is>
          <t>polymarket_us</t>
        </is>
      </c>
      <c r="L116" s="26" t="n">
        <v>-186</v>
      </c>
      <c r="M116" s="27" t="n">
        <v>1.537634</v>
      </c>
      <c r="N116" s="28" t="n">
        <v>0.65035</v>
      </c>
      <c r="O116" s="28" t="n">
        <v>0.633108</v>
      </c>
      <c r="P116" s="28" t="n"/>
      <c r="Q116" s="28" t="n">
        <v>-0.017242</v>
      </c>
      <c r="R116" s="26" t="n">
        <v>11</v>
      </c>
      <c r="S116" s="29" t="n">
        <v>1</v>
      </c>
      <c r="T116" s="24" t="inlineStr">
        <is>
          <t>valorant-tiered-elo-v6</t>
        </is>
      </c>
      <c r="U116" s="24" t="inlineStr">
        <is>
          <t>settled</t>
        </is>
      </c>
      <c r="V116" s="24" t="inlineStr">
        <is>
          <t>loss</t>
        </is>
      </c>
      <c r="W116" s="26" t="n">
        <v>1</v>
      </c>
      <c r="X116" s="26" t="n">
        <v>0</v>
      </c>
      <c r="Y116" s="25" t="n"/>
      <c r="Z116" s="26" t="n">
        <v>-186</v>
      </c>
      <c r="AA116" s="28" t="n">
        <v>0.65</v>
      </c>
      <c r="AB116" s="28" t="n">
        <v>-0.00035</v>
      </c>
      <c r="AC116" s="30" t="n">
        <v>-1</v>
      </c>
      <c r="AD116" s="24" t="inlineStr">
        <is>
          <t>2026-08-31T04:40:10.759516Z</t>
        </is>
      </c>
      <c r="AE116" s="31" t="inlineStr">
        <is>
          <t>Neutral Elo baseline; executable ask 0.6500 (market_slug=aec-valorant-lev-g2-2026-08-30).</t>
        </is>
      </c>
      <c r="AF116" s="31" t="inlineStr">
        <is>
          <t>Config-promoted esports baseline; gates enforced at log time.</t>
        </is>
      </c>
      <c r="AG116" s="24" t="inlineStr">
        <is>
          <t>review_required</t>
        </is>
      </c>
      <c r="AH116" s="24" t="n"/>
      <c r="AI116" s="31" t="n"/>
      <c r="AJ116" s="31" t="n"/>
      <c r="AK116" s="24" t="inlineStr">
        <is>
          <t>paper_call</t>
        </is>
      </c>
      <c r="AL116" s="26" t="n">
        <v>4</v>
      </c>
      <c r="AM116" s="24" t="inlineStr">
        <is>
          <t>RESEARCH_OBSERVATION</t>
        </is>
      </c>
      <c r="AN116" s="24" t="inlineStr">
        <is>
          <t>CALL</t>
        </is>
      </c>
      <c r="AO116" s="24" t="inlineStr">
        <is>
          <t>PAPER_CALL_LOW_EDGE</t>
        </is>
      </c>
      <c r="AP116" s="24" t="inlineStr">
        <is>
          <t>G2 Esports</t>
        </is>
      </c>
      <c r="AQ116" s="24" t="inlineStr">
        <is>
          <t>G2 Esports</t>
        </is>
      </c>
      <c r="AR116" s="24" t="inlineStr">
        <is>
          <t>G2 Esports</t>
        </is>
      </c>
      <c r="AS116" s="24" t="inlineStr">
        <is>
          <t>Leviatán Esports</t>
        </is>
      </c>
      <c r="AT116" s="24" t="inlineStr">
        <is>
          <t>Leviatán Esports</t>
        </is>
      </c>
      <c r="AU116" s="24" t="inlineStr">
        <is>
          <t>Leviatán Esports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shadow_qualified</t>
        </is>
      </c>
      <c r="BA116" s="24" t="inlineStr">
        <is>
          <t>b707ba4f406d830c09e531d0e0bc69901cc1bda46b0bf4e1c22998fe3fb14e24</t>
        </is>
      </c>
      <c r="BB116" s="24" t="inlineStr">
        <is>
          <t>neutral_elo</t>
        </is>
      </c>
      <c r="BC116" s="24" t="inlineStr">
        <is>
          <t>valorant-tiered-elo-v6</t>
        </is>
      </c>
      <c r="BD116" s="24" t="inlineStr">
        <is>
          <t>b707ba4f406d830c09e531d0e0bc69901cc1bda46b0bf4e1c22998fe3fb14e24</t>
        </is>
      </c>
      <c r="BE116" s="24" t="inlineStr">
        <is>
          <t>1</t>
        </is>
      </c>
      <c r="BF116" s="24" t="inlineStr">
        <is>
          <t>1</t>
        </is>
      </c>
      <c r="BG116" s="24" t="inlineStr">
        <is>
          <t>valorant-tiered-elo-v6</t>
        </is>
      </c>
      <c r="BH116" s="24" t="inlineStr">
        <is>
          <t>2026-08-30T16:07:30.056928Z</t>
        </is>
      </c>
      <c r="BI116" s="24" t="inlineStr">
        <is>
          <t>["same_event","same_team_same_day","same_league_same_day"]</t>
        </is>
      </c>
      <c r="BJ116" s="25" t="n"/>
      <c r="BK116" s="26" t="n">
        <v>-186</v>
      </c>
      <c r="BL116" s="27" t="n">
        <v>1.537634</v>
      </c>
      <c r="BM116" s="28" t="n">
        <v>0.65035</v>
      </c>
      <c r="BN116" s="28" t="n"/>
      <c r="BO116" s="28" t="n"/>
      <c r="BP116" s="25" t="n"/>
      <c r="BQ116" s="27" t="n">
        <v>1.537634</v>
      </c>
      <c r="BR116" s="28" t="n">
        <v>0.65</v>
      </c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inlineStr">
        <is>
          <t>False</t>
        </is>
      </c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inlineStr">
        <is>
          <t>0.65035</t>
        </is>
      </c>
      <c r="DK116" s="24" t="n"/>
      <c r="DL116" s="24" t="n"/>
      <c r="DM116" s="24" t="n"/>
      <c r="DN116" s="24" t="n"/>
      <c r="DO116" s="24" t="n"/>
      <c r="DP116" s="24" t="n"/>
      <c r="DQ116" s="24" t="n"/>
    </row>
    <row r="117" ht="36" customHeight="1">
      <c r="A117" s="24" t="inlineStr">
        <is>
          <t>8dcb7782e00c4815</t>
        </is>
      </c>
      <c r="B117" s="24" t="inlineStr">
        <is>
          <t>2026-08-30T16:07:30.175758Z</t>
        </is>
      </c>
      <c r="C117" s="24" t="inlineStr">
        <is>
          <t>2026-08-31T00:00:00Z</t>
        </is>
      </c>
      <c r="D117" s="24" t="inlineStr">
        <is>
          <t>97023</t>
        </is>
      </c>
      <c r="E117" s="24" t="inlineStr">
        <is>
          <t>VALORANT</t>
        </is>
      </c>
      <c r="F117" s="24" t="inlineStr">
        <is>
          <t>MIBR</t>
        </is>
      </c>
      <c r="G117" s="24" t="inlineStr">
        <is>
          <t>LOUD</t>
        </is>
      </c>
      <c r="H117" s="24" t="inlineStr">
        <is>
          <t>moneyline</t>
        </is>
      </c>
      <c r="I117" s="24" t="inlineStr">
        <is>
          <t>home</t>
        </is>
      </c>
      <c r="J117" s="25" t="n"/>
      <c r="K117" s="24" t="inlineStr">
        <is>
          <t>polymarket_us</t>
        </is>
      </c>
      <c r="L117" s="26" t="n">
        <v>163</v>
      </c>
      <c r="M117" s="27" t="n">
        <v>2.63</v>
      </c>
      <c r="N117" s="28" t="n">
        <v>0.380228</v>
      </c>
      <c r="O117" s="28" t="n">
        <v>0.581212</v>
      </c>
      <c r="P117" s="28" t="n"/>
      <c r="Q117" s="28" t="n">
        <v>0.200984</v>
      </c>
      <c r="R117" s="26" t="n">
        <v>100</v>
      </c>
      <c r="S117" s="29" t="n">
        <v>2</v>
      </c>
      <c r="T117" s="24" t="inlineStr">
        <is>
          <t>valorant-tiered-elo-v6</t>
        </is>
      </c>
      <c r="U117" s="24" t="inlineStr">
        <is>
          <t>settled</t>
        </is>
      </c>
      <c r="V117" s="24" t="inlineStr">
        <is>
          <t>win</t>
        </is>
      </c>
      <c r="W117" s="26" t="n">
        <v>0</v>
      </c>
      <c r="X117" s="26" t="n">
        <v>1</v>
      </c>
      <c r="Y117" s="25" t="n"/>
      <c r="Z117" s="26" t="n">
        <v>163</v>
      </c>
      <c r="AA117" s="28" t="n">
        <v>0.38</v>
      </c>
      <c r="AB117" s="28" t="n">
        <v>-0.000228</v>
      </c>
      <c r="AC117" s="30" t="n">
        <v>3.26</v>
      </c>
      <c r="AD117" s="24" t="inlineStr">
        <is>
          <t>2026-08-31T04:40:11.485922Z</t>
        </is>
      </c>
      <c r="AE117" s="31" t="inlineStr">
        <is>
          <t>Neutral Elo baseline; executable ask 0.3800 (market_slug=aec-valorant-loud-mibr-2026-08-31).</t>
        </is>
      </c>
      <c r="AF117" s="31" t="inlineStr">
        <is>
          <t>Config-promoted esports baseline; gates enforced at log time.</t>
        </is>
      </c>
      <c r="AG117" s="24" t="inlineStr">
        <is>
          <t>not_applicable</t>
        </is>
      </c>
      <c r="AH117" s="24" t="n"/>
      <c r="AI117" s="31" t="n"/>
      <c r="AJ117" s="31" t="n"/>
      <c r="AK117" s="24" t="inlineStr">
        <is>
          <t>paper_call</t>
        </is>
      </c>
      <c r="AL117" s="26" t="n">
        <v>4</v>
      </c>
      <c r="AM117" s="24" t="inlineStr">
        <is>
          <t>RESEARCH_OBSERVATION</t>
        </is>
      </c>
      <c r="AN117" s="24" t="inlineStr">
        <is>
          <t>CALL</t>
        </is>
      </c>
      <c r="AO117" s="24" t="inlineStr">
        <is>
          <t>PAPER_CALL_MODEL_UNVALIDATED</t>
        </is>
      </c>
      <c r="AP117" s="24" t="inlineStr">
        <is>
          <t>MIBR</t>
        </is>
      </c>
      <c r="AQ117" s="24" t="inlineStr">
        <is>
          <t>MIBR</t>
        </is>
      </c>
      <c r="AR117" s="24" t="inlineStr">
        <is>
          <t>MIBR</t>
        </is>
      </c>
      <c r="AS117" s="24" t="inlineStr">
        <is>
          <t>LOUD</t>
        </is>
      </c>
      <c r="AT117" s="24" t="inlineStr">
        <is>
          <t>LOUD</t>
        </is>
      </c>
      <c r="AU117" s="24" t="inlineStr">
        <is>
          <t>LOUD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shadow_qualified</t>
        </is>
      </c>
      <c r="BA117" s="24" t="inlineStr">
        <is>
          <t>b707ba4f406d830c09e531d0e0bc69901cc1bda46b0bf4e1c22998fe3fb14e24</t>
        </is>
      </c>
      <c r="BB117" s="24" t="inlineStr">
        <is>
          <t>neutral_elo</t>
        </is>
      </c>
      <c r="BC117" s="24" t="inlineStr">
        <is>
          <t>valorant-tiered-elo-v6</t>
        </is>
      </c>
      <c r="BD117" s="24" t="inlineStr">
        <is>
          <t>b707ba4f406d830c09e531d0e0bc69901cc1bda46b0bf4e1c22998fe3fb14e24</t>
        </is>
      </c>
      <c r="BE117" s="24" t="inlineStr">
        <is>
          <t>1</t>
        </is>
      </c>
      <c r="BF117" s="24" t="inlineStr">
        <is>
          <t>1</t>
        </is>
      </c>
      <c r="BG117" s="24" t="inlineStr">
        <is>
          <t>valorant-tiered-elo-v6</t>
        </is>
      </c>
      <c r="BH117" s="24" t="inlineStr">
        <is>
          <t>2026-08-30T16:07:30.128708Z</t>
        </is>
      </c>
      <c r="BI117" s="24" t="inlineStr">
        <is>
          <t>["same_event","same_team_same_day","same_league_same_day"]</t>
        </is>
      </c>
      <c r="BJ117" s="25" t="n"/>
      <c r="BK117" s="26" t="n">
        <v>163</v>
      </c>
      <c r="BL117" s="27" t="n">
        <v>2.63</v>
      </c>
      <c r="BM117" s="28" t="n">
        <v>0.380228</v>
      </c>
      <c r="BN117" s="28" t="n"/>
      <c r="BO117" s="28" t="n"/>
      <c r="BP117" s="25" t="n"/>
      <c r="BQ117" s="27" t="n">
        <v>2.63</v>
      </c>
      <c r="BR117" s="28" t="n">
        <v>0.38</v>
      </c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inlineStr">
        <is>
          <t>True</t>
        </is>
      </c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inlineStr">
        <is>
          <t>0.380228</t>
        </is>
      </c>
      <c r="DK117" s="24" t="n"/>
      <c r="DL117" s="24" t="n"/>
      <c r="DM117" s="24" t="n"/>
      <c r="DN117" s="24" t="n"/>
      <c r="DO117" s="24" t="n"/>
      <c r="DP117" s="24" t="n"/>
      <c r="DQ117" s="24" t="n"/>
    </row>
    <row r="118" ht="36" customHeight="1">
      <c r="A118" s="24" t="inlineStr">
        <is>
          <t>e4be46a7cfa040ca</t>
        </is>
      </c>
      <c r="B118" s="24" t="inlineStr">
        <is>
          <t>2026-09-02T16:09:40.588663Z</t>
        </is>
      </c>
      <c r="C118" s="24" t="inlineStr">
        <is>
          <t>2026-09-02T23:30:00Z</t>
        </is>
      </c>
      <c r="D118" s="24" t="inlineStr">
        <is>
          <t>100338</t>
        </is>
      </c>
      <c r="E118" s="24" t="inlineStr">
        <is>
          <t>VALORANT</t>
        </is>
      </c>
      <c r="F118" s="24" t="inlineStr">
        <is>
          <t>HIMMERS</t>
        </is>
      </c>
      <c r="G118" s="24" t="inlineStr">
        <is>
          <t>Cloud9 GC</t>
        </is>
      </c>
      <c r="H118" s="24" t="inlineStr">
        <is>
          <t>moneyline</t>
        </is>
      </c>
      <c r="I118" s="24" t="inlineStr">
        <is>
          <t>away</t>
        </is>
      </c>
      <c r="J118" s="25" t="n"/>
      <c r="K118" s="24" t="inlineStr">
        <is>
          <t>polymarket_us</t>
        </is>
      </c>
      <c r="L118" s="26" t="n">
        <v>113</v>
      </c>
      <c r="M118" s="27" t="n">
        <v>2.13</v>
      </c>
      <c r="N118" s="28" t="n">
        <v>0.469484</v>
      </c>
      <c r="O118" s="28" t="n">
        <v>0.503215</v>
      </c>
      <c r="P118" s="28" t="n"/>
      <c r="Q118" s="28" t="n">
        <v>0.033731</v>
      </c>
      <c r="R118" s="26" t="n">
        <v>37</v>
      </c>
      <c r="S118" s="29" t="n">
        <v>1</v>
      </c>
      <c r="T118" s="24" t="inlineStr">
        <is>
          <t>valorant-tiered-elo-v6</t>
        </is>
      </c>
      <c r="U118" s="24" t="inlineStr">
        <is>
          <t>settled</t>
        </is>
      </c>
      <c r="V118" s="24" t="inlineStr">
        <is>
          <t>win</t>
        </is>
      </c>
      <c r="W118" s="26" t="n">
        <v>1</v>
      </c>
      <c r="X118" s="26" t="n">
        <v>0</v>
      </c>
      <c r="Y118" s="25" t="n"/>
      <c r="Z118" s="26" t="n">
        <v>113</v>
      </c>
      <c r="AA118" s="28" t="n">
        <v>0.47</v>
      </c>
      <c r="AB118" s="28" t="n">
        <v>0.000516</v>
      </c>
      <c r="AC118" s="30" t="n">
        <v>1.13</v>
      </c>
      <c r="AD118" s="24" t="inlineStr">
        <is>
          <t>2026-09-03T04:33:18.005795Z</t>
        </is>
      </c>
      <c r="AE118" s="31" t="inlineStr">
        <is>
          <t>Neutral Elo baseline; executable ask 0.4700 (market_slug=aec-valorant-c9gc-him-2026-09-02).</t>
        </is>
      </c>
      <c r="AF118" s="31" t="inlineStr">
        <is>
          <t>Config-promoted esports baseline; gates enforced at log time.</t>
        </is>
      </c>
      <c r="AG118" s="24" t="inlineStr">
        <is>
          <t>not_applicable</t>
        </is>
      </c>
      <c r="AH118" s="24" t="n"/>
      <c r="AI118" s="31" t="n"/>
      <c r="AJ118" s="31" t="n"/>
      <c r="AK118" s="24" t="inlineStr">
        <is>
          <t>model_qualified</t>
        </is>
      </c>
      <c r="AL118" s="26" t="n">
        <v>4</v>
      </c>
      <c r="AM118" s="24" t="inlineStr">
        <is>
          <t>QUALIFIED_SHADOW_CALL</t>
        </is>
      </c>
      <c r="AN118" s="24" t="inlineStr">
        <is>
          <t>CALL</t>
        </is>
      </c>
      <c r="AO118" s="24" t="inlineStr">
        <is>
          <t>QUALIFIED</t>
        </is>
      </c>
      <c r="AP118" s="24" t="inlineStr">
        <is>
          <t>HIMMERS</t>
        </is>
      </c>
      <c r="AQ118" s="24" t="inlineStr">
        <is>
          <t>HIMMERS</t>
        </is>
      </c>
      <c r="AR118" s="24" t="inlineStr">
        <is>
          <t>HIMMERS</t>
        </is>
      </c>
      <c r="AS118" s="24" t="inlineStr">
        <is>
          <t>Cloud9 GC</t>
        </is>
      </c>
      <c r="AT118" s="24" t="inlineStr">
        <is>
          <t>Cloud9 GC</t>
        </is>
      </c>
      <c r="AU118" s="24" t="inlineStr">
        <is>
          <t>Cloud9 GC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shadow_qualified</t>
        </is>
      </c>
      <c r="BA118" s="24" t="inlineStr">
        <is>
          <t>5b2f07a8792200d589e1ebcc61d4ca64423d7724adbf39f1b8f516f64b3af133</t>
        </is>
      </c>
      <c r="BB118" s="24" t="inlineStr">
        <is>
          <t>neutral_elo</t>
        </is>
      </c>
      <c r="BC118" s="24" t="inlineStr">
        <is>
          <t>valorant-tiered-elo-v6</t>
        </is>
      </c>
      <c r="BD118" s="24" t="inlineStr">
        <is>
          <t>5b2f07a8792200d589e1ebcc61d4ca64423d7724adbf39f1b8f516f64b3af133</t>
        </is>
      </c>
      <c r="BE118" s="24" t="inlineStr">
        <is>
          <t>1</t>
        </is>
      </c>
      <c r="BF118" s="24" t="inlineStr">
        <is>
          <t>1</t>
        </is>
      </c>
      <c r="BG118" s="24" t="inlineStr">
        <is>
          <t>valorant-tiered-elo-v6</t>
        </is>
      </c>
      <c r="BH118" s="24" t="inlineStr">
        <is>
          <t>2026-09-02T16:09:38.870658Z</t>
        </is>
      </c>
      <c r="BI118" s="24" t="inlineStr">
        <is>
          <t>["same_event","same_team_same_day","same_league_same_day"]</t>
        </is>
      </c>
      <c r="BJ118" s="25" t="n"/>
      <c r="BK118" s="26" t="n">
        <v>113</v>
      </c>
      <c r="BL118" s="27" t="n">
        <v>2.13</v>
      </c>
      <c r="BM118" s="28" t="n">
        <v>0.469484</v>
      </c>
      <c r="BN118" s="28" t="n"/>
      <c r="BO118" s="28" t="n"/>
      <c r="BP118" s="25" t="n"/>
      <c r="BQ118" s="27" t="n">
        <v>2.13</v>
      </c>
      <c r="BR118" s="28" t="n">
        <v>0.47</v>
      </c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inlineStr">
        <is>
          <t>True</t>
        </is>
      </c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/>
      <c r="DH118" s="24" t="n"/>
      <c r="DI118" s="24" t="n"/>
      <c r="DJ118" s="24" t="inlineStr">
        <is>
          <t>0.469484</t>
        </is>
      </c>
      <c r="DK118" s="24" t="n"/>
      <c r="DL118" s="24" t="n"/>
      <c r="DM118" s="24" t="n"/>
      <c r="DN118" s="24" t="n"/>
      <c r="DO118" s="24" t="n"/>
      <c r="DP118" s="24" t="n"/>
      <c r="DQ118" s="24" t="n"/>
    </row>
    <row r="119" ht="36" customHeight="1">
      <c r="A119" s="24" t="inlineStr">
        <is>
          <t>cd6c4b5dceb64a41</t>
        </is>
      </c>
      <c r="B119" s="24" t="inlineStr">
        <is>
          <t>2026-09-02T16:09:40.588663Z</t>
        </is>
      </c>
      <c r="C119" s="24" t="inlineStr">
        <is>
          <t>2026-09-02T23:30:00Z</t>
        </is>
      </c>
      <c r="D119" s="24" t="inlineStr">
        <is>
          <t>100339</t>
        </is>
      </c>
      <c r="E119" s="24" t="inlineStr">
        <is>
          <t>VALORANT</t>
        </is>
      </c>
      <c r="F119" s="24" t="inlineStr">
        <is>
          <t>Shopify Rebellion Gold</t>
        </is>
      </c>
      <c r="G119" s="24" t="inlineStr">
        <is>
          <t>SwimTrek Blue</t>
        </is>
      </c>
      <c r="H119" s="24" t="inlineStr">
        <is>
          <t>moneyline</t>
        </is>
      </c>
      <c r="I119" s="24" t="inlineStr">
        <is>
          <t>home</t>
        </is>
      </c>
      <c r="J119" s="25" t="n"/>
      <c r="K119" s="24" t="inlineStr">
        <is>
          <t>polymarket_us</t>
        </is>
      </c>
      <c r="L119" s="26" t="n">
        <v>-223</v>
      </c>
      <c r="M119" s="27" t="n">
        <v>1.44843</v>
      </c>
      <c r="N119" s="28" t="n">
        <v>0.690402</v>
      </c>
      <c r="O119" s="28" t="n">
        <v>0.526272</v>
      </c>
      <c r="P119" s="28" t="n"/>
      <c r="Q119" s="28" t="n">
        <v>-0.16413</v>
      </c>
      <c r="R119" s="26" t="n">
        <v>0</v>
      </c>
      <c r="S119" s="29" t="n">
        <v>1</v>
      </c>
      <c r="T119" s="24" t="inlineStr">
        <is>
          <t>valorant-tiered-elo-v6</t>
        </is>
      </c>
      <c r="U119" s="24" t="inlineStr">
        <is>
          <t>settled</t>
        </is>
      </c>
      <c r="V119" s="24" t="inlineStr">
        <is>
          <t>loss</t>
        </is>
      </c>
      <c r="W119" s="26" t="n">
        <v>1</v>
      </c>
      <c r="X119" s="26" t="n">
        <v>0</v>
      </c>
      <c r="Y119" s="25" t="n"/>
      <c r="Z119" s="26" t="n">
        <v>-223</v>
      </c>
      <c r="AA119" s="28" t="n">
        <v>0.6899999999999999</v>
      </c>
      <c r="AB119" s="28" t="n">
        <v>-0.000402</v>
      </c>
      <c r="AC119" s="30" t="n">
        <v>-1</v>
      </c>
      <c r="AD119" s="24" t="inlineStr">
        <is>
          <t>2026-09-03T04:33:18.457465Z</t>
        </is>
      </c>
      <c r="AE119" s="31" t="inlineStr">
        <is>
          <t>Neutral Elo baseline; executable ask 0.6900 (market_slug=aec-valorant-swim-srg-2026-09-02).</t>
        </is>
      </c>
      <c r="AF119" s="31" t="inlineStr">
        <is>
          <t>Config-promoted esports baseline; gates enforced at log time.</t>
        </is>
      </c>
      <c r="AG119" s="24" t="inlineStr">
        <is>
          <t>review_required</t>
        </is>
      </c>
      <c r="AH119" s="24" t="n"/>
      <c r="AI119" s="31" t="n"/>
      <c r="AJ119" s="31" t="n"/>
      <c r="AK119" s="24" t="inlineStr">
        <is>
          <t>paper_call</t>
        </is>
      </c>
      <c r="AL119" s="26" t="n">
        <v>4</v>
      </c>
      <c r="AM119" s="24" t="inlineStr">
        <is>
          <t>RESEARCH_OBSERVATION</t>
        </is>
      </c>
      <c r="AN119" s="24" t="inlineStr">
        <is>
          <t>CALL</t>
        </is>
      </c>
      <c r="AO119" s="24" t="inlineStr">
        <is>
          <t>PAPER_CALL_LOW_EDGE</t>
        </is>
      </c>
      <c r="AP119" s="24" t="inlineStr">
        <is>
          <t>Shopify Rebellion Gold</t>
        </is>
      </c>
      <c r="AQ119" s="24" t="inlineStr">
        <is>
          <t>Shopify Rebellion Gold</t>
        </is>
      </c>
      <c r="AR119" s="24" t="inlineStr">
        <is>
          <t>Shopify Rebellion Gold</t>
        </is>
      </c>
      <c r="AS119" s="24" t="inlineStr">
        <is>
          <t>SwimTrek Blue</t>
        </is>
      </c>
      <c r="AT119" s="24" t="inlineStr">
        <is>
          <t>SwimTrek Blue</t>
        </is>
      </c>
      <c r="AU119" s="24" t="inlineStr">
        <is>
          <t>SwimTrek Blue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5b2f07a8792200d589e1ebcc61d4ca64423d7724adbf39f1b8f516f64b3af133</t>
        </is>
      </c>
      <c r="BB119" s="24" t="inlineStr">
        <is>
          <t>neutral_elo</t>
        </is>
      </c>
      <c r="BC119" s="24" t="inlineStr">
        <is>
          <t>valorant-tiered-elo-v6</t>
        </is>
      </c>
      <c r="BD119" s="24" t="inlineStr">
        <is>
          <t>5b2f07a8792200d589e1ebcc61d4ca64423d7724adbf39f1b8f516f64b3af133</t>
        </is>
      </c>
      <c r="BE119" s="24" t="inlineStr">
        <is>
          <t>1</t>
        </is>
      </c>
      <c r="BF119" s="24" t="inlineStr">
        <is>
          <t>1</t>
        </is>
      </c>
      <c r="BG119" s="24" t="inlineStr">
        <is>
          <t>valorant-tiered-elo-v6</t>
        </is>
      </c>
      <c r="BH119" s="24" t="inlineStr">
        <is>
          <t>2026-09-02T16:09:38.958255Z</t>
        </is>
      </c>
      <c r="BI119" s="24" t="inlineStr">
        <is>
          <t>["same_event","same_team_same_day","same_league_same_day"]</t>
        </is>
      </c>
      <c r="BJ119" s="25" t="n"/>
      <c r="BK119" s="26" t="n">
        <v>-223</v>
      </c>
      <c r="BL119" s="27" t="n">
        <v>1.44843</v>
      </c>
      <c r="BM119" s="28" t="n">
        <v>0.690402</v>
      </c>
      <c r="BN119" s="28" t="n"/>
      <c r="BO119" s="28" t="n"/>
      <c r="BP119" s="25" t="n"/>
      <c r="BQ119" s="27" t="n">
        <v>1.44843</v>
      </c>
      <c r="BR119" s="28" t="n">
        <v>0.6899999999999999</v>
      </c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inlineStr">
        <is>
          <t>False</t>
        </is>
      </c>
      <c r="CT119" s="24" t="n"/>
      <c r="CU119" s="24" t="n"/>
      <c r="CV119" s="24" t="n"/>
      <c r="CW119" s="24" t="n"/>
      <c r="CX119" s="24" t="n"/>
      <c r="CY119" s="24" t="n"/>
      <c r="CZ119" s="24" t="n"/>
      <c r="DA119" s="24" t="n"/>
      <c r="DB119" s="24" t="n"/>
      <c r="DC119" s="24" t="n"/>
      <c r="DD119" s="24" t="n"/>
      <c r="DE119" s="24" t="n"/>
      <c r="DF119" s="24" t="n"/>
      <c r="DG119" s="24" t="n"/>
      <c r="DH119" s="24" t="n"/>
      <c r="DI119" s="24" t="n"/>
      <c r="DJ119" s="24" t="inlineStr">
        <is>
          <t>0.690402</t>
        </is>
      </c>
      <c r="DK119" s="24" t="n"/>
      <c r="DL119" s="24" t="n"/>
      <c r="DM119" s="24" t="n"/>
      <c r="DN119" s="24" t="n"/>
      <c r="DO119" s="24" t="n"/>
      <c r="DP119" s="24" t="n"/>
      <c r="DQ119" s="24" t="n"/>
    </row>
    <row r="120" ht="36" customHeight="1">
      <c r="A120" s="24" t="inlineStr">
        <is>
          <t>159b57c2d67b4d97</t>
        </is>
      </c>
      <c r="B120" s="24" t="inlineStr">
        <is>
          <t>2026-09-03T04:36:12.909143Z</t>
        </is>
      </c>
      <c r="C120" s="24" t="inlineStr">
        <is>
          <t>2026-09-03T11:00:00Z</t>
        </is>
      </c>
      <c r="D120" s="24" t="inlineStr">
        <is>
          <t>100341</t>
        </is>
      </c>
      <c r="E120" s="24" t="inlineStr">
        <is>
          <t>VALORANT</t>
        </is>
      </c>
      <c r="F120" s="24" t="inlineStr">
        <is>
          <t>KeepBest Gaming</t>
        </is>
      </c>
      <c r="G120" s="24" t="inlineStr">
        <is>
          <t>Wolves Esports</t>
        </is>
      </c>
      <c r="H120" s="24" t="inlineStr">
        <is>
          <t>moneyline</t>
        </is>
      </c>
      <c r="I120" s="24" t="inlineStr">
        <is>
          <t>away</t>
        </is>
      </c>
      <c r="J120" s="25" t="n"/>
      <c r="K120" s="24" t="inlineStr">
        <is>
          <t>polymarket_us</t>
        </is>
      </c>
      <c r="L120" s="26" t="n">
        <v>150</v>
      </c>
      <c r="M120" s="27" t="n">
        <v>2.5</v>
      </c>
      <c r="N120" s="28" t="n">
        <v>0.4</v>
      </c>
      <c r="O120" s="28" t="n">
        <v>0.515715</v>
      </c>
      <c r="P120" s="28" t="n"/>
      <c r="Q120" s="28" t="n">
        <v>0.115715</v>
      </c>
      <c r="R120" s="26" t="n">
        <v>78</v>
      </c>
      <c r="S120" s="29" t="n">
        <v>1.5</v>
      </c>
      <c r="T120" s="24" t="inlineStr">
        <is>
          <t>valorant-tiered-elo-v6</t>
        </is>
      </c>
      <c r="U120" s="24" t="inlineStr">
        <is>
          <t>settled</t>
        </is>
      </c>
      <c r="V120" s="24" t="inlineStr">
        <is>
          <t>win</t>
        </is>
      </c>
      <c r="W120" s="26" t="n">
        <v>1</v>
      </c>
      <c r="X120" s="26" t="n">
        <v>0</v>
      </c>
      <c r="Y120" s="25" t="n"/>
      <c r="Z120" s="26" t="n">
        <v>150</v>
      </c>
      <c r="AA120" s="28" t="n">
        <v>0.4</v>
      </c>
      <c r="AB120" s="28" t="n">
        <v>0</v>
      </c>
      <c r="AC120" s="30" t="n">
        <v>2.25</v>
      </c>
      <c r="AD120" s="24" t="inlineStr">
        <is>
          <t>2026-09-03T16:08:29.992481Z</t>
        </is>
      </c>
      <c r="AE120" s="31" t="inlineStr">
        <is>
          <t>Neutral Elo baseline; executable ask 0.4000 (market_slug=aec-valorant-wol-kbg-2026-09-03).</t>
        </is>
      </c>
      <c r="AF120" s="31" t="inlineStr">
        <is>
          <t>Config-promoted esports baseline; gates enforced at log time.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model_qualified</t>
        </is>
      </c>
      <c r="AL120" s="26" t="n">
        <v>4</v>
      </c>
      <c r="AM120" s="24" t="inlineStr">
        <is>
          <t>QUALIFIED_SHADOW_CALL</t>
        </is>
      </c>
      <c r="AN120" s="24" t="inlineStr">
        <is>
          <t>CALL</t>
        </is>
      </c>
      <c r="AO120" s="24" t="inlineStr">
        <is>
          <t>QUALIFIED</t>
        </is>
      </c>
      <c r="AP120" s="24" t="inlineStr">
        <is>
          <t>KeepBest Gaming</t>
        </is>
      </c>
      <c r="AQ120" s="24" t="inlineStr">
        <is>
          <t>KeepBest Gaming</t>
        </is>
      </c>
      <c r="AR120" s="24" t="inlineStr">
        <is>
          <t>KeepBest Gaming</t>
        </is>
      </c>
      <c r="AS120" s="24" t="inlineStr">
        <is>
          <t>Wolves Esports</t>
        </is>
      </c>
      <c r="AT120" s="24" t="inlineStr">
        <is>
          <t>Wolves Esports</t>
        </is>
      </c>
      <c r="AU120" s="24" t="inlineStr">
        <is>
          <t>Wolves Esports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8b9c3e188a34a50a79cde3d36920d2c635d8699b06723d03c7e0d55ff905d166</t>
        </is>
      </c>
      <c r="BB120" s="24" t="inlineStr">
        <is>
          <t>neutral_elo</t>
        </is>
      </c>
      <c r="BC120" s="24" t="inlineStr">
        <is>
          <t>valorant-tiered-elo-v6</t>
        </is>
      </c>
      <c r="BD120" s="24" t="inlineStr">
        <is>
          <t>8b9c3e188a34a50a79cde3d36920d2c635d8699b06723d03c7e0d55ff905d166</t>
        </is>
      </c>
      <c r="BE120" s="24" t="inlineStr">
        <is>
          <t>1</t>
        </is>
      </c>
      <c r="BF120" s="24" t="inlineStr">
        <is>
          <t>1</t>
        </is>
      </c>
      <c r="BG120" s="24" t="inlineStr">
        <is>
          <t>valorant-tiered-elo-v6</t>
        </is>
      </c>
      <c r="BH120" s="24" t="inlineStr">
        <is>
          <t>2026-09-03T04:36:11.711552Z</t>
        </is>
      </c>
      <c r="BI120" s="24" t="inlineStr">
        <is>
          <t>["same_event","same_team_same_day","same_league_same_day"]</t>
        </is>
      </c>
      <c r="BJ120" s="25" t="n"/>
      <c r="BK120" s="26" t="n">
        <v>150</v>
      </c>
      <c r="BL120" s="27" t="n">
        <v>2.5</v>
      </c>
      <c r="BM120" s="28" t="n">
        <v>0.4</v>
      </c>
      <c r="BN120" s="28" t="n"/>
      <c r="BO120" s="28" t="n"/>
      <c r="BP120" s="25" t="n"/>
      <c r="BQ120" s="27" t="n">
        <v>2.5</v>
      </c>
      <c r="BR120" s="28" t="n">
        <v>0.4</v>
      </c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inlineStr">
        <is>
          <t>True</t>
        </is>
      </c>
      <c r="CT120" s="24" t="n"/>
      <c r="CU120" s="24" t="n"/>
      <c r="CV120" s="24" t="n"/>
      <c r="CW120" s="24" t="n"/>
      <c r="CX120" s="24" t="n"/>
      <c r="CY120" s="24" t="n"/>
      <c r="CZ120" s="24" t="n"/>
      <c r="DA120" s="24" t="n"/>
      <c r="DB120" s="24" t="n"/>
      <c r="DC120" s="24" t="n"/>
      <c r="DD120" s="24" t="n"/>
      <c r="DE120" s="24" t="n"/>
      <c r="DF120" s="24" t="n"/>
      <c r="DG120" s="24" t="n"/>
      <c r="DH120" s="24" t="n"/>
      <c r="DI120" s="24" t="n"/>
      <c r="DJ120" s="24" t="inlineStr">
        <is>
          <t>0.4</t>
        </is>
      </c>
      <c r="DK120" s="24" t="n"/>
      <c r="DL120" s="24" t="n"/>
      <c r="DM120" s="24" t="n"/>
      <c r="DN120" s="24" t="n"/>
      <c r="DO120" s="24" t="n"/>
      <c r="DP120" s="24" t="n"/>
      <c r="DQ120" s="24" t="n"/>
    </row>
    <row r="121" ht="36" customHeight="1">
      <c r="A121" s="24" t="inlineStr">
        <is>
          <t>c0aa5d656ed14f24</t>
        </is>
      </c>
      <c r="B121" s="24" t="inlineStr">
        <is>
          <t>2026-09-03T16:12:31.467301Z</t>
        </is>
      </c>
      <c r="C121" s="24" t="inlineStr">
        <is>
          <t>2026-09-03T18:00:00Z</t>
        </is>
      </c>
      <c r="D121" s="24" t="inlineStr">
        <is>
          <t>100345</t>
        </is>
      </c>
      <c r="E121" s="24" t="inlineStr">
        <is>
          <t>VALORANT</t>
        </is>
      </c>
      <c r="F121" s="24" t="inlineStr">
        <is>
          <t>RIZON</t>
        </is>
      </c>
      <c r="G121" s="24" t="inlineStr">
        <is>
          <t>ALTERNATE aTTaX</t>
        </is>
      </c>
      <c r="H121" s="24" t="inlineStr">
        <is>
          <t>moneyline</t>
        </is>
      </c>
      <c r="I121" s="24" t="inlineStr">
        <is>
          <t>home</t>
        </is>
      </c>
      <c r="J121" s="25" t="n"/>
      <c r="K121" s="24" t="inlineStr">
        <is>
          <t>polymarket_us</t>
        </is>
      </c>
      <c r="L121" s="26" t="n">
        <v>122</v>
      </c>
      <c r="M121" s="27" t="n">
        <v>2.22</v>
      </c>
      <c r="N121" s="28" t="n">
        <v>0.45045</v>
      </c>
      <c r="O121" s="28" t="n">
        <v>0.554547</v>
      </c>
      <c r="P121" s="28" t="n"/>
      <c r="Q121" s="28" t="n">
        <v>0.104097</v>
      </c>
      <c r="R121" s="26" t="n">
        <v>72</v>
      </c>
      <c r="S121" s="29" t="n">
        <v>1.25</v>
      </c>
      <c r="T121" s="24" t="inlineStr">
        <is>
          <t>valorant-tiered-elo-v6</t>
        </is>
      </c>
      <c r="U121" s="24" t="inlineStr">
        <is>
          <t>settled</t>
        </is>
      </c>
      <c r="V121" s="24" t="inlineStr">
        <is>
          <t>loss</t>
        </is>
      </c>
      <c r="W121" s="26" t="n">
        <v>1</v>
      </c>
      <c r="X121" s="26" t="n">
        <v>0</v>
      </c>
      <c r="Y121" s="25" t="n"/>
      <c r="Z121" s="26" t="n">
        <v>122</v>
      </c>
      <c r="AA121" s="28" t="n">
        <v>0.45</v>
      </c>
      <c r="AB121" s="28" t="n">
        <v>-0.00045</v>
      </c>
      <c r="AC121" s="30" t="n">
        <v>-1.25</v>
      </c>
      <c r="AD121" s="24" t="inlineStr">
        <is>
          <t>2026-09-04T04:33:58.681484Z</t>
        </is>
      </c>
      <c r="AE121" s="31" t="inlineStr">
        <is>
          <t>Neutral Elo baseline; executable ask 0.4500 (market_slug=aec-valorant-attax-rzn-2026-09-03).</t>
        </is>
      </c>
      <c r="AF121" s="31" t="inlineStr">
        <is>
          <t>Config-promoted esports baseline; gates enforced at log time.</t>
        </is>
      </c>
      <c r="AG121" s="24" t="inlineStr">
        <is>
          <t>review_required</t>
        </is>
      </c>
      <c r="AH121" s="24" t="n"/>
      <c r="AI121" s="31" t="n"/>
      <c r="AJ121" s="31" t="n"/>
      <c r="AK121" s="24" t="inlineStr">
        <is>
          <t>model_qualified</t>
        </is>
      </c>
      <c r="AL121" s="26" t="n">
        <v>4</v>
      </c>
      <c r="AM121" s="24" t="inlineStr">
        <is>
          <t>QUALIFIED_SHADOW_CALL</t>
        </is>
      </c>
      <c r="AN121" s="24" t="inlineStr">
        <is>
          <t>CALL</t>
        </is>
      </c>
      <c r="AO121" s="24" t="inlineStr">
        <is>
          <t>QUALIFIED</t>
        </is>
      </c>
      <c r="AP121" s="24" t="inlineStr">
        <is>
          <t>RIZON</t>
        </is>
      </c>
      <c r="AQ121" s="24" t="inlineStr">
        <is>
          <t>RIZON</t>
        </is>
      </c>
      <c r="AR121" s="24" t="inlineStr">
        <is>
          <t>RIZON</t>
        </is>
      </c>
      <c r="AS121" s="24" t="inlineStr">
        <is>
          <t>ALTERNATE aTTaX</t>
        </is>
      </c>
      <c r="AT121" s="24" t="inlineStr">
        <is>
          <t>ALTERNATE aTTaX</t>
        </is>
      </c>
      <c r="AU121" s="24" t="inlineStr">
        <is>
          <t>ALTERNATE aTTaX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54b13b721282e2438605b8df5473f6d5a418ac2f50b632994218e50744880d3f</t>
        </is>
      </c>
      <c r="BB121" s="24" t="inlineStr">
        <is>
          <t>neutral_elo</t>
        </is>
      </c>
      <c r="BC121" s="24" t="inlineStr">
        <is>
          <t>valorant-tiered-elo-v6</t>
        </is>
      </c>
      <c r="BD121" s="24" t="inlineStr">
        <is>
          <t>54b13b721282e2438605b8df5473f6d5a418ac2f50b632994218e50744880d3f</t>
        </is>
      </c>
      <c r="BE121" s="24" t="inlineStr">
        <is>
          <t>1</t>
        </is>
      </c>
      <c r="BF121" s="24" t="inlineStr">
        <is>
          <t>1</t>
        </is>
      </c>
      <c r="BG121" s="24" t="inlineStr">
        <is>
          <t>valorant-tiered-elo-v6</t>
        </is>
      </c>
      <c r="BH121" s="24" t="inlineStr">
        <is>
          <t>2026-09-03T16:12:30.061361Z</t>
        </is>
      </c>
      <c r="BI121" s="24" t="inlineStr">
        <is>
          <t>["same_event","same_team_same_day","same_league_same_day"]</t>
        </is>
      </c>
      <c r="BJ121" s="25" t="n"/>
      <c r="BK121" s="26" t="n">
        <v>122</v>
      </c>
      <c r="BL121" s="27" t="n">
        <v>2.22</v>
      </c>
      <c r="BM121" s="28" t="n">
        <v>0.45045</v>
      </c>
      <c r="BN121" s="28" t="n"/>
      <c r="BO121" s="28" t="n"/>
      <c r="BP121" s="25" t="n"/>
      <c r="BQ121" s="27" t="n">
        <v>2.22</v>
      </c>
      <c r="BR121" s="28" t="n">
        <v>0.45</v>
      </c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inlineStr">
        <is>
          <t>True</t>
        </is>
      </c>
      <c r="CT121" s="24" t="n"/>
      <c r="CU121" s="24" t="n"/>
      <c r="CV121" s="24" t="n"/>
      <c r="CW121" s="24" t="n"/>
      <c r="CX121" s="24" t="n"/>
      <c r="CY121" s="24" t="n"/>
      <c r="CZ121" s="24" t="n"/>
      <c r="DA121" s="24" t="n"/>
      <c r="DB121" s="24" t="n"/>
      <c r="DC121" s="24" t="n"/>
      <c r="DD121" s="24" t="n"/>
      <c r="DE121" s="24" t="n"/>
      <c r="DF121" s="24" t="n"/>
      <c r="DG121" s="24" t="n"/>
      <c r="DH121" s="24" t="n"/>
      <c r="DI121" s="24" t="n"/>
      <c r="DJ121" s="24" t="inlineStr">
        <is>
          <t>0.45045</t>
        </is>
      </c>
      <c r="DK121" s="24" t="n"/>
      <c r="DL121" s="24" t="n"/>
      <c r="DM121" s="24" t="n"/>
      <c r="DN121" s="24" t="n"/>
      <c r="DO121" s="24" t="n"/>
      <c r="DP121" s="24" t="n"/>
      <c r="DQ121" s="24" t="n"/>
    </row>
    <row r="122" ht="36" customHeight="1">
      <c r="A122" s="24" t="inlineStr">
        <is>
          <t>fcfa99b98d19406d</t>
        </is>
      </c>
      <c r="B122" s="24" t="inlineStr">
        <is>
          <t>2026-09-04T04:37:13.946922Z</t>
        </is>
      </c>
      <c r="C122" s="24" t="inlineStr">
        <is>
          <t>2026-09-04T08:00:00Z</t>
        </is>
      </c>
      <c r="D122" s="24" t="inlineStr">
        <is>
          <t>100346</t>
        </is>
      </c>
      <c r="E122" s="24" t="inlineStr">
        <is>
          <t>VALORANT</t>
        </is>
      </c>
      <c r="F122" s="24" t="inlineStr">
        <is>
          <t>Global Esports</t>
        </is>
      </c>
      <c r="G122" s="24" t="inlineStr">
        <is>
          <t>Nongshim RedForce</t>
        </is>
      </c>
      <c r="H122" s="24" t="inlineStr">
        <is>
          <t>moneyline</t>
        </is>
      </c>
      <c r="I122" s="24" t="inlineStr">
        <is>
          <t>home</t>
        </is>
      </c>
      <c r="J122" s="25" t="n"/>
      <c r="K122" s="24" t="inlineStr">
        <is>
          <t>polymarket_us</t>
        </is>
      </c>
      <c r="L122" s="26" t="n">
        <v>-170</v>
      </c>
      <c r="M122" s="27" t="n">
        <v>1.588235</v>
      </c>
      <c r="N122" s="28" t="n">
        <v>0.62963</v>
      </c>
      <c r="O122" s="28" t="n">
        <v>0.665814</v>
      </c>
      <c r="P122" s="28" t="n"/>
      <c r="Q122" s="28" t="n">
        <v>0.036184</v>
      </c>
      <c r="R122" s="26" t="n">
        <v>38</v>
      </c>
      <c r="S122" s="29" t="n">
        <v>1</v>
      </c>
      <c r="T122" s="24" t="inlineStr">
        <is>
          <t>valorant-tiered-elo-v6</t>
        </is>
      </c>
      <c r="U122" s="24" t="inlineStr">
        <is>
          <t>settled</t>
        </is>
      </c>
      <c r="V122" s="24" t="inlineStr">
        <is>
          <t>win</t>
        </is>
      </c>
      <c r="W122" s="26" t="n">
        <v>0</v>
      </c>
      <c r="X122" s="26" t="n">
        <v>1</v>
      </c>
      <c r="Y122" s="25" t="n"/>
      <c r="Z122" s="26" t="n">
        <v>-170</v>
      </c>
      <c r="AA122" s="28" t="n">
        <v>0.63</v>
      </c>
      <c r="AB122" s="28" t="n">
        <v>0.00037</v>
      </c>
      <c r="AC122" s="30" t="n">
        <v>0.5881999999999999</v>
      </c>
      <c r="AD122" s="24" t="inlineStr">
        <is>
          <t>2026-09-04T16:01:14.149157Z</t>
        </is>
      </c>
      <c r="AE122" s="31" t="inlineStr">
        <is>
          <t>Neutral Elo baseline; executable ask 0.6300 (market_slug=aec-valorant-ns-ge-2026-09-04).</t>
        </is>
      </c>
      <c r="AF122" s="31" t="inlineStr">
        <is>
          <t>Config-promoted esports baseline; gates enforced at log time.</t>
        </is>
      </c>
      <c r="AG122" s="24" t="inlineStr">
        <is>
          <t>not_applicable</t>
        </is>
      </c>
      <c r="AH122" s="24" t="n"/>
      <c r="AI122" s="31" t="n"/>
      <c r="AJ122" s="31" t="n"/>
      <c r="AK122" s="24" t="inlineStr">
        <is>
          <t>model_qualified</t>
        </is>
      </c>
      <c r="AL122" s="26" t="n">
        <v>4</v>
      </c>
      <c r="AM122" s="24" t="inlineStr">
        <is>
          <t>QUALIFIED_SHADOW_CALL</t>
        </is>
      </c>
      <c r="AN122" s="24" t="inlineStr">
        <is>
          <t>CALL</t>
        </is>
      </c>
      <c r="AO122" s="24" t="inlineStr">
        <is>
          <t>QUALIFIED</t>
        </is>
      </c>
      <c r="AP122" s="24" t="inlineStr">
        <is>
          <t>Global Esports</t>
        </is>
      </c>
      <c r="AQ122" s="24" t="inlineStr">
        <is>
          <t>Global Esports</t>
        </is>
      </c>
      <c r="AR122" s="24" t="inlineStr">
        <is>
          <t>Global Esports</t>
        </is>
      </c>
      <c r="AS122" s="24" t="inlineStr">
        <is>
          <t>Nongshim RedForce</t>
        </is>
      </c>
      <c r="AT122" s="24" t="inlineStr">
        <is>
          <t>Nongshim RedForce</t>
        </is>
      </c>
      <c r="AU122" s="24" t="inlineStr">
        <is>
          <t>Nongshim RedForce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06b1fa13784ba821b86eb5b63bbbc33823f976f96e48666c1144d845a17bea63</t>
        </is>
      </c>
      <c r="BB122" s="24" t="inlineStr">
        <is>
          <t>neutral_elo</t>
        </is>
      </c>
      <c r="BC122" s="24" t="inlineStr">
        <is>
          <t>valorant-tiered-elo-v6</t>
        </is>
      </c>
      <c r="BD122" s="24" t="inlineStr">
        <is>
          <t>06b1fa13784ba821b86eb5b63bbbc33823f976f96e48666c1144d845a17bea63</t>
        </is>
      </c>
      <c r="BE122" s="24" t="inlineStr">
        <is>
          <t>1</t>
        </is>
      </c>
      <c r="BF122" s="24" t="inlineStr">
        <is>
          <t>1</t>
        </is>
      </c>
      <c r="BG122" s="24" t="inlineStr">
        <is>
          <t>valorant-tiered-elo-v6</t>
        </is>
      </c>
      <c r="BH122" s="24" t="inlineStr">
        <is>
          <t>2026-09-04T04:37:12.796163Z</t>
        </is>
      </c>
      <c r="BI122" s="24" t="inlineStr">
        <is>
          <t>["same_event","same_team_same_day","same_league_same_day"]</t>
        </is>
      </c>
      <c r="BJ122" s="25" t="n"/>
      <c r="BK122" s="26" t="n">
        <v>-170</v>
      </c>
      <c r="BL122" s="27" t="n">
        <v>1.588235</v>
      </c>
      <c r="BM122" s="28" t="n">
        <v>0.62963</v>
      </c>
      <c r="BN122" s="28" t="n"/>
      <c r="BO122" s="28" t="n"/>
      <c r="BP122" s="25" t="n"/>
      <c r="BQ122" s="27" t="n">
        <v>1.588235</v>
      </c>
      <c r="BR122" s="28" t="n">
        <v>0.63</v>
      </c>
      <c r="BS122" s="28" t="n"/>
      <c r="BT122" s="28" t="n"/>
      <c r="BU122" s="25" t="n"/>
      <c r="BV122" s="29" t="n"/>
      <c r="BW122" s="24" t="n"/>
      <c r="BX122" s="30" t="n"/>
      <c r="BY122" s="27" t="n"/>
      <c r="BZ122" s="24" t="n"/>
      <c r="CA122" s="31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inlineStr">
        <is>
          <t>True</t>
        </is>
      </c>
      <c r="CT122" s="24" t="n"/>
      <c r="CU122" s="24" t="n"/>
      <c r="CV122" s="24" t="n"/>
      <c r="CW122" s="24" t="n"/>
      <c r="CX122" s="24" t="n"/>
      <c r="CY122" s="24" t="n"/>
      <c r="CZ122" s="24" t="n"/>
      <c r="DA122" s="24" t="n"/>
      <c r="DB122" s="24" t="n"/>
      <c r="DC122" s="24" t="n"/>
      <c r="DD122" s="24" t="n"/>
      <c r="DE122" s="24" t="n"/>
      <c r="DF122" s="24" t="n"/>
      <c r="DG122" s="24" t="n"/>
      <c r="DH122" s="24" t="n"/>
      <c r="DI122" s="24" t="n"/>
      <c r="DJ122" s="24" t="inlineStr">
        <is>
          <t>0.62963</t>
        </is>
      </c>
      <c r="DK122" s="24" t="n"/>
      <c r="DL122" s="24" t="n"/>
      <c r="DM122" s="24" t="n"/>
      <c r="DN122" s="24" t="n"/>
      <c r="DO122" s="24" t="n"/>
      <c r="DP122" s="24" t="n"/>
      <c r="DQ122" s="24" t="n"/>
    </row>
    <row r="123" ht="36" customHeight="1">
      <c r="A123" s="24" t="inlineStr">
        <is>
          <t>78b78b9875f64d65</t>
        </is>
      </c>
      <c r="B123" s="24" t="inlineStr">
        <is>
          <t>2026-09-04T10:04:45.588674Z</t>
        </is>
      </c>
      <c r="C123" s="24" t="inlineStr">
        <is>
          <t>2026-09-04T11:00:00Z</t>
        </is>
      </c>
      <c r="D123" s="24" t="inlineStr">
        <is>
          <t>100349</t>
        </is>
      </c>
      <c r="E123" s="24" t="inlineStr">
        <is>
          <t>VALORANT</t>
        </is>
      </c>
      <c r="F123" s="24" t="inlineStr">
        <is>
          <t>T1</t>
        </is>
      </c>
      <c r="G123" s="24" t="inlineStr">
        <is>
          <t>VARREL</t>
        </is>
      </c>
      <c r="H123" s="24" t="inlineStr">
        <is>
          <t>moneyline</t>
        </is>
      </c>
      <c r="I123" s="24" t="inlineStr">
        <is>
          <t>away</t>
        </is>
      </c>
      <c r="J123" s="25" t="n"/>
      <c r="K123" s="24" t="inlineStr">
        <is>
          <t>polymarket_us</t>
        </is>
      </c>
      <c r="L123" s="26" t="n">
        <v>-213</v>
      </c>
      <c r="M123" s="27" t="n">
        <v>1.469484</v>
      </c>
      <c r="N123" s="28" t="n">
        <v>0.680511</v>
      </c>
      <c r="O123" s="28" t="n">
        <v>0.660566</v>
      </c>
      <c r="P123" s="28" t="n"/>
      <c r="Q123" s="28" t="n">
        <v>-0.019945</v>
      </c>
      <c r="R123" s="26" t="n">
        <v>10</v>
      </c>
      <c r="S123" s="29" t="n">
        <v>1</v>
      </c>
      <c r="T123" s="24" t="inlineStr">
        <is>
          <t>valorant-tiered-elo-v6</t>
        </is>
      </c>
      <c r="U123" s="24" t="inlineStr">
        <is>
          <t>settled</t>
        </is>
      </c>
      <c r="V123" s="24" t="inlineStr">
        <is>
          <t>win</t>
        </is>
      </c>
      <c r="W123" s="26" t="n">
        <v>1</v>
      </c>
      <c r="X123" s="26" t="n">
        <v>0</v>
      </c>
      <c r="Y123" s="25" t="n"/>
      <c r="Z123" s="26" t="n">
        <v>-213</v>
      </c>
      <c r="AA123" s="28" t="n">
        <v>0.68</v>
      </c>
      <c r="AB123" s="28" t="n">
        <v>-0.000511</v>
      </c>
      <c r="AC123" s="30" t="n">
        <v>0.4695</v>
      </c>
      <c r="AD123" s="24" t="inlineStr">
        <is>
          <t>2026-09-04T16:01:14.617255Z</t>
        </is>
      </c>
      <c r="AE123" s="31" t="inlineStr">
        <is>
          <t>Neutral Elo baseline; executable ask 0.6800 (market_slug=aec-valorant-var-t1-2026-09-04).</t>
        </is>
      </c>
      <c r="AF123" s="31" t="inlineStr">
        <is>
          <t>Config-promoted esports baseline; gates enforced at log time.</t>
        </is>
      </c>
      <c r="AG123" s="24" t="inlineStr">
        <is>
          <t>not_applicable</t>
        </is>
      </c>
      <c r="AH123" s="24" t="n"/>
      <c r="AI123" s="31" t="n"/>
      <c r="AJ123" s="31" t="n"/>
      <c r="AK123" s="24" t="inlineStr">
        <is>
          <t>paper_call</t>
        </is>
      </c>
      <c r="AL123" s="26" t="n">
        <v>4</v>
      </c>
      <c r="AM123" s="24" t="inlineStr">
        <is>
          <t>RESEARCH_OBSERVATION</t>
        </is>
      </c>
      <c r="AN123" s="24" t="inlineStr">
        <is>
          <t>CALL</t>
        </is>
      </c>
      <c r="AO123" s="24" t="inlineStr">
        <is>
          <t>PAPER_CALL_LOW_EDGE</t>
        </is>
      </c>
      <c r="AP123" s="24" t="inlineStr">
        <is>
          <t>T1</t>
        </is>
      </c>
      <c r="AQ123" s="24" t="inlineStr">
        <is>
          <t>T1</t>
        </is>
      </c>
      <c r="AR123" s="24" t="inlineStr">
        <is>
          <t>T1</t>
        </is>
      </c>
      <c r="AS123" s="24" t="inlineStr">
        <is>
          <t>VARREL</t>
        </is>
      </c>
      <c r="AT123" s="24" t="inlineStr">
        <is>
          <t>VARREL</t>
        </is>
      </c>
      <c r="AU123" s="24" t="inlineStr">
        <is>
          <t>VARREL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2c3dc071196e7692c5695be08ee680a151796e58bd600c88cb3a63f2611bc666</t>
        </is>
      </c>
      <c r="BB123" s="24" t="inlineStr">
        <is>
          <t>neutral_elo</t>
        </is>
      </c>
      <c r="BC123" s="24" t="inlineStr">
        <is>
          <t>valorant-tiered-elo-v6</t>
        </is>
      </c>
      <c r="BD123" s="24" t="inlineStr">
        <is>
          <t>2c3dc071196e7692c5695be08ee680a151796e58bd600c88cb3a63f2611bc666</t>
        </is>
      </c>
      <c r="BE123" s="24" t="inlineStr">
        <is>
          <t>1</t>
        </is>
      </c>
      <c r="BF123" s="24" t="inlineStr">
        <is>
          <t>1</t>
        </is>
      </c>
      <c r="BG123" s="24" t="inlineStr">
        <is>
          <t>valorant-tiered-elo-v6</t>
        </is>
      </c>
      <c r="BH123" s="24" t="inlineStr">
        <is>
          <t>2026-09-04T10:04:44.146410Z</t>
        </is>
      </c>
      <c r="BI123" s="24" t="inlineStr">
        <is>
          <t>["same_event","same_team_same_day","same_league_same_day"]</t>
        </is>
      </c>
      <c r="BJ123" s="25" t="n"/>
      <c r="BK123" s="26" t="n">
        <v>-213</v>
      </c>
      <c r="BL123" s="27" t="n">
        <v>1.469484</v>
      </c>
      <c r="BM123" s="28" t="n">
        <v>0.680511</v>
      </c>
      <c r="BN123" s="28" t="n"/>
      <c r="BO123" s="28" t="n"/>
      <c r="BP123" s="25" t="n"/>
      <c r="BQ123" s="27" t="n">
        <v>1.469484</v>
      </c>
      <c r="BR123" s="28" t="n">
        <v>0.68</v>
      </c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  <c r="CR123" s="24" t="n"/>
      <c r="CS123" s="24" t="inlineStr">
        <is>
          <t>False</t>
        </is>
      </c>
      <c r="CT123" s="24" t="n"/>
      <c r="CU123" s="24" t="n"/>
      <c r="CV123" s="24" t="n"/>
      <c r="CW123" s="24" t="n"/>
      <c r="CX123" s="24" t="n"/>
      <c r="CY123" s="24" t="n"/>
      <c r="CZ123" s="24" t="n"/>
      <c r="DA123" s="24" t="n"/>
      <c r="DB123" s="24" t="n"/>
      <c r="DC123" s="24" t="n"/>
      <c r="DD123" s="24" t="n"/>
      <c r="DE123" s="24" t="n"/>
      <c r="DF123" s="24" t="n"/>
      <c r="DG123" s="24" t="n"/>
      <c r="DH123" s="24" t="n"/>
      <c r="DI123" s="24" t="n"/>
      <c r="DJ123" s="24" t="inlineStr">
        <is>
          <t>0.680511</t>
        </is>
      </c>
      <c r="DK123" s="24" t="n"/>
      <c r="DL123" s="24" t="n"/>
      <c r="DM123" s="24" t="n"/>
      <c r="DN123" s="24" t="n"/>
      <c r="DO123" s="24" t="n"/>
      <c r="DP123" s="24" t="n"/>
      <c r="DQ123" s="24" t="n"/>
    </row>
    <row r="124" ht="36" customHeight="1">
      <c r="A124" s="24" t="inlineStr">
        <is>
          <t>48c29d89d41c4402</t>
        </is>
      </c>
      <c r="B124" s="24" t="inlineStr">
        <is>
          <t>2026-09-04T10:04:45.588674Z</t>
        </is>
      </c>
      <c r="C124" s="24" t="inlineStr">
        <is>
          <t>2026-09-04T15:00:00Z</t>
        </is>
      </c>
      <c r="D124" s="24" t="inlineStr">
        <is>
          <t>101691</t>
        </is>
      </c>
      <c r="E124" s="24" t="inlineStr">
        <is>
          <t>VALORANT</t>
        </is>
      </c>
      <c r="F124" s="24" t="inlineStr">
        <is>
          <t>SGE Vision</t>
        </is>
      </c>
      <c r="G124" s="24" t="inlineStr">
        <is>
          <t>Glacial Guardians</t>
        </is>
      </c>
      <c r="H124" s="24" t="inlineStr">
        <is>
          <t>moneyline</t>
        </is>
      </c>
      <c r="I124" s="24" t="inlineStr">
        <is>
          <t>home</t>
        </is>
      </c>
      <c r="J124" s="25" t="n"/>
      <c r="K124" s="24" t="inlineStr">
        <is>
          <t>polymarket_us</t>
        </is>
      </c>
      <c r="L124" s="26" t="n">
        <v>133</v>
      </c>
      <c r="M124" s="27" t="n">
        <v>2.33</v>
      </c>
      <c r="N124" s="28" t="n">
        <v>0.429185</v>
      </c>
      <c r="O124" s="28" t="n">
        <v>0.503423</v>
      </c>
      <c r="P124" s="28" t="n"/>
      <c r="Q124" s="28" t="n">
        <v>0.074238</v>
      </c>
      <c r="R124" s="26" t="n">
        <v>57</v>
      </c>
      <c r="S124" s="29" t="n">
        <v>1.25</v>
      </c>
      <c r="T124" s="24" t="inlineStr">
        <is>
          <t>valorant-tiered-elo-v6</t>
        </is>
      </c>
      <c r="U124" s="24" t="inlineStr">
        <is>
          <t>settled</t>
        </is>
      </c>
      <c r="V124" s="24" t="inlineStr">
        <is>
          <t>win</t>
        </is>
      </c>
      <c r="W124" s="26" t="n">
        <v>0</v>
      </c>
      <c r="X124" s="26" t="n">
        <v>1</v>
      </c>
      <c r="Y124" s="25" t="n"/>
      <c r="Z124" s="26" t="n">
        <v>133</v>
      </c>
      <c r="AA124" s="28" t="n">
        <v>0.43</v>
      </c>
      <c r="AB124" s="28" t="n">
        <v>0.000815</v>
      </c>
      <c r="AC124" s="30" t="n">
        <v>1.6625</v>
      </c>
      <c r="AD124" s="24" t="inlineStr">
        <is>
          <t>2026-09-04T22:01:26.458964Z</t>
        </is>
      </c>
      <c r="AE124" s="31" t="inlineStr">
        <is>
          <t>Neutral Elo baseline; executable ask 0.4300 (market_slug=aec-valorant-gg-svg-2026-09-04).</t>
        </is>
      </c>
      <c r="AF124" s="31" t="inlineStr">
        <is>
          <t>Config-promoted esports baseline; gates enforced at log time.</t>
        </is>
      </c>
      <c r="AG124" s="24" t="inlineStr">
        <is>
          <t>not_applicable</t>
        </is>
      </c>
      <c r="AH124" s="24" t="n"/>
      <c r="AI124" s="31" t="n"/>
      <c r="AJ124" s="31" t="n"/>
      <c r="AK124" s="24" t="inlineStr">
        <is>
          <t>model_qualified</t>
        </is>
      </c>
      <c r="AL124" s="26" t="n">
        <v>4</v>
      </c>
      <c r="AM124" s="24" t="inlineStr">
        <is>
          <t>QUALIFIED_SHADOW_CALL</t>
        </is>
      </c>
      <c r="AN124" s="24" t="inlineStr">
        <is>
          <t>CALL</t>
        </is>
      </c>
      <c r="AO124" s="24" t="inlineStr">
        <is>
          <t>QUALIFIED</t>
        </is>
      </c>
      <c r="AP124" s="24" t="inlineStr">
        <is>
          <t>SGE Vision</t>
        </is>
      </c>
      <c r="AQ124" s="24" t="inlineStr">
        <is>
          <t>SGE Vision</t>
        </is>
      </c>
      <c r="AR124" s="24" t="inlineStr">
        <is>
          <t>SGE Vision</t>
        </is>
      </c>
      <c r="AS124" s="24" t="inlineStr">
        <is>
          <t>Glacial Guardians</t>
        </is>
      </c>
      <c r="AT124" s="24" t="inlineStr">
        <is>
          <t>Glacial Guardians</t>
        </is>
      </c>
      <c r="AU124" s="24" t="inlineStr">
        <is>
          <t>Glacial Guardians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shadow_qualified</t>
        </is>
      </c>
      <c r="BA124" s="24" t="inlineStr">
        <is>
          <t>2c3dc071196e7692c5695be08ee680a151796e58bd600c88cb3a63f2611bc666</t>
        </is>
      </c>
      <c r="BB124" s="24" t="inlineStr">
        <is>
          <t>neutral_elo</t>
        </is>
      </c>
      <c r="BC124" s="24" t="inlineStr">
        <is>
          <t>valorant-tiered-elo-v6</t>
        </is>
      </c>
      <c r="BD124" s="24" t="inlineStr">
        <is>
          <t>2c3dc071196e7692c5695be08ee680a151796e58bd600c88cb3a63f2611bc666</t>
        </is>
      </c>
      <c r="BE124" s="24" t="inlineStr">
        <is>
          <t>1</t>
        </is>
      </c>
      <c r="BF124" s="24" t="inlineStr">
        <is>
          <t>1</t>
        </is>
      </c>
      <c r="BG124" s="24" t="inlineStr">
        <is>
          <t>valorant-tiered-elo-v6</t>
        </is>
      </c>
      <c r="BH124" s="24" t="inlineStr">
        <is>
          <t>2026-09-04T10:04:44.801287Z</t>
        </is>
      </c>
      <c r="BI124" s="24" t="inlineStr">
        <is>
          <t>["same_event","same_team_same_day","same_league_same_day"]</t>
        </is>
      </c>
      <c r="BJ124" s="25" t="n"/>
      <c r="BK124" s="26" t="n">
        <v>133</v>
      </c>
      <c r="BL124" s="27" t="n">
        <v>2.33</v>
      </c>
      <c r="BM124" s="28" t="n">
        <v>0.429185</v>
      </c>
      <c r="BN124" s="28" t="n"/>
      <c r="BO124" s="28" t="n"/>
      <c r="BP124" s="25" t="n"/>
      <c r="BQ124" s="27" t="n">
        <v>2.33</v>
      </c>
      <c r="BR124" s="28" t="n">
        <v>0.43</v>
      </c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inlineStr">
        <is>
          <t>True</t>
        </is>
      </c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/>
      <c r="DH124" s="24" t="n"/>
      <c r="DI124" s="24" t="n"/>
      <c r="DJ124" s="24" t="inlineStr">
        <is>
          <t>0.429185</t>
        </is>
      </c>
      <c r="DK124" s="24" t="n"/>
      <c r="DL124" s="24" t="n"/>
      <c r="DM124" s="24" t="n"/>
      <c r="DN124" s="24" t="n"/>
      <c r="DO124" s="24" t="n"/>
      <c r="DP124" s="24" t="n"/>
      <c r="DQ124" s="24" t="n"/>
    </row>
    <row r="125" ht="36" customHeight="1">
      <c r="A125" s="24" t="inlineStr">
        <is>
          <t>68dae74163704bbd</t>
        </is>
      </c>
      <c r="B125" s="24" t="inlineStr">
        <is>
          <t>2026-09-04T10:04:45.588674Z</t>
        </is>
      </c>
      <c r="C125" s="24" t="inlineStr">
        <is>
          <t>2026-09-04T15:00:00Z</t>
        </is>
      </c>
      <c r="D125" s="24" t="inlineStr">
        <is>
          <t>102169</t>
        </is>
      </c>
      <c r="E125" s="24" t="inlineStr">
        <is>
          <t>VALORANT</t>
        </is>
      </c>
      <c r="F125" s="24" t="inlineStr">
        <is>
          <t>SGE &amp; Friends</t>
        </is>
      </c>
      <c r="G125" s="24" t="inlineStr">
        <is>
          <t>BERG</t>
        </is>
      </c>
      <c r="H125" s="24" t="inlineStr">
        <is>
          <t>moneyline</t>
        </is>
      </c>
      <c r="I125" s="24" t="inlineStr">
        <is>
          <t>home</t>
        </is>
      </c>
      <c r="J125" s="25" t="n"/>
      <c r="K125" s="24" t="inlineStr">
        <is>
          <t>polymarket_us</t>
        </is>
      </c>
      <c r="L125" s="26" t="n">
        <v>223</v>
      </c>
      <c r="M125" s="27" t="n">
        <v>3.23</v>
      </c>
      <c r="N125" s="28" t="n">
        <v>0.309598</v>
      </c>
      <c r="O125" s="28" t="n">
        <v>0.509748</v>
      </c>
      <c r="P125" s="28" t="n"/>
      <c r="Q125" s="28" t="n">
        <v>0.20015</v>
      </c>
      <c r="R125" s="26" t="n">
        <v>100</v>
      </c>
      <c r="S125" s="29" t="n">
        <v>2</v>
      </c>
      <c r="T125" s="24" t="inlineStr">
        <is>
          <t>valorant-tiered-elo-v6</t>
        </is>
      </c>
      <c r="U125" s="24" t="inlineStr">
        <is>
          <t>settled</t>
        </is>
      </c>
      <c r="V125" s="24" t="inlineStr">
        <is>
          <t>win</t>
        </is>
      </c>
      <c r="W125" s="26" t="n">
        <v>0</v>
      </c>
      <c r="X125" s="26" t="n">
        <v>1</v>
      </c>
      <c r="Y125" s="25" t="n"/>
      <c r="Z125" s="26" t="n">
        <v>223</v>
      </c>
      <c r="AA125" s="28" t="n">
        <v>0.31</v>
      </c>
      <c r="AB125" s="28" t="n">
        <v>0.000402</v>
      </c>
      <c r="AC125" s="30" t="n">
        <v>4.46</v>
      </c>
      <c r="AD125" s="24" t="inlineStr">
        <is>
          <t>2026-09-04T22:01:26.937878Z</t>
        </is>
      </c>
      <c r="AE125" s="31" t="inlineStr">
        <is>
          <t>Neutral Elo baseline; executable ask 0.3100 (market_slug=aec-valorant-berg-sfg-2026-09-04).</t>
        </is>
      </c>
      <c r="AF125" s="31" t="inlineStr">
        <is>
          <t>Config-promoted esports baseline; gates enforced at log time.</t>
        </is>
      </c>
      <c r="AG125" s="24" t="inlineStr">
        <is>
          <t>not_applicable</t>
        </is>
      </c>
      <c r="AH125" s="24" t="n"/>
      <c r="AI125" s="31" t="n"/>
      <c r="AJ125" s="31" t="n"/>
      <c r="AK125" s="24" t="inlineStr">
        <is>
          <t>paper_call</t>
        </is>
      </c>
      <c r="AL125" s="26" t="n">
        <v>4</v>
      </c>
      <c r="AM125" s="24" t="inlineStr">
        <is>
          <t>RESEARCH_OBSERVATION</t>
        </is>
      </c>
      <c r="AN125" s="24" t="inlineStr">
        <is>
          <t>CALL</t>
        </is>
      </c>
      <c r="AO125" s="24" t="inlineStr">
        <is>
          <t>PAPER_CALL_MODEL_UNVALIDATED</t>
        </is>
      </c>
      <c r="AP125" s="24" t="inlineStr">
        <is>
          <t>SGE &amp; Friends</t>
        </is>
      </c>
      <c r="AQ125" s="24" t="inlineStr">
        <is>
          <t>SGE &amp; Friends</t>
        </is>
      </c>
      <c r="AR125" s="24" t="inlineStr">
        <is>
          <t>SGE &amp; Friends</t>
        </is>
      </c>
      <c r="AS125" s="24" t="inlineStr">
        <is>
          <t>BERG</t>
        </is>
      </c>
      <c r="AT125" s="24" t="inlineStr">
        <is>
          <t>BERG</t>
        </is>
      </c>
      <c r="AU125" s="24" t="inlineStr">
        <is>
          <t>BERG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shadow_qualified</t>
        </is>
      </c>
      <c r="BA125" s="24" t="inlineStr">
        <is>
          <t>2c3dc071196e7692c5695be08ee680a151796e58bd600c88cb3a63f2611bc666</t>
        </is>
      </c>
      <c r="BB125" s="24" t="inlineStr">
        <is>
          <t>neutral_elo</t>
        </is>
      </c>
      <c r="BC125" s="24" t="inlineStr">
        <is>
          <t>valorant-tiered-elo-v6</t>
        </is>
      </c>
      <c r="BD125" s="24" t="inlineStr">
        <is>
          <t>2c3dc071196e7692c5695be08ee680a151796e58bd600c88cb3a63f2611bc666</t>
        </is>
      </c>
      <c r="BE125" s="24" t="inlineStr">
        <is>
          <t>1</t>
        </is>
      </c>
      <c r="BF125" s="24" t="inlineStr">
        <is>
          <t>1</t>
        </is>
      </c>
      <c r="BG125" s="24" t="inlineStr">
        <is>
          <t>valorant-tiered-elo-v6</t>
        </is>
      </c>
      <c r="BH125" s="24" t="inlineStr">
        <is>
          <t>2026-09-04T10:04:44.862073Z</t>
        </is>
      </c>
      <c r="BI125" s="24" t="inlineStr">
        <is>
          <t>["same_event","same_team_same_day","same_league_same_day"]</t>
        </is>
      </c>
      <c r="BJ125" s="25" t="n"/>
      <c r="BK125" s="26" t="n">
        <v>223</v>
      </c>
      <c r="BL125" s="27" t="n">
        <v>3.23</v>
      </c>
      <c r="BM125" s="28" t="n">
        <v>0.309598</v>
      </c>
      <c r="BN125" s="28" t="n"/>
      <c r="BO125" s="28" t="n"/>
      <c r="BP125" s="25" t="n"/>
      <c r="BQ125" s="27" t="n">
        <v>3.23</v>
      </c>
      <c r="BR125" s="28" t="n">
        <v>0.31</v>
      </c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inlineStr">
        <is>
          <t>True</t>
        </is>
      </c>
      <c r="CT125" s="24" t="n"/>
      <c r="CU125" s="24" t="n"/>
      <c r="CV125" s="24" t="n"/>
      <c r="CW125" s="24" t="n"/>
      <c r="CX125" s="24" t="n"/>
      <c r="CY125" s="24" t="n"/>
      <c r="CZ125" s="24" t="n"/>
      <c r="DA125" s="24" t="n"/>
      <c r="DB125" s="24" t="n"/>
      <c r="DC125" s="24" t="n"/>
      <c r="DD125" s="24" t="n"/>
      <c r="DE125" s="24" t="n"/>
      <c r="DF125" s="24" t="n"/>
      <c r="DG125" s="24" t="n"/>
      <c r="DH125" s="24" t="n"/>
      <c r="DI125" s="24" t="n"/>
      <c r="DJ125" s="24" t="inlineStr">
        <is>
          <t>0.309598</t>
        </is>
      </c>
      <c r="DK125" s="24" t="n"/>
      <c r="DL125" s="24" t="n"/>
      <c r="DM125" s="24" t="n"/>
      <c r="DN125" s="24" t="n"/>
      <c r="DO125" s="24" t="n"/>
      <c r="DP125" s="24" t="n"/>
      <c r="DQ125" s="24" t="n"/>
    </row>
    <row r="126" ht="36" customHeight="1">
      <c r="A126" s="24" t="inlineStr">
        <is>
          <t>ef75809e217f44c7</t>
        </is>
      </c>
      <c r="B126" s="24" t="inlineStr">
        <is>
          <t>2026-09-04T10:04:45.588674Z</t>
        </is>
      </c>
      <c r="C126" s="24" t="inlineStr">
        <is>
          <t>2026-09-04T15:00:00Z</t>
        </is>
      </c>
      <c r="D126" s="24" t="inlineStr">
        <is>
          <t>102091</t>
        </is>
      </c>
      <c r="E126" s="24" t="inlineStr">
        <is>
          <t>VALORANT</t>
        </is>
      </c>
      <c r="F126" s="24" t="inlineStr">
        <is>
          <t>ALTERNATE aTTaX</t>
        </is>
      </c>
      <c r="G126" s="24" t="inlineStr">
        <is>
          <t>HooK Esport</t>
        </is>
      </c>
      <c r="H126" s="24" t="inlineStr">
        <is>
          <t>moneyline</t>
        </is>
      </c>
      <c r="I126" s="24" t="inlineStr">
        <is>
          <t>home</t>
        </is>
      </c>
      <c r="J126" s="25" t="n"/>
      <c r="K126" s="24" t="inlineStr">
        <is>
          <t>polymarket_us</t>
        </is>
      </c>
      <c r="L126" s="26" t="n">
        <v>212</v>
      </c>
      <c r="M126" s="27" t="n">
        <v>3.12</v>
      </c>
      <c r="N126" s="28" t="n">
        <v>0.320513</v>
      </c>
      <c r="O126" s="28" t="n">
        <v>0.530815</v>
      </c>
      <c r="P126" s="28" t="n"/>
      <c r="Q126" s="28" t="n">
        <v>0.210302</v>
      </c>
      <c r="R126" s="26" t="n">
        <v>100</v>
      </c>
      <c r="S126" s="29" t="n">
        <v>2</v>
      </c>
      <c r="T126" s="24" t="inlineStr">
        <is>
          <t>valorant-tiered-elo-v6</t>
        </is>
      </c>
      <c r="U126" s="24" t="inlineStr">
        <is>
          <t>settled</t>
        </is>
      </c>
      <c r="V126" s="24" t="inlineStr">
        <is>
          <t>win</t>
        </is>
      </c>
      <c r="W126" s="26" t="n">
        <v>0</v>
      </c>
      <c r="X126" s="26" t="n">
        <v>1</v>
      </c>
      <c r="Y126" s="25" t="n"/>
      <c r="Z126" s="26" t="n">
        <v>212</v>
      </c>
      <c r="AA126" s="28" t="n">
        <v>0.32</v>
      </c>
      <c r="AB126" s="28" t="n">
        <v>-0.000513</v>
      </c>
      <c r="AC126" s="30" t="n">
        <v>4.24</v>
      </c>
      <c r="AD126" s="24" t="inlineStr">
        <is>
          <t>2026-09-04T22:01:27.416378Z</t>
        </is>
      </c>
      <c r="AE126" s="31" t="inlineStr">
        <is>
          <t>Neutral Elo baseline; executable ask 0.3200 (market_slug=aec-valorant-hk-attax-2026-09-04).</t>
        </is>
      </c>
      <c r="AF126" s="31" t="inlineStr">
        <is>
          <t>Config-promoted esports baseline; gates enforced at log time.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model_qualified</t>
        </is>
      </c>
      <c r="AL126" s="26" t="n">
        <v>4</v>
      </c>
      <c r="AM126" s="24" t="inlineStr">
        <is>
          <t>QUALIFIED_SHADOW_CALL</t>
        </is>
      </c>
      <c r="AN126" s="24" t="inlineStr">
        <is>
          <t>CALL</t>
        </is>
      </c>
      <c r="AO126" s="24" t="inlineStr">
        <is>
          <t>QUALIFIED</t>
        </is>
      </c>
      <c r="AP126" s="24" t="inlineStr">
        <is>
          <t>ALTERNATE aTTaX</t>
        </is>
      </c>
      <c r="AQ126" s="24" t="inlineStr">
        <is>
          <t>ALTERNATE aTTaX</t>
        </is>
      </c>
      <c r="AR126" s="24" t="inlineStr">
        <is>
          <t>ALTERNATE aTTaX</t>
        </is>
      </c>
      <c r="AS126" s="24" t="inlineStr">
        <is>
          <t>HooK Esport</t>
        </is>
      </c>
      <c r="AT126" s="24" t="inlineStr">
        <is>
          <t>HooK Esport</t>
        </is>
      </c>
      <c r="AU126" s="24" t="inlineStr">
        <is>
          <t>HooK Esport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shadow_qualified</t>
        </is>
      </c>
      <c r="BA126" s="24" t="inlineStr">
        <is>
          <t>2c3dc071196e7692c5695be08ee680a151796e58bd600c88cb3a63f2611bc666</t>
        </is>
      </c>
      <c r="BB126" s="24" t="inlineStr">
        <is>
          <t>neutral_elo</t>
        </is>
      </c>
      <c r="BC126" s="24" t="inlineStr">
        <is>
          <t>valorant-tiered-elo-v6</t>
        </is>
      </c>
      <c r="BD126" s="24" t="inlineStr">
        <is>
          <t>2c3dc071196e7692c5695be08ee680a151796e58bd600c88cb3a63f2611bc666</t>
        </is>
      </c>
      <c r="BE126" s="24" t="inlineStr">
        <is>
          <t>1</t>
        </is>
      </c>
      <c r="BF126" s="24" t="inlineStr">
        <is>
          <t>1</t>
        </is>
      </c>
      <c r="BG126" s="24" t="inlineStr">
        <is>
          <t>valorant-tiered-elo-v6</t>
        </is>
      </c>
      <c r="BH126" s="24" t="inlineStr">
        <is>
          <t>2026-09-04T10:04:44.996386Z</t>
        </is>
      </c>
      <c r="BI126" s="24" t="inlineStr">
        <is>
          <t>["same_event","same_team_same_day","same_league_same_day"]</t>
        </is>
      </c>
      <c r="BJ126" s="25" t="n"/>
      <c r="BK126" s="26" t="n">
        <v>212</v>
      </c>
      <c r="BL126" s="27" t="n">
        <v>3.12</v>
      </c>
      <c r="BM126" s="28" t="n">
        <v>0.320513</v>
      </c>
      <c r="BN126" s="28" t="n"/>
      <c r="BO126" s="28" t="n"/>
      <c r="BP126" s="25" t="n"/>
      <c r="BQ126" s="27" t="n">
        <v>3.12</v>
      </c>
      <c r="BR126" s="28" t="n">
        <v>0.32</v>
      </c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inlineStr">
        <is>
          <t>True</t>
        </is>
      </c>
      <c r="CT126" s="24" t="n"/>
      <c r="CU126" s="24" t="n"/>
      <c r="CV126" s="24" t="n"/>
      <c r="CW126" s="24" t="n"/>
      <c r="CX126" s="24" t="n"/>
      <c r="CY126" s="24" t="n"/>
      <c r="CZ126" s="24" t="n"/>
      <c r="DA126" s="24" t="n"/>
      <c r="DB126" s="24" t="n"/>
      <c r="DC126" s="24" t="n"/>
      <c r="DD126" s="24" t="n"/>
      <c r="DE126" s="24" t="n"/>
      <c r="DF126" s="24" t="n"/>
      <c r="DG126" s="24" t="n"/>
      <c r="DH126" s="24" t="n"/>
      <c r="DI126" s="24" t="n"/>
      <c r="DJ126" s="24" t="inlineStr">
        <is>
          <t>0.320513</t>
        </is>
      </c>
      <c r="DK126" s="24" t="n"/>
      <c r="DL126" s="24" t="n"/>
      <c r="DM126" s="24" t="n"/>
      <c r="DN126" s="24" t="n"/>
      <c r="DO126" s="24" t="n"/>
      <c r="DP126" s="24" t="n"/>
      <c r="DQ126" s="24" t="n"/>
    </row>
    <row r="127" ht="36" customHeight="1">
      <c r="A127" s="24" t="inlineStr">
        <is>
          <t>cac4885aa2154234</t>
        </is>
      </c>
      <c r="B127" s="24" t="inlineStr">
        <is>
          <t>2026-09-04T16:13:40.340542Z</t>
        </is>
      </c>
      <c r="C127" s="24" t="inlineStr">
        <is>
          <t>2026-09-04T17:00:00Z</t>
        </is>
      </c>
      <c r="D127" s="24" t="inlineStr">
        <is>
          <t>100350</t>
        </is>
      </c>
      <c r="E127" s="24" t="inlineStr">
        <is>
          <t>VALORANT</t>
        </is>
      </c>
      <c r="F127" s="24" t="inlineStr">
        <is>
          <t>100 Thieves</t>
        </is>
      </c>
      <c r="G127" s="24" t="inlineStr">
        <is>
          <t>NRG</t>
        </is>
      </c>
      <c r="H127" s="24" t="inlineStr">
        <is>
          <t>moneyline</t>
        </is>
      </c>
      <c r="I127" s="24" t="inlineStr">
        <is>
          <t>home</t>
        </is>
      </c>
      <c r="J127" s="25" t="n"/>
      <c r="K127" s="24" t="inlineStr">
        <is>
          <t>polymarket_us</t>
        </is>
      </c>
      <c r="L127" s="26" t="n">
        <v>-117</v>
      </c>
      <c r="M127" s="27" t="n">
        <v>1.854701</v>
      </c>
      <c r="N127" s="28" t="n">
        <v>0.539171</v>
      </c>
      <c r="O127" s="28" t="n">
        <v>0.527559</v>
      </c>
      <c r="P127" s="28" t="n"/>
      <c r="Q127" s="28" t="n">
        <v>-0.011612</v>
      </c>
      <c r="R127" s="26" t="n">
        <v>14</v>
      </c>
      <c r="S127" s="29" t="n">
        <v>1</v>
      </c>
      <c r="T127" s="24" t="inlineStr">
        <is>
          <t>valorant-tiered-elo-v6</t>
        </is>
      </c>
      <c r="U127" s="24" t="inlineStr">
        <is>
          <t>settled</t>
        </is>
      </c>
      <c r="V127" s="24" t="inlineStr">
        <is>
          <t>loss</t>
        </is>
      </c>
      <c r="W127" s="26" t="n">
        <v>1</v>
      </c>
      <c r="X127" s="26" t="n">
        <v>0</v>
      </c>
      <c r="Y127" s="25" t="n"/>
      <c r="Z127" s="26" t="n">
        <v>-117</v>
      </c>
      <c r="AA127" s="28" t="n">
        <v>0.54</v>
      </c>
      <c r="AB127" s="28" t="n">
        <v>0.000829</v>
      </c>
      <c r="AC127" s="30" t="n">
        <v>-1</v>
      </c>
      <c r="AD127" s="24" t="inlineStr">
        <is>
          <t>2026-09-04T22:01:27.924709Z</t>
        </is>
      </c>
      <c r="AE127" s="31" t="inlineStr">
        <is>
          <t>Neutral Elo baseline; executable ask 0.5400 (market_slug=aec-valorant-nrg-100t-2026-09-04).</t>
        </is>
      </c>
      <c r="AF127" s="31" t="inlineStr">
        <is>
          <t>Config-promoted esports baseline; gates enforced at log time.</t>
        </is>
      </c>
      <c r="AG127" s="24" t="inlineStr">
        <is>
          <t>review_required</t>
        </is>
      </c>
      <c r="AH127" s="24" t="n"/>
      <c r="AI127" s="31" t="n"/>
      <c r="AJ127" s="31" t="n"/>
      <c r="AK127" s="24" t="inlineStr">
        <is>
          <t>paper_call</t>
        </is>
      </c>
      <c r="AL127" s="26" t="n">
        <v>4</v>
      </c>
      <c r="AM127" s="24" t="inlineStr">
        <is>
          <t>RESEARCH_OBSERVATION</t>
        </is>
      </c>
      <c r="AN127" s="24" t="inlineStr">
        <is>
          <t>CALL</t>
        </is>
      </c>
      <c r="AO127" s="24" t="inlineStr">
        <is>
          <t>PAPER_CALL_LOW_EDGE</t>
        </is>
      </c>
      <c r="AP127" s="24" t="inlineStr">
        <is>
          <t>100 Thieves</t>
        </is>
      </c>
      <c r="AQ127" s="24" t="inlineStr">
        <is>
          <t>100 Thieves</t>
        </is>
      </c>
      <c r="AR127" s="24" t="inlineStr">
        <is>
          <t>100 Thieves</t>
        </is>
      </c>
      <c r="AS127" s="24" t="inlineStr">
        <is>
          <t>NRG</t>
        </is>
      </c>
      <c r="AT127" s="24" t="inlineStr">
        <is>
          <t>NRG</t>
        </is>
      </c>
      <c r="AU127" s="24" t="inlineStr">
        <is>
          <t>NRG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shadow_qualified</t>
        </is>
      </c>
      <c r="BA127" s="24" t="inlineStr">
        <is>
          <t>8a8391bcbbc25dfbaee70d63ec84c32debebf3a33b36e6d19a1d37821783ecd1</t>
        </is>
      </c>
      <c r="BB127" s="24" t="inlineStr">
        <is>
          <t>neutral_elo</t>
        </is>
      </c>
      <c r="BC127" s="24" t="inlineStr">
        <is>
          <t>valorant-tiered-elo-v6</t>
        </is>
      </c>
      <c r="BD127" s="24" t="inlineStr">
        <is>
          <t>8a8391bcbbc25dfbaee70d63ec84c32debebf3a33b36e6d19a1d37821783ecd1</t>
        </is>
      </c>
      <c r="BE127" s="24" t="inlineStr">
        <is>
          <t>1</t>
        </is>
      </c>
      <c r="BF127" s="24" t="inlineStr">
        <is>
          <t>1</t>
        </is>
      </c>
      <c r="BG127" s="24" t="inlineStr">
        <is>
          <t>valorant-tiered-elo-v6</t>
        </is>
      </c>
      <c r="BH127" s="24" t="inlineStr">
        <is>
          <t>2026-09-04T16:13:39.897276Z</t>
        </is>
      </c>
      <c r="BI127" s="24" t="inlineStr">
        <is>
          <t>["same_event","same_team_same_day","same_league_same_day"]</t>
        </is>
      </c>
      <c r="BJ127" s="25" t="n"/>
      <c r="BK127" s="26" t="n">
        <v>-117</v>
      </c>
      <c r="BL127" s="27" t="n">
        <v>1.854701</v>
      </c>
      <c r="BM127" s="28" t="n">
        <v>0.539171</v>
      </c>
      <c r="BN127" s="28" t="n"/>
      <c r="BO127" s="28" t="n"/>
      <c r="BP127" s="25" t="n"/>
      <c r="BQ127" s="27" t="n">
        <v>1.854701</v>
      </c>
      <c r="BR127" s="28" t="n">
        <v>0.54</v>
      </c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inlineStr">
        <is>
          <t>False</t>
        </is>
      </c>
      <c r="CT127" s="24" t="n"/>
      <c r="CU127" s="24" t="n"/>
      <c r="CV127" s="24" t="n"/>
      <c r="CW127" s="24" t="n"/>
      <c r="CX127" s="24" t="n"/>
      <c r="CY127" s="24" t="n"/>
      <c r="CZ127" s="24" t="n"/>
      <c r="DA127" s="24" t="n"/>
      <c r="DB127" s="24" t="n"/>
      <c r="DC127" s="24" t="n"/>
      <c r="DD127" s="24" t="n"/>
      <c r="DE127" s="24" t="n"/>
      <c r="DF127" s="24" t="n"/>
      <c r="DG127" s="24" t="n"/>
      <c r="DH127" s="24" t="n"/>
      <c r="DI127" s="24" t="n"/>
      <c r="DJ127" s="24" t="inlineStr">
        <is>
          <t>0.539171</t>
        </is>
      </c>
      <c r="DK127" s="24" t="n"/>
      <c r="DL127" s="24" t="n"/>
      <c r="DM127" s="24" t="n"/>
      <c r="DN127" s="24" t="n"/>
      <c r="DO127" s="24" t="n"/>
      <c r="DP127" s="24" t="n"/>
      <c r="DQ127" s="24" t="n"/>
    </row>
    <row r="128" ht="36" customHeight="1">
      <c r="A128" s="24" t="inlineStr">
        <is>
          <t>44f5d3434ff044a2</t>
        </is>
      </c>
      <c r="B128" s="24" t="inlineStr">
        <is>
          <t>2026-09-04T16:13:40.340542Z</t>
        </is>
      </c>
      <c r="C128" s="24" t="inlineStr">
        <is>
          <t>2026-09-04T20:00:00Z</t>
        </is>
      </c>
      <c r="D128" s="24" t="inlineStr">
        <is>
          <t>100351</t>
        </is>
      </c>
      <c r="E128" s="24" t="inlineStr">
        <is>
          <t>VALORANT</t>
        </is>
      </c>
      <c r="F128" s="24" t="inlineStr">
        <is>
          <t>LOUD</t>
        </is>
      </c>
      <c r="G128" s="24" t="inlineStr">
        <is>
          <t>G2 Esports</t>
        </is>
      </c>
      <c r="H128" s="24" t="inlineStr">
        <is>
          <t>moneyline</t>
        </is>
      </c>
      <c r="I128" s="24" t="inlineStr">
        <is>
          <t>home</t>
        </is>
      </c>
      <c r="J128" s="25" t="n"/>
      <c r="K128" s="24" t="inlineStr">
        <is>
          <t>polymarket_us</t>
        </is>
      </c>
      <c r="L128" s="26" t="n">
        <v>-156</v>
      </c>
      <c r="M128" s="27" t="n">
        <v>1.641026</v>
      </c>
      <c r="N128" s="28" t="n">
        <v>0.609375</v>
      </c>
      <c r="O128" s="28" t="n">
        <v>0.642665</v>
      </c>
      <c r="P128" s="28" t="n"/>
      <c r="Q128" s="28" t="n">
        <v>0.03329</v>
      </c>
      <c r="R128" s="26" t="n">
        <v>37</v>
      </c>
      <c r="S128" s="29" t="n">
        <v>1</v>
      </c>
      <c r="T128" s="24" t="inlineStr">
        <is>
          <t>valorant-tiered-elo-v6</t>
        </is>
      </c>
      <c r="U128" s="24" t="inlineStr">
        <is>
          <t>settled</t>
        </is>
      </c>
      <c r="V128" s="24" t="inlineStr">
        <is>
          <t>loss</t>
        </is>
      </c>
      <c r="W128" s="26" t="n">
        <v>1</v>
      </c>
      <c r="X128" s="26" t="n">
        <v>0</v>
      </c>
      <c r="Y128" s="25" t="n"/>
      <c r="Z128" s="26" t="n">
        <v>-156</v>
      </c>
      <c r="AA128" s="28" t="n">
        <v>0.61</v>
      </c>
      <c r="AB128" s="28" t="n">
        <v>0.000625</v>
      </c>
      <c r="AC128" s="30" t="n">
        <v>-1</v>
      </c>
      <c r="AD128" s="24" t="inlineStr">
        <is>
          <t>2026-09-04T22:01:28.382409Z</t>
        </is>
      </c>
      <c r="AE128" s="31" t="inlineStr">
        <is>
          <t>Neutral Elo baseline; executable ask 0.6100 (market_slug=aec-valorant-g2-loud-2026-09-04).</t>
        </is>
      </c>
      <c r="AF128" s="31" t="inlineStr">
        <is>
          <t>Config-promoted esports baseline; gates enforced at log time.</t>
        </is>
      </c>
      <c r="AG128" s="24" t="inlineStr">
        <is>
          <t>review_required</t>
        </is>
      </c>
      <c r="AH128" s="24" t="n"/>
      <c r="AI128" s="31" t="n"/>
      <c r="AJ128" s="31" t="n"/>
      <c r="AK128" s="24" t="inlineStr">
        <is>
          <t>model_qualified</t>
        </is>
      </c>
      <c r="AL128" s="26" t="n">
        <v>4</v>
      </c>
      <c r="AM128" s="24" t="inlineStr">
        <is>
          <t>QUALIFIED_SHADOW_CALL</t>
        </is>
      </c>
      <c r="AN128" s="24" t="inlineStr">
        <is>
          <t>CALL</t>
        </is>
      </c>
      <c r="AO128" s="24" t="inlineStr">
        <is>
          <t>QUALIFIED</t>
        </is>
      </c>
      <c r="AP128" s="24" t="inlineStr">
        <is>
          <t>LOUD</t>
        </is>
      </c>
      <c r="AQ128" s="24" t="inlineStr">
        <is>
          <t>LOUD</t>
        </is>
      </c>
      <c r="AR128" s="24" t="inlineStr">
        <is>
          <t>LOUD</t>
        </is>
      </c>
      <c r="AS128" s="24" t="inlineStr">
        <is>
          <t>G2 Esports</t>
        </is>
      </c>
      <c r="AT128" s="24" t="inlineStr">
        <is>
          <t>G2 Esports</t>
        </is>
      </c>
      <c r="AU128" s="24" t="inlineStr">
        <is>
          <t>G2 Esports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shadow_qualified</t>
        </is>
      </c>
      <c r="BA128" s="24" t="inlineStr">
        <is>
          <t>8a8391bcbbc25dfbaee70d63ec84c32debebf3a33b36e6d19a1d37821783ecd1</t>
        </is>
      </c>
      <c r="BB128" s="24" t="inlineStr">
        <is>
          <t>neutral_elo</t>
        </is>
      </c>
      <c r="BC128" s="24" t="inlineStr">
        <is>
          <t>valorant-tiered-elo-v6</t>
        </is>
      </c>
      <c r="BD128" s="24" t="inlineStr">
        <is>
          <t>8a8391bcbbc25dfbaee70d63ec84c32debebf3a33b36e6d19a1d37821783ecd1</t>
        </is>
      </c>
      <c r="BE128" s="24" t="inlineStr">
        <is>
          <t>1</t>
        </is>
      </c>
      <c r="BF128" s="24" t="inlineStr">
        <is>
          <t>1</t>
        </is>
      </c>
      <c r="BG128" s="24" t="inlineStr">
        <is>
          <t>valorant-tiered-elo-v6</t>
        </is>
      </c>
      <c r="BH128" s="24" t="inlineStr">
        <is>
          <t>2026-09-04T16:13:40.099953Z</t>
        </is>
      </c>
      <c r="BI128" s="24" t="inlineStr">
        <is>
          <t>["same_event","same_team_same_day","same_league_same_day"]</t>
        </is>
      </c>
      <c r="BJ128" s="25" t="n"/>
      <c r="BK128" s="26" t="n">
        <v>-156</v>
      </c>
      <c r="BL128" s="27" t="n">
        <v>1.641026</v>
      </c>
      <c r="BM128" s="28" t="n">
        <v>0.609375</v>
      </c>
      <c r="BN128" s="28" t="n"/>
      <c r="BO128" s="28" t="n"/>
      <c r="BP128" s="25" t="n"/>
      <c r="BQ128" s="27" t="n">
        <v>1.641026</v>
      </c>
      <c r="BR128" s="28" t="n">
        <v>0.61</v>
      </c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inlineStr">
        <is>
          <t>True</t>
        </is>
      </c>
      <c r="CT128" s="24" t="n"/>
      <c r="CU128" s="24" t="n"/>
      <c r="CV128" s="24" t="n"/>
      <c r="CW128" s="24" t="n"/>
      <c r="CX128" s="24" t="n"/>
      <c r="CY128" s="24" t="n"/>
      <c r="CZ128" s="24" t="n"/>
      <c r="DA128" s="24" t="n"/>
      <c r="DB128" s="24" t="n"/>
      <c r="DC128" s="24" t="n"/>
      <c r="DD128" s="24" t="n"/>
      <c r="DE128" s="24" t="n"/>
      <c r="DF128" s="24" t="n"/>
      <c r="DG128" s="24" t="n"/>
      <c r="DH128" s="24" t="n"/>
      <c r="DI128" s="24" t="n"/>
      <c r="DJ128" s="24" t="inlineStr">
        <is>
          <t>0.609375</t>
        </is>
      </c>
      <c r="DK128" s="24" t="n"/>
      <c r="DL128" s="24" t="n"/>
      <c r="DM128" s="24" t="n"/>
      <c r="DN128" s="24" t="n"/>
      <c r="DO128" s="24" t="n"/>
      <c r="DP128" s="24" t="n"/>
      <c r="DQ128" s="24" t="n"/>
    </row>
    <row r="129" ht="36" customHeight="1">
      <c r="A129" s="24" t="inlineStr">
        <is>
          <t>febc0bf9c60a44b0</t>
        </is>
      </c>
      <c r="B129" s="24" t="inlineStr">
        <is>
          <t>2026-09-05T04:44:16.551004Z</t>
        </is>
      </c>
      <c r="C129" s="24" t="inlineStr">
        <is>
          <t>2026-09-05T08:00:00Z</t>
        </is>
      </c>
      <c r="D129" s="24" t="inlineStr">
        <is>
          <t>102385</t>
        </is>
      </c>
      <c r="E129" s="24" t="inlineStr">
        <is>
          <t>VALORANT</t>
        </is>
      </c>
      <c r="F129" s="24" t="inlineStr">
        <is>
          <t>T1</t>
        </is>
      </c>
      <c r="G129" s="24" t="inlineStr">
        <is>
          <t>Global Esports</t>
        </is>
      </c>
      <c r="H129" s="24" t="inlineStr">
        <is>
          <t>moneyline</t>
        </is>
      </c>
      <c r="I129" s="24" t="inlineStr">
        <is>
          <t>away</t>
        </is>
      </c>
      <c r="J129" s="25" t="n"/>
      <c r="K129" s="24" t="inlineStr">
        <is>
          <t>polymarket_us</t>
        </is>
      </c>
      <c r="L129" s="26" t="n">
        <v>-163</v>
      </c>
      <c r="M129" s="27" t="n">
        <v>1.613497</v>
      </c>
      <c r="N129" s="28" t="n">
        <v>0.619772</v>
      </c>
      <c r="O129" s="28" t="n">
        <v>0.592992</v>
      </c>
      <c r="P129" s="28" t="n"/>
      <c r="Q129" s="28" t="n">
        <v>-0.02678</v>
      </c>
      <c r="R129" s="26" t="n">
        <v>7</v>
      </c>
      <c r="S129" s="29" t="n">
        <v>1</v>
      </c>
      <c r="T129" s="24" t="inlineStr">
        <is>
          <t>valorant-tiered-elo-v6</t>
        </is>
      </c>
      <c r="U129" s="24" t="inlineStr">
        <is>
          <t>settled</t>
        </is>
      </c>
      <c r="V129" s="24" t="inlineStr">
        <is>
          <t>loss</t>
        </is>
      </c>
      <c r="W129" s="26" t="n">
        <v>0</v>
      </c>
      <c r="X129" s="26" t="n">
        <v>1</v>
      </c>
      <c r="Y129" s="25" t="n"/>
      <c r="Z129" s="26" t="n">
        <v>-163</v>
      </c>
      <c r="AA129" s="28" t="n">
        <v>0.62</v>
      </c>
      <c r="AB129" s="28" t="n">
        <v>0.000228</v>
      </c>
      <c r="AC129" s="30" t="n">
        <v>-1</v>
      </c>
      <c r="AD129" s="24" t="inlineStr">
        <is>
          <t>2026-09-05T16:01:22.594771Z</t>
        </is>
      </c>
      <c r="AE129" s="31" t="inlineStr">
        <is>
          <t>Neutral Elo baseline; executable ask 0.6200 (market_slug=aec-valorant-ge-t1-2026-09-05).</t>
        </is>
      </c>
      <c r="AF129" s="31" t="inlineStr">
        <is>
          <t>Config-promoted esports baseline; gates enforced at log time.</t>
        </is>
      </c>
      <c r="AG129" s="24" t="inlineStr">
        <is>
          <t>review_required</t>
        </is>
      </c>
      <c r="AH129" s="24" t="n"/>
      <c r="AI129" s="31" t="n"/>
      <c r="AJ129" s="31" t="n"/>
      <c r="AK129" s="24" t="inlineStr">
        <is>
          <t>paper_call</t>
        </is>
      </c>
      <c r="AL129" s="26" t="n">
        <v>4</v>
      </c>
      <c r="AM129" s="24" t="inlineStr">
        <is>
          <t>RESEARCH_OBSERVATION</t>
        </is>
      </c>
      <c r="AN129" s="24" t="inlineStr">
        <is>
          <t>CALL</t>
        </is>
      </c>
      <c r="AO129" s="24" t="inlineStr">
        <is>
          <t>PAPER_CALL_LOW_EDGE</t>
        </is>
      </c>
      <c r="AP129" s="24" t="inlineStr">
        <is>
          <t>T1</t>
        </is>
      </c>
      <c r="AQ129" s="24" t="inlineStr">
        <is>
          <t>T1</t>
        </is>
      </c>
      <c r="AR129" s="24" t="inlineStr">
        <is>
          <t>T1</t>
        </is>
      </c>
      <c r="AS129" s="24" t="inlineStr">
        <is>
          <t>Global Esports</t>
        </is>
      </c>
      <c r="AT129" s="24" t="inlineStr">
        <is>
          <t>Global Esports</t>
        </is>
      </c>
      <c r="AU129" s="24" t="inlineStr">
        <is>
          <t>Global Esports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1f3c410bb61680adf350af62aba9f107a8af831cdcaafa9ef7a529c027dea105</t>
        </is>
      </c>
      <c r="BB129" s="24" t="inlineStr">
        <is>
          <t>neutral_elo</t>
        </is>
      </c>
      <c r="BC129" s="24" t="inlineStr">
        <is>
          <t>valorant-tiered-elo-v6</t>
        </is>
      </c>
      <c r="BD129" s="24" t="inlineStr">
        <is>
          <t>1f3c410bb61680adf350af62aba9f107a8af831cdcaafa9ef7a529c027dea105</t>
        </is>
      </c>
      <c r="BE129" s="24" t="inlineStr">
        <is>
          <t>1</t>
        </is>
      </c>
      <c r="BF129" s="24" t="inlineStr">
        <is>
          <t>1</t>
        </is>
      </c>
      <c r="BG129" s="24" t="inlineStr">
        <is>
          <t>valorant-tiered-elo-v6</t>
        </is>
      </c>
      <c r="BH129" s="24" t="inlineStr">
        <is>
          <t>2026-09-05T04:44:15.917567Z</t>
        </is>
      </c>
      <c r="BI129" s="24" t="inlineStr">
        <is>
          <t>["same_event","same_team_same_day","same_league_same_day"]</t>
        </is>
      </c>
      <c r="BJ129" s="25" t="n"/>
      <c r="BK129" s="26" t="n">
        <v>-163</v>
      </c>
      <c r="BL129" s="27" t="n">
        <v>1.613497</v>
      </c>
      <c r="BM129" s="28" t="n">
        <v>0.619772</v>
      </c>
      <c r="BN129" s="28" t="n"/>
      <c r="BO129" s="28" t="n"/>
      <c r="BP129" s="25" t="n"/>
      <c r="BQ129" s="27" t="n">
        <v>1.613497</v>
      </c>
      <c r="BR129" s="28" t="n">
        <v>0.62</v>
      </c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  <c r="CR129" s="24" t="n"/>
      <c r="CS129" s="24" t="inlineStr">
        <is>
          <t>False</t>
        </is>
      </c>
      <c r="CT129" s="24" t="n"/>
      <c r="CU129" s="24" t="n"/>
      <c r="CV129" s="24" t="n"/>
      <c r="CW129" s="24" t="n"/>
      <c r="CX129" s="24" t="n"/>
      <c r="CY129" s="24" t="n"/>
      <c r="CZ129" s="24" t="n"/>
      <c r="DA129" s="24" t="n"/>
      <c r="DB129" s="24" t="n"/>
      <c r="DC129" s="24" t="n"/>
      <c r="DD129" s="24" t="n"/>
      <c r="DE129" s="24" t="n"/>
      <c r="DF129" s="24" t="n"/>
      <c r="DG129" s="24" t="n"/>
      <c r="DH129" s="24" t="n"/>
      <c r="DI129" s="24" t="n"/>
      <c r="DJ129" s="24" t="inlineStr">
        <is>
          <t>0.619772</t>
        </is>
      </c>
      <c r="DK129" s="24" t="n"/>
      <c r="DL129" s="24" t="n"/>
      <c r="DM129" s="24" t="n"/>
      <c r="DN129" s="24" t="n"/>
      <c r="DO129" s="24" t="n"/>
      <c r="DP129" s="24" t="n"/>
      <c r="DQ129" s="24" t="n"/>
    </row>
    <row r="130" ht="36" customHeight="1">
      <c r="A130" s="24" t="inlineStr">
        <is>
          <t>0e6f3dcc41504a7c</t>
        </is>
      </c>
      <c r="B130" s="24" t="inlineStr">
        <is>
          <t>2026-09-05T04:44:16.551004Z</t>
        </is>
      </c>
      <c r="C130" s="24" t="inlineStr">
        <is>
          <t>2026-09-05T09:00:00Z</t>
        </is>
      </c>
      <c r="D130" s="24" t="inlineStr">
        <is>
          <t>100352</t>
        </is>
      </c>
      <c r="E130" s="24" t="inlineStr">
        <is>
          <t>VALORANT</t>
        </is>
      </c>
      <c r="F130" s="24" t="inlineStr">
        <is>
          <t>EDward Gaming</t>
        </is>
      </c>
      <c r="G130" s="24" t="inlineStr">
        <is>
          <t>Nova Esports</t>
        </is>
      </c>
      <c r="H130" s="24" t="inlineStr">
        <is>
          <t>moneyline</t>
        </is>
      </c>
      <c r="I130" s="24" t="inlineStr">
        <is>
          <t>home</t>
        </is>
      </c>
      <c r="J130" s="25" t="n"/>
      <c r="K130" s="24" t="inlineStr">
        <is>
          <t>polymarket_us</t>
        </is>
      </c>
      <c r="L130" s="26" t="n">
        <v>-127</v>
      </c>
      <c r="M130" s="27" t="n">
        <v>1.787402</v>
      </c>
      <c r="N130" s="28" t="n">
        <v>0.5594710000000001</v>
      </c>
      <c r="O130" s="28" t="n">
        <v>0.617429</v>
      </c>
      <c r="P130" s="28" t="n"/>
      <c r="Q130" s="28" t="n">
        <v>0.057958</v>
      </c>
      <c r="R130" s="26" t="n">
        <v>49</v>
      </c>
      <c r="S130" s="29" t="n">
        <v>1</v>
      </c>
      <c r="T130" s="24" t="inlineStr">
        <is>
          <t>valorant-tiered-elo-v6</t>
        </is>
      </c>
      <c r="U130" s="24" t="inlineStr">
        <is>
          <t>settled</t>
        </is>
      </c>
      <c r="V130" s="24" t="inlineStr">
        <is>
          <t>win</t>
        </is>
      </c>
      <c r="W130" s="26" t="n">
        <v>0</v>
      </c>
      <c r="X130" s="26" t="n">
        <v>1</v>
      </c>
      <c r="Y130" s="25" t="n"/>
      <c r="Z130" s="26" t="n">
        <v>-127</v>
      </c>
      <c r="AA130" s="28" t="n">
        <v>0.5600000000000001</v>
      </c>
      <c r="AB130" s="28" t="n">
        <v>0.000529</v>
      </c>
      <c r="AC130" s="30" t="n">
        <v>0.7874</v>
      </c>
      <c r="AD130" s="24" t="inlineStr">
        <is>
          <t>2026-09-05T16:01:23.047364Z</t>
        </is>
      </c>
      <c r="AE130" s="31" t="inlineStr">
        <is>
          <t>Neutral Elo baseline; executable ask 0.5600 (market_slug=aec-valorant-nova-edg-2026-09-05).</t>
        </is>
      </c>
      <c r="AF130" s="31" t="inlineStr">
        <is>
          <t>Config-promoted esports baseline; gates enforced at log time.</t>
        </is>
      </c>
      <c r="AG130" s="24" t="inlineStr">
        <is>
          <t>not_applicable</t>
        </is>
      </c>
      <c r="AH130" s="24" t="n"/>
      <c r="AI130" s="31" t="n"/>
      <c r="AJ130" s="31" t="n"/>
      <c r="AK130" s="24" t="inlineStr">
        <is>
          <t>model_qualified</t>
        </is>
      </c>
      <c r="AL130" s="26" t="n">
        <v>4</v>
      </c>
      <c r="AM130" s="24" t="inlineStr">
        <is>
          <t>QUALIFIED_SHADOW_CALL</t>
        </is>
      </c>
      <c r="AN130" s="24" t="inlineStr">
        <is>
          <t>CALL</t>
        </is>
      </c>
      <c r="AO130" s="24" t="inlineStr">
        <is>
          <t>QUALIFIED</t>
        </is>
      </c>
      <c r="AP130" s="24" t="inlineStr">
        <is>
          <t>EDward Gaming</t>
        </is>
      </c>
      <c r="AQ130" s="24" t="inlineStr">
        <is>
          <t>EDward Gaming</t>
        </is>
      </c>
      <c r="AR130" s="24" t="inlineStr">
        <is>
          <t>EDward Gaming</t>
        </is>
      </c>
      <c r="AS130" s="24" t="inlineStr">
        <is>
          <t>Nova Esports</t>
        </is>
      </c>
      <c r="AT130" s="24" t="inlineStr">
        <is>
          <t>Nova Esports</t>
        </is>
      </c>
      <c r="AU130" s="24" t="inlineStr">
        <is>
          <t>Nova Esports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shadow_qualified</t>
        </is>
      </c>
      <c r="BA130" s="24" t="inlineStr">
        <is>
          <t>1f3c410bb61680adf350af62aba9f107a8af831cdcaafa9ef7a529c027dea105</t>
        </is>
      </c>
      <c r="BB130" s="24" t="inlineStr">
        <is>
          <t>neutral_elo</t>
        </is>
      </c>
      <c r="BC130" s="24" t="inlineStr">
        <is>
          <t>valorant-tiered-elo-v6</t>
        </is>
      </c>
      <c r="BD130" s="24" t="inlineStr">
        <is>
          <t>1f3c410bb61680adf350af62aba9f107a8af831cdcaafa9ef7a529c027dea105</t>
        </is>
      </c>
      <c r="BE130" s="24" t="inlineStr">
        <is>
          <t>1</t>
        </is>
      </c>
      <c r="BF130" s="24" t="inlineStr">
        <is>
          <t>1</t>
        </is>
      </c>
      <c r="BG130" s="24" t="inlineStr">
        <is>
          <t>valorant-tiered-elo-v6</t>
        </is>
      </c>
      <c r="BH130" s="24" t="inlineStr">
        <is>
          <t>2026-09-05T04:44:15.990434Z</t>
        </is>
      </c>
      <c r="BI130" s="24" t="inlineStr">
        <is>
          <t>["same_event","same_team_same_day","same_league_same_day"]</t>
        </is>
      </c>
      <c r="BJ130" s="25" t="n"/>
      <c r="BK130" s="26" t="n">
        <v>-127</v>
      </c>
      <c r="BL130" s="27" t="n">
        <v>1.787402</v>
      </c>
      <c r="BM130" s="28" t="n">
        <v>0.5594710000000001</v>
      </c>
      <c r="BN130" s="28" t="n"/>
      <c r="BO130" s="28" t="n"/>
      <c r="BP130" s="25" t="n"/>
      <c r="BQ130" s="27" t="n">
        <v>1.787402</v>
      </c>
      <c r="BR130" s="28" t="n">
        <v>0.5600000000000001</v>
      </c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inlineStr">
        <is>
          <t>True</t>
        </is>
      </c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/>
      <c r="DH130" s="24" t="n"/>
      <c r="DI130" s="24" t="n"/>
      <c r="DJ130" s="24" t="inlineStr">
        <is>
          <t>0.559471</t>
        </is>
      </c>
      <c r="DK130" s="24" t="n"/>
      <c r="DL130" s="24" t="n"/>
      <c r="DM130" s="24" t="n"/>
      <c r="DN130" s="24" t="n"/>
      <c r="DO130" s="24" t="n"/>
      <c r="DP130" s="24" t="n"/>
      <c r="DQ130" s="24" t="n"/>
    </row>
    <row r="131" ht="36" customHeight="1">
      <c r="A131" s="24" t="inlineStr">
        <is>
          <t>044ce8e74f0146ae</t>
        </is>
      </c>
      <c r="B131" s="24" t="inlineStr">
        <is>
          <t>2026-09-05T10:06:00.859126Z</t>
        </is>
      </c>
      <c r="C131" s="24" t="inlineStr">
        <is>
          <t>2026-09-05T11:00:00Z</t>
        </is>
      </c>
      <c r="D131" s="24" t="inlineStr">
        <is>
          <t>100353</t>
        </is>
      </c>
      <c r="E131" s="24" t="inlineStr">
        <is>
          <t>VALORANT</t>
        </is>
      </c>
      <c r="F131" s="24" t="inlineStr">
        <is>
          <t>A Team</t>
        </is>
      </c>
      <c r="G131" s="24" t="inlineStr">
        <is>
          <t>FunPlus Phoenix</t>
        </is>
      </c>
      <c r="H131" s="24" t="inlineStr">
        <is>
          <t>moneyline</t>
        </is>
      </c>
      <c r="I131" s="24" t="inlineStr">
        <is>
          <t>home</t>
        </is>
      </c>
      <c r="J131" s="25" t="n"/>
      <c r="K131" s="24" t="inlineStr">
        <is>
          <t>polymarket_us</t>
        </is>
      </c>
      <c r="L131" s="26" t="n">
        <v>-233</v>
      </c>
      <c r="M131" s="27" t="n">
        <v>1.429185</v>
      </c>
      <c r="N131" s="28" t="n">
        <v>0.6997</v>
      </c>
      <c r="O131" s="28" t="n">
        <v>0.542054</v>
      </c>
      <c r="P131" s="28" t="n"/>
      <c r="Q131" s="28" t="n">
        <v>-0.157646</v>
      </c>
      <c r="R131" s="26" t="n">
        <v>0</v>
      </c>
      <c r="S131" s="29" t="n">
        <v>1</v>
      </c>
      <c r="T131" s="24" t="inlineStr">
        <is>
          <t>valorant-tiered-elo-v6</t>
        </is>
      </c>
      <c r="U131" s="24" t="inlineStr">
        <is>
          <t>settled</t>
        </is>
      </c>
      <c r="V131" s="24" t="inlineStr">
        <is>
          <t>win</t>
        </is>
      </c>
      <c r="W131" s="26" t="n">
        <v>0</v>
      </c>
      <c r="X131" s="26" t="n">
        <v>1</v>
      </c>
      <c r="Y131" s="25" t="n"/>
      <c r="Z131" s="26" t="n">
        <v>-233</v>
      </c>
      <c r="AA131" s="28" t="n">
        <v>0.7</v>
      </c>
      <c r="AB131" s="28" t="n">
        <v>0.0003</v>
      </c>
      <c r="AC131" s="30" t="n">
        <v>0.4292</v>
      </c>
      <c r="AD131" s="24" t="inlineStr">
        <is>
          <t>2026-09-05T16:01:23.533212Z</t>
        </is>
      </c>
      <c r="AE131" s="31" t="inlineStr">
        <is>
          <t>Neutral Elo baseline; executable ask 0.7000 (market_slug=aec-valorant-fpx-at-2026-09-05).</t>
        </is>
      </c>
      <c r="AF131" s="31" t="inlineStr">
        <is>
          <t>Config-promoted esports baseline; gates enforced at log time.</t>
        </is>
      </c>
      <c r="AG131" s="24" t="inlineStr">
        <is>
          <t>not_applicable</t>
        </is>
      </c>
      <c r="AH131" s="24" t="n"/>
      <c r="AI131" s="31" t="n"/>
      <c r="AJ131" s="31" t="n"/>
      <c r="AK131" s="24" t="inlineStr">
        <is>
          <t>paper_call</t>
        </is>
      </c>
      <c r="AL131" s="26" t="n">
        <v>4</v>
      </c>
      <c r="AM131" s="24" t="inlineStr">
        <is>
          <t>RESEARCH_OBSERVATION</t>
        </is>
      </c>
      <c r="AN131" s="24" t="inlineStr">
        <is>
          <t>CALL</t>
        </is>
      </c>
      <c r="AO131" s="24" t="inlineStr">
        <is>
          <t>PAPER_CALL_LOW_EDGE</t>
        </is>
      </c>
      <c r="AP131" s="24" t="inlineStr">
        <is>
          <t>A Team</t>
        </is>
      </c>
      <c r="AQ131" s="24" t="inlineStr">
        <is>
          <t>A Team</t>
        </is>
      </c>
      <c r="AR131" s="24" t="inlineStr">
        <is>
          <t>A Team</t>
        </is>
      </c>
      <c r="AS131" s="24" t="inlineStr">
        <is>
          <t>FunPlus Phoenix</t>
        </is>
      </c>
      <c r="AT131" s="24" t="inlineStr">
        <is>
          <t>FunPlus Phoenix</t>
        </is>
      </c>
      <c r="AU131" s="24" t="inlineStr">
        <is>
          <t>FunPlus Phoenix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shadow_qualified</t>
        </is>
      </c>
      <c r="BA131" s="24" t="inlineStr">
        <is>
          <t>6da7caf3d0c9e8f9d4050063024b39d6687904d91b0d340696b24514592b29a1</t>
        </is>
      </c>
      <c r="BB131" s="24" t="inlineStr">
        <is>
          <t>neutral_elo</t>
        </is>
      </c>
      <c r="BC131" s="24" t="inlineStr">
        <is>
          <t>valorant-tiered-elo-v6</t>
        </is>
      </c>
      <c r="BD131" s="24" t="inlineStr">
        <is>
          <t>6da7caf3d0c9e8f9d4050063024b39d6687904d91b0d340696b24514592b29a1</t>
        </is>
      </c>
      <c r="BE131" s="24" t="inlineStr">
        <is>
          <t>1</t>
        </is>
      </c>
      <c r="BF131" s="24" t="inlineStr">
        <is>
          <t>1</t>
        </is>
      </c>
      <c r="BG131" s="24" t="inlineStr">
        <is>
          <t>valorant-tiered-elo-v6</t>
        </is>
      </c>
      <c r="BH131" s="24" t="inlineStr">
        <is>
          <t>2026-09-05T10:06:00.508840Z</t>
        </is>
      </c>
      <c r="BI131" s="24" t="inlineStr">
        <is>
          <t>["same_event","same_team_same_day","same_league_same_day"]</t>
        </is>
      </c>
      <c r="BJ131" s="25" t="n"/>
      <c r="BK131" s="26" t="n">
        <v>-233</v>
      </c>
      <c r="BL131" s="27" t="n">
        <v>1.429185</v>
      </c>
      <c r="BM131" s="28" t="n">
        <v>0.6997</v>
      </c>
      <c r="BN131" s="28" t="n"/>
      <c r="BO131" s="28" t="n"/>
      <c r="BP131" s="25" t="n"/>
      <c r="BQ131" s="27" t="n">
        <v>1.429185</v>
      </c>
      <c r="BR131" s="28" t="n">
        <v>0.7</v>
      </c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  <c r="CS131" s="24" t="inlineStr">
        <is>
          <t>False</t>
        </is>
      </c>
      <c r="CT131" s="24" t="n"/>
      <c r="CU131" s="24" t="n"/>
      <c r="CV131" s="24" t="n"/>
      <c r="CW131" s="24" t="n"/>
      <c r="CX131" s="24" t="n"/>
      <c r="CY131" s="24" t="n"/>
      <c r="CZ131" s="24" t="n"/>
      <c r="DA131" s="24" t="n"/>
      <c r="DB131" s="24" t="n"/>
      <c r="DC131" s="24" t="n"/>
      <c r="DD131" s="24" t="n"/>
      <c r="DE131" s="24" t="n"/>
      <c r="DF131" s="24" t="n"/>
      <c r="DG131" s="24" t="n"/>
      <c r="DH131" s="24" t="n"/>
      <c r="DI131" s="24" t="n"/>
      <c r="DJ131" s="24" t="inlineStr">
        <is>
          <t>0.6997</t>
        </is>
      </c>
      <c r="DK131" s="24" t="n"/>
      <c r="DL131" s="24" t="n"/>
      <c r="DM131" s="24" t="n"/>
      <c r="DN131" s="24" t="n"/>
      <c r="DO131" s="24" t="n"/>
      <c r="DP131" s="24" t="n"/>
      <c r="DQ131" s="24" t="n"/>
    </row>
    <row r="132" ht="36" customHeight="1">
      <c r="A132" s="24" t="inlineStr">
        <is>
          <t>60cefbd893664e06</t>
        </is>
      </c>
      <c r="B132" s="24" t="inlineStr">
        <is>
          <t>2026-09-05T10:06:00.859126Z</t>
        </is>
      </c>
      <c r="C132" s="24" t="inlineStr">
        <is>
          <t>2026-09-05T15:00:00Z</t>
        </is>
      </c>
      <c r="D132" s="24" t="inlineStr">
        <is>
          <t>102484</t>
        </is>
      </c>
      <c r="E132" s="24" t="inlineStr">
        <is>
          <t>VALORANT</t>
        </is>
      </c>
      <c r="F132" s="24" t="inlineStr">
        <is>
          <t>Glacial Guardians</t>
        </is>
      </c>
      <c r="G132" s="24" t="inlineStr">
        <is>
          <t>BERG</t>
        </is>
      </c>
      <c r="H132" s="24" t="inlineStr">
        <is>
          <t>moneyline</t>
        </is>
      </c>
      <c r="I132" s="24" t="inlineStr">
        <is>
          <t>home</t>
        </is>
      </c>
      <c r="J132" s="25" t="n"/>
      <c r="K132" s="24" t="inlineStr">
        <is>
          <t>polymarket_us</t>
        </is>
      </c>
      <c r="L132" s="26" t="n">
        <v>108</v>
      </c>
      <c r="M132" s="27" t="n">
        <v>2.08</v>
      </c>
      <c r="N132" s="28" t="n">
        <v>0.480769</v>
      </c>
      <c r="O132" s="28" t="n">
        <v>0.528992</v>
      </c>
      <c r="P132" s="28" t="n"/>
      <c r="Q132" s="28" t="n">
        <v>0.048223</v>
      </c>
      <c r="R132" s="26" t="n">
        <v>44</v>
      </c>
      <c r="S132" s="29" t="n">
        <v>1</v>
      </c>
      <c r="T132" s="24" t="inlineStr">
        <is>
          <t>valorant-tiered-elo-v6</t>
        </is>
      </c>
      <c r="U132" s="24" t="inlineStr">
        <is>
          <t>settled</t>
        </is>
      </c>
      <c r="V132" s="24" t="inlineStr">
        <is>
          <t>loss</t>
        </is>
      </c>
      <c r="W132" s="26" t="n">
        <v>1</v>
      </c>
      <c r="X132" s="26" t="n">
        <v>0</v>
      </c>
      <c r="Y132" s="25" t="n"/>
      <c r="Z132" s="26" t="n">
        <v>108</v>
      </c>
      <c r="AA132" s="28" t="n">
        <v>0.48</v>
      </c>
      <c r="AB132" s="28" t="n">
        <v>-0.000769</v>
      </c>
      <c r="AC132" s="30" t="n">
        <v>-1</v>
      </c>
      <c r="AD132" s="24" t="inlineStr">
        <is>
          <t>2026-09-06T04:33:06.585157Z</t>
        </is>
      </c>
      <c r="AE132" s="31" t="inlineStr">
        <is>
          <t>Neutral Elo baseline; executable ask 0.4800 (market_slug=aec-valorant-berg-gg-2026-09-05).</t>
        </is>
      </c>
      <c r="AF132" s="31" t="inlineStr">
        <is>
          <t>Config-promoted esports baseline; gates enforced at log time.</t>
        </is>
      </c>
      <c r="AG132" s="24" t="inlineStr">
        <is>
          <t>review_required</t>
        </is>
      </c>
      <c r="AH132" s="24" t="n"/>
      <c r="AI132" s="31" t="n"/>
      <c r="AJ132" s="31" t="n"/>
      <c r="AK132" s="24" t="inlineStr">
        <is>
          <t>model_qualified</t>
        </is>
      </c>
      <c r="AL132" s="26" t="n">
        <v>4</v>
      </c>
      <c r="AM132" s="24" t="inlineStr">
        <is>
          <t>QUALIFIED_SHADOW_CALL</t>
        </is>
      </c>
      <c r="AN132" s="24" t="inlineStr">
        <is>
          <t>CALL</t>
        </is>
      </c>
      <c r="AO132" s="24" t="inlineStr">
        <is>
          <t>QUALIFIED</t>
        </is>
      </c>
      <c r="AP132" s="24" t="inlineStr">
        <is>
          <t>Glacial Guardians</t>
        </is>
      </c>
      <c r="AQ132" s="24" t="inlineStr">
        <is>
          <t>Glacial Guardians</t>
        </is>
      </c>
      <c r="AR132" s="24" t="inlineStr">
        <is>
          <t>Glacial Guardians</t>
        </is>
      </c>
      <c r="AS132" s="24" t="inlineStr">
        <is>
          <t>BERG</t>
        </is>
      </c>
      <c r="AT132" s="24" t="inlineStr">
        <is>
          <t>BERG</t>
        </is>
      </c>
      <c r="AU132" s="24" t="inlineStr">
        <is>
          <t>BERG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6da7caf3d0c9e8f9d4050063024b39d6687904d91b0d340696b24514592b29a1</t>
        </is>
      </c>
      <c r="BB132" s="24" t="inlineStr">
        <is>
          <t>neutral_elo</t>
        </is>
      </c>
      <c r="BC132" s="24" t="inlineStr">
        <is>
          <t>valorant-tiered-elo-v6</t>
        </is>
      </c>
      <c r="BD132" s="24" t="inlineStr">
        <is>
          <t>6da7caf3d0c9e8f9d4050063024b39d6687904d91b0d340696b24514592b29a1</t>
        </is>
      </c>
      <c r="BE132" s="24" t="inlineStr">
        <is>
          <t>1</t>
        </is>
      </c>
      <c r="BF132" s="24" t="inlineStr">
        <is>
          <t>1</t>
        </is>
      </c>
      <c r="BG132" s="24" t="inlineStr">
        <is>
          <t>valorant-tiered-elo-v6</t>
        </is>
      </c>
      <c r="BH132" s="24" t="inlineStr">
        <is>
          <t>2026-09-05T10:06:00.575956Z</t>
        </is>
      </c>
      <c r="BI132" s="24" t="inlineStr">
        <is>
          <t>["same_event","same_team_same_day","same_league_same_day"]</t>
        </is>
      </c>
      <c r="BJ132" s="25" t="n"/>
      <c r="BK132" s="26" t="n">
        <v>108</v>
      </c>
      <c r="BL132" s="27" t="n">
        <v>2.08</v>
      </c>
      <c r="BM132" s="28" t="n">
        <v>0.480769</v>
      </c>
      <c r="BN132" s="28" t="n"/>
      <c r="BO132" s="28" t="n"/>
      <c r="BP132" s="25" t="n"/>
      <c r="BQ132" s="27" t="n">
        <v>2.08</v>
      </c>
      <c r="BR132" s="28" t="n">
        <v>0.48</v>
      </c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  <c r="CS132" s="24" t="inlineStr">
        <is>
          <t>True</t>
        </is>
      </c>
      <c r="CT132" s="24" t="n"/>
      <c r="CU132" s="24" t="n"/>
      <c r="CV132" s="24" t="n"/>
      <c r="CW132" s="24" t="n"/>
      <c r="CX132" s="24" t="n"/>
      <c r="CY132" s="24" t="n"/>
      <c r="CZ132" s="24" t="n"/>
      <c r="DA132" s="24" t="n"/>
      <c r="DB132" s="24" t="n"/>
      <c r="DC132" s="24" t="n"/>
      <c r="DD132" s="24" t="n"/>
      <c r="DE132" s="24" t="n"/>
      <c r="DF132" s="24" t="n"/>
      <c r="DG132" s="24" t="n"/>
      <c r="DH132" s="24" t="n"/>
      <c r="DI132" s="24" t="n"/>
      <c r="DJ132" s="24" t="inlineStr">
        <is>
          <t>0.480769</t>
        </is>
      </c>
      <c r="DK132" s="24" t="n"/>
      <c r="DL132" s="24" t="n"/>
      <c r="DM132" s="24" t="n"/>
      <c r="DN132" s="24" t="n"/>
      <c r="DO132" s="24" t="n"/>
      <c r="DP132" s="24" t="n"/>
      <c r="DQ132" s="24" t="n"/>
    </row>
    <row r="133" ht="36" customHeight="1">
      <c r="A133" s="24" t="inlineStr">
        <is>
          <t>ef4c9e7defff4f90</t>
        </is>
      </c>
      <c r="B133" s="24" t="inlineStr">
        <is>
          <t>2026-09-05T10:06:00.859126Z</t>
        </is>
      </c>
      <c r="C133" s="24" t="inlineStr">
        <is>
          <t>2026-09-05T15:00:00Z</t>
        </is>
      </c>
      <c r="D133" s="24" t="inlineStr">
        <is>
          <t>102821</t>
        </is>
      </c>
      <c r="E133" s="24" t="inlineStr">
        <is>
          <t>VALORANT</t>
        </is>
      </c>
      <c r="F133" s="24" t="inlineStr">
        <is>
          <t>Catboys</t>
        </is>
      </c>
      <c r="G133" s="24" t="inlineStr">
        <is>
          <t>HooK Esport</t>
        </is>
      </c>
      <c r="H133" s="24" t="inlineStr">
        <is>
          <t>moneyline</t>
        </is>
      </c>
      <c r="I133" s="24" t="inlineStr">
        <is>
          <t>home</t>
        </is>
      </c>
      <c r="J133" s="25" t="n"/>
      <c r="K133" s="24" t="inlineStr">
        <is>
          <t>polymarket_us</t>
        </is>
      </c>
      <c r="L133" s="26" t="n">
        <v>212</v>
      </c>
      <c r="M133" s="27" t="n">
        <v>3.12</v>
      </c>
      <c r="N133" s="28" t="n">
        <v>0.320513</v>
      </c>
      <c r="O133" s="28" t="n">
        <v>0.511903</v>
      </c>
      <c r="P133" s="28" t="n"/>
      <c r="Q133" s="28" t="n">
        <v>0.19139</v>
      </c>
      <c r="R133" s="26" t="n">
        <v>100</v>
      </c>
      <c r="S133" s="29" t="n">
        <v>2</v>
      </c>
      <c r="T133" s="24" t="inlineStr">
        <is>
          <t>valorant-tiered-elo-v6</t>
        </is>
      </c>
      <c r="U133" s="24" t="inlineStr">
        <is>
          <t>settled</t>
        </is>
      </c>
      <c r="V133" s="24" t="inlineStr">
        <is>
          <t>loss</t>
        </is>
      </c>
      <c r="W133" s="26" t="n">
        <v>1</v>
      </c>
      <c r="X133" s="26" t="n">
        <v>0</v>
      </c>
      <c r="Y133" s="25" t="n"/>
      <c r="Z133" s="26" t="n">
        <v>212</v>
      </c>
      <c r="AA133" s="28" t="n">
        <v>0.32</v>
      </c>
      <c r="AB133" s="28" t="n">
        <v>-0.000513</v>
      </c>
      <c r="AC133" s="30" t="n">
        <v>-2</v>
      </c>
      <c r="AD133" s="24" t="inlineStr">
        <is>
          <t>2026-09-06T04:33:07.030788Z</t>
        </is>
      </c>
      <c r="AE133" s="31" t="inlineStr">
        <is>
          <t>Neutral Elo baseline; executable ask 0.3200 (market_slug=aec-valorant-hk-cat-2026-09-05).</t>
        </is>
      </c>
      <c r="AF133" s="31" t="inlineStr">
        <is>
          <t>Config-promoted esports baseline; gates enforced at log time.</t>
        </is>
      </c>
      <c r="AG133" s="24" t="inlineStr">
        <is>
          <t>review_required</t>
        </is>
      </c>
      <c r="AH133" s="24" t="n"/>
      <c r="AI133" s="31" t="n"/>
      <c r="AJ133" s="31" t="n"/>
      <c r="AK133" s="24" t="inlineStr">
        <is>
          <t>model_qualified</t>
        </is>
      </c>
      <c r="AL133" s="26" t="n">
        <v>4</v>
      </c>
      <c r="AM133" s="24" t="inlineStr">
        <is>
          <t>QUALIFIED_SHADOW_CALL</t>
        </is>
      </c>
      <c r="AN133" s="24" t="inlineStr">
        <is>
          <t>CALL</t>
        </is>
      </c>
      <c r="AO133" s="24" t="inlineStr">
        <is>
          <t>QUALIFIED</t>
        </is>
      </c>
      <c r="AP133" s="24" t="inlineStr">
        <is>
          <t>Catboys</t>
        </is>
      </c>
      <c r="AQ133" s="24" t="inlineStr">
        <is>
          <t>Catboys</t>
        </is>
      </c>
      <c r="AR133" s="24" t="inlineStr">
        <is>
          <t>Catboys</t>
        </is>
      </c>
      <c r="AS133" s="24" t="inlineStr">
        <is>
          <t>HooK Esport</t>
        </is>
      </c>
      <c r="AT133" s="24" t="inlineStr">
        <is>
          <t>HooK Esport</t>
        </is>
      </c>
      <c r="AU133" s="24" t="inlineStr">
        <is>
          <t>HooK Esport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shadow_qualified</t>
        </is>
      </c>
      <c r="BA133" s="24" t="inlineStr">
        <is>
          <t>6da7caf3d0c9e8f9d4050063024b39d6687904d91b0d340696b24514592b29a1</t>
        </is>
      </c>
      <c r="BB133" s="24" t="inlineStr">
        <is>
          <t>neutral_elo</t>
        </is>
      </c>
      <c r="BC133" s="24" t="inlineStr">
        <is>
          <t>valorant-tiered-elo-v6</t>
        </is>
      </c>
      <c r="BD133" s="24" t="inlineStr">
        <is>
          <t>6da7caf3d0c9e8f9d4050063024b39d6687904d91b0d340696b24514592b29a1</t>
        </is>
      </c>
      <c r="BE133" s="24" t="inlineStr">
        <is>
          <t>1</t>
        </is>
      </c>
      <c r="BF133" s="24" t="inlineStr">
        <is>
          <t>1</t>
        </is>
      </c>
      <c r="BG133" s="24" t="inlineStr">
        <is>
          <t>valorant-tiered-elo-v6</t>
        </is>
      </c>
      <c r="BH133" s="24" t="inlineStr">
        <is>
          <t>2026-09-05T10:06:00.635457Z</t>
        </is>
      </c>
      <c r="BI133" s="24" t="inlineStr">
        <is>
          <t>["same_event","same_team_same_day","same_league_same_day"]</t>
        </is>
      </c>
      <c r="BJ133" s="25" t="n"/>
      <c r="BK133" s="26" t="n">
        <v>212</v>
      </c>
      <c r="BL133" s="27" t="n">
        <v>3.12</v>
      </c>
      <c r="BM133" s="28" t="n">
        <v>0.320513</v>
      </c>
      <c r="BN133" s="28" t="n"/>
      <c r="BO133" s="28" t="n"/>
      <c r="BP133" s="25" t="n"/>
      <c r="BQ133" s="27" t="n">
        <v>3.12</v>
      </c>
      <c r="BR133" s="28" t="n">
        <v>0.32</v>
      </c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inlineStr">
        <is>
          <t>True</t>
        </is>
      </c>
      <c r="CT133" s="24" t="n"/>
      <c r="CU133" s="24" t="n"/>
      <c r="CV133" s="24" t="n"/>
      <c r="CW133" s="24" t="n"/>
      <c r="CX133" s="24" t="n"/>
      <c r="CY133" s="24" t="n"/>
      <c r="CZ133" s="24" t="n"/>
      <c r="DA133" s="24" t="n"/>
      <c r="DB133" s="24" t="n"/>
      <c r="DC133" s="24" t="n"/>
      <c r="DD133" s="24" t="n"/>
      <c r="DE133" s="24" t="n"/>
      <c r="DF133" s="24" t="n"/>
      <c r="DG133" s="24" t="n"/>
      <c r="DH133" s="24" t="n"/>
      <c r="DI133" s="24" t="n"/>
      <c r="DJ133" s="24" t="inlineStr">
        <is>
          <t>0.320513</t>
        </is>
      </c>
      <c r="DK133" s="24" t="n"/>
      <c r="DL133" s="24" t="n"/>
      <c r="DM133" s="24" t="n"/>
      <c r="DN133" s="24" t="n"/>
      <c r="DO133" s="24" t="n"/>
      <c r="DP133" s="24" t="n"/>
      <c r="DQ133" s="24" t="n"/>
    </row>
    <row r="134" ht="36" customHeight="1">
      <c r="A134" s="24" t="inlineStr">
        <is>
          <t>018824801eeb4b6f</t>
        </is>
      </c>
      <c r="B134" s="24" t="inlineStr">
        <is>
          <t>2026-09-05T16:06:10.981997Z</t>
        </is>
      </c>
      <c r="C134" s="24" t="inlineStr">
        <is>
          <t>2026-09-05T17:00:00Z</t>
        </is>
      </c>
      <c r="D134" s="24" t="inlineStr">
        <is>
          <t>102856</t>
        </is>
      </c>
      <c r="E134" s="24" t="inlineStr">
        <is>
          <t>VALORANT</t>
        </is>
      </c>
      <c r="F134" s="24" t="inlineStr">
        <is>
          <t>LOUD</t>
        </is>
      </c>
      <c r="G134" s="24" t="inlineStr">
        <is>
          <t>NRG</t>
        </is>
      </c>
      <c r="H134" s="24" t="inlineStr">
        <is>
          <t>moneyline</t>
        </is>
      </c>
      <c r="I134" s="24" t="inlineStr">
        <is>
          <t>home</t>
        </is>
      </c>
      <c r="J134" s="25" t="n"/>
      <c r="K134" s="24" t="inlineStr">
        <is>
          <t>polymarket_us</t>
        </is>
      </c>
      <c r="L134" s="26" t="n">
        <v>-156</v>
      </c>
      <c r="M134" s="27" t="n">
        <v>1.641026</v>
      </c>
      <c r="N134" s="28" t="n">
        <v>0.609375</v>
      </c>
      <c r="O134" s="28" t="n">
        <v>0.656463</v>
      </c>
      <c r="P134" s="28" t="n"/>
      <c r="Q134" s="28" t="n">
        <v>0.047088</v>
      </c>
      <c r="R134" s="26" t="n">
        <v>44</v>
      </c>
      <c r="S134" s="29" t="n">
        <v>1</v>
      </c>
      <c r="T134" s="24" t="inlineStr">
        <is>
          <t>valorant-tiered-elo-v6</t>
        </is>
      </c>
      <c r="U134" s="24" t="inlineStr">
        <is>
          <t>settled</t>
        </is>
      </c>
      <c r="V134" s="24" t="inlineStr">
        <is>
          <t>loss</t>
        </is>
      </c>
      <c r="W134" s="26" t="n">
        <v>1</v>
      </c>
      <c r="X134" s="26" t="n">
        <v>0</v>
      </c>
      <c r="Y134" s="25" t="n"/>
      <c r="Z134" s="26" t="n">
        <v>-156</v>
      </c>
      <c r="AA134" s="28" t="n">
        <v>0.61</v>
      </c>
      <c r="AB134" s="28" t="n">
        <v>0.000625</v>
      </c>
      <c r="AC134" s="30" t="n">
        <v>-1</v>
      </c>
      <c r="AD134" s="24" t="inlineStr">
        <is>
          <t>2026-09-06T04:33:07.578910Z</t>
        </is>
      </c>
      <c r="AE134" s="31" t="inlineStr">
        <is>
          <t>Neutral Elo baseline; executable ask 0.6100 (market_slug=aec-valorant-nrg-loud-2026-09-05).</t>
        </is>
      </c>
      <c r="AF134" s="31" t="inlineStr">
        <is>
          <t>Config-promoted esports baseline; gates enforced at log time.</t>
        </is>
      </c>
      <c r="AG134" s="24" t="inlineStr">
        <is>
          <t>review_required</t>
        </is>
      </c>
      <c r="AH134" s="24" t="n"/>
      <c r="AI134" s="31" t="n"/>
      <c r="AJ134" s="31" t="n"/>
      <c r="AK134" s="24" t="inlineStr">
        <is>
          <t>model_qualified</t>
        </is>
      </c>
      <c r="AL134" s="26" t="n">
        <v>4</v>
      </c>
      <c r="AM134" s="24" t="inlineStr">
        <is>
          <t>QUALIFIED_SHADOW_CALL</t>
        </is>
      </c>
      <c r="AN134" s="24" t="inlineStr">
        <is>
          <t>CALL</t>
        </is>
      </c>
      <c r="AO134" s="24" t="inlineStr">
        <is>
          <t>QUALIFIED</t>
        </is>
      </c>
      <c r="AP134" s="24" t="inlineStr">
        <is>
          <t>LOUD</t>
        </is>
      </c>
      <c r="AQ134" s="24" t="inlineStr">
        <is>
          <t>LOUD</t>
        </is>
      </c>
      <c r="AR134" s="24" t="inlineStr">
        <is>
          <t>LOUD</t>
        </is>
      </c>
      <c r="AS134" s="24" t="inlineStr">
        <is>
          <t>NRG</t>
        </is>
      </c>
      <c r="AT134" s="24" t="inlineStr">
        <is>
          <t>NRG</t>
        </is>
      </c>
      <c r="AU134" s="24" t="inlineStr">
        <is>
          <t>NRG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shadow_qualified</t>
        </is>
      </c>
      <c r="BA134" s="24" t="inlineStr">
        <is>
          <t>995737f5624af3690c1e3fbd22eaa9746fc58cde38492e36c1407e65480070ab</t>
        </is>
      </c>
      <c r="BB134" s="24" t="inlineStr">
        <is>
          <t>neutral_elo</t>
        </is>
      </c>
      <c r="BC134" s="24" t="inlineStr">
        <is>
          <t>valorant-tiered-elo-v6</t>
        </is>
      </c>
      <c r="BD134" s="24" t="inlineStr">
        <is>
          <t>995737f5624af3690c1e3fbd22eaa9746fc58cde38492e36c1407e65480070ab</t>
        </is>
      </c>
      <c r="BE134" s="24" t="inlineStr">
        <is>
          <t>1</t>
        </is>
      </c>
      <c r="BF134" s="24" t="inlineStr">
        <is>
          <t>1</t>
        </is>
      </c>
      <c r="BG134" s="24" t="inlineStr">
        <is>
          <t>valorant-tiered-elo-v6</t>
        </is>
      </c>
      <c r="BH134" s="24" t="inlineStr">
        <is>
          <t>2026-09-05T16:06:09.799572Z</t>
        </is>
      </c>
      <c r="BI134" s="24" t="inlineStr">
        <is>
          <t>["same_event","same_team_same_day","same_league_same_day"]</t>
        </is>
      </c>
      <c r="BJ134" s="25" t="n"/>
      <c r="BK134" s="26" t="n">
        <v>-156</v>
      </c>
      <c r="BL134" s="27" t="n">
        <v>1.641026</v>
      </c>
      <c r="BM134" s="28" t="n">
        <v>0.609375</v>
      </c>
      <c r="BN134" s="28" t="n"/>
      <c r="BO134" s="28" t="n"/>
      <c r="BP134" s="25" t="n"/>
      <c r="BQ134" s="27" t="n">
        <v>1.641026</v>
      </c>
      <c r="BR134" s="28" t="n">
        <v>0.61</v>
      </c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inlineStr">
        <is>
          <t>True</t>
        </is>
      </c>
      <c r="CT134" s="24" t="n"/>
      <c r="CU134" s="24" t="n"/>
      <c r="CV134" s="24" t="n"/>
      <c r="CW134" s="24" t="n"/>
      <c r="CX134" s="24" t="n"/>
      <c r="CY134" s="24" t="n"/>
      <c r="CZ134" s="24" t="n"/>
      <c r="DA134" s="24" t="n"/>
      <c r="DB134" s="24" t="n"/>
      <c r="DC134" s="24" t="n"/>
      <c r="DD134" s="24" t="n"/>
      <c r="DE134" s="24" t="n"/>
      <c r="DF134" s="24" t="n"/>
      <c r="DG134" s="24" t="n"/>
      <c r="DH134" s="24" t="n"/>
      <c r="DI134" s="24" t="n"/>
      <c r="DJ134" s="24" t="inlineStr">
        <is>
          <t>0.609375</t>
        </is>
      </c>
      <c r="DK134" s="24" t="n"/>
      <c r="DL134" s="24" t="n"/>
      <c r="DM134" s="24" t="n"/>
      <c r="DN134" s="24" t="n"/>
      <c r="DO134" s="24" t="n"/>
      <c r="DP134" s="24" t="n"/>
      <c r="DQ134" s="24" t="n"/>
    </row>
    <row r="135" ht="36" customHeight="1">
      <c r="A135" s="24" t="inlineStr">
        <is>
          <t>94aba379a1ce4264</t>
        </is>
      </c>
      <c r="B135" s="24" t="inlineStr">
        <is>
          <t>2026-09-06T04:36:27.820183Z</t>
        </is>
      </c>
      <c r="C135" s="24" t="inlineStr">
        <is>
          <t>2026-09-06T08:00:00Z</t>
        </is>
      </c>
      <c r="D135" s="24" t="inlineStr">
        <is>
          <t>103206</t>
        </is>
      </c>
      <c r="E135" s="24" t="inlineStr">
        <is>
          <t>VALORANT</t>
        </is>
      </c>
      <c r="F135" s="24" t="inlineStr">
        <is>
          <t>Global Esports</t>
        </is>
      </c>
      <c r="G135" s="24" t="inlineStr">
        <is>
          <t>Nongshim RedForce</t>
        </is>
      </c>
      <c r="H135" s="24" t="inlineStr">
        <is>
          <t>moneyline</t>
        </is>
      </c>
      <c r="I135" s="24" t="inlineStr">
        <is>
          <t>home</t>
        </is>
      </c>
      <c r="J135" s="25" t="n"/>
      <c r="K135" s="24" t="inlineStr">
        <is>
          <t>polymarket_us</t>
        </is>
      </c>
      <c r="L135" s="26" t="n">
        <v>-213</v>
      </c>
      <c r="M135" s="27" t="n">
        <v>1.469484</v>
      </c>
      <c r="N135" s="28" t="n">
        <v>0.680511</v>
      </c>
      <c r="O135" s="28" t="n">
        <v>0.640964</v>
      </c>
      <c r="P135" s="28" t="n"/>
      <c r="Q135" s="28" t="n">
        <v>-0.039547</v>
      </c>
      <c r="R135" s="26" t="n">
        <v>0</v>
      </c>
      <c r="S135" s="29" t="n">
        <v>1</v>
      </c>
      <c r="T135" s="24" t="inlineStr">
        <is>
          <t>valorant-tiered-elo-v6</t>
        </is>
      </c>
      <c r="U135" s="24" t="inlineStr">
        <is>
          <t>settled</t>
        </is>
      </c>
      <c r="V135" s="24" t="inlineStr">
        <is>
          <t>loss</t>
        </is>
      </c>
      <c r="W135" s="26" t="n">
        <v>1</v>
      </c>
      <c r="X135" s="26" t="n">
        <v>0</v>
      </c>
      <c r="Y135" s="25" t="n"/>
      <c r="Z135" s="26" t="n">
        <v>-213</v>
      </c>
      <c r="AA135" s="28" t="n">
        <v>0.68</v>
      </c>
      <c r="AB135" s="28" t="n">
        <v>-0.000511</v>
      </c>
      <c r="AC135" s="30" t="n">
        <v>-1</v>
      </c>
      <c r="AD135" s="24" t="inlineStr">
        <is>
          <t>2026-09-06T16:01:15.433938Z</t>
        </is>
      </c>
      <c r="AE135" s="31" t="inlineStr">
        <is>
          <t>Neutral Elo baseline; executable ask 0.6800 (market_slug=aec-valorant-ns-ge-2026-09-06).</t>
        </is>
      </c>
      <c r="AF135" s="31" t="inlineStr">
        <is>
          <t>Config-promoted esports baseline; gates enforced at log time.</t>
        </is>
      </c>
      <c r="AG135" s="24" t="inlineStr">
        <is>
          <t>review_required</t>
        </is>
      </c>
      <c r="AH135" s="24" t="n"/>
      <c r="AI135" s="31" t="n"/>
      <c r="AJ135" s="31" t="n"/>
      <c r="AK135" s="24" t="inlineStr">
        <is>
          <t>paper_call</t>
        </is>
      </c>
      <c r="AL135" s="26" t="n">
        <v>4</v>
      </c>
      <c r="AM135" s="24" t="inlineStr">
        <is>
          <t>RESEARCH_OBSERVATION</t>
        </is>
      </c>
      <c r="AN135" s="24" t="inlineStr">
        <is>
          <t>CALL</t>
        </is>
      </c>
      <c r="AO135" s="24" t="inlineStr">
        <is>
          <t>PAPER_CALL_LOW_EDGE</t>
        </is>
      </c>
      <c r="AP135" s="24" t="inlineStr">
        <is>
          <t>Global Esports</t>
        </is>
      </c>
      <c r="AQ135" s="24" t="inlineStr">
        <is>
          <t>Global Esports</t>
        </is>
      </c>
      <c r="AR135" s="24" t="inlineStr">
        <is>
          <t>Global Esports</t>
        </is>
      </c>
      <c r="AS135" s="24" t="inlineStr">
        <is>
          <t>Nongshim RedForce</t>
        </is>
      </c>
      <c r="AT135" s="24" t="inlineStr">
        <is>
          <t>Nongshim RedForce</t>
        </is>
      </c>
      <c r="AU135" s="24" t="inlineStr">
        <is>
          <t>Nongshim RedForce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shadow_qualified</t>
        </is>
      </c>
      <c r="BA135" s="24" t="inlineStr">
        <is>
          <t>7a916de26aac9ea120cd10ec372dc80451f05ed4842bf8a1a23f30a4adbac1ec</t>
        </is>
      </c>
      <c r="BB135" s="24" t="inlineStr">
        <is>
          <t>neutral_elo</t>
        </is>
      </c>
      <c r="BC135" s="24" t="inlineStr">
        <is>
          <t>valorant-tiered-elo-v6</t>
        </is>
      </c>
      <c r="BD135" s="24" t="inlineStr">
        <is>
          <t>7a916de26aac9ea120cd10ec372dc80451f05ed4842bf8a1a23f30a4adbac1ec</t>
        </is>
      </c>
      <c r="BE135" s="24" t="inlineStr">
        <is>
          <t>1</t>
        </is>
      </c>
      <c r="BF135" s="24" t="inlineStr">
        <is>
          <t>1</t>
        </is>
      </c>
      <c r="BG135" s="24" t="inlineStr">
        <is>
          <t>valorant-tiered-elo-v6</t>
        </is>
      </c>
      <c r="BH135" s="24" t="inlineStr">
        <is>
          <t>2026-09-06T04:36:27.479861Z</t>
        </is>
      </c>
      <c r="BI135" s="24" t="inlineStr">
        <is>
          <t>["same_event","same_team_same_day","same_league_same_day"]</t>
        </is>
      </c>
      <c r="BJ135" s="25" t="n"/>
      <c r="BK135" s="26" t="n">
        <v>-213</v>
      </c>
      <c r="BL135" s="27" t="n">
        <v>1.469484</v>
      </c>
      <c r="BM135" s="28" t="n">
        <v>0.680511</v>
      </c>
      <c r="BN135" s="28" t="n"/>
      <c r="BO135" s="28" t="n"/>
      <c r="BP135" s="25" t="n"/>
      <c r="BQ135" s="27" t="n">
        <v>1.469484</v>
      </c>
      <c r="BR135" s="28" t="n">
        <v>0.68</v>
      </c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inlineStr">
        <is>
          <t>False</t>
        </is>
      </c>
      <c r="CT135" s="24" t="n"/>
      <c r="CU135" s="24" t="n"/>
      <c r="CV135" s="24" t="n"/>
      <c r="CW135" s="24" t="n"/>
      <c r="CX135" s="24" t="n"/>
      <c r="CY135" s="24" t="n"/>
      <c r="CZ135" s="24" t="n"/>
      <c r="DA135" s="24" t="n"/>
      <c r="DB135" s="24" t="n"/>
      <c r="DC135" s="24" t="n"/>
      <c r="DD135" s="24" t="n"/>
      <c r="DE135" s="24" t="n"/>
      <c r="DF135" s="24" t="n"/>
      <c r="DG135" s="24" t="n"/>
      <c r="DH135" s="24" t="n"/>
      <c r="DI135" s="24" t="n"/>
      <c r="DJ135" s="24" t="inlineStr">
        <is>
          <t>0.680511</t>
        </is>
      </c>
      <c r="DK135" s="24" t="n"/>
      <c r="DL135" s="24" t="n"/>
      <c r="DM135" s="24" t="n"/>
      <c r="DN135" s="24" t="n"/>
      <c r="DO135" s="24" t="n"/>
      <c r="DP135" s="24" t="n"/>
      <c r="DQ135" s="24" t="n"/>
    </row>
    <row r="136" ht="36" customHeight="1">
      <c r="A136" s="24" t="inlineStr">
        <is>
          <t>b5397a50c1d54410</t>
        </is>
      </c>
      <c r="B136" s="24" t="inlineStr">
        <is>
          <t>2026-09-06T04:36:27.820183Z</t>
        </is>
      </c>
      <c r="C136" s="24" t="inlineStr">
        <is>
          <t>2026-09-06T09:00:00Z</t>
        </is>
      </c>
      <c r="D136" s="24" t="inlineStr">
        <is>
          <t>101529</t>
        </is>
      </c>
      <c r="E136" s="24" t="inlineStr">
        <is>
          <t>VALORANT</t>
        </is>
      </c>
      <c r="F136" s="24" t="inlineStr">
        <is>
          <t>JD Gaming</t>
        </is>
      </c>
      <c r="G136" s="24" t="inlineStr">
        <is>
          <t>All Gamers</t>
        </is>
      </c>
      <c r="H136" s="24" t="inlineStr">
        <is>
          <t>moneyline</t>
        </is>
      </c>
      <c r="I136" s="24" t="inlineStr">
        <is>
          <t>away</t>
        </is>
      </c>
      <c r="J136" s="25" t="n"/>
      <c r="K136" s="24" t="inlineStr">
        <is>
          <t>polymarket_us</t>
        </is>
      </c>
      <c r="L136" s="26" t="n">
        <v>-163</v>
      </c>
      <c r="M136" s="27" t="n">
        <v>1.613497</v>
      </c>
      <c r="N136" s="28" t="n">
        <v>0.619772</v>
      </c>
      <c r="O136" s="28" t="n">
        <v>0.536954</v>
      </c>
      <c r="P136" s="28" t="n"/>
      <c r="Q136" s="28" t="n">
        <v>-0.082818</v>
      </c>
      <c r="R136" s="26" t="n">
        <v>0</v>
      </c>
      <c r="S136" s="29" t="n">
        <v>1</v>
      </c>
      <c r="T136" s="24" t="inlineStr">
        <is>
          <t>valorant-tiered-elo-v6</t>
        </is>
      </c>
      <c r="U136" s="24" t="inlineStr">
        <is>
          <t>settled</t>
        </is>
      </c>
      <c r="V136" s="24" t="inlineStr">
        <is>
          <t>win</t>
        </is>
      </c>
      <c r="W136" s="26" t="n">
        <v>1</v>
      </c>
      <c r="X136" s="26" t="n">
        <v>0</v>
      </c>
      <c r="Y136" s="25" t="n"/>
      <c r="Z136" s="26" t="n">
        <v>-163</v>
      </c>
      <c r="AA136" s="28" t="n">
        <v>0.62</v>
      </c>
      <c r="AB136" s="28" t="n">
        <v>0.000228</v>
      </c>
      <c r="AC136" s="30" t="n">
        <v>0.6135</v>
      </c>
      <c r="AD136" s="24" t="inlineStr">
        <is>
          <t>2026-09-06T16:01:15.987803Z</t>
        </is>
      </c>
      <c r="AE136" s="31" t="inlineStr">
        <is>
          <t>Neutral Elo baseline; executable ask 0.6200 (market_slug=aec-valorant-ag-jdg-2026-09-06).</t>
        </is>
      </c>
      <c r="AF136" s="31" t="inlineStr">
        <is>
          <t>Config-promoted esports baseline; gates enforced at log time.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paper_call</t>
        </is>
      </c>
      <c r="AL136" s="26" t="n">
        <v>4</v>
      </c>
      <c r="AM136" s="24" t="inlineStr">
        <is>
          <t>RESEARCH_OBSERVATION</t>
        </is>
      </c>
      <c r="AN136" s="24" t="inlineStr">
        <is>
          <t>CALL</t>
        </is>
      </c>
      <c r="AO136" s="24" t="inlineStr">
        <is>
          <t>PAPER_CALL_LOW_EDGE</t>
        </is>
      </c>
      <c r="AP136" s="24" t="inlineStr">
        <is>
          <t>JD Gaming</t>
        </is>
      </c>
      <c r="AQ136" s="24" t="inlineStr">
        <is>
          <t>JD Gaming</t>
        </is>
      </c>
      <c r="AR136" s="24" t="inlineStr">
        <is>
          <t>JD Gaming</t>
        </is>
      </c>
      <c r="AS136" s="24" t="inlineStr">
        <is>
          <t>All Gamers</t>
        </is>
      </c>
      <c r="AT136" s="24" t="inlineStr">
        <is>
          <t>All Gamers</t>
        </is>
      </c>
      <c r="AU136" s="24" t="inlineStr">
        <is>
          <t>All Gamers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shadow_qualified</t>
        </is>
      </c>
      <c r="BA136" s="24" t="inlineStr">
        <is>
          <t>7a916de26aac9ea120cd10ec372dc80451f05ed4842bf8a1a23f30a4adbac1ec</t>
        </is>
      </c>
      <c r="BB136" s="24" t="inlineStr">
        <is>
          <t>neutral_elo</t>
        </is>
      </c>
      <c r="BC136" s="24" t="inlineStr">
        <is>
          <t>valorant-tiered-elo-v6</t>
        </is>
      </c>
      <c r="BD136" s="24" t="inlineStr">
        <is>
          <t>7a916de26aac9ea120cd10ec372dc80451f05ed4842bf8a1a23f30a4adbac1ec</t>
        </is>
      </c>
      <c r="BE136" s="24" t="inlineStr">
        <is>
          <t>1</t>
        </is>
      </c>
      <c r="BF136" s="24" t="inlineStr">
        <is>
          <t>1</t>
        </is>
      </c>
      <c r="BG136" s="24" t="inlineStr">
        <is>
          <t>valorant-tiered-elo-v6</t>
        </is>
      </c>
      <c r="BH136" s="24" t="inlineStr">
        <is>
          <t>2026-09-06T04:36:27.563152Z</t>
        </is>
      </c>
      <c r="BI136" s="24" t="inlineStr">
        <is>
          <t>["same_event","same_team_same_day","same_league_same_day"]</t>
        </is>
      </c>
      <c r="BJ136" s="25" t="n"/>
      <c r="BK136" s="26" t="n">
        <v>-163</v>
      </c>
      <c r="BL136" s="27" t="n">
        <v>1.613497</v>
      </c>
      <c r="BM136" s="28" t="n">
        <v>0.619772</v>
      </c>
      <c r="BN136" s="28" t="n"/>
      <c r="BO136" s="28" t="n"/>
      <c r="BP136" s="25" t="n"/>
      <c r="BQ136" s="27" t="n">
        <v>1.613497</v>
      </c>
      <c r="BR136" s="28" t="n">
        <v>0.62</v>
      </c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inlineStr">
        <is>
          <t>False</t>
        </is>
      </c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/>
      <c r="DH136" s="24" t="n"/>
      <c r="DI136" s="24" t="n"/>
      <c r="DJ136" s="24" t="inlineStr">
        <is>
          <t>0.619772</t>
        </is>
      </c>
      <c r="DK136" s="24" t="n"/>
      <c r="DL136" s="24" t="n"/>
      <c r="DM136" s="24" t="n"/>
      <c r="DN136" s="24" t="n"/>
      <c r="DO136" s="24" t="n"/>
      <c r="DP136" s="24" t="n"/>
      <c r="DQ136" s="24" t="n"/>
    </row>
    <row r="137" ht="36" customHeight="1">
      <c r="A137" s="24" t="inlineStr">
        <is>
          <t>9c1e7026bde843af</t>
        </is>
      </c>
      <c r="B137" s="24" t="inlineStr">
        <is>
          <t>2026-09-06T16:03:58.178718Z</t>
        </is>
      </c>
      <c r="C137" s="24" t="inlineStr">
        <is>
          <t>2026-09-06T17:00:00Z</t>
        </is>
      </c>
      <c r="D137" s="24" t="inlineStr">
        <is>
          <t>103620</t>
        </is>
      </c>
      <c r="E137" s="24" t="inlineStr">
        <is>
          <t>VALORANT</t>
        </is>
      </c>
      <c r="F137" s="24" t="inlineStr">
        <is>
          <t>LOUD</t>
        </is>
      </c>
      <c r="G137" s="24" t="inlineStr">
        <is>
          <t>100 Thieves</t>
        </is>
      </c>
      <c r="H137" s="24" t="inlineStr">
        <is>
          <t>moneyline</t>
        </is>
      </c>
      <c r="I137" s="24" t="inlineStr">
        <is>
          <t>home</t>
        </is>
      </c>
      <c r="J137" s="25" t="n"/>
      <c r="K137" s="24" t="inlineStr">
        <is>
          <t>polymarket_us</t>
        </is>
      </c>
      <c r="L137" s="26" t="n">
        <v>-233</v>
      </c>
      <c r="M137" s="27" t="n">
        <v>1.429185</v>
      </c>
      <c r="N137" s="28" t="n">
        <v>0.6997</v>
      </c>
      <c r="O137" s="28" t="n">
        <v>0.672565</v>
      </c>
      <c r="P137" s="28" t="n"/>
      <c r="Q137" s="28" t="n">
        <v>-0.027135</v>
      </c>
      <c r="R137" s="26" t="n">
        <v>6</v>
      </c>
      <c r="S137" s="29" t="n">
        <v>1</v>
      </c>
      <c r="T137" s="24" t="inlineStr">
        <is>
          <t>valorant-tiered-elo-v6</t>
        </is>
      </c>
      <c r="U137" s="24" t="inlineStr">
        <is>
          <t>settled</t>
        </is>
      </c>
      <c r="V137" s="24" t="inlineStr">
        <is>
          <t>win</t>
        </is>
      </c>
      <c r="W137" s="26" t="n">
        <v>0</v>
      </c>
      <c r="X137" s="26" t="n">
        <v>1</v>
      </c>
      <c r="Y137" s="25" t="n"/>
      <c r="Z137" s="26" t="n">
        <v>-233</v>
      </c>
      <c r="AA137" s="28" t="n">
        <v>0.7</v>
      </c>
      <c r="AB137" s="28" t="n">
        <v>0.0003</v>
      </c>
      <c r="AC137" s="30" t="n">
        <v>0.4292</v>
      </c>
      <c r="AD137" s="24" t="inlineStr">
        <is>
          <t>2026-09-07T04:31:40.956799Z</t>
        </is>
      </c>
      <c r="AE137" s="31" t="inlineStr">
        <is>
          <t>Neutral Elo baseline; executable ask 0.7000 (market_slug=aec-valorant-100t-loud-2026-09-06).</t>
        </is>
      </c>
      <c r="AF137" s="31" t="inlineStr">
        <is>
          <t>Config-promoted esports baseline; gates enforced at log time.</t>
        </is>
      </c>
      <c r="AG137" s="24" t="inlineStr">
        <is>
          <t>not_applicable</t>
        </is>
      </c>
      <c r="AH137" s="24" t="n"/>
      <c r="AI137" s="31" t="n"/>
      <c r="AJ137" s="31" t="n"/>
      <c r="AK137" s="24" t="inlineStr">
        <is>
          <t>paper_call</t>
        </is>
      </c>
      <c r="AL137" s="26" t="n">
        <v>4</v>
      </c>
      <c r="AM137" s="24" t="inlineStr">
        <is>
          <t>RESEARCH_OBSERVATION</t>
        </is>
      </c>
      <c r="AN137" s="24" t="inlineStr">
        <is>
          <t>CALL</t>
        </is>
      </c>
      <c r="AO137" s="24" t="inlineStr">
        <is>
          <t>PAPER_CALL_LOW_EDGE</t>
        </is>
      </c>
      <c r="AP137" s="24" t="inlineStr">
        <is>
          <t>LOUD</t>
        </is>
      </c>
      <c r="AQ137" s="24" t="inlineStr">
        <is>
          <t>LOUD</t>
        </is>
      </c>
      <c r="AR137" s="24" t="inlineStr">
        <is>
          <t>LOUD</t>
        </is>
      </c>
      <c r="AS137" s="24" t="inlineStr">
        <is>
          <t>100 Thieves</t>
        </is>
      </c>
      <c r="AT137" s="24" t="inlineStr">
        <is>
          <t>100 Thieves</t>
        </is>
      </c>
      <c r="AU137" s="24" t="inlineStr">
        <is>
          <t>100 Thieves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shadow_qualified</t>
        </is>
      </c>
      <c r="BA137" s="24" t="inlineStr">
        <is>
          <t>e1fb0b40700053f615df4c69e9c4027b260ce60dea99c4717d331280cfc7fbd4</t>
        </is>
      </c>
      <c r="BB137" s="24" t="inlineStr">
        <is>
          <t>neutral_elo</t>
        </is>
      </c>
      <c r="BC137" s="24" t="inlineStr">
        <is>
          <t>valorant-tiered-elo-v6</t>
        </is>
      </c>
      <c r="BD137" s="24" t="inlineStr">
        <is>
          <t>e1fb0b40700053f615df4c69e9c4027b260ce60dea99c4717d331280cfc7fbd4</t>
        </is>
      </c>
      <c r="BE137" s="24" t="inlineStr">
        <is>
          <t>1</t>
        </is>
      </c>
      <c r="BF137" s="24" t="inlineStr">
        <is>
          <t>1</t>
        </is>
      </c>
      <c r="BG137" s="24" t="inlineStr">
        <is>
          <t>valorant-tiered-elo-v6</t>
        </is>
      </c>
      <c r="BH137" s="24" t="inlineStr">
        <is>
          <t>2026-09-06T16:03:58.138102Z</t>
        </is>
      </c>
      <c r="BI137" s="24" t="inlineStr">
        <is>
          <t>["same_event","same_team_same_day","same_league_same_day"]</t>
        </is>
      </c>
      <c r="BJ137" s="25" t="n"/>
      <c r="BK137" s="26" t="n">
        <v>-233</v>
      </c>
      <c r="BL137" s="27" t="n">
        <v>1.429185</v>
      </c>
      <c r="BM137" s="28" t="n">
        <v>0.6997</v>
      </c>
      <c r="BN137" s="28" t="n"/>
      <c r="BO137" s="28" t="n"/>
      <c r="BP137" s="25" t="n"/>
      <c r="BQ137" s="27" t="n">
        <v>1.429185</v>
      </c>
      <c r="BR137" s="28" t="n">
        <v>0.7</v>
      </c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inlineStr">
        <is>
          <t>False</t>
        </is>
      </c>
      <c r="CT137" s="24" t="n"/>
      <c r="CU137" s="24" t="n"/>
      <c r="CV137" s="24" t="n"/>
      <c r="CW137" s="24" t="n"/>
      <c r="CX137" s="24" t="n"/>
      <c r="CY137" s="24" t="n"/>
      <c r="CZ137" s="24" t="n"/>
      <c r="DA137" s="24" t="n"/>
      <c r="DB137" s="24" t="n"/>
      <c r="DC137" s="24" t="n"/>
      <c r="DD137" s="24" t="n"/>
      <c r="DE137" s="24" t="n"/>
      <c r="DF137" s="24" t="n"/>
      <c r="DG137" s="24" t="n"/>
      <c r="DH137" s="24" t="n"/>
      <c r="DI137" s="24" t="n"/>
      <c r="DJ137" s="24" t="inlineStr">
        <is>
          <t>0.6997</t>
        </is>
      </c>
      <c r="DK137" s="24" t="n"/>
      <c r="DL137" s="24" t="n"/>
      <c r="DM137" s="24" t="n"/>
      <c r="DN137" s="24" t="n"/>
      <c r="DO137" s="24" t="n"/>
      <c r="DP137" s="24" t="n"/>
      <c r="DQ137" s="24" t="n"/>
    </row>
    <row r="138" ht="36" customHeight="1">
      <c r="A138" s="24" t="inlineStr">
        <is>
          <t>75fb9a7fbe074692</t>
        </is>
      </c>
      <c r="B138" s="24" t="inlineStr">
        <is>
          <t>2026-09-08T16:17:14.359220Z</t>
        </is>
      </c>
      <c r="C138" s="24" t="inlineStr">
        <is>
          <t>2026-09-08T21:00:00Z</t>
        </is>
      </c>
      <c r="D138" s="24" t="inlineStr">
        <is>
          <t>103623</t>
        </is>
      </c>
      <c r="E138" s="24" t="inlineStr">
        <is>
          <t>VALORANT</t>
        </is>
      </c>
      <c r="F138" s="24" t="inlineStr">
        <is>
          <t>Shopify Rebellion Gold</t>
        </is>
      </c>
      <c r="G138" s="24" t="inlineStr">
        <is>
          <t>FlyQuest RED</t>
        </is>
      </c>
      <c r="H138" s="24" t="inlineStr">
        <is>
          <t>moneyline</t>
        </is>
      </c>
      <c r="I138" s="24" t="inlineStr">
        <is>
          <t>away</t>
        </is>
      </c>
      <c r="J138" s="25" t="n"/>
      <c r="K138" s="24" t="inlineStr">
        <is>
          <t>polymarket_us</t>
        </is>
      </c>
      <c r="L138" s="26" t="n">
        <v>-233</v>
      </c>
      <c r="M138" s="27" t="n">
        <v>1.429185</v>
      </c>
      <c r="N138" s="28" t="n">
        <v>0.6997</v>
      </c>
      <c r="O138" s="28" t="n">
        <v>0.503757</v>
      </c>
      <c r="P138" s="28" t="n"/>
      <c r="Q138" s="28" t="n">
        <v>-0.195943</v>
      </c>
      <c r="R138" s="26" t="n">
        <v>0</v>
      </c>
      <c r="S138" s="29" t="n">
        <v>1</v>
      </c>
      <c r="T138" s="24" t="inlineStr">
        <is>
          <t>valorant-tiered-elo-v6</t>
        </is>
      </c>
      <c r="U138" s="24" t="inlineStr">
        <is>
          <t>settled</t>
        </is>
      </c>
      <c r="V138" s="24" t="inlineStr">
        <is>
          <t>win</t>
        </is>
      </c>
      <c r="W138" s="26" t="n">
        <v>1</v>
      </c>
      <c r="X138" s="26" t="n">
        <v>0</v>
      </c>
      <c r="Y138" s="25" t="n"/>
      <c r="Z138" s="26" t="n">
        <v>-233</v>
      </c>
      <c r="AA138" s="28" t="n">
        <v>0.7</v>
      </c>
      <c r="AB138" s="28" t="n">
        <v>0.0003</v>
      </c>
      <c r="AC138" s="30" t="n">
        <v>0.4292</v>
      </c>
      <c r="AD138" s="24" t="inlineStr">
        <is>
          <t>2026-09-09T04:32:21.477244Z</t>
        </is>
      </c>
      <c r="AE138" s="31" t="inlineStr">
        <is>
          <t>Neutral Elo baseline; executable ask 0.7000 (market_slug=aec-valorant-flyr-srg-2026-09-08).</t>
        </is>
      </c>
      <c r="AF138" s="31" t="inlineStr">
        <is>
          <t>Config-promoted esports baseline; gates enforced at log time.</t>
        </is>
      </c>
      <c r="AG138" s="24" t="inlineStr">
        <is>
          <t>not_applicable</t>
        </is>
      </c>
      <c r="AH138" s="24" t="n"/>
      <c r="AI138" s="31" t="n"/>
      <c r="AJ138" s="31" t="n"/>
      <c r="AK138" s="24" t="inlineStr">
        <is>
          <t>paper_call</t>
        </is>
      </c>
      <c r="AL138" s="26" t="n">
        <v>4</v>
      </c>
      <c r="AM138" s="24" t="inlineStr">
        <is>
          <t>RESEARCH_OBSERVATION</t>
        </is>
      </c>
      <c r="AN138" s="24" t="inlineStr">
        <is>
          <t>CALL</t>
        </is>
      </c>
      <c r="AO138" s="24" t="inlineStr">
        <is>
          <t>PAPER_CALL_LOW_EDGE</t>
        </is>
      </c>
      <c r="AP138" s="24" t="inlineStr">
        <is>
          <t>Shopify Rebellion Gold</t>
        </is>
      </c>
      <c r="AQ138" s="24" t="inlineStr">
        <is>
          <t>Shopify Rebellion Gold</t>
        </is>
      </c>
      <c r="AR138" s="24" t="inlineStr">
        <is>
          <t>Shopify Rebellion Gold</t>
        </is>
      </c>
      <c r="AS138" s="24" t="inlineStr">
        <is>
          <t>FlyQuest RED</t>
        </is>
      </c>
      <c r="AT138" s="24" t="inlineStr">
        <is>
          <t>FlyQuest RED</t>
        </is>
      </c>
      <c r="AU138" s="24" t="inlineStr">
        <is>
          <t>FlyQuest RED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2c8605692494d1f1b0d0e6b74b6465098788dd1be2b493e57e454f0ccf8d6619</t>
        </is>
      </c>
      <c r="BB138" s="24" t="inlineStr">
        <is>
          <t>neutral_elo</t>
        </is>
      </c>
      <c r="BC138" s="24" t="inlineStr">
        <is>
          <t>valorant-tiered-elo-v6</t>
        </is>
      </c>
      <c r="BD138" s="24" t="inlineStr">
        <is>
          <t>2c8605692494d1f1b0d0e6b74b6465098788dd1be2b493e57e454f0ccf8d6619</t>
        </is>
      </c>
      <c r="BE138" s="24" t="inlineStr">
        <is>
          <t>1</t>
        </is>
      </c>
      <c r="BF138" s="24" t="inlineStr">
        <is>
          <t>1</t>
        </is>
      </c>
      <c r="BG138" s="24" t="inlineStr">
        <is>
          <t>valorant-tiered-elo-v6</t>
        </is>
      </c>
      <c r="BH138" s="24" t="inlineStr">
        <is>
          <t>2026-09-08T16:17:13.370183Z</t>
        </is>
      </c>
      <c r="BI138" s="24" t="inlineStr">
        <is>
          <t>["same_event","same_team_same_day","same_league_same_day"]</t>
        </is>
      </c>
      <c r="BJ138" s="25" t="n"/>
      <c r="BK138" s="26" t="n">
        <v>-233</v>
      </c>
      <c r="BL138" s="27" t="n">
        <v>1.429185</v>
      </c>
      <c r="BM138" s="28" t="n">
        <v>0.6997</v>
      </c>
      <c r="BN138" s="28" t="n"/>
      <c r="BO138" s="28" t="n"/>
      <c r="BP138" s="25" t="n"/>
      <c r="BQ138" s="27" t="n">
        <v>1.429185</v>
      </c>
      <c r="BR138" s="28" t="n">
        <v>0.7</v>
      </c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  <c r="CR138" s="24" t="n"/>
      <c r="CS138" s="24" t="inlineStr">
        <is>
          <t>False</t>
        </is>
      </c>
      <c r="CT138" s="24" t="n"/>
      <c r="CU138" s="24" t="n"/>
      <c r="CV138" s="24" t="n"/>
      <c r="CW138" s="24" t="n"/>
      <c r="CX138" s="24" t="n"/>
      <c r="CY138" s="24" t="n"/>
      <c r="CZ138" s="24" t="n"/>
      <c r="DA138" s="24" t="n"/>
      <c r="DB138" s="24" t="n"/>
      <c r="DC138" s="24" t="n"/>
      <c r="DD138" s="24" t="n"/>
      <c r="DE138" s="24" t="n"/>
      <c r="DF138" s="24" t="n"/>
      <c r="DG138" s="24" t="n"/>
      <c r="DH138" s="24" t="n"/>
      <c r="DI138" s="24" t="n"/>
      <c r="DJ138" s="24" t="inlineStr">
        <is>
          <t>0.6997</t>
        </is>
      </c>
      <c r="DK138" s="24" t="n"/>
      <c r="DL138" s="24" t="n"/>
      <c r="DM138" s="24" t="n"/>
      <c r="DN138" s="24" t="n"/>
      <c r="DO138" s="24" t="n"/>
      <c r="DP138" s="24" t="n"/>
      <c r="DQ138" s="24" t="n"/>
    </row>
    <row r="139" ht="36" customHeight="1">
      <c r="A139" s="24" t="inlineStr">
        <is>
          <t>442d8a1ecfad41a4</t>
        </is>
      </c>
      <c r="B139" s="24" t="inlineStr">
        <is>
          <t>2026-09-09T04:35:23.760562Z</t>
        </is>
      </c>
      <c r="C139" s="24" t="inlineStr">
        <is>
          <t>2026-09-09T09:00:00Z</t>
        </is>
      </c>
      <c r="D139" s="24" t="inlineStr">
        <is>
          <t>104525</t>
        </is>
      </c>
      <c r="E139" s="24" t="inlineStr">
        <is>
          <t>VALORANT</t>
        </is>
      </c>
      <c r="F139" s="24" t="inlineStr">
        <is>
          <t>KeepBest Gaming</t>
        </is>
      </c>
      <c r="G139" s="24" t="inlineStr">
        <is>
          <t>Bilibili Gaming</t>
        </is>
      </c>
      <c r="H139" s="24" t="inlineStr">
        <is>
          <t>moneyline</t>
        </is>
      </c>
      <c r="I139" s="24" t="inlineStr">
        <is>
          <t>home</t>
        </is>
      </c>
      <c r="J139" s="25" t="n"/>
      <c r="K139" s="24" t="inlineStr">
        <is>
          <t>polymarket_us</t>
        </is>
      </c>
      <c r="L139" s="26" t="n">
        <v>212</v>
      </c>
      <c r="M139" s="27" t="n">
        <v>3.12</v>
      </c>
      <c r="N139" s="28" t="n">
        <v>0.320513</v>
      </c>
      <c r="O139" s="28" t="n">
        <v>0.726088</v>
      </c>
      <c r="P139" s="28" t="n"/>
      <c r="Q139" s="28" t="n">
        <v>0.405575</v>
      </c>
      <c r="R139" s="26" t="n">
        <v>100</v>
      </c>
      <c r="S139" s="29" t="n">
        <v>2</v>
      </c>
      <c r="T139" s="24" t="inlineStr">
        <is>
          <t>valorant-tiered-elo-v6</t>
        </is>
      </c>
      <c r="U139" s="24" t="inlineStr">
        <is>
          <t>settled</t>
        </is>
      </c>
      <c r="V139" s="24" t="inlineStr">
        <is>
          <t>loss</t>
        </is>
      </c>
      <c r="W139" s="26" t="n">
        <v>1</v>
      </c>
      <c r="X139" s="26" t="n">
        <v>0</v>
      </c>
      <c r="Y139" s="25" t="n"/>
      <c r="Z139" s="26" t="n">
        <v>212</v>
      </c>
      <c r="AA139" s="28" t="n">
        <v>0.32</v>
      </c>
      <c r="AB139" s="28" t="n">
        <v>-0.000513</v>
      </c>
      <c r="AC139" s="30" t="n">
        <v>-2</v>
      </c>
      <c r="AD139" s="24" t="inlineStr">
        <is>
          <t>2026-09-09T16:01:40.441467Z</t>
        </is>
      </c>
      <c r="AE139" s="31" t="inlineStr">
        <is>
          <t>Neutral Elo baseline; executable ask 0.3200 (market_slug=aec-valorant-blg-kbg-2026-09-09).</t>
        </is>
      </c>
      <c r="AF139" s="31" t="inlineStr">
        <is>
          <t>Config-promoted esports baseline; gates enforced at log time.</t>
        </is>
      </c>
      <c r="AG139" s="24" t="inlineStr">
        <is>
          <t>review_required</t>
        </is>
      </c>
      <c r="AH139" s="24" t="n"/>
      <c r="AI139" s="31" t="n"/>
      <c r="AJ139" s="31" t="n"/>
      <c r="AK139" s="24" t="inlineStr">
        <is>
          <t>model_qualified</t>
        </is>
      </c>
      <c r="AL139" s="26" t="n">
        <v>4</v>
      </c>
      <c r="AM139" s="24" t="inlineStr">
        <is>
          <t>QUALIFIED_SHADOW_CALL</t>
        </is>
      </c>
      <c r="AN139" s="24" t="inlineStr">
        <is>
          <t>CALL</t>
        </is>
      </c>
      <c r="AO139" s="24" t="inlineStr">
        <is>
          <t>QUALIFIED</t>
        </is>
      </c>
      <c r="AP139" s="24" t="inlineStr">
        <is>
          <t>KeepBest Gaming</t>
        </is>
      </c>
      <c r="AQ139" s="24" t="inlineStr">
        <is>
          <t>KeepBest Gaming</t>
        </is>
      </c>
      <c r="AR139" s="24" t="inlineStr">
        <is>
          <t>KeepBest Gaming</t>
        </is>
      </c>
      <c r="AS139" s="24" t="inlineStr">
        <is>
          <t>Bilibili Gaming</t>
        </is>
      </c>
      <c r="AT139" s="24" t="inlineStr">
        <is>
          <t>Bilibili Gaming</t>
        </is>
      </c>
      <c r="AU139" s="24" t="inlineStr">
        <is>
          <t>Bilibili Gaming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shadow_qualified</t>
        </is>
      </c>
      <c r="BA139" s="24" t="inlineStr">
        <is>
          <t>2334e87f80dae35e2dd9369efd5e30cda97f295ac9fe412e839d379dd09efa45</t>
        </is>
      </c>
      <c r="BB139" s="24" t="inlineStr">
        <is>
          <t>neutral_elo</t>
        </is>
      </c>
      <c r="BC139" s="24" t="inlineStr">
        <is>
          <t>valorant-tiered-elo-v6</t>
        </is>
      </c>
      <c r="BD139" s="24" t="inlineStr">
        <is>
          <t>2334e87f80dae35e2dd9369efd5e30cda97f295ac9fe412e839d379dd09efa45</t>
        </is>
      </c>
      <c r="BE139" s="24" t="inlineStr">
        <is>
          <t>1</t>
        </is>
      </c>
      <c r="BF139" s="24" t="inlineStr">
        <is>
          <t>1</t>
        </is>
      </c>
      <c r="BG139" s="24" t="inlineStr">
        <is>
          <t>valorant-tiered-elo-v6</t>
        </is>
      </c>
      <c r="BH139" s="24" t="inlineStr">
        <is>
          <t>2026-09-09T04:35:23.109864Z</t>
        </is>
      </c>
      <c r="BI139" s="24" t="inlineStr">
        <is>
          <t>["same_event","same_team_same_day","same_league_same_day"]</t>
        </is>
      </c>
      <c r="BJ139" s="25" t="n"/>
      <c r="BK139" s="26" t="n">
        <v>212</v>
      </c>
      <c r="BL139" s="27" t="n">
        <v>3.12</v>
      </c>
      <c r="BM139" s="28" t="n">
        <v>0.320513</v>
      </c>
      <c r="BN139" s="28" t="n"/>
      <c r="BO139" s="28" t="n"/>
      <c r="BP139" s="25" t="n"/>
      <c r="BQ139" s="27" t="n">
        <v>3.12</v>
      </c>
      <c r="BR139" s="28" t="n">
        <v>0.32</v>
      </c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inlineStr">
        <is>
          <t>True</t>
        </is>
      </c>
      <c r="CT139" s="24" t="n"/>
      <c r="CU139" s="24" t="n"/>
      <c r="CV139" s="24" t="n"/>
      <c r="CW139" s="24" t="n"/>
      <c r="CX139" s="24" t="n"/>
      <c r="CY139" s="24" t="n"/>
      <c r="CZ139" s="24" t="n"/>
      <c r="DA139" s="24" t="n"/>
      <c r="DB139" s="24" t="n"/>
      <c r="DC139" s="24" t="n"/>
      <c r="DD139" s="24" t="n"/>
      <c r="DE139" s="24" t="n"/>
      <c r="DF139" s="24" t="n"/>
      <c r="DG139" s="24" t="n"/>
      <c r="DH139" s="24" t="n"/>
      <c r="DI139" s="24" t="n"/>
      <c r="DJ139" s="24" t="inlineStr">
        <is>
          <t>0.320513</t>
        </is>
      </c>
      <c r="DK139" s="24" t="n"/>
      <c r="DL139" s="24" t="n"/>
      <c r="DM139" s="24" t="n"/>
      <c r="DN139" s="24" t="n"/>
      <c r="DO139" s="24" t="n"/>
      <c r="DP139" s="24" t="n"/>
      <c r="DQ139" s="24" t="n"/>
    </row>
    <row r="140" ht="36" customHeight="1">
      <c r="A140" s="24" t="inlineStr">
        <is>
          <t>8b2ca45d29a14de5</t>
        </is>
      </c>
      <c r="B140" s="24" t="inlineStr">
        <is>
          <t>2026-09-09T10:04:28.258161Z</t>
        </is>
      </c>
      <c r="C140" s="24" t="inlineStr">
        <is>
          <t>2026-09-09T11:00:00Z</t>
        </is>
      </c>
      <c r="D140" s="24" t="inlineStr">
        <is>
          <t>104538</t>
        </is>
      </c>
      <c r="E140" s="24" t="inlineStr">
        <is>
          <t>VALORANT</t>
        </is>
      </c>
      <c r="F140" s="24" t="inlineStr">
        <is>
          <t>Unsettled Resentment</t>
        </is>
      </c>
      <c r="G140" s="24" t="inlineStr">
        <is>
          <t>TEC Esports</t>
        </is>
      </c>
      <c r="H140" s="24" t="inlineStr">
        <is>
          <t>moneyline</t>
        </is>
      </c>
      <c r="I140" s="24" t="inlineStr">
        <is>
          <t>home</t>
        </is>
      </c>
      <c r="J140" s="25" t="n"/>
      <c r="K140" s="24" t="inlineStr">
        <is>
          <t>polymarket_us</t>
        </is>
      </c>
      <c r="L140" s="26" t="n">
        <v>-186</v>
      </c>
      <c r="M140" s="27" t="n">
        <v>1.537634</v>
      </c>
      <c r="N140" s="28" t="n">
        <v>0.65035</v>
      </c>
      <c r="O140" s="28" t="n">
        <v>0.564379</v>
      </c>
      <c r="P140" s="28" t="n"/>
      <c r="Q140" s="28" t="n">
        <v>-0.08597100000000001</v>
      </c>
      <c r="R140" s="26" t="n">
        <v>0</v>
      </c>
      <c r="S140" s="29" t="n">
        <v>1</v>
      </c>
      <c r="T140" s="24" t="inlineStr">
        <is>
          <t>valorant-tiered-elo-v6</t>
        </is>
      </c>
      <c r="U140" s="24" t="inlineStr">
        <is>
          <t>settled</t>
        </is>
      </c>
      <c r="V140" s="24" t="inlineStr">
        <is>
          <t>loss</t>
        </is>
      </c>
      <c r="W140" s="26" t="n">
        <v>1</v>
      </c>
      <c r="X140" s="26" t="n">
        <v>0</v>
      </c>
      <c r="Y140" s="25" t="n"/>
      <c r="Z140" s="26" t="n">
        <v>-186</v>
      </c>
      <c r="AA140" s="28" t="n">
        <v>0.65</v>
      </c>
      <c r="AB140" s="28" t="n">
        <v>-0.00035</v>
      </c>
      <c r="AC140" s="30" t="n">
        <v>-1</v>
      </c>
      <c r="AD140" s="24" t="inlineStr">
        <is>
          <t>2026-09-09T16:01:41.178564Z</t>
        </is>
      </c>
      <c r="AE140" s="31" t="inlineStr">
        <is>
          <t>Neutral Elo baseline; executable ask 0.6500 (market_slug=aec-valorant-tec-ur-2026-09-09).</t>
        </is>
      </c>
      <c r="AF140" s="31" t="inlineStr">
        <is>
          <t>Config-promoted esports baseline; gates enforced at log time.</t>
        </is>
      </c>
      <c r="AG140" s="24" t="inlineStr">
        <is>
          <t>review_required</t>
        </is>
      </c>
      <c r="AH140" s="24" t="n"/>
      <c r="AI140" s="31" t="n"/>
      <c r="AJ140" s="31" t="n"/>
      <c r="AK140" s="24" t="inlineStr">
        <is>
          <t>paper_call</t>
        </is>
      </c>
      <c r="AL140" s="26" t="n">
        <v>4</v>
      </c>
      <c r="AM140" s="24" t="inlineStr">
        <is>
          <t>RESEARCH_OBSERVATION</t>
        </is>
      </c>
      <c r="AN140" s="24" t="inlineStr">
        <is>
          <t>CALL</t>
        </is>
      </c>
      <c r="AO140" s="24" t="inlineStr">
        <is>
          <t>PAPER_CALL_LOW_EDGE</t>
        </is>
      </c>
      <c r="AP140" s="24" t="inlineStr">
        <is>
          <t>Unsettled Resentment</t>
        </is>
      </c>
      <c r="AQ140" s="24" t="inlineStr">
        <is>
          <t>Unsettled Resentment</t>
        </is>
      </c>
      <c r="AR140" s="24" t="inlineStr">
        <is>
          <t>Unsettled Resentment</t>
        </is>
      </c>
      <c r="AS140" s="24" t="inlineStr">
        <is>
          <t>TEC Esports</t>
        </is>
      </c>
      <c r="AT140" s="24" t="inlineStr">
        <is>
          <t>TEC Esports</t>
        </is>
      </c>
      <c r="AU140" s="24" t="inlineStr">
        <is>
          <t>TEC Esports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shadow_qualified</t>
        </is>
      </c>
      <c r="BA140" s="24" t="inlineStr">
        <is>
          <t>5ac1045478dc665c87b7ecb9f160d69a43fa4da1933db0ac94eb0cb358240e0b</t>
        </is>
      </c>
      <c r="BB140" s="24" t="inlineStr">
        <is>
          <t>neutral_elo</t>
        </is>
      </c>
      <c r="BC140" s="24" t="inlineStr">
        <is>
          <t>valorant-tiered-elo-v6</t>
        </is>
      </c>
      <c r="BD140" s="24" t="inlineStr">
        <is>
          <t>5ac1045478dc665c87b7ecb9f160d69a43fa4da1933db0ac94eb0cb358240e0b</t>
        </is>
      </c>
      <c r="BE140" s="24" t="inlineStr">
        <is>
          <t>1</t>
        </is>
      </c>
      <c r="BF140" s="24" t="inlineStr">
        <is>
          <t>1</t>
        </is>
      </c>
      <c r="BG140" s="24" t="inlineStr">
        <is>
          <t>valorant-tiered-elo-v6</t>
        </is>
      </c>
      <c r="BH140" s="24" t="inlineStr">
        <is>
          <t>2026-09-09T10:04:28.222904Z</t>
        </is>
      </c>
      <c r="BI140" s="24" t="inlineStr">
        <is>
          <t>["same_event","same_team_same_day","same_league_same_day"]</t>
        </is>
      </c>
      <c r="BJ140" s="25" t="n"/>
      <c r="BK140" s="26" t="n">
        <v>-186</v>
      </c>
      <c r="BL140" s="27" t="n">
        <v>1.537634</v>
      </c>
      <c r="BM140" s="28" t="n">
        <v>0.65035</v>
      </c>
      <c r="BN140" s="28" t="n"/>
      <c r="BO140" s="28" t="n"/>
      <c r="BP140" s="25" t="n"/>
      <c r="BQ140" s="27" t="n">
        <v>1.537634</v>
      </c>
      <c r="BR140" s="28" t="n">
        <v>0.65</v>
      </c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inlineStr">
        <is>
          <t>False</t>
        </is>
      </c>
      <c r="CT140" s="24" t="n"/>
      <c r="CU140" s="24" t="n"/>
      <c r="CV140" s="24" t="n"/>
      <c r="CW140" s="24" t="n"/>
      <c r="CX140" s="24" t="n"/>
      <c r="CY140" s="24" t="n"/>
      <c r="CZ140" s="24" t="n"/>
      <c r="DA140" s="24" t="n"/>
      <c r="DB140" s="24" t="n"/>
      <c r="DC140" s="24" t="n"/>
      <c r="DD140" s="24" t="n"/>
      <c r="DE140" s="24" t="n"/>
      <c r="DF140" s="24" t="n"/>
      <c r="DG140" s="24" t="n"/>
      <c r="DH140" s="24" t="n"/>
      <c r="DI140" s="24" t="n"/>
      <c r="DJ140" s="24" t="inlineStr">
        <is>
          <t>0.65035</t>
        </is>
      </c>
      <c r="DK140" s="24" t="n"/>
      <c r="DL140" s="24" t="n"/>
      <c r="DM140" s="24" t="n"/>
      <c r="DN140" s="24" t="n"/>
      <c r="DO140" s="24" t="n"/>
      <c r="DP140" s="24" t="n"/>
      <c r="DQ140" s="24" t="n"/>
    </row>
    <row r="141" ht="36" customHeight="1">
      <c r="A141" s="24" t="inlineStr">
        <is>
          <t>3ff4b77156c24323</t>
        </is>
      </c>
      <c r="B141" s="24" t="inlineStr">
        <is>
          <t>2026-09-09T16:04:45.726805Z</t>
        </is>
      </c>
      <c r="C141" s="24" t="inlineStr">
        <is>
          <t>2026-09-09T20:00:00Z</t>
        </is>
      </c>
      <c r="D141" s="24" t="inlineStr">
        <is>
          <t>105204</t>
        </is>
      </c>
      <c r="E141" s="24" t="inlineStr">
        <is>
          <t>VALORANT</t>
        </is>
      </c>
      <c r="F141" s="24" t="inlineStr">
        <is>
          <t>Ushiras</t>
        </is>
      </c>
      <c r="G141" s="24" t="inlineStr">
        <is>
          <t>Evil Geniuses GC</t>
        </is>
      </c>
      <c r="H141" s="24" t="inlineStr">
        <is>
          <t>moneyline</t>
        </is>
      </c>
      <c r="I141" s="24" t="inlineStr">
        <is>
          <t>home</t>
        </is>
      </c>
      <c r="J141" s="25" t="n"/>
      <c r="K141" s="24" t="inlineStr">
        <is>
          <t>polymarket_us</t>
        </is>
      </c>
      <c r="L141" s="26" t="n">
        <v>-223</v>
      </c>
      <c r="M141" s="27" t="n">
        <v>1.44843</v>
      </c>
      <c r="N141" s="28" t="n">
        <v>0.690402</v>
      </c>
      <c r="O141" s="28" t="n">
        <v>0.528883</v>
      </c>
      <c r="P141" s="28" t="n"/>
      <c r="Q141" s="28" t="n">
        <v>-0.161519</v>
      </c>
      <c r="R141" s="26" t="n">
        <v>0</v>
      </c>
      <c r="S141" s="29" t="n">
        <v>1</v>
      </c>
      <c r="T141" s="24" t="inlineStr">
        <is>
          <t>valorant-tiered-elo-v6</t>
        </is>
      </c>
      <c r="U141" s="24" t="inlineStr">
        <is>
          <t>settled</t>
        </is>
      </c>
      <c r="V141" s="24" t="inlineStr">
        <is>
          <t>win</t>
        </is>
      </c>
      <c r="W141" s="26" t="n">
        <v>0</v>
      </c>
      <c r="X141" s="26" t="n">
        <v>1</v>
      </c>
      <c r="Y141" s="25" t="n"/>
      <c r="Z141" s="26" t="n">
        <v>-223</v>
      </c>
      <c r="AA141" s="28" t="n">
        <v>0.6899999999999999</v>
      </c>
      <c r="AB141" s="28" t="n">
        <v>-0.000402</v>
      </c>
      <c r="AC141" s="30" t="n">
        <v>0.4484</v>
      </c>
      <c r="AD141" s="24" t="inlineStr">
        <is>
          <t>2026-09-09T22:03:17.596678Z</t>
        </is>
      </c>
      <c r="AE141" s="31" t="inlineStr">
        <is>
          <t>Neutral Elo baseline; executable ask 0.6900 (market_slug=aec-valorant-eggc-ushi-2026-09-09).</t>
        </is>
      </c>
      <c r="AF141" s="31" t="inlineStr">
        <is>
          <t>Config-promoted esports baseline; gates enforced at log time.</t>
        </is>
      </c>
      <c r="AG141" s="24" t="inlineStr">
        <is>
          <t>not_applicable</t>
        </is>
      </c>
      <c r="AH141" s="24" t="n"/>
      <c r="AI141" s="31" t="n"/>
      <c r="AJ141" s="31" t="n"/>
      <c r="AK141" s="24" t="inlineStr">
        <is>
          <t>paper_call</t>
        </is>
      </c>
      <c r="AL141" s="26" t="n">
        <v>4</v>
      </c>
      <c r="AM141" s="24" t="inlineStr">
        <is>
          <t>RESEARCH_OBSERVATION</t>
        </is>
      </c>
      <c r="AN141" s="24" t="inlineStr">
        <is>
          <t>CALL</t>
        </is>
      </c>
      <c r="AO141" s="24" t="inlineStr">
        <is>
          <t>PAPER_CALL_LOW_EDGE</t>
        </is>
      </c>
      <c r="AP141" s="24" t="inlineStr">
        <is>
          <t>Ushiras</t>
        </is>
      </c>
      <c r="AQ141" s="24" t="inlineStr">
        <is>
          <t>Ushiras</t>
        </is>
      </c>
      <c r="AR141" s="24" t="inlineStr">
        <is>
          <t>Ushiras</t>
        </is>
      </c>
      <c r="AS141" s="24" t="inlineStr">
        <is>
          <t>Evil Geniuses GC</t>
        </is>
      </c>
      <c r="AT141" s="24" t="inlineStr">
        <is>
          <t>Evil Geniuses GC</t>
        </is>
      </c>
      <c r="AU141" s="24" t="inlineStr">
        <is>
          <t>Evil Geniuses GC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shadow_qualified</t>
        </is>
      </c>
      <c r="BA141" s="24" t="inlineStr">
        <is>
          <t>7ad953a70200679b7eec0b8f9065bf29d8bbb96ad3d3324bb4236ce69b480a9f</t>
        </is>
      </c>
      <c r="BB141" s="24" t="inlineStr">
        <is>
          <t>neutral_elo</t>
        </is>
      </c>
      <c r="BC141" s="24" t="inlineStr">
        <is>
          <t>valorant-tiered-elo-v6</t>
        </is>
      </c>
      <c r="BD141" s="24" t="inlineStr">
        <is>
          <t>7ad953a70200679b7eec0b8f9065bf29d8bbb96ad3d3324bb4236ce69b480a9f</t>
        </is>
      </c>
      <c r="BE141" s="24" t="inlineStr">
        <is>
          <t>1</t>
        </is>
      </c>
      <c r="BF141" s="24" t="inlineStr">
        <is>
          <t>1</t>
        </is>
      </c>
      <c r="BG141" s="24" t="inlineStr">
        <is>
          <t>valorant-tiered-elo-v6</t>
        </is>
      </c>
      <c r="BH141" s="24" t="inlineStr">
        <is>
          <t>2026-09-09T16:04:45.451870Z</t>
        </is>
      </c>
      <c r="BI141" s="24" t="inlineStr">
        <is>
          <t>["same_event","same_team_same_day","same_league_same_day"]</t>
        </is>
      </c>
      <c r="BJ141" s="25" t="n"/>
      <c r="BK141" s="26" t="n">
        <v>-223</v>
      </c>
      <c r="BL141" s="27" t="n">
        <v>1.44843</v>
      </c>
      <c r="BM141" s="28" t="n">
        <v>0.690402</v>
      </c>
      <c r="BN141" s="28" t="n"/>
      <c r="BO141" s="28" t="n"/>
      <c r="BP141" s="25" t="n"/>
      <c r="BQ141" s="27" t="n">
        <v>1.44843</v>
      </c>
      <c r="BR141" s="28" t="n">
        <v>0.6899999999999999</v>
      </c>
      <c r="BS141" s="28" t="n"/>
      <c r="BT141" s="28" t="n"/>
      <c r="BU141" s="25" t="n"/>
      <c r="BV141" s="29" t="n"/>
      <c r="BW141" s="24" t="n"/>
      <c r="BX141" s="30" t="n"/>
      <c r="BY141" s="27" t="n"/>
      <c r="BZ141" s="24" t="n"/>
      <c r="CA141" s="31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n"/>
      <c r="CR141" s="24" t="n"/>
      <c r="CS141" s="24" t="inlineStr">
        <is>
          <t>False</t>
        </is>
      </c>
      <c r="CT141" s="24" t="n"/>
      <c r="CU141" s="24" t="n"/>
      <c r="CV141" s="24" t="n"/>
      <c r="CW141" s="24" t="n"/>
      <c r="CX141" s="24" t="n"/>
      <c r="CY141" s="24" t="n"/>
      <c r="CZ141" s="24" t="n"/>
      <c r="DA141" s="24" t="n"/>
      <c r="DB141" s="24" t="n"/>
      <c r="DC141" s="24" t="n"/>
      <c r="DD141" s="24" t="n"/>
      <c r="DE141" s="24" t="n"/>
      <c r="DF141" s="24" t="n"/>
      <c r="DG141" s="24" t="n"/>
      <c r="DH141" s="24" t="n"/>
      <c r="DI141" s="24" t="n"/>
      <c r="DJ141" s="24" t="inlineStr">
        <is>
          <t>0.690402</t>
        </is>
      </c>
      <c r="DK141" s="24" t="n"/>
      <c r="DL141" s="24" t="n"/>
      <c r="DM141" s="24" t="n"/>
      <c r="DN141" s="24" t="n"/>
      <c r="DO141" s="24" t="n"/>
      <c r="DP141" s="24" t="n"/>
      <c r="DQ141" s="24" t="n"/>
    </row>
    <row r="142" ht="36" customHeight="1">
      <c r="A142" s="24" t="inlineStr">
        <is>
          <t>c658a119d74a4252</t>
        </is>
      </c>
      <c r="B142" s="24" t="inlineStr">
        <is>
          <t>2026-09-09T22:07:27.370053Z</t>
        </is>
      </c>
      <c r="C142" s="24" t="inlineStr">
        <is>
          <t>2026-09-09T23:00:00Z</t>
        </is>
      </c>
      <c r="D142" s="24" t="inlineStr">
        <is>
          <t>105310</t>
        </is>
      </c>
      <c r="E142" s="24" t="inlineStr">
        <is>
          <t>VALORANT</t>
        </is>
      </c>
      <c r="F142" s="24" t="inlineStr">
        <is>
          <t>Team Liquid Brazil</t>
        </is>
      </c>
      <c r="G142" s="24" t="inlineStr">
        <is>
          <t>MIBR GC</t>
        </is>
      </c>
      <c r="H142" s="24" t="inlineStr">
        <is>
          <t>moneyline</t>
        </is>
      </c>
      <c r="I142" s="24" t="inlineStr">
        <is>
          <t>home</t>
        </is>
      </c>
      <c r="J142" s="25" t="n"/>
      <c r="K142" s="24" t="inlineStr">
        <is>
          <t>polymarket_us</t>
        </is>
      </c>
      <c r="L142" s="26" t="n">
        <v>-108</v>
      </c>
      <c r="M142" s="27" t="n">
        <v>1.925926</v>
      </c>
      <c r="N142" s="28" t="n">
        <v>0.519231</v>
      </c>
      <c r="O142" s="28" t="n">
        <v>0.684821</v>
      </c>
      <c r="P142" s="28" t="n"/>
      <c r="Q142" s="28" t="n">
        <v>0.16559</v>
      </c>
      <c r="R142" s="26" t="n">
        <v>100</v>
      </c>
      <c r="S142" s="29" t="n">
        <v>1.75</v>
      </c>
      <c r="T142" s="24" t="inlineStr">
        <is>
          <t>valorant-tiered-elo-v6</t>
        </is>
      </c>
      <c r="U142" s="24" t="inlineStr">
        <is>
          <t>settled</t>
        </is>
      </c>
      <c r="V142" s="24" t="inlineStr">
        <is>
          <t>loss</t>
        </is>
      </c>
      <c r="W142" s="26" t="n">
        <v>1</v>
      </c>
      <c r="X142" s="26" t="n">
        <v>0</v>
      </c>
      <c r="Y142" s="25" t="n"/>
      <c r="Z142" s="26" t="n">
        <v>-108</v>
      </c>
      <c r="AA142" s="28" t="n">
        <v>0.52</v>
      </c>
      <c r="AB142" s="28" t="n">
        <v>0.000769</v>
      </c>
      <c r="AC142" s="30" t="n">
        <v>-1.75</v>
      </c>
      <c r="AD142" s="24" t="inlineStr">
        <is>
          <t>2026-09-10T04:33:15.896651Z</t>
        </is>
      </c>
      <c r="AE142" s="31" t="inlineStr">
        <is>
          <t>Neutral Elo baseline; executable ask 0.5200 (market_slug=aec-valorant-mibrf-tlb-2026-09-09).</t>
        </is>
      </c>
      <c r="AF142" s="31" t="inlineStr">
        <is>
          <t>Config-promoted esports baseline; gates enforced at log time.</t>
        </is>
      </c>
      <c r="AG142" s="24" t="inlineStr">
        <is>
          <t>review_required</t>
        </is>
      </c>
      <c r="AH142" s="24" t="n"/>
      <c r="AI142" s="31" t="n"/>
      <c r="AJ142" s="31" t="n"/>
      <c r="AK142" s="24" t="inlineStr">
        <is>
          <t>model_qualified</t>
        </is>
      </c>
      <c r="AL142" s="26" t="n">
        <v>4</v>
      </c>
      <c r="AM142" s="24" t="inlineStr">
        <is>
          <t>QUALIFIED_SHADOW_CALL</t>
        </is>
      </c>
      <c r="AN142" s="24" t="inlineStr">
        <is>
          <t>CALL</t>
        </is>
      </c>
      <c r="AO142" s="24" t="inlineStr">
        <is>
          <t>QUALIFIED</t>
        </is>
      </c>
      <c r="AP142" s="24" t="inlineStr">
        <is>
          <t>Team Liquid Brazil</t>
        </is>
      </c>
      <c r="AQ142" s="24" t="inlineStr">
        <is>
          <t>Team Liquid Brazil</t>
        </is>
      </c>
      <c r="AR142" s="24" t="inlineStr">
        <is>
          <t>Team Liquid Brazil</t>
        </is>
      </c>
      <c r="AS142" s="24" t="inlineStr">
        <is>
          <t>MIBR GC</t>
        </is>
      </c>
      <c r="AT142" s="24" t="inlineStr">
        <is>
          <t>MIBR GC</t>
        </is>
      </c>
      <c r="AU142" s="24" t="inlineStr">
        <is>
          <t>MIBR GC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shadow_qualified</t>
        </is>
      </c>
      <c r="BA142" s="24" t="inlineStr">
        <is>
          <t>d0204eec7fc038eeb4f16dffb6495d6f401d88c5f65327efa9eb428f3cb376e3</t>
        </is>
      </c>
      <c r="BB142" s="24" t="inlineStr">
        <is>
          <t>neutral_elo</t>
        </is>
      </c>
      <c r="BC142" s="24" t="inlineStr">
        <is>
          <t>valorant-tiered-elo-v6</t>
        </is>
      </c>
      <c r="BD142" s="24" t="inlineStr">
        <is>
          <t>d0204eec7fc038eeb4f16dffb6495d6f401d88c5f65327efa9eb428f3cb376e3</t>
        </is>
      </c>
      <c r="BE142" s="24" t="inlineStr">
        <is>
          <t>1</t>
        </is>
      </c>
      <c r="BF142" s="24" t="inlineStr">
        <is>
          <t>1</t>
        </is>
      </c>
      <c r="BG142" s="24" t="inlineStr">
        <is>
          <t>valorant-tiered-elo-v6</t>
        </is>
      </c>
      <c r="BH142" s="24" t="inlineStr">
        <is>
          <t>2026-09-09T22:07:27.098090Z</t>
        </is>
      </c>
      <c r="BI142" s="24" t="inlineStr">
        <is>
          <t>["same_event","same_team_same_day","same_league_same_day"]</t>
        </is>
      </c>
      <c r="BJ142" s="25" t="n"/>
      <c r="BK142" s="26" t="n">
        <v>-108</v>
      </c>
      <c r="BL142" s="27" t="n">
        <v>1.925926</v>
      </c>
      <c r="BM142" s="28" t="n">
        <v>0.519231</v>
      </c>
      <c r="BN142" s="28" t="n"/>
      <c r="BO142" s="28" t="n"/>
      <c r="BP142" s="25" t="n"/>
      <c r="BQ142" s="27" t="n">
        <v>1.925926</v>
      </c>
      <c r="BR142" s="28" t="n">
        <v>0.52</v>
      </c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inlineStr">
        <is>
          <t>True</t>
        </is>
      </c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/>
      <c r="DH142" s="24" t="n"/>
      <c r="DI142" s="24" t="n"/>
      <c r="DJ142" s="24" t="inlineStr">
        <is>
          <t>0.519231</t>
        </is>
      </c>
      <c r="DK142" s="24" t="n"/>
      <c r="DL142" s="24" t="n"/>
      <c r="DM142" s="24" t="n"/>
      <c r="DN142" s="24" t="n"/>
      <c r="DO142" s="24" t="n"/>
      <c r="DP142" s="24" t="n"/>
      <c r="DQ142" s="24" t="n"/>
    </row>
    <row r="143" ht="36" customHeight="1">
      <c r="A143" s="24" t="inlineStr">
        <is>
          <t>0425540b86e24d42</t>
        </is>
      </c>
      <c r="B143" s="24" t="inlineStr">
        <is>
          <t>2026-09-10T10:04:52.886878Z</t>
        </is>
      </c>
      <c r="C143" s="24" t="inlineStr">
        <is>
          <t>2026-09-10T16:00:00Z</t>
        </is>
      </c>
      <c r="D143" s="24" t="inlineStr">
        <is>
          <t>108290</t>
        </is>
      </c>
      <c r="E143" s="24" t="inlineStr">
        <is>
          <t>VALORANT</t>
        </is>
      </c>
      <c r="F143" s="24" t="inlineStr">
        <is>
          <t>RIZON</t>
        </is>
      </c>
      <c r="G143" s="24" t="inlineStr">
        <is>
          <t>GamerZ Esports</t>
        </is>
      </c>
      <c r="H143" s="24" t="inlineStr">
        <is>
          <t>moneyline</t>
        </is>
      </c>
      <c r="I143" s="24" t="inlineStr">
        <is>
          <t>home</t>
        </is>
      </c>
      <c r="J143" s="25" t="n"/>
      <c r="K143" s="24" t="inlineStr">
        <is>
          <t>polymarket_us</t>
        </is>
      </c>
      <c r="L143" s="26" t="n">
        <v>108</v>
      </c>
      <c r="M143" s="27" t="n">
        <v>2.08</v>
      </c>
      <c r="N143" s="28" t="n">
        <v>0.480769</v>
      </c>
      <c r="O143" s="28" t="n">
        <v>0.558507</v>
      </c>
      <c r="P143" s="28" t="n"/>
      <c r="Q143" s="28" t="n">
        <v>0.077738</v>
      </c>
      <c r="R143" s="26" t="n">
        <v>59</v>
      </c>
      <c r="S143" s="29" t="n">
        <v>1.25</v>
      </c>
      <c r="T143" s="24" t="inlineStr">
        <is>
          <t>valorant-tiered-elo-v6</t>
        </is>
      </c>
      <c r="U143" s="24" t="inlineStr">
        <is>
          <t>settled</t>
        </is>
      </c>
      <c r="V143" s="24" t="inlineStr">
        <is>
          <t>loss</t>
        </is>
      </c>
      <c r="W143" s="26" t="n">
        <v>1</v>
      </c>
      <c r="X143" s="26" t="n">
        <v>0</v>
      </c>
      <c r="Y143" s="25" t="n"/>
      <c r="Z143" s="26" t="n">
        <v>108</v>
      </c>
      <c r="AA143" s="28" t="n">
        <v>0.48</v>
      </c>
      <c r="AB143" s="28" t="n">
        <v>-0.000769</v>
      </c>
      <c r="AC143" s="30" t="n">
        <v>-1.25</v>
      </c>
      <c r="AD143" s="24" t="inlineStr">
        <is>
          <t>2026-09-10T22:02:13.704494Z</t>
        </is>
      </c>
      <c r="AE143" s="31" t="inlineStr">
        <is>
          <t>Neutral Elo baseline; executable ask 0.4800 (market_slug=aec-valorant-gze-rzn-2026-09-10).</t>
        </is>
      </c>
      <c r="AF143" s="31" t="inlineStr">
        <is>
          <t>Config-promoted esports baseline; gates enforced at log time.</t>
        </is>
      </c>
      <c r="AG143" s="24" t="inlineStr">
        <is>
          <t>review_required</t>
        </is>
      </c>
      <c r="AH143" s="24" t="n"/>
      <c r="AI143" s="31" t="n"/>
      <c r="AJ143" s="31" t="n"/>
      <c r="AK143" s="24" t="inlineStr">
        <is>
          <t>model_qualified</t>
        </is>
      </c>
      <c r="AL143" s="26" t="n">
        <v>4</v>
      </c>
      <c r="AM143" s="24" t="inlineStr">
        <is>
          <t>QUALIFIED_SHADOW_CALL</t>
        </is>
      </c>
      <c r="AN143" s="24" t="inlineStr">
        <is>
          <t>CALL</t>
        </is>
      </c>
      <c r="AO143" s="24" t="inlineStr">
        <is>
          <t>QUALIFIED</t>
        </is>
      </c>
      <c r="AP143" s="24" t="inlineStr">
        <is>
          <t>RIZON</t>
        </is>
      </c>
      <c r="AQ143" s="24" t="inlineStr">
        <is>
          <t>RIZON</t>
        </is>
      </c>
      <c r="AR143" s="24" t="inlineStr">
        <is>
          <t>RIZON</t>
        </is>
      </c>
      <c r="AS143" s="24" t="inlineStr">
        <is>
          <t>GamerZ Esports</t>
        </is>
      </c>
      <c r="AT143" s="24" t="inlineStr">
        <is>
          <t>GamerZ Esports</t>
        </is>
      </c>
      <c r="AU143" s="24" t="inlineStr">
        <is>
          <t>GamerZ Esports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shadow_qualified</t>
        </is>
      </c>
      <c r="BA143" s="24" t="inlineStr">
        <is>
          <t>19b2bac58d385275734aeed6e05c71be11ed573253f35092d3915725388d44ac</t>
        </is>
      </c>
      <c r="BB143" s="24" t="inlineStr">
        <is>
          <t>neutral_elo</t>
        </is>
      </c>
      <c r="BC143" s="24" t="inlineStr">
        <is>
          <t>valorant-tiered-elo-v6</t>
        </is>
      </c>
      <c r="BD143" s="24" t="inlineStr">
        <is>
          <t>19b2bac58d385275734aeed6e05c71be11ed573253f35092d3915725388d44ac</t>
        </is>
      </c>
      <c r="BE143" s="24" t="inlineStr">
        <is>
          <t>1</t>
        </is>
      </c>
      <c r="BF143" s="24" t="inlineStr">
        <is>
          <t>1</t>
        </is>
      </c>
      <c r="BG143" s="24" t="inlineStr">
        <is>
          <t>valorant-tiered-elo-v6</t>
        </is>
      </c>
      <c r="BH143" s="24" t="inlineStr">
        <is>
          <t>2026-09-10T10:04:52.518620Z</t>
        </is>
      </c>
      <c r="BI143" s="24" t="inlineStr">
        <is>
          <t>["same_event","same_team_same_day","same_league_same_day"]</t>
        </is>
      </c>
      <c r="BJ143" s="25" t="n"/>
      <c r="BK143" s="26" t="n">
        <v>108</v>
      </c>
      <c r="BL143" s="27" t="n">
        <v>2.08</v>
      </c>
      <c r="BM143" s="28" t="n">
        <v>0.480769</v>
      </c>
      <c r="BN143" s="28" t="n"/>
      <c r="BO143" s="28" t="n"/>
      <c r="BP143" s="25" t="n"/>
      <c r="BQ143" s="27" t="n">
        <v>2.08</v>
      </c>
      <c r="BR143" s="28" t="n">
        <v>0.48</v>
      </c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n"/>
      <c r="CR143" s="24" t="n"/>
      <c r="CS143" s="24" t="inlineStr">
        <is>
          <t>True</t>
        </is>
      </c>
      <c r="CT143" s="24" t="n"/>
      <c r="CU143" s="24" t="n"/>
      <c r="CV143" s="24" t="n"/>
      <c r="CW143" s="24" t="n"/>
      <c r="CX143" s="24" t="n"/>
      <c r="CY143" s="24" t="n"/>
      <c r="CZ143" s="24" t="n"/>
      <c r="DA143" s="24" t="n"/>
      <c r="DB143" s="24" t="n"/>
      <c r="DC143" s="24" t="n"/>
      <c r="DD143" s="24" t="n"/>
      <c r="DE143" s="24" t="n"/>
      <c r="DF143" s="24" t="n"/>
      <c r="DG143" s="24" t="n"/>
      <c r="DH143" s="24" t="n"/>
      <c r="DI143" s="24" t="n"/>
      <c r="DJ143" s="24" t="inlineStr">
        <is>
          <t>0.480769</t>
        </is>
      </c>
      <c r="DK143" s="24" t="n"/>
      <c r="DL143" s="24" t="n"/>
      <c r="DM143" s="24" t="n"/>
      <c r="DN143" s="24" t="n"/>
      <c r="DO143" s="24" t="n"/>
      <c r="DP143" s="24" t="n"/>
      <c r="DQ143" s="24" t="inlineStr">
        <is>
          <t>{"artifact_hash": "19b2bac58d385275734aeed6e05c71be11ed573253f35092d3915725388d44ac", "away_team": "RIZON", "event_id": "108290", "event_start_utc": "2026-09-10T16:00:00Z", "features": {"away_elo": 1535.318487, "away_history_count": 55, "home_elo": 1600.361158, "home_history_count": 4}, "historical_source_observation_times_verified": false, "home_team": "GamerZ Esports", "inference_inputs": {"book_state": {"games_played": {"bo3:2:25252": 4, "bo3:2:6695": 55}, "inactivity_half_life_days": null, "inactivity_max_pull": null, "k": 64.0, "last_match_utc": {"bo3:2:25252": "2026-09-09T16:00:00Z", "bo3:2:6695": "2026-09-09T18:15:00Z"}, "minimum_reliable_games": null, "platt_intercept": 0.11519128846156909, "platt_slope": 0.7616123118983246, "ratings": {"bo3:2:25252": 1600.361158, "bo3:2:6695": 1535.318487},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"2026-09-10T10:04:52.248444+00:00", "team_ids": ["bo3:2:25252", "bo3:2:6695"]}, "market_type": "moneyline", "model_version": "valorant-tiered-elo-v6", "observed_at_utc": "2026-09-10T10:04:52.248444+00:00", "probabilities": {"away": 0.441493, "home": 0.558507}, "replay_scope": "Exact serving book state, calibration, temperature, inactivity reference and thin-history adjustments; training provenance not certified.", "schema": "esports-elo-replay-v1", "snapshot_hash": "df66d0278a5e14c9d38631f7862b318af2370acc9a1464acf4fddd15723aa053", "sport": "VALORANT"}</t>
        </is>
      </c>
    </row>
    <row r="144" ht="36" customHeight="1">
      <c r="A144" s="24" t="inlineStr">
        <is>
          <t>6353f3d366b742ac</t>
        </is>
      </c>
      <c r="B144" s="24" t="inlineStr">
        <is>
          <t>2026-09-11T04:34:25.713292Z</t>
        </is>
      </c>
      <c r="C144" s="24" t="inlineStr">
        <is>
          <t>2026-09-11T09:00:00Z</t>
        </is>
      </c>
      <c r="D144" s="24" t="inlineStr">
        <is>
          <t>107799</t>
        </is>
      </c>
      <c r="E144" s="24" t="inlineStr">
        <is>
          <t>VALORANT</t>
        </is>
      </c>
      <c r="F144" s="24" t="inlineStr">
        <is>
          <t>Unsettled Resentment</t>
        </is>
      </c>
      <c r="G144" s="24" t="inlineStr">
        <is>
          <t>KeepBest Gaming</t>
        </is>
      </c>
      <c r="H144" s="24" t="inlineStr">
        <is>
          <t>moneyline</t>
        </is>
      </c>
      <c r="I144" s="24" t="inlineStr">
        <is>
          <t>away</t>
        </is>
      </c>
      <c r="J144" s="25" t="n"/>
      <c r="K144" s="24" t="inlineStr">
        <is>
          <t>polymarket_us</t>
        </is>
      </c>
      <c r="L144" s="26" t="n">
        <v>-113</v>
      </c>
      <c r="M144" s="27" t="n">
        <v>1.884956</v>
      </c>
      <c r="N144" s="28" t="n">
        <v>0.530516</v>
      </c>
      <c r="O144" s="28" t="n">
        <v>0.537999</v>
      </c>
      <c r="P144" s="28" t="n"/>
      <c r="Q144" s="28" t="n">
        <v>0.007483</v>
      </c>
      <c r="R144" s="26" t="n">
        <v>24</v>
      </c>
      <c r="S144" s="29" t="n">
        <v>1</v>
      </c>
      <c r="T144" s="24" t="inlineStr">
        <is>
          <t>valorant-tiered-elo-v6</t>
        </is>
      </c>
      <c r="U144" s="24" t="inlineStr">
        <is>
          <t>settled</t>
        </is>
      </c>
      <c r="V144" s="24" t="inlineStr">
        <is>
          <t>loss</t>
        </is>
      </c>
      <c r="W144" s="26" t="n">
        <v>0</v>
      </c>
      <c r="X144" s="26" t="n">
        <v>1</v>
      </c>
      <c r="Y144" s="25" t="n"/>
      <c r="Z144" s="26" t="n">
        <v>-113</v>
      </c>
      <c r="AA144" s="28" t="n">
        <v>0.53</v>
      </c>
      <c r="AB144" s="28" t="n">
        <v>-0.000516</v>
      </c>
      <c r="AC144" s="30" t="n">
        <v>-1</v>
      </c>
      <c r="AD144" s="24" t="inlineStr">
        <is>
          <t>2026-09-11T16:01:47.079926Z</t>
        </is>
      </c>
      <c r="AE144" s="31" t="inlineStr">
        <is>
          <t>Neutral Elo baseline; executable ask 0.5300 (market_slug=aec-valorant-kbg-ur-2026-09-11).</t>
        </is>
      </c>
      <c r="AF144" s="31" t="inlineStr">
        <is>
          <t>Config-promoted esports baseline; gates enforced at log time.</t>
        </is>
      </c>
      <c r="AG144" s="24" t="inlineStr">
        <is>
          <t>review_required</t>
        </is>
      </c>
      <c r="AH144" s="24" t="n"/>
      <c r="AI144" s="31" t="n"/>
      <c r="AJ144" s="31" t="n"/>
      <c r="AK144" s="24" t="inlineStr">
        <is>
          <t>paper_call</t>
        </is>
      </c>
      <c r="AL144" s="26" t="n">
        <v>4</v>
      </c>
      <c r="AM144" s="24" t="inlineStr">
        <is>
          <t>RESEARCH_OBSERVATION</t>
        </is>
      </c>
      <c r="AN144" s="24" t="inlineStr">
        <is>
          <t>CALL</t>
        </is>
      </c>
      <c r="AO144" s="24" t="inlineStr">
        <is>
          <t>PAPER_CALL_LOW_EDGE</t>
        </is>
      </c>
      <c r="AP144" s="24" t="inlineStr">
        <is>
          <t>Unsettled Resentment</t>
        </is>
      </c>
      <c r="AQ144" s="24" t="inlineStr">
        <is>
          <t>Unsettled Resentment</t>
        </is>
      </c>
      <c r="AR144" s="24" t="inlineStr">
        <is>
          <t>Unsettled Resentment</t>
        </is>
      </c>
      <c r="AS144" s="24" t="inlineStr">
        <is>
          <t>KeepBest Gaming</t>
        </is>
      </c>
      <c r="AT144" s="24" t="inlineStr">
        <is>
          <t>KeepBest Gaming</t>
        </is>
      </c>
      <c r="AU144" s="24" t="inlineStr">
        <is>
          <t>KeepBest Gaming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shadow_qualified</t>
        </is>
      </c>
      <c r="BA144" s="24" t="inlineStr">
        <is>
          <t>e67d42f954f3ce99e469a94fb9ffc5942987caec40bae5fcd694c259c49de120</t>
        </is>
      </c>
      <c r="BB144" s="24" t="inlineStr">
        <is>
          <t>neutral_elo</t>
        </is>
      </c>
      <c r="BC144" s="24" t="inlineStr">
        <is>
          <t>valorant-tiered-elo-v6</t>
        </is>
      </c>
      <c r="BD144" s="24" t="inlineStr">
        <is>
          <t>e67d42f954f3ce99e469a94fb9ffc5942987caec40bae5fcd694c259c49de120</t>
        </is>
      </c>
      <c r="BE144" s="24" t="inlineStr">
        <is>
          <t>1</t>
        </is>
      </c>
      <c r="BF144" s="24" t="inlineStr">
        <is>
          <t>1</t>
        </is>
      </c>
      <c r="BG144" s="24" t="inlineStr">
        <is>
          <t>valorant-tiered-elo-v6</t>
        </is>
      </c>
      <c r="BH144" s="24" t="inlineStr">
        <is>
          <t>2026-09-11T04:34:25.339612Z</t>
        </is>
      </c>
      <c r="BI144" s="24" t="inlineStr">
        <is>
          <t>["same_event","same_team_same_day","same_league_same_day"]</t>
        </is>
      </c>
      <c r="BJ144" s="25" t="n"/>
      <c r="BK144" s="26" t="n">
        <v>-113</v>
      </c>
      <c r="BL144" s="27" t="n">
        <v>1.884956</v>
      </c>
      <c r="BM144" s="28" t="n">
        <v>0.530516</v>
      </c>
      <c r="BN144" s="28" t="n"/>
      <c r="BO144" s="28" t="n"/>
      <c r="BP144" s="25" t="n"/>
      <c r="BQ144" s="27" t="n">
        <v>1.884956</v>
      </c>
      <c r="BR144" s="28" t="n">
        <v>0.53</v>
      </c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n"/>
      <c r="CR144" s="24" t="n"/>
      <c r="CS144" s="24" t="inlineStr">
        <is>
          <t>True</t>
        </is>
      </c>
      <c r="CT144" s="24" t="n"/>
      <c r="CU144" s="24" t="n"/>
      <c r="CV144" s="24" t="n"/>
      <c r="CW144" s="24" t="n"/>
      <c r="CX144" s="24" t="n"/>
      <c r="CY144" s="24" t="n"/>
      <c r="CZ144" s="24" t="n"/>
      <c r="DA144" s="24" t="n"/>
      <c r="DB144" s="24" t="n"/>
      <c r="DC144" s="24" t="n"/>
      <c r="DD144" s="24" t="n"/>
      <c r="DE144" s="24" t="n"/>
      <c r="DF144" s="24" t="n"/>
      <c r="DG144" s="24" t="n"/>
      <c r="DH144" s="24" t="n"/>
      <c r="DI144" s="24" t="n"/>
      <c r="DJ144" s="24" t="inlineStr">
        <is>
          <t>0.530516</t>
        </is>
      </c>
      <c r="DK144" s="24" t="n"/>
      <c r="DL144" s="24" t="n"/>
      <c r="DM144" s="24" t="n"/>
      <c r="DN144" s="24" t="n"/>
      <c r="DO144" s="24" t="n"/>
      <c r="DP144" s="24" t="n"/>
      <c r="DQ144" s="24" t="inlineStr">
        <is>
          <t>{"artifact_hash": "e67d42f954f3ce99e469a94fb9ffc5942987caec40bae5fcd694c259c49de120", "away_team": "Unsettled Resentment", "event_id": "107799", "event_start_utc": "2026-09-11T09:00:00Z", "features": {"away_elo": 1558.877941, "away_history_count": 3, "home_elo": 1467.176404, "home_history_count": 18}, "historical_source_observation_times_verified": false, "home_team": "KeepBest Gaming", "inference_inputs": {"book_state": {"games_played": {"bo3:2:24033": 3, "bo3:2:8910": 18}, "inactivity_half_life_days": null, "inactivity_max_pull": null, "k": 64.0, "last_match_utc": {"bo3:2:24033": "2026-09-09T11:20:00Z", "bo3:2:8910": "2026-09-09T09:00:00Z"}, "minimum_reliable_games": null, "platt_intercept": 0.11784152432970103, "platt_slope": 0.7605082479919927, "ratings": {"bo3:2:24033": 1558.877941, "bo3:2:8910": 1467.176404},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"2026-09-11T04:34:25.268861+00:00", "team_ids": ["bo3:2:8910", "bo3:2:24033"]}, "market_type": "moneyline", "model_version": "valorant-tiered-elo-v6", "observed_at_utc": "2026-09-11T04:34:25.268861+00:00", "probabilities": {"away": 0.537999, "home": 0.462001}, "replay_scope": "Exact serving book state, calibration, temperature, inactivity reference and thin-history adjustments; training provenance not certified.", "schema": "esports-elo-replay-v1", "snapshot_hash": "be3a98d7caec03e361c2a3478070241abdfd363482fe69e863487e55a9ebe218", "sport": "VALORANT"}</t>
        </is>
      </c>
    </row>
    <row r="145" ht="36" customHeight="1">
      <c r="A145" s="24" t="inlineStr">
        <is>
          <t>ee571dcb5afb4a6c</t>
        </is>
      </c>
      <c r="B145" s="24" t="inlineStr">
        <is>
          <t>2026-09-12T04:38:16.903854Z</t>
        </is>
      </c>
      <c r="C145" s="24" t="inlineStr">
        <is>
          <t>2026-09-12T09:00:00Z</t>
        </is>
      </c>
      <c r="D145" s="24" t="inlineStr">
        <is>
          <t>109526</t>
        </is>
      </c>
      <c r="E145" s="24" t="inlineStr">
        <is>
          <t>VALORANT</t>
        </is>
      </c>
      <c r="F145" s="24" t="inlineStr">
        <is>
          <t>Any Questions Gaming</t>
        </is>
      </c>
      <c r="G145" s="24" t="inlineStr">
        <is>
          <t>Unsettled Resentment</t>
        </is>
      </c>
      <c r="H145" s="24" t="inlineStr">
        <is>
          <t>moneyline</t>
        </is>
      </c>
      <c r="I145" s="24" t="inlineStr">
        <is>
          <t>home</t>
        </is>
      </c>
      <c r="J145" s="25" t="n"/>
      <c r="K145" s="24" t="inlineStr">
        <is>
          <t>polymarket_us</t>
        </is>
      </c>
      <c r="L145" s="26" t="n">
        <v>144</v>
      </c>
      <c r="M145" s="27" t="n">
        <v>2.44</v>
      </c>
      <c r="N145" s="28" t="n">
        <v>0.409836</v>
      </c>
      <c r="O145" s="28" t="n">
        <v>0.514889</v>
      </c>
      <c r="P145" s="28" t="n"/>
      <c r="Q145" s="28" t="n">
        <v>0.105053</v>
      </c>
      <c r="R145" s="26" t="n">
        <v>73</v>
      </c>
      <c r="S145" s="29" t="n">
        <v>1.25</v>
      </c>
      <c r="T145" s="24" t="inlineStr">
        <is>
          <t>valorant-tiered-elo-v6</t>
        </is>
      </c>
      <c r="U145" s="24" t="inlineStr">
        <is>
          <t>settled</t>
        </is>
      </c>
      <c r="V145" s="24" t="inlineStr">
        <is>
          <t>loss</t>
        </is>
      </c>
      <c r="W145" s="26" t="n">
        <v>1</v>
      </c>
      <c r="X145" s="26" t="n">
        <v>0</v>
      </c>
      <c r="Y145" s="25" t="n"/>
      <c r="Z145" s="26" t="n">
        <v>144</v>
      </c>
      <c r="AA145" s="28" t="n">
        <v>0.41</v>
      </c>
      <c r="AB145" s="28" t="n">
        <v>0.000164</v>
      </c>
      <c r="AC145" s="30" t="n">
        <v>-1.25</v>
      </c>
      <c r="AD145" s="24" t="inlineStr">
        <is>
          <t>2026-09-12T16:02:01.315822Z</t>
        </is>
      </c>
      <c r="AE145" s="31" t="inlineStr">
        <is>
          <t>Neutral Elo baseline; executable ask 0.4100 (market_slug=aec-valorant-ur-aq-2026-09-12).</t>
        </is>
      </c>
      <c r="AF145" s="31" t="inlineStr">
        <is>
          <t>Config-promoted esports baseline; gates enforced at log time.</t>
        </is>
      </c>
      <c r="AG145" s="24" t="inlineStr">
        <is>
          <t>review_required</t>
        </is>
      </c>
      <c r="AH145" s="24" t="n"/>
      <c r="AI145" s="31" t="n"/>
      <c r="AJ145" s="31" t="n"/>
      <c r="AK145" s="24" t="inlineStr">
        <is>
          <t>model_qualified</t>
        </is>
      </c>
      <c r="AL145" s="26" t="n">
        <v>4</v>
      </c>
      <c r="AM145" s="24" t="inlineStr">
        <is>
          <t>QUALIFIED_SHADOW_CALL</t>
        </is>
      </c>
      <c r="AN145" s="24" t="inlineStr">
        <is>
          <t>CALL</t>
        </is>
      </c>
      <c r="AO145" s="24" t="inlineStr">
        <is>
          <t>QUALIFIED</t>
        </is>
      </c>
      <c r="AP145" s="24" t="inlineStr">
        <is>
          <t>Any Questions Gaming</t>
        </is>
      </c>
      <c r="AQ145" s="24" t="inlineStr">
        <is>
          <t>Any Questions Gaming</t>
        </is>
      </c>
      <c r="AR145" s="24" t="inlineStr">
        <is>
          <t>Any Questions Gaming</t>
        </is>
      </c>
      <c r="AS145" s="24" t="inlineStr">
        <is>
          <t>Unsettled Resentment</t>
        </is>
      </c>
      <c r="AT145" s="24" t="inlineStr">
        <is>
          <t>Unsettled Resentment</t>
        </is>
      </c>
      <c r="AU145" s="24" t="inlineStr">
        <is>
          <t>Unsettled Resentment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shadow_qualified</t>
        </is>
      </c>
      <c r="BA145" s="24" t="inlineStr">
        <is>
          <t>ff1cf1396ff446351447ec4ea48c59588447beaf6571f3a0dc9041cc03e94ad4</t>
        </is>
      </c>
      <c r="BB145" s="24" t="inlineStr">
        <is>
          <t>neutral_elo</t>
        </is>
      </c>
      <c r="BC145" s="24" t="inlineStr">
        <is>
          <t>valorant-tiered-elo-v6</t>
        </is>
      </c>
      <c r="BD145" s="24" t="inlineStr">
        <is>
          <t>ff1cf1396ff446351447ec4ea48c59588447beaf6571f3a0dc9041cc03e94ad4</t>
        </is>
      </c>
      <c r="BE145" s="24" t="inlineStr">
        <is>
          <t>1</t>
        </is>
      </c>
      <c r="BF145" s="24" t="inlineStr">
        <is>
          <t>1</t>
        </is>
      </c>
      <c r="BG145" s="24" t="inlineStr">
        <is>
          <t>valorant-tiered-elo-v6</t>
        </is>
      </c>
      <c r="BH145" s="24" t="inlineStr">
        <is>
          <t>2026-09-12T04:38:16.614446Z</t>
        </is>
      </c>
      <c r="BI145" s="24" t="inlineStr">
        <is>
          <t>["same_event","same_team_same_day","same_league_same_day"]</t>
        </is>
      </c>
      <c r="BJ145" s="25" t="n"/>
      <c r="BK145" s="26" t="n">
        <v>144</v>
      </c>
      <c r="BL145" s="27" t="n">
        <v>2.44</v>
      </c>
      <c r="BM145" s="28" t="n">
        <v>0.409836</v>
      </c>
      <c r="BN145" s="28" t="n"/>
      <c r="BO145" s="28" t="n"/>
      <c r="BP145" s="25" t="n"/>
      <c r="BQ145" s="27" t="n">
        <v>2.44</v>
      </c>
      <c r="BR145" s="28" t="n">
        <v>0.41</v>
      </c>
      <c r="BS145" s="28" t="n"/>
      <c r="BT145" s="28" t="n"/>
      <c r="BU145" s="25" t="n"/>
      <c r="BV145" s="29" t="n"/>
      <c r="BW145" s="24" t="n"/>
      <c r="BX145" s="30" t="n"/>
      <c r="BY145" s="27" t="n"/>
      <c r="BZ145" s="24" t="n"/>
      <c r="CA145" s="31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n"/>
      <c r="CQ145" s="24" t="n"/>
      <c r="CR145" s="24" t="n"/>
      <c r="CS145" s="24" t="inlineStr">
        <is>
          <t>True</t>
        </is>
      </c>
      <c r="CT145" s="24" t="n"/>
      <c r="CU145" s="24" t="n"/>
      <c r="CV145" s="24" t="n"/>
      <c r="CW145" s="24" t="n"/>
      <c r="CX145" s="24" t="n"/>
      <c r="CY145" s="24" t="n"/>
      <c r="CZ145" s="24" t="n"/>
      <c r="DA145" s="24" t="n"/>
      <c r="DB145" s="24" t="n"/>
      <c r="DC145" s="24" t="n"/>
      <c r="DD145" s="24" t="n"/>
      <c r="DE145" s="24" t="n"/>
      <c r="DF145" s="24" t="n"/>
      <c r="DG145" s="24" t="n"/>
      <c r="DH145" s="24" t="n"/>
      <c r="DI145" s="24" t="n"/>
      <c r="DJ145" s="24" t="inlineStr">
        <is>
          <t>0.409836</t>
        </is>
      </c>
      <c r="DK145" s="24" t="n"/>
      <c r="DL145" s="24" t="n"/>
      <c r="DM145" s="24" t="n"/>
      <c r="DN145" s="24" t="n"/>
      <c r="DO145" s="24" t="n"/>
      <c r="DP145" s="24" t="n"/>
      <c r="DQ145" s="24" t="inlineStr">
        <is>
          <t>{"artifact_hash": "ff1cf1396ff446351447ec4ea48c59588447beaf6571f3a0dc9041cc03e94ad4", "away_team": "Any Questions Gaming", "event_id": "109526", "event_start_utc": "2026-09-12T09:00:00Z", "features": {"away_elo": 1507.763547, "away_history_count": 15, "home_elo": 1503.782843, "home_history_count": 4}, "historical_source_observation_times_verified": false, "home_team": "Unsettled Resentment", "inference_inputs": {"book_state": {"games_played": {"bo3:2:21733": 15, "bo3:2:24033": 4}, "inactivity_half_life_days": null, "inactivity_max_pull": null, "k": 64.0, "last_match_utc": {"bo3:2:21733": "2026-09-11T11:00:00Z", "bo3:2:24033": "2026-09-11T09:00:00Z"}, "minimum_reliable_games": null, "platt_intercept": 0.11773080618777466, "platt_slope": 0.7583962590878219, "ratings": {"bo3:2:21733": 1507.763547, "bo3:2:24033": 1503.782843},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"2026-09-12T04:38:16.548263+00:00", "team_ids": ["bo3:2:24033", "bo3:2:21733"]}, "market_type": "moneyline", "model_version": "valorant-tiered-elo-v6", "observed_at_utc": "2026-09-12T04:38:16.548263+00:00", "probabilities": {"away": 0.485111, "home": 0.514889}, "replay_scope": "Exact serving book state, calibration, temperature, inactivity reference and thin-history adjustments; training provenance not certified.", "schema": "esports-elo-replay-v1", "snapshot_hash": "c8b9bab48c9601c365b84b548e0550df2808e228a6658d22434a54e66785147a", "sport": "VALORANT"}</t>
        </is>
      </c>
    </row>
    <row r="146" ht="36" customHeight="1">
      <c r="A146" s="24" t="inlineStr">
        <is>
          <t>3380281b395f4fe9</t>
        </is>
      </c>
      <c r="B146" s="24" t="inlineStr">
        <is>
          <t>2026-09-12T10:07:52.774300Z</t>
        </is>
      </c>
      <c r="C146" s="24" t="inlineStr">
        <is>
          <t>2026-09-12T15:00:00Z</t>
        </is>
      </c>
      <c r="D146" s="24" t="inlineStr">
        <is>
          <t>109650</t>
        </is>
      </c>
      <c r="E146" s="24" t="inlineStr">
        <is>
          <t>VALORANT</t>
        </is>
      </c>
      <c r="F146" s="24" t="inlineStr">
        <is>
          <t>Twisted Saints Esports</t>
        </is>
      </c>
      <c r="G146" s="24" t="inlineStr">
        <is>
          <t>RIZON</t>
        </is>
      </c>
      <c r="H146" s="24" t="inlineStr">
        <is>
          <t>moneyline</t>
        </is>
      </c>
      <c r="I146" s="24" t="inlineStr">
        <is>
          <t>home</t>
        </is>
      </c>
      <c r="J146" s="25" t="n"/>
      <c r="K146" s="24" t="inlineStr">
        <is>
          <t>polymarket_us</t>
        </is>
      </c>
      <c r="L146" s="26" t="n">
        <v>-127</v>
      </c>
      <c r="M146" s="27" t="n">
        <v>1.787402</v>
      </c>
      <c r="N146" s="28" t="n">
        <v>0.5594710000000001</v>
      </c>
      <c r="O146" s="28" t="n">
        <v>0.586389</v>
      </c>
      <c r="P146" s="28" t="n"/>
      <c r="Q146" s="28" t="n">
        <v>0.026918</v>
      </c>
      <c r="R146" s="26" t="n">
        <v>33</v>
      </c>
      <c r="S146" s="29" t="n">
        <v>1</v>
      </c>
      <c r="T146" s="24" t="inlineStr">
        <is>
          <t>valorant-tiered-elo-v6</t>
        </is>
      </c>
      <c r="U146" s="24" t="inlineStr">
        <is>
          <t>settled</t>
        </is>
      </c>
      <c r="V146" s="24" t="inlineStr">
        <is>
          <t>loss</t>
        </is>
      </c>
      <c r="W146" s="26" t="n">
        <v>1</v>
      </c>
      <c r="X146" s="26" t="n">
        <v>0</v>
      </c>
      <c r="Y146" s="25" t="n"/>
      <c r="Z146" s="26" t="n">
        <v>-127</v>
      </c>
      <c r="AA146" s="28" t="n">
        <v>0.5600000000000001</v>
      </c>
      <c r="AB146" s="28" t="n">
        <v>0.000529</v>
      </c>
      <c r="AC146" s="30" t="n">
        <v>-1</v>
      </c>
      <c r="AD146" s="24" t="inlineStr">
        <is>
          <t>2026-09-12T22:03:08.321127Z</t>
        </is>
      </c>
      <c r="AE146" s="31" t="inlineStr">
        <is>
          <t>Neutral Elo baseline; executable ask 0.5600 (market_slug=aec-valorant-rzn-tsew-2026-09-12).</t>
        </is>
      </c>
      <c r="AF146" s="31" t="inlineStr">
        <is>
          <t>Config-promoted esports baseline; gates enforced at log time.</t>
        </is>
      </c>
      <c r="AG146" s="24" t="inlineStr">
        <is>
          <t>review_required</t>
        </is>
      </c>
      <c r="AH146" s="24" t="n"/>
      <c r="AI146" s="31" t="n"/>
      <c r="AJ146" s="31" t="n"/>
      <c r="AK146" s="24" t="inlineStr">
        <is>
          <t>model_qualified</t>
        </is>
      </c>
      <c r="AL146" s="26" t="n">
        <v>4</v>
      </c>
      <c r="AM146" s="24" t="inlineStr">
        <is>
          <t>QUALIFIED_SHADOW_CALL</t>
        </is>
      </c>
      <c r="AN146" s="24" t="inlineStr">
        <is>
          <t>CALL</t>
        </is>
      </c>
      <c r="AO146" s="24" t="inlineStr">
        <is>
          <t>QUALIFIED</t>
        </is>
      </c>
      <c r="AP146" s="24" t="inlineStr">
        <is>
          <t>Twisted Saints Esports</t>
        </is>
      </c>
      <c r="AQ146" s="24" t="inlineStr">
        <is>
          <t>Twisted Saints Esports</t>
        </is>
      </c>
      <c r="AR146" s="24" t="inlineStr">
        <is>
          <t>Twisted Saints Esports</t>
        </is>
      </c>
      <c r="AS146" s="24" t="inlineStr">
        <is>
          <t>RIZON</t>
        </is>
      </c>
      <c r="AT146" s="24" t="inlineStr">
        <is>
          <t>RIZON</t>
        </is>
      </c>
      <c r="AU146" s="24" t="inlineStr">
        <is>
          <t>RIZON</t>
        </is>
      </c>
      <c r="AV146" s="24" t="n"/>
      <c r="AW146" s="24" t="n"/>
      <c r="AX146" s="24" t="inlineStr">
        <is>
          <t>statistical_model</t>
        </is>
      </c>
      <c r="AY146" s="24" t="n"/>
      <c r="AZ146" s="24" t="inlineStr">
        <is>
          <t>shadow_qualified</t>
        </is>
      </c>
      <c r="BA146" s="24" t="inlineStr">
        <is>
          <t>705abd2e42bebf4cfce5ea6902062525ae4df44616db15e0ff8b6bd6638b98f6</t>
        </is>
      </c>
      <c r="BB146" s="24" t="inlineStr">
        <is>
          <t>neutral_elo</t>
        </is>
      </c>
      <c r="BC146" s="24" t="inlineStr">
        <is>
          <t>valorant-tiered-elo-v6</t>
        </is>
      </c>
      <c r="BD146" s="24" t="inlineStr">
        <is>
          <t>705abd2e42bebf4cfce5ea6902062525ae4df44616db15e0ff8b6bd6638b98f6</t>
        </is>
      </c>
      <c r="BE146" s="24" t="inlineStr">
        <is>
          <t>1</t>
        </is>
      </c>
      <c r="BF146" s="24" t="inlineStr">
        <is>
          <t>1</t>
        </is>
      </c>
      <c r="BG146" s="24" t="inlineStr">
        <is>
          <t>valorant-tiered-elo-v6</t>
        </is>
      </c>
      <c r="BH146" s="24" t="inlineStr">
        <is>
          <t>2026-09-12T10:07:51.959787Z</t>
        </is>
      </c>
      <c r="BI146" s="24" t="inlineStr">
        <is>
          <t>["same_event","same_team_same_day","same_league_same_day"]</t>
        </is>
      </c>
      <c r="BJ146" s="25" t="n"/>
      <c r="BK146" s="26" t="n">
        <v>-127</v>
      </c>
      <c r="BL146" s="27" t="n">
        <v>1.787402</v>
      </c>
      <c r="BM146" s="28" t="n">
        <v>0.5594710000000001</v>
      </c>
      <c r="BN146" s="28" t="n"/>
      <c r="BO146" s="28" t="n"/>
      <c r="BP146" s="25" t="n"/>
      <c r="BQ146" s="27" t="n">
        <v>1.787402</v>
      </c>
      <c r="BR146" s="28" t="n">
        <v>0.5600000000000001</v>
      </c>
      <c r="BS146" s="28" t="n"/>
      <c r="BT146" s="28" t="n"/>
      <c r="BU146" s="25" t="n"/>
      <c r="BV146" s="29" t="n"/>
      <c r="BW146" s="24" t="n"/>
      <c r="BX146" s="30" t="n"/>
      <c r="BY146" s="27" t="n"/>
      <c r="BZ146" s="24" t="n"/>
      <c r="CA146" s="31" t="n"/>
      <c r="CB146" s="24" t="n"/>
      <c r="CC146" s="24" t="n"/>
      <c r="CD146" s="24" t="n"/>
      <c r="CE146" s="24" t="n"/>
      <c r="CF146" s="24" t="n"/>
      <c r="CG146" s="24" t="n"/>
      <c r="CH146" s="24" t="n"/>
      <c r="CI146" s="24" t="n"/>
      <c r="CJ146" s="24" t="n"/>
      <c r="CK146" s="24" t="n"/>
      <c r="CL146" s="24" t="n"/>
      <c r="CM146" s="24" t="n"/>
      <c r="CN146" s="24" t="n"/>
      <c r="CO146" s="24" t="n"/>
      <c r="CP146" s="24" t="n"/>
      <c r="CQ146" s="24" t="n"/>
      <c r="CR146" s="24" t="n"/>
      <c r="CS146" s="24" t="inlineStr">
        <is>
          <t>True</t>
        </is>
      </c>
      <c r="CT146" s="24" t="n"/>
      <c r="CU146" s="24" t="n"/>
      <c r="CV146" s="24" t="n"/>
      <c r="CW146" s="24" t="n"/>
      <c r="CX146" s="24" t="n"/>
      <c r="CY146" s="24" t="n"/>
      <c r="CZ146" s="24" t="n"/>
      <c r="DA146" s="24" t="n"/>
      <c r="DB146" s="24" t="n"/>
      <c r="DC146" s="24" t="n"/>
      <c r="DD146" s="24" t="n"/>
      <c r="DE146" s="24" t="n"/>
      <c r="DF146" s="24" t="n"/>
      <c r="DG146" s="24" t="n"/>
      <c r="DH146" s="24" t="n"/>
      <c r="DI146" s="24" t="n"/>
      <c r="DJ146" s="24" t="inlineStr">
        <is>
          <t>0.559471</t>
        </is>
      </c>
      <c r="DK146" s="24" t="n"/>
      <c r="DL146" s="24" t="n"/>
      <c r="DM146" s="24" t="n"/>
      <c r="DN146" s="24" t="n"/>
      <c r="DO146" s="24" t="n"/>
      <c r="DP146" s="24" t="n"/>
      <c r="DQ146" s="24" t="inlineStr">
        <is>
          <t>{"artifact_hash": "705abd2e42bebf4cfce5ea6902062525ae4df44616db15e0ff8b6bd6638b98f6", "away_team": "Twisted Saints Esports", "event_id": "109650", "event_start_utc": "2026-09-12T15:00:00Z", "features": {"away_elo": 1515.541636, "away_history_count": 24, "home_elo": 1584.159774, "home_history_count": 56}, "historical_source_observation_times_verified": false, "home_team": "RIZON", "inference_inputs": {"book_state": {"games_played": {"bo3:2:18763": 24, "bo3:2:6695": 56}, "inactivity_half_life_days": null, "inactivity_max_pull": null, "k": 64.0, "last_match_utc": {"bo3:2:18763": "2026-09-11T16:00:00Z", "bo3:2:6695": "2026-09-10T16:00:00Z"}, "minimum_reliable_games": null, "platt_intercept": 0.11773080618777466, "platt_slope": 0.7583962590878219, "ratings": {"bo3:2:18763": 1515.541636, "bo3:2:6695": 1584.159774},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"2026-09-12T10:07:51.871107+00:00", "team_ids": ["bo3:2:6695", "bo3:2:18763"]}, "market_type": "moneyline", "model_version": "valorant-tiered-elo-v6", "observed_at_utc": "2026-09-12T10:07:51.871107+00:00", "probabilities": {"away": 0.413611, "home": 0.586389}, "replay_scope": "Exact serving book state, calibration, temperature, inactivity reference and thin-history adjustments; training provenance not certified.", "schema": "esports-elo-replay-v1", "snapshot_hash": "6f1d6646e71eaaaa5fa27280caa2e905cfa21b2d8cce13212a7729bfb8f768e3", "sport": "VALORANT"}</t>
        </is>
      </c>
    </row>
    <row r="147" ht="36" customHeight="1">
      <c r="A147" s="24" t="inlineStr">
        <is>
          <t>8ba81fae95994026</t>
        </is>
      </c>
      <c r="B147" s="24" t="inlineStr">
        <is>
          <t>2026-09-15T04:40:48.411351Z</t>
        </is>
      </c>
      <c r="C147" s="24" t="inlineStr">
        <is>
          <t>2026-09-15T09:00:00Z</t>
        </is>
      </c>
      <c r="D147" s="24" t="inlineStr">
        <is>
          <t>111785</t>
        </is>
      </c>
      <c r="E147" s="24" t="inlineStr">
        <is>
          <t>VALORANT</t>
        </is>
      </c>
      <c r="F147" s="24" t="inlineStr">
        <is>
          <t>LNG Esports GC</t>
        </is>
      </c>
      <c r="G147" s="24" t="inlineStr">
        <is>
          <t>VLG GC</t>
        </is>
      </c>
      <c r="H147" s="24" t="inlineStr">
        <is>
          <t>moneyline</t>
        </is>
      </c>
      <c r="I147" s="24" t="inlineStr">
        <is>
          <t>home</t>
        </is>
      </c>
      <c r="J147" s="25" t="n"/>
      <c r="K147" s="24" t="inlineStr">
        <is>
          <t>polymarket_us</t>
        </is>
      </c>
      <c r="L147" s="26" t="n">
        <v>144</v>
      </c>
      <c r="M147" s="27" t="n">
        <v>2.44</v>
      </c>
      <c r="N147" s="28" t="n">
        <v>0.409836</v>
      </c>
      <c r="O147" s="28" t="n">
        <v>0.511848</v>
      </c>
      <c r="P147" s="28" t="n"/>
      <c r="Q147" s="28" t="n">
        <v>0.102012</v>
      </c>
      <c r="R147" s="26" t="n">
        <v>71</v>
      </c>
      <c r="S147" s="29" t="n">
        <v>1.25</v>
      </c>
      <c r="T147" s="24" t="inlineStr">
        <is>
          <t>valorant-tiered-elo-v6</t>
        </is>
      </c>
      <c r="U147" s="24" t="inlineStr">
        <is>
          <t>settled</t>
        </is>
      </c>
      <c r="V147" s="24" t="inlineStr">
        <is>
          <t>win</t>
        </is>
      </c>
      <c r="W147" s="26" t="n">
        <v>0</v>
      </c>
      <c r="X147" s="26" t="n">
        <v>1</v>
      </c>
      <c r="Y147" s="25" t="n"/>
      <c r="Z147" s="26" t="n"/>
      <c r="AA147" s="28" t="n"/>
      <c r="AB147" s="28" t="n"/>
      <c r="AC147" s="30" t="n">
        <v>1.8</v>
      </c>
      <c r="AD147" s="24" t="inlineStr">
        <is>
          <t>2026-09-15T16:05:07.073458Z</t>
        </is>
      </c>
      <c r="AE147" s="31" t="inlineStr">
        <is>
          <t>Neutral Elo baseline; executable ask 0.4100 (market_slug=aec-valorant-vlggc-lnggc-2026-09-15).</t>
        </is>
      </c>
      <c r="AF147" s="31" t="inlineStr">
        <is>
          <t>Config-promoted esports baseline; gates enforced at log time.</t>
        </is>
      </c>
      <c r="AG147" s="24" t="inlineStr">
        <is>
          <t>not_applicable</t>
        </is>
      </c>
      <c r="AH147" s="24" t="n"/>
      <c r="AI147" s="31" t="n"/>
      <c r="AJ147" s="31" t="n"/>
      <c r="AK147" s="24" t="inlineStr">
        <is>
          <t>model_qualified</t>
        </is>
      </c>
      <c r="AL147" s="26" t="n">
        <v>4</v>
      </c>
      <c r="AM147" s="24" t="inlineStr">
        <is>
          <t>QUALIFIED_SHADOW_CALL</t>
        </is>
      </c>
      <c r="AN147" s="24" t="inlineStr">
        <is>
          <t>CALL</t>
        </is>
      </c>
      <c r="AO147" s="24" t="inlineStr">
        <is>
          <t>QUALIFIED</t>
        </is>
      </c>
      <c r="AP147" s="24" t="inlineStr">
        <is>
          <t>LNG Esports GC</t>
        </is>
      </c>
      <c r="AQ147" s="24" t="inlineStr">
        <is>
          <t>LNG Esports GC</t>
        </is>
      </c>
      <c r="AR147" s="24" t="inlineStr">
        <is>
          <t>LNG Esports GC</t>
        </is>
      </c>
      <c r="AS147" s="24" t="inlineStr">
        <is>
          <t>VLG GC</t>
        </is>
      </c>
      <c r="AT147" s="24" t="inlineStr">
        <is>
          <t>VLG GC</t>
        </is>
      </c>
      <c r="AU147" s="24" t="inlineStr">
        <is>
          <t>VLG GC</t>
        </is>
      </c>
      <c r="AV147" s="24" t="n"/>
      <c r="AW147" s="24" t="n"/>
      <c r="AX147" s="24" t="inlineStr">
        <is>
          <t>statistical_model</t>
        </is>
      </c>
      <c r="AY147" s="24" t="n"/>
      <c r="AZ147" s="24" t="inlineStr">
        <is>
          <t>shadow_qualified</t>
        </is>
      </c>
      <c r="BA147" s="24" t="inlineStr">
        <is>
          <t>9bb6dfe9403f8c8b47983d4fcda9a5a2d667041a77c04e8d285b1827eba740aa</t>
        </is>
      </c>
      <c r="BB147" s="24" t="inlineStr">
        <is>
          <t>neutral_elo</t>
        </is>
      </c>
      <c r="BC147" s="24" t="inlineStr">
        <is>
          <t>valorant-tiered-elo-v6</t>
        </is>
      </c>
      <c r="BD147" s="24" t="inlineStr">
        <is>
          <t>9bb6dfe9403f8c8b47983d4fcda9a5a2d667041a77c04e8d285b1827eba740aa</t>
        </is>
      </c>
      <c r="BE147" s="24" t="inlineStr">
        <is>
          <t>1</t>
        </is>
      </c>
      <c r="BF147" s="24" t="inlineStr">
        <is>
          <t>1</t>
        </is>
      </c>
      <c r="BG147" s="24" t="inlineStr">
        <is>
          <t>valorant-tiered-elo-v6</t>
        </is>
      </c>
      <c r="BH147" s="24" t="inlineStr">
        <is>
          <t>2026-09-15T04:40:31.794205Z</t>
        </is>
      </c>
      <c r="BI147" s="24" t="inlineStr">
        <is>
          <t>["same_event","same_team_same_day","same_league_same_day"]</t>
        </is>
      </c>
      <c r="BJ147" s="25" t="n"/>
      <c r="BK147" s="26" t="n">
        <v>144</v>
      </c>
      <c r="BL147" s="27" t="n">
        <v>2.44</v>
      </c>
      <c r="BM147" s="28" t="n">
        <v>0.409836</v>
      </c>
      <c r="BN147" s="28" t="n"/>
      <c r="BO147" s="28" t="n"/>
      <c r="BP147" s="25" t="n"/>
      <c r="BQ147" s="27" t="n"/>
      <c r="BR147" s="28" t="n"/>
      <c r="BS147" s="28" t="n"/>
      <c r="BT147" s="28" t="n"/>
      <c r="BU147" s="25" t="n"/>
      <c r="BV147" s="29" t="n"/>
      <c r="BW147" s="24" t="n"/>
      <c r="BX147" s="30" t="n"/>
      <c r="BY147" s="27" t="n"/>
      <c r="BZ147" s="24" t="n"/>
      <c r="CA147" s="31" t="n"/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  <c r="CL147" s="24" t="n"/>
      <c r="CM147" s="24" t="n"/>
      <c r="CN147" s="24" t="n"/>
      <c r="CO147" s="24" t="n"/>
      <c r="CP147" s="24" t="n"/>
      <c r="CQ147" s="24" t="n"/>
      <c r="CR147" s="24" t="n"/>
      <c r="CS147" s="24" t="inlineStr">
        <is>
          <t>True</t>
        </is>
      </c>
      <c r="CT147" s="24" t="n"/>
      <c r="CU147" s="24" t="n"/>
      <c r="CV147" s="24" t="n"/>
      <c r="CW147" s="24" t="n"/>
      <c r="CX147" s="24" t="n"/>
      <c r="CY147" s="24" t="n"/>
      <c r="CZ147" s="24" t="n"/>
      <c r="DA147" s="24" t="n"/>
      <c r="DB147" s="24" t="n"/>
      <c r="DC147" s="24" t="n"/>
      <c r="DD147" s="24" t="n"/>
      <c r="DE147" s="24" t="n"/>
      <c r="DF147" s="24" t="n"/>
      <c r="DG147" s="24" t="n"/>
      <c r="DH147" s="24" t="n"/>
      <c r="DI147" s="24" t="n"/>
      <c r="DJ147" s="24" t="inlineStr">
        <is>
          <t>0.409836</t>
        </is>
      </c>
      <c r="DK147" s="24" t="n"/>
      <c r="DL147" s="24" t="n"/>
      <c r="DM147" s="24" t="n"/>
      <c r="DN147" s="24" t="n"/>
      <c r="DO147" s="24" t="n"/>
      <c r="DP147" s="24" t="n"/>
      <c r="DQ147" s="24" t="inlineStr">
        <is>
          <t>{"artifact_hash": "9bb6dfe9403f8c8b47983d4fcda9a5a2d667041a77c04e8d285b1827eba740aa", "away_team": "LNG Esports GC", "event_id": "111785", "event_start_utc": "2026-09-15T09:00:00Z", "features": {"away_elo": 1458.473652, "away_history_count": 1, "home_elo": 1455.73362, "home_history_count": 1}, "historical_source_observation_times_verified": false, "home_team": "VLG GC", "inference_inputs": {"book_state": {"games_played": {"bo3:2:25316": 1, "bo3:2:25319": 1}, "inactivity_half_life_days": null, "inactivity_max_pull": null, "k": 64.0, "last_match_utc": {"bo3:2:25316": "2026-09-13T09:40:00Z", "bo3:2:25319": "2026-09-13T08:00:00Z"}, "minimum_reliable_games": null, "platt_intercept": 0.11333045242154935, "platt_slope": 0.7547568004810872, "ratings": {"bo3:2:25316": 1458.473652, "bo3:2:25319": 1455.73362},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"2026-09-15T04:40:15.426969+00:00", "team_ids": ["bo3:2:25319", "bo3:2:25316"]}, "market_type": "moneyline", "model_version": "valorant-tiered-elo-v6", "observed_at_utc": "2026-09-15T04:40:15.426969+00:00", "probabilities": {"away": 0.488152, "home": 0.511848}, "replay_scope": "Exact serving book state, calibration, temperature, inactivity reference and thin-history adjustments; training provenance not certified.", "schema": "esports-elo-replay-v1", "snapshot_hash": "ad7b8cc58965665b3a2a50c298222d243541ec430876ade952f878a719066239", "sport": "VALORANT"}</t>
        </is>
      </c>
    </row>
    <row r="148" ht="36" customHeight="1">
      <c r="A148" s="24" t="inlineStr">
        <is>
          <t>15736112ae054a22</t>
        </is>
      </c>
      <c r="B148" s="24" t="inlineStr">
        <is>
          <t>2026-09-20T05:03:19.121519Z</t>
        </is>
      </c>
      <c r="C148" s="24" t="inlineStr">
        <is>
          <t>2026-09-20T07:00:00Z</t>
        </is>
      </c>
      <c r="D148" s="24" t="inlineStr">
        <is>
          <t>117933</t>
        </is>
      </c>
      <c r="E148" s="24" t="inlineStr">
        <is>
          <t>VALORANT</t>
        </is>
      </c>
      <c r="F148" s="24" t="inlineStr">
        <is>
          <t>Gen.G GC</t>
        </is>
      </c>
      <c r="G148" s="24" t="inlineStr">
        <is>
          <t>FENNEL Female</t>
        </is>
      </c>
      <c r="H148" s="24" t="inlineStr">
        <is>
          <t>moneyline</t>
        </is>
      </c>
      <c r="I148" s="24" t="inlineStr">
        <is>
          <t>home</t>
        </is>
      </c>
      <c r="J148" s="25" t="n"/>
      <c r="K148" s="24" t="inlineStr">
        <is>
          <t>polymarket_us</t>
        </is>
      </c>
      <c r="L148" s="26" t="n">
        <v>-117</v>
      </c>
      <c r="M148" s="27" t="n">
        <v>1.854701</v>
      </c>
      <c r="N148" s="28" t="n">
        <v>0.539171</v>
      </c>
      <c r="O148" s="28" t="n">
        <v>0.616696</v>
      </c>
      <c r="P148" s="28" t="n"/>
      <c r="Q148" s="28" t="n">
        <v>0.077525</v>
      </c>
      <c r="R148" s="26" t="n">
        <v>59</v>
      </c>
      <c r="S148" s="29" t="n">
        <v>1.25</v>
      </c>
      <c r="T148" s="24" t="inlineStr">
        <is>
          <t>valorant-tiered-elo-v6</t>
        </is>
      </c>
      <c r="U148" s="24" t="inlineStr">
        <is>
          <t>settled</t>
        </is>
      </c>
      <c r="V148" s="24" t="inlineStr">
        <is>
          <t>loss</t>
        </is>
      </c>
      <c r="W148" s="26" t="n">
        <v>1</v>
      </c>
      <c r="X148" s="26" t="n">
        <v>0</v>
      </c>
      <c r="Y148" s="25" t="n"/>
      <c r="Z148" s="26" t="n"/>
      <c r="AA148" s="28" t="n"/>
      <c r="AB148" s="28" t="n"/>
      <c r="AC148" s="30" t="n">
        <v>-1.25</v>
      </c>
      <c r="AD148" s="24" t="inlineStr">
        <is>
          <t>2026-09-20T16:01:37.821591Z</t>
        </is>
      </c>
      <c r="AE148" s="31" t="inlineStr">
        <is>
          <t>Neutral Elo baseline; executable ask 0.5400 (market_slug=aec-valorant-flfe-ggg-2026-09-20).</t>
        </is>
      </c>
      <c r="AF148" s="31" t="inlineStr">
        <is>
          <t>Config-promoted esports baseline; gates enforced at log time.</t>
        </is>
      </c>
      <c r="AG148" s="24" t="inlineStr">
        <is>
          <t>review_required</t>
        </is>
      </c>
      <c r="AH148" s="24" t="n"/>
      <c r="AI148" s="31" t="n"/>
      <c r="AJ148" s="31" t="n"/>
      <c r="AK148" s="24" t="inlineStr">
        <is>
          <t>model_qualified</t>
        </is>
      </c>
      <c r="AL148" s="26" t="n">
        <v>4</v>
      </c>
      <c r="AM148" s="24" t="inlineStr">
        <is>
          <t>QUALIFIED_SHADOW_CALL</t>
        </is>
      </c>
      <c r="AN148" s="24" t="inlineStr">
        <is>
          <t>CALL</t>
        </is>
      </c>
      <c r="AO148" s="24" t="inlineStr">
        <is>
          <t>QUALIFIED</t>
        </is>
      </c>
      <c r="AP148" s="24" t="inlineStr">
        <is>
          <t>Gen.G GC</t>
        </is>
      </c>
      <c r="AQ148" s="24" t="inlineStr">
        <is>
          <t>Gen.G GC</t>
        </is>
      </c>
      <c r="AR148" s="24" t="inlineStr">
        <is>
          <t>Gen.G GC</t>
        </is>
      </c>
      <c r="AS148" s="24" t="inlineStr">
        <is>
          <t>FENNEL Female</t>
        </is>
      </c>
      <c r="AT148" s="24" t="inlineStr">
        <is>
          <t>FENNEL Female</t>
        </is>
      </c>
      <c r="AU148" s="24" t="inlineStr">
        <is>
          <t>FENNEL Female</t>
        </is>
      </c>
      <c r="AV148" s="24" t="n"/>
      <c r="AW148" s="24" t="n"/>
      <c r="AX148" s="24" t="inlineStr">
        <is>
          <t>statistical_model</t>
        </is>
      </c>
      <c r="AY148" s="24" t="n"/>
      <c r="AZ148" s="24" t="inlineStr">
        <is>
          <t>shadow_qualified</t>
        </is>
      </c>
      <c r="BA148" s="24" t="inlineStr">
        <is>
          <t>5829077dd2fb8582225dc66ec57649b8d05888443b636227e2928483d4892127</t>
        </is>
      </c>
      <c r="BB148" s="24" t="inlineStr">
        <is>
          <t>neutral_elo</t>
        </is>
      </c>
      <c r="BC148" s="24" t="inlineStr">
        <is>
          <t>valorant-tiered-elo-v6</t>
        </is>
      </c>
      <c r="BD148" s="24" t="inlineStr">
        <is>
          <t>5829077dd2fb8582225dc66ec57649b8d05888443b636227e2928483d4892127</t>
        </is>
      </c>
      <c r="BE148" s="24" t="inlineStr">
        <is>
          <t>1</t>
        </is>
      </c>
      <c r="BF148" s="24" t="inlineStr">
        <is>
          <t>1</t>
        </is>
      </c>
      <c r="BG148" s="24" t="inlineStr">
        <is>
          <t>valorant-tiered-elo-v6</t>
        </is>
      </c>
      <c r="BH148" s="24" t="inlineStr">
        <is>
          <t>2026-09-20T05:03:14.857882Z</t>
        </is>
      </c>
      <c r="BI148" s="24" t="inlineStr">
        <is>
          <t>["same_event","same_team_same_day","same_league_same_day"]</t>
        </is>
      </c>
      <c r="BJ148" s="25" t="n"/>
      <c r="BK148" s="26" t="n">
        <v>-117</v>
      </c>
      <c r="BL148" s="27" t="n">
        <v>1.854701</v>
      </c>
      <c r="BM148" s="28" t="n">
        <v>0.539171</v>
      </c>
      <c r="BN148" s="28" t="n"/>
      <c r="BO148" s="28" t="n"/>
      <c r="BP148" s="25" t="n"/>
      <c r="BQ148" s="27" t="n"/>
      <c r="BR148" s="28" t="n"/>
      <c r="BS148" s="28" t="n"/>
      <c r="BT148" s="28" t="n"/>
      <c r="BU148" s="25" t="n"/>
      <c r="BV148" s="29" t="n"/>
      <c r="BW148" s="24" t="n"/>
      <c r="BX148" s="30" t="n"/>
      <c r="BY148" s="27" t="n"/>
      <c r="BZ148" s="24" t="n"/>
      <c r="CA148" s="31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inlineStr">
        <is>
          <t>True</t>
        </is>
      </c>
      <c r="CT148" s="24" t="n"/>
      <c r="CU148" s="24" t="n"/>
      <c r="CV148" s="24" t="n"/>
      <c r="CW148" s="24" t="n"/>
      <c r="CX148" s="24" t="n"/>
      <c r="CY148" s="24" t="n"/>
      <c r="CZ148" s="24" t="n"/>
      <c r="DA148" s="24" t="n"/>
      <c r="DB148" s="24" t="n"/>
      <c r="DC148" s="24" t="n"/>
      <c r="DD148" s="24" t="n"/>
      <c r="DE148" s="24" t="n"/>
      <c r="DF148" s="24" t="n"/>
      <c r="DG148" s="24" t="n"/>
      <c r="DH148" s="24" t="n"/>
      <c r="DI148" s="24" t="n"/>
      <c r="DJ148" s="24" t="inlineStr">
        <is>
          <t>0.539171</t>
        </is>
      </c>
      <c r="DK148" s="24" t="n"/>
      <c r="DL148" s="24" t="n"/>
      <c r="DM148" s="24" t="n"/>
      <c r="DN148" s="24" t="n"/>
      <c r="DO148" s="24" t="n"/>
      <c r="DP148" s="24" t="n"/>
      <c r="DQ148" s="24" t="inlineStr">
        <is>
          <t>{"artifact_hash": "5829077dd2fb8582225dc66ec57649b8d05888443b636227e2928483d4892127", "away_team": "Gen.G GC", "event_id": "117933", "event_start_utc": "2026-09-20T07:00:00Z", "features": {"away_elo": 1666.622748, "away_history_count": 5, "home_elo": 1817.868677, "home_history_count": 37}, "historical_source_observation_times_verified": false, "home_team": "FENNEL Female", "inference_inputs": {"book_state": {"games_played": {"bo3:2:6558": 37, "bo3:2:8164": 5}, "inactivity_half_life_days": null, "inactivity_max_pull": null, "k": 64.0, "last_match_utc": {"bo3:2:6558": "2026-09-18T07:10:00Z", "bo3:2:8164": "2026-09-19T07:10:00Z"}, "minimum_reliable_games": null, "platt_intercept": 0.11366896794667247, "platt_slope": 0.7627801357407267, "ratings": {"bo3:2:6558": 1817.868677, "bo3:2:8164": 1666.622748},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"2026-09-20T05:03:14.624152+00:00", "team_ids": ["bo3:2:6558", "bo3:2:8164"]}, "market_type": "moneyline", "model_version": "valorant-tiered-elo-v6", "observed_at_utc": "2026-09-20T05:03:14.624152+00:00", "probabilities": {"away": 0.383304, "home": 0.616696}, "replay_scope": "Exact serving book state, calibration, temperature, inactivity reference and thin-history adjustments; training provenance not certified.", "schema": "esports-elo-replay-v1", "snapshot_hash": "f8c0e0ab56ec1ffc9dbff8161e6622bf6cb39a60e95908a69d74c36cca9e0e75", "sport": "VALORANT"}</t>
        </is>
      </c>
    </row>
    <row r="149" ht="36" customHeight="1">
      <c r="A149" s="24" t="inlineStr">
        <is>
          <t>5e6c7666b9474f2a</t>
        </is>
      </c>
      <c r="B149" s="24" t="inlineStr">
        <is>
          <t>2026-09-25T22:09:42.601246Z</t>
        </is>
      </c>
      <c r="C149" s="24" t="inlineStr">
        <is>
          <t>2026-09-26T09:00:00Z</t>
        </is>
      </c>
      <c r="D149" s="24" t="inlineStr">
        <is>
          <t>123330</t>
        </is>
      </c>
      <c r="E149" s="24" t="inlineStr">
        <is>
          <t>VALORANT</t>
        </is>
      </c>
      <c r="F149" s="24" t="inlineStr">
        <is>
          <t>Team Vitality</t>
        </is>
      </c>
      <c r="G149" s="24" t="inlineStr">
        <is>
          <t>Global Esports</t>
        </is>
      </c>
      <c r="H149" s="24" t="inlineStr">
        <is>
          <t>moneyline</t>
        </is>
      </c>
      <c r="I149" s="24" t="inlineStr">
        <is>
          <t>home</t>
        </is>
      </c>
      <c r="J149" s="25" t="n"/>
      <c r="K149" s="24" t="inlineStr">
        <is>
          <t>polymarket_us</t>
        </is>
      </c>
      <c r="L149" s="26" t="n">
        <v>117</v>
      </c>
      <c r="M149" s="27" t="n">
        <v>2.17</v>
      </c>
      <c r="N149" s="28" t="n">
        <v>0.460829</v>
      </c>
      <c r="O149" s="28" t="n">
        <v>0.572156</v>
      </c>
      <c r="P149" s="28" t="n"/>
      <c r="Q149" s="28" t="n">
        <v>0.111327</v>
      </c>
      <c r="R149" s="26" t="n">
        <v>76</v>
      </c>
      <c r="S149" s="29" t="n">
        <v>1.5</v>
      </c>
      <c r="T149" s="24" t="inlineStr">
        <is>
          <t>valorant-tiered-elo-v6</t>
        </is>
      </c>
      <c r="U149" s="24" t="inlineStr">
        <is>
          <t>settled</t>
        </is>
      </c>
      <c r="V149" s="24" t="inlineStr">
        <is>
          <t>loss</t>
        </is>
      </c>
      <c r="W149" s="26" t="n">
        <v>1</v>
      </c>
      <c r="X149" s="26" t="n">
        <v>0</v>
      </c>
      <c r="Y149" s="25" t="n"/>
      <c r="Z149" s="26" t="n"/>
      <c r="AA149" s="28" t="n"/>
      <c r="AB149" s="28" t="n"/>
      <c r="AC149" s="30" t="n">
        <v>-1.5</v>
      </c>
      <c r="AD149" s="24" t="inlineStr">
        <is>
          <t>2026-09-26T22:03:09.466965Z</t>
        </is>
      </c>
      <c r="AE149" s="31" t="inlineStr">
        <is>
          <t>Neutral Elo baseline; executable ask 0.4600 (market_slug=aec-valorant-ge-vit-2026-09-26).</t>
        </is>
      </c>
      <c r="AF149" s="31" t="inlineStr">
        <is>
          <t>Config-promoted esports baseline; gates enforced at log time.</t>
        </is>
      </c>
      <c r="AG149" s="24" t="inlineStr">
        <is>
          <t>review_required</t>
        </is>
      </c>
      <c r="AH149" s="24" t="n"/>
      <c r="AI149" s="31" t="n"/>
      <c r="AJ149" s="31" t="n"/>
      <c r="AK149" s="24" t="inlineStr">
        <is>
          <t>model_qualified</t>
        </is>
      </c>
      <c r="AL149" s="26" t="n">
        <v>4</v>
      </c>
      <c r="AM149" s="24" t="inlineStr">
        <is>
          <t>QUALIFIED_SHADOW_CALL</t>
        </is>
      </c>
      <c r="AN149" s="24" t="inlineStr">
        <is>
          <t>CALL</t>
        </is>
      </c>
      <c r="AO149" s="24" t="inlineStr">
        <is>
          <t>QUALIFIED</t>
        </is>
      </c>
      <c r="AP149" s="24" t="inlineStr">
        <is>
          <t>Team Vitality</t>
        </is>
      </c>
      <c r="AQ149" s="24" t="inlineStr">
        <is>
          <t>Team Vitality</t>
        </is>
      </c>
      <c r="AR149" s="24" t="inlineStr">
        <is>
          <t>Team Vitality</t>
        </is>
      </c>
      <c r="AS149" s="24" t="inlineStr">
        <is>
          <t>Global Esports</t>
        </is>
      </c>
      <c r="AT149" s="24" t="inlineStr">
        <is>
          <t>Global Esports</t>
        </is>
      </c>
      <c r="AU149" s="24" t="inlineStr">
        <is>
          <t>Global Esports</t>
        </is>
      </c>
      <c r="AV149" s="24" t="n"/>
      <c r="AW149" s="24" t="n"/>
      <c r="AX149" s="24" t="inlineStr">
        <is>
          <t>statistical_model</t>
        </is>
      </c>
      <c r="AY149" s="24" t="n"/>
      <c r="AZ149" s="24" t="inlineStr">
        <is>
          <t>shadow_qualified</t>
        </is>
      </c>
      <c r="BA149" s="24" t="inlineStr">
        <is>
          <t>bba99a95400a275f08b0f50e90beed8cc50744d17d67105a6865c191206c618a</t>
        </is>
      </c>
      <c r="BB149" s="24" t="inlineStr">
        <is>
          <t>neutral_elo</t>
        </is>
      </c>
      <c r="BC149" s="24" t="inlineStr">
        <is>
          <t>valorant-tiered-elo-v6</t>
        </is>
      </c>
      <c r="BD149" s="24" t="inlineStr">
        <is>
          <t>bba99a95400a275f08b0f50e90beed8cc50744d17d67105a6865c191206c618a</t>
        </is>
      </c>
      <c r="BE149" s="24" t="inlineStr">
        <is>
          <t>1</t>
        </is>
      </c>
      <c r="BF149" s="24" t="inlineStr">
        <is>
          <t>1</t>
        </is>
      </c>
      <c r="BG149" s="24" t="inlineStr">
        <is>
          <t>valorant-tiered-elo-v6</t>
        </is>
      </c>
      <c r="BH149" s="24" t="inlineStr">
        <is>
          <t>2026-09-25T22:09:38.106911Z</t>
        </is>
      </c>
      <c r="BI149" s="24" t="inlineStr">
        <is>
          <t>["same_event","same_team_same_day","same_league_same_day"]</t>
        </is>
      </c>
      <c r="BJ149" s="25" t="n"/>
      <c r="BK149" s="26" t="n">
        <v>117</v>
      </c>
      <c r="BL149" s="27" t="n">
        <v>2.17</v>
      </c>
      <c r="BM149" s="28" t="n">
        <v>0.460829</v>
      </c>
      <c r="BN149" s="28" t="n"/>
      <c r="BO149" s="28" t="n"/>
      <c r="BP149" s="25" t="n"/>
      <c r="BQ149" s="27" t="n"/>
      <c r="BR149" s="28" t="n"/>
      <c r="BS149" s="28" t="n"/>
      <c r="BT149" s="28" t="n"/>
      <c r="BU149" s="25" t="n"/>
      <c r="BV149" s="29" t="n"/>
      <c r="BW149" s="24" t="n"/>
      <c r="BX149" s="30" t="n"/>
      <c r="BY149" s="27" t="n"/>
      <c r="BZ149" s="24" t="n"/>
      <c r="CA149" s="31" t="n"/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  <c r="CL149" s="24" t="n"/>
      <c r="CM149" s="24" t="n"/>
      <c r="CN149" s="24" t="n"/>
      <c r="CO149" s="24" t="n"/>
      <c r="CP149" s="24" t="n"/>
      <c r="CQ149" s="24" t="n"/>
      <c r="CR149" s="24" t="n"/>
      <c r="CS149" s="24" t="inlineStr">
        <is>
          <t>True</t>
        </is>
      </c>
      <c r="CT149" s="24" t="n"/>
      <c r="CU149" s="24" t="n"/>
      <c r="CV149" s="24" t="n"/>
      <c r="CW149" s="24" t="n"/>
      <c r="CX149" s="24" t="n"/>
      <c r="CY149" s="24" t="n"/>
      <c r="CZ149" s="24" t="n"/>
      <c r="DA149" s="24" t="n"/>
      <c r="DB149" s="24" t="n"/>
      <c r="DC149" s="24" t="n"/>
      <c r="DD149" s="24" t="n"/>
      <c r="DE149" s="24" t="n"/>
      <c r="DF149" s="24" t="n"/>
      <c r="DG149" s="24" t="n"/>
      <c r="DH149" s="24" t="n"/>
      <c r="DI149" s="24" t="n"/>
      <c r="DJ149" s="24" t="inlineStr">
        <is>
          <t>0.460829</t>
        </is>
      </c>
      <c r="DK149" s="24" t="n"/>
      <c r="DL149" s="24" t="n"/>
      <c r="DM149" s="24" t="n"/>
      <c r="DN149" s="24" t="n"/>
      <c r="DO149" s="24" t="n"/>
      <c r="DP149" s="24" t="n"/>
      <c r="DQ149" s="24" t="inlineStr">
        <is>
          <t>{"artifact_hash": "bba99a95400a275f08b0f50e90beed8cc50744d17d67105a6865c191206c618a", "away_team": "Team Vitality", "event_id": "123330", "event_start_utc": "2026-09-26T09:00:00Z", "features": {"away_elo": 1877.05503, "away_history_count": 103, "home_elo": 1898.651588, "home_history_count": 81}, "historical_source_observation_times_verified": false, "home_team": "Global Esports", "inference_inputs": {"book_state": {"games_played": {"bo3:2:6989": 81, "bo3:2:7254": 103}, "inactivity_half_life_days": null, "inactivity_max_pull": null, "k": 64.0, "last_match_utc": {"bo3:2:6989": "2026-09-06T08:10:00Z", "bo3:2:7254": "2026-08-22T16:30:00Z"}, "minimum_reliable_games": null, "platt_intercept": 0.11529812243984315, "platt_slope": 0.7601676982298501, "ratings": {"bo3:2:6989": 1898.651588, "bo3:2:7254": 1877.05503},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"2026-09-25T22:09:36.348274+00:00", "team_ids": ["bo3:2:6989", "bo3:2:7254"]}, "market_type": "moneyline", "model_version": "valorant-tiered-elo-v6", "observed_at_utc": "2026-09-25T22:09:36.348274+00:00", "probabilities": {"away": 0.427844, "home": 0.572156}, "replay_scope": "Exact serving book state, calibration, temperature, inactivity reference and thin-history adjustments; training provenance not certified.", "schema": "esports-elo-replay-v1", "snapshot_hash": "46b973934ea2494027659a7b32e65aab094d9d68d69a7753582246de8df76674", "sport": "VALORANT"}</t>
        </is>
      </c>
    </row>
    <row r="150" ht="36" customHeight="1">
      <c r="A150" s="24" t="inlineStr">
        <is>
          <t>0487b0ec5b6647cc</t>
        </is>
      </c>
      <c r="B150" s="24" t="inlineStr">
        <is>
          <t>2026-09-27T05:03:55.458850Z</t>
        </is>
      </c>
      <c r="C150" s="24" t="inlineStr">
        <is>
          <t>2026-09-27T09:00:00Z</t>
        </is>
      </c>
      <c r="D150" s="24" t="inlineStr">
        <is>
          <t>124851</t>
        </is>
      </c>
      <c r="E150" s="24" t="inlineStr">
        <is>
          <t>VALORANT</t>
        </is>
      </c>
      <c r="F150" s="24" t="inlineStr">
        <is>
          <t>T1</t>
        </is>
      </c>
      <c r="G150" s="24" t="inlineStr">
        <is>
          <t>100 Thieves</t>
        </is>
      </c>
      <c r="H150" s="24" t="inlineStr">
        <is>
          <t>moneyline</t>
        </is>
      </c>
      <c r="I150" s="24" t="inlineStr">
        <is>
          <t>home</t>
        </is>
      </c>
      <c r="J150" s="25" t="n"/>
      <c r="K150" s="24" t="inlineStr">
        <is>
          <t>polymarket_us</t>
        </is>
      </c>
      <c r="L150" s="26" t="n">
        <v>-223</v>
      </c>
      <c r="M150" s="27" t="n">
        <v>1.44843</v>
      </c>
      <c r="N150" s="28" t="n">
        <v>0.690402</v>
      </c>
      <c r="O150" s="28" t="n">
        <v>0.71312</v>
      </c>
      <c r="P150" s="28" t="n"/>
      <c r="Q150" s="28" t="n">
        <v>0.022718</v>
      </c>
      <c r="R150" s="26" t="n">
        <v>31</v>
      </c>
      <c r="S150" s="29" t="n">
        <v>1</v>
      </c>
      <c r="T150" s="24" t="inlineStr">
        <is>
          <t>valorant-tiered-elo-v6</t>
        </is>
      </c>
      <c r="U150" s="24" t="inlineStr">
        <is>
          <t>settled</t>
        </is>
      </c>
      <c r="V150" s="24" t="inlineStr">
        <is>
          <t>win</t>
        </is>
      </c>
      <c r="W150" s="26" t="n">
        <v>0</v>
      </c>
      <c r="X150" s="26" t="n">
        <v>1</v>
      </c>
      <c r="Y150" s="25" t="n"/>
      <c r="Z150" s="26" t="n"/>
      <c r="AA150" s="28" t="n"/>
      <c r="AB150" s="28" t="n"/>
      <c r="AC150" s="30" t="n">
        <v>0.4484</v>
      </c>
      <c r="AD150" s="24" t="inlineStr">
        <is>
          <t>2026-09-27T16:01:44.312698Z</t>
        </is>
      </c>
      <c r="AE150" s="31" t="inlineStr">
        <is>
          <t>Neutral Elo baseline; executable ask 0.6900 (market_slug=aec-valorant-100t-t1-2026-09-27).</t>
        </is>
      </c>
      <c r="AF150" s="31" t="inlineStr">
        <is>
          <t>Config-promoted esports baseline; gates enforced at log time.</t>
        </is>
      </c>
      <c r="AG150" s="24" t="inlineStr">
        <is>
          <t>not_applicable</t>
        </is>
      </c>
      <c r="AH150" s="24" t="n"/>
      <c r="AI150" s="31" t="n"/>
      <c r="AJ150" s="31" t="n"/>
      <c r="AK150" s="24" t="inlineStr">
        <is>
          <t>paper_call</t>
        </is>
      </c>
      <c r="AL150" s="26" t="n">
        <v>4</v>
      </c>
      <c r="AM150" s="24" t="inlineStr">
        <is>
          <t>RESEARCH_OBSERVATION</t>
        </is>
      </c>
      <c r="AN150" s="24" t="inlineStr">
        <is>
          <t>CALL</t>
        </is>
      </c>
      <c r="AO150" s="24" t="inlineStr">
        <is>
          <t>PAPER_CALL_LOW_EDGE</t>
        </is>
      </c>
      <c r="AP150" s="24" t="inlineStr">
        <is>
          <t>T1</t>
        </is>
      </c>
      <c r="AQ150" s="24" t="inlineStr">
        <is>
          <t>T1</t>
        </is>
      </c>
      <c r="AR150" s="24" t="inlineStr">
        <is>
          <t>T1</t>
        </is>
      </c>
      <c r="AS150" s="24" t="inlineStr">
        <is>
          <t>100 Thieves</t>
        </is>
      </c>
      <c r="AT150" s="24" t="inlineStr">
        <is>
          <t>100 Thieves</t>
        </is>
      </c>
      <c r="AU150" s="24" t="inlineStr">
        <is>
          <t>100 Thieves</t>
        </is>
      </c>
      <c r="AV150" s="24" t="n"/>
      <c r="AW150" s="24" t="n"/>
      <c r="AX150" s="24" t="inlineStr">
        <is>
          <t>statistical_model</t>
        </is>
      </c>
      <c r="AY150" s="24" t="n"/>
      <c r="AZ150" s="24" t="inlineStr">
        <is>
          <t>shadow_qualified</t>
        </is>
      </c>
      <c r="BA150" s="24" t="inlineStr">
        <is>
          <t>6695e0fa5df99250c753043a08882288d0ea431542da28a786cc0bad9cce6ed8</t>
        </is>
      </c>
      <c r="BB150" s="24" t="inlineStr">
        <is>
          <t>neutral_elo</t>
        </is>
      </c>
      <c r="BC150" s="24" t="inlineStr">
        <is>
          <t>valorant-tiered-elo-v6</t>
        </is>
      </c>
      <c r="BD150" s="24" t="inlineStr">
        <is>
          <t>6695e0fa5df99250c753043a08882288d0ea431542da28a786cc0bad9cce6ed8</t>
        </is>
      </c>
      <c r="BE150" s="24" t="inlineStr">
        <is>
          <t>1</t>
        </is>
      </c>
      <c r="BF150" s="24" t="inlineStr">
        <is>
          <t>1</t>
        </is>
      </c>
      <c r="BG150" s="24" t="inlineStr">
        <is>
          <t>valorant-tiered-elo-v6</t>
        </is>
      </c>
      <c r="BH150" s="24" t="inlineStr">
        <is>
          <t>2026-09-27T05:03:51.340424Z</t>
        </is>
      </c>
      <c r="BI150" s="24" t="inlineStr">
        <is>
          <t>["same_event","same_team_same_day","same_league_same_day"]</t>
        </is>
      </c>
      <c r="BJ150" s="25" t="n"/>
      <c r="BK150" s="26" t="n">
        <v>-223</v>
      </c>
      <c r="BL150" s="27" t="n">
        <v>1.44843</v>
      </c>
      <c r="BM150" s="28" t="n">
        <v>0.690402</v>
      </c>
      <c r="BN150" s="28" t="n"/>
      <c r="BO150" s="28" t="n"/>
      <c r="BP150" s="25" t="n"/>
      <c r="BQ150" s="27" t="n"/>
      <c r="BR150" s="28" t="n"/>
      <c r="BS150" s="28" t="n"/>
      <c r="BT150" s="28" t="n"/>
      <c r="BU150" s="25" t="n"/>
      <c r="BV150" s="29" t="n"/>
      <c r="BW150" s="24" t="n"/>
      <c r="BX150" s="30" t="n"/>
      <c r="BY150" s="27" t="n"/>
      <c r="BZ150" s="24" t="n"/>
      <c r="CA150" s="31" t="n"/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  <c r="CL150" s="24" t="n"/>
      <c r="CM150" s="24" t="n"/>
      <c r="CN150" s="24" t="n"/>
      <c r="CO150" s="24" t="n"/>
      <c r="CP150" s="24" t="n"/>
      <c r="CQ150" s="24" t="n"/>
      <c r="CR150" s="24" t="n"/>
      <c r="CS150" s="24" t="inlineStr">
        <is>
          <t>True</t>
        </is>
      </c>
      <c r="CT150" s="24" t="n"/>
      <c r="CU150" s="24" t="n"/>
      <c r="CV150" s="24" t="n"/>
      <c r="CW150" s="24" t="n"/>
      <c r="CX150" s="24" t="n"/>
      <c r="CY150" s="24" t="n"/>
      <c r="CZ150" s="24" t="n"/>
      <c r="DA150" s="24" t="n"/>
      <c r="DB150" s="24" t="n"/>
      <c r="DC150" s="24" t="n"/>
      <c r="DD150" s="24" t="n"/>
      <c r="DE150" s="24" t="n"/>
      <c r="DF150" s="24" t="n"/>
      <c r="DG150" s="24" t="n"/>
      <c r="DH150" s="24" t="n"/>
      <c r="DI150" s="24" t="n"/>
      <c r="DJ150" s="24" t="inlineStr">
        <is>
          <t>0.690402</t>
        </is>
      </c>
      <c r="DK150" s="24" t="n"/>
      <c r="DL150" s="24" t="n"/>
      <c r="DM150" s="24" t="n"/>
      <c r="DN150" s="24" t="n"/>
      <c r="DO150" s="24" t="n"/>
      <c r="DP150" s="24" t="n"/>
      <c r="DQ150" s="24" t="inlineStr">
        <is>
          <t>{"artifact_hash": "6695e0fa5df99250c753043a08882288d0ea431542da28a786cc0bad9cce6ed8", "away_team": "T1", "event_id": "124851", "event_start_utc": "2026-09-27T09:00:00Z", "features": {"away_elo": 1836.625507, "away_history_count": 134, "home_elo": 2093.834431, "home_history_count": 109}, "historical_source_observation_times_verified": false, "home_team": "100 Thieves", "inference_inputs": {"book_state": {"games_played": {"bo3:2:7283": 134, "bo3:2:7298": 109}, "inactivity_half_life_days": null, "inactivity_max_pull": null, "k": 64.0, "last_match_utc": {"bo3:2:7283": "2026-09-05T08:10:00Z", "bo3:2:7298": "2026-09-06T17:00:00Z"}, "minimum_reliable_games": null, "platt_intercept": 0.11684875956590346, "platt_slope": 0.7614123117368478, "ratings": {"bo3:2:7283": 1836.625507, "bo3:2:7298": 2093.834431},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"2026-09-27T05:03:51.109327+00:00", "team_ids": ["bo3:2:7298", "bo3:2:7283"]}, "market_type": "moneyline", "model_version": "valorant-tiered-elo-v6", "observed_at_utc": "2026-09-27T05:03:51.109327+00:00", "probabilities": {"away": 0.28688, "home": 0.71312}, "replay_scope": "Exact serving book state, calibration, temperature, inactivity reference and thin-history adjustments; training provenance not certified.", "schema": "esports-elo-replay-v1", "snapshot_hash": "94968dab07f475dcea00ac213781aef5aa97c4303d31abf0d1a6c716721914ce", "sport": "VALORANT"}</t>
        </is>
      </c>
    </row>
    <row r="151" ht="36" customHeight="1">
      <c r="A151" s="24" t="inlineStr">
        <is>
          <t>593397a748404a74</t>
        </is>
      </c>
      <c r="B151" s="24" t="inlineStr">
        <is>
          <t>2026-09-28T10:09:56.918712Z</t>
        </is>
      </c>
      <c r="C151" s="24" t="inlineStr">
        <is>
          <t>2026-09-28T16:00:00Z</t>
        </is>
      </c>
      <c r="D151" s="24" t="inlineStr">
        <is>
          <t>130380</t>
        </is>
      </c>
      <c r="E151" s="24" t="inlineStr">
        <is>
          <t>VALORANT</t>
        </is>
      </c>
      <c r="F151" s="24" t="inlineStr">
        <is>
          <t>Pcific Esports</t>
        </is>
      </c>
      <c r="G151" s="24" t="inlineStr">
        <is>
          <t>Fear Never Ends</t>
        </is>
      </c>
      <c r="H151" s="24" t="inlineStr">
        <is>
          <t>moneyline</t>
        </is>
      </c>
      <c r="I151" s="24" t="inlineStr">
        <is>
          <t>home</t>
        </is>
      </c>
      <c r="J151" s="25" t="n"/>
      <c r="K151" s="24" t="inlineStr">
        <is>
          <t>polymarket_us</t>
        </is>
      </c>
      <c r="L151" s="26" t="n">
        <v>150</v>
      </c>
      <c r="M151" s="27" t="n">
        <v>2.5</v>
      </c>
      <c r="N151" s="28" t="n">
        <v>0.4</v>
      </c>
      <c r="O151" s="28" t="n">
        <v>0.541353</v>
      </c>
      <c r="P151" s="28" t="n"/>
      <c r="Q151" s="28" t="n">
        <v>0.141353</v>
      </c>
      <c r="R151" s="26" t="n">
        <v>91</v>
      </c>
      <c r="S151" s="29" t="n">
        <v>1.5</v>
      </c>
      <c r="T151" s="24" t="inlineStr">
        <is>
          <t>valorant-tiered-elo-v6</t>
        </is>
      </c>
      <c r="U151" s="24" t="inlineStr">
        <is>
          <t>settled</t>
        </is>
      </c>
      <c r="V151" s="24" t="inlineStr">
        <is>
          <t>loss</t>
        </is>
      </c>
      <c r="W151" s="26" t="n">
        <v>1</v>
      </c>
      <c r="X151" s="26" t="n">
        <v>0</v>
      </c>
      <c r="Y151" s="25" t="n"/>
      <c r="Z151" s="26" t="n"/>
      <c r="AA151" s="28" t="n"/>
      <c r="AB151" s="28" t="n"/>
      <c r="AC151" s="30" t="n">
        <v>-1.5</v>
      </c>
      <c r="AD151" s="24" t="inlineStr">
        <is>
          <t>2026-09-28T22:01:55.465771Z</t>
        </is>
      </c>
      <c r="AE151" s="31" t="inlineStr">
        <is>
          <t>Neutral Elo baseline; executable ask 0.4000 (market_slug=aec-valorant-fne-pcfic-2026-09-28).</t>
        </is>
      </c>
      <c r="AF151" s="31" t="inlineStr">
        <is>
          <t>Config-promoted esports baseline; gates enforced at log time.</t>
        </is>
      </c>
      <c r="AG151" s="24" t="inlineStr">
        <is>
          <t>review_required</t>
        </is>
      </c>
      <c r="AH151" s="24" t="n"/>
      <c r="AI151" s="31" t="n"/>
      <c r="AJ151" s="31" t="n"/>
      <c r="AK151" s="24" t="inlineStr">
        <is>
          <t>model_qualified</t>
        </is>
      </c>
      <c r="AL151" s="26" t="n">
        <v>4</v>
      </c>
      <c r="AM151" s="24" t="inlineStr">
        <is>
          <t>QUALIFIED_SHADOW_CALL</t>
        </is>
      </c>
      <c r="AN151" s="24" t="inlineStr">
        <is>
          <t>CALL</t>
        </is>
      </c>
      <c r="AO151" s="24" t="inlineStr">
        <is>
          <t>QUALIFIED</t>
        </is>
      </c>
      <c r="AP151" s="24" t="inlineStr">
        <is>
          <t>Pcific Esports</t>
        </is>
      </c>
      <c r="AQ151" s="24" t="inlineStr">
        <is>
          <t>Pcific Esports</t>
        </is>
      </c>
      <c r="AR151" s="24" t="inlineStr">
        <is>
          <t>Pcific Esports</t>
        </is>
      </c>
      <c r="AS151" s="24" t="inlineStr">
        <is>
          <t>Fear Never Ends</t>
        </is>
      </c>
      <c r="AT151" s="24" t="inlineStr">
        <is>
          <t>Fear Never Ends</t>
        </is>
      </c>
      <c r="AU151" s="24" t="inlineStr">
        <is>
          <t>Fear Never Ends</t>
        </is>
      </c>
      <c r="AV151" s="24" t="n"/>
      <c r="AW151" s="24" t="n"/>
      <c r="AX151" s="24" t="inlineStr">
        <is>
          <t>statistical_model</t>
        </is>
      </c>
      <c r="AY151" s="24" t="n"/>
      <c r="AZ151" s="24" t="inlineStr">
        <is>
          <t>shadow_qualified</t>
        </is>
      </c>
      <c r="BA151" s="24" t="inlineStr">
        <is>
          <t>7064b5ac4ea709b37344fc2491e3780c34d01ee17d0f831ff7800e11162833ec</t>
        </is>
      </c>
      <c r="BB151" s="24" t="inlineStr">
        <is>
          <t>neutral_elo</t>
        </is>
      </c>
      <c r="BC151" s="24" t="inlineStr">
        <is>
          <t>valorant-tiered-elo-v6</t>
        </is>
      </c>
      <c r="BD151" s="24" t="inlineStr">
        <is>
          <t>7064b5ac4ea709b37344fc2491e3780c34d01ee17d0f831ff7800e11162833ec</t>
        </is>
      </c>
      <c r="BE151" s="24" t="inlineStr">
        <is>
          <t>1</t>
        </is>
      </c>
      <c r="BF151" s="24" t="inlineStr">
        <is>
          <t>1</t>
        </is>
      </c>
      <c r="BG151" s="24" t="inlineStr">
        <is>
          <t>valorant-tiered-elo-v6</t>
        </is>
      </c>
      <c r="BH151" s="24" t="inlineStr">
        <is>
          <t>2026-09-28T10:09:44.882671Z</t>
        </is>
      </c>
      <c r="BI151" s="24" t="inlineStr">
        <is>
          <t>["same_event","same_team_same_day","same_league_same_day"]</t>
        </is>
      </c>
      <c r="BJ151" s="25" t="n"/>
      <c r="BK151" s="26" t="n">
        <v>150</v>
      </c>
      <c r="BL151" s="27" t="n">
        <v>2.5</v>
      </c>
      <c r="BM151" s="28" t="n">
        <v>0.4</v>
      </c>
      <c r="BN151" s="28" t="n"/>
      <c r="BO151" s="28" t="n"/>
      <c r="BP151" s="25" t="n"/>
      <c r="BQ151" s="27" t="n"/>
      <c r="BR151" s="28" t="n"/>
      <c r="BS151" s="28" t="n"/>
      <c r="BT151" s="28" t="n"/>
      <c r="BU151" s="25" t="n"/>
      <c r="BV151" s="29" t="n"/>
      <c r="BW151" s="24" t="n"/>
      <c r="BX151" s="30" t="n"/>
      <c r="BY151" s="27" t="n"/>
      <c r="BZ151" s="24" t="n"/>
      <c r="CA151" s="31" t="n"/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  <c r="CL151" s="24" t="n"/>
      <c r="CM151" s="24" t="n"/>
      <c r="CN151" s="24" t="n"/>
      <c r="CO151" s="24" t="n"/>
      <c r="CP151" s="24" t="n"/>
      <c r="CQ151" s="24" t="n"/>
      <c r="CR151" s="24" t="n"/>
      <c r="CS151" s="24" t="inlineStr">
        <is>
          <t>True</t>
        </is>
      </c>
      <c r="CT151" s="24" t="n"/>
      <c r="CU151" s="24" t="n"/>
      <c r="CV151" s="24" t="n"/>
      <c r="CW151" s="24" t="n"/>
      <c r="CX151" s="24" t="n"/>
      <c r="CY151" s="24" t="n"/>
      <c r="CZ151" s="24" t="n"/>
      <c r="DA151" s="24" t="n"/>
      <c r="DB151" s="24" t="n"/>
      <c r="DC151" s="24" t="n"/>
      <c r="DD151" s="24" t="n"/>
      <c r="DE151" s="24" t="n"/>
      <c r="DF151" s="24" t="n"/>
      <c r="DG151" s="24" t="n"/>
      <c r="DH151" s="24" t="n"/>
      <c r="DI151" s="24" t="n"/>
      <c r="DJ151" s="24" t="inlineStr">
        <is>
          <t>0.4</t>
        </is>
      </c>
      <c r="DK151" s="24" t="n"/>
      <c r="DL151" s="24" t="n"/>
      <c r="DM151" s="24" t="n"/>
      <c r="DN151" s="24" t="n"/>
      <c r="DO151" s="24" t="n"/>
      <c r="DP151" s="24" t="n"/>
      <c r="DQ151" s="24" t="inlineStr">
        <is>
          <t>{"artifact_hash": "7064b5ac4ea709b37344fc2491e3780c34d01ee17d0f831ff7800e11162833ec", "away_team": "Pcific Esports", "event_id": "130380", "event_start_utc": "2026-09-28T16:00:00Z", "features": {"away_elo": 1460.745366, "away_history_count": 48, "home_elo": 1509.441186, "home_history_count": 2}, "historical_source_observation_times_verified": false, "home_team": "Fear Never Ends", "inference_inputs": {"book_state": {"games_played": {"bo3:2:25388": 2, "bo3:2:8765": 48}, "inactivity_half_life_days": null, "inactivity_max_pull": null, "k": 64.0, "last_match_utc": {"bo3:2:25388": "2026-09-27T16:00:00Z", "bo3:2:8765": "2026-09-27T16:00:00Z"}, "minimum_reliable_games": null, "platt_intercept": 0.11470310988145302, "platt_slope": 0.764077738716276, "ratings": {"bo3:2:25388": 1509.441186, "bo3:2:8765": 1460.745366},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"2026-09-28T10:09:44.761056+00:00", "team_ids": ["bo3:2:25388", "bo3:2:8765"]}, "market_type": "moneyline", "model_version": "valorant-tiered-elo-v6", "observed_at_utc": "2026-09-28T10:09:44.761056+00:00", "probabilities": {"away": 0.458647, "home": 0.541353}, "replay_scope": "Exact serving book state, calibration, temperature, inactivity reference and thin-history adjustments; training provenance not certified.", "schema": "esports-elo-replay-v1", "snapshot_hash": "c224eb1886b2b3942066ca76c68da486175e810ec3df447e2efb2cc6facd9c7d", "sport": "VALORANT"}</t>
        </is>
      </c>
    </row>
    <row r="152" ht="36" customHeight="1">
      <c r="A152" s="24" t="inlineStr">
        <is>
          <t>6e1288b05dba444e</t>
        </is>
      </c>
      <c r="B152" s="24" t="inlineStr">
        <is>
          <t>2026-09-28T16:12:19.658478Z</t>
        </is>
      </c>
      <c r="C152" s="24" t="inlineStr">
        <is>
          <t>2026-09-28T19:00:00Z</t>
        </is>
      </c>
      <c r="D152" s="24" t="inlineStr">
        <is>
          <t>130722</t>
        </is>
      </c>
      <c r="E152" s="24" t="inlineStr">
        <is>
          <t>VALORANT</t>
        </is>
      </c>
      <c r="F152" s="24" t="inlineStr">
        <is>
          <t>Trigon Titans</t>
        </is>
      </c>
      <c r="G152" s="24" t="inlineStr">
        <is>
          <t>NKVT</t>
        </is>
      </c>
      <c r="H152" s="24" t="inlineStr">
        <is>
          <t>moneyline</t>
        </is>
      </c>
      <c r="I152" s="24" t="inlineStr">
        <is>
          <t>home</t>
        </is>
      </c>
      <c r="J152" s="25" t="n"/>
      <c r="K152" s="24" t="inlineStr">
        <is>
          <t>polymarket_us</t>
        </is>
      </c>
      <c r="L152" s="26" t="n">
        <v>-178</v>
      </c>
      <c r="M152" s="27" t="n">
        <v>1.561798</v>
      </c>
      <c r="N152" s="28" t="n">
        <v>0.640288</v>
      </c>
      <c r="O152" s="28" t="n">
        <v>0.514882</v>
      </c>
      <c r="P152" s="28" t="n"/>
      <c r="Q152" s="28" t="n">
        <v>-0.125406</v>
      </c>
      <c r="R152" s="26" t="n">
        <v>0</v>
      </c>
      <c r="S152" s="29" t="n">
        <v>1</v>
      </c>
      <c r="T152" s="24" t="inlineStr">
        <is>
          <t>valorant-tiered-elo-v6</t>
        </is>
      </c>
      <c r="U152" s="24" t="inlineStr">
        <is>
          <t>settled</t>
        </is>
      </c>
      <c r="V152" s="24" t="inlineStr">
        <is>
          <t>win</t>
        </is>
      </c>
      <c r="W152" s="26" t="n">
        <v>0</v>
      </c>
      <c r="X152" s="26" t="n">
        <v>1</v>
      </c>
      <c r="Y152" s="25" t="n"/>
      <c r="Z152" s="26" t="n"/>
      <c r="AA152" s="28" t="n"/>
      <c r="AB152" s="28" t="n"/>
      <c r="AC152" s="30" t="n">
        <v>0.5618</v>
      </c>
      <c r="AD152" s="24" t="inlineStr">
        <is>
          <t>2026-09-28T22:01:56.070531Z</t>
        </is>
      </c>
      <c r="AE152" s="31" t="inlineStr">
        <is>
          <t>Neutral Elo baseline; executable ask 0.6400 (market_slug=aec-valorant-nkvt-tt-2026-09-28).</t>
        </is>
      </c>
      <c r="AF152" s="31" t="inlineStr">
        <is>
          <t>Config-promoted esports baseline; gates enforced at log time.</t>
        </is>
      </c>
      <c r="AG152" s="24" t="inlineStr">
        <is>
          <t>not_applicable</t>
        </is>
      </c>
      <c r="AH152" s="24" t="n"/>
      <c r="AI152" s="31" t="n"/>
      <c r="AJ152" s="31" t="n"/>
      <c r="AK152" s="24" t="inlineStr">
        <is>
          <t>paper_call</t>
        </is>
      </c>
      <c r="AL152" s="26" t="n">
        <v>4</v>
      </c>
      <c r="AM152" s="24" t="inlineStr">
        <is>
          <t>RESEARCH_OBSERVATION</t>
        </is>
      </c>
      <c r="AN152" s="24" t="inlineStr">
        <is>
          <t>CALL</t>
        </is>
      </c>
      <c r="AO152" s="24" t="inlineStr">
        <is>
          <t>PAPER_CALL_LOW_EDGE</t>
        </is>
      </c>
      <c r="AP152" s="24" t="inlineStr">
        <is>
          <t>Trigon Titans</t>
        </is>
      </c>
      <c r="AQ152" s="24" t="inlineStr">
        <is>
          <t>Trigon Titans</t>
        </is>
      </c>
      <c r="AR152" s="24" t="inlineStr">
        <is>
          <t>Trigon Titans</t>
        </is>
      </c>
      <c r="AS152" s="24" t="inlineStr">
        <is>
          <t>NKVT</t>
        </is>
      </c>
      <c r="AT152" s="24" t="inlineStr">
        <is>
          <t>NKVT</t>
        </is>
      </c>
      <c r="AU152" s="24" t="inlineStr">
        <is>
          <t>NKVT</t>
        </is>
      </c>
      <c r="AV152" s="24" t="n"/>
      <c r="AW152" s="24" t="n"/>
      <c r="AX152" s="24" t="inlineStr">
        <is>
          <t>statistical_model</t>
        </is>
      </c>
      <c r="AY152" s="24" t="n"/>
      <c r="AZ152" s="24" t="inlineStr">
        <is>
          <t>shadow_qualified</t>
        </is>
      </c>
      <c r="BA152" s="24" t="inlineStr">
        <is>
          <t>de157dac5b7837d94da961871b86e07e11c589d88090f30e966cf072a7e85188</t>
        </is>
      </c>
      <c r="BB152" s="24" t="inlineStr">
        <is>
          <t>neutral_elo</t>
        </is>
      </c>
      <c r="BC152" s="24" t="inlineStr">
        <is>
          <t>valorant-tiered-elo-v6</t>
        </is>
      </c>
      <c r="BD152" s="24" t="inlineStr">
        <is>
          <t>de157dac5b7837d94da961871b86e07e11c589d88090f30e966cf072a7e85188</t>
        </is>
      </c>
      <c r="BE152" s="24" t="inlineStr">
        <is>
          <t>1</t>
        </is>
      </c>
      <c r="BF152" s="24" t="inlineStr">
        <is>
          <t>1</t>
        </is>
      </c>
      <c r="BG152" s="24" t="inlineStr">
        <is>
          <t>valorant-tiered-elo-v6</t>
        </is>
      </c>
      <c r="BH152" s="24" t="inlineStr">
        <is>
          <t>2026-09-28T16:12:12.182196Z</t>
        </is>
      </c>
      <c r="BI152" s="24" t="inlineStr">
        <is>
          <t>["same_event","same_team_same_day","same_league_same_day"]</t>
        </is>
      </c>
      <c r="BJ152" s="25" t="n"/>
      <c r="BK152" s="26" t="n">
        <v>-178</v>
      </c>
      <c r="BL152" s="27" t="n">
        <v>1.561798</v>
      </c>
      <c r="BM152" s="28" t="n">
        <v>0.640288</v>
      </c>
      <c r="BN152" s="28" t="n"/>
      <c r="BO152" s="28" t="n"/>
      <c r="BP152" s="25" t="n"/>
      <c r="BQ152" s="27" t="n"/>
      <c r="BR152" s="28" t="n"/>
      <c r="BS152" s="28" t="n"/>
      <c r="BT152" s="28" t="n"/>
      <c r="BU152" s="25" t="n"/>
      <c r="BV152" s="29" t="n"/>
      <c r="BW152" s="24" t="n"/>
      <c r="BX152" s="30" t="n"/>
      <c r="BY152" s="27" t="n"/>
      <c r="BZ152" s="24" t="n"/>
      <c r="CA152" s="31" t="n"/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  <c r="CL152" s="24" t="n"/>
      <c r="CM152" s="24" t="n"/>
      <c r="CN152" s="24" t="n"/>
      <c r="CO152" s="24" t="n"/>
      <c r="CP152" s="24" t="n"/>
      <c r="CQ152" s="24" t="n"/>
      <c r="CR152" s="24" t="n"/>
      <c r="CS152" s="24" t="inlineStr">
        <is>
          <t>False</t>
        </is>
      </c>
      <c r="CT152" s="24" t="n"/>
      <c r="CU152" s="24" t="n"/>
      <c r="CV152" s="24" t="n"/>
      <c r="CW152" s="24" t="n"/>
      <c r="CX152" s="24" t="n"/>
      <c r="CY152" s="24" t="n"/>
      <c r="CZ152" s="24" t="n"/>
      <c r="DA152" s="24" t="n"/>
      <c r="DB152" s="24" t="n"/>
      <c r="DC152" s="24" t="n"/>
      <c r="DD152" s="24" t="n"/>
      <c r="DE152" s="24" t="n"/>
      <c r="DF152" s="24" t="n"/>
      <c r="DG152" s="24" t="n"/>
      <c r="DH152" s="24" t="n"/>
      <c r="DI152" s="24" t="n"/>
      <c r="DJ152" s="24" t="inlineStr">
        <is>
          <t>0.640288</t>
        </is>
      </c>
      <c r="DK152" s="24" t="n"/>
      <c r="DL152" s="24" t="n"/>
      <c r="DM152" s="24" t="n"/>
      <c r="DN152" s="24" t="n"/>
      <c r="DO152" s="24" t="n"/>
      <c r="DP152" s="24" t="n"/>
      <c r="DQ152" s="24" t="inlineStr">
        <is>
          <t>{"artifact_hash": "de157dac5b7837d94da961871b86e07e11c589d88090f30e966cf072a7e85188", "away_team": "Trigon Titans", "event_id": "130722", "event_start_utc": "2026-09-28T19:00:00Z", "features": {"away_elo": 1519.48098, "away_history_count": 2, "home_elo": 1520.049578, "home_history_count": 2}, "historical_source_observation_times_verified": false, "home_team": "NKVT", "inference_inputs": {"book_state": {"games_played": {"bo3:2:25385": 2, "bo3:2:25387": 2}, "inactivity_half_life_days": null, "inactivity_max_pull": null, "k": 64.0, "last_match_utc": {"bo3:2:25385": "2026-09-27T18:25:00Z", "bo3:2:25387": "2026-09-27T19:00:00Z"}, "minimum_reliable_games": null, "platt_intercept": 0.11470310988145302, "platt_slope": 0.764077738716276, "ratings": {"bo3:2:25385": 1520.049578, "bo3:2:25387": 1519.48098},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"2026-09-28T16:12:12.107999+00:00", "team_ids": ["bo3:2:25385", "bo3:2:25387"]}, "market_type": "moneyline", "model_version": "valorant-tiered-elo-v6", "observed_at_utc": "2026-09-28T16:12:12.107999+00:00", "probabilities": {"away": 0.485118, "home": 0.514882}, "replay_scope": "Exact serving book state, calibration, temperature, inactivity reference and thin-history adjustments; training provenance not certified.", "schema": "esports-elo-replay-v1", "snapshot_hash": "2f98ba6bd5a456efd50dda1b1bd1d16a32697dae458cfca01a06674692cc5c14", "sport": "VALORANT"}</t>
        </is>
      </c>
    </row>
    <row r="153" ht="36" customHeight="1">
      <c r="A153" s="24" t="inlineStr">
        <is>
          <t>fc44563dca4f4bb9</t>
        </is>
      </c>
      <c r="B153" s="24" t="inlineStr">
        <is>
          <t>2026-09-29T04:40:22.040874Z</t>
        </is>
      </c>
      <c r="C153" s="24" t="inlineStr">
        <is>
          <t>2026-09-29T09:00:00Z</t>
        </is>
      </c>
      <c r="D153" s="24" t="inlineStr">
        <is>
          <t>127947</t>
        </is>
      </c>
      <c r="E153" s="24" t="inlineStr">
        <is>
          <t>VALORANT</t>
        </is>
      </c>
      <c r="F153" s="24" t="inlineStr">
        <is>
          <t>Paper Rex</t>
        </is>
      </c>
      <c r="G153" s="24" t="inlineStr">
        <is>
          <t>G2 Esports</t>
        </is>
      </c>
      <c r="H153" s="24" t="inlineStr">
        <is>
          <t>moneyline</t>
        </is>
      </c>
      <c r="I153" s="24" t="inlineStr">
        <is>
          <t>home</t>
        </is>
      </c>
      <c r="J153" s="25" t="n"/>
      <c r="K153" s="24" t="inlineStr">
        <is>
          <t>polymarket_us</t>
        </is>
      </c>
      <c r="L153" s="26" t="n">
        <v>133</v>
      </c>
      <c r="M153" s="27" t="n">
        <v>2.33</v>
      </c>
      <c r="N153" s="28" t="n">
        <v>0.429185</v>
      </c>
      <c r="O153" s="28" t="n">
        <v>0.552967</v>
      </c>
      <c r="P153" s="28" t="n"/>
      <c r="Q153" s="28" t="n">
        <v>0.123782</v>
      </c>
      <c r="R153" s="26" t="n">
        <v>82</v>
      </c>
      <c r="S153" s="29" t="n">
        <v>1.5</v>
      </c>
      <c r="T153" s="24" t="inlineStr">
        <is>
          <t>valorant-tiered-elo-v6</t>
        </is>
      </c>
      <c r="U153" s="24" t="inlineStr">
        <is>
          <t>settled</t>
        </is>
      </c>
      <c r="V153" s="24" t="inlineStr">
        <is>
          <t>loss</t>
        </is>
      </c>
      <c r="W153" s="26" t="n">
        <v>1</v>
      </c>
      <c r="X153" s="26" t="n">
        <v>0</v>
      </c>
      <c r="Y153" s="25" t="n"/>
      <c r="Z153" s="26" t="n"/>
      <c r="AA153" s="28" t="n"/>
      <c r="AB153" s="28" t="n"/>
      <c r="AC153" s="30" t="n">
        <v>-1.5</v>
      </c>
      <c r="AD153" s="24" t="inlineStr">
        <is>
          <t>2026-09-29T22:02:18.706730Z</t>
        </is>
      </c>
      <c r="AE153" s="31" t="inlineStr">
        <is>
          <t>Neutral Elo baseline; executable ask 0.4300 (market_slug=aec-valorant-g2-pr-2026-09-29).</t>
        </is>
      </c>
      <c r="AF153" s="31" t="inlineStr">
        <is>
          <t>Config-promoted esports baseline; gates enforced at log time.</t>
        </is>
      </c>
      <c r="AG153" s="24" t="inlineStr">
        <is>
          <t>review_required</t>
        </is>
      </c>
      <c r="AH153" s="24" t="n"/>
      <c r="AI153" s="31" t="n"/>
      <c r="AJ153" s="31" t="n"/>
      <c r="AK153" s="24" t="inlineStr">
        <is>
          <t>model_qualified</t>
        </is>
      </c>
      <c r="AL153" s="26" t="n">
        <v>4</v>
      </c>
      <c r="AM153" s="24" t="inlineStr">
        <is>
          <t>QUALIFIED_SHADOW_CALL</t>
        </is>
      </c>
      <c r="AN153" s="24" t="inlineStr">
        <is>
          <t>CALL</t>
        </is>
      </c>
      <c r="AO153" s="24" t="inlineStr">
        <is>
          <t>QUALIFIED</t>
        </is>
      </c>
      <c r="AP153" s="24" t="inlineStr">
        <is>
          <t>Paper Rex</t>
        </is>
      </c>
      <c r="AQ153" s="24" t="inlineStr">
        <is>
          <t>Paper Rex</t>
        </is>
      </c>
      <c r="AR153" s="24" t="inlineStr">
        <is>
          <t>Paper Rex</t>
        </is>
      </c>
      <c r="AS153" s="24" t="inlineStr">
        <is>
          <t>G2 Esports</t>
        </is>
      </c>
      <c r="AT153" s="24" t="inlineStr">
        <is>
          <t>G2 Esports</t>
        </is>
      </c>
      <c r="AU153" s="24" t="inlineStr">
        <is>
          <t>G2 Esports</t>
        </is>
      </c>
      <c r="AV153" s="24" t="n"/>
      <c r="AW153" s="24" t="n"/>
      <c r="AX153" s="24" t="inlineStr">
        <is>
          <t>statistical_model</t>
        </is>
      </c>
      <c r="AY153" s="24" t="n"/>
      <c r="AZ153" s="24" t="inlineStr">
        <is>
          <t>shadow_qualified</t>
        </is>
      </c>
      <c r="BA153" s="24" t="inlineStr">
        <is>
          <t>f75098e70cf404ed0b758451478d73c461deb13c3139f6283898c87006722a3c</t>
        </is>
      </c>
      <c r="BB153" s="24" t="inlineStr">
        <is>
          <t>neutral_elo</t>
        </is>
      </c>
      <c r="BC153" s="24" t="inlineStr">
        <is>
          <t>valorant-tiered-elo-v6</t>
        </is>
      </c>
      <c r="BD153" s="24" t="inlineStr">
        <is>
          <t>f75098e70cf404ed0b758451478d73c461deb13c3139f6283898c87006722a3c</t>
        </is>
      </c>
      <c r="BE153" s="24" t="inlineStr">
        <is>
          <t>1</t>
        </is>
      </c>
      <c r="BF153" s="24" t="inlineStr">
        <is>
          <t>1</t>
        </is>
      </c>
      <c r="BG153" s="24" t="inlineStr">
        <is>
          <t>valorant-tiered-elo-v6</t>
        </is>
      </c>
      <c r="BH153" s="24" t="inlineStr">
        <is>
          <t>2026-09-29T04:40:09.101054Z</t>
        </is>
      </c>
      <c r="BI153" s="24" t="inlineStr">
        <is>
          <t>["same_event","same_team_same_day","same_league_same_day"]</t>
        </is>
      </c>
      <c r="BJ153" s="25" t="n"/>
      <c r="BK153" s="26" t="n">
        <v>133</v>
      </c>
      <c r="BL153" s="27" t="n">
        <v>2.33</v>
      </c>
      <c r="BM153" s="28" t="n">
        <v>0.429185</v>
      </c>
      <c r="BN153" s="28" t="n"/>
      <c r="BO153" s="28" t="n"/>
      <c r="BP153" s="25" t="n"/>
      <c r="BQ153" s="27" t="n"/>
      <c r="BR153" s="28" t="n"/>
      <c r="BS153" s="28" t="n"/>
      <c r="BT153" s="28" t="n"/>
      <c r="BU153" s="25" t="n"/>
      <c r="BV153" s="29" t="n"/>
      <c r="BW153" s="24" t="n"/>
      <c r="BX153" s="30" t="n"/>
      <c r="BY153" s="27" t="n"/>
      <c r="BZ153" s="24" t="n"/>
      <c r="CA153" s="31" t="n"/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  <c r="CL153" s="24" t="n"/>
      <c r="CM153" s="24" t="n"/>
      <c r="CN153" s="24" t="n"/>
      <c r="CO153" s="24" t="n"/>
      <c r="CP153" s="24" t="n"/>
      <c r="CQ153" s="24" t="n"/>
      <c r="CR153" s="24" t="n"/>
      <c r="CS153" s="24" t="inlineStr">
        <is>
          <t>True</t>
        </is>
      </c>
      <c r="CT153" s="24" t="n"/>
      <c r="CU153" s="24" t="n"/>
      <c r="CV153" s="24" t="n"/>
      <c r="CW153" s="24" t="n"/>
      <c r="CX153" s="24" t="n"/>
      <c r="CY153" s="24" t="n"/>
      <c r="CZ153" s="24" t="n"/>
      <c r="DA153" s="24" t="n"/>
      <c r="DB153" s="24" t="n"/>
      <c r="DC153" s="24" t="n"/>
      <c r="DD153" s="24" t="n"/>
      <c r="DE153" s="24" t="n"/>
      <c r="DF153" s="24" t="n"/>
      <c r="DG153" s="24" t="n"/>
      <c r="DH153" s="24" t="n"/>
      <c r="DI153" s="24" t="n"/>
      <c r="DJ153" s="24" t="inlineStr">
        <is>
          <t>0.429185</t>
        </is>
      </c>
      <c r="DK153" s="24" t="n"/>
      <c r="DL153" s="24" t="n"/>
      <c r="DM153" s="24" t="n"/>
      <c r="DN153" s="24" t="n"/>
      <c r="DO153" s="24" t="n"/>
      <c r="DP153" s="24" t="n"/>
      <c r="DQ153" s="24" t="inlineStr">
        <is>
          <t>{"artifact_hash": "f75098e70cf404ed0b758451478d73c461deb13c3139f6283898c87006722a3c", "away_team": "Paper Rex", "event_id": "127947", "event_start_utc": "2026-09-29T09:00:00Z", "features": {"away_elo": 1836.989603, "away_history_count": 165, "home_elo": 1868.331347, "home_history_count": 164}, "historical_source_observation_times_verified": false, "home_team": "G2 Esports", "inference_inputs": {"book_state": {"games_played": {"bo3:2:7225": 165, "bo3:2:7323": 164}, "inactivity_half_life_days": null, "inactivity_max_pull": null, "k": 64.0, "last_match_utc": {"bo3:2:7225": "2026-09-24T09:00:00Z", "bo3:2:7323": "2026-09-24T12:30:00Z"}, "minimum_reliable_games": null, "platt_intercept": 0.11682002441821546, "platt_slope": 0.7650084432774791, "ratings": {"bo3:2:7225": 1836.989603, "bo3:2:7323": 1868.331347},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"2026-09-29T04:40:09.010121+00:00", "team_ids": ["bo3:2:7323", "bo3:2:7225"]}, "market_type": "moneyline", "model_version": "valorant-tiered-elo-v6", "observed_at_utc": "2026-09-29T04:40:09.010121+00:00", "probabilities": {"away": 0.447033, "home": 0.552967}, "replay_scope": "Exact serving book state, calibration, temperature, inactivity reference and thin-history adjustments; training provenance not certified.", "schema": "esports-elo-replay-v1", "snapshot_hash": "634f935aff9e78183da4afe691926e67f991a18e7cbb5159b0c3fb08e9f59124", "sport": "VALORANT"}</t>
        </is>
      </c>
    </row>
    <row r="154" ht="36" customHeight="1">
      <c r="A154" s="24" t="inlineStr">
        <is>
          <t>2dd1d06109ae44b1</t>
        </is>
      </c>
      <c r="B154" s="24" t="inlineStr">
        <is>
          <t>2026-09-29T10:09:27.198379Z</t>
        </is>
      </c>
      <c r="C154" s="24" t="inlineStr">
        <is>
          <t>2026-09-29T12:00:00Z</t>
        </is>
      </c>
      <c r="D154" s="24" t="inlineStr">
        <is>
          <t>128054</t>
        </is>
      </c>
      <c r="E154" s="24" t="inlineStr">
        <is>
          <t>VALORANT</t>
        </is>
      </c>
      <c r="F154" s="24" t="inlineStr">
        <is>
          <t>NRG</t>
        </is>
      </c>
      <c r="G154" s="24" t="inlineStr">
        <is>
          <t>Karmine Corp</t>
        </is>
      </c>
      <c r="H154" s="24" t="inlineStr">
        <is>
          <t>moneyline</t>
        </is>
      </c>
      <c r="I154" s="24" t="inlineStr">
        <is>
          <t>home</t>
        </is>
      </c>
      <c r="J154" s="25" t="n"/>
      <c r="K154" s="24" t="inlineStr">
        <is>
          <t>polymarket_us</t>
        </is>
      </c>
      <c r="L154" s="26" t="n">
        <v>138</v>
      </c>
      <c r="M154" s="27" t="n">
        <v>2.38</v>
      </c>
      <c r="N154" s="28" t="n">
        <v>0.420168</v>
      </c>
      <c r="O154" s="28" t="n">
        <v>0.588016</v>
      </c>
      <c r="P154" s="28" t="n"/>
      <c r="Q154" s="28" t="n">
        <v>0.167848</v>
      </c>
      <c r="R154" s="26" t="n">
        <v>100</v>
      </c>
      <c r="S154" s="29" t="n">
        <v>1.75</v>
      </c>
      <c r="T154" s="24" t="inlineStr">
        <is>
          <t>valorant-tiered-elo-v6</t>
        </is>
      </c>
      <c r="U154" s="24" t="inlineStr">
        <is>
          <t>settled</t>
        </is>
      </c>
      <c r="V154" s="24" t="inlineStr">
        <is>
          <t>loss</t>
        </is>
      </c>
      <c r="W154" s="26" t="n">
        <v>1</v>
      </c>
      <c r="X154" s="26" t="n">
        <v>0</v>
      </c>
      <c r="Y154" s="25" t="n"/>
      <c r="Z154" s="26" t="n"/>
      <c r="AA154" s="28" t="n"/>
      <c r="AB154" s="28" t="n"/>
      <c r="AC154" s="30" t="n">
        <v>-1.75</v>
      </c>
      <c r="AD154" s="24" t="inlineStr">
        <is>
          <t>2026-09-29T22:02:19.227306Z</t>
        </is>
      </c>
      <c r="AE154" s="31" t="inlineStr">
        <is>
          <t>Neutral Elo baseline; executable ask 0.4200 (market_slug=aec-valorant-kc-nrg-2026-09-29).</t>
        </is>
      </c>
      <c r="AF154" s="31" t="inlineStr">
        <is>
          <t>Config-promoted esports baseline; gates enforced at log time.</t>
        </is>
      </c>
      <c r="AG154" s="24" t="inlineStr">
        <is>
          <t>review_required</t>
        </is>
      </c>
      <c r="AH154" s="24" t="n"/>
      <c r="AI154" s="31" t="n"/>
      <c r="AJ154" s="31" t="n"/>
      <c r="AK154" s="24" t="inlineStr">
        <is>
          <t>model_qualified</t>
        </is>
      </c>
      <c r="AL154" s="26" t="n">
        <v>4</v>
      </c>
      <c r="AM154" s="24" t="inlineStr">
        <is>
          <t>QUALIFIED_SHADOW_CALL</t>
        </is>
      </c>
      <c r="AN154" s="24" t="inlineStr">
        <is>
          <t>CALL</t>
        </is>
      </c>
      <c r="AO154" s="24" t="inlineStr">
        <is>
          <t>QUALIFIED</t>
        </is>
      </c>
      <c r="AP154" s="24" t="inlineStr">
        <is>
          <t>NRG</t>
        </is>
      </c>
      <c r="AQ154" s="24" t="inlineStr">
        <is>
          <t>NRG</t>
        </is>
      </c>
      <c r="AR154" s="24" t="inlineStr">
        <is>
          <t>NRG</t>
        </is>
      </c>
      <c r="AS154" s="24" t="inlineStr">
        <is>
          <t>Karmine Corp</t>
        </is>
      </c>
      <c r="AT154" s="24" t="inlineStr">
        <is>
          <t>Karmine Corp</t>
        </is>
      </c>
      <c r="AU154" s="24" t="inlineStr">
        <is>
          <t>Karmine Corp</t>
        </is>
      </c>
      <c r="AV154" s="24" t="n"/>
      <c r="AW154" s="24" t="n"/>
      <c r="AX154" s="24" t="inlineStr">
        <is>
          <t>statistical_model</t>
        </is>
      </c>
      <c r="AY154" s="24" t="n"/>
      <c r="AZ154" s="24" t="inlineStr">
        <is>
          <t>shadow_qualified</t>
        </is>
      </c>
      <c r="BA154" s="24" t="inlineStr">
        <is>
          <t>15f6a45e57b1593f47a0b32b75169f60ea1a29d893b91f69dcac126cd6dd7be5</t>
        </is>
      </c>
      <c r="BB154" s="24" t="inlineStr">
        <is>
          <t>neutral_elo</t>
        </is>
      </c>
      <c r="BC154" s="24" t="inlineStr">
        <is>
          <t>valorant-tiered-elo-v6</t>
        </is>
      </c>
      <c r="BD154" s="24" t="inlineStr">
        <is>
          <t>15f6a45e57b1593f47a0b32b75169f60ea1a29d893b91f69dcac126cd6dd7be5</t>
        </is>
      </c>
      <c r="BE154" s="24" t="inlineStr">
        <is>
          <t>1</t>
        </is>
      </c>
      <c r="BF154" s="24" t="inlineStr">
        <is>
          <t>1</t>
        </is>
      </c>
      <c r="BG154" s="24" t="inlineStr">
        <is>
          <t>valorant-tiered-elo-v6</t>
        </is>
      </c>
      <c r="BH154" s="24" t="inlineStr">
        <is>
          <t>2026-09-29T10:09:22.887876Z</t>
        </is>
      </c>
      <c r="BI154" s="24" t="inlineStr">
        <is>
          <t>["same_event","same_team_same_day","same_league_same_day"]</t>
        </is>
      </c>
      <c r="BJ154" s="25" t="n"/>
      <c r="BK154" s="26" t="n">
        <v>138</v>
      </c>
      <c r="BL154" s="27" t="n">
        <v>2.38</v>
      </c>
      <c r="BM154" s="28" t="n">
        <v>0.420168</v>
      </c>
      <c r="BN154" s="28" t="n"/>
      <c r="BO154" s="28" t="n"/>
      <c r="BP154" s="25" t="n"/>
      <c r="BQ154" s="27" t="n"/>
      <c r="BR154" s="28" t="n"/>
      <c r="BS154" s="28" t="n"/>
      <c r="BT154" s="28" t="n"/>
      <c r="BU154" s="25" t="n"/>
      <c r="BV154" s="29" t="n"/>
      <c r="BW154" s="24" t="n"/>
      <c r="BX154" s="30" t="n"/>
      <c r="BY154" s="27" t="n"/>
      <c r="BZ154" s="24" t="n"/>
      <c r="CA154" s="31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inlineStr">
        <is>
          <t>True</t>
        </is>
      </c>
      <c r="CT154" s="24" t="n"/>
      <c r="CU154" s="24" t="n"/>
      <c r="CV154" s="24" t="n"/>
      <c r="CW154" s="24" t="n"/>
      <c r="CX154" s="24" t="n"/>
      <c r="CY154" s="24" t="n"/>
      <c r="CZ154" s="24" t="n"/>
      <c r="DA154" s="24" t="n"/>
      <c r="DB154" s="24" t="n"/>
      <c r="DC154" s="24" t="n"/>
      <c r="DD154" s="24" t="n"/>
      <c r="DE154" s="24" t="n"/>
      <c r="DF154" s="24" t="n"/>
      <c r="DG154" s="24" t="n"/>
      <c r="DH154" s="24" t="n"/>
      <c r="DI154" s="24" t="n"/>
      <c r="DJ154" s="24" t="inlineStr">
        <is>
          <t>0.420168</t>
        </is>
      </c>
      <c r="DK154" s="24" t="n"/>
      <c r="DL154" s="24" t="n"/>
      <c r="DM154" s="24" t="n"/>
      <c r="DN154" s="24" t="n"/>
      <c r="DO154" s="24" t="n"/>
      <c r="DP154" s="24" t="n"/>
      <c r="DQ154" s="24" t="inlineStr">
        <is>
          <t>{"artifact_hash": "15f6a45e57b1593f47a0b32b75169f60ea1a29d893b91f69dcac126cd6dd7be5", "away_team": "NRG", "event_id": "128054", "event_start_utc": "2026-09-29T12:00:00Z", "features": {"away_elo": 1961.604546, "away_history_count": 131, "home_elo": 2032.496062, "home_history_count": 103}, "historical_source_observation_times_verified": false, "home_team": "Karmine Corp", "inference_inputs": {"book_state": {"games_played": {"bo3:2:6744": 103, "bo3:2:7347": 131}, "inactivity_half_life_days": null, "inactivity_max_pull": null, "k": 64.0, "last_match_utc": {"bo3:2:6744": "2026-09-25T11:30:00Z", "bo3:2:7347": "2026-09-25T09:00:00Z"}, "minimum_reliable_games": null, "platt_intercept": 0.11682002441821546, "platt_slope": 0.7650084432774791, "ratings": {"bo3:2:6744": 2032.496062, "bo3:2:7347": 1961.604546},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"2026-09-29T10:09:22.815964+00:00", "team_ids": ["bo3:2:6744", "bo3:2:7347"]}, "market_type": "moneyline", "model_version": "valorant-tiered-elo-v6", "observed_at_utc": "2026-09-29T10:09:22.815964+00:00", "probabilities": {"away": 0.411984, "home": 0.588016}, "replay_scope": "Exact serving book state, calibration, temperature, inactivity reference and thin-history adjustments; training provenance not certified.", "schema": "esports-elo-replay-v1", "snapshot_hash": "16f80d66924bf158aeb101ff049aeb7eb218c181bf3a844b536fb4780bde53e6", "sport": "VALORANT"}</t>
        </is>
      </c>
    </row>
    <row r="155" ht="36" customHeight="1">
      <c r="A155" s="24" t="inlineStr">
        <is>
          <t>f0f38264f142499f</t>
        </is>
      </c>
      <c r="B155" s="24" t="inlineStr">
        <is>
          <t>2026-09-30T04:40:06.065863Z</t>
        </is>
      </c>
      <c r="C155" s="24" t="inlineStr">
        <is>
          <t>2026-09-30T09:00:00Z</t>
        </is>
      </c>
      <c r="D155" s="24" t="inlineStr">
        <is>
          <t>129830</t>
        </is>
      </c>
      <c r="E155" s="24" t="inlineStr">
        <is>
          <t>VALORANT</t>
        </is>
      </c>
      <c r="F155" s="24" t="inlineStr">
        <is>
          <t>LOUD</t>
        </is>
      </c>
      <c r="G155" s="24" t="inlineStr">
        <is>
          <t>Team Vitality</t>
        </is>
      </c>
      <c r="H155" s="24" t="inlineStr">
        <is>
          <t>moneyline</t>
        </is>
      </c>
      <c r="I155" s="24" t="inlineStr">
        <is>
          <t>home</t>
        </is>
      </c>
      <c r="J155" s="25" t="n"/>
      <c r="K155" s="24" t="inlineStr">
        <is>
          <t>polymarket_us</t>
        </is>
      </c>
      <c r="L155" s="26" t="n">
        <v>122</v>
      </c>
      <c r="M155" s="27" t="n">
        <v>2.22</v>
      </c>
      <c r="N155" s="28" t="n">
        <v>0.45045</v>
      </c>
      <c r="O155" s="28" t="n">
        <v>0.565779</v>
      </c>
      <c r="P155" s="28" t="n"/>
      <c r="Q155" s="28" t="n">
        <v>0.115329</v>
      </c>
      <c r="R155" s="26" t="n">
        <v>78</v>
      </c>
      <c r="S155" s="29" t="n">
        <v>1.5</v>
      </c>
      <c r="T155" s="24" t="inlineStr">
        <is>
          <t>valorant-tiered-elo-v6</t>
        </is>
      </c>
      <c r="U155" s="24" t="inlineStr">
        <is>
          <t>settled</t>
        </is>
      </c>
      <c r="V155" s="24" t="inlineStr">
        <is>
          <t>win</t>
        </is>
      </c>
      <c r="W155" s="26" t="n">
        <v>0</v>
      </c>
      <c r="X155" s="26" t="n">
        <v>1</v>
      </c>
      <c r="Y155" s="25" t="n"/>
      <c r="Z155" s="26" t="n"/>
      <c r="AA155" s="28" t="n"/>
      <c r="AB155" s="28" t="n"/>
      <c r="AC155" s="30" t="n">
        <v>1.83</v>
      </c>
      <c r="AD155" s="24" t="inlineStr">
        <is>
          <t>2026-09-30T16:52:28.645693Z</t>
        </is>
      </c>
      <c r="AE155" s="31" t="inlineStr">
        <is>
          <t>Neutral Elo baseline; executable ask 0.4500 (market_slug=aec-valorant-vit-loud-2026-09-30).</t>
        </is>
      </c>
      <c r="AF155" s="31" t="inlineStr">
        <is>
          <t>Config-promoted esports baseline; gates enforced at log time.</t>
        </is>
      </c>
      <c r="AG155" s="24" t="inlineStr">
        <is>
          <t>not_applicable</t>
        </is>
      </c>
      <c r="AH155" s="24" t="n"/>
      <c r="AI155" s="31" t="n"/>
      <c r="AJ155" s="31" t="n"/>
      <c r="AK155" s="24" t="inlineStr">
        <is>
          <t>model_qualified</t>
        </is>
      </c>
      <c r="AL155" s="26" t="n">
        <v>4</v>
      </c>
      <c r="AM155" s="24" t="inlineStr">
        <is>
          <t>QUALIFIED_SHADOW_CALL</t>
        </is>
      </c>
      <c r="AN155" s="24" t="inlineStr">
        <is>
          <t>CALL</t>
        </is>
      </c>
      <c r="AO155" s="24" t="inlineStr">
        <is>
          <t>QUALIFIED</t>
        </is>
      </c>
      <c r="AP155" s="24" t="inlineStr">
        <is>
          <t>LOUD</t>
        </is>
      </c>
      <c r="AQ155" s="24" t="inlineStr">
        <is>
          <t>LOUD</t>
        </is>
      </c>
      <c r="AR155" s="24" t="inlineStr">
        <is>
          <t>LOUD</t>
        </is>
      </c>
      <c r="AS155" s="24" t="inlineStr">
        <is>
          <t>Team Vitality</t>
        </is>
      </c>
      <c r="AT155" s="24" t="inlineStr">
        <is>
          <t>Team Vitality</t>
        </is>
      </c>
      <c r="AU155" s="24" t="inlineStr">
        <is>
          <t>Team Vitality</t>
        </is>
      </c>
      <c r="AV155" s="24" t="n"/>
      <c r="AW155" s="24" t="n"/>
      <c r="AX155" s="24" t="inlineStr">
        <is>
          <t>statistical_model</t>
        </is>
      </c>
      <c r="AY155" s="24" t="n"/>
      <c r="AZ155" s="24" t="inlineStr">
        <is>
          <t>shadow_qualified</t>
        </is>
      </c>
      <c r="BA155" s="24" t="inlineStr">
        <is>
          <t>d511b7cd1e90f85f29587e290965bdf2681b1597d0b2409b33d5ec7896af135d</t>
        </is>
      </c>
      <c r="BB155" s="24" t="inlineStr">
        <is>
          <t>neutral_elo</t>
        </is>
      </c>
      <c r="BC155" s="24" t="inlineStr">
        <is>
          <t>valorant-tiered-elo-v6</t>
        </is>
      </c>
      <c r="BD155" s="24" t="inlineStr">
        <is>
          <t>d511b7cd1e90f85f29587e290965bdf2681b1597d0b2409b33d5ec7896af135d</t>
        </is>
      </c>
      <c r="BE155" s="24" t="inlineStr">
        <is>
          <t>1</t>
        </is>
      </c>
      <c r="BF155" s="24" t="inlineStr">
        <is>
          <t>1</t>
        </is>
      </c>
      <c r="BG155" s="24" t="inlineStr">
        <is>
          <t>valorant-tiered-elo-v6</t>
        </is>
      </c>
      <c r="BH155" s="24" t="inlineStr">
        <is>
          <t>2026-09-30T04:39:54.574715Z</t>
        </is>
      </c>
      <c r="BI155" s="24" t="inlineStr">
        <is>
          <t>["same_event","same_team_same_day","same_league_same_day"]</t>
        </is>
      </c>
      <c r="BJ155" s="25" t="n"/>
      <c r="BK155" s="26" t="n">
        <v>122</v>
      </c>
      <c r="BL155" s="27" t="n">
        <v>2.22</v>
      </c>
      <c r="BM155" s="28" t="n">
        <v>0.45045</v>
      </c>
      <c r="BN155" s="28" t="n"/>
      <c r="BO155" s="28" t="n"/>
      <c r="BP155" s="25" t="n"/>
      <c r="BQ155" s="27" t="n"/>
      <c r="BR155" s="28" t="n"/>
      <c r="BS155" s="28" t="n"/>
      <c r="BT155" s="28" t="n"/>
      <c r="BU155" s="25" t="n"/>
      <c r="BV155" s="29" t="n"/>
      <c r="BW155" s="24" t="n"/>
      <c r="BX155" s="30" t="n"/>
      <c r="BY155" s="27" t="n"/>
      <c r="BZ155" s="24" t="n"/>
      <c r="CA155" s="31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  <c r="CP155" s="24" t="n"/>
      <c r="CQ155" s="24" t="n"/>
      <c r="CR155" s="24" t="n"/>
      <c r="CS155" s="24" t="inlineStr">
        <is>
          <t>True</t>
        </is>
      </c>
      <c r="CT155" s="24" t="n"/>
      <c r="CU155" s="24" t="n"/>
      <c r="CV155" s="24" t="n"/>
      <c r="CW155" s="24" t="n"/>
      <c r="CX155" s="24" t="n"/>
      <c r="CY155" s="24" t="n"/>
      <c r="CZ155" s="24" t="n"/>
      <c r="DA155" s="24" t="n"/>
      <c r="DB155" s="24" t="n"/>
      <c r="DC155" s="24" t="n"/>
      <c r="DD155" s="24" t="n"/>
      <c r="DE155" s="24" t="n"/>
      <c r="DF155" s="24" t="n"/>
      <c r="DG155" s="24" t="n"/>
      <c r="DH155" s="24" t="n"/>
      <c r="DI155" s="24" t="n"/>
      <c r="DJ155" s="24" t="inlineStr">
        <is>
          <t>0.45045</t>
        </is>
      </c>
      <c r="DK155" s="24" t="n"/>
      <c r="DL155" s="24" t="n"/>
      <c r="DM155" s="24" t="n"/>
      <c r="DN155" s="24" t="n"/>
      <c r="DO155" s="24" t="n"/>
      <c r="DP155" s="24" t="n"/>
      <c r="DQ155" s="24" t="inlineStr">
        <is>
          <t>{"artifact_hash": "d511b7cd1e90f85f29587e290965bdf2681b1597d0b2409b33d5ec7896af135d", "away_team": "LOUD", "event_id": "129830", "event_start_utc": "2026-09-30T09:00:00Z", "features": {"away_elo": 1880.921097, "away_history_count": 89, "home_elo": 1927.377854, "home_history_count": 104}, "historical_source_observation_times_verified": false, "home_team": "Team Vitality", "inference_inputs": {"book_state": {"games_played": {"bo3:2:6874": 89, "bo3:2:7254": 104}, "inactivity_half_life_days": null, "inactivity_max_pull": null, "k": 64.0, "last_match_utc": {"bo3:2:6874": "2026-09-26T12:30:00Z", "bo3:2:7254": "2026-09-26T09:00:00Z"}, "minimum_reliable_games": null, "platt_intercept": 0.11622454265535145, "platt_slope": 0.7674618673201502, "ratings": {"bo3:2:6874": 1880.921097, "bo3:2:7254": 1927.377854},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"2026-09-30T04:39:54.494582+00:00", "team_ids": ["bo3:2:7254", "bo3:2:6874"]}, "market_type": "moneyline", "model_version": "valorant-tiered-elo-v6", "observed_at_utc": "2026-09-30T04:39:54.494582+00:00", "probabilities": {"away": 0.434221, "home": 0.565779}, "replay_scope": "Exact serving book state, calibration, temperature, inactivity reference and thin-history adjustments; training provenance not certified.", "schema": "esports-elo-replay-v1", "snapshot_hash": "620eb9523813f0bcf61f1e030ad251e69a3edc846f4fa60ede726232bc1e8a3b", "sport": "VALORANT"}</t>
        </is>
      </c>
    </row>
    <row r="156" ht="36" customHeight="1">
      <c r="A156" s="24" t="inlineStr">
        <is>
          <t>9f06552980a24697</t>
        </is>
      </c>
      <c r="B156" s="24" t="inlineStr">
        <is>
          <t>2026-10-03T05:27:00.925428Z</t>
        </is>
      </c>
      <c r="C156" s="24" t="inlineStr">
        <is>
          <t>2026-10-03T09:00:00Z</t>
        </is>
      </c>
      <c r="D156" s="24" t="inlineStr">
        <is>
          <t>136465</t>
        </is>
      </c>
      <c r="E156" s="24" t="inlineStr">
        <is>
          <t>VALORANT</t>
        </is>
      </c>
      <c r="F156" s="24" t="inlineStr">
        <is>
          <t>Team Liquid</t>
        </is>
      </c>
      <c r="G156" s="24" t="inlineStr">
        <is>
          <t>G2 Esports</t>
        </is>
      </c>
      <c r="H156" s="24" t="inlineStr">
        <is>
          <t>moneyline</t>
        </is>
      </c>
      <c r="I156" s="24" t="inlineStr">
        <is>
          <t>away</t>
        </is>
      </c>
      <c r="J156" s="25" t="n"/>
      <c r="K156" s="24" t="inlineStr">
        <is>
          <t>polymarket_us</t>
        </is>
      </c>
      <c r="L156" s="26" t="n">
        <v>113</v>
      </c>
      <c r="M156" s="27" t="n">
        <v>2.13</v>
      </c>
      <c r="N156" s="28" t="n">
        <v>0.469484</v>
      </c>
      <c r="O156" s="28" t="n">
        <v>0.5394409999999999</v>
      </c>
      <c r="P156" s="28" t="n"/>
      <c r="Q156" s="28" t="n">
        <v>0.06995700000000001</v>
      </c>
      <c r="R156" s="26" t="n">
        <v>55</v>
      </c>
      <c r="S156" s="29" t="n">
        <v>1.25</v>
      </c>
      <c r="T156" s="24" t="inlineStr">
        <is>
          <t>valorant-tiered-elo-v6</t>
        </is>
      </c>
      <c r="U156" s="24" t="inlineStr">
        <is>
          <t>settled</t>
        </is>
      </c>
      <c r="V156" s="24" t="inlineStr">
        <is>
          <t>loss</t>
        </is>
      </c>
      <c r="W156" s="26" t="n">
        <v>0</v>
      </c>
      <c r="X156" s="26" t="n">
        <v>1</v>
      </c>
      <c r="Y156" s="25" t="n"/>
      <c r="Z156" s="26" t="n"/>
      <c r="AA156" s="28" t="n"/>
      <c r="AB156" s="28" t="n"/>
      <c r="AC156" s="30" t="n">
        <v>-1.25</v>
      </c>
      <c r="AD156" s="24" t="inlineStr">
        <is>
          <t>2026-10-03T16:01:50.798369Z</t>
        </is>
      </c>
      <c r="AE156" s="31" t="inlineStr">
        <is>
          <t>Neutral Elo baseline; executable ask 0.4700 (market_slug=aec-valorant-g2-tl-2026-10-03).</t>
        </is>
      </c>
      <c r="AF156" s="31" t="inlineStr">
        <is>
          <t>Config-promoted esports baseline; gates enforced at log time.</t>
        </is>
      </c>
      <c r="AG156" s="24" t="inlineStr">
        <is>
          <t>review_required</t>
        </is>
      </c>
      <c r="AH156" s="24" t="n"/>
      <c r="AI156" s="31" t="n"/>
      <c r="AJ156" s="31" t="n"/>
      <c r="AK156" s="24" t="inlineStr">
        <is>
          <t>model_qualified</t>
        </is>
      </c>
      <c r="AL156" s="26" t="n">
        <v>4</v>
      </c>
      <c r="AM156" s="24" t="inlineStr">
        <is>
          <t>QUALIFIED_SHADOW_CALL</t>
        </is>
      </c>
      <c r="AN156" s="24" t="inlineStr">
        <is>
          <t>CALL</t>
        </is>
      </c>
      <c r="AO156" s="24" t="inlineStr">
        <is>
          <t>QUALIFIED</t>
        </is>
      </c>
      <c r="AP156" s="24" t="inlineStr">
        <is>
          <t>Team Liquid</t>
        </is>
      </c>
      <c r="AQ156" s="24" t="inlineStr">
        <is>
          <t>Team Liquid</t>
        </is>
      </c>
      <c r="AR156" s="24" t="inlineStr">
        <is>
          <t>Team Liquid</t>
        </is>
      </c>
      <c r="AS156" s="24" t="inlineStr">
        <is>
          <t>G2 Esports</t>
        </is>
      </c>
      <c r="AT156" s="24" t="inlineStr">
        <is>
          <t>G2 Esports</t>
        </is>
      </c>
      <c r="AU156" s="24" t="inlineStr">
        <is>
          <t>G2 Esports</t>
        </is>
      </c>
      <c r="AV156" s="24" t="n"/>
      <c r="AW156" s="24" t="n"/>
      <c r="AX156" s="24" t="inlineStr">
        <is>
          <t>statistical_model</t>
        </is>
      </c>
      <c r="AY156" s="24" t="n"/>
      <c r="AZ156" s="24" t="inlineStr">
        <is>
          <t>shadow_qualified</t>
        </is>
      </c>
      <c r="BA156" s="24" t="inlineStr">
        <is>
          <t>dcdf51d17ba40ba382e5936ca5bd794d512ba0711cf9201c16dc1be98758fed7</t>
        </is>
      </c>
      <c r="BB156" s="24" t="inlineStr">
        <is>
          <t>neutral_elo</t>
        </is>
      </c>
      <c r="BC156" s="24" t="inlineStr">
        <is>
          <t>valorant-tiered-elo-v6</t>
        </is>
      </c>
      <c r="BD156" s="24" t="inlineStr">
        <is>
          <t>dcdf51d17ba40ba382e5936ca5bd794d512ba0711cf9201c16dc1be98758fed7</t>
        </is>
      </c>
      <c r="BE156" s="24" t="inlineStr">
        <is>
          <t>1</t>
        </is>
      </c>
      <c r="BF156" s="24" t="inlineStr">
        <is>
          <t>1</t>
        </is>
      </c>
      <c r="BG156" s="24" t="inlineStr">
        <is>
          <t>valorant-tiered-elo-v6</t>
        </is>
      </c>
      <c r="BH156" s="24" t="inlineStr">
        <is>
          <t>2026-10-03T05:26:40.137304Z</t>
        </is>
      </c>
      <c r="BI156" s="24" t="inlineStr">
        <is>
          <t>["same_event","same_team_same_day","same_league_same_day"]</t>
        </is>
      </c>
      <c r="BJ156" s="25" t="n"/>
      <c r="BK156" s="26" t="n">
        <v>113</v>
      </c>
      <c r="BL156" s="27" t="n">
        <v>2.13</v>
      </c>
      <c r="BM156" s="28" t="n">
        <v>0.469484</v>
      </c>
      <c r="BN156" s="28" t="n"/>
      <c r="BO156" s="28" t="n"/>
      <c r="BP156" s="25" t="n"/>
      <c r="BQ156" s="27" t="n"/>
      <c r="BR156" s="28" t="n"/>
      <c r="BS156" s="28" t="n"/>
      <c r="BT156" s="28" t="n"/>
      <c r="BU156" s="25" t="n"/>
      <c r="BV156" s="29" t="n"/>
      <c r="BW156" s="24" t="n"/>
      <c r="BX156" s="30" t="n"/>
      <c r="BY156" s="27" t="n"/>
      <c r="BZ156" s="24" t="n"/>
      <c r="CA156" s="31" t="n"/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  <c r="CL156" s="24" t="n"/>
      <c r="CM156" s="24" t="n"/>
      <c r="CN156" s="24" t="n"/>
      <c r="CO156" s="24" t="n"/>
      <c r="CP156" s="24" t="n"/>
      <c r="CQ156" s="24" t="n"/>
      <c r="CR156" s="24" t="n"/>
      <c r="CS156" s="24" t="inlineStr">
        <is>
          <t>True</t>
        </is>
      </c>
      <c r="CT156" s="24" t="n"/>
      <c r="CU156" s="24" t="n"/>
      <c r="CV156" s="24" t="n"/>
      <c r="CW156" s="24" t="n"/>
      <c r="CX156" s="24" t="n"/>
      <c r="CY156" s="24" t="n"/>
      <c r="CZ156" s="24" t="n"/>
      <c r="DA156" s="24" t="n"/>
      <c r="DB156" s="24" t="n"/>
      <c r="DC156" s="24" t="n"/>
      <c r="DD156" s="24" t="n"/>
      <c r="DE156" s="24" t="n"/>
      <c r="DF156" s="24" t="n"/>
      <c r="DG156" s="24" t="n"/>
      <c r="DH156" s="24" t="n"/>
      <c r="DI156" s="24" t="n"/>
      <c r="DJ156" s="24" t="inlineStr">
        <is>
          <t>0.469484</t>
        </is>
      </c>
      <c r="DK156" s="24" t="n"/>
      <c r="DL156" s="24" t="n"/>
      <c r="DM156" s="24" t="n"/>
      <c r="DN156" s="24" t="n"/>
      <c r="DO156" s="24" t="n"/>
      <c r="DP156" s="24" t="n"/>
      <c r="DQ156" s="24" t="inlineStr">
        <is>
          <t>{"artifact_hash": "dcdf51d17ba40ba382e5936ca5bd794d512ba0711cf9201c16dc1be98758fed7", "away_team": "Team Liquid", "event_id": "136465", "event_start_utc": "2026-10-03T09:00:00Z", "features": {"away_elo": 1879.463701, "away_history_count": 109, "home_elo": 1815.845667, "home_history_count": 165}, "historical_source_observation_times_verified": false, "home_team": "G2 Esports", "inference_inputs": {"book_state": {"games_played": {"bo3:2:7320": 109, "bo3:2:7323": 165}, "inactivity_half_life_days": null, "inactivity_max_pull": null, "k": 64.0, "last_match_utc": {"bo3:2:7320": "2026-10-01T09:00:00Z", "bo3:2:7323": "2026-09-29T09:00:00Z"}, "minimum_reliable_games": null, "platt_intercept": 0.11602055328815591, "platt_slope": 0.771466226182264, "ratings": {"bo3:2:7320": 1879.463701, "bo3:2:7323": 1815.845667},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"2026-10-03T05:26:40.077791+00:00", "team_ids": ["bo3:2:7323", "bo3:2:7320"]}, "market_type": "moneyline", "model_version": "valorant-tiered-elo-v6", "observed_at_utc": "2026-10-03T05:26:40.077791+00:00", "probabilities": {"away": 0.539441, "home": 0.460559}, "replay_scope": "Exact serving book state, calibration, temperature, inactivity reference and thin-history adjustments; training provenance not certified.", "schema": "esports-elo-replay-v1", "snapshot_hash": "692041986fafdc61ac227fcf779dfc3f926e3c72de120bb2c08a36cf39197df0", "sport": "VALORANT"}</t>
        </is>
      </c>
    </row>
    <row r="157" ht="36" customHeight="1">
      <c r="A157" s="24" t="inlineStr">
        <is>
          <t>5f6ce561ef984b5d</t>
        </is>
      </c>
      <c r="B157" s="24" t="inlineStr">
        <is>
          <t>2026-10-03T10:54:35.627078Z</t>
        </is>
      </c>
      <c r="C157" s="24" t="inlineStr">
        <is>
          <t>2026-10-03T12:00:00Z</t>
        </is>
      </c>
      <c r="D157" s="24" t="inlineStr">
        <is>
          <t>136588</t>
        </is>
      </c>
      <c r="E157" s="24" t="inlineStr">
        <is>
          <t>VALORANT</t>
        </is>
      </c>
      <c r="F157" s="24" t="inlineStr">
        <is>
          <t>Nongshim RedForce</t>
        </is>
      </c>
      <c r="G157" s="24" t="inlineStr">
        <is>
          <t>Karmine Corp</t>
        </is>
      </c>
      <c r="H157" s="24" t="inlineStr">
        <is>
          <t>moneyline</t>
        </is>
      </c>
      <c r="I157" s="24" t="inlineStr">
        <is>
          <t>home</t>
        </is>
      </c>
      <c r="J157" s="25" t="n"/>
      <c r="K157" s="24" t="inlineStr">
        <is>
          <t>polymarket_us</t>
        </is>
      </c>
      <c r="L157" s="26" t="n">
        <v>-144</v>
      </c>
      <c r="M157" s="27" t="n">
        <v>1.694444</v>
      </c>
      <c r="N157" s="28" t="n">
        <v>0.590164</v>
      </c>
      <c r="O157" s="28" t="n">
        <v>0.604768</v>
      </c>
      <c r="P157" s="28" t="n"/>
      <c r="Q157" s="28" t="n">
        <v>0.014604</v>
      </c>
      <c r="R157" s="26" t="n">
        <v>27</v>
      </c>
      <c r="S157" s="29" t="n">
        <v>1</v>
      </c>
      <c r="T157" s="24" t="inlineStr">
        <is>
          <t>valorant-tiered-elo-v6</t>
        </is>
      </c>
      <c r="U157" s="24" t="inlineStr">
        <is>
          <t>settled</t>
        </is>
      </c>
      <c r="V157" s="24" t="inlineStr">
        <is>
          <t>loss</t>
        </is>
      </c>
      <c r="W157" s="26" t="n">
        <v>1</v>
      </c>
      <c r="X157" s="26" t="n">
        <v>0</v>
      </c>
      <c r="Y157" s="25" t="n"/>
      <c r="Z157" s="26" t="n"/>
      <c r="AA157" s="28" t="n"/>
      <c r="AB157" s="28" t="n"/>
      <c r="AC157" s="30" t="n">
        <v>-1</v>
      </c>
      <c r="AD157" s="24" t="inlineStr">
        <is>
          <t>2026-10-03T16:01:51.461387Z</t>
        </is>
      </c>
      <c r="AE157" s="31" t="inlineStr">
        <is>
          <t>Neutral Elo baseline; executable ask 0.5900 (market_slug=aec-valorant-kc-ns-2026-10-03).</t>
        </is>
      </c>
      <c r="AF157" s="31" t="inlineStr">
        <is>
          <t>Config-promoted esports baseline; gates enforced at log time.</t>
        </is>
      </c>
      <c r="AG157" s="24" t="inlineStr">
        <is>
          <t>review_required</t>
        </is>
      </c>
      <c r="AH157" s="24" t="n"/>
      <c r="AI157" s="31" t="n"/>
      <c r="AJ157" s="31" t="n"/>
      <c r="AK157" s="24" t="inlineStr">
        <is>
          <t>paper_call</t>
        </is>
      </c>
      <c r="AL157" s="26" t="n">
        <v>4</v>
      </c>
      <c r="AM157" s="24" t="inlineStr">
        <is>
          <t>RESEARCH_OBSERVATION</t>
        </is>
      </c>
      <c r="AN157" s="24" t="inlineStr">
        <is>
          <t>CALL</t>
        </is>
      </c>
      <c r="AO157" s="24" t="inlineStr">
        <is>
          <t>PAPER_CALL_LOW_EDGE</t>
        </is>
      </c>
      <c r="AP157" s="24" t="inlineStr">
        <is>
          <t>Nongshim RedForce</t>
        </is>
      </c>
      <c r="AQ157" s="24" t="inlineStr">
        <is>
          <t>Nongshim RedForce</t>
        </is>
      </c>
      <c r="AR157" s="24" t="inlineStr">
        <is>
          <t>Nongshim RedForce</t>
        </is>
      </c>
      <c r="AS157" s="24" t="inlineStr">
        <is>
          <t>Karmine Corp</t>
        </is>
      </c>
      <c r="AT157" s="24" t="inlineStr">
        <is>
          <t>Karmine Corp</t>
        </is>
      </c>
      <c r="AU157" s="24" t="inlineStr">
        <is>
          <t>Karmine Corp</t>
        </is>
      </c>
      <c r="AV157" s="24" t="n"/>
      <c r="AW157" s="24" t="n"/>
      <c r="AX157" s="24" t="inlineStr">
        <is>
          <t>statistical_model</t>
        </is>
      </c>
      <c r="AY157" s="24" t="n"/>
      <c r="AZ157" s="24" t="inlineStr">
        <is>
          <t>shadow_qualified</t>
        </is>
      </c>
      <c r="BA157" s="24" t="inlineStr">
        <is>
          <t>56a72fac52c4eeb8e53bc7481f49c3e243ff5e2e3873de05b689c24185ae9f4b</t>
        </is>
      </c>
      <c r="BB157" s="24" t="inlineStr">
        <is>
          <t>neutral_elo</t>
        </is>
      </c>
      <c r="BC157" s="24" t="inlineStr">
        <is>
          <t>valorant-tiered-elo-v6</t>
        </is>
      </c>
      <c r="BD157" s="24" t="inlineStr">
        <is>
          <t>56a72fac52c4eeb8e53bc7481f49c3e243ff5e2e3873de05b689c24185ae9f4b</t>
        </is>
      </c>
      <c r="BE157" s="24" t="inlineStr">
        <is>
          <t>1</t>
        </is>
      </c>
      <c r="BF157" s="24" t="inlineStr">
        <is>
          <t>1</t>
        </is>
      </c>
      <c r="BG157" s="24" t="inlineStr">
        <is>
          <t>valorant-tiered-elo-v6</t>
        </is>
      </c>
      <c r="BH157" s="24" t="inlineStr">
        <is>
          <t>2026-10-03T10:54:19.785286Z</t>
        </is>
      </c>
      <c r="BI157" s="24" t="inlineStr">
        <is>
          <t>["same_event","same_team_same_day","same_league_same_day"]</t>
        </is>
      </c>
      <c r="BJ157" s="25" t="n"/>
      <c r="BK157" s="26" t="n">
        <v>-144</v>
      </c>
      <c r="BL157" s="27" t="n">
        <v>1.694444</v>
      </c>
      <c r="BM157" s="28" t="n">
        <v>0.590164</v>
      </c>
      <c r="BN157" s="28" t="n"/>
      <c r="BO157" s="28" t="n"/>
      <c r="BP157" s="25" t="n"/>
      <c r="BQ157" s="27" t="n"/>
      <c r="BR157" s="28" t="n"/>
      <c r="BS157" s="28" t="n"/>
      <c r="BT157" s="28" t="n"/>
      <c r="BU157" s="25" t="n"/>
      <c r="BV157" s="29" t="n"/>
      <c r="BW157" s="24" t="n"/>
      <c r="BX157" s="30" t="n"/>
      <c r="BY157" s="27" t="n"/>
      <c r="BZ157" s="24" t="n"/>
      <c r="CA157" s="31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inlineStr">
        <is>
          <t>True</t>
        </is>
      </c>
      <c r="CT157" s="24" t="n"/>
      <c r="CU157" s="24" t="n"/>
      <c r="CV157" s="24" t="n"/>
      <c r="CW157" s="24" t="n"/>
      <c r="CX157" s="24" t="n"/>
      <c r="CY157" s="24" t="n"/>
      <c r="CZ157" s="24" t="n"/>
      <c r="DA157" s="24" t="n"/>
      <c r="DB157" s="24" t="n"/>
      <c r="DC157" s="24" t="n"/>
      <c r="DD157" s="24" t="n"/>
      <c r="DE157" s="24" t="n"/>
      <c r="DF157" s="24" t="n"/>
      <c r="DG157" s="24" t="n"/>
      <c r="DH157" s="24" t="n"/>
      <c r="DI157" s="24" t="n"/>
      <c r="DJ157" s="24" t="inlineStr">
        <is>
          <t>0.590164</t>
        </is>
      </c>
      <c r="DK157" s="24" t="n"/>
      <c r="DL157" s="24" t="n"/>
      <c r="DM157" s="24" t="n"/>
      <c r="DN157" s="24" t="n"/>
      <c r="DO157" s="24" t="n"/>
      <c r="DP157" s="24" t="n"/>
      <c r="DQ157" s="24" t="inlineStr">
        <is>
          <t>{"artifact_hash": "56a72fac52c4eeb8e53bc7481f49c3e243ff5e2e3873de05b689c24185ae9f4b", "away_team": "Nongshim RedForce", "event_id": "136588", "event_start_utc": "2026-10-03T12:00:00Z", "features": {"away_elo": 1877.066811, "away_history_count": 120, "home_elo": 1974.01365, "home_history_count": 104}, "historical_source_observation_times_verified": false, "home_team": "Karmine Corp", "inference_inputs": {"book_state": {"games_played": {"bo3:2:6445": 120, "bo3:2:6744": 104}, "inactivity_half_life_days": null, "inactivity_max_pull": null, "k": 64.0, "last_match_utc": {"bo3:2:6445": "2026-10-01T12:15:00Z", "bo3:2:6744": "2026-09-29T12:30:00Z"}, "minimum_reliable_games": null, "platt_intercept": 0.11602055328815591, "platt_slope": 0.771466226182264, "ratings": {"bo3:2:6445": 1877.066811, "bo3:2:6744": 1974.01365},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"2026-10-03T10:54:19.682049+00:00", "team_ids": ["bo3:2:6744", "bo3:2:6445"]}, "market_type": "moneyline", "model_version": "valorant-tiered-elo-v6", "observed_at_utc": "2026-10-03T10:54:19.682049+00:00", "probabilities": {"away": 0.395232, "home": 0.604768}, "replay_scope": "Exact serving book state, calibration, temperature, inactivity reference and thin-history adjustments; training provenance not certified.", "schema": "esports-elo-replay-v1", "snapshot_hash": "694605702f591647e734a97754bdae50eae117c1493773c7f1d5cfdbe3f48657", "sport": "VALORANT"}</t>
        </is>
      </c>
    </row>
    <row r="158" ht="36" customHeight="1">
      <c r="A158" s="24" t="inlineStr">
        <is>
          <t>ff7afae126a74ce5</t>
        </is>
      </c>
      <c r="B158" s="24" t="inlineStr">
        <is>
          <t>2026-10-03T22:33:29.636213Z</t>
        </is>
      </c>
      <c r="C158" s="24" t="inlineStr">
        <is>
          <t>2026-10-04T09:00:00Z</t>
        </is>
      </c>
      <c r="D158" s="24" t="inlineStr">
        <is>
          <t>138022</t>
        </is>
      </c>
      <c r="E158" s="24" t="inlineStr">
        <is>
          <t>VALORANT</t>
        </is>
      </c>
      <c r="F158" s="24" t="inlineStr">
        <is>
          <t>Global Esports</t>
        </is>
      </c>
      <c r="G158" s="24" t="inlineStr">
        <is>
          <t>LOUD</t>
        </is>
      </c>
      <c r="H158" s="24" t="inlineStr">
        <is>
          <t>moneyline</t>
        </is>
      </c>
      <c r="I158" s="24" t="inlineStr">
        <is>
          <t>away</t>
        </is>
      </c>
      <c r="J158" s="25" t="n"/>
      <c r="K158" s="24" t="inlineStr">
        <is>
          <t>polymarket_us</t>
        </is>
      </c>
      <c r="L158" s="26" t="n">
        <v>127</v>
      </c>
      <c r="M158" s="27" t="n">
        <v>2.27</v>
      </c>
      <c r="N158" s="28" t="n">
        <v>0.440529</v>
      </c>
      <c r="O158" s="28" t="n">
        <v>0.502973</v>
      </c>
      <c r="P158" s="28" t="n"/>
      <c r="Q158" s="28" t="n">
        <v>0.062444</v>
      </c>
      <c r="R158" s="26" t="n">
        <v>51</v>
      </c>
      <c r="S158" s="29" t="n">
        <v>1</v>
      </c>
      <c r="T158" s="24" t="inlineStr">
        <is>
          <t>valorant-tiered-elo-v6</t>
        </is>
      </c>
      <c r="U158" s="24" t="inlineStr">
        <is>
          <t>settled</t>
        </is>
      </c>
      <c r="V158" s="24" t="inlineStr">
        <is>
          <t>loss</t>
        </is>
      </c>
      <c r="W158" s="26" t="n">
        <v>0</v>
      </c>
      <c r="X158" s="26" t="n">
        <v>1</v>
      </c>
      <c r="Y158" s="25" t="n"/>
      <c r="Z158" s="26" t="n"/>
      <c r="AA158" s="28" t="n"/>
      <c r="AB158" s="28" t="n"/>
      <c r="AC158" s="30" t="n">
        <v>-1</v>
      </c>
      <c r="AD158" s="24" t="inlineStr">
        <is>
          <t>2026-10-04T21:04:27.855695Z</t>
        </is>
      </c>
      <c r="AE158" s="31" t="inlineStr">
        <is>
          <t>Neutral Elo baseline; executable ask 0.4400 (market_slug=aec-valorant-loud-ge-2026-10-04).</t>
        </is>
      </c>
      <c r="AF158" s="31" t="inlineStr">
        <is>
          <t>Config-promoted esports baseline; gates enforced at log time.</t>
        </is>
      </c>
      <c r="AG158" s="24" t="inlineStr">
        <is>
          <t>review_required</t>
        </is>
      </c>
      <c r="AH158" s="24" t="n"/>
      <c r="AI158" s="31" t="n"/>
      <c r="AJ158" s="31" t="n"/>
      <c r="AK158" s="24" t="inlineStr">
        <is>
          <t>model_qualified</t>
        </is>
      </c>
      <c r="AL158" s="26" t="n">
        <v>4</v>
      </c>
      <c r="AM158" s="24" t="inlineStr">
        <is>
          <t>QUALIFIED_SHADOW_CALL</t>
        </is>
      </c>
      <c r="AN158" s="24" t="inlineStr">
        <is>
          <t>CALL</t>
        </is>
      </c>
      <c r="AO158" s="24" t="inlineStr">
        <is>
          <t>QUALIFIED</t>
        </is>
      </c>
      <c r="AP158" s="24" t="inlineStr">
        <is>
          <t>Global Esports</t>
        </is>
      </c>
      <c r="AQ158" s="24" t="inlineStr">
        <is>
          <t>Global Esports</t>
        </is>
      </c>
      <c r="AR158" s="24" t="inlineStr">
        <is>
          <t>Global Esports</t>
        </is>
      </c>
      <c r="AS158" s="24" t="inlineStr">
        <is>
          <t>LOUD</t>
        </is>
      </c>
      <c r="AT158" s="24" t="inlineStr">
        <is>
          <t>LOUD</t>
        </is>
      </c>
      <c r="AU158" s="24" t="inlineStr">
        <is>
          <t>LOUD</t>
        </is>
      </c>
      <c r="AV158" s="24" t="n"/>
      <c r="AW158" s="24" t="n"/>
      <c r="AX158" s="24" t="inlineStr">
        <is>
          <t>statistical_model</t>
        </is>
      </c>
      <c r="AY158" s="24" t="n"/>
      <c r="AZ158" s="24" t="inlineStr">
        <is>
          <t>shadow_qualified</t>
        </is>
      </c>
      <c r="BA158" s="24" t="inlineStr">
        <is>
          <t>4f4e53a7b4765629a3ff57082e0d50994b90f3d5db8644d08c145492b9435fd4</t>
        </is>
      </c>
      <c r="BB158" s="24" t="inlineStr">
        <is>
          <t>neutral_elo</t>
        </is>
      </c>
      <c r="BC158" s="24" t="inlineStr">
        <is>
          <t>valorant-tiered-elo-v6</t>
        </is>
      </c>
      <c r="BD158" s="24" t="inlineStr">
        <is>
          <t>4f4e53a7b4765629a3ff57082e0d50994b90f3d5db8644d08c145492b9435fd4</t>
        </is>
      </c>
      <c r="BE158" s="24" t="inlineStr">
        <is>
          <t>1</t>
        </is>
      </c>
      <c r="BF158" s="24" t="inlineStr">
        <is>
          <t>1</t>
        </is>
      </c>
      <c r="BG158" s="24" t="inlineStr">
        <is>
          <t>valorant-tiered-elo-v6</t>
        </is>
      </c>
      <c r="BH158" s="24" t="inlineStr">
        <is>
          <t>2026-10-03T22:33:25.334770Z</t>
        </is>
      </c>
      <c r="BI158" s="24" t="inlineStr">
        <is>
          <t>["same_event","same_team_same_day","same_league_same_day"]</t>
        </is>
      </c>
      <c r="BJ158" s="25" t="n"/>
      <c r="BK158" s="26" t="n">
        <v>127</v>
      </c>
      <c r="BL158" s="27" t="n">
        <v>2.27</v>
      </c>
      <c r="BM158" s="28" t="n">
        <v>0.440529</v>
      </c>
      <c r="BN158" s="28" t="n"/>
      <c r="BO158" s="28" t="n"/>
      <c r="BP158" s="25" t="n"/>
      <c r="BQ158" s="27" t="n"/>
      <c r="BR158" s="28" t="n"/>
      <c r="BS158" s="28" t="n"/>
      <c r="BT158" s="28" t="n"/>
      <c r="BU158" s="25" t="n"/>
      <c r="BV158" s="29" t="n"/>
      <c r="BW158" s="24" t="n"/>
      <c r="BX158" s="30" t="n"/>
      <c r="BY158" s="27" t="n"/>
      <c r="BZ158" s="24" t="n"/>
      <c r="CA158" s="31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inlineStr">
        <is>
          <t>True</t>
        </is>
      </c>
      <c r="CT158" s="24" t="n"/>
      <c r="CU158" s="24" t="n"/>
      <c r="CV158" s="24" t="n"/>
      <c r="CW158" s="24" t="n"/>
      <c r="CX158" s="24" t="n"/>
      <c r="CY158" s="24" t="n"/>
      <c r="CZ158" s="24" t="n"/>
      <c r="DA158" s="24" t="n"/>
      <c r="DB158" s="24" t="n"/>
      <c r="DC158" s="24" t="n"/>
      <c r="DD158" s="24" t="n"/>
      <c r="DE158" s="24" t="n"/>
      <c r="DF158" s="24" t="n"/>
      <c r="DG158" s="24" t="n"/>
      <c r="DH158" s="24" t="n"/>
      <c r="DI158" s="24" t="n"/>
      <c r="DJ158" s="24" t="inlineStr">
        <is>
          <t>0.440529</t>
        </is>
      </c>
      <c r="DK158" s="24" t="n"/>
      <c r="DL158" s="24" t="n"/>
      <c r="DM158" s="24" t="n"/>
      <c r="DN158" s="24" t="n"/>
      <c r="DO158" s="24" t="n"/>
      <c r="DP158" s="24" t="n"/>
      <c r="DQ158" s="24" t="inlineStr">
        <is>
          <t>{"artifact_hash": "4f4e53a7b4765629a3ff57082e0d50994b90f3d5db8644d08c145492b9435fd4", "away_team": "Global Esports", "event_id": "138022", "event_start_utc": "2026-10-04T09:00:00Z", "features": {"away_elo": 1861.6629, "away_history_count": 83, "home_elo": 1838.151289, "home_history_count": 90}, "historical_source_observation_times_verified": false, "home_team": "LOUD", "inference_inputs": {"book_state": {"games_played": {"bo3:2:6874": 90, "bo3:2:6989": 83}, "inactivity_half_life_days": null, "inactivity_max_pull": null, "k": 64.0, "last_match_utc": {"bo3:2:6874": "2026-09-30T09:00:00Z", "bo3:2:6989": "2026-10-02T09:00:00Z"}, "minimum_reliable_games": null, "platt_intercept": 0.1152743638777133, "platt_slope": 0.7696873025886969, "ratings": {"bo3:2:6874": 1838.151289, "bo3:2:6989": 1861.6629},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"2026-10-03T22:33:25.154489+00:00", "team_ids": ["bo3:2:6874", "bo3:2:6989"]}, "market_type": "moneyline", "model_version": "valorant-tiered-elo-v6", "observed_at_utc": "2026-10-03T22:33:25.154489+00:00", "probabilities": {"away": 0.502973, "home": 0.497027}, "replay_scope": "Exact serving book state, calibration, temperature, inactivity reference and thin-history adjustments; training provenance not certified.", "schema": "esports-elo-replay-v1", "snapshot_hash": "1ce1625943256af751f0f3ca462f08c1641158111c1f222b8fab3f6fd607b3d2", "sport": "VALORANT"}</t>
        </is>
      </c>
    </row>
    <row r="159" ht="36" customHeight="1">
      <c r="A159" s="24" t="inlineStr">
        <is>
          <t>1b0fa9f2a0b1491c</t>
        </is>
      </c>
      <c r="B159" s="24" t="inlineStr">
        <is>
          <t>2026-10-07T22:28:03.285581Z</t>
        </is>
      </c>
      <c r="C159" s="24" t="inlineStr">
        <is>
          <t>2026-10-08T09:00:00Z</t>
        </is>
      </c>
      <c r="D159" s="24" t="inlineStr">
        <is>
          <t>143386</t>
        </is>
      </c>
      <c r="E159" s="24" t="inlineStr">
        <is>
          <t>VALORANT</t>
        </is>
      </c>
      <c r="F159" s="24" t="inlineStr">
        <is>
          <t>G2 Esports</t>
        </is>
      </c>
      <c r="G159" s="24" t="inlineStr">
        <is>
          <t>100 Thieves</t>
        </is>
      </c>
      <c r="H159" s="24" t="inlineStr">
        <is>
          <t>moneyline</t>
        </is>
      </c>
      <c r="I159" s="24" t="inlineStr">
        <is>
          <t>home</t>
        </is>
      </c>
      <c r="J159" s="25" t="n"/>
      <c r="K159" s="24" t="inlineStr">
        <is>
          <t>polymarket_us</t>
        </is>
      </c>
      <c r="L159" s="26" t="n">
        <v>-203</v>
      </c>
      <c r="M159" s="27" t="n">
        <v>1.492611</v>
      </c>
      <c r="N159" s="28" t="n">
        <v>0.669967</v>
      </c>
      <c r="O159" s="28" t="n">
        <v>0.723571</v>
      </c>
      <c r="P159" s="28" t="n"/>
      <c r="Q159" s="28" t="n">
        <v>0.053604</v>
      </c>
      <c r="R159" s="26" t="n">
        <v>47</v>
      </c>
      <c r="S159" s="29" t="n">
        <v>1</v>
      </c>
      <c r="T159" s="24" t="inlineStr">
        <is>
          <t>valorant-tiered-elo-v6</t>
        </is>
      </c>
      <c r="U159" s="24" t="inlineStr">
        <is>
          <t>settled</t>
        </is>
      </c>
      <c r="V159" s="24" t="inlineStr">
        <is>
          <t>loss</t>
        </is>
      </c>
      <c r="W159" s="26" t="n">
        <v>1</v>
      </c>
      <c r="X159" s="26" t="n">
        <v>0</v>
      </c>
      <c r="Y159" s="25" t="n"/>
      <c r="Z159" s="26" t="n">
        <v>-186</v>
      </c>
      <c r="AA159" s="28" t="n">
        <v>0.65</v>
      </c>
      <c r="AB159" s="28" t="n">
        <v>-0.019967</v>
      </c>
      <c r="AC159" s="30" t="n">
        <v>-1</v>
      </c>
      <c r="AD159" s="24" t="inlineStr">
        <is>
          <t>2026-10-11T04:37:15.929870Z</t>
        </is>
      </c>
      <c r="AE159" s="31" t="inlineStr">
        <is>
          <t>Neutral Elo baseline; executable ask 0.6700 (market_slug=aec-valorant-100t-g2-2026-10-08).</t>
        </is>
      </c>
      <c r="AF159" s="31" t="inlineStr">
        <is>
          <t>Config-promoted esports baseline; gates enforced at log time.</t>
        </is>
      </c>
      <c r="AG159" s="24" t="inlineStr">
        <is>
          <t>review_required</t>
        </is>
      </c>
      <c r="AH159" s="24" t="n"/>
      <c r="AI159" s="31" t="n"/>
      <c r="AJ159" s="31" t="n"/>
      <c r="AK159" s="24" t="inlineStr">
        <is>
          <t>model_qualified</t>
        </is>
      </c>
      <c r="AL159" s="26" t="n">
        <v>4</v>
      </c>
      <c r="AM159" s="24" t="inlineStr">
        <is>
          <t>QUALIFIED_SHADOW_CALL</t>
        </is>
      </c>
      <c r="AN159" s="24" t="inlineStr">
        <is>
          <t>CALL</t>
        </is>
      </c>
      <c r="AO159" s="24" t="inlineStr">
        <is>
          <t>QUALIFIED</t>
        </is>
      </c>
      <c r="AP159" s="24" t="inlineStr">
        <is>
          <t>G2 Esports</t>
        </is>
      </c>
      <c r="AQ159" s="24" t="inlineStr">
        <is>
          <t>G2 Esports</t>
        </is>
      </c>
      <c r="AR159" s="24" t="inlineStr">
        <is>
          <t>G2 Esports</t>
        </is>
      </c>
      <c r="AS159" s="24" t="inlineStr">
        <is>
          <t>100 Thieves</t>
        </is>
      </c>
      <c r="AT159" s="24" t="inlineStr">
        <is>
          <t>100 Thieves</t>
        </is>
      </c>
      <c r="AU159" s="24" t="inlineStr">
        <is>
          <t>100 Thieves</t>
        </is>
      </c>
      <c r="AV159" s="24" t="n"/>
      <c r="AW159" s="24" t="n"/>
      <c r="AX159" s="24" t="inlineStr">
        <is>
          <t>statistical_model</t>
        </is>
      </c>
      <c r="AY159" s="24" t="n"/>
      <c r="AZ159" s="24" t="inlineStr">
        <is>
          <t>shadow_qualified</t>
        </is>
      </c>
      <c r="BA159" s="24" t="inlineStr">
        <is>
          <t>4fb00b8396ed01ac9098b909076acca187018877e203df68a40b7905bbf60d46</t>
        </is>
      </c>
      <c r="BB159" s="24" t="inlineStr">
        <is>
          <t>neutral_elo</t>
        </is>
      </c>
      <c r="BC159" s="24" t="inlineStr">
        <is>
          <t>valorant-tiered-elo-v6</t>
        </is>
      </c>
      <c r="BD159" s="24" t="inlineStr">
        <is>
          <t>4fb00b8396ed01ac9098b909076acca187018877e203df68a40b7905bbf60d46</t>
        </is>
      </c>
      <c r="BE159" s="24" t="inlineStr">
        <is>
          <t>1</t>
        </is>
      </c>
      <c r="BF159" s="24" t="inlineStr">
        <is>
          <t>1</t>
        </is>
      </c>
      <c r="BG159" s="24" t="inlineStr">
        <is>
          <t>valorant-tiered-elo-v6</t>
        </is>
      </c>
      <c r="BH159" s="24" t="inlineStr">
        <is>
          <t>2026-10-07T22:27:21.757131Z</t>
        </is>
      </c>
      <c r="BI159" s="24" t="inlineStr">
        <is>
          <t>["same_event","same_team_same_day","same_league_same_day"]</t>
        </is>
      </c>
      <c r="BJ159" s="25" t="n"/>
      <c r="BK159" s="26" t="n">
        <v>-203</v>
      </c>
      <c r="BL159" s="27" t="n">
        <v>1.492611</v>
      </c>
      <c r="BM159" s="28" t="n">
        <v>0.669967</v>
      </c>
      <c r="BN159" s="28" t="n"/>
      <c r="BO159" s="28" t="n"/>
      <c r="BP159" s="25" t="n"/>
      <c r="BQ159" s="27" t="n">
        <v>1.537634</v>
      </c>
      <c r="BR159" s="28" t="n">
        <v>0.65</v>
      </c>
      <c r="BS159" s="28" t="n"/>
      <c r="BT159" s="28" t="n"/>
      <c r="BU159" s="25" t="n"/>
      <c r="BV159" s="29" t="n"/>
      <c r="BW159" s="24" t="n"/>
      <c r="BX159" s="30" t="n"/>
      <c r="BY159" s="27" t="n"/>
      <c r="BZ159" s="24" t="n"/>
      <c r="CA159" s="31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inlineStr">
        <is>
          <t>True</t>
        </is>
      </c>
      <c r="CT159" s="24" t="n"/>
      <c r="CU159" s="24" t="n"/>
      <c r="CV159" s="24" t="n"/>
      <c r="CW159" s="24" t="n"/>
      <c r="CX159" s="24" t="n"/>
      <c r="CY159" s="24" t="n"/>
      <c r="CZ159" s="24" t="n"/>
      <c r="DA159" s="24" t="n"/>
      <c r="DB159" s="24" t="n"/>
      <c r="DC159" s="24" t="n"/>
      <c r="DD159" s="24" t="n"/>
      <c r="DE159" s="24" t="n"/>
      <c r="DF159" s="24" t="n"/>
      <c r="DG159" s="24" t="n"/>
      <c r="DH159" s="24" t="n"/>
      <c r="DI159" s="24" t="n"/>
      <c r="DJ159" s="24" t="n"/>
      <c r="DK159" s="24" t="n"/>
      <c r="DL159" s="24" t="n"/>
      <c r="DM159" s="24" t="n"/>
      <c r="DN159" s="24" t="n"/>
      <c r="DO159" s="24" t="n"/>
      <c r="DP159" s="24" t="n"/>
      <c r="DQ159" s="24" t="inlineStr">
        <is>
          <t>{"artifact_hash": "4fb00b8396ed01ac9098b909076acca187018877e203df68a40b7905bbf60d46", "away_team": "G2 Esports", "event_id": "143386", "event_start_utc": "2026-10-08T09:00:00Z", "features": {"away_elo": 1871.551684, "away_history_count": 166, "home_elo": 2128.058641, "home_history_count": 111}, "historical_source_observation_times_verified": false, "home_team": "100 Thieves", "inference_inputs": {"book_state": {"games_played": {"bo3:2:7298": 111, "bo3:2:7323": 166}, "inactivity_half_life_days": null, "inactivity_max_pull": null, "k": 64.0, "last_match_utc": {"bo3:2:7298": "2026-09-30T12:00:00Z", "bo3:2:7323": "2026-10-03T09:00:00Z"}, "minimum_reliable_games": null, "platt_intercept": 0.1143685463659617, "platt_slope": 0.7683784881494086, "ratings": {"bo3:2:7298": 2128.058641, "bo3:2:7323": 1871.551684},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"2026-10-07T22:27:21.612006+00:00", "team_ids": ["bo3:2:7298", "bo3:2:7323"]}, "market_type": "moneyline", "model_version": "valorant-tiered-elo-v6", "observed_at_utc": "2026-10-07T22:27:21.612006+00:00", "probabilities": {"away": 0.276429, "home": 0.723571}, "replay_scope": "Exact serving book state, calibration, temperature, inactivity reference and thin-history adjustments; training provenance not certified.", "schema": "esports-elo-replay-v1", "snapshot_hash": "90d84142df5664be5a6794d40b59aef102d8e86cc1195cd3a358395cbe556e80", "sport": "VALORANT"}</t>
        </is>
      </c>
    </row>
    <row r="160" ht="36" customHeight="1">
      <c r="A160" s="24" t="inlineStr">
        <is>
          <t>2aa9f491c03d4160</t>
        </is>
      </c>
      <c r="B160" s="24" t="inlineStr">
        <is>
          <t>2026-10-07T22:28:03.285581Z</t>
        </is>
      </c>
      <c r="C160" s="24" t="inlineStr">
        <is>
          <t>2026-10-08T12:00:00Z</t>
        </is>
      </c>
      <c r="D160" s="24" t="inlineStr">
        <is>
          <t>143487</t>
        </is>
      </c>
      <c r="E160" s="24" t="inlineStr">
        <is>
          <t>VALORANT</t>
        </is>
      </c>
      <c r="F160" s="24" t="inlineStr">
        <is>
          <t>Nongshim RedForce</t>
        </is>
      </c>
      <c r="G160" s="24" t="inlineStr">
        <is>
          <t>Team Vitality</t>
        </is>
      </c>
      <c r="H160" s="24" t="inlineStr">
        <is>
          <t>moneyline</t>
        </is>
      </c>
      <c r="I160" s="24" t="inlineStr">
        <is>
          <t>home</t>
        </is>
      </c>
      <c r="J160" s="25" t="n"/>
      <c r="K160" s="24" t="inlineStr">
        <is>
          <t>polymarket_us</t>
        </is>
      </c>
      <c r="L160" s="26" t="n">
        <v>-122</v>
      </c>
      <c r="M160" s="27" t="n">
        <v>1.819672</v>
      </c>
      <c r="N160" s="28" t="n">
        <v>0.54955</v>
      </c>
      <c r="O160" s="28" t="n">
        <v>0.539506</v>
      </c>
      <c r="P160" s="28" t="n"/>
      <c r="Q160" s="28" t="n">
        <v>-0.010044</v>
      </c>
      <c r="R160" s="26" t="n">
        <v>15</v>
      </c>
      <c r="S160" s="29" t="n">
        <v>1</v>
      </c>
      <c r="T160" s="24" t="inlineStr">
        <is>
          <t>valorant-tiered-elo-v6</t>
        </is>
      </c>
      <c r="U160" s="24" t="inlineStr">
        <is>
          <t>settled</t>
        </is>
      </c>
      <c r="V160" s="24" t="inlineStr">
        <is>
          <t>win</t>
        </is>
      </c>
      <c r="W160" s="26" t="n">
        <v>0</v>
      </c>
      <c r="X160" s="26" t="n">
        <v>1</v>
      </c>
      <c r="Y160" s="25" t="n"/>
      <c r="Z160" s="26" t="n">
        <v>-117</v>
      </c>
      <c r="AA160" s="28" t="n">
        <v>0.54</v>
      </c>
      <c r="AB160" s="28" t="n">
        <v>-0.009549999999999999</v>
      </c>
      <c r="AC160" s="30" t="n">
        <v>0.8197</v>
      </c>
      <c r="AD160" s="24" t="inlineStr">
        <is>
          <t>2026-10-11T04:37:18.437546Z</t>
        </is>
      </c>
      <c r="AE160" s="31" t="inlineStr">
        <is>
          <t>Neutral Elo baseline; executable ask 0.5500 (market_slug=aec-valorant-vit-ns-2026-10-08).</t>
        </is>
      </c>
      <c r="AF160" s="31" t="inlineStr">
        <is>
          <t>Config-promoted esports baseline; gates enforced at log time.</t>
        </is>
      </c>
      <c r="AG160" s="24" t="inlineStr">
        <is>
          <t>not_applicable</t>
        </is>
      </c>
      <c r="AH160" s="24" t="n"/>
      <c r="AI160" s="31" t="n"/>
      <c r="AJ160" s="31" t="n"/>
      <c r="AK160" s="24" t="inlineStr">
        <is>
          <t>paper_call</t>
        </is>
      </c>
      <c r="AL160" s="26" t="n">
        <v>4</v>
      </c>
      <c r="AM160" s="24" t="inlineStr">
        <is>
          <t>RESEARCH_OBSERVATION</t>
        </is>
      </c>
      <c r="AN160" s="24" t="inlineStr">
        <is>
          <t>CALL</t>
        </is>
      </c>
      <c r="AO160" s="24" t="inlineStr">
        <is>
          <t>PAPER_CALL_LOW_EDGE</t>
        </is>
      </c>
      <c r="AP160" s="24" t="inlineStr">
        <is>
          <t>Nongshim RedForce</t>
        </is>
      </c>
      <c r="AQ160" s="24" t="inlineStr">
        <is>
          <t>Nongshim RedForce</t>
        </is>
      </c>
      <c r="AR160" s="24" t="inlineStr">
        <is>
          <t>Nongshim RedForce</t>
        </is>
      </c>
      <c r="AS160" s="24" t="inlineStr">
        <is>
          <t>Team Vitality</t>
        </is>
      </c>
      <c r="AT160" s="24" t="inlineStr">
        <is>
          <t>Team Vitality</t>
        </is>
      </c>
      <c r="AU160" s="24" t="inlineStr">
        <is>
          <t>Team Vitality</t>
        </is>
      </c>
      <c r="AV160" s="24" t="n"/>
      <c r="AW160" s="24" t="n"/>
      <c r="AX160" s="24" t="inlineStr">
        <is>
          <t>statistical_model</t>
        </is>
      </c>
      <c r="AY160" s="24" t="n"/>
      <c r="AZ160" s="24" t="inlineStr">
        <is>
          <t>shadow_qualified</t>
        </is>
      </c>
      <c r="BA160" s="24" t="inlineStr">
        <is>
          <t>4fb00b8396ed01ac9098b909076acca187018877e203df68a40b7905bbf60d46</t>
        </is>
      </c>
      <c r="BB160" s="24" t="inlineStr">
        <is>
          <t>neutral_elo</t>
        </is>
      </c>
      <c r="BC160" s="24" t="inlineStr">
        <is>
          <t>valorant-tiered-elo-v6</t>
        </is>
      </c>
      <c r="BD160" s="24" t="inlineStr">
        <is>
          <t>4fb00b8396ed01ac9098b909076acca187018877e203df68a40b7905bbf60d46</t>
        </is>
      </c>
      <c r="BE160" s="24" t="inlineStr">
        <is>
          <t>1</t>
        </is>
      </c>
      <c r="BF160" s="24" t="inlineStr">
        <is>
          <t>1</t>
        </is>
      </c>
      <c r="BG160" s="24" t="inlineStr">
        <is>
          <t>valorant-tiered-elo-v6</t>
        </is>
      </c>
      <c r="BH160" s="24" t="inlineStr">
        <is>
          <t>2026-10-07T22:27:21.834145Z</t>
        </is>
      </c>
      <c r="BI160" s="24" t="inlineStr">
        <is>
          <t>["same_event","same_team_same_day","same_league_same_day"]</t>
        </is>
      </c>
      <c r="BJ160" s="25" t="n"/>
      <c r="BK160" s="26" t="n">
        <v>-122</v>
      </c>
      <c r="BL160" s="27" t="n">
        <v>1.819672</v>
      </c>
      <c r="BM160" s="28" t="n">
        <v>0.54955</v>
      </c>
      <c r="BN160" s="28" t="n"/>
      <c r="BO160" s="28" t="n"/>
      <c r="BP160" s="25" t="n"/>
      <c r="BQ160" s="27" t="n">
        <v>1.854701</v>
      </c>
      <c r="BR160" s="28" t="n">
        <v>0.54</v>
      </c>
      <c r="BS160" s="28" t="n"/>
      <c r="BT160" s="28" t="n"/>
      <c r="BU160" s="25" t="n"/>
      <c r="BV160" s="29" t="n"/>
      <c r="BW160" s="24" t="n"/>
      <c r="BX160" s="30" t="n"/>
      <c r="BY160" s="27" t="n"/>
      <c r="BZ160" s="24" t="n"/>
      <c r="CA160" s="31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inlineStr">
        <is>
          <t>False</t>
        </is>
      </c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/>
      <c r="DH160" s="24" t="n"/>
      <c r="DI160" s="24" t="n"/>
      <c r="DJ160" s="24" t="n"/>
      <c r="DK160" s="24" t="n"/>
      <c r="DL160" s="24" t="n"/>
      <c r="DM160" s="24" t="n"/>
      <c r="DN160" s="24" t="n"/>
      <c r="DO160" s="24" t="n"/>
      <c r="DP160" s="24" t="n"/>
      <c r="DQ160" s="24" t="inlineStr">
        <is>
          <t>{"artifact_hash": "4fb00b8396ed01ac9098b909076acca187018877e203df68a40b7905bbf60d46", "away_team": "Nongshim RedForce", "event_id": "143487", "event_start_utc": "2026-10-08T12:00:00Z", "features": {"away_elo": 1937.226353, "away_history_count": 121, "home_elo": 1967.016037, "home_history_count": 105}, "historical_source_observation_times_verified": false, "home_team": "Team Vitality", "inference_inputs": {"book_state": {"games_played": {"bo3:2:6445": 121, "bo3:2:7254": 105}, "inactivity_half_life_days": null, "inactivity_max_pull": null, "k": 64.0, "last_match_utc": {"bo3:2:6445": "2026-10-03T11:30:00Z", "bo3:2:7254": "2026-09-30T09:00:00Z"}, "minimum_reliable_games": null, "platt_intercept": 0.1143685463659617, "platt_slope": 0.7683784881494086, "ratings": {"bo3:2:6445": 1937.226353, "bo3:2:7254": 1967.016037},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"2026-10-07T22:27:21.612006+00:00", "team_ids": ["bo3:2:7254", "bo3:2:6445"]}, "market_type": "moneyline", "model_version": "valorant-tiered-elo-v6", "observed_at_utc": "2026-10-07T22:27:21.612006+00:00", "probabilities": {"away": 0.460494, "home": 0.539506}, "replay_scope": "Exact serving book state, calibration, temperature, inactivity reference and thin-history adjustments; training provenance not certified.", "schema": "esports-elo-replay-v1", "snapshot_hash": "23b5ec5a13f99993836831588bfdbe46f7c29410a839491ab1d9d5aabacc5fe7", "sport": "VALORANT"}</t>
        </is>
      </c>
    </row>
    <row r="161" ht="36" customHeight="1">
      <c r="A161" s="24" t="inlineStr">
        <is>
          <t>fc9ee6693727469c</t>
        </is>
      </c>
      <c r="B161" s="24" t="inlineStr">
        <is>
          <t>2026-10-07T22:28:03.285581Z</t>
        </is>
      </c>
      <c r="C161" s="24" t="inlineStr">
        <is>
          <t>2026-10-08T16:00:00Z</t>
        </is>
      </c>
      <c r="D161" s="24" t="inlineStr">
        <is>
          <t>143813</t>
        </is>
      </c>
      <c r="E161" s="24" t="inlineStr">
        <is>
          <t>VALORANT</t>
        </is>
      </c>
      <c r="F161" s="24" t="inlineStr">
        <is>
          <t>Misa Esports</t>
        </is>
      </c>
      <c r="G161" s="24" t="inlineStr">
        <is>
          <t>Fire Flux Esports</t>
        </is>
      </c>
      <c r="H161" s="24" t="inlineStr">
        <is>
          <t>moneyline</t>
        </is>
      </c>
      <c r="I161" s="24" t="inlineStr">
        <is>
          <t>home</t>
        </is>
      </c>
      <c r="J161" s="25" t="n"/>
      <c r="K161" s="24" t="inlineStr">
        <is>
          <t>polymarket_us</t>
        </is>
      </c>
      <c r="L161" s="26" t="n">
        <v>-186</v>
      </c>
      <c r="M161" s="27" t="n">
        <v>1.537634</v>
      </c>
      <c r="N161" s="28" t="n">
        <v>0.65035</v>
      </c>
      <c r="O161" s="28" t="n">
        <v>0.522617</v>
      </c>
      <c r="P161" s="28" t="n"/>
      <c r="Q161" s="28" t="n">
        <v>-0.127733</v>
      </c>
      <c r="R161" s="26" t="n">
        <v>0</v>
      </c>
      <c r="S161" s="29" t="n">
        <v>1</v>
      </c>
      <c r="T161" s="24" t="inlineStr">
        <is>
          <t>valorant-tiered-elo-v6</t>
        </is>
      </c>
      <c r="U161" s="24" t="inlineStr">
        <is>
          <t>settled</t>
        </is>
      </c>
      <c r="V161" s="24" t="inlineStr">
        <is>
          <t>win</t>
        </is>
      </c>
      <c r="W161" s="26" t="n">
        <v>0</v>
      </c>
      <c r="X161" s="26" t="n">
        <v>1</v>
      </c>
      <c r="Y161" s="25" t="n"/>
      <c r="Z161" s="26" t="n">
        <v>-178</v>
      </c>
      <c r="AA161" s="28" t="n">
        <v>0.64</v>
      </c>
      <c r="AB161" s="28" t="n">
        <v>-0.01035</v>
      </c>
      <c r="AC161" s="30" t="n">
        <v>0.5376</v>
      </c>
      <c r="AD161" s="24" t="inlineStr">
        <is>
          <t>2026-10-11T04:37:30.852967Z</t>
        </is>
      </c>
      <c r="AE161" s="31" t="inlineStr">
        <is>
          <t>Neutral Elo baseline; executable ask 0.6500 (market_slug=aec-valorant-ff-misa-2026-10-08).</t>
        </is>
      </c>
      <c r="AF161" s="31" t="inlineStr">
        <is>
          <t>Config-promoted esports baseline; gates enforced at log time.</t>
        </is>
      </c>
      <c r="AG161" s="24" t="inlineStr">
        <is>
          <t>not_applicable</t>
        </is>
      </c>
      <c r="AH161" s="24" t="n"/>
      <c r="AI161" s="31" t="n"/>
      <c r="AJ161" s="31" t="n"/>
      <c r="AK161" s="24" t="inlineStr">
        <is>
          <t>paper_call</t>
        </is>
      </c>
      <c r="AL161" s="26" t="n">
        <v>4</v>
      </c>
      <c r="AM161" s="24" t="inlineStr">
        <is>
          <t>RESEARCH_OBSERVATION</t>
        </is>
      </c>
      <c r="AN161" s="24" t="inlineStr">
        <is>
          <t>CALL</t>
        </is>
      </c>
      <c r="AO161" s="24" t="inlineStr">
        <is>
          <t>PAPER_CALL_LOW_EDGE</t>
        </is>
      </c>
      <c r="AP161" s="24" t="inlineStr">
        <is>
          <t>Misa Esports</t>
        </is>
      </c>
      <c r="AQ161" s="24" t="inlineStr">
        <is>
          <t>Misa Esports</t>
        </is>
      </c>
      <c r="AR161" s="24" t="inlineStr">
        <is>
          <t>Misa Esports</t>
        </is>
      </c>
      <c r="AS161" s="24" t="inlineStr">
        <is>
          <t>Fire Flux Esports</t>
        </is>
      </c>
      <c r="AT161" s="24" t="inlineStr">
        <is>
          <t>Fire Flux Esports</t>
        </is>
      </c>
      <c r="AU161" s="24" t="inlineStr">
        <is>
          <t>Fire Flux Esports</t>
        </is>
      </c>
      <c r="AV161" s="24" t="n"/>
      <c r="AW161" s="24" t="n"/>
      <c r="AX161" s="24" t="inlineStr">
        <is>
          <t>statistical_model</t>
        </is>
      </c>
      <c r="AY161" s="24" t="n"/>
      <c r="AZ161" s="24" t="inlineStr">
        <is>
          <t>shadow_qualified</t>
        </is>
      </c>
      <c r="BA161" s="24" t="inlineStr">
        <is>
          <t>4fb00b8396ed01ac9098b909076acca187018877e203df68a40b7905bbf60d46</t>
        </is>
      </c>
      <c r="BB161" s="24" t="inlineStr">
        <is>
          <t>neutral_elo</t>
        </is>
      </c>
      <c r="BC161" s="24" t="inlineStr">
        <is>
          <t>valorant-tiered-elo-v6</t>
        </is>
      </c>
      <c r="BD161" s="24" t="inlineStr">
        <is>
          <t>4fb00b8396ed01ac9098b909076acca187018877e203df68a40b7905bbf60d46</t>
        </is>
      </c>
      <c r="BE161" s="24" t="inlineStr">
        <is>
          <t>1</t>
        </is>
      </c>
      <c r="BF161" s="24" t="inlineStr">
        <is>
          <t>1</t>
        </is>
      </c>
      <c r="BG161" s="24" t="inlineStr">
        <is>
          <t>valorant-tiered-elo-v6</t>
        </is>
      </c>
      <c r="BH161" s="24" t="inlineStr">
        <is>
          <t>2026-10-07T22:27:42.222451Z</t>
        </is>
      </c>
      <c r="BI161" s="24" t="inlineStr">
        <is>
          <t>["same_event","same_team_same_day","same_league_same_day"]</t>
        </is>
      </c>
      <c r="BJ161" s="25" t="n"/>
      <c r="BK161" s="26" t="n">
        <v>-186</v>
      </c>
      <c r="BL161" s="27" t="n">
        <v>1.537634</v>
      </c>
      <c r="BM161" s="28" t="n">
        <v>0.65035</v>
      </c>
      <c r="BN161" s="28" t="n"/>
      <c r="BO161" s="28" t="n"/>
      <c r="BP161" s="25" t="n"/>
      <c r="BQ161" s="27" t="n">
        <v>1.561798</v>
      </c>
      <c r="BR161" s="28" t="n">
        <v>0.64</v>
      </c>
      <c r="BS161" s="28" t="n"/>
      <c r="BT161" s="28" t="n"/>
      <c r="BU161" s="25" t="n"/>
      <c r="BV161" s="29" t="n"/>
      <c r="BW161" s="24" t="n"/>
      <c r="BX161" s="30" t="n"/>
      <c r="BY161" s="27" t="n"/>
      <c r="BZ161" s="24" t="n"/>
      <c r="CA161" s="31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inlineStr">
        <is>
          <t>False</t>
        </is>
      </c>
      <c r="CT161" s="24" t="n"/>
      <c r="CU161" s="24" t="n"/>
      <c r="CV161" s="24" t="n"/>
      <c r="CW161" s="24" t="n"/>
      <c r="CX161" s="24" t="n"/>
      <c r="CY161" s="24" t="n"/>
      <c r="CZ161" s="24" t="n"/>
      <c r="DA161" s="24" t="n"/>
      <c r="DB161" s="24" t="n"/>
      <c r="DC161" s="24" t="n"/>
      <c r="DD161" s="24" t="n"/>
      <c r="DE161" s="24" t="n"/>
      <c r="DF161" s="24" t="n"/>
      <c r="DG161" s="24" t="n"/>
      <c r="DH161" s="24" t="n"/>
      <c r="DI161" s="24" t="n"/>
      <c r="DJ161" s="24" t="n"/>
      <c r="DK161" s="24" t="n"/>
      <c r="DL161" s="24" t="n"/>
      <c r="DM161" s="24" t="n"/>
      <c r="DN161" s="24" t="n"/>
      <c r="DO161" s="24" t="n"/>
      <c r="DP161" s="24" t="n"/>
      <c r="DQ161" s="24" t="inlineStr">
        <is>
          <t>{"artifact_hash": "4fb00b8396ed01ac9098b909076acca187018877e203df68a40b7905bbf60d46", "away_team": "Misa Esports", "event_id": "143813", "event_start_utc": "2026-10-08T16:00:00Z", "features": {"away_elo": 1724.212682, "away_history_count": 45, "home_elo": 1796.002978, "home_history_count": 115}, "historical_source_observation_times_verified": false, "home_team": "Fire Flux Esports", "inference_inputs": {"book_state": {"games_played": {"bo3:2:7097": 115, "bo3:2:9593": 45}, "inactivity_half_life_days": null, "inactivity_max_pull": null, "k": 64.0, "last_match_utc": {"bo3:2:7097": "2026-08-28T16:30:00Z", "bo3:2:9593": "2026-10-03T16:00:00Z"}, "minimum_reliable_games": null, "platt_intercept": 0.1143685463659617, "platt_slope": 0.7683784881494086, "ratings": {"bo3:2:7097": 1796.002978, "bo3:2:9593": 1724.212682},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"2026-10-07T22:27:21.612006+00:00", "team_ids": ["bo3:2:7097", "bo3:2:9593"]}, "market_type": "moneyline", "model_version": "valorant-tiered-elo-v6", "observed_at_utc": "2026-10-07T22:27:21.612006+00:00", "probabilities": {"away": 0.477383, "home": 0.522617}, "replay_scope": "Exact serving book state, calibration, temperature, inactivity reference and thin-history adjustments; training provenance not certified.", "schema": "esports-elo-replay-v1", "snapshot_hash": "61e2237c3d364936da93fe65b1707c0322e0e2d94b272e5af1ff32f31652df53", "sport": "VALORANT"}</t>
        </is>
      </c>
    </row>
    <row r="162" ht="36" customHeight="1">
      <c r="A162" s="24" t="inlineStr">
        <is>
          <t>abfb041f0ca64ef5</t>
        </is>
      </c>
      <c r="B162" s="24" t="inlineStr">
        <is>
          <t>2026-10-11T07:27:54.158997Z</t>
        </is>
      </c>
      <c r="C162" s="24" t="inlineStr">
        <is>
          <t>2026-10-11T09:00:00Z</t>
        </is>
      </c>
      <c r="D162" s="24" t="inlineStr">
        <is>
          <t>152663</t>
        </is>
      </c>
      <c r="E162" s="24" t="inlineStr">
        <is>
          <t>VALORANT</t>
        </is>
      </c>
      <c r="F162" s="24" t="inlineStr">
        <is>
          <t>NRG</t>
        </is>
      </c>
      <c r="G162" s="24" t="inlineStr">
        <is>
          <t>100 Thieves</t>
        </is>
      </c>
      <c r="H162" s="24" t="inlineStr">
        <is>
          <t>moneyline</t>
        </is>
      </c>
      <c r="I162" s="24" t="inlineStr">
        <is>
          <t>home</t>
        </is>
      </c>
      <c r="J162" s="25" t="n"/>
      <c r="K162" s="24" t="inlineStr">
        <is>
          <t>polymarket_us</t>
        </is>
      </c>
      <c r="L162" s="26" t="n">
        <v>-133</v>
      </c>
      <c r="M162" s="27" t="n">
        <v>1.75188</v>
      </c>
      <c r="N162" s="28" t="n">
        <v>0.570815</v>
      </c>
      <c r="O162" s="28" t="n">
        <v>0.605665</v>
      </c>
      <c r="P162" s="28" t="n"/>
      <c r="Q162" s="28" t="n">
        <v>0.03485</v>
      </c>
      <c r="R162" s="26" t="n">
        <v>37</v>
      </c>
      <c r="S162" s="29" t="n">
        <v>1</v>
      </c>
      <c r="T162" s="24" t="inlineStr">
        <is>
          <t>valorant-tiered-elo-v6</t>
        </is>
      </c>
      <c r="U162" s="24" t="inlineStr">
        <is>
          <t>settled</t>
        </is>
      </c>
      <c r="V162" s="24" t="inlineStr">
        <is>
          <t>win</t>
        </is>
      </c>
      <c r="W162" s="26" t="n">
        <v>0</v>
      </c>
      <c r="X162" s="26" t="n">
        <v>1</v>
      </c>
      <c r="Y162" s="25" t="n"/>
      <c r="Z162" s="26" t="n">
        <v>-127</v>
      </c>
      <c r="AA162" s="28" t="n">
        <v>0.5600000000000001</v>
      </c>
      <c r="AB162" s="28" t="n">
        <v>-0.010815</v>
      </c>
      <c r="AC162" s="30" t="n">
        <v>0.7519</v>
      </c>
      <c r="AD162" s="24" t="inlineStr">
        <is>
          <t>2026-10-11T16:03:43.005367Z</t>
        </is>
      </c>
      <c r="AE162" s="31" t="inlineStr">
        <is>
          <t>Neutral Elo baseline; executable ask 0.5700 (market_slug=aec-valorant-100t-nrg-2026-10-11).</t>
        </is>
      </c>
      <c r="AF162" s="31" t="inlineStr">
        <is>
          <t>Config-promoted esports baseline; gates enforced at log time.</t>
        </is>
      </c>
      <c r="AG162" s="24" t="inlineStr">
        <is>
          <t>not_applicable</t>
        </is>
      </c>
      <c r="AH162" s="24" t="n"/>
      <c r="AI162" s="31" t="n"/>
      <c r="AJ162" s="31" t="n"/>
      <c r="AK162" s="24" t="inlineStr">
        <is>
          <t>model_qualified</t>
        </is>
      </c>
      <c r="AL162" s="26" t="n">
        <v>4</v>
      </c>
      <c r="AM162" s="24" t="inlineStr">
        <is>
          <t>QUALIFIED_SHADOW_CALL</t>
        </is>
      </c>
      <c r="AN162" s="24" t="inlineStr">
        <is>
          <t>CALL</t>
        </is>
      </c>
      <c r="AO162" s="24" t="inlineStr">
        <is>
          <t>QUALIFIED</t>
        </is>
      </c>
      <c r="AP162" s="24" t="inlineStr">
        <is>
          <t>NRG</t>
        </is>
      </c>
      <c r="AQ162" s="24" t="inlineStr">
        <is>
          <t>NRG</t>
        </is>
      </c>
      <c r="AR162" s="24" t="inlineStr">
        <is>
          <t>NRG</t>
        </is>
      </c>
      <c r="AS162" s="24" t="inlineStr">
        <is>
          <t>100 Thieves</t>
        </is>
      </c>
      <c r="AT162" s="24" t="inlineStr">
        <is>
          <t>100 Thieves</t>
        </is>
      </c>
      <c r="AU162" s="24" t="inlineStr">
        <is>
          <t>100 Thieves</t>
        </is>
      </c>
      <c r="AV162" s="24" t="n"/>
      <c r="AW162" s="24" t="n"/>
      <c r="AX162" s="24" t="inlineStr">
        <is>
          <t>statistical_model</t>
        </is>
      </c>
      <c r="AY162" s="24" t="n"/>
      <c r="AZ162" s="24" t="inlineStr">
        <is>
          <t>shadow_qualified</t>
        </is>
      </c>
      <c r="BA162" s="24" t="inlineStr">
        <is>
          <t>13167e59620ddef10ebfa0d7d26db74a15baccaf70ae2fbdc1a1fe7f57e95d69</t>
        </is>
      </c>
      <c r="BB162" s="24" t="inlineStr">
        <is>
          <t>neutral_elo</t>
        </is>
      </c>
      <c r="BC162" s="24" t="inlineStr">
        <is>
          <t>valorant-tiered-elo-v6</t>
        </is>
      </c>
      <c r="BD162" s="24" t="inlineStr">
        <is>
          <t>13167e59620ddef10ebfa0d7d26db74a15baccaf70ae2fbdc1a1fe7f57e95d69</t>
        </is>
      </c>
      <c r="BE162" s="24" t="inlineStr">
        <is>
          <t>1</t>
        </is>
      </c>
      <c r="BF162" s="24" t="inlineStr">
        <is>
          <t>1</t>
        </is>
      </c>
      <c r="BG162" s="24" t="inlineStr">
        <is>
          <t>valorant-tiered-elo-v6</t>
        </is>
      </c>
      <c r="BH162" s="24" t="inlineStr">
        <is>
          <t>2026-10-11T07:25:19.191912Z</t>
        </is>
      </c>
      <c r="BI162" s="24" t="inlineStr">
        <is>
          <t>["same_event","same_team_same_day","same_league_same_day"]</t>
        </is>
      </c>
      <c r="BJ162" s="25" t="n"/>
      <c r="BK162" s="26" t="n">
        <v>-133</v>
      </c>
      <c r="BL162" s="27" t="n">
        <v>1.75188</v>
      </c>
      <c r="BM162" s="28" t="n">
        <v>0.570815</v>
      </c>
      <c r="BN162" s="28" t="n"/>
      <c r="BO162" s="28" t="n"/>
      <c r="BP162" s="25" t="n"/>
      <c r="BQ162" s="27" t="n">
        <v>1.787402</v>
      </c>
      <c r="BR162" s="28" t="n">
        <v>0.5600000000000001</v>
      </c>
      <c r="BS162" s="28" t="n"/>
      <c r="BT162" s="28" t="n"/>
      <c r="BU162" s="25" t="n"/>
      <c r="BV162" s="29" t="n"/>
      <c r="BW162" s="24" t="n"/>
      <c r="BX162" s="30" t="n"/>
      <c r="BY162" s="27" t="n"/>
      <c r="BZ162" s="24" t="n"/>
      <c r="CA162" s="31" t="n"/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n"/>
      <c r="CQ162" s="24" t="n"/>
      <c r="CR162" s="24" t="n"/>
      <c r="CS162" s="24" t="inlineStr">
        <is>
          <t>True</t>
        </is>
      </c>
      <c r="CT162" s="24" t="n"/>
      <c r="CU162" s="24" t="n"/>
      <c r="CV162" s="24" t="n"/>
      <c r="CW162" s="24" t="n"/>
      <c r="CX162" s="24" t="n"/>
      <c r="CY162" s="24" t="n"/>
      <c r="CZ162" s="24" t="n"/>
      <c r="DA162" s="24" t="n"/>
      <c r="DB162" s="24" t="n"/>
      <c r="DC162" s="24" t="n"/>
      <c r="DD162" s="24" t="n"/>
      <c r="DE162" s="24" t="n"/>
      <c r="DF162" s="24" t="n"/>
      <c r="DG162" s="24" t="n"/>
      <c r="DH162" s="24" t="n"/>
      <c r="DI162" s="24" t="n"/>
      <c r="DJ162" s="24" t="n"/>
      <c r="DK162" s="24" t="n"/>
      <c r="DL162" s="24" t="n"/>
      <c r="DM162" s="24" t="n"/>
      <c r="DN162" s="24" t="n"/>
      <c r="DO162" s="24" t="n"/>
      <c r="DP162" s="24" t="n"/>
      <c r="DQ162" s="24" t="inlineStr">
        <is>
          <t>{"artifact_hash": "13167e59620ddef10ebfa0d7d26db74a15baccaf70ae2fbdc1a1fe7f57e95d69", "away_team": "NRG", "event_id": "152663", "event_start_utc": "2026-10-11T09:00:00Z", "features": {"away_elo": 1983.731977, "away_history_count": 134, "home_elo": 2077.000538, "home_history_count": 113}, "historical_source_observation_times_verified": false, "home_team": "100 Thieves", "inference_inputs": {"book_state": {"games_played": {"bo3:2:7298": 113, "bo3:2:7347": 134}, "inactivity_half_life_days": null, "inactivity_max_pull": null, "k": 64.0, "last_match_utc": {"bo3:2:7298": "2026-10-09T12:20:00Z", "bo3:2:7347": "2026-10-10T09:00:00Z"}, "minimum_reliable_games": null, "platt_intercept": 0.11616902206451739, "platt_slope": 0.770524736739285, "ratings": {"bo3:2:7298": 2077.000538, "bo3:2:7347": 1983.731977},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"2026-10-11T07:25:19.097996+00:00", "team_ids": ["bo3:2:7298", "bo3:2:7347"]}, "market_type": "moneyline", "model_version": "valorant-tiered-elo-v6", "observed_at_utc": "2026-10-11T07:25:19.097996+00:00", "probabilities": {"away": 0.394335, "home": 0.605665}, "replay_scope": "Exact serving book state, calibration, temperature, inactivity reference and thin-history adjustments; training provenance not certified.", "schema": "esports-elo-replay-v1", "snapshot_hash": "7d2a5cfa57e4eed769fadffb96a90da6462335220fc9113ed5a59c45fb991406", "sport": "VALORANT"}</t>
        </is>
      </c>
    </row>
    <row r="163" ht="36" customHeight="1">
      <c r="A163" s="24" t="inlineStr">
        <is>
          <t>560b09b740ce4b8b</t>
        </is>
      </c>
      <c r="B163" s="24" t="inlineStr">
        <is>
          <t>2026-10-11T07:27:54.158997Z</t>
        </is>
      </c>
      <c r="C163" s="24" t="inlineStr">
        <is>
          <t>2026-10-11T09:00:00Z</t>
        </is>
      </c>
      <c r="D163" s="24" t="inlineStr">
        <is>
          <t>152663</t>
        </is>
      </c>
      <c r="E163" s="24" t="inlineStr">
        <is>
          <t>VALORANT</t>
        </is>
      </c>
      <c r="F163" s="24" t="inlineStr">
        <is>
          <t>NRG</t>
        </is>
      </c>
      <c r="G163" s="24" t="inlineStr">
        <is>
          <t>100 Thieves</t>
        </is>
      </c>
      <c r="H163" s="24" t="inlineStr">
        <is>
          <t>total</t>
        </is>
      </c>
      <c r="I163" s="24" t="inlineStr">
        <is>
          <t>under</t>
        </is>
      </c>
      <c r="J163" s="25" t="n">
        <v>2.5</v>
      </c>
      <c r="K163" s="24" t="inlineStr">
        <is>
          <t>polymarket_us</t>
        </is>
      </c>
      <c r="L163" s="26" t="n">
        <v>-113</v>
      </c>
      <c r="M163" s="27" t="n">
        <v>1.884956</v>
      </c>
      <c r="N163" s="28" t="n">
        <v>0.530516</v>
      </c>
      <c r="O163" s="28" t="n">
        <v>0.510059</v>
      </c>
      <c r="P163" s="28" t="n"/>
      <c r="Q163" s="28" t="n">
        <v>-0.020457</v>
      </c>
      <c r="R163" s="26" t="n">
        <v>10</v>
      </c>
      <c r="S163" s="29" t="n">
        <v>1</v>
      </c>
      <c r="T163" s="24" t="inlineStr">
        <is>
          <t>valorant-total-tiered-elo-v6</t>
        </is>
      </c>
      <c r="U163" s="24" t="inlineStr">
        <is>
          <t>settled</t>
        </is>
      </c>
      <c r="V163" s="24" t="inlineStr">
        <is>
          <t>win</t>
        </is>
      </c>
      <c r="W163" s="26" t="n">
        <v>0</v>
      </c>
      <c r="X163" s="26" t="n">
        <v>2</v>
      </c>
      <c r="Y163" s="25" t="n"/>
      <c r="Z163" s="26" t="n"/>
      <c r="AA163" s="28" t="n"/>
      <c r="AB163" s="28" t="n"/>
      <c r="AC163" s="30" t="n">
        <v>0.885</v>
      </c>
      <c r="AD163" s="24" t="inlineStr">
        <is>
          <t>2026-10-11T16:03:45.745269Z</t>
        </is>
      </c>
      <c r="AE163" s="31" t="inlineStr">
        <is>
          <t>Neutral Elo baseline; executable ask 0.5300 (market_slug=tsc-valorant-100t-nrg-2026-10-11-tot-2pt5).</t>
        </is>
      </c>
      <c r="AF163" s="31" t="inlineStr">
        <is>
          <t>Config-promoted esports baseline; gates enforced at log time.</t>
        </is>
      </c>
      <c r="AG163" s="24" t="inlineStr">
        <is>
          <t>not_applicable</t>
        </is>
      </c>
      <c r="AH163" s="24" t="n"/>
      <c r="AI163" s="31" t="n"/>
      <c r="AJ163" s="31" t="n"/>
      <c r="AK163" s="24" t="inlineStr">
        <is>
          <t>paper_call</t>
        </is>
      </c>
      <c r="AL163" s="26" t="n">
        <v>4</v>
      </c>
      <c r="AM163" s="24" t="inlineStr">
        <is>
          <t>RESEARCH_OBSERVATION</t>
        </is>
      </c>
      <c r="AN163" s="24" t="inlineStr">
        <is>
          <t>CALL</t>
        </is>
      </c>
      <c r="AO163" s="24" t="inlineStr">
        <is>
          <t>PAPER_CALL_LOW_EDGE</t>
        </is>
      </c>
      <c r="AP163" s="24" t="inlineStr">
        <is>
          <t>NRG</t>
        </is>
      </c>
      <c r="AQ163" s="24" t="inlineStr">
        <is>
          <t>NRG</t>
        </is>
      </c>
      <c r="AR163" s="24" t="inlineStr">
        <is>
          <t>NRG</t>
        </is>
      </c>
      <c r="AS163" s="24" t="inlineStr">
        <is>
          <t>100 Thieves</t>
        </is>
      </c>
      <c r="AT163" s="24" t="inlineStr">
        <is>
          <t>100 Thieves</t>
        </is>
      </c>
      <c r="AU163" s="24" t="inlineStr">
        <is>
          <t>100 Thieves</t>
        </is>
      </c>
      <c r="AV163" s="24" t="n"/>
      <c r="AW163" s="24" t="n"/>
      <c r="AX163" s="24" t="inlineStr">
        <is>
          <t>statistical_model</t>
        </is>
      </c>
      <c r="AY163" s="24" t="n"/>
      <c r="AZ163" s="24" t="inlineStr">
        <is>
          <t>shadow_qualified</t>
        </is>
      </c>
      <c r="BA163" s="24" t="inlineStr">
        <is>
          <t>13167e59620ddef10ebfa0d7d26db74a15baccaf70ae2fbdc1a1fe7f57e95d69</t>
        </is>
      </c>
      <c r="BB163" s="24" t="inlineStr">
        <is>
          <t>neutral_elo</t>
        </is>
      </c>
      <c r="BC163" s="24" t="inlineStr">
        <is>
          <t>valorant-total-tiered-elo-v6</t>
        </is>
      </c>
      <c r="BD163" s="24" t="inlineStr">
        <is>
          <t>13167e59620ddef10ebfa0d7d26db74a15baccaf70ae2fbdc1a1fe7f57e95d69</t>
        </is>
      </c>
      <c r="BE163" s="24" t="inlineStr">
        <is>
          <t>1</t>
        </is>
      </c>
      <c r="BF163" s="24" t="inlineStr">
        <is>
          <t>1</t>
        </is>
      </c>
      <c r="BG163" s="24" t="inlineStr">
        <is>
          <t>valorant-total-tiered-elo-v6</t>
        </is>
      </c>
      <c r="BH163" s="24" t="inlineStr">
        <is>
          <t>2026-10-11T07:25:29.314396Z</t>
        </is>
      </c>
      <c r="BI163" s="24" t="inlineStr">
        <is>
          <t>["same_event","same_team_same_day","same_league_same_day"]</t>
        </is>
      </c>
      <c r="BJ163" s="25" t="n">
        <v>2.5</v>
      </c>
      <c r="BK163" s="26" t="n">
        <v>-113</v>
      </c>
      <c r="BL163" s="27" t="n">
        <v>1.884956</v>
      </c>
      <c r="BM163" s="28" t="n">
        <v>0.530516</v>
      </c>
      <c r="BN163" s="28" t="n"/>
      <c r="BO163" s="28" t="n"/>
      <c r="BP163" s="25" t="n"/>
      <c r="BQ163" s="27" t="n"/>
      <c r="BR163" s="28" t="n"/>
      <c r="BS163" s="28" t="n"/>
      <c r="BT163" s="28" t="n"/>
      <c r="BU163" s="25" t="n"/>
      <c r="BV163" s="29" t="n"/>
      <c r="BW163" s="24" t="n"/>
      <c r="BX163" s="30" t="n"/>
      <c r="BY163" s="27" t="n"/>
      <c r="BZ163" s="24" t="n"/>
      <c r="CA163" s="31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inlineStr">
        <is>
          <t>False</t>
        </is>
      </c>
      <c r="CT163" s="24" t="n"/>
      <c r="CU163" s="24" t="n"/>
      <c r="CV163" s="24" t="n"/>
      <c r="CW163" s="24" t="n"/>
      <c r="CX163" s="24" t="n"/>
      <c r="CY163" s="24" t="n"/>
      <c r="CZ163" s="24" t="n"/>
      <c r="DA163" s="24" t="n"/>
      <c r="DB163" s="24" t="n"/>
      <c r="DC163" s="24" t="n"/>
      <c r="DD163" s="24" t="n"/>
      <c r="DE163" s="24" t="n"/>
      <c r="DF163" s="24" t="n"/>
      <c r="DG163" s="24" t="n"/>
      <c r="DH163" s="24" t="n"/>
      <c r="DI163" s="24" t="n"/>
      <c r="DJ163" s="24" t="n"/>
      <c r="DK163" s="24" t="n"/>
      <c r="DL163" s="24" t="n"/>
      <c r="DM163" s="24" t="n"/>
      <c r="DN163" s="24" t="n"/>
      <c r="DO163" s="24" t="n"/>
      <c r="DP163" s="24" t="n"/>
      <c r="DQ163" s="24" t="n"/>
    </row>
    <row r="164" ht="36" customHeight="1">
      <c r="A164" s="24" t="inlineStr">
        <is>
          <t>1c652b5488014158</t>
        </is>
      </c>
      <c r="B164" s="24" t="inlineStr">
        <is>
          <t>2026-10-11T07:27:54.158997Z</t>
        </is>
      </c>
      <c r="C164" s="24" t="inlineStr">
        <is>
          <t>2026-10-11T12:00:00Z</t>
        </is>
      </c>
      <c r="D164" s="24" t="inlineStr">
        <is>
          <t>152776</t>
        </is>
      </c>
      <c r="E164" s="24" t="inlineStr">
        <is>
          <t>VALORANT</t>
        </is>
      </c>
      <c r="F164" s="24" t="inlineStr">
        <is>
          <t>G2 Esports</t>
        </is>
      </c>
      <c r="G164" s="24" t="inlineStr">
        <is>
          <t>T1</t>
        </is>
      </c>
      <c r="H164" s="24" t="inlineStr">
        <is>
          <t>total</t>
        </is>
      </c>
      <c r="I164" s="24" t="inlineStr">
        <is>
          <t>under</t>
        </is>
      </c>
      <c r="J164" s="25" t="n">
        <v>2.5</v>
      </c>
      <c r="K164" s="24" t="inlineStr">
        <is>
          <t>polymarket_us</t>
        </is>
      </c>
      <c r="L164" s="26" t="n">
        <v>-127</v>
      </c>
      <c r="M164" s="27" t="n">
        <v>1.787402</v>
      </c>
      <c r="N164" s="28" t="n">
        <v>0.5594710000000001</v>
      </c>
      <c r="O164" s="28" t="n">
        <v>0.500179</v>
      </c>
      <c r="P164" s="28" t="n"/>
      <c r="Q164" s="28" t="n">
        <v>-0.059292</v>
      </c>
      <c r="R164" s="26" t="n">
        <v>0</v>
      </c>
      <c r="S164" s="29" t="n">
        <v>1</v>
      </c>
      <c r="T164" s="24" t="inlineStr">
        <is>
          <t>valorant-total-tiered-elo-v6</t>
        </is>
      </c>
      <c r="U164" s="24" t="inlineStr">
        <is>
          <t>settled</t>
        </is>
      </c>
      <c r="V164" s="24" t="inlineStr">
        <is>
          <t>loss</t>
        </is>
      </c>
      <c r="W164" s="26" t="n">
        <v>1</v>
      </c>
      <c r="X164" s="26" t="n">
        <v>2</v>
      </c>
      <c r="Y164" s="25" t="n"/>
      <c r="Z164" s="26" t="n"/>
      <c r="AA164" s="28" t="n"/>
      <c r="AB164" s="28" t="n"/>
      <c r="AC164" s="30" t="n">
        <v>-1</v>
      </c>
      <c r="AD164" s="24" t="inlineStr">
        <is>
          <t>2026-10-11T16:03:47.008538Z</t>
        </is>
      </c>
      <c r="AE164" s="31" t="inlineStr">
        <is>
          <t>Neutral Elo baseline; executable ask 0.5600 (market_slug=tsc-valorant-t1-g2-2026-10-11-tot-2pt5).</t>
        </is>
      </c>
      <c r="AF164" s="31" t="inlineStr">
        <is>
          <t>Config-promoted esports baseline; gates enforced at log time.</t>
        </is>
      </c>
      <c r="AG164" s="24" t="inlineStr">
        <is>
          <t>review_required</t>
        </is>
      </c>
      <c r="AH164" s="24" t="n"/>
      <c r="AI164" s="31" t="n"/>
      <c r="AJ164" s="31" t="n"/>
      <c r="AK164" s="24" t="inlineStr">
        <is>
          <t>paper_call</t>
        </is>
      </c>
      <c r="AL164" s="26" t="n">
        <v>4</v>
      </c>
      <c r="AM164" s="24" t="inlineStr">
        <is>
          <t>RESEARCH_OBSERVATION</t>
        </is>
      </c>
      <c r="AN164" s="24" t="inlineStr">
        <is>
          <t>CALL</t>
        </is>
      </c>
      <c r="AO164" s="24" t="inlineStr">
        <is>
          <t>PAPER_CALL_LOW_EDGE</t>
        </is>
      </c>
      <c r="AP164" s="24" t="inlineStr">
        <is>
          <t>G2 Esports</t>
        </is>
      </c>
      <c r="AQ164" s="24" t="inlineStr">
        <is>
          <t>G2 Esports</t>
        </is>
      </c>
      <c r="AR164" s="24" t="inlineStr">
        <is>
          <t>G2 Esports</t>
        </is>
      </c>
      <c r="AS164" s="24" t="inlineStr">
        <is>
          <t>T1</t>
        </is>
      </c>
      <c r="AT164" s="24" t="inlineStr">
        <is>
          <t>T1</t>
        </is>
      </c>
      <c r="AU164" s="24" t="inlineStr">
        <is>
          <t>T1</t>
        </is>
      </c>
      <c r="AV164" s="24" t="n"/>
      <c r="AW164" s="24" t="n"/>
      <c r="AX164" s="24" t="inlineStr">
        <is>
          <t>statistical_model</t>
        </is>
      </c>
      <c r="AY164" s="24" t="n"/>
      <c r="AZ164" s="24" t="inlineStr">
        <is>
          <t>shadow_qualified</t>
        </is>
      </c>
      <c r="BA164" s="24" t="inlineStr">
        <is>
          <t>13167e59620ddef10ebfa0d7d26db74a15baccaf70ae2fbdc1a1fe7f57e95d69</t>
        </is>
      </c>
      <c r="BB164" s="24" t="inlineStr">
        <is>
          <t>neutral_elo</t>
        </is>
      </c>
      <c r="BC164" s="24" t="inlineStr">
        <is>
          <t>valorant-total-tiered-elo-v6</t>
        </is>
      </c>
      <c r="BD164" s="24" t="inlineStr">
        <is>
          <t>13167e59620ddef10ebfa0d7d26db74a15baccaf70ae2fbdc1a1fe7f57e95d69</t>
        </is>
      </c>
      <c r="BE164" s="24" t="inlineStr">
        <is>
          <t>1</t>
        </is>
      </c>
      <c r="BF164" s="24" t="inlineStr">
        <is>
          <t>1</t>
        </is>
      </c>
      <c r="BG164" s="24" t="inlineStr">
        <is>
          <t>valorant-total-tiered-elo-v6</t>
        </is>
      </c>
      <c r="BH164" s="24" t="inlineStr">
        <is>
          <t>2026-10-11T07:27:11.838532Z</t>
        </is>
      </c>
      <c r="BI164" s="24" t="inlineStr">
        <is>
          <t>["same_event","same_team_same_day","same_league_same_day"]</t>
        </is>
      </c>
      <c r="BJ164" s="25" t="n">
        <v>2.5</v>
      </c>
      <c r="BK164" s="26" t="n">
        <v>-127</v>
      </c>
      <c r="BL164" s="27" t="n">
        <v>1.787402</v>
      </c>
      <c r="BM164" s="28" t="n">
        <v>0.5594710000000001</v>
      </c>
      <c r="BN164" s="28" t="n"/>
      <c r="BO164" s="28" t="n"/>
      <c r="BP164" s="25" t="n"/>
      <c r="BQ164" s="27" t="n"/>
      <c r="BR164" s="28" t="n"/>
      <c r="BS164" s="28" t="n"/>
      <c r="BT164" s="28" t="n"/>
      <c r="BU164" s="25" t="n"/>
      <c r="BV164" s="29" t="n"/>
      <c r="BW164" s="24" t="n"/>
      <c r="BX164" s="30" t="n"/>
      <c r="BY164" s="27" t="n"/>
      <c r="BZ164" s="24" t="n"/>
      <c r="CA164" s="31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24" t="n"/>
      <c r="CN164" s="24" t="n"/>
      <c r="CO164" s="24" t="n"/>
      <c r="CP164" s="24" t="n"/>
      <c r="CQ164" s="24" t="n"/>
      <c r="CR164" s="24" t="n"/>
      <c r="CS164" s="24" t="inlineStr">
        <is>
          <t>False</t>
        </is>
      </c>
      <c r="CT164" s="24" t="n"/>
      <c r="CU164" s="24" t="n"/>
      <c r="CV164" s="24" t="n"/>
      <c r="CW164" s="24" t="n"/>
      <c r="CX164" s="24" t="n"/>
      <c r="CY164" s="24" t="n"/>
      <c r="CZ164" s="24" t="n"/>
      <c r="DA164" s="24" t="n"/>
      <c r="DB164" s="24" t="n"/>
      <c r="DC164" s="24" t="n"/>
      <c r="DD164" s="24" t="n"/>
      <c r="DE164" s="24" t="n"/>
      <c r="DF164" s="24" t="n"/>
      <c r="DG164" s="24" t="n"/>
      <c r="DH164" s="24" t="n"/>
      <c r="DI164" s="24" t="n"/>
      <c r="DJ164" s="24" t="n"/>
      <c r="DK164" s="24" t="n"/>
      <c r="DL164" s="24" t="n"/>
      <c r="DM164" s="24" t="n"/>
      <c r="DN164" s="24" t="n"/>
      <c r="DO164" s="24" t="n"/>
      <c r="DP164" s="24" t="n"/>
      <c r="DQ164" s="24" t="n"/>
    </row>
    <row r="165" ht="36" customHeight="1">
      <c r="A165" s="24" t="inlineStr">
        <is>
          <t>c4f250cc64a64efe</t>
        </is>
      </c>
      <c r="B165" s="24" t="inlineStr">
        <is>
          <t>2026-10-11T07:27:54.158997Z</t>
        </is>
      </c>
      <c r="C165" s="24" t="inlineStr">
        <is>
          <t>2026-10-11T12:00:00Z</t>
        </is>
      </c>
      <c r="D165" s="24" t="inlineStr">
        <is>
          <t>152776</t>
        </is>
      </c>
      <c r="E165" s="24" t="inlineStr">
        <is>
          <t>VALORANT</t>
        </is>
      </c>
      <c r="F165" s="24" t="inlineStr">
        <is>
          <t>G2 Esports</t>
        </is>
      </c>
      <c r="G165" s="24" t="inlineStr">
        <is>
          <t>T1</t>
        </is>
      </c>
      <c r="H165" s="24" t="inlineStr">
        <is>
          <t>moneyline</t>
        </is>
      </c>
      <c r="I165" s="24" t="inlineStr">
        <is>
          <t>home</t>
        </is>
      </c>
      <c r="J165" s="25" t="n"/>
      <c r="K165" s="24" t="inlineStr">
        <is>
          <t>polymarket_us</t>
        </is>
      </c>
      <c r="L165" s="26" t="n">
        <v>156</v>
      </c>
      <c r="M165" s="27" t="n">
        <v>2.56</v>
      </c>
      <c r="N165" s="28" t="n">
        <v>0.390625</v>
      </c>
      <c r="O165" s="28" t="n">
        <v>0.514196</v>
      </c>
      <c r="P165" s="28" t="n"/>
      <c r="Q165" s="28" t="n">
        <v>0.123571</v>
      </c>
      <c r="R165" s="26" t="n">
        <v>82</v>
      </c>
      <c r="S165" s="29" t="n">
        <v>1.5</v>
      </c>
      <c r="T165" s="24" t="inlineStr">
        <is>
          <t>valorant-tiered-elo-v6</t>
        </is>
      </c>
      <c r="U165" s="24" t="inlineStr">
        <is>
          <t>settled</t>
        </is>
      </c>
      <c r="V165" s="24" t="inlineStr">
        <is>
          <t>loss</t>
        </is>
      </c>
      <c r="W165" s="26" t="n">
        <v>1</v>
      </c>
      <c r="X165" s="26" t="n">
        <v>0</v>
      </c>
      <c r="Y165" s="25" t="n"/>
      <c r="Z165" s="26" t="n">
        <v>156</v>
      </c>
      <c r="AA165" s="28" t="n">
        <v>0.39</v>
      </c>
      <c r="AB165" s="28" t="n">
        <v>-0.000625</v>
      </c>
      <c r="AC165" s="30" t="n">
        <v>-1.5</v>
      </c>
      <c r="AD165" s="24" t="inlineStr">
        <is>
          <t>2026-10-11T16:03:48.300822Z</t>
        </is>
      </c>
      <c r="AE165" s="31" t="inlineStr">
        <is>
          <t>Neutral Elo baseline; executable ask 0.3900 (market_slug=aec-valorant-t1-g2-2026-10-11).</t>
        </is>
      </c>
      <c r="AF165" s="31" t="inlineStr">
        <is>
          <t>Config-promoted esports baseline; gates enforced at log time.</t>
        </is>
      </c>
      <c r="AG165" s="24" t="inlineStr">
        <is>
          <t>review_required</t>
        </is>
      </c>
      <c r="AH165" s="24" t="n"/>
      <c r="AI165" s="31" t="n"/>
      <c r="AJ165" s="31" t="n"/>
      <c r="AK165" s="24" t="inlineStr">
        <is>
          <t>model_qualified</t>
        </is>
      </c>
      <c r="AL165" s="26" t="n">
        <v>4</v>
      </c>
      <c r="AM165" s="24" t="inlineStr">
        <is>
          <t>QUALIFIED_SHADOW_CALL</t>
        </is>
      </c>
      <c r="AN165" s="24" t="inlineStr">
        <is>
          <t>CALL</t>
        </is>
      </c>
      <c r="AO165" s="24" t="inlineStr">
        <is>
          <t>QUALIFIED</t>
        </is>
      </c>
      <c r="AP165" s="24" t="inlineStr">
        <is>
          <t>G2 Esports</t>
        </is>
      </c>
      <c r="AQ165" s="24" t="inlineStr">
        <is>
          <t>G2 Esports</t>
        </is>
      </c>
      <c r="AR165" s="24" t="inlineStr">
        <is>
          <t>G2 Esports</t>
        </is>
      </c>
      <c r="AS165" s="24" t="inlineStr">
        <is>
          <t>T1</t>
        </is>
      </c>
      <c r="AT165" s="24" t="inlineStr">
        <is>
          <t>T1</t>
        </is>
      </c>
      <c r="AU165" s="24" t="inlineStr">
        <is>
          <t>T1</t>
        </is>
      </c>
      <c r="AV165" s="24" t="n"/>
      <c r="AW165" s="24" t="n"/>
      <c r="AX165" s="24" t="inlineStr">
        <is>
          <t>statistical_model</t>
        </is>
      </c>
      <c r="AY165" s="24" t="n"/>
      <c r="AZ165" s="24" t="inlineStr">
        <is>
          <t>shadow_qualified</t>
        </is>
      </c>
      <c r="BA165" s="24" t="inlineStr">
        <is>
          <t>13167e59620ddef10ebfa0d7d26db74a15baccaf70ae2fbdc1a1fe7f57e95d69</t>
        </is>
      </c>
      <c r="BB165" s="24" t="inlineStr">
        <is>
          <t>neutral_elo</t>
        </is>
      </c>
      <c r="BC165" s="24" t="inlineStr">
        <is>
          <t>valorant-tiered-elo-v6</t>
        </is>
      </c>
      <c r="BD165" s="24" t="inlineStr">
        <is>
          <t>13167e59620ddef10ebfa0d7d26db74a15baccaf70ae2fbdc1a1fe7f57e95d69</t>
        </is>
      </c>
      <c r="BE165" s="24" t="inlineStr">
        <is>
          <t>1</t>
        </is>
      </c>
      <c r="BF165" s="24" t="inlineStr">
        <is>
          <t>1</t>
        </is>
      </c>
      <c r="BG165" s="24" t="inlineStr">
        <is>
          <t>valorant-tiered-elo-v6</t>
        </is>
      </c>
      <c r="BH165" s="24" t="inlineStr">
        <is>
          <t>2026-10-11T07:27:21.974126Z</t>
        </is>
      </c>
      <c r="BI165" s="24" t="inlineStr">
        <is>
          <t>["same_event","same_team_same_day","same_league_same_day"]</t>
        </is>
      </c>
      <c r="BJ165" s="25" t="n"/>
      <c r="BK165" s="26" t="n">
        <v>156</v>
      </c>
      <c r="BL165" s="27" t="n">
        <v>2.56</v>
      </c>
      <c r="BM165" s="28" t="n">
        <v>0.390625</v>
      </c>
      <c r="BN165" s="28" t="n"/>
      <c r="BO165" s="28" t="n"/>
      <c r="BP165" s="25" t="n"/>
      <c r="BQ165" s="27" t="n">
        <v>2.56</v>
      </c>
      <c r="BR165" s="28" t="n">
        <v>0.39</v>
      </c>
      <c r="BS165" s="28" t="n"/>
      <c r="BT165" s="28" t="n"/>
      <c r="BU165" s="25" t="n"/>
      <c r="BV165" s="29" t="n"/>
      <c r="BW165" s="24" t="n"/>
      <c r="BX165" s="30" t="n"/>
      <c r="BY165" s="27" t="n"/>
      <c r="BZ165" s="24" t="n"/>
      <c r="CA165" s="31" t="n"/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24" t="n"/>
      <c r="CN165" s="24" t="n"/>
      <c r="CO165" s="24" t="n"/>
      <c r="CP165" s="24" t="n"/>
      <c r="CQ165" s="24" t="n"/>
      <c r="CR165" s="24" t="n"/>
      <c r="CS165" s="24" t="inlineStr">
        <is>
          <t>True</t>
        </is>
      </c>
      <c r="CT165" s="24" t="n"/>
      <c r="CU165" s="24" t="n"/>
      <c r="CV165" s="24" t="n"/>
      <c r="CW165" s="24" t="n"/>
      <c r="CX165" s="24" t="n"/>
      <c r="CY165" s="24" t="n"/>
      <c r="CZ165" s="24" t="n"/>
      <c r="DA165" s="24" t="n"/>
      <c r="DB165" s="24" t="n"/>
      <c r="DC165" s="24" t="n"/>
      <c r="DD165" s="24" t="n"/>
      <c r="DE165" s="24" t="n"/>
      <c r="DF165" s="24" t="n"/>
      <c r="DG165" s="24" t="n"/>
      <c r="DH165" s="24" t="n"/>
      <c r="DI165" s="24" t="n"/>
      <c r="DJ165" s="24" t="n"/>
      <c r="DK165" s="24" t="n"/>
      <c r="DL165" s="24" t="n"/>
      <c r="DM165" s="24" t="n"/>
      <c r="DN165" s="24" t="n"/>
      <c r="DO165" s="24" t="n"/>
      <c r="DP165" s="24" t="n"/>
      <c r="DQ165" s="24" t="inlineStr">
        <is>
          <t>{"artifact_hash": "13167e59620ddef10ebfa0d7d26db74a15baccaf70ae2fbdc1a1fe7f57e95d69", "away_team": "G2 Esports", "event_id": "152776", "event_start_utc": "2026-10-11T12:00:00Z", "features": {"away_elo": 1909.110814, "away_history_count": 168, "home_elo": 1902.071006, "home_history_count": 139}, "historical_source_observation_times_verified": false, "home_team": "T1", "inference_inputs": {"book_state": {"games_played": {"bo3:2:7283": 139, "bo3:2:7323": 168}, "inactivity_half_life_days": null, "inactivity_max_pull": null, "k": 64.0, "last_match_utc": {"bo3:2:7283": "2026-10-09T09:00:00Z", "bo3:2:7323": "2026-10-10T12:00:00Z"}, "minimum_reliable_games": null, "platt_intercept": 0.11616902206451739, "platt_slope": 0.770524736739285, "ratings": {"bo3:2:7283": 1902.071006, "bo3:2:7323": 1909.110814},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"2026-10-11T07:25:19.097996+00:00", "team_ids": ["bo3:2:7283", "bo3:2:7323"]}, "market_type": "moneyline", "model_version": "valorant-tiered-elo-v6", "observed_at_utc": "2026-10-11T07:25:19.097996+00:00", "probabilities": {"away": 0.485804, "home": 0.514196}, "replay_scope": "Exact serving book state, calibration, temperature, inactivity reference and thin-history adjustments; training provenance not certified.", "schema": "esports-elo-replay-v1", "snapshot_hash": "12456a453c6b5fc9e98e1e810c65fcff9a22e6971ab0a9f9d03a32489d4ba668", "sport": "VALORANT"}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2026-10-11T16:03:48Z</dcterms:created>
  <dcterms:modified xmlns:dcterms="http://purl.org/dc/terms/" xmlns:xsi="http://www.w3.org/2001/XMLSchema-instance" xsi:type="dcterms:W3CDTF">2026-10-11T16:03:48Z</dcterms:modified>
</cp:coreProperties>
</file>