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color rgb="001F2937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167" fontId="1" fillId="6" borderId="0" applyAlignment="1" pivotButton="0" quotePrefix="0" xfId="0">
      <alignment horizontal="right"/>
    </xf>
    <xf numFmtId="166" fontId="1" fillId="6" borderId="0" applyAlignment="1" pivotButton="0" quotePrefix="0" xfId="0">
      <alignment horizontal="right"/>
    </xf>
    <xf numFmtId="10" fontId="1" fillId="6" borderId="0" applyAlignment="1" pivotButton="0" quotePrefix="0" xfId="0">
      <alignment horizontal="right"/>
    </xf>
    <xf numFmtId="0" fontId="1" fillId="7" borderId="0" applyAlignment="1" pivotButton="0" quotePrefix="0" xfId="0">
      <alignment horizontal="left"/>
    </xf>
    <xf numFmtId="0" fontId="1" fillId="7" borderId="0" applyAlignment="1" pivotButton="0" quotePrefix="0" xfId="0">
      <alignment horizontal="right"/>
    </xf>
    <xf numFmtId="167" fontId="1" fillId="7" borderId="0" applyAlignment="1" pivotButton="0" quotePrefix="0" xfId="0">
      <alignment horizontal="right"/>
    </xf>
    <xf numFmtId="166" fontId="1" fillId="7" borderId="0" applyAlignment="1" pivotButton="0" quotePrefix="0" xfId="0">
      <alignment horizontal="right"/>
    </xf>
    <xf numFmtId="10" fontId="1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left" vertical="top"/>
    </xf>
    <xf numFmtId="164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65" fontId="1" fillId="0" borderId="0" applyAlignment="1" pivotButton="0" quotePrefix="0" xfId="0">
      <alignment horizontal="right" vertical="top"/>
    </xf>
    <xf numFmtId="10" fontId="1" fillId="0" borderId="0" applyAlignment="1" pivotButton="0" quotePrefix="0" xfId="0">
      <alignment horizontal="right" vertical="top"/>
    </xf>
    <xf numFmtId="2" fontId="1" fillId="0" borderId="0" applyAlignment="1" pivotButton="0" quotePrefix="0" xfId="0">
      <alignment horizontal="right" vertical="top"/>
    </xf>
    <xf numFmtId="166" fontId="1" fillId="0" borderId="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Q167" headerRowCount="1">
  <autoFilter ref="A1:DQ167"/>
  <tableColumns count="12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  <tableColumn id="121" name="model_input_snapshot_j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COUNTA('Picks'!$A$2:$A$167)</f>
        <v/>
      </c>
      <c r="C4" s="6">
        <f>COUNTIF('Picks'!$U$2:$U$167,"open")</f>
        <v/>
      </c>
      <c r="E4" s="6">
        <f>COUNTIF('Picks'!$U$2:$U$167,"settled")</f>
        <v/>
      </c>
      <c r="G4" s="6">
        <f>IF(COUNTIFS('Picks'!$U$2:$U$167,"settled",'Picks'!$V$2:$V$167,"win")+COUNTIFS('Picks'!$U$2:$U$167,"settled",'Picks'!$V$2:$V$167,"loss")&gt;=$L$2,"Ready","Insufficient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COUNTIF('Picks'!$BX$2:$BX$167,"&gt;0")</f>
        <v/>
      </c>
      <c r="C7" s="6">
        <f>COUNTIFS('Picks'!$BX$2:$BX$167,"&gt;0",'Picks'!$V$2:$V$167,"win")&amp;"-"&amp;COUNTIFS('Picks'!$BX$2:$BX$167,"&gt;0",'Picks'!$V$2:$V$167,"loss")</f>
        <v/>
      </c>
      <c r="E7" s="7">
        <f>IFERROR(COUNTIFS('Picks'!$BX$2:$BX$167,"&gt;0",'Picks'!$V$2:$V$167,"win")/(COUNTIFS('Picks'!$BX$2:$BX$167,"&gt;0",'Picks'!$V$2:$V$167,"win")+COUNTIFS('Picks'!$BX$2:$BX$167,"&gt;0",'Picks'!$V$2:$V$167,"loss")),0)</f>
        <v/>
      </c>
      <c r="G7" s="7">
        <f>IFERROR(SUM('Picks'!$BY$2:$BY$167)/SUM('Picks'!$BX$2:$BX$167),0)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SUM('Picks'!$BY$2:$BY$167)</f>
        <v/>
      </c>
      <c r="C10" s="9">
        <f>IFERROR(AVERAGEIF('Picks'!$AB$2:$AB$167,"&lt;&gt;",'Picks'!$AB$2:$AB$167),0)</f>
        <v/>
      </c>
      <c r="E10" s="6">
        <f>COUNTIFS('Picks'!$AM$2:$AM$167,"QUALIFIED_SHADOW_CALL",'Picks'!$U$2:$U$167,"settled")</f>
        <v/>
      </c>
      <c r="G10" s="8">
        <f>SUMIFS('Picks'!$AC$2:$AC$167,'Picks'!$AM$2:$AM$167,"QUALIFIED_SHADOW_CALL")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COUNTIFS('Picks'!$H$2:$H$167,$A14,'Picks'!$U$2:$U$167,"settled")</f>
        <v/>
      </c>
      <c r="C14" s="13">
        <f>COUNTIFS('Picks'!$H$2:$H$167,$A14,'Picks'!$U$2:$U$167,"settled",'Picks'!$V$2:$V$167,"win")</f>
        <v/>
      </c>
      <c r="D14" s="13">
        <f>COUNTIFS('Picks'!$H$2:$H$167,$A14,'Picks'!$U$2:$U$167,"settled",'Picks'!$V$2:$V$167,"loss")</f>
        <v/>
      </c>
      <c r="E14" s="14">
        <f>IFERROR(C14/(C14+D14),0)</f>
        <v/>
      </c>
      <c r="F14" s="15">
        <f>SUMIFS('Picks'!$BY$2:$BY$167,'Picks'!$H$2:$H$167,$A14)</f>
        <v/>
      </c>
      <c r="G14" s="16">
        <f>IFERROR(AVERAGEIFS('Picks'!$AB$2:$AB$167,'Picks'!$H$2:$H$167,$A14,'Picks'!$U$2:$U$167,"settled"),0)</f>
        <v/>
      </c>
    </row>
    <row r="15">
      <c r="A15" s="17" t="inlineStr">
        <is>
          <t>spread</t>
        </is>
      </c>
      <c r="B15" s="18">
        <f>COUNTIFS('Picks'!$H$2:$H$167,$A15,'Picks'!$U$2:$U$167,"settled")</f>
        <v/>
      </c>
      <c r="C15" s="18">
        <f>COUNTIFS('Picks'!$H$2:$H$167,$A15,'Picks'!$U$2:$U$167,"settled",'Picks'!$V$2:$V$167,"win")</f>
        <v/>
      </c>
      <c r="D15" s="18">
        <f>COUNTIFS('Picks'!$H$2:$H$167,$A15,'Picks'!$U$2:$U$167,"settled",'Picks'!$V$2:$V$167,"loss")</f>
        <v/>
      </c>
      <c r="E15" s="19">
        <f>IFERROR(C15/(C15+D15),0)</f>
        <v/>
      </c>
      <c r="F15" s="20">
        <f>SUMIFS('Picks'!$BY$2:$BY$167,'Picks'!$H$2:$H$167,$A15)</f>
        <v/>
      </c>
      <c r="G15" s="21">
        <f>IFERROR(AVERAGEIFS('Picks'!$AB$2:$AB$167,'Picks'!$H$2:$H$167,$A15,'Picks'!$U$2:$U$167,"settled"),0)</f>
        <v/>
      </c>
    </row>
    <row r="16">
      <c r="A16" s="12" t="inlineStr">
        <is>
          <t>total</t>
        </is>
      </c>
      <c r="B16" s="13">
        <f>COUNTIFS('Picks'!$H$2:$H$167,$A16,'Picks'!$U$2:$U$167,"settled")</f>
        <v/>
      </c>
      <c r="C16" s="13">
        <f>COUNTIFS('Picks'!$H$2:$H$167,$A16,'Picks'!$U$2:$U$167,"settled",'Picks'!$V$2:$V$167,"win")</f>
        <v/>
      </c>
      <c r="D16" s="13">
        <f>COUNTIFS('Picks'!$H$2:$H$167,$A16,'Picks'!$U$2:$U$167,"settled",'Picks'!$V$2:$V$167,"loss")</f>
        <v/>
      </c>
      <c r="E16" s="14">
        <f>IFERROR(C16/(C16+D16),0)</f>
        <v/>
      </c>
      <c r="F16" s="15">
        <f>SUMIFS('Picks'!$BY$2:$BY$167,'Picks'!$H$2:$H$167,$A16)</f>
        <v/>
      </c>
      <c r="G16" s="16">
        <f>IFERROR(AVERAGEIFS('Picks'!$AB$2:$AB$167,'Picks'!$H$2:$H$167,$A16,'Picks'!$U$2:$U$167,"settled"),0)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Q1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  <col width="22" customWidth="1" min="121" max="12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  <c r="DQ1" s="23" t="inlineStr">
        <is>
          <t>model_input_snapshot_json</t>
        </is>
      </c>
    </row>
    <row r="2" ht="36" customHeight="1">
      <c r="A2" s="24" t="inlineStr">
        <is>
          <t>6b298622637b4852</t>
        </is>
      </c>
      <c r="B2" s="24" t="inlineStr">
        <is>
          <t>2026-08-02T08:20:39.643741Z</t>
        </is>
      </c>
      <c r="C2" s="24" t="inlineStr">
        <is>
          <t>2026-08-02T09:00:00Z</t>
        </is>
      </c>
      <c r="D2" s="24" t="inlineStr">
        <is>
          <t>66820</t>
        </is>
      </c>
      <c r="E2" s="24" t="inlineStr">
        <is>
          <t>KBO</t>
        </is>
      </c>
      <c r="F2" s="24" t="inlineStr">
        <is>
          <t>LG Twins</t>
        </is>
      </c>
      <c r="G2" s="24" t="inlineStr">
        <is>
          <t>Doosan Bears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113</v>
      </c>
      <c r="M2" s="27" t="n">
        <v>2.13</v>
      </c>
      <c r="N2" s="28" t="n">
        <v>0.469484</v>
      </c>
      <c r="O2" s="28" t="n">
        <v>0.537313</v>
      </c>
      <c r="P2" s="28" t="n"/>
      <c r="Q2" s="28" t="n">
        <v>0.067829</v>
      </c>
      <c r="R2" s="26" t="n">
        <v>54</v>
      </c>
      <c r="S2" s="29" t="n">
        <v>1</v>
      </c>
      <c r="T2" s="24" t="inlineStr">
        <is>
          <t>kbo-tie-aware-elo-v2</t>
        </is>
      </c>
      <c r="U2" s="24" t="inlineStr">
        <is>
          <t>settled</t>
        </is>
      </c>
      <c r="V2" s="24" t="inlineStr">
        <is>
          <t>win</t>
        </is>
      </c>
      <c r="W2" s="26" t="n">
        <v>3</v>
      </c>
      <c r="X2" s="26" t="n">
        <v>8</v>
      </c>
      <c r="Y2" s="25" t="n"/>
      <c r="Z2" s="26" t="n"/>
      <c r="AA2" s="28" t="n"/>
      <c r="AB2" s="28" t="n"/>
      <c r="AC2" s="30" t="n">
        <v>1.13</v>
      </c>
      <c r="AD2" s="24" t="inlineStr">
        <is>
          <t>2026-08-02T09:53:25.994801Z</t>
        </is>
      </c>
      <c r="AE2" s="31" t="inlineStr">
        <is>
          <t>Tie-aware Elo baseline; executable ask 0.4700 (market_slug=aec-kbo-dbo-ltg-2026-08-02). Tie probability=0.0329.</t>
        </is>
      </c>
      <c r="AF2" s="31" t="inlineStr">
        <is>
          <t>Config-promoted international baseball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LG Twins</t>
        </is>
      </c>
      <c r="AQ2" s="24" t="inlineStr">
        <is>
          <t>LG Twins</t>
        </is>
      </c>
      <c r="AR2" s="24" t="inlineStr">
        <is>
          <t>LG Twins</t>
        </is>
      </c>
      <c r="AS2" s="24" t="inlineStr">
        <is>
          <t>Doosan Bears</t>
        </is>
      </c>
      <c r="AT2" s="24" t="inlineStr">
        <is>
          <t>Doosan Bears</t>
        </is>
      </c>
      <c r="AU2" s="24" t="inlineStr">
        <is>
          <t>Doosan Bears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9ed13cfd8d860b2670f938484c3c659d864654d10d93ca38480a7e8d77633502</t>
        </is>
      </c>
      <c r="BB2" s="24" t="inlineStr">
        <is>
          <t>tie_aware_elo</t>
        </is>
      </c>
      <c r="BC2" s="24" t="inlineStr">
        <is>
          <t>kbo-tie-aware-elo-v2</t>
        </is>
      </c>
      <c r="BD2" s="24" t="inlineStr">
        <is>
          <t>9ed13cfd8d860b2670f938484c3c659d864654d10d93ca38480a7e8d77633502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kbo-tie-aware-elo-v2</t>
        </is>
      </c>
      <c r="BH2" s="24" t="inlineStr">
        <is>
          <t>2026-08-02T08:20:38.172250Z</t>
        </is>
      </c>
      <c r="BI2" s="24" t="inlineStr">
        <is>
          <t>["same_event","same_team_same_day","same_league_same_day"]</t>
        </is>
      </c>
      <c r="BJ2" s="25" t="n"/>
      <c r="BK2" s="26" t="n">
        <v>113</v>
      </c>
      <c r="BL2" s="27" t="n">
        <v>2.13</v>
      </c>
      <c r="BM2" s="28" t="n">
        <v>0.469484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inlineStr">
        <is>
          <t>0.469484</t>
        </is>
      </c>
      <c r="DK2" s="24" t="n"/>
      <c r="DL2" s="24" t="n"/>
      <c r="DM2" s="24" t="n"/>
      <c r="DN2" s="24" t="n"/>
      <c r="DO2" s="24" t="n"/>
      <c r="DP2" s="24" t="n"/>
      <c r="DQ2" s="24" t="n"/>
    </row>
    <row r="3" ht="36" customHeight="1">
      <c r="A3" s="24" t="inlineStr">
        <is>
          <t>a18447f9f3764884</t>
        </is>
      </c>
      <c r="B3" s="24" t="inlineStr">
        <is>
          <t>2026-08-02T08:20:39.643741Z</t>
        </is>
      </c>
      <c r="C3" s="24" t="inlineStr">
        <is>
          <t>2026-08-02T09:00:00Z</t>
        </is>
      </c>
      <c r="D3" s="24" t="inlineStr">
        <is>
          <t>66821</t>
        </is>
      </c>
      <c r="E3" s="24" t="inlineStr">
        <is>
          <t>KBO</t>
        </is>
      </c>
      <c r="F3" s="24" t="inlineStr">
        <is>
          <t>Samsung Lions</t>
        </is>
      </c>
      <c r="G3" s="24" t="inlineStr">
        <is>
          <t>Lotte Giants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-150</v>
      </c>
      <c r="M3" s="27" t="n">
        <v>1.666667</v>
      </c>
      <c r="N3" s="28" t="n">
        <v>0.6</v>
      </c>
      <c r="O3" s="28" t="n">
        <v>0.571761</v>
      </c>
      <c r="P3" s="28" t="n"/>
      <c r="Q3" s="28" t="n">
        <v>-0.028239</v>
      </c>
      <c r="R3" s="26" t="n">
        <v>6</v>
      </c>
      <c r="S3" s="29" t="n">
        <v>1.25</v>
      </c>
      <c r="T3" s="24" t="inlineStr">
        <is>
          <t>kbo-tie-aware-elo-v2</t>
        </is>
      </c>
      <c r="U3" s="24" t="inlineStr">
        <is>
          <t>settled</t>
        </is>
      </c>
      <c r="V3" s="24" t="inlineStr">
        <is>
          <t>loss</t>
        </is>
      </c>
      <c r="W3" s="26" t="n">
        <v>7</v>
      </c>
      <c r="X3" s="26" t="n">
        <v>10</v>
      </c>
      <c r="Y3" s="25" t="n"/>
      <c r="Z3" s="26" t="n"/>
      <c r="AA3" s="28" t="n"/>
      <c r="AB3" s="28" t="n"/>
      <c r="AC3" s="30" t="n">
        <v>-1.25</v>
      </c>
      <c r="AD3" s="24" t="inlineStr">
        <is>
          <t>2026-08-02T09:53:31.723233Z</t>
        </is>
      </c>
      <c r="AE3" s="31" t="inlineStr">
        <is>
          <t>Tie-aware Elo baseline; executable ask 0.6000 (market_slug=aec-kbo-lgo-sla-2026-08-02). Tie probability=0.0299.</t>
        </is>
      </c>
      <c r="AF3" s="31" t="inlineStr">
        <is>
          <t>Config-promoted international baseball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paper_call</t>
        </is>
      </c>
      <c r="AL3" s="26" t="n">
        <v>3</v>
      </c>
      <c r="AM3" s="24" t="inlineStr">
        <is>
          <t>RESEARCH_OBSERVATION</t>
        </is>
      </c>
      <c r="AN3" s="24" t="inlineStr">
        <is>
          <t>CALL</t>
        </is>
      </c>
      <c r="AO3" s="24" t="inlineStr">
        <is>
          <t>PAPER_CALL_LOW_EDGE</t>
        </is>
      </c>
      <c r="AP3" s="24" t="inlineStr">
        <is>
          <t>Samsung Lions</t>
        </is>
      </c>
      <c r="AQ3" s="24" t="inlineStr">
        <is>
          <t>Samsung Lions</t>
        </is>
      </c>
      <c r="AR3" s="24" t="inlineStr">
        <is>
          <t>Samsung Lions</t>
        </is>
      </c>
      <c r="AS3" s="24" t="inlineStr">
        <is>
          <t>Lotte Giants</t>
        </is>
      </c>
      <c r="AT3" s="24" t="inlineStr">
        <is>
          <t>Lotte Giants</t>
        </is>
      </c>
      <c r="AU3" s="24" t="inlineStr">
        <is>
          <t>Lotte Giants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9ed13cfd8d860b2670f938484c3c659d864654d10d93ca38480a7e8d77633502</t>
        </is>
      </c>
      <c r="BB3" s="24" t="inlineStr">
        <is>
          <t>tie_aware_elo</t>
        </is>
      </c>
      <c r="BC3" s="24" t="inlineStr">
        <is>
          <t>kbo-tie-aware-elo-v2</t>
        </is>
      </c>
      <c r="BD3" s="24" t="inlineStr">
        <is>
          <t>9ed13cfd8d860b2670f938484c3c659d864654d10d93ca38480a7e8d77633502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kbo-tie-aware-elo-v2</t>
        </is>
      </c>
      <c r="BH3" s="24" t="inlineStr">
        <is>
          <t>2026-08-02T08:20:38.678859Z</t>
        </is>
      </c>
      <c r="BI3" s="24" t="inlineStr">
        <is>
          <t>["same_event","same_team_same_day","same_league_same_day"]</t>
        </is>
      </c>
      <c r="BJ3" s="25" t="n"/>
      <c r="BK3" s="26" t="n">
        <v>-150</v>
      </c>
      <c r="BL3" s="27" t="n">
        <v>1.666667</v>
      </c>
      <c r="BM3" s="28" t="n">
        <v>0.6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inlineStr">
        <is>
          <t>0.6</t>
        </is>
      </c>
      <c r="DK3" s="24" t="n"/>
      <c r="DL3" s="24" t="n"/>
      <c r="DM3" s="24" t="n"/>
      <c r="DN3" s="24" t="n"/>
      <c r="DO3" s="24" t="n"/>
      <c r="DP3" s="24" t="n"/>
      <c r="DQ3" s="24" t="n"/>
    </row>
    <row r="4" ht="36" customHeight="1">
      <c r="A4" s="24" t="inlineStr">
        <is>
          <t>9aae1bcd206c4cd9</t>
        </is>
      </c>
      <c r="B4" s="24" t="inlineStr">
        <is>
          <t>2026-08-02T08:20:39.643741Z</t>
        </is>
      </c>
      <c r="C4" s="24" t="inlineStr">
        <is>
          <t>2026-08-02T09:00:00Z</t>
        </is>
      </c>
      <c r="D4" s="24" t="inlineStr">
        <is>
          <t>66822</t>
        </is>
      </c>
      <c r="E4" s="24" t="inlineStr">
        <is>
          <t>KBO</t>
        </is>
      </c>
      <c r="F4" s="24" t="inlineStr">
        <is>
          <t>Kia Tigers</t>
        </is>
      </c>
      <c r="G4" s="24" t="inlineStr">
        <is>
          <t>NC Dinos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-156</v>
      </c>
      <c r="M4" s="27" t="n">
        <v>1.641026</v>
      </c>
      <c r="N4" s="28" t="n">
        <v>0.609375</v>
      </c>
      <c r="O4" s="28" t="n">
        <v>0.500454</v>
      </c>
      <c r="P4" s="28" t="n"/>
      <c r="Q4" s="28" t="n">
        <v>-0.108921</v>
      </c>
      <c r="R4" s="26" t="n">
        <v>0</v>
      </c>
      <c r="S4" s="29" t="n">
        <v>1</v>
      </c>
      <c r="T4" s="24" t="inlineStr">
        <is>
          <t>kbo-tie-aware-elo-v2</t>
        </is>
      </c>
      <c r="U4" s="24" t="inlineStr">
        <is>
          <t>settled</t>
        </is>
      </c>
      <c r="V4" s="24" t="inlineStr">
        <is>
          <t>push</t>
        </is>
      </c>
      <c r="W4" s="26" t="n"/>
      <c r="X4" s="26" t="n"/>
      <c r="Y4" s="25" t="n"/>
      <c r="Z4" s="26" t="n"/>
      <c r="AA4" s="28" t="n"/>
      <c r="AB4" s="28" t="n"/>
      <c r="AC4" s="30" t="n">
        <v>0</v>
      </c>
      <c r="AD4" s="24" t="inlineStr">
        <is>
          <t>2026-08-31T06:26:50.110813Z</t>
        </is>
      </c>
      <c r="AE4" s="31" t="inlineStr">
        <is>
          <t>Tie-aware Elo baseline; executable ask 0.6100 (market_slug=aec-kbo-ndc-kti-2026-08-02). Tie probability=0.0361.</t>
        </is>
      </c>
      <c r="AF4" s="31" t="inlineStr">
        <is>
          <t>Config-promoted international baseball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paper_call</t>
        </is>
      </c>
      <c r="AL4" s="26" t="n">
        <v>3</v>
      </c>
      <c r="AM4" s="24" t="inlineStr">
        <is>
          <t>RESEARCH_OBSERVATION</t>
        </is>
      </c>
      <c r="AN4" s="24" t="inlineStr">
        <is>
          <t>CALL</t>
        </is>
      </c>
      <c r="AO4" s="24" t="inlineStr">
        <is>
          <t>PAPER_CALL_LOW_EDGE</t>
        </is>
      </c>
      <c r="AP4" s="24" t="inlineStr">
        <is>
          <t>Kia Tigers</t>
        </is>
      </c>
      <c r="AQ4" s="24" t="inlineStr">
        <is>
          <t>Kia Tigers</t>
        </is>
      </c>
      <c r="AR4" s="24" t="inlineStr">
        <is>
          <t>Kia Tigers</t>
        </is>
      </c>
      <c r="AS4" s="24" t="inlineStr">
        <is>
          <t>NC Dinos</t>
        </is>
      </c>
      <c r="AT4" s="24" t="inlineStr">
        <is>
          <t>NC Dinos</t>
        </is>
      </c>
      <c r="AU4" s="24" t="inlineStr">
        <is>
          <t>NC Dinos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9ed13cfd8d860b2670f938484c3c659d864654d10d93ca38480a7e8d77633502</t>
        </is>
      </c>
      <c r="BB4" s="24" t="inlineStr">
        <is>
          <t>tie_aware_elo</t>
        </is>
      </c>
      <c r="BC4" s="24" t="inlineStr">
        <is>
          <t>kbo-tie-aware-elo-v2</t>
        </is>
      </c>
      <c r="BD4" s="24" t="inlineStr">
        <is>
          <t>9ed13cfd8d860b2670f938484c3c659d864654d10d93ca38480a7e8d77633502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kbo-tie-aware-elo-v2</t>
        </is>
      </c>
      <c r="BH4" s="24" t="inlineStr">
        <is>
          <t>2026-08-02T08:20:39.168704Z</t>
        </is>
      </c>
      <c r="BI4" s="24" t="inlineStr">
        <is>
          <t>["same_event","same_team_same_day","same_league_same_day"]</t>
        </is>
      </c>
      <c r="BJ4" s="25" t="n"/>
      <c r="BK4" s="26" t="n">
        <v>-156</v>
      </c>
      <c r="BL4" s="27" t="n">
        <v>1.641026</v>
      </c>
      <c r="BM4" s="28" t="n">
        <v>0.609375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inlineStr">
        <is>
          <t>voided 2026-08-31: game never played on its slate date -- the official KBO source still lists KIA @ NC on 2026-08-02 with no score (postponed; makeup games are replayed under a new game_id on a new date), so no result for this contract can ever exist and the row would stay open forever.</t>
        </is>
      </c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inlineStr">
        <is>
          <t>0.609375</t>
        </is>
      </c>
      <c r="DK4" s="24" t="n"/>
      <c r="DL4" s="24" t="n"/>
      <c r="DM4" s="24" t="n"/>
      <c r="DN4" s="24" t="n"/>
      <c r="DO4" s="24" t="n"/>
      <c r="DP4" s="24" t="n"/>
      <c r="DQ4" s="24" t="n"/>
    </row>
    <row r="5" ht="36" customHeight="1">
      <c r="A5" s="24" t="inlineStr">
        <is>
          <t>b812d36f9af4454f</t>
        </is>
      </c>
      <c r="B5" s="24" t="inlineStr">
        <is>
          <t>2026-08-02T08:20:39.643741Z</t>
        </is>
      </c>
      <c r="C5" s="24" t="inlineStr">
        <is>
          <t>2026-08-02T09:00:00Z</t>
        </is>
      </c>
      <c r="D5" s="24" t="inlineStr">
        <is>
          <t>66824</t>
        </is>
      </c>
      <c r="E5" s="24" t="inlineStr">
        <is>
          <t>KBO</t>
        </is>
      </c>
      <c r="F5" s="24" t="inlineStr">
        <is>
          <t>Hanwha Eagles</t>
        </is>
      </c>
      <c r="G5" s="24" t="inlineStr">
        <is>
          <t>KT Wiz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-104</v>
      </c>
      <c r="M5" s="27" t="n">
        <v>1.961538</v>
      </c>
      <c r="N5" s="28" t="n">
        <v>0.509804</v>
      </c>
      <c r="O5" s="28" t="n">
        <v>0.599423</v>
      </c>
      <c r="P5" s="28" t="n"/>
      <c r="Q5" s="28" t="n">
        <v>0.089619</v>
      </c>
      <c r="R5" s="26" t="n">
        <v>65</v>
      </c>
      <c r="S5" s="29" t="n">
        <v>1.25</v>
      </c>
      <c r="T5" s="24" t="inlineStr">
        <is>
          <t>kbo-tie-aware-elo-v2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12</v>
      </c>
      <c r="Y5" s="25" t="n"/>
      <c r="Z5" s="26" t="n"/>
      <c r="AA5" s="28" t="n"/>
      <c r="AB5" s="28" t="n"/>
      <c r="AC5" s="30" t="n">
        <v>1.2019</v>
      </c>
      <c r="AD5" s="24" t="inlineStr">
        <is>
          <t>2026-08-02T09:53:37.329479Z</t>
        </is>
      </c>
      <c r="AE5" s="31" t="inlineStr">
        <is>
          <t>Tie-aware Elo baseline; executable ask 0.5100 (market_slug=aec-kbo-kwt-hea-2026-08-02). Tie probability=0.0275.</t>
        </is>
      </c>
      <c r="AF5" s="31" t="inlineStr">
        <is>
          <t>Config-promoted international baseball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Hanwha Eagles</t>
        </is>
      </c>
      <c r="AQ5" s="24" t="inlineStr">
        <is>
          <t>Hanwha Eagles</t>
        </is>
      </c>
      <c r="AR5" s="24" t="inlineStr">
        <is>
          <t>Hanwha Eagles</t>
        </is>
      </c>
      <c r="AS5" s="24" t="inlineStr">
        <is>
          <t>KT Wiz</t>
        </is>
      </c>
      <c r="AT5" s="24" t="inlineStr">
        <is>
          <t>KT Wiz</t>
        </is>
      </c>
      <c r="AU5" s="24" t="inlineStr">
        <is>
          <t>KT Wiz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9ed13cfd8d860b2670f938484c3c659d864654d10d93ca38480a7e8d77633502</t>
        </is>
      </c>
      <c r="BB5" s="24" t="inlineStr">
        <is>
          <t>tie_aware_elo</t>
        </is>
      </c>
      <c r="BC5" s="24" t="inlineStr">
        <is>
          <t>kbo-tie-aware-elo-v2</t>
        </is>
      </c>
      <c r="BD5" s="24" t="inlineStr">
        <is>
          <t>9ed13cfd8d860b2670f938484c3c659d864654d10d93ca38480a7e8d77633502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kbo-tie-aware-elo-v2</t>
        </is>
      </c>
      <c r="BH5" s="24" t="inlineStr">
        <is>
          <t>2026-08-02T08:20:39.643606Z</t>
        </is>
      </c>
      <c r="BI5" s="24" t="inlineStr">
        <is>
          <t>["same_event","same_team_same_day","same_league_same_day"]</t>
        </is>
      </c>
      <c r="BJ5" s="25" t="n"/>
      <c r="BK5" s="26" t="n">
        <v>-104</v>
      </c>
      <c r="BL5" s="27" t="n">
        <v>1.961538</v>
      </c>
      <c r="BM5" s="28" t="n">
        <v>0.509804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inlineStr">
        <is>
          <t>0.509804</t>
        </is>
      </c>
      <c r="DK5" s="24" t="n"/>
      <c r="DL5" s="24" t="n"/>
      <c r="DM5" s="24" t="n"/>
      <c r="DN5" s="24" t="n"/>
      <c r="DO5" s="24" t="n"/>
      <c r="DP5" s="24" t="n"/>
      <c r="DQ5" s="24" t="n"/>
    </row>
    <row r="6" ht="36" customHeight="1">
      <c r="A6" s="24" t="inlineStr">
        <is>
          <t>82e9095226ef4d4d</t>
        </is>
      </c>
      <c r="B6" s="24" t="inlineStr">
        <is>
          <t>2026-08-04T08:55:29.662874Z</t>
        </is>
      </c>
      <c r="C6" s="24" t="inlineStr">
        <is>
          <t>2026-08-04T09:30:00Z</t>
        </is>
      </c>
      <c r="D6" s="24" t="inlineStr">
        <is>
          <t>68265</t>
        </is>
      </c>
      <c r="E6" s="24" t="inlineStr">
        <is>
          <t>KBO</t>
        </is>
      </c>
      <c r="F6" s="24" t="inlineStr">
        <is>
          <t>NC Dinos</t>
        </is>
      </c>
      <c r="G6" s="24" t="inlineStr">
        <is>
          <t>Doosan Bears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156</v>
      </c>
      <c r="M6" s="27" t="n">
        <v>2.56</v>
      </c>
      <c r="N6" s="28" t="n">
        <v>0.390625</v>
      </c>
      <c r="O6" s="28" t="n">
        <v>0.5790380000000001</v>
      </c>
      <c r="P6" s="28" t="n"/>
      <c r="Q6" s="28" t="n">
        <v>0.188413</v>
      </c>
      <c r="R6" s="26" t="n">
        <v>100</v>
      </c>
      <c r="S6" s="29" t="n">
        <v>1.25</v>
      </c>
      <c r="T6" s="24" t="inlineStr">
        <is>
          <t>kbo-tie-aware-elo-v2</t>
        </is>
      </c>
      <c r="U6" s="24" t="inlineStr">
        <is>
          <t>settled</t>
        </is>
      </c>
      <c r="V6" s="24" t="inlineStr">
        <is>
          <t>push</t>
        </is>
      </c>
      <c r="W6" s="26" t="n"/>
      <c r="X6" s="26" t="n"/>
      <c r="Y6" s="25" t="n"/>
      <c r="Z6" s="26" t="n"/>
      <c r="AA6" s="28" t="n"/>
      <c r="AB6" s="28" t="n"/>
      <c r="AC6" s="30" t="n">
        <v>0</v>
      </c>
      <c r="AD6" s="24" t="inlineStr">
        <is>
          <t>2026-08-31T06:26:50.438695Z</t>
        </is>
      </c>
      <c r="AE6" s="31" t="inlineStr">
        <is>
          <t>Tie-aware Elo baseline; executable ask 0.3900 (market_slug=aec-kbo-dbo-ndc-2026-08-04). Tie probability=0.0299.</t>
        </is>
      </c>
      <c r="AF6" s="31" t="inlineStr">
        <is>
          <t>Config-promoted international baseball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paper_call</t>
        </is>
      </c>
      <c r="AL6" s="26" t="n">
        <v>3</v>
      </c>
      <c r="AM6" s="24" t="inlineStr">
        <is>
          <t>RESEARCH_OBSERVATION</t>
        </is>
      </c>
      <c r="AN6" s="24" t="inlineStr">
        <is>
          <t>CALL</t>
        </is>
      </c>
      <c r="AO6" s="24" t="inlineStr">
        <is>
          <t>PAPER_CALL_LOW_EDGE</t>
        </is>
      </c>
      <c r="AP6" s="24" t="inlineStr">
        <is>
          <t>NC Dinos</t>
        </is>
      </c>
      <c r="AQ6" s="24" t="inlineStr">
        <is>
          <t>NC Dinos</t>
        </is>
      </c>
      <c r="AR6" s="24" t="inlineStr">
        <is>
          <t>NC Dinos</t>
        </is>
      </c>
      <c r="AS6" s="24" t="inlineStr">
        <is>
          <t>Doosan Bears</t>
        </is>
      </c>
      <c r="AT6" s="24" t="inlineStr">
        <is>
          <t>Doosan Bears</t>
        </is>
      </c>
      <c r="AU6" s="24" t="inlineStr">
        <is>
          <t>Doosan Bears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ed3011bd159f6231451a9fe0e125e5f3fe12152fa880d63d1c0f52c74fa66b4f</t>
        </is>
      </c>
      <c r="BB6" s="24" t="inlineStr">
        <is>
          <t>tie_aware_elo</t>
        </is>
      </c>
      <c r="BC6" s="24" t="inlineStr">
        <is>
          <t>kbo-tie-aware-elo-v2</t>
        </is>
      </c>
      <c r="BD6" s="24" t="inlineStr">
        <is>
          <t>ed3011bd159f6231451a9fe0e125e5f3fe12152fa880d63d1c0f52c74fa66b4f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kbo-tie-aware-elo-v2</t>
        </is>
      </c>
      <c r="BH6" s="24" t="inlineStr">
        <is>
          <t>2026-08-04T08:55:27.155611Z</t>
        </is>
      </c>
      <c r="BI6" s="24" t="inlineStr">
        <is>
          <t>["same_event","same_team_same_day","same_league_same_day"]</t>
        </is>
      </c>
      <c r="BJ6" s="25" t="n"/>
      <c r="BK6" s="26" t="n">
        <v>156</v>
      </c>
      <c r="BL6" s="27" t="n">
        <v>2.56</v>
      </c>
      <c r="BM6" s="28" t="n">
        <v>0.390625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inlineStr">
        <is>
          <t>voided 2026-08-31: game never played on its slate date -- the official KBO source still lists NC @ DOOSAN on 2026-08-04 with no score (postponed; makeup games are replayed under a new game_id on a new date), so no result for this contract can ever exist and the row would stay open forever.</t>
        </is>
      </c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True</t>
        </is>
      </c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inlineStr">
        <is>
          <t>0.390625</t>
        </is>
      </c>
      <c r="DK6" s="24" t="n"/>
      <c r="DL6" s="24" t="n"/>
      <c r="DM6" s="24" t="n"/>
      <c r="DN6" s="24" t="n"/>
      <c r="DO6" s="24" t="n"/>
      <c r="DP6" s="24" t="n"/>
      <c r="DQ6" s="24" t="n"/>
    </row>
    <row r="7" ht="36" customHeight="1">
      <c r="A7" s="24" t="inlineStr">
        <is>
          <t>3d42a08544994bf4</t>
        </is>
      </c>
      <c r="B7" s="24" t="inlineStr">
        <is>
          <t>2026-08-04T08:55:29.662874Z</t>
        </is>
      </c>
      <c r="C7" s="24" t="inlineStr">
        <is>
          <t>2026-08-04T09:30:00Z</t>
        </is>
      </c>
      <c r="D7" s="24" t="inlineStr">
        <is>
          <t>68266</t>
        </is>
      </c>
      <c r="E7" s="24" t="inlineStr">
        <is>
          <t>KBO</t>
        </is>
      </c>
      <c r="F7" s="24" t="inlineStr">
        <is>
          <t>LG Twins</t>
        </is>
      </c>
      <c r="G7" s="24" t="inlineStr">
        <is>
          <t>SSG Landers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-223</v>
      </c>
      <c r="M7" s="27" t="n">
        <v>1.44843</v>
      </c>
      <c r="N7" s="28" t="n">
        <v>0.690402</v>
      </c>
      <c r="O7" s="28" t="n">
        <v>0.550713</v>
      </c>
      <c r="P7" s="28" t="n"/>
      <c r="Q7" s="28" t="n">
        <v>-0.139689</v>
      </c>
      <c r="R7" s="26" t="n">
        <v>0</v>
      </c>
      <c r="S7" s="29" t="n">
        <v>1</v>
      </c>
      <c r="T7" s="24" t="inlineStr">
        <is>
          <t>kbo-tie-aware-elo-v2</t>
        </is>
      </c>
      <c r="U7" s="24" t="inlineStr">
        <is>
          <t>settled</t>
        </is>
      </c>
      <c r="V7" s="24" t="inlineStr">
        <is>
          <t>loss</t>
        </is>
      </c>
      <c r="W7" s="26" t="n">
        <v>8</v>
      </c>
      <c r="X7" s="26" t="n">
        <v>10</v>
      </c>
      <c r="Y7" s="25" t="n"/>
      <c r="Z7" s="26" t="n"/>
      <c r="AA7" s="28" t="n"/>
      <c r="AB7" s="28" t="n"/>
      <c r="AC7" s="30" t="n">
        <v>-1</v>
      </c>
      <c r="AD7" s="24" t="inlineStr">
        <is>
          <t>2026-08-04T11:57:56.981607Z</t>
        </is>
      </c>
      <c r="AE7" s="31" t="inlineStr">
        <is>
          <t>Tie-aware Elo baseline; executable ask 0.6900 (market_slug=aec-kbo-sls-ltg-2026-08-04). Tie probability=0.0325.</t>
        </is>
      </c>
      <c r="AF7" s="31" t="inlineStr">
        <is>
          <t>Config-promoted international baseball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paper_call</t>
        </is>
      </c>
      <c r="AL7" s="26" t="n">
        <v>3</v>
      </c>
      <c r="AM7" s="24" t="inlineStr">
        <is>
          <t>RESEARCH_OBSERVATION</t>
        </is>
      </c>
      <c r="AN7" s="24" t="inlineStr">
        <is>
          <t>CALL</t>
        </is>
      </c>
      <c r="AO7" s="24" t="inlineStr">
        <is>
          <t>PAPER_CALL_LOW_EDGE</t>
        </is>
      </c>
      <c r="AP7" s="24" t="inlineStr">
        <is>
          <t>LG Twins</t>
        </is>
      </c>
      <c r="AQ7" s="24" t="inlineStr">
        <is>
          <t>LG Twins</t>
        </is>
      </c>
      <c r="AR7" s="24" t="inlineStr">
        <is>
          <t>LG Twins</t>
        </is>
      </c>
      <c r="AS7" s="24" t="inlineStr">
        <is>
          <t>SSG Landers</t>
        </is>
      </c>
      <c r="AT7" s="24" t="inlineStr">
        <is>
          <t>SSG Landers</t>
        </is>
      </c>
      <c r="AU7" s="24" t="inlineStr">
        <is>
          <t>SSG Landers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ed3011bd159f6231451a9fe0e125e5f3fe12152fa880d63d1c0f52c74fa66b4f</t>
        </is>
      </c>
      <c r="BB7" s="24" t="inlineStr">
        <is>
          <t>tie_aware_elo</t>
        </is>
      </c>
      <c r="BC7" s="24" t="inlineStr">
        <is>
          <t>kbo-tie-aware-elo-v2</t>
        </is>
      </c>
      <c r="BD7" s="24" t="inlineStr">
        <is>
          <t>ed3011bd159f6231451a9fe0e125e5f3fe12152fa880d63d1c0f52c74fa66b4f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kbo-tie-aware-elo-v2</t>
        </is>
      </c>
      <c r="BH7" s="24" t="inlineStr">
        <is>
          <t>2026-08-04T08:55:27.825209Z</t>
        </is>
      </c>
      <c r="BI7" s="24" t="inlineStr">
        <is>
          <t>["same_event","same_team_same_day","same_league_same_day"]</t>
        </is>
      </c>
      <c r="BJ7" s="25" t="n"/>
      <c r="BK7" s="26" t="n">
        <v>-223</v>
      </c>
      <c r="BL7" s="27" t="n">
        <v>1.44843</v>
      </c>
      <c r="BM7" s="28" t="n">
        <v>0.690402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False</t>
        </is>
      </c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inlineStr">
        <is>
          <t>0.690402</t>
        </is>
      </c>
      <c r="DK7" s="24" t="n"/>
      <c r="DL7" s="24" t="n"/>
      <c r="DM7" s="24" t="n"/>
      <c r="DN7" s="24" t="n"/>
      <c r="DO7" s="24" t="n"/>
      <c r="DP7" s="24" t="n"/>
      <c r="DQ7" s="24" t="n"/>
    </row>
    <row r="8" ht="36" customHeight="1">
      <c r="A8" s="24" t="inlineStr">
        <is>
          <t>3b94e7433b554d5d</t>
        </is>
      </c>
      <c r="B8" s="24" t="inlineStr">
        <is>
          <t>2026-08-04T08:55:29.662874Z</t>
        </is>
      </c>
      <c r="C8" s="24" t="inlineStr">
        <is>
          <t>2026-08-04T09:30:00Z</t>
        </is>
      </c>
      <c r="D8" s="24" t="inlineStr">
        <is>
          <t>68268</t>
        </is>
      </c>
      <c r="E8" s="24" t="inlineStr">
        <is>
          <t>KBO</t>
        </is>
      </c>
      <c r="F8" s="24" t="inlineStr">
        <is>
          <t>Kiwoom Heroes</t>
        </is>
      </c>
      <c r="G8" s="24" t="inlineStr">
        <is>
          <t>Lotte Giants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-170</v>
      </c>
      <c r="M8" s="27" t="n">
        <v>1.588235</v>
      </c>
      <c r="N8" s="28" t="n">
        <v>0.62963</v>
      </c>
      <c r="O8" s="28" t="n">
        <v>0.5638300000000001</v>
      </c>
      <c r="P8" s="28" t="n"/>
      <c r="Q8" s="28" t="n">
        <v>-0.0658</v>
      </c>
      <c r="R8" s="26" t="n">
        <v>0</v>
      </c>
      <c r="S8" s="29" t="n">
        <v>1</v>
      </c>
      <c r="T8" s="24" t="inlineStr">
        <is>
          <t>kbo-tie-aware-elo-v2</t>
        </is>
      </c>
      <c r="U8" s="24" t="inlineStr">
        <is>
          <t>settled</t>
        </is>
      </c>
      <c r="V8" s="24" t="inlineStr">
        <is>
          <t>win</t>
        </is>
      </c>
      <c r="W8" s="26" t="n">
        <v>2</v>
      </c>
      <c r="X8" s="26" t="n">
        <v>3</v>
      </c>
      <c r="Y8" s="25" t="n"/>
      <c r="Z8" s="26" t="n"/>
      <c r="AA8" s="28" t="n"/>
      <c r="AB8" s="28" t="n"/>
      <c r="AC8" s="30" t="n">
        <v>0.5881999999999999</v>
      </c>
      <c r="AD8" s="24" t="inlineStr">
        <is>
          <t>2026-08-04T11:57:57.054537Z</t>
        </is>
      </c>
      <c r="AE8" s="31" t="inlineStr">
        <is>
          <t>Tie-aware Elo baseline; executable ask 0.6300 (market_slug=aec-kbo-lgo-khi-2026-08-04). Tie probability=0.0313.</t>
        </is>
      </c>
      <c r="AF8" s="31" t="inlineStr">
        <is>
          <t>Config-promoted international baseball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paper_call</t>
        </is>
      </c>
      <c r="AL8" s="26" t="n">
        <v>3</v>
      </c>
      <c r="AM8" s="24" t="inlineStr">
        <is>
          <t>RESEARCH_OBSERVATION</t>
        </is>
      </c>
      <c r="AN8" s="24" t="inlineStr">
        <is>
          <t>CALL</t>
        </is>
      </c>
      <c r="AO8" s="24" t="inlineStr">
        <is>
          <t>PAPER_CALL_LOW_EDGE</t>
        </is>
      </c>
      <c r="AP8" s="24" t="inlineStr">
        <is>
          <t>Kiwoom Heroes</t>
        </is>
      </c>
      <c r="AQ8" s="24" t="inlineStr">
        <is>
          <t>Kiwoom Heroes</t>
        </is>
      </c>
      <c r="AR8" s="24" t="inlineStr">
        <is>
          <t>Kiwoom Heroes</t>
        </is>
      </c>
      <c r="AS8" s="24" t="inlineStr">
        <is>
          <t>Lotte Giants</t>
        </is>
      </c>
      <c r="AT8" s="24" t="inlineStr">
        <is>
          <t>Lotte Giants</t>
        </is>
      </c>
      <c r="AU8" s="24" t="inlineStr">
        <is>
          <t>Lotte Giants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ed3011bd159f6231451a9fe0e125e5f3fe12152fa880d63d1c0f52c74fa66b4f</t>
        </is>
      </c>
      <c r="BB8" s="24" t="inlineStr">
        <is>
          <t>tie_aware_elo</t>
        </is>
      </c>
      <c r="BC8" s="24" t="inlineStr">
        <is>
          <t>kbo-tie-aware-elo-v2</t>
        </is>
      </c>
      <c r="BD8" s="24" t="inlineStr">
        <is>
          <t>ed3011bd159f6231451a9fe0e125e5f3fe12152fa880d63d1c0f52c74fa66b4f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kbo-tie-aware-elo-v2</t>
        </is>
      </c>
      <c r="BH8" s="24" t="inlineStr">
        <is>
          <t>2026-08-04T08:55:28.469450Z</t>
        </is>
      </c>
      <c r="BI8" s="24" t="inlineStr">
        <is>
          <t>["same_event","same_team_same_day","same_league_same_day"]</t>
        </is>
      </c>
      <c r="BJ8" s="25" t="n"/>
      <c r="BK8" s="26" t="n">
        <v>-170</v>
      </c>
      <c r="BL8" s="27" t="n">
        <v>1.588235</v>
      </c>
      <c r="BM8" s="28" t="n">
        <v>0.62963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False</t>
        </is>
      </c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inlineStr">
        <is>
          <t>0.62963</t>
        </is>
      </c>
      <c r="DK8" s="24" t="n"/>
      <c r="DL8" s="24" t="n"/>
      <c r="DM8" s="24" t="n"/>
      <c r="DN8" s="24" t="n"/>
      <c r="DO8" s="24" t="n"/>
      <c r="DP8" s="24" t="n"/>
      <c r="DQ8" s="24" t="n"/>
    </row>
    <row r="9" ht="36" customHeight="1">
      <c r="A9" s="24" t="inlineStr">
        <is>
          <t>b0366f9bba48413a</t>
        </is>
      </c>
      <c r="B9" s="24" t="inlineStr">
        <is>
          <t>2026-08-04T08:55:29.662874Z</t>
        </is>
      </c>
      <c r="C9" s="24" t="inlineStr">
        <is>
          <t>2026-08-04T09:30:00Z</t>
        </is>
      </c>
      <c r="D9" s="24" t="inlineStr">
        <is>
          <t>68270</t>
        </is>
      </c>
      <c r="E9" s="24" t="inlineStr">
        <is>
          <t>KBO</t>
        </is>
      </c>
      <c r="F9" s="24" t="inlineStr">
        <is>
          <t>Hanwha Eagles</t>
        </is>
      </c>
      <c r="G9" s="24" t="inlineStr">
        <is>
          <t>Samsung Lions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-133</v>
      </c>
      <c r="M9" s="27" t="n">
        <v>1.75188</v>
      </c>
      <c r="N9" s="28" t="n">
        <v>0.570815</v>
      </c>
      <c r="O9" s="28" t="n">
        <v>0.5917</v>
      </c>
      <c r="P9" s="28" t="n"/>
      <c r="Q9" s="28" t="n">
        <v>0.020885</v>
      </c>
      <c r="R9" s="26" t="n">
        <v>30</v>
      </c>
      <c r="S9" s="29" t="n">
        <v>1.25</v>
      </c>
      <c r="T9" s="24" t="inlineStr">
        <is>
          <t>kbo-tie-aware-elo-v2</t>
        </is>
      </c>
      <c r="U9" s="24" t="inlineStr">
        <is>
          <t>settled</t>
        </is>
      </c>
      <c r="V9" s="24" t="inlineStr">
        <is>
          <t>loss</t>
        </is>
      </c>
      <c r="W9" s="26" t="n">
        <v>4</v>
      </c>
      <c r="X9" s="26" t="n">
        <v>1</v>
      </c>
      <c r="Y9" s="25" t="n"/>
      <c r="Z9" s="26" t="n"/>
      <c r="AA9" s="28" t="n"/>
      <c r="AB9" s="28" t="n"/>
      <c r="AC9" s="30" t="n">
        <v>-1.25</v>
      </c>
      <c r="AD9" s="24" t="inlineStr">
        <is>
          <t>2026-08-04T11:57:57.126892Z</t>
        </is>
      </c>
      <c r="AE9" s="31" t="inlineStr">
        <is>
          <t>Tie-aware Elo baseline; executable ask 0.5700 (market_slug=aec-kbo-sla-hea-2026-08-04). Tie probability=0.0288.</t>
        </is>
      </c>
      <c r="AF9" s="31" t="inlineStr">
        <is>
          <t>Config-promoted international baseball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paper_call</t>
        </is>
      </c>
      <c r="AL9" s="26" t="n">
        <v>3</v>
      </c>
      <c r="AM9" s="24" t="inlineStr">
        <is>
          <t>RESEARCH_OBSERVATION</t>
        </is>
      </c>
      <c r="AN9" s="24" t="inlineStr">
        <is>
          <t>CALL</t>
        </is>
      </c>
      <c r="AO9" s="24" t="inlineStr">
        <is>
          <t>PAPER_CALL_LOW_EDGE</t>
        </is>
      </c>
      <c r="AP9" s="24" t="inlineStr">
        <is>
          <t>Hanwha Eagles</t>
        </is>
      </c>
      <c r="AQ9" s="24" t="inlineStr">
        <is>
          <t>Hanwha Eagles</t>
        </is>
      </c>
      <c r="AR9" s="24" t="inlineStr">
        <is>
          <t>Hanwha Eagles</t>
        </is>
      </c>
      <c r="AS9" s="24" t="inlineStr">
        <is>
          <t>Samsung Lions</t>
        </is>
      </c>
      <c r="AT9" s="24" t="inlineStr">
        <is>
          <t>Samsung Lions</t>
        </is>
      </c>
      <c r="AU9" s="24" t="inlineStr">
        <is>
          <t>Samsung Lions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ed3011bd159f6231451a9fe0e125e5f3fe12152fa880d63d1c0f52c74fa66b4f</t>
        </is>
      </c>
      <c r="BB9" s="24" t="inlineStr">
        <is>
          <t>tie_aware_elo</t>
        </is>
      </c>
      <c r="BC9" s="24" t="inlineStr">
        <is>
          <t>kbo-tie-aware-elo-v2</t>
        </is>
      </c>
      <c r="BD9" s="24" t="inlineStr">
        <is>
          <t>ed3011bd159f6231451a9fe0e125e5f3fe12152fa880d63d1c0f52c74fa66b4f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kbo-tie-aware-elo-v2</t>
        </is>
      </c>
      <c r="BH9" s="24" t="inlineStr">
        <is>
          <t>2026-08-04T08:55:29.194279Z</t>
        </is>
      </c>
      <c r="BI9" s="24" t="inlineStr">
        <is>
          <t>["same_event","same_team_same_day","same_league_same_day"]</t>
        </is>
      </c>
      <c r="BJ9" s="25" t="n"/>
      <c r="BK9" s="26" t="n">
        <v>-133</v>
      </c>
      <c r="BL9" s="27" t="n">
        <v>1.75188</v>
      </c>
      <c r="BM9" s="28" t="n">
        <v>0.570815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inlineStr">
        <is>
          <t>0.570815</t>
        </is>
      </c>
      <c r="DK9" s="24" t="n"/>
      <c r="DL9" s="24" t="n"/>
      <c r="DM9" s="24" t="n"/>
      <c r="DN9" s="24" t="n"/>
      <c r="DO9" s="24" t="n"/>
      <c r="DP9" s="24" t="n"/>
      <c r="DQ9" s="24" t="n"/>
    </row>
    <row r="10" ht="36" customHeight="1">
      <c r="A10" s="24" t="inlineStr">
        <is>
          <t>8b5fd89c6c904404</t>
        </is>
      </c>
      <c r="B10" s="24" t="inlineStr">
        <is>
          <t>2026-08-04T08:55:29.662874Z</t>
        </is>
      </c>
      <c r="C10" s="24" t="inlineStr">
        <is>
          <t>2026-08-04T09:30:00Z</t>
        </is>
      </c>
      <c r="D10" s="24" t="inlineStr">
        <is>
          <t>68271</t>
        </is>
      </c>
      <c r="E10" s="24" t="inlineStr">
        <is>
          <t>KBO</t>
        </is>
      </c>
      <c r="F10" s="24" t="inlineStr">
        <is>
          <t>KT Wiz</t>
        </is>
      </c>
      <c r="G10" s="24" t="inlineStr">
        <is>
          <t>Kia Tigers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127</v>
      </c>
      <c r="M10" s="27" t="n">
        <v>2.27</v>
      </c>
      <c r="N10" s="28" t="n">
        <v>0.440529</v>
      </c>
      <c r="O10" s="28" t="n">
        <v>0.539741</v>
      </c>
      <c r="P10" s="28" t="n"/>
      <c r="Q10" s="28" t="n">
        <v>0.09921199999999999</v>
      </c>
      <c r="R10" s="26" t="n">
        <v>70</v>
      </c>
      <c r="S10" s="29" t="n">
        <v>1</v>
      </c>
      <c r="T10" s="24" t="inlineStr">
        <is>
          <t>kbo-tie-aware-elo-v2</t>
        </is>
      </c>
      <c r="U10" s="24" t="inlineStr">
        <is>
          <t>settled</t>
        </is>
      </c>
      <c r="V10" s="24" t="inlineStr">
        <is>
          <t>push</t>
        </is>
      </c>
      <c r="W10" s="26" t="n"/>
      <c r="X10" s="26" t="n"/>
      <c r="Y10" s="25" t="n"/>
      <c r="Z10" s="26" t="n"/>
      <c r="AA10" s="28" t="n"/>
      <c r="AB10" s="28" t="n"/>
      <c r="AC10" s="30" t="n">
        <v>0</v>
      </c>
      <c r="AD10" s="24" t="inlineStr">
        <is>
          <t>2026-08-31T06:26:50.681042Z</t>
        </is>
      </c>
      <c r="AE10" s="31" t="inlineStr">
        <is>
          <t>Tie-aware Elo baseline; executable ask 0.4400 (market_slug=aec-kbo-kti-kwt-2026-08-04). Tie probability=0.0335.</t>
        </is>
      </c>
      <c r="AF10" s="31" t="inlineStr">
        <is>
          <t>Config-promoted international baseball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paper_call</t>
        </is>
      </c>
      <c r="AL10" s="26" t="n">
        <v>3</v>
      </c>
      <c r="AM10" s="24" t="inlineStr">
        <is>
          <t>RESEARCH_OBSERVATION</t>
        </is>
      </c>
      <c r="AN10" s="24" t="inlineStr">
        <is>
          <t>CALL</t>
        </is>
      </c>
      <c r="AO10" s="24" t="inlineStr">
        <is>
          <t>PAPER_CALL_LOW_EDGE</t>
        </is>
      </c>
      <c r="AP10" s="24" t="inlineStr">
        <is>
          <t>KT Wiz</t>
        </is>
      </c>
      <c r="AQ10" s="24" t="inlineStr">
        <is>
          <t>KT Wiz</t>
        </is>
      </c>
      <c r="AR10" s="24" t="inlineStr">
        <is>
          <t>KT Wiz</t>
        </is>
      </c>
      <c r="AS10" s="24" t="inlineStr">
        <is>
          <t>Kia Tigers</t>
        </is>
      </c>
      <c r="AT10" s="24" t="inlineStr">
        <is>
          <t>Kia Tigers</t>
        </is>
      </c>
      <c r="AU10" s="24" t="inlineStr">
        <is>
          <t>Kia Tigers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ed3011bd159f6231451a9fe0e125e5f3fe12152fa880d63d1c0f52c74fa66b4f</t>
        </is>
      </c>
      <c r="BB10" s="24" t="inlineStr">
        <is>
          <t>tie_aware_elo</t>
        </is>
      </c>
      <c r="BC10" s="24" t="inlineStr">
        <is>
          <t>kbo-tie-aware-elo-v2</t>
        </is>
      </c>
      <c r="BD10" s="24" t="inlineStr">
        <is>
          <t>ed3011bd159f6231451a9fe0e125e5f3fe12152fa880d63d1c0f52c74fa66b4f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kbo-tie-aware-elo-v2</t>
        </is>
      </c>
      <c r="BH10" s="24" t="inlineStr">
        <is>
          <t>2026-08-04T08:55:29.662825Z</t>
        </is>
      </c>
      <c r="BI10" s="24" t="inlineStr">
        <is>
          <t>["same_event","same_team_same_day","same_league_same_day"]</t>
        </is>
      </c>
      <c r="BJ10" s="25" t="n"/>
      <c r="BK10" s="26" t="n">
        <v>127</v>
      </c>
      <c r="BL10" s="27" t="n">
        <v>2.27</v>
      </c>
      <c r="BM10" s="28" t="n">
        <v>0.440529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inlineStr">
        <is>
          <t>voided 2026-08-31: game never played on its slate date -- the official KBO source still lists KT @ KIA on 2026-08-04 with no score (postponed; makeup games are replayed under a new game_id on a new date), so no result for this contract can ever exist and the row would stay open forever.</t>
        </is>
      </c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inlineStr">
        <is>
          <t>0.440529</t>
        </is>
      </c>
      <c r="DK10" s="24" t="n"/>
      <c r="DL10" s="24" t="n"/>
      <c r="DM10" s="24" t="n"/>
      <c r="DN10" s="24" t="n"/>
      <c r="DO10" s="24" t="n"/>
      <c r="DP10" s="24" t="n"/>
      <c r="DQ10" s="24" t="n"/>
    </row>
    <row r="11" ht="36" customHeight="1">
      <c r="A11" s="24" t="inlineStr">
        <is>
          <t>cc40a51fc9624e7a</t>
        </is>
      </c>
      <c r="B11" s="24" t="inlineStr">
        <is>
          <t>2026-08-05T04:36:51.796720Z</t>
        </is>
      </c>
      <c r="C11" s="24" t="inlineStr">
        <is>
          <t>2026-08-05T09:30:00Z</t>
        </is>
      </c>
      <c r="D11" s="24" t="inlineStr">
        <is>
          <t>69519</t>
        </is>
      </c>
      <c r="E11" s="24" t="inlineStr">
        <is>
          <t>KBO</t>
        </is>
      </c>
      <c r="F11" s="24" t="inlineStr">
        <is>
          <t>NC Dinos</t>
        </is>
      </c>
      <c r="G11" s="24" t="inlineStr">
        <is>
          <t>Doosan Bears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138</v>
      </c>
      <c r="M11" s="27" t="n">
        <v>2.38</v>
      </c>
      <c r="N11" s="28" t="n">
        <v>0.420168</v>
      </c>
      <c r="O11" s="28" t="n">
        <v>0.5786289999999999</v>
      </c>
      <c r="P11" s="28" t="n"/>
      <c r="Q11" s="28" t="n">
        <v>0.158461</v>
      </c>
      <c r="R11" s="26" t="n">
        <v>99</v>
      </c>
      <c r="S11" s="29" t="n">
        <v>1.25</v>
      </c>
      <c r="T11" s="24" t="inlineStr">
        <is>
          <t>kbo-tie-aware-elo-v2</t>
        </is>
      </c>
      <c r="U11" s="24" t="inlineStr">
        <is>
          <t>settled</t>
        </is>
      </c>
      <c r="V11" s="24" t="inlineStr">
        <is>
          <t>push</t>
        </is>
      </c>
      <c r="W11" s="26" t="n"/>
      <c r="X11" s="26" t="n"/>
      <c r="Y11" s="25" t="n"/>
      <c r="Z11" s="26" t="n"/>
      <c r="AA11" s="28" t="n"/>
      <c r="AB11" s="28" t="n"/>
      <c r="AC11" s="30" t="n">
        <v>0</v>
      </c>
      <c r="AD11" s="24" t="inlineStr">
        <is>
          <t>2026-08-31T06:26:50.910052Z</t>
        </is>
      </c>
      <c r="AE11" s="31" t="inlineStr">
        <is>
          <t>Tie-aware Elo baseline; executable ask 0.4200 (market_slug=aec-kbo-dbo-ndc-2026-08-05). Tie probability=0.0300.</t>
        </is>
      </c>
      <c r="AF11" s="31" t="inlineStr">
        <is>
          <t>Config-promoted international baseball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paper_call</t>
        </is>
      </c>
      <c r="AL11" s="26" t="n">
        <v>3</v>
      </c>
      <c r="AM11" s="24" t="inlineStr">
        <is>
          <t>RESEARCH_OBSERVATION</t>
        </is>
      </c>
      <c r="AN11" s="24" t="inlineStr">
        <is>
          <t>CALL</t>
        </is>
      </c>
      <c r="AO11" s="24" t="inlineStr">
        <is>
          <t>PAPER_CALL_LOW_EDGE</t>
        </is>
      </c>
      <c r="AP11" s="24" t="inlineStr">
        <is>
          <t>NC Dinos</t>
        </is>
      </c>
      <c r="AQ11" s="24" t="inlineStr">
        <is>
          <t>NC Dinos</t>
        </is>
      </c>
      <c r="AR11" s="24" t="inlineStr">
        <is>
          <t>NC Dinos</t>
        </is>
      </c>
      <c r="AS11" s="24" t="inlineStr">
        <is>
          <t>Doosan Bears</t>
        </is>
      </c>
      <c r="AT11" s="24" t="inlineStr">
        <is>
          <t>Doosan Bears</t>
        </is>
      </c>
      <c r="AU11" s="24" t="inlineStr">
        <is>
          <t>Doosan Bears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42580816cbd4c4e1853d7ee970337b5714d38d677b257c76baa90b243516ed94</t>
        </is>
      </c>
      <c r="BB11" s="24" t="inlineStr">
        <is>
          <t>tie_aware_elo</t>
        </is>
      </c>
      <c r="BC11" s="24" t="inlineStr">
        <is>
          <t>kbo-tie-aware-elo-v2</t>
        </is>
      </c>
      <c r="BD11" s="24" t="inlineStr">
        <is>
          <t>42580816cbd4c4e1853d7ee970337b5714d38d677b257c76baa90b243516ed94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kbo-tie-aware-elo-v2</t>
        </is>
      </c>
      <c r="BH11" s="24" t="inlineStr">
        <is>
          <t>2026-08-05T04:36:48.171174Z</t>
        </is>
      </c>
      <c r="BI11" s="24" t="inlineStr">
        <is>
          <t>["same_event","same_team_same_day","same_league_same_day"]</t>
        </is>
      </c>
      <c r="BJ11" s="25" t="n"/>
      <c r="BK11" s="26" t="n">
        <v>138</v>
      </c>
      <c r="BL11" s="27" t="n">
        <v>2.38</v>
      </c>
      <c r="BM11" s="28" t="n">
        <v>0.420168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inlineStr">
        <is>
          <t>voided 2026-08-31: game never played on its slate date -- the official KBO source still lists NC @ DOOSAN on 2026-08-05 with no score (postponed; makeup games are replayed under a new game_id on a new date), so no result for this contract can ever exist and the row would stay open forever.</t>
        </is>
      </c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inlineStr">
        <is>
          <t>0.420168</t>
        </is>
      </c>
      <c r="DK11" s="24" t="n"/>
      <c r="DL11" s="24" t="n"/>
      <c r="DM11" s="24" t="n"/>
      <c r="DN11" s="24" t="n"/>
      <c r="DO11" s="24" t="n"/>
      <c r="DP11" s="24" t="n"/>
      <c r="DQ11" s="24" t="n"/>
    </row>
    <row r="12" ht="36" customHeight="1">
      <c r="A12" s="24" t="inlineStr">
        <is>
          <t>13b6204472b44df9</t>
        </is>
      </c>
      <c r="B12" s="24" t="inlineStr">
        <is>
          <t>2026-08-05T04:36:51.796720Z</t>
        </is>
      </c>
      <c r="C12" s="24" t="inlineStr">
        <is>
          <t>2026-08-05T09:30:00Z</t>
        </is>
      </c>
      <c r="D12" s="24" t="inlineStr">
        <is>
          <t>69520</t>
        </is>
      </c>
      <c r="E12" s="24" t="inlineStr">
        <is>
          <t>KBO</t>
        </is>
      </c>
      <c r="F12" s="24" t="inlineStr">
        <is>
          <t>LG Twins</t>
        </is>
      </c>
      <c r="G12" s="24" t="inlineStr">
        <is>
          <t>SSG Landers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-144</v>
      </c>
      <c r="M12" s="27" t="n">
        <v>1.694444</v>
      </c>
      <c r="N12" s="28" t="n">
        <v>0.590164</v>
      </c>
      <c r="O12" s="28" t="n">
        <v>0.538431</v>
      </c>
      <c r="P12" s="28" t="n"/>
      <c r="Q12" s="28" t="n">
        <v>-0.051733</v>
      </c>
      <c r="R12" s="26" t="n">
        <v>0</v>
      </c>
      <c r="S12" s="29" t="n">
        <v>1</v>
      </c>
      <c r="T12" s="24" t="inlineStr">
        <is>
          <t>kbo-tie-aware-elo-v2</t>
        </is>
      </c>
      <c r="U12" s="24" t="inlineStr">
        <is>
          <t>settled</t>
        </is>
      </c>
      <c r="V12" s="24" t="inlineStr">
        <is>
          <t>push</t>
        </is>
      </c>
      <c r="W12" s="26" t="n"/>
      <c r="X12" s="26" t="n"/>
      <c r="Y12" s="25" t="n"/>
      <c r="Z12" s="26" t="n"/>
      <c r="AA12" s="28" t="n"/>
      <c r="AB12" s="28" t="n"/>
      <c r="AC12" s="30" t="n">
        <v>0</v>
      </c>
      <c r="AD12" s="24" t="inlineStr">
        <is>
          <t>2026-08-31T06:26:51.134475Z</t>
        </is>
      </c>
      <c r="AE12" s="31" t="inlineStr">
        <is>
          <t>Tie-aware Elo baseline; executable ask 0.5900 (market_slug=aec-kbo-sls-ltg-2026-08-05). Tie probability=0.0336.</t>
        </is>
      </c>
      <c r="AF12" s="31" t="inlineStr">
        <is>
          <t>Config-promoted international baseball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paper_call</t>
        </is>
      </c>
      <c r="AL12" s="26" t="n">
        <v>3</v>
      </c>
      <c r="AM12" s="24" t="inlineStr">
        <is>
          <t>RESEARCH_OBSERVATION</t>
        </is>
      </c>
      <c r="AN12" s="24" t="inlineStr">
        <is>
          <t>CALL</t>
        </is>
      </c>
      <c r="AO12" s="24" t="inlineStr">
        <is>
          <t>PAPER_CALL_LOW_EDGE</t>
        </is>
      </c>
      <c r="AP12" s="24" t="inlineStr">
        <is>
          <t>LG Twins</t>
        </is>
      </c>
      <c r="AQ12" s="24" t="inlineStr">
        <is>
          <t>LG Twins</t>
        </is>
      </c>
      <c r="AR12" s="24" t="inlineStr">
        <is>
          <t>LG Twins</t>
        </is>
      </c>
      <c r="AS12" s="24" t="inlineStr">
        <is>
          <t>SSG Landers</t>
        </is>
      </c>
      <c r="AT12" s="24" t="inlineStr">
        <is>
          <t>SSG Landers</t>
        </is>
      </c>
      <c r="AU12" s="24" t="inlineStr">
        <is>
          <t>SSG Landers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42580816cbd4c4e1853d7ee970337b5714d38d677b257c76baa90b243516ed94</t>
        </is>
      </c>
      <c r="BB12" s="24" t="inlineStr">
        <is>
          <t>tie_aware_elo</t>
        </is>
      </c>
      <c r="BC12" s="24" t="inlineStr">
        <is>
          <t>kbo-tie-aware-elo-v2</t>
        </is>
      </c>
      <c r="BD12" s="24" t="inlineStr">
        <is>
          <t>42580816cbd4c4e1853d7ee970337b5714d38d677b257c76baa90b243516ed94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kbo-tie-aware-elo-v2</t>
        </is>
      </c>
      <c r="BH12" s="24" t="inlineStr">
        <is>
          <t>2026-08-05T04:36:49.042489Z</t>
        </is>
      </c>
      <c r="BI12" s="24" t="inlineStr">
        <is>
          <t>["same_event","same_team_same_day","same_league_same_day"]</t>
        </is>
      </c>
      <c r="BJ12" s="25" t="n"/>
      <c r="BK12" s="26" t="n">
        <v>-144</v>
      </c>
      <c r="BL12" s="27" t="n">
        <v>1.694444</v>
      </c>
      <c r="BM12" s="28" t="n">
        <v>0.590164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inlineStr">
        <is>
          <t>voided 2026-08-31: game never played on its slate date -- the official KBO source still lists LG @ SSG on 2026-08-05 with no score (postponed; makeup games are replayed under a new game_id on a new date), so no result for this contract can ever exist and the row would stay open forever.</t>
        </is>
      </c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False</t>
        </is>
      </c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inlineStr">
        <is>
          <t>0.590164</t>
        </is>
      </c>
      <c r="DK12" s="24" t="n"/>
      <c r="DL12" s="24" t="n"/>
      <c r="DM12" s="24" t="n"/>
      <c r="DN12" s="24" t="n"/>
      <c r="DO12" s="24" t="n"/>
      <c r="DP12" s="24" t="n"/>
      <c r="DQ12" s="24" t="n"/>
    </row>
    <row r="13" ht="36" customHeight="1">
      <c r="A13" s="24" t="inlineStr">
        <is>
          <t>1dc4333ded9742e4</t>
        </is>
      </c>
      <c r="B13" s="24" t="inlineStr">
        <is>
          <t>2026-08-05T04:36:51.796720Z</t>
        </is>
      </c>
      <c r="C13" s="24" t="inlineStr">
        <is>
          <t>2026-08-05T09:30:00Z</t>
        </is>
      </c>
      <c r="D13" s="24" t="inlineStr">
        <is>
          <t>69521</t>
        </is>
      </c>
      <c r="E13" s="24" t="inlineStr">
        <is>
          <t>KBO</t>
        </is>
      </c>
      <c r="F13" s="24" t="inlineStr">
        <is>
          <t>KT Wiz</t>
        </is>
      </c>
      <c r="G13" s="24" t="inlineStr">
        <is>
          <t>Kia Tigers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-108</v>
      </c>
      <c r="M13" s="27" t="n">
        <v>1.925926</v>
      </c>
      <c r="N13" s="28" t="n">
        <v>0.519231</v>
      </c>
      <c r="O13" s="28" t="n">
        <v>0.539389</v>
      </c>
      <c r="P13" s="28" t="n"/>
      <c r="Q13" s="28" t="n">
        <v>0.020158</v>
      </c>
      <c r="R13" s="26" t="n">
        <v>30</v>
      </c>
      <c r="S13" s="29" t="n">
        <v>1</v>
      </c>
      <c r="T13" s="24" t="inlineStr">
        <is>
          <t>kbo-tie-aware-elo-v2</t>
        </is>
      </c>
      <c r="U13" s="24" t="inlineStr">
        <is>
          <t>settled</t>
        </is>
      </c>
      <c r="V13" s="24" t="inlineStr">
        <is>
          <t>push</t>
        </is>
      </c>
      <c r="W13" s="26" t="n"/>
      <c r="X13" s="26" t="n"/>
      <c r="Y13" s="25" t="n"/>
      <c r="Z13" s="26" t="n"/>
      <c r="AA13" s="28" t="n"/>
      <c r="AB13" s="28" t="n"/>
      <c r="AC13" s="30" t="n">
        <v>0</v>
      </c>
      <c r="AD13" s="24" t="inlineStr">
        <is>
          <t>2026-08-31T06:26:51.359391Z</t>
        </is>
      </c>
      <c r="AE13" s="31" t="inlineStr">
        <is>
          <t>Tie-aware Elo baseline; executable ask 0.5200 (market_slug=aec-kbo-kti-kwt-2026-08-05). Tie probability=0.0335.</t>
        </is>
      </c>
      <c r="AF13" s="31" t="inlineStr">
        <is>
          <t>Config-promoted international baseball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paper_call</t>
        </is>
      </c>
      <c r="AL13" s="26" t="n">
        <v>3</v>
      </c>
      <c r="AM13" s="24" t="inlineStr">
        <is>
          <t>RESEARCH_OBSERVATION</t>
        </is>
      </c>
      <c r="AN13" s="24" t="inlineStr">
        <is>
          <t>CALL</t>
        </is>
      </c>
      <c r="AO13" s="24" t="inlineStr">
        <is>
          <t>PAPER_CALL_LOW_EDGE</t>
        </is>
      </c>
      <c r="AP13" s="24" t="inlineStr">
        <is>
          <t>KT Wiz</t>
        </is>
      </c>
      <c r="AQ13" s="24" t="inlineStr">
        <is>
          <t>KT Wiz</t>
        </is>
      </c>
      <c r="AR13" s="24" t="inlineStr">
        <is>
          <t>KT Wiz</t>
        </is>
      </c>
      <c r="AS13" s="24" t="inlineStr">
        <is>
          <t>Kia Tigers</t>
        </is>
      </c>
      <c r="AT13" s="24" t="inlineStr">
        <is>
          <t>Kia Tigers</t>
        </is>
      </c>
      <c r="AU13" s="24" t="inlineStr">
        <is>
          <t>Kia Tigers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42580816cbd4c4e1853d7ee970337b5714d38d677b257c76baa90b243516ed94</t>
        </is>
      </c>
      <c r="BB13" s="24" t="inlineStr">
        <is>
          <t>tie_aware_elo</t>
        </is>
      </c>
      <c r="BC13" s="24" t="inlineStr">
        <is>
          <t>kbo-tie-aware-elo-v2</t>
        </is>
      </c>
      <c r="BD13" s="24" t="inlineStr">
        <is>
          <t>42580816cbd4c4e1853d7ee970337b5714d38d677b257c76baa90b243516ed94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kbo-tie-aware-elo-v2</t>
        </is>
      </c>
      <c r="BH13" s="24" t="inlineStr">
        <is>
          <t>2026-08-05T04:36:49.843883Z</t>
        </is>
      </c>
      <c r="BI13" s="24" t="inlineStr">
        <is>
          <t>["same_event","same_team_same_day","same_league_same_day"]</t>
        </is>
      </c>
      <c r="BJ13" s="25" t="n"/>
      <c r="BK13" s="26" t="n">
        <v>-108</v>
      </c>
      <c r="BL13" s="27" t="n">
        <v>1.925926</v>
      </c>
      <c r="BM13" s="28" t="n">
        <v>0.519231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inlineStr">
        <is>
          <t>voided 2026-08-31: game never played on its slate date -- the official KBO source still lists KT @ KIA on 2026-08-05 with no score (postponed; makeup games are replayed under a new game_id on a new date), so no result for this contract can ever exist and the row would stay open forever.</t>
        </is>
      </c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inlineStr">
        <is>
          <t>0.519231</t>
        </is>
      </c>
      <c r="DK13" s="24" t="n"/>
      <c r="DL13" s="24" t="n"/>
      <c r="DM13" s="24" t="n"/>
      <c r="DN13" s="24" t="n"/>
      <c r="DO13" s="24" t="n"/>
      <c r="DP13" s="24" t="n"/>
      <c r="DQ13" s="24" t="n"/>
    </row>
    <row r="14" ht="36" customHeight="1">
      <c r="A14" s="24" t="inlineStr">
        <is>
          <t>f8db5f75eff54bc7</t>
        </is>
      </c>
      <c r="B14" s="24" t="inlineStr">
        <is>
          <t>2026-08-05T04:36:51.796720Z</t>
        </is>
      </c>
      <c r="C14" s="24" t="inlineStr">
        <is>
          <t>2026-08-05T09:30:00Z</t>
        </is>
      </c>
      <c r="D14" s="24" t="inlineStr">
        <is>
          <t>69522</t>
        </is>
      </c>
      <c r="E14" s="24" t="inlineStr">
        <is>
          <t>KBO</t>
        </is>
      </c>
      <c r="F14" s="24" t="inlineStr">
        <is>
          <t>Hanwha Eagles</t>
        </is>
      </c>
      <c r="G14" s="24" t="inlineStr">
        <is>
          <t>Samsung Lions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-163</v>
      </c>
      <c r="M14" s="27" t="n">
        <v>1.613497</v>
      </c>
      <c r="N14" s="28" t="n">
        <v>0.619772</v>
      </c>
      <c r="O14" s="28" t="n">
        <v>0.578674</v>
      </c>
      <c r="P14" s="28" t="n"/>
      <c r="Q14" s="28" t="n">
        <v>-0.041098</v>
      </c>
      <c r="R14" s="26" t="n">
        <v>0</v>
      </c>
      <c r="S14" s="29" t="n">
        <v>1.25</v>
      </c>
      <c r="T14" s="24" t="inlineStr">
        <is>
          <t>kbo-tie-aware-elo-v2</t>
        </is>
      </c>
      <c r="U14" s="24" t="inlineStr">
        <is>
          <t>settled</t>
        </is>
      </c>
      <c r="V14" s="24" t="inlineStr">
        <is>
          <t>push</t>
        </is>
      </c>
      <c r="W14" s="26" t="n"/>
      <c r="X14" s="26" t="n"/>
      <c r="Y14" s="25" t="n"/>
      <c r="Z14" s="26" t="n"/>
      <c r="AA14" s="28" t="n"/>
      <c r="AB14" s="28" t="n"/>
      <c r="AC14" s="30" t="n">
        <v>0</v>
      </c>
      <c r="AD14" s="24" t="inlineStr">
        <is>
          <t>2026-08-31T06:26:51.585854Z</t>
        </is>
      </c>
      <c r="AE14" s="31" t="inlineStr">
        <is>
          <t>Tie-aware Elo baseline; executable ask 0.6200 (market_slug=aec-kbo-sla-hea-2026-08-05). Tie probability=0.0300.</t>
        </is>
      </c>
      <c r="AF14" s="31" t="inlineStr">
        <is>
          <t>Config-promoted international baseball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paper_call</t>
        </is>
      </c>
      <c r="AL14" s="26" t="n">
        <v>3</v>
      </c>
      <c r="AM14" s="24" t="inlineStr">
        <is>
          <t>RESEARCH_OBSERVATION</t>
        </is>
      </c>
      <c r="AN14" s="24" t="inlineStr">
        <is>
          <t>CALL</t>
        </is>
      </c>
      <c r="AO14" s="24" t="inlineStr">
        <is>
          <t>PAPER_CALL_LOW_EDGE</t>
        </is>
      </c>
      <c r="AP14" s="24" t="inlineStr">
        <is>
          <t>Hanwha Eagles</t>
        </is>
      </c>
      <c r="AQ14" s="24" t="inlineStr">
        <is>
          <t>Hanwha Eagles</t>
        </is>
      </c>
      <c r="AR14" s="24" t="inlineStr">
        <is>
          <t>Hanwha Eagles</t>
        </is>
      </c>
      <c r="AS14" s="24" t="inlineStr">
        <is>
          <t>Samsung Lions</t>
        </is>
      </c>
      <c r="AT14" s="24" t="inlineStr">
        <is>
          <t>Samsung Lions</t>
        </is>
      </c>
      <c r="AU14" s="24" t="inlineStr">
        <is>
          <t>Samsung Lions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42580816cbd4c4e1853d7ee970337b5714d38d677b257c76baa90b243516ed94</t>
        </is>
      </c>
      <c r="BB14" s="24" t="inlineStr">
        <is>
          <t>tie_aware_elo</t>
        </is>
      </c>
      <c r="BC14" s="24" t="inlineStr">
        <is>
          <t>kbo-tie-aware-elo-v2</t>
        </is>
      </c>
      <c r="BD14" s="24" t="inlineStr">
        <is>
          <t>42580816cbd4c4e1853d7ee970337b5714d38d677b257c76baa90b243516ed94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kbo-tie-aware-elo-v2</t>
        </is>
      </c>
      <c r="BH14" s="24" t="inlineStr">
        <is>
          <t>2026-08-05T04:36:50.877475Z</t>
        </is>
      </c>
      <c r="BI14" s="24" t="inlineStr">
        <is>
          <t>["same_event","same_team_same_day","same_league_same_day"]</t>
        </is>
      </c>
      <c r="BJ14" s="25" t="n"/>
      <c r="BK14" s="26" t="n">
        <v>-163</v>
      </c>
      <c r="BL14" s="27" t="n">
        <v>1.613497</v>
      </c>
      <c r="BM14" s="28" t="n">
        <v>0.619772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inlineStr">
        <is>
          <t>voided 2026-08-31: game never played on its slate date -- the official KBO source still lists HANWHA @ SAMSUNG on 2026-08-05 with no score (postponed; makeup games are replayed under a new game_id on a new date), so no result for this contract can ever exist and the row would stay open forever.</t>
        </is>
      </c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False</t>
        </is>
      </c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inlineStr">
        <is>
          <t>0.619772</t>
        </is>
      </c>
      <c r="DK14" s="24" t="n"/>
      <c r="DL14" s="24" t="n"/>
      <c r="DM14" s="24" t="n"/>
      <c r="DN14" s="24" t="n"/>
      <c r="DO14" s="24" t="n"/>
      <c r="DP14" s="24" t="n"/>
      <c r="DQ14" s="24" t="n"/>
    </row>
    <row r="15" ht="36" customHeight="1">
      <c r="A15" s="24" t="inlineStr">
        <is>
          <t>a6ba9cea53e7469c</t>
        </is>
      </c>
      <c r="B15" s="24" t="inlineStr">
        <is>
          <t>2026-08-05T04:36:51.796720Z</t>
        </is>
      </c>
      <c r="C15" s="24" t="inlineStr">
        <is>
          <t>2026-08-05T09:30:00Z</t>
        </is>
      </c>
      <c r="D15" s="24" t="inlineStr">
        <is>
          <t>69523</t>
        </is>
      </c>
      <c r="E15" s="24" t="inlineStr">
        <is>
          <t>KBO</t>
        </is>
      </c>
      <c r="F15" s="24" t="inlineStr">
        <is>
          <t>Kiwoom Heroes</t>
        </is>
      </c>
      <c r="G15" s="24" t="inlineStr">
        <is>
          <t>Lotte Giants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104</v>
      </c>
      <c r="M15" s="27" t="n">
        <v>2.04</v>
      </c>
      <c r="N15" s="28" t="n">
        <v>0.490196</v>
      </c>
      <c r="O15" s="28" t="n">
        <v>0.573348</v>
      </c>
      <c r="P15" s="28" t="n"/>
      <c r="Q15" s="28" t="n">
        <v>0.083152</v>
      </c>
      <c r="R15" s="26" t="n">
        <v>62</v>
      </c>
      <c r="S15" s="29" t="n">
        <v>1.25</v>
      </c>
      <c r="T15" s="24" t="inlineStr">
        <is>
          <t>kbo-tie-aware-elo-v2</t>
        </is>
      </c>
      <c r="U15" s="24" t="inlineStr">
        <is>
          <t>settled</t>
        </is>
      </c>
      <c r="V15" s="24" t="inlineStr">
        <is>
          <t>push</t>
        </is>
      </c>
      <c r="W15" s="26" t="n"/>
      <c r="X15" s="26" t="n"/>
      <c r="Y15" s="25" t="n"/>
      <c r="Z15" s="26" t="n"/>
      <c r="AA15" s="28" t="n"/>
      <c r="AB15" s="28" t="n"/>
      <c r="AC15" s="30" t="n">
        <v>0</v>
      </c>
      <c r="AD15" s="24" t="inlineStr">
        <is>
          <t>2026-08-31T06:26:51.814748Z</t>
        </is>
      </c>
      <c r="AE15" s="31" t="inlineStr">
        <is>
          <t>Tie-aware Elo baseline; executable ask 0.4900 (market_slug=aec-kbo-lgo-khi-2026-08-05). Tie probability=0.0304.</t>
        </is>
      </c>
      <c r="AF15" s="31" t="inlineStr">
        <is>
          <t>Config-promoted international baseball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paper_call</t>
        </is>
      </c>
      <c r="AL15" s="26" t="n">
        <v>3</v>
      </c>
      <c r="AM15" s="24" t="inlineStr">
        <is>
          <t>RESEARCH_OBSERVATION</t>
        </is>
      </c>
      <c r="AN15" s="24" t="inlineStr">
        <is>
          <t>CALL</t>
        </is>
      </c>
      <c r="AO15" s="24" t="inlineStr">
        <is>
          <t>PAPER_CALL_LOW_EDGE</t>
        </is>
      </c>
      <c r="AP15" s="24" t="inlineStr">
        <is>
          <t>Kiwoom Heroes</t>
        </is>
      </c>
      <c r="AQ15" s="24" t="inlineStr">
        <is>
          <t>Kiwoom Heroes</t>
        </is>
      </c>
      <c r="AR15" s="24" t="inlineStr">
        <is>
          <t>Kiwoom Heroes</t>
        </is>
      </c>
      <c r="AS15" s="24" t="inlineStr">
        <is>
          <t>Lotte Giants</t>
        </is>
      </c>
      <c r="AT15" s="24" t="inlineStr">
        <is>
          <t>Lotte Giants</t>
        </is>
      </c>
      <c r="AU15" s="24" t="inlineStr">
        <is>
          <t>Lotte Giants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42580816cbd4c4e1853d7ee970337b5714d38d677b257c76baa90b243516ed94</t>
        </is>
      </c>
      <c r="BB15" s="24" t="inlineStr">
        <is>
          <t>tie_aware_elo</t>
        </is>
      </c>
      <c r="BC15" s="24" t="inlineStr">
        <is>
          <t>kbo-tie-aware-elo-v2</t>
        </is>
      </c>
      <c r="BD15" s="24" t="inlineStr">
        <is>
          <t>42580816cbd4c4e1853d7ee970337b5714d38d677b257c76baa90b243516ed94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kbo-tie-aware-elo-v2</t>
        </is>
      </c>
      <c r="BH15" s="24" t="inlineStr">
        <is>
          <t>2026-08-05T04:36:51.796672Z</t>
        </is>
      </c>
      <c r="BI15" s="24" t="inlineStr">
        <is>
          <t>["same_event","same_team_same_day","same_league_same_day"]</t>
        </is>
      </c>
      <c r="BJ15" s="25" t="n"/>
      <c r="BK15" s="26" t="n">
        <v>104</v>
      </c>
      <c r="BL15" s="27" t="n">
        <v>2.04</v>
      </c>
      <c r="BM15" s="28" t="n">
        <v>0.490196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inlineStr">
        <is>
          <t>voided 2026-08-31: game never played on its slate date -- the official KBO source still lists KIWOOM @ LOTTE on 2026-08-05 with no score (postponed; makeup games are replayed under a new game_id on a new date), so no result for this contract can ever exist and the row would stay open forever.</t>
        </is>
      </c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inlineStr">
        <is>
          <t>0.490196</t>
        </is>
      </c>
      <c r="DK15" s="24" t="n"/>
      <c r="DL15" s="24" t="n"/>
      <c r="DM15" s="24" t="n"/>
      <c r="DN15" s="24" t="n"/>
      <c r="DO15" s="24" t="n"/>
      <c r="DP15" s="24" t="n"/>
      <c r="DQ15" s="24" t="n"/>
    </row>
    <row r="16" ht="36" customHeight="1">
      <c r="A16" s="24" t="inlineStr">
        <is>
          <t>bfeb4322bfe5401e</t>
        </is>
      </c>
      <c r="B16" s="24" t="inlineStr">
        <is>
          <t>2026-08-12T08:21:34.448983Z</t>
        </is>
      </c>
      <c r="C16" s="24" t="inlineStr">
        <is>
          <t>2026-08-12T10:00:00Z</t>
        </is>
      </c>
      <c r="D16" s="24" t="inlineStr">
        <is>
          <t>76203</t>
        </is>
      </c>
      <c r="E16" s="24" t="inlineStr">
        <is>
          <t>KBO</t>
        </is>
      </c>
      <c r="F16" s="24" t="inlineStr">
        <is>
          <t>Lotte Giants</t>
        </is>
      </c>
      <c r="G16" s="24" t="inlineStr">
        <is>
          <t>SSG Landers</t>
        </is>
      </c>
      <c r="H16" s="24" t="inlineStr">
        <is>
          <t>moneyline</t>
        </is>
      </c>
      <c r="I16" s="24" t="inlineStr">
        <is>
          <t>away</t>
        </is>
      </c>
      <c r="J16" s="25" t="n"/>
      <c r="K16" s="24" t="inlineStr">
        <is>
          <t>polymarket_us</t>
        </is>
      </c>
      <c r="L16" s="26" t="n">
        <v>100</v>
      </c>
      <c r="M16" s="27" t="n">
        <v>2</v>
      </c>
      <c r="N16" s="28" t="n">
        <v>0.5</v>
      </c>
      <c r="O16" s="28" t="n">
        <v>0.528545</v>
      </c>
      <c r="P16" s="28" t="n"/>
      <c r="Q16" s="28" t="n">
        <v>0.028545</v>
      </c>
      <c r="R16" s="26" t="n">
        <v>34</v>
      </c>
      <c r="S16" s="29" t="n">
        <v>1</v>
      </c>
      <c r="T16" s="24" t="inlineStr">
        <is>
          <t>kbo-tie-aware-elo-v2</t>
        </is>
      </c>
      <c r="U16" s="24" t="inlineStr">
        <is>
          <t>settled</t>
        </is>
      </c>
      <c r="V16" s="24" t="inlineStr">
        <is>
          <t>loss</t>
        </is>
      </c>
      <c r="W16" s="26" t="n">
        <v>1</v>
      </c>
      <c r="X16" s="26" t="n">
        <v>9</v>
      </c>
      <c r="Y16" s="25" t="n"/>
      <c r="Z16" s="26" t="n"/>
      <c r="AA16" s="28" t="n"/>
      <c r="AB16" s="28" t="n"/>
      <c r="AC16" s="30" t="n">
        <v>-1</v>
      </c>
      <c r="AD16" s="24" t="inlineStr">
        <is>
          <t>2026-08-12T11:25:33.043150Z</t>
        </is>
      </c>
      <c r="AE16" s="31" t="inlineStr">
        <is>
          <t>Tie-aware Elo baseline; executable ask 0.5000 (market_slug=aec-kbo-sls-lgo-2026-08-12). Tie probability=0.0253.</t>
        </is>
      </c>
      <c r="AF16" s="31" t="inlineStr">
        <is>
          <t>Config-promoted international baseball baseline; gates enforced at log time.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paper_call</t>
        </is>
      </c>
      <c r="AL16" s="26" t="n">
        <v>3</v>
      </c>
      <c r="AM16" s="24" t="inlineStr">
        <is>
          <t>RESEARCH_OBSERVATION</t>
        </is>
      </c>
      <c r="AN16" s="24" t="inlineStr">
        <is>
          <t>CALL</t>
        </is>
      </c>
      <c r="AO16" s="24" t="inlineStr">
        <is>
          <t>PAPER_CALL_LOW_EDGE</t>
        </is>
      </c>
      <c r="AP16" s="24" t="inlineStr">
        <is>
          <t>Lotte Giants</t>
        </is>
      </c>
      <c r="AQ16" s="24" t="inlineStr">
        <is>
          <t>Lotte Giants</t>
        </is>
      </c>
      <c r="AR16" s="24" t="inlineStr">
        <is>
          <t>Lotte Giants</t>
        </is>
      </c>
      <c r="AS16" s="24" t="inlineStr">
        <is>
          <t>SSG Landers</t>
        </is>
      </c>
      <c r="AT16" s="24" t="inlineStr">
        <is>
          <t>SSG Landers</t>
        </is>
      </c>
      <c r="AU16" s="24" t="inlineStr">
        <is>
          <t>SSG Landers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cc6ea1b83ff16d7501f49063575d9bfa76cd7001cbae8a5672014d3aa4ff1706</t>
        </is>
      </c>
      <c r="BB16" s="24" t="inlineStr">
        <is>
          <t>tie_aware_elo</t>
        </is>
      </c>
      <c r="BC16" s="24" t="inlineStr">
        <is>
          <t>kbo-tie-aware-elo-v2</t>
        </is>
      </c>
      <c r="BD16" s="24" t="inlineStr">
        <is>
          <t>cc6ea1b83ff16d7501f49063575d9bfa76cd7001cbae8a5672014d3aa4ff1706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kbo-tie-aware-elo-v2</t>
        </is>
      </c>
      <c r="BH16" s="24" t="inlineStr">
        <is>
          <t>2026-08-12T08:21:31.891013Z</t>
        </is>
      </c>
      <c r="BI16" s="24" t="inlineStr">
        <is>
          <t>["same_event","same_team_same_day","same_league_same_day"]</t>
        </is>
      </c>
      <c r="BJ16" s="25" t="n"/>
      <c r="BK16" s="26" t="n">
        <v>100</v>
      </c>
      <c r="BL16" s="27" t="n">
        <v>2</v>
      </c>
      <c r="BM16" s="28" t="n">
        <v>0.5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inlineStr">
        <is>
          <t>0.5</t>
        </is>
      </c>
      <c r="DK16" s="24" t="n"/>
      <c r="DL16" s="24" t="n"/>
      <c r="DM16" s="24" t="n"/>
      <c r="DN16" s="24" t="n"/>
      <c r="DO16" s="24" t="n"/>
      <c r="DP16" s="24" t="n"/>
      <c r="DQ16" s="24" t="n"/>
    </row>
    <row r="17" ht="36" customHeight="1">
      <c r="A17" s="24" t="inlineStr">
        <is>
          <t>3ae7b9855c094bee</t>
        </is>
      </c>
      <c r="B17" s="24" t="inlineStr">
        <is>
          <t>2026-08-12T08:21:34.448983Z</t>
        </is>
      </c>
      <c r="C17" s="24" t="inlineStr">
        <is>
          <t>2026-08-12T10:00:00Z</t>
        </is>
      </c>
      <c r="D17" s="24" t="inlineStr">
        <is>
          <t>76204</t>
        </is>
      </c>
      <c r="E17" s="24" t="inlineStr">
        <is>
          <t>KBO</t>
        </is>
      </c>
      <c r="F17" s="24" t="inlineStr">
        <is>
          <t>Hanwha Eagles</t>
        </is>
      </c>
      <c r="G17" s="24" t="inlineStr">
        <is>
          <t>Doosan Bears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-122</v>
      </c>
      <c r="M17" s="27" t="n">
        <v>1.819672</v>
      </c>
      <c r="N17" s="28" t="n">
        <v>0.54955</v>
      </c>
      <c r="O17" s="28" t="n">
        <v>0.541292</v>
      </c>
      <c r="P17" s="28" t="n"/>
      <c r="Q17" s="28" t="n">
        <v>-0.008258</v>
      </c>
      <c r="R17" s="26" t="n">
        <v>16</v>
      </c>
      <c r="S17" s="29" t="n">
        <v>1</v>
      </c>
      <c r="T17" s="24" t="inlineStr">
        <is>
          <t>kbo-tie-aware-elo-v2</t>
        </is>
      </c>
      <c r="U17" s="24" t="inlineStr">
        <is>
          <t>settled</t>
        </is>
      </c>
      <c r="V17" s="24" t="inlineStr">
        <is>
          <t>loss</t>
        </is>
      </c>
      <c r="W17" s="26" t="n">
        <v>4</v>
      </c>
      <c r="X17" s="26" t="n">
        <v>3</v>
      </c>
      <c r="Y17" s="25" t="n"/>
      <c r="Z17" s="26" t="n"/>
      <c r="AA17" s="28" t="n"/>
      <c r="AB17" s="28" t="n"/>
      <c r="AC17" s="30" t="n">
        <v>-1</v>
      </c>
      <c r="AD17" s="24" t="inlineStr">
        <is>
          <t>2026-08-12T11:25:33.197035Z</t>
        </is>
      </c>
      <c r="AE17" s="31" t="inlineStr">
        <is>
          <t>Tie-aware Elo baseline; executable ask 0.5500 (market_slug=aec-kbo-dbo-hea-2026-08-12). Tie probability=0.0253.</t>
        </is>
      </c>
      <c r="AF17" s="31" t="inlineStr">
        <is>
          <t>Config-promoted international baseball baseline; gates enforced at log time.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paper_call</t>
        </is>
      </c>
      <c r="AL17" s="26" t="n">
        <v>3</v>
      </c>
      <c r="AM17" s="24" t="inlineStr">
        <is>
          <t>RESEARCH_OBSERVATION</t>
        </is>
      </c>
      <c r="AN17" s="24" t="inlineStr">
        <is>
          <t>CALL</t>
        </is>
      </c>
      <c r="AO17" s="24" t="inlineStr">
        <is>
          <t>PAPER_CALL_LOW_EDGE</t>
        </is>
      </c>
      <c r="AP17" s="24" t="inlineStr">
        <is>
          <t>Hanwha Eagles</t>
        </is>
      </c>
      <c r="AQ17" s="24" t="inlineStr">
        <is>
          <t>Hanwha Eagles</t>
        </is>
      </c>
      <c r="AR17" s="24" t="inlineStr">
        <is>
          <t>Hanwha Eagles</t>
        </is>
      </c>
      <c r="AS17" s="24" t="inlineStr">
        <is>
          <t>Doosan Bears</t>
        </is>
      </c>
      <c r="AT17" s="24" t="inlineStr">
        <is>
          <t>Doosan Bears</t>
        </is>
      </c>
      <c r="AU17" s="24" t="inlineStr">
        <is>
          <t>Doosan Bears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cc6ea1b83ff16d7501f49063575d9bfa76cd7001cbae8a5672014d3aa4ff1706</t>
        </is>
      </c>
      <c r="BB17" s="24" t="inlineStr">
        <is>
          <t>tie_aware_elo</t>
        </is>
      </c>
      <c r="BC17" s="24" t="inlineStr">
        <is>
          <t>kbo-tie-aware-elo-v2</t>
        </is>
      </c>
      <c r="BD17" s="24" t="inlineStr">
        <is>
          <t>cc6ea1b83ff16d7501f49063575d9bfa76cd7001cbae8a5672014d3aa4ff1706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kbo-tie-aware-elo-v2</t>
        </is>
      </c>
      <c r="BH17" s="24" t="inlineStr">
        <is>
          <t>2026-08-12T08:21:32.786185Z</t>
        </is>
      </c>
      <c r="BI17" s="24" t="inlineStr">
        <is>
          <t>["same_event","same_team_same_day","same_league_same_day"]</t>
        </is>
      </c>
      <c r="BJ17" s="25" t="n"/>
      <c r="BK17" s="26" t="n">
        <v>-122</v>
      </c>
      <c r="BL17" s="27" t="n">
        <v>1.819672</v>
      </c>
      <c r="BM17" s="28" t="n">
        <v>0.54955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False</t>
        </is>
      </c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inlineStr">
        <is>
          <t>0.54955</t>
        </is>
      </c>
      <c r="DK17" s="24" t="n"/>
      <c r="DL17" s="24" t="n"/>
      <c r="DM17" s="24" t="n"/>
      <c r="DN17" s="24" t="n"/>
      <c r="DO17" s="24" t="n"/>
      <c r="DP17" s="24" t="n"/>
      <c r="DQ17" s="24" t="n"/>
    </row>
    <row r="18" ht="36" customHeight="1">
      <c r="A18" s="24" t="inlineStr">
        <is>
          <t>06b4cf4593c64031</t>
        </is>
      </c>
      <c r="B18" s="24" t="inlineStr">
        <is>
          <t>2026-08-12T08:21:34.448983Z</t>
        </is>
      </c>
      <c r="C18" s="24" t="inlineStr">
        <is>
          <t>2026-08-12T10:00:00Z</t>
        </is>
      </c>
      <c r="D18" s="24" t="inlineStr">
        <is>
          <t>76206</t>
        </is>
      </c>
      <c r="E18" s="24" t="inlineStr">
        <is>
          <t>KBO</t>
        </is>
      </c>
      <c r="F18" s="24" t="inlineStr">
        <is>
          <t>KT Wiz</t>
        </is>
      </c>
      <c r="G18" s="24" t="inlineStr">
        <is>
          <t>NC Dinos</t>
        </is>
      </c>
      <c r="H18" s="24" t="inlineStr">
        <is>
          <t>moneyline</t>
        </is>
      </c>
      <c r="I18" s="24" t="inlineStr">
        <is>
          <t>away</t>
        </is>
      </c>
      <c r="J18" s="25" t="n"/>
      <c r="K18" s="24" t="inlineStr">
        <is>
          <t>polymarket_us</t>
        </is>
      </c>
      <c r="L18" s="26" t="n">
        <v>-186</v>
      </c>
      <c r="M18" s="27" t="n">
        <v>1.537634</v>
      </c>
      <c r="N18" s="28" t="n">
        <v>0.65035</v>
      </c>
      <c r="O18" s="28" t="n">
        <v>0.5977440000000001</v>
      </c>
      <c r="P18" s="28" t="n"/>
      <c r="Q18" s="28" t="n">
        <v>-0.052606</v>
      </c>
      <c r="R18" s="26" t="n">
        <v>0</v>
      </c>
      <c r="S18" s="29" t="n">
        <v>1.25</v>
      </c>
      <c r="T18" s="24" t="inlineStr">
        <is>
          <t>kbo-tie-aware-elo-v2</t>
        </is>
      </c>
      <c r="U18" s="24" t="inlineStr">
        <is>
          <t>settled</t>
        </is>
      </c>
      <c r="V18" s="24" t="inlineStr">
        <is>
          <t>loss</t>
        </is>
      </c>
      <c r="W18" s="26" t="n">
        <v>0</v>
      </c>
      <c r="X18" s="26" t="n">
        <v>3</v>
      </c>
      <c r="Y18" s="25" t="n"/>
      <c r="Z18" s="26" t="n"/>
      <c r="AA18" s="28" t="n"/>
      <c r="AB18" s="28" t="n"/>
      <c r="AC18" s="30" t="n">
        <v>-1.25</v>
      </c>
      <c r="AD18" s="24" t="inlineStr">
        <is>
          <t>2026-08-12T11:25:33.313757Z</t>
        </is>
      </c>
      <c r="AE18" s="31" t="inlineStr">
        <is>
          <t>Tie-aware Elo baseline; executable ask 0.6500 (market_slug=aec-kbo-ndc-kwt-2026-08-12). Tie probability=0.0253.</t>
        </is>
      </c>
      <c r="AF18" s="31" t="inlineStr">
        <is>
          <t>Config-promoted international baseball baseline; gates enforced at log time.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paper_call</t>
        </is>
      </c>
      <c r="AL18" s="26" t="n">
        <v>3</v>
      </c>
      <c r="AM18" s="24" t="inlineStr">
        <is>
          <t>RESEARCH_OBSERVATION</t>
        </is>
      </c>
      <c r="AN18" s="24" t="inlineStr">
        <is>
          <t>CALL</t>
        </is>
      </c>
      <c r="AO18" s="24" t="inlineStr">
        <is>
          <t>PAPER_CALL_LOW_EDGE</t>
        </is>
      </c>
      <c r="AP18" s="24" t="inlineStr">
        <is>
          <t>KT Wiz</t>
        </is>
      </c>
      <c r="AQ18" s="24" t="inlineStr">
        <is>
          <t>KT Wiz</t>
        </is>
      </c>
      <c r="AR18" s="24" t="inlineStr">
        <is>
          <t>KT Wiz</t>
        </is>
      </c>
      <c r="AS18" s="24" t="inlineStr">
        <is>
          <t>NC Dinos</t>
        </is>
      </c>
      <c r="AT18" s="24" t="inlineStr">
        <is>
          <t>NC Dinos</t>
        </is>
      </c>
      <c r="AU18" s="24" t="inlineStr">
        <is>
          <t>NC Dinos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cc6ea1b83ff16d7501f49063575d9bfa76cd7001cbae8a5672014d3aa4ff1706</t>
        </is>
      </c>
      <c r="BB18" s="24" t="inlineStr">
        <is>
          <t>tie_aware_elo</t>
        </is>
      </c>
      <c r="BC18" s="24" t="inlineStr">
        <is>
          <t>kbo-tie-aware-elo-v2</t>
        </is>
      </c>
      <c r="BD18" s="24" t="inlineStr">
        <is>
          <t>cc6ea1b83ff16d7501f49063575d9bfa76cd7001cbae8a5672014d3aa4ff1706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kbo-tie-aware-elo-v2</t>
        </is>
      </c>
      <c r="BH18" s="24" t="inlineStr">
        <is>
          <t>2026-08-12T08:21:33.260921Z</t>
        </is>
      </c>
      <c r="BI18" s="24" t="inlineStr">
        <is>
          <t>["same_event","same_team_same_day","same_league_same_day"]</t>
        </is>
      </c>
      <c r="BJ18" s="25" t="n"/>
      <c r="BK18" s="26" t="n">
        <v>-186</v>
      </c>
      <c r="BL18" s="27" t="n">
        <v>1.537634</v>
      </c>
      <c r="BM18" s="28" t="n">
        <v>0.65035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False</t>
        </is>
      </c>
      <c r="CT18" s="24" t="n"/>
      <c r="CU18" s="24" t="n"/>
      <c r="CV18" s="24" t="n"/>
      <c r="CW18" s="24" t="n"/>
      <c r="CX18" s="24" t="n"/>
      <c r="CY18" s="24" t="n"/>
      <c r="CZ18" s="24" t="n"/>
      <c r="DA18" s="24" t="n"/>
      <c r="DB18" s="24" t="n"/>
      <c r="DC18" s="24" t="n"/>
      <c r="DD18" s="24" t="n"/>
      <c r="DE18" s="24" t="n"/>
      <c r="DF18" s="24" t="n"/>
      <c r="DG18" s="24" t="n"/>
      <c r="DH18" s="24" t="n"/>
      <c r="DI18" s="24" t="n"/>
      <c r="DJ18" s="24" t="inlineStr">
        <is>
          <t>0.65035</t>
        </is>
      </c>
      <c r="DK18" s="24" t="n"/>
      <c r="DL18" s="24" t="n"/>
      <c r="DM18" s="24" t="n"/>
      <c r="DN18" s="24" t="n"/>
      <c r="DO18" s="24" t="n"/>
      <c r="DP18" s="24" t="n"/>
      <c r="DQ18" s="24" t="n"/>
    </row>
    <row r="19" ht="36" customHeight="1">
      <c r="A19" s="24" t="inlineStr">
        <is>
          <t>afd2b18fdb004a35</t>
        </is>
      </c>
      <c r="B19" s="24" t="inlineStr">
        <is>
          <t>2026-08-12T08:21:34.448983Z</t>
        </is>
      </c>
      <c r="C19" s="24" t="inlineStr">
        <is>
          <t>2026-08-12T10:00:00Z</t>
        </is>
      </c>
      <c r="D19" s="24" t="inlineStr">
        <is>
          <t>76207</t>
        </is>
      </c>
      <c r="E19" s="24" t="inlineStr">
        <is>
          <t>KBO</t>
        </is>
      </c>
      <c r="F19" s="24" t="inlineStr">
        <is>
          <t>Samsung Lions</t>
        </is>
      </c>
      <c r="G19" s="24" t="inlineStr">
        <is>
          <t>Kia Tigers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117</v>
      </c>
      <c r="M19" s="27" t="n">
        <v>2.17</v>
      </c>
      <c r="N19" s="28" t="n">
        <v>0.460829</v>
      </c>
      <c r="O19" s="28" t="n">
        <v>0.531537</v>
      </c>
      <c r="P19" s="28" t="n"/>
      <c r="Q19" s="28" t="n">
        <v>0.07070799999999999</v>
      </c>
      <c r="R19" s="26" t="n">
        <v>55</v>
      </c>
      <c r="S19" s="29" t="n">
        <v>1</v>
      </c>
      <c r="T19" s="24" t="inlineStr">
        <is>
          <t>kbo-tie-aware-elo-v2</t>
        </is>
      </c>
      <c r="U19" s="24" t="inlineStr">
        <is>
          <t>settled</t>
        </is>
      </c>
      <c r="V19" s="24" t="inlineStr">
        <is>
          <t>loss</t>
        </is>
      </c>
      <c r="W19" s="26" t="n">
        <v>2</v>
      </c>
      <c r="X19" s="26" t="n">
        <v>7</v>
      </c>
      <c r="Y19" s="25" t="n"/>
      <c r="Z19" s="26" t="n"/>
      <c r="AA19" s="28" t="n"/>
      <c r="AB19" s="28" t="n"/>
      <c r="AC19" s="30" t="n">
        <v>-1</v>
      </c>
      <c r="AD19" s="24" t="inlineStr">
        <is>
          <t>2026-08-12T11:25:33.457044Z</t>
        </is>
      </c>
      <c r="AE19" s="31" t="inlineStr">
        <is>
          <t>Tie-aware Elo baseline; executable ask 0.4600 (market_slug=aec-kbo-kti-sla-2026-08-12). Tie probability=0.0253.</t>
        </is>
      </c>
      <c r="AF19" s="31" t="inlineStr">
        <is>
          <t>Config-promoted international baseball baseline; gates enforced at log time.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paper_call</t>
        </is>
      </c>
      <c r="AL19" s="26" t="n">
        <v>3</v>
      </c>
      <c r="AM19" s="24" t="inlineStr">
        <is>
          <t>RESEARCH_OBSERVATION</t>
        </is>
      </c>
      <c r="AN19" s="24" t="inlineStr">
        <is>
          <t>CALL</t>
        </is>
      </c>
      <c r="AO19" s="24" t="inlineStr">
        <is>
          <t>PAPER_CALL_LOW_EDGE</t>
        </is>
      </c>
      <c r="AP19" s="24" t="inlineStr">
        <is>
          <t>Samsung Lions</t>
        </is>
      </c>
      <c r="AQ19" s="24" t="inlineStr">
        <is>
          <t>Samsung Lions</t>
        </is>
      </c>
      <c r="AR19" s="24" t="inlineStr">
        <is>
          <t>Samsung Lions</t>
        </is>
      </c>
      <c r="AS19" s="24" t="inlineStr">
        <is>
          <t>Kia Tigers</t>
        </is>
      </c>
      <c r="AT19" s="24" t="inlineStr">
        <is>
          <t>Kia Tigers</t>
        </is>
      </c>
      <c r="AU19" s="24" t="inlineStr">
        <is>
          <t>Kia Tigers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cc6ea1b83ff16d7501f49063575d9bfa76cd7001cbae8a5672014d3aa4ff1706</t>
        </is>
      </c>
      <c r="BB19" s="24" t="inlineStr">
        <is>
          <t>tie_aware_elo</t>
        </is>
      </c>
      <c r="BC19" s="24" t="inlineStr">
        <is>
          <t>kbo-tie-aware-elo-v2</t>
        </is>
      </c>
      <c r="BD19" s="24" t="inlineStr">
        <is>
          <t>cc6ea1b83ff16d7501f49063575d9bfa76cd7001cbae8a5672014d3aa4ff1706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kbo-tie-aware-elo-v2</t>
        </is>
      </c>
      <c r="BH19" s="24" t="inlineStr">
        <is>
          <t>2026-08-12T08:21:33.722273Z</t>
        </is>
      </c>
      <c r="BI19" s="24" t="inlineStr">
        <is>
          <t>["same_event","same_team_same_day","same_league_same_day"]</t>
        </is>
      </c>
      <c r="BJ19" s="25" t="n"/>
      <c r="BK19" s="26" t="n">
        <v>117</v>
      </c>
      <c r="BL19" s="27" t="n">
        <v>2.17</v>
      </c>
      <c r="BM19" s="28" t="n">
        <v>0.460829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  <c r="CT19" s="24" t="n"/>
      <c r="CU19" s="24" t="n"/>
      <c r="CV19" s="24" t="n"/>
      <c r="CW19" s="24" t="n"/>
      <c r="CX19" s="24" t="n"/>
      <c r="CY19" s="24" t="n"/>
      <c r="CZ19" s="24" t="n"/>
      <c r="DA19" s="24" t="n"/>
      <c r="DB19" s="24" t="n"/>
      <c r="DC19" s="24" t="n"/>
      <c r="DD19" s="24" t="n"/>
      <c r="DE19" s="24" t="n"/>
      <c r="DF19" s="24" t="n"/>
      <c r="DG19" s="24" t="n"/>
      <c r="DH19" s="24" t="n"/>
      <c r="DI19" s="24" t="n"/>
      <c r="DJ19" s="24" t="inlineStr">
        <is>
          <t>0.460829</t>
        </is>
      </c>
      <c r="DK19" s="24" t="n"/>
      <c r="DL19" s="24" t="n"/>
      <c r="DM19" s="24" t="n"/>
      <c r="DN19" s="24" t="n"/>
      <c r="DO19" s="24" t="n"/>
      <c r="DP19" s="24" t="n"/>
      <c r="DQ19" s="24" t="n"/>
    </row>
    <row r="20" ht="36" customHeight="1">
      <c r="A20" s="24" t="inlineStr">
        <is>
          <t>36507b73df7f4619</t>
        </is>
      </c>
      <c r="B20" s="24" t="inlineStr">
        <is>
          <t>2026-08-12T08:21:34.448983Z</t>
        </is>
      </c>
      <c r="C20" s="24" t="inlineStr">
        <is>
          <t>2026-08-12T10:00:00Z</t>
        </is>
      </c>
      <c r="D20" s="24" t="inlineStr">
        <is>
          <t>76208</t>
        </is>
      </c>
      <c r="E20" s="24" t="inlineStr">
        <is>
          <t>KBO</t>
        </is>
      </c>
      <c r="F20" s="24" t="inlineStr">
        <is>
          <t>LG Twins</t>
        </is>
      </c>
      <c r="G20" s="24" t="inlineStr">
        <is>
          <t>Kiwoom Heroes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-245</v>
      </c>
      <c r="M20" s="27" t="n">
        <v>1.408163</v>
      </c>
      <c r="N20" s="28" t="n">
        <v>0.710145</v>
      </c>
      <c r="O20" s="28" t="n">
        <v>0.5758490000000001</v>
      </c>
      <c r="P20" s="28" t="n"/>
      <c r="Q20" s="28" t="n">
        <v>-0.134296</v>
      </c>
      <c r="R20" s="26" t="n">
        <v>0</v>
      </c>
      <c r="S20" s="29" t="n">
        <v>1.25</v>
      </c>
      <c r="T20" s="24" t="inlineStr">
        <is>
          <t>kbo-tie-aware-elo-v2</t>
        </is>
      </c>
      <c r="U20" s="24" t="inlineStr">
        <is>
          <t>settled</t>
        </is>
      </c>
      <c r="V20" s="24" t="inlineStr">
        <is>
          <t>loss</t>
        </is>
      </c>
      <c r="W20" s="26" t="n">
        <v>3</v>
      </c>
      <c r="X20" s="26" t="n">
        <v>4</v>
      </c>
      <c r="Y20" s="25" t="n"/>
      <c r="Z20" s="26" t="n"/>
      <c r="AA20" s="28" t="n"/>
      <c r="AB20" s="28" t="n"/>
      <c r="AC20" s="30" t="n">
        <v>-1.25</v>
      </c>
      <c r="AD20" s="24" t="inlineStr">
        <is>
          <t>2026-08-12T11:25:33.580880Z</t>
        </is>
      </c>
      <c r="AE20" s="31" t="inlineStr">
        <is>
          <t>Tie-aware Elo baseline; executable ask 0.7100 (market_slug=aec-kbo-khi-ltg-2026-08-12). Tie probability=0.0253.</t>
        </is>
      </c>
      <c r="AF20" s="31" t="inlineStr">
        <is>
          <t>Config-promoted international baseball baseline; gates enforced at log time.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paper_call</t>
        </is>
      </c>
      <c r="AL20" s="26" t="n">
        <v>3</v>
      </c>
      <c r="AM20" s="24" t="inlineStr">
        <is>
          <t>RESEARCH_OBSERVATION</t>
        </is>
      </c>
      <c r="AN20" s="24" t="inlineStr">
        <is>
          <t>CALL</t>
        </is>
      </c>
      <c r="AO20" s="24" t="inlineStr">
        <is>
          <t>PAPER_CALL_LOW_EDGE</t>
        </is>
      </c>
      <c r="AP20" s="24" t="inlineStr">
        <is>
          <t>LG Twins</t>
        </is>
      </c>
      <c r="AQ20" s="24" t="inlineStr">
        <is>
          <t>LG Twins</t>
        </is>
      </c>
      <c r="AR20" s="24" t="inlineStr">
        <is>
          <t>LG Twins</t>
        </is>
      </c>
      <c r="AS20" s="24" t="inlineStr">
        <is>
          <t>Kiwoom Heroes</t>
        </is>
      </c>
      <c r="AT20" s="24" t="inlineStr">
        <is>
          <t>Kiwoom Heroes</t>
        </is>
      </c>
      <c r="AU20" s="24" t="inlineStr">
        <is>
          <t>Kiwoom Heroes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cc6ea1b83ff16d7501f49063575d9bfa76cd7001cbae8a5672014d3aa4ff1706</t>
        </is>
      </c>
      <c r="BB20" s="24" t="inlineStr">
        <is>
          <t>tie_aware_elo</t>
        </is>
      </c>
      <c r="BC20" s="24" t="inlineStr">
        <is>
          <t>kbo-tie-aware-elo-v2</t>
        </is>
      </c>
      <c r="BD20" s="24" t="inlineStr">
        <is>
          <t>cc6ea1b83ff16d7501f49063575d9bfa76cd7001cbae8a5672014d3aa4ff1706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kbo-tie-aware-elo-v2</t>
        </is>
      </c>
      <c r="BH20" s="24" t="inlineStr">
        <is>
          <t>2026-08-12T08:21:34.448940Z</t>
        </is>
      </c>
      <c r="BI20" s="24" t="inlineStr">
        <is>
          <t>["same_event","same_team_same_day","same_league_same_day"]</t>
        </is>
      </c>
      <c r="BJ20" s="25" t="n"/>
      <c r="BK20" s="26" t="n">
        <v>-245</v>
      </c>
      <c r="BL20" s="27" t="n">
        <v>1.408163</v>
      </c>
      <c r="BM20" s="28" t="n">
        <v>0.710145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False</t>
        </is>
      </c>
      <c r="CT20" s="24" t="n"/>
      <c r="CU20" s="24" t="n"/>
      <c r="CV20" s="24" t="n"/>
      <c r="CW20" s="24" t="n"/>
      <c r="CX20" s="24" t="n"/>
      <c r="CY20" s="24" t="n"/>
      <c r="CZ20" s="24" t="n"/>
      <c r="DA20" s="24" t="n"/>
      <c r="DB20" s="24" t="n"/>
      <c r="DC20" s="24" t="n"/>
      <c r="DD20" s="24" t="n"/>
      <c r="DE20" s="24" t="n"/>
      <c r="DF20" s="24" t="n"/>
      <c r="DG20" s="24" t="n"/>
      <c r="DH20" s="24" t="n"/>
      <c r="DI20" s="24" t="n"/>
      <c r="DJ20" s="24" t="inlineStr">
        <is>
          <t>0.710145</t>
        </is>
      </c>
      <c r="DK20" s="24" t="n"/>
      <c r="DL20" s="24" t="n"/>
      <c r="DM20" s="24" t="n"/>
      <c r="DN20" s="24" t="n"/>
      <c r="DO20" s="24" t="n"/>
      <c r="DP20" s="24" t="n"/>
      <c r="DQ20" s="24" t="n"/>
    </row>
    <row r="21" ht="36" customHeight="1">
      <c r="A21" s="24" t="inlineStr">
        <is>
          <t>639d9dffcd6e41ed</t>
        </is>
      </c>
      <c r="B21" s="24" t="inlineStr">
        <is>
          <t>2026-08-13T07:32:36.934569Z</t>
        </is>
      </c>
      <c r="C21" s="24" t="inlineStr">
        <is>
          <t>2026-08-13T10:00:00Z</t>
        </is>
      </c>
      <c r="D21" s="24" t="inlineStr">
        <is>
          <t>77220</t>
        </is>
      </c>
      <c r="E21" s="24" t="inlineStr">
        <is>
          <t>KBO</t>
        </is>
      </c>
      <c r="F21" s="24" t="inlineStr">
        <is>
          <t>Hanwha Eagles</t>
        </is>
      </c>
      <c r="G21" s="24" t="inlineStr">
        <is>
          <t>Doosan Bears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122</v>
      </c>
      <c r="M21" s="27" t="n">
        <v>2.22</v>
      </c>
      <c r="N21" s="28" t="n">
        <v>0.45045</v>
      </c>
      <c r="O21" s="28" t="n">
        <v>0.528176</v>
      </c>
      <c r="P21" s="28" t="n"/>
      <c r="Q21" s="28" t="n">
        <v>0.077726</v>
      </c>
      <c r="R21" s="26" t="n">
        <v>59</v>
      </c>
      <c r="S21" s="29" t="n">
        <v>1</v>
      </c>
      <c r="T21" s="24" t="inlineStr">
        <is>
          <t>kbo-tie-aware-elo-v2</t>
        </is>
      </c>
      <c r="U21" s="24" t="inlineStr">
        <is>
          <t>settled</t>
        </is>
      </c>
      <c r="V21" s="24" t="inlineStr">
        <is>
          <t>win</t>
        </is>
      </c>
      <c r="W21" s="26" t="n">
        <v>6</v>
      </c>
      <c r="X21" s="26" t="n">
        <v>9</v>
      </c>
      <c r="Y21" s="25" t="n"/>
      <c r="Z21" s="26" t="n"/>
      <c r="AA21" s="28" t="n"/>
      <c r="AB21" s="28" t="n"/>
      <c r="AC21" s="30" t="n">
        <v>1.22</v>
      </c>
      <c r="AD21" s="24" t="inlineStr">
        <is>
          <t>2026-08-13T10:06:27.986483Z</t>
        </is>
      </c>
      <c r="AE21" s="31" t="inlineStr">
        <is>
          <t>Tie-aware Elo baseline; executable ask 0.4500 (market_slug=aec-kbo-dbo-hea-2026-08-13). Tie probability=0.0260.</t>
        </is>
      </c>
      <c r="AF21" s="31" t="inlineStr">
        <is>
          <t>Config-promoted international baseball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paper_call</t>
        </is>
      </c>
      <c r="AL21" s="26" t="n">
        <v>3</v>
      </c>
      <c r="AM21" s="24" t="inlineStr">
        <is>
          <t>RESEARCH_OBSERVATION</t>
        </is>
      </c>
      <c r="AN21" s="24" t="inlineStr">
        <is>
          <t>CALL</t>
        </is>
      </c>
      <c r="AO21" s="24" t="inlineStr">
        <is>
          <t>PAPER_CALL_LOW_EDGE</t>
        </is>
      </c>
      <c r="AP21" s="24" t="inlineStr">
        <is>
          <t>Hanwha Eagles</t>
        </is>
      </c>
      <c r="AQ21" s="24" t="inlineStr">
        <is>
          <t>Hanwha Eagles</t>
        </is>
      </c>
      <c r="AR21" s="24" t="inlineStr">
        <is>
          <t>Hanwha Eagles</t>
        </is>
      </c>
      <c r="AS21" s="24" t="inlineStr">
        <is>
          <t>Doosan Bears</t>
        </is>
      </c>
      <c r="AT21" s="24" t="inlineStr">
        <is>
          <t>Doosan Bears</t>
        </is>
      </c>
      <c r="AU21" s="24" t="inlineStr">
        <is>
          <t>Doosan Bears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d6bd4347a18020935ff6c3057f43f5d72f8c98014abe7e6e70a66b1eca44b337</t>
        </is>
      </c>
      <c r="BB21" s="24" t="inlineStr">
        <is>
          <t>tie_aware_elo</t>
        </is>
      </c>
      <c r="BC21" s="24" t="inlineStr">
        <is>
          <t>kbo-tie-aware-elo-v2</t>
        </is>
      </c>
      <c r="BD21" s="24" t="inlineStr">
        <is>
          <t>d6bd4347a18020935ff6c3057f43f5d72f8c98014abe7e6e70a66b1eca44b337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kbo-tie-aware-elo-v2</t>
        </is>
      </c>
      <c r="BH21" s="24" t="inlineStr">
        <is>
          <t>2026-08-13T07:32:34.898609Z</t>
        </is>
      </c>
      <c r="BI21" s="24" t="inlineStr">
        <is>
          <t>["same_event","same_team_same_day","same_league_same_day"]</t>
        </is>
      </c>
      <c r="BJ21" s="25" t="n"/>
      <c r="BK21" s="26" t="n">
        <v>122</v>
      </c>
      <c r="BL21" s="27" t="n">
        <v>2.22</v>
      </c>
      <c r="BM21" s="28" t="n">
        <v>0.45045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inlineStr">
        <is>
          <t>0.45045</t>
        </is>
      </c>
      <c r="DK21" s="24" t="n"/>
      <c r="DL21" s="24" t="n"/>
      <c r="DM21" s="24" t="n"/>
      <c r="DN21" s="24" t="n"/>
      <c r="DO21" s="24" t="n"/>
      <c r="DP21" s="24" t="n"/>
      <c r="DQ21" s="24" t="n"/>
    </row>
    <row r="22" ht="36" customHeight="1">
      <c r="A22" s="24" t="inlineStr">
        <is>
          <t>acc1c064ae934f16</t>
        </is>
      </c>
      <c r="B22" s="24" t="inlineStr">
        <is>
          <t>2026-08-13T07:32:36.934569Z</t>
        </is>
      </c>
      <c r="C22" s="24" t="inlineStr">
        <is>
          <t>2026-08-13T10:00:00Z</t>
        </is>
      </c>
      <c r="D22" s="24" t="inlineStr">
        <is>
          <t>77221</t>
        </is>
      </c>
      <c r="E22" s="24" t="inlineStr">
        <is>
          <t>KBO</t>
        </is>
      </c>
      <c r="F22" s="24" t="inlineStr">
        <is>
          <t>Lotte Giants</t>
        </is>
      </c>
      <c r="G22" s="24" t="inlineStr">
        <is>
          <t>SSG Landers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-127</v>
      </c>
      <c r="M22" s="27" t="n">
        <v>1.787402</v>
      </c>
      <c r="N22" s="28" t="n">
        <v>0.5594710000000001</v>
      </c>
      <c r="O22" s="28" t="n">
        <v>0.515911</v>
      </c>
      <c r="P22" s="28" t="n"/>
      <c r="Q22" s="28" t="n">
        <v>-0.04356</v>
      </c>
      <c r="R22" s="26" t="n">
        <v>0</v>
      </c>
      <c r="S22" s="29" t="n">
        <v>1</v>
      </c>
      <c r="T22" s="24" t="inlineStr">
        <is>
          <t>kbo-tie-aware-elo-v2</t>
        </is>
      </c>
      <c r="U22" s="24" t="inlineStr">
        <is>
          <t>settled</t>
        </is>
      </c>
      <c r="V22" s="24" t="inlineStr">
        <is>
          <t>win</t>
        </is>
      </c>
      <c r="W22" s="26" t="n">
        <v>11</v>
      </c>
      <c r="X22" s="26" t="n">
        <v>0</v>
      </c>
      <c r="Y22" s="25" t="n"/>
      <c r="Z22" s="26" t="n"/>
      <c r="AA22" s="28" t="n"/>
      <c r="AB22" s="28" t="n"/>
      <c r="AC22" s="30" t="n">
        <v>0.7874</v>
      </c>
      <c r="AD22" s="24" t="inlineStr">
        <is>
          <t>2026-08-13T10:06:28.130443Z</t>
        </is>
      </c>
      <c r="AE22" s="31" t="inlineStr">
        <is>
          <t>Tie-aware Elo baseline; executable ask 0.5600 (market_slug=aec-kbo-sls-lgo-2026-08-13). Tie probability=0.0260.</t>
        </is>
      </c>
      <c r="AF22" s="31" t="inlineStr">
        <is>
          <t>Config-promoted international baseball baseline; gates enforced at log time.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paper_call</t>
        </is>
      </c>
      <c r="AL22" s="26" t="n">
        <v>3</v>
      </c>
      <c r="AM22" s="24" t="inlineStr">
        <is>
          <t>RESEARCH_OBSERVATION</t>
        </is>
      </c>
      <c r="AN22" s="24" t="inlineStr">
        <is>
          <t>CALL</t>
        </is>
      </c>
      <c r="AO22" s="24" t="inlineStr">
        <is>
          <t>PAPER_CALL_LOW_EDGE</t>
        </is>
      </c>
      <c r="AP22" s="24" t="inlineStr">
        <is>
          <t>Lotte Giants</t>
        </is>
      </c>
      <c r="AQ22" s="24" t="inlineStr">
        <is>
          <t>Lotte Giants</t>
        </is>
      </c>
      <c r="AR22" s="24" t="inlineStr">
        <is>
          <t>Lotte Giants</t>
        </is>
      </c>
      <c r="AS22" s="24" t="inlineStr">
        <is>
          <t>SSG Landers</t>
        </is>
      </c>
      <c r="AT22" s="24" t="inlineStr">
        <is>
          <t>SSG Landers</t>
        </is>
      </c>
      <c r="AU22" s="24" t="inlineStr">
        <is>
          <t>SSG Landers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d6bd4347a18020935ff6c3057f43f5d72f8c98014abe7e6e70a66b1eca44b337</t>
        </is>
      </c>
      <c r="BB22" s="24" t="inlineStr">
        <is>
          <t>tie_aware_elo</t>
        </is>
      </c>
      <c r="BC22" s="24" t="inlineStr">
        <is>
          <t>kbo-tie-aware-elo-v2</t>
        </is>
      </c>
      <c r="BD22" s="24" t="inlineStr">
        <is>
          <t>d6bd4347a18020935ff6c3057f43f5d72f8c98014abe7e6e70a66b1eca44b337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kbo-tie-aware-elo-v2</t>
        </is>
      </c>
      <c r="BH22" s="24" t="inlineStr">
        <is>
          <t>2026-08-13T07:32:35.524021Z</t>
        </is>
      </c>
      <c r="BI22" s="24" t="inlineStr">
        <is>
          <t>["same_event","same_team_same_day","same_league_same_day"]</t>
        </is>
      </c>
      <c r="BJ22" s="25" t="n"/>
      <c r="BK22" s="26" t="n">
        <v>-127</v>
      </c>
      <c r="BL22" s="27" t="n">
        <v>1.787402</v>
      </c>
      <c r="BM22" s="28" t="n">
        <v>0.5594710000000001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False</t>
        </is>
      </c>
      <c r="CT22" s="24" t="n"/>
      <c r="CU22" s="24" t="n"/>
      <c r="CV22" s="24" t="n"/>
      <c r="CW22" s="24" t="n"/>
      <c r="CX22" s="24" t="n"/>
      <c r="CY22" s="24" t="n"/>
      <c r="CZ22" s="24" t="n"/>
      <c r="DA22" s="24" t="n"/>
      <c r="DB22" s="24" t="n"/>
      <c r="DC22" s="24" t="n"/>
      <c r="DD22" s="24" t="n"/>
      <c r="DE22" s="24" t="n"/>
      <c r="DF22" s="24" t="n"/>
      <c r="DG22" s="24" t="n"/>
      <c r="DH22" s="24" t="n"/>
      <c r="DI22" s="24" t="n"/>
      <c r="DJ22" s="24" t="inlineStr">
        <is>
          <t>0.559471</t>
        </is>
      </c>
      <c r="DK22" s="24" t="n"/>
      <c r="DL22" s="24" t="n"/>
      <c r="DM22" s="24" t="n"/>
      <c r="DN22" s="24" t="n"/>
      <c r="DO22" s="24" t="n"/>
      <c r="DP22" s="24" t="n"/>
      <c r="DQ22" s="24" t="n"/>
    </row>
    <row r="23" ht="36" customHeight="1">
      <c r="A23" s="24" t="inlineStr">
        <is>
          <t>9eeaf5ce9c8d4cb1</t>
        </is>
      </c>
      <c r="B23" s="24" t="inlineStr">
        <is>
          <t>2026-08-13T07:32:36.934569Z</t>
        </is>
      </c>
      <c r="C23" s="24" t="inlineStr">
        <is>
          <t>2026-08-13T10:00:00Z</t>
        </is>
      </c>
      <c r="D23" s="24" t="inlineStr">
        <is>
          <t>77222</t>
        </is>
      </c>
      <c r="E23" s="24" t="inlineStr">
        <is>
          <t>KBO</t>
        </is>
      </c>
      <c r="F23" s="24" t="inlineStr">
        <is>
          <t>Samsung Lions</t>
        </is>
      </c>
      <c r="G23" s="24" t="inlineStr">
        <is>
          <t>Kia Tigers</t>
        </is>
      </c>
      <c r="H23" s="24" t="inlineStr">
        <is>
          <t>moneyline</t>
        </is>
      </c>
      <c r="I23" s="24" t="inlineStr">
        <is>
          <t>away</t>
        </is>
      </c>
      <c r="J23" s="25" t="n"/>
      <c r="K23" s="24" t="inlineStr">
        <is>
          <t>polymarket_us</t>
        </is>
      </c>
      <c r="L23" s="26" t="n">
        <v>-194</v>
      </c>
      <c r="M23" s="27" t="n">
        <v>1.515464</v>
      </c>
      <c r="N23" s="28" t="n">
        <v>0.659864</v>
      </c>
      <c r="O23" s="28" t="n">
        <v>0.518728</v>
      </c>
      <c r="P23" s="28" t="n"/>
      <c r="Q23" s="28" t="n">
        <v>-0.141136</v>
      </c>
      <c r="R23" s="26" t="n">
        <v>0</v>
      </c>
      <c r="S23" s="29" t="n">
        <v>1</v>
      </c>
      <c r="T23" s="24" t="inlineStr">
        <is>
          <t>kbo-tie-aware-elo-v2</t>
        </is>
      </c>
      <c r="U23" s="24" t="inlineStr">
        <is>
          <t>settled</t>
        </is>
      </c>
      <c r="V23" s="24" t="inlineStr">
        <is>
          <t>win</t>
        </is>
      </c>
      <c r="W23" s="26" t="n">
        <v>9</v>
      </c>
      <c r="X23" s="26" t="n">
        <v>8</v>
      </c>
      <c r="Y23" s="25" t="n"/>
      <c r="Z23" s="26" t="n"/>
      <c r="AA23" s="28" t="n"/>
      <c r="AB23" s="28" t="n"/>
      <c r="AC23" s="30" t="n">
        <v>0.5155</v>
      </c>
      <c r="AD23" s="24" t="inlineStr">
        <is>
          <t>2026-08-13T10:06:28.251805Z</t>
        </is>
      </c>
      <c r="AE23" s="31" t="inlineStr">
        <is>
          <t>Tie-aware Elo baseline; executable ask 0.6600 (market_slug=aec-kbo-kti-sla-2026-08-13). Tie probability=0.0260.</t>
        </is>
      </c>
      <c r="AF23" s="31" t="inlineStr">
        <is>
          <t>Config-promoted international baseball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paper_call</t>
        </is>
      </c>
      <c r="AL23" s="26" t="n">
        <v>3</v>
      </c>
      <c r="AM23" s="24" t="inlineStr">
        <is>
          <t>RESEARCH_OBSERVATION</t>
        </is>
      </c>
      <c r="AN23" s="24" t="inlineStr">
        <is>
          <t>CALL</t>
        </is>
      </c>
      <c r="AO23" s="24" t="inlineStr">
        <is>
          <t>PAPER_CALL_LOW_EDGE</t>
        </is>
      </c>
      <c r="AP23" s="24" t="inlineStr">
        <is>
          <t>Samsung Lions</t>
        </is>
      </c>
      <c r="AQ23" s="24" t="inlineStr">
        <is>
          <t>Samsung Lions</t>
        </is>
      </c>
      <c r="AR23" s="24" t="inlineStr">
        <is>
          <t>Samsung Lions</t>
        </is>
      </c>
      <c r="AS23" s="24" t="inlineStr">
        <is>
          <t>Kia Tigers</t>
        </is>
      </c>
      <c r="AT23" s="24" t="inlineStr">
        <is>
          <t>Kia Tigers</t>
        </is>
      </c>
      <c r="AU23" s="24" t="inlineStr">
        <is>
          <t>Kia Tigers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d6bd4347a18020935ff6c3057f43f5d72f8c98014abe7e6e70a66b1eca44b337</t>
        </is>
      </c>
      <c r="BB23" s="24" t="inlineStr">
        <is>
          <t>tie_aware_elo</t>
        </is>
      </c>
      <c r="BC23" s="24" t="inlineStr">
        <is>
          <t>kbo-tie-aware-elo-v2</t>
        </is>
      </c>
      <c r="BD23" s="24" t="inlineStr">
        <is>
          <t>d6bd4347a18020935ff6c3057f43f5d72f8c98014abe7e6e70a66b1eca44b337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kbo-tie-aware-elo-v2</t>
        </is>
      </c>
      <c r="BH23" s="24" t="inlineStr">
        <is>
          <t>2026-08-13T07:32:35.996158Z</t>
        </is>
      </c>
      <c r="BI23" s="24" t="inlineStr">
        <is>
          <t>["same_event","same_team_same_day","same_league_same_day"]</t>
        </is>
      </c>
      <c r="BJ23" s="25" t="n"/>
      <c r="BK23" s="26" t="n">
        <v>-194</v>
      </c>
      <c r="BL23" s="27" t="n">
        <v>1.515464</v>
      </c>
      <c r="BM23" s="28" t="n">
        <v>0.659864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False</t>
        </is>
      </c>
      <c r="CT23" s="24" t="n"/>
      <c r="CU23" s="24" t="n"/>
      <c r="CV23" s="24" t="n"/>
      <c r="CW23" s="24" t="n"/>
      <c r="CX23" s="24" t="n"/>
      <c r="CY23" s="24" t="n"/>
      <c r="CZ23" s="24" t="n"/>
      <c r="DA23" s="24" t="n"/>
      <c r="DB23" s="24" t="n"/>
      <c r="DC23" s="24" t="n"/>
      <c r="DD23" s="24" t="n"/>
      <c r="DE23" s="24" t="n"/>
      <c r="DF23" s="24" t="n"/>
      <c r="DG23" s="24" t="n"/>
      <c r="DH23" s="24" t="n"/>
      <c r="DI23" s="24" t="n"/>
      <c r="DJ23" s="24" t="inlineStr">
        <is>
          <t>0.659864</t>
        </is>
      </c>
      <c r="DK23" s="24" t="n"/>
      <c r="DL23" s="24" t="n"/>
      <c r="DM23" s="24" t="n"/>
      <c r="DN23" s="24" t="n"/>
      <c r="DO23" s="24" t="n"/>
      <c r="DP23" s="24" t="n"/>
      <c r="DQ23" s="24" t="n"/>
    </row>
    <row r="24" ht="36" customHeight="1">
      <c r="A24" s="24" t="inlineStr">
        <is>
          <t>35c360f2be8247f1</t>
        </is>
      </c>
      <c r="B24" s="24" t="inlineStr">
        <is>
          <t>2026-08-13T07:32:36.934569Z</t>
        </is>
      </c>
      <c r="C24" s="24" t="inlineStr">
        <is>
          <t>2026-08-13T10:00:00Z</t>
        </is>
      </c>
      <c r="D24" s="24" t="inlineStr">
        <is>
          <t>77223</t>
        </is>
      </c>
      <c r="E24" s="24" t="inlineStr">
        <is>
          <t>KBO</t>
        </is>
      </c>
      <c r="F24" s="24" t="inlineStr">
        <is>
          <t>LG Twins</t>
        </is>
      </c>
      <c r="G24" s="24" t="inlineStr">
        <is>
          <t>Kiwoom Heroes</t>
        </is>
      </c>
      <c r="H24" s="24" t="inlineStr">
        <is>
          <t>moneyline</t>
        </is>
      </c>
      <c r="I24" s="24" t="inlineStr">
        <is>
          <t>away</t>
        </is>
      </c>
      <c r="J24" s="25" t="n"/>
      <c r="K24" s="24" t="inlineStr">
        <is>
          <t>polymarket_us</t>
        </is>
      </c>
      <c r="L24" s="26" t="n">
        <v>-170</v>
      </c>
      <c r="M24" s="27" t="n">
        <v>1.588235</v>
      </c>
      <c r="N24" s="28" t="n">
        <v>0.62963</v>
      </c>
      <c r="O24" s="28" t="n">
        <v>0.56116</v>
      </c>
      <c r="P24" s="28" t="n"/>
      <c r="Q24" s="28" t="n">
        <v>-0.06847</v>
      </c>
      <c r="R24" s="26" t="n">
        <v>0</v>
      </c>
      <c r="S24" s="29" t="n">
        <v>1</v>
      </c>
      <c r="T24" s="24" t="inlineStr">
        <is>
          <t>kbo-tie-aware-elo-v2</t>
        </is>
      </c>
      <c r="U24" s="24" t="inlineStr">
        <is>
          <t>settled</t>
        </is>
      </c>
      <c r="V24" s="24" t="inlineStr">
        <is>
          <t>win</t>
        </is>
      </c>
      <c r="W24" s="26" t="n">
        <v>13</v>
      </c>
      <c r="X24" s="26" t="n">
        <v>6</v>
      </c>
      <c r="Y24" s="25" t="n"/>
      <c r="Z24" s="26" t="n"/>
      <c r="AA24" s="28" t="n"/>
      <c r="AB24" s="28" t="n"/>
      <c r="AC24" s="30" t="n">
        <v>0.5881999999999999</v>
      </c>
      <c r="AD24" s="24" t="inlineStr">
        <is>
          <t>2026-08-13T10:06:28.375256Z</t>
        </is>
      </c>
      <c r="AE24" s="31" t="inlineStr">
        <is>
          <t>Tie-aware Elo baseline; executable ask 0.6300 (market_slug=aec-kbo-khi-ltg-2026-08-13). Tie probability=0.0260.</t>
        </is>
      </c>
      <c r="AF24" s="31" t="inlineStr">
        <is>
          <t>Config-promoted international baseball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paper_call</t>
        </is>
      </c>
      <c r="AL24" s="26" t="n">
        <v>3</v>
      </c>
      <c r="AM24" s="24" t="inlineStr">
        <is>
          <t>RESEARCH_OBSERVATION</t>
        </is>
      </c>
      <c r="AN24" s="24" t="inlineStr">
        <is>
          <t>CALL</t>
        </is>
      </c>
      <c r="AO24" s="24" t="inlineStr">
        <is>
          <t>PAPER_CALL_LOW_EDGE</t>
        </is>
      </c>
      <c r="AP24" s="24" t="inlineStr">
        <is>
          <t>LG Twins</t>
        </is>
      </c>
      <c r="AQ24" s="24" t="inlineStr">
        <is>
          <t>LG Twins</t>
        </is>
      </c>
      <c r="AR24" s="24" t="inlineStr">
        <is>
          <t>LG Twins</t>
        </is>
      </c>
      <c r="AS24" s="24" t="inlineStr">
        <is>
          <t>Kiwoom Heroes</t>
        </is>
      </c>
      <c r="AT24" s="24" t="inlineStr">
        <is>
          <t>Kiwoom Heroes</t>
        </is>
      </c>
      <c r="AU24" s="24" t="inlineStr">
        <is>
          <t>Kiwoom Heroes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d6bd4347a18020935ff6c3057f43f5d72f8c98014abe7e6e70a66b1eca44b337</t>
        </is>
      </c>
      <c r="BB24" s="24" t="inlineStr">
        <is>
          <t>tie_aware_elo</t>
        </is>
      </c>
      <c r="BC24" s="24" t="inlineStr">
        <is>
          <t>kbo-tie-aware-elo-v2</t>
        </is>
      </c>
      <c r="BD24" s="24" t="inlineStr">
        <is>
          <t>d6bd4347a18020935ff6c3057f43f5d72f8c98014abe7e6e70a66b1eca44b337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kbo-tie-aware-elo-v2</t>
        </is>
      </c>
      <c r="BH24" s="24" t="inlineStr">
        <is>
          <t>2026-08-13T07:32:36.470286Z</t>
        </is>
      </c>
      <c r="BI24" s="24" t="inlineStr">
        <is>
          <t>["same_event","same_team_same_day","same_league_same_day"]</t>
        </is>
      </c>
      <c r="BJ24" s="25" t="n"/>
      <c r="BK24" s="26" t="n">
        <v>-170</v>
      </c>
      <c r="BL24" s="27" t="n">
        <v>1.588235</v>
      </c>
      <c r="BM24" s="28" t="n">
        <v>0.62963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False</t>
        </is>
      </c>
      <c r="CT24" s="24" t="n"/>
      <c r="CU24" s="24" t="n"/>
      <c r="CV24" s="24" t="n"/>
      <c r="CW24" s="24" t="n"/>
      <c r="CX24" s="24" t="n"/>
      <c r="CY24" s="24" t="n"/>
      <c r="CZ24" s="24" t="n"/>
      <c r="DA24" s="24" t="n"/>
      <c r="DB24" s="24" t="n"/>
      <c r="DC24" s="24" t="n"/>
      <c r="DD24" s="24" t="n"/>
      <c r="DE24" s="24" t="n"/>
      <c r="DF24" s="24" t="n"/>
      <c r="DG24" s="24" t="n"/>
      <c r="DH24" s="24" t="n"/>
      <c r="DI24" s="24" t="n"/>
      <c r="DJ24" s="24" t="inlineStr">
        <is>
          <t>0.62963</t>
        </is>
      </c>
      <c r="DK24" s="24" t="n"/>
      <c r="DL24" s="24" t="n"/>
      <c r="DM24" s="24" t="n"/>
      <c r="DN24" s="24" t="n"/>
      <c r="DO24" s="24" t="n"/>
      <c r="DP24" s="24" t="n"/>
      <c r="DQ24" s="24" t="n"/>
    </row>
    <row r="25" ht="36" customHeight="1">
      <c r="A25" s="24" t="inlineStr">
        <is>
          <t>6ac39ae14c214e0f</t>
        </is>
      </c>
      <c r="B25" s="24" t="inlineStr">
        <is>
          <t>2026-08-13T07:32:36.934569Z</t>
        </is>
      </c>
      <c r="C25" s="24" t="inlineStr">
        <is>
          <t>2026-08-13T10:00:00Z</t>
        </is>
      </c>
      <c r="D25" s="24" t="inlineStr">
        <is>
          <t>77224</t>
        </is>
      </c>
      <c r="E25" s="24" t="inlineStr">
        <is>
          <t>KBO</t>
        </is>
      </c>
      <c r="F25" s="24" t="inlineStr">
        <is>
          <t>KT Wiz</t>
        </is>
      </c>
      <c r="G25" s="24" t="inlineStr">
        <is>
          <t>NC Dinos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-113</v>
      </c>
      <c r="M25" s="27" t="n">
        <v>1.884956</v>
      </c>
      <c r="N25" s="28" t="n">
        <v>0.530516</v>
      </c>
      <c r="O25" s="28" t="n">
        <v>0.5823120000000001</v>
      </c>
      <c r="P25" s="28" t="n"/>
      <c r="Q25" s="28" t="n">
        <v>0.051796</v>
      </c>
      <c r="R25" s="26" t="n">
        <v>46</v>
      </c>
      <c r="S25" s="29" t="n">
        <v>1.25</v>
      </c>
      <c r="T25" s="24" t="inlineStr">
        <is>
          <t>kbo-tie-aware-elo-v2</t>
        </is>
      </c>
      <c r="U25" s="24" t="inlineStr">
        <is>
          <t>settled</t>
        </is>
      </c>
      <c r="V25" s="24" t="inlineStr">
        <is>
          <t>loss</t>
        </is>
      </c>
      <c r="W25" s="26" t="n">
        <v>5</v>
      </c>
      <c r="X25" s="26" t="n">
        <v>6</v>
      </c>
      <c r="Y25" s="25" t="n"/>
      <c r="Z25" s="26" t="n"/>
      <c r="AA25" s="28" t="n"/>
      <c r="AB25" s="28" t="n"/>
      <c r="AC25" s="30" t="n">
        <v>-1.25</v>
      </c>
      <c r="AD25" s="24" t="inlineStr">
        <is>
          <t>2026-08-13T10:06:28.497691Z</t>
        </is>
      </c>
      <c r="AE25" s="31" t="inlineStr">
        <is>
          <t>Tie-aware Elo baseline; executable ask 0.5300 (market_slug=aec-kbo-ndc-kwt-2026-08-13). Tie probability=0.0260.</t>
        </is>
      </c>
      <c r="AF25" s="31" t="inlineStr">
        <is>
          <t>Config-promoted international baseball baseline; gates enforced at log time.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paper_call</t>
        </is>
      </c>
      <c r="AL25" s="26" t="n">
        <v>3</v>
      </c>
      <c r="AM25" s="24" t="inlineStr">
        <is>
          <t>RESEARCH_OBSERVATION</t>
        </is>
      </c>
      <c r="AN25" s="24" t="inlineStr">
        <is>
          <t>CALL</t>
        </is>
      </c>
      <c r="AO25" s="24" t="inlineStr">
        <is>
          <t>PAPER_CALL_LOW_EDGE</t>
        </is>
      </c>
      <c r="AP25" s="24" t="inlineStr">
        <is>
          <t>KT Wiz</t>
        </is>
      </c>
      <c r="AQ25" s="24" t="inlineStr">
        <is>
          <t>KT Wiz</t>
        </is>
      </c>
      <c r="AR25" s="24" t="inlineStr">
        <is>
          <t>KT Wiz</t>
        </is>
      </c>
      <c r="AS25" s="24" t="inlineStr">
        <is>
          <t>NC Dinos</t>
        </is>
      </c>
      <c r="AT25" s="24" t="inlineStr">
        <is>
          <t>NC Dinos</t>
        </is>
      </c>
      <c r="AU25" s="24" t="inlineStr">
        <is>
          <t>NC Dinos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d6bd4347a18020935ff6c3057f43f5d72f8c98014abe7e6e70a66b1eca44b337</t>
        </is>
      </c>
      <c r="BB25" s="24" t="inlineStr">
        <is>
          <t>tie_aware_elo</t>
        </is>
      </c>
      <c r="BC25" s="24" t="inlineStr">
        <is>
          <t>kbo-tie-aware-elo-v2</t>
        </is>
      </c>
      <c r="BD25" s="24" t="inlineStr">
        <is>
          <t>d6bd4347a18020935ff6c3057f43f5d72f8c98014abe7e6e70a66b1eca44b337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kbo-tie-aware-elo-v2</t>
        </is>
      </c>
      <c r="BH25" s="24" t="inlineStr">
        <is>
          <t>2026-08-13T07:32:36.934402Z</t>
        </is>
      </c>
      <c r="BI25" s="24" t="inlineStr">
        <is>
          <t>["same_event","same_team_same_day","same_league_same_day"]</t>
        </is>
      </c>
      <c r="BJ25" s="25" t="n"/>
      <c r="BK25" s="26" t="n">
        <v>-113</v>
      </c>
      <c r="BL25" s="27" t="n">
        <v>1.884956</v>
      </c>
      <c r="BM25" s="28" t="n">
        <v>0.530516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inlineStr">
        <is>
          <t>0.530516</t>
        </is>
      </c>
      <c r="DK25" s="24" t="n"/>
      <c r="DL25" s="24" t="n"/>
      <c r="DM25" s="24" t="n"/>
      <c r="DN25" s="24" t="n"/>
      <c r="DO25" s="24" t="n"/>
      <c r="DP25" s="24" t="n"/>
      <c r="DQ25" s="24" t="n"/>
    </row>
    <row r="26" ht="36" customHeight="1">
      <c r="A26" s="24" t="inlineStr">
        <is>
          <t>becb4f87c8a14d79</t>
        </is>
      </c>
      <c r="B26" s="24" t="inlineStr">
        <is>
          <t>2026-08-14T07:40:54.664764Z</t>
        </is>
      </c>
      <c r="C26" s="24" t="inlineStr">
        <is>
          <t>2026-08-14T10:00:00Z</t>
        </is>
      </c>
      <c r="D26" s="24" t="inlineStr">
        <is>
          <t>78561</t>
        </is>
      </c>
      <c r="E26" s="24" t="inlineStr">
        <is>
          <t>KBO</t>
        </is>
      </c>
      <c r="F26" s="24" t="inlineStr">
        <is>
          <t>Kiwoom Heroes</t>
        </is>
      </c>
      <c r="G26" s="24" t="inlineStr">
        <is>
          <t>KT Wiz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-335</v>
      </c>
      <c r="M26" s="27" t="n">
        <v>1.298507</v>
      </c>
      <c r="N26" s="28" t="n">
        <v>0.770115</v>
      </c>
      <c r="O26" s="28" t="n">
        <v>0.632309</v>
      </c>
      <c r="P26" s="28" t="n"/>
      <c r="Q26" s="28" t="n">
        <v>-0.137806</v>
      </c>
      <c r="R26" s="26" t="n">
        <v>0</v>
      </c>
      <c r="S26" s="29" t="n">
        <v>1.5</v>
      </c>
      <c r="T26" s="24" t="inlineStr">
        <is>
          <t>kbo-tie-aware-elo-v2</t>
        </is>
      </c>
      <c r="U26" s="24" t="inlineStr">
        <is>
          <t>settled</t>
        </is>
      </c>
      <c r="V26" s="24" t="inlineStr">
        <is>
          <t>win</t>
        </is>
      </c>
      <c r="W26" s="26" t="n">
        <v>3</v>
      </c>
      <c r="X26" s="26" t="n">
        <v>8</v>
      </c>
      <c r="Y26" s="25" t="n"/>
      <c r="Z26" s="26" t="n"/>
      <c r="AA26" s="28" t="n"/>
      <c r="AB26" s="28" t="n"/>
      <c r="AC26" s="30" t="n">
        <v>0.4478</v>
      </c>
      <c r="AD26" s="24" t="inlineStr">
        <is>
          <t>2026-08-14T17:00:37.445278Z</t>
        </is>
      </c>
      <c r="AE26" s="31" t="inlineStr">
        <is>
          <t>Tie-aware Elo baseline; executable ask 0.7700 (market_slug=aec-kbo-kwt-khi-2026-08-14). Tie probability=0.0225.</t>
        </is>
      </c>
      <c r="AF26" s="31" t="inlineStr">
        <is>
          <t>Config-promoted international baseball baseline; gates enforced at log time.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paper_call</t>
        </is>
      </c>
      <c r="AL26" s="26" t="n">
        <v>3</v>
      </c>
      <c r="AM26" s="24" t="inlineStr">
        <is>
          <t>RESEARCH_OBSERVATION</t>
        </is>
      </c>
      <c r="AN26" s="24" t="inlineStr">
        <is>
          <t>CALL</t>
        </is>
      </c>
      <c r="AO26" s="24" t="inlineStr">
        <is>
          <t>PAPER_CALL_LOW_EDGE</t>
        </is>
      </c>
      <c r="AP26" s="24" t="inlineStr">
        <is>
          <t>Kiwoom Heroes</t>
        </is>
      </c>
      <c r="AQ26" s="24" t="inlineStr">
        <is>
          <t>Kiwoom Heroes</t>
        </is>
      </c>
      <c r="AR26" s="24" t="inlineStr">
        <is>
          <t>Kiwoom Heroes</t>
        </is>
      </c>
      <c r="AS26" s="24" t="inlineStr">
        <is>
          <t>KT Wiz</t>
        </is>
      </c>
      <c r="AT26" s="24" t="inlineStr">
        <is>
          <t>KT Wiz</t>
        </is>
      </c>
      <c r="AU26" s="24" t="inlineStr">
        <is>
          <t>KT Wiz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3a572a3fc135ed105088206acaf7cc0cdbe6ced4b24cde4eed0f6b8d210f621c</t>
        </is>
      </c>
      <c r="BB26" s="24" t="inlineStr">
        <is>
          <t>tie_aware_elo</t>
        </is>
      </c>
      <c r="BC26" s="24" t="inlineStr">
        <is>
          <t>kbo-tie-aware-elo-v2</t>
        </is>
      </c>
      <c r="BD26" s="24" t="inlineStr">
        <is>
          <t>3a572a3fc135ed105088206acaf7cc0cdbe6ced4b24cde4eed0f6b8d210f621c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kbo-tie-aware-elo-v2</t>
        </is>
      </c>
      <c r="BH26" s="24" t="inlineStr">
        <is>
          <t>2026-08-14T07:40:52.096995Z</t>
        </is>
      </c>
      <c r="BI26" s="24" t="inlineStr">
        <is>
          <t>["same_event","same_team_same_day","same_league_same_day"]</t>
        </is>
      </c>
      <c r="BJ26" s="25" t="n"/>
      <c r="BK26" s="26" t="n">
        <v>-335</v>
      </c>
      <c r="BL26" s="27" t="n">
        <v>1.298507</v>
      </c>
      <c r="BM26" s="28" t="n">
        <v>0.770115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False</t>
        </is>
      </c>
      <c r="CT26" s="24" t="n"/>
      <c r="CU26" s="24" t="n"/>
      <c r="CV26" s="24" t="n"/>
      <c r="CW26" s="24" t="n"/>
      <c r="CX26" s="24" t="n"/>
      <c r="CY26" s="24" t="n"/>
      <c r="CZ26" s="24" t="n"/>
      <c r="DA26" s="24" t="n"/>
      <c r="DB26" s="24" t="n"/>
      <c r="DC26" s="24" t="n"/>
      <c r="DD26" s="24" t="n"/>
      <c r="DE26" s="24" t="n"/>
      <c r="DF26" s="24" t="n"/>
      <c r="DG26" s="24" t="n"/>
      <c r="DH26" s="24" t="n"/>
      <c r="DI26" s="24" t="n"/>
      <c r="DJ26" s="24" t="inlineStr">
        <is>
          <t>0.770115</t>
        </is>
      </c>
      <c r="DK26" s="24" t="n"/>
      <c r="DL26" s="24" t="n"/>
      <c r="DM26" s="24" t="n"/>
      <c r="DN26" s="24" t="n"/>
      <c r="DO26" s="24" t="n"/>
      <c r="DP26" s="24" t="n"/>
      <c r="DQ26" s="24" t="n"/>
    </row>
    <row r="27" ht="36" customHeight="1">
      <c r="A27" s="24" t="inlineStr">
        <is>
          <t>9d3a5d54479c41d0</t>
        </is>
      </c>
      <c r="B27" s="24" t="inlineStr">
        <is>
          <t>2026-08-14T07:40:54.664764Z</t>
        </is>
      </c>
      <c r="C27" s="24" t="inlineStr">
        <is>
          <t>2026-08-14T10:00:00Z</t>
        </is>
      </c>
      <c r="D27" s="24" t="inlineStr">
        <is>
          <t>78562</t>
        </is>
      </c>
      <c r="E27" s="24" t="inlineStr">
        <is>
          <t>KBO</t>
        </is>
      </c>
      <c r="F27" s="24" t="inlineStr">
        <is>
          <t>SSG Landers</t>
        </is>
      </c>
      <c r="G27" s="24" t="inlineStr">
        <is>
          <t>LG Twins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-163</v>
      </c>
      <c r="M27" s="27" t="n">
        <v>1.613497</v>
      </c>
      <c r="N27" s="28" t="n">
        <v>0.619772</v>
      </c>
      <c r="O27" s="28" t="n">
        <v>0.562233</v>
      </c>
      <c r="P27" s="28" t="n"/>
      <c r="Q27" s="28" t="n">
        <v>-0.057539</v>
      </c>
      <c r="R27" s="26" t="n">
        <v>0</v>
      </c>
      <c r="S27" s="29" t="n">
        <v>1</v>
      </c>
      <c r="T27" s="24" t="inlineStr">
        <is>
          <t>kbo-tie-aware-elo-v2</t>
        </is>
      </c>
      <c r="U27" s="24" t="inlineStr">
        <is>
          <t>settled</t>
        </is>
      </c>
      <c r="V27" s="24" t="inlineStr">
        <is>
          <t>loss</t>
        </is>
      </c>
      <c r="W27" s="26" t="n">
        <v>5</v>
      </c>
      <c r="X27" s="26" t="n">
        <v>3</v>
      </c>
      <c r="Y27" s="25" t="n"/>
      <c r="Z27" s="26" t="n"/>
      <c r="AA27" s="28" t="n"/>
      <c r="AB27" s="28" t="n"/>
      <c r="AC27" s="30" t="n">
        <v>-1</v>
      </c>
      <c r="AD27" s="24" t="inlineStr">
        <is>
          <t>2026-08-14T17:00:37.610131Z</t>
        </is>
      </c>
      <c r="AE27" s="31" t="inlineStr">
        <is>
          <t>Tie-aware Elo baseline; executable ask 0.6200 (market_slug=aec-kbo-ltg-sls-2026-08-14). Tie probability=0.0225.</t>
        </is>
      </c>
      <c r="AF27" s="31" t="inlineStr">
        <is>
          <t>Config-promoted international baseball baseline; gates enforced at log time.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paper_call</t>
        </is>
      </c>
      <c r="AL27" s="26" t="n">
        <v>3</v>
      </c>
      <c r="AM27" s="24" t="inlineStr">
        <is>
          <t>RESEARCH_OBSERVATION</t>
        </is>
      </c>
      <c r="AN27" s="24" t="inlineStr">
        <is>
          <t>CALL</t>
        </is>
      </c>
      <c r="AO27" s="24" t="inlineStr">
        <is>
          <t>PAPER_CALL_LOW_EDGE</t>
        </is>
      </c>
      <c r="AP27" s="24" t="inlineStr">
        <is>
          <t>SSG Landers</t>
        </is>
      </c>
      <c r="AQ27" s="24" t="inlineStr">
        <is>
          <t>SSG Landers</t>
        </is>
      </c>
      <c r="AR27" s="24" t="inlineStr">
        <is>
          <t>SSG Landers</t>
        </is>
      </c>
      <c r="AS27" s="24" t="inlineStr">
        <is>
          <t>LG Twins</t>
        </is>
      </c>
      <c r="AT27" s="24" t="inlineStr">
        <is>
          <t>LG Twins</t>
        </is>
      </c>
      <c r="AU27" s="24" t="inlineStr">
        <is>
          <t>LG Twins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3a572a3fc135ed105088206acaf7cc0cdbe6ced4b24cde4eed0f6b8d210f621c</t>
        </is>
      </c>
      <c r="BB27" s="24" t="inlineStr">
        <is>
          <t>tie_aware_elo</t>
        </is>
      </c>
      <c r="BC27" s="24" t="inlineStr">
        <is>
          <t>kbo-tie-aware-elo-v2</t>
        </is>
      </c>
      <c r="BD27" s="24" t="inlineStr">
        <is>
          <t>3a572a3fc135ed105088206acaf7cc0cdbe6ced4b24cde4eed0f6b8d210f621c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kbo-tie-aware-elo-v2</t>
        </is>
      </c>
      <c r="BH27" s="24" t="inlineStr">
        <is>
          <t>2026-08-14T07:40:52.651193Z</t>
        </is>
      </c>
      <c r="BI27" s="24" t="inlineStr">
        <is>
          <t>["same_event","same_team_same_day","same_league_same_day"]</t>
        </is>
      </c>
      <c r="BJ27" s="25" t="n"/>
      <c r="BK27" s="26" t="n">
        <v>-163</v>
      </c>
      <c r="BL27" s="27" t="n">
        <v>1.613497</v>
      </c>
      <c r="BM27" s="28" t="n">
        <v>0.619772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False</t>
        </is>
      </c>
      <c r="CT27" s="24" t="n"/>
      <c r="CU27" s="24" t="n"/>
      <c r="CV27" s="24" t="n"/>
      <c r="CW27" s="24" t="n"/>
      <c r="CX27" s="24" t="n"/>
      <c r="CY27" s="24" t="n"/>
      <c r="CZ27" s="24" t="n"/>
      <c r="DA27" s="24" t="n"/>
      <c r="DB27" s="24" t="n"/>
      <c r="DC27" s="24" t="n"/>
      <c r="DD27" s="24" t="n"/>
      <c r="DE27" s="24" t="n"/>
      <c r="DF27" s="24" t="n"/>
      <c r="DG27" s="24" t="n"/>
      <c r="DH27" s="24" t="n"/>
      <c r="DI27" s="24" t="n"/>
      <c r="DJ27" s="24" t="inlineStr">
        <is>
          <t>0.619772</t>
        </is>
      </c>
      <c r="DK27" s="24" t="n"/>
      <c r="DL27" s="24" t="n"/>
      <c r="DM27" s="24" t="n"/>
      <c r="DN27" s="24" t="n"/>
      <c r="DO27" s="24" t="n"/>
      <c r="DP27" s="24" t="n"/>
      <c r="DQ27" s="24" t="n"/>
    </row>
    <row r="28" ht="36" customHeight="1">
      <c r="A28" s="24" t="inlineStr">
        <is>
          <t>ed25f36756214c83</t>
        </is>
      </c>
      <c r="B28" s="24" t="inlineStr">
        <is>
          <t>2026-08-14T07:40:54.664764Z</t>
        </is>
      </c>
      <c r="C28" s="24" t="inlineStr">
        <is>
          <t>2026-08-14T10:00:00Z</t>
        </is>
      </c>
      <c r="D28" s="24" t="inlineStr">
        <is>
          <t>78563</t>
        </is>
      </c>
      <c r="E28" s="24" t="inlineStr">
        <is>
          <t>KBO</t>
        </is>
      </c>
      <c r="F28" s="24" t="inlineStr">
        <is>
          <t>NC Dinos</t>
        </is>
      </c>
      <c r="G28" s="24" t="inlineStr">
        <is>
          <t>Lotte Giants</t>
        </is>
      </c>
      <c r="H28" s="24" t="inlineStr">
        <is>
          <t>moneyline</t>
        </is>
      </c>
      <c r="I28" s="24" t="inlineStr">
        <is>
          <t>away</t>
        </is>
      </c>
      <c r="J28" s="25" t="n"/>
      <c r="K28" s="24" t="inlineStr">
        <is>
          <t>polymarket_us</t>
        </is>
      </c>
      <c r="L28" s="26" t="n">
        <v>100</v>
      </c>
      <c r="M28" s="27" t="n">
        <v>2</v>
      </c>
      <c r="N28" s="28" t="n">
        <v>0.5</v>
      </c>
      <c r="O28" s="28" t="n">
        <v>0.517119</v>
      </c>
      <c r="P28" s="28" t="n"/>
      <c r="Q28" s="28" t="n">
        <v>0.017119</v>
      </c>
      <c r="R28" s="26" t="n">
        <v>29</v>
      </c>
      <c r="S28" s="29" t="n">
        <v>1</v>
      </c>
      <c r="T28" s="24" t="inlineStr">
        <is>
          <t>kbo-tie-aware-elo-v2</t>
        </is>
      </c>
      <c r="U28" s="24" t="inlineStr">
        <is>
          <t>settled</t>
        </is>
      </c>
      <c r="V28" s="24" t="inlineStr">
        <is>
          <t>win</t>
        </is>
      </c>
      <c r="W28" s="26" t="n">
        <v>9</v>
      </c>
      <c r="X28" s="26" t="n">
        <v>8</v>
      </c>
      <c r="Y28" s="25" t="n"/>
      <c r="Z28" s="26" t="n"/>
      <c r="AA28" s="28" t="n"/>
      <c r="AB28" s="28" t="n"/>
      <c r="AC28" s="30" t="n">
        <v>1</v>
      </c>
      <c r="AD28" s="24" t="inlineStr">
        <is>
          <t>2026-08-14T17:00:37.808280Z</t>
        </is>
      </c>
      <c r="AE28" s="31" t="inlineStr">
        <is>
          <t>Tie-aware Elo baseline; executable ask 0.5000 (market_slug=aec-kbo-lgo-ndc-2026-08-14). Tie probability=0.0225.</t>
        </is>
      </c>
      <c r="AF28" s="31" t="inlineStr">
        <is>
          <t>Config-promoted international baseball baseline; gates enforced at log time.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paper_call</t>
        </is>
      </c>
      <c r="AL28" s="26" t="n">
        <v>3</v>
      </c>
      <c r="AM28" s="24" t="inlineStr">
        <is>
          <t>RESEARCH_OBSERVATION</t>
        </is>
      </c>
      <c r="AN28" s="24" t="inlineStr">
        <is>
          <t>CALL</t>
        </is>
      </c>
      <c r="AO28" s="24" t="inlineStr">
        <is>
          <t>PAPER_CALL_LOW_EDGE</t>
        </is>
      </c>
      <c r="AP28" s="24" t="inlineStr">
        <is>
          <t>NC Dinos</t>
        </is>
      </c>
      <c r="AQ28" s="24" t="inlineStr">
        <is>
          <t>NC Dinos</t>
        </is>
      </c>
      <c r="AR28" s="24" t="inlineStr">
        <is>
          <t>NC Dinos</t>
        </is>
      </c>
      <c r="AS28" s="24" t="inlineStr">
        <is>
          <t>Lotte Giants</t>
        </is>
      </c>
      <c r="AT28" s="24" t="inlineStr">
        <is>
          <t>Lotte Giants</t>
        </is>
      </c>
      <c r="AU28" s="24" t="inlineStr">
        <is>
          <t>Lotte Giants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3a572a3fc135ed105088206acaf7cc0cdbe6ced4b24cde4eed0f6b8d210f621c</t>
        </is>
      </c>
      <c r="BB28" s="24" t="inlineStr">
        <is>
          <t>tie_aware_elo</t>
        </is>
      </c>
      <c r="BC28" s="24" t="inlineStr">
        <is>
          <t>kbo-tie-aware-elo-v2</t>
        </is>
      </c>
      <c r="BD28" s="24" t="inlineStr">
        <is>
          <t>3a572a3fc135ed105088206acaf7cc0cdbe6ced4b24cde4eed0f6b8d210f621c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kbo-tie-aware-elo-v2</t>
        </is>
      </c>
      <c r="BH28" s="24" t="inlineStr">
        <is>
          <t>2026-08-14T07:40:53.218578Z</t>
        </is>
      </c>
      <c r="BI28" s="24" t="inlineStr">
        <is>
          <t>["same_event","same_team_same_day","same_league_same_day"]</t>
        </is>
      </c>
      <c r="BJ28" s="25" t="n"/>
      <c r="BK28" s="26" t="n">
        <v>100</v>
      </c>
      <c r="BL28" s="27" t="n">
        <v>2</v>
      </c>
      <c r="BM28" s="28" t="n">
        <v>0.5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  <c r="CT28" s="24" t="n"/>
      <c r="CU28" s="24" t="n"/>
      <c r="CV28" s="24" t="n"/>
      <c r="CW28" s="24" t="n"/>
      <c r="CX28" s="24" t="n"/>
      <c r="CY28" s="24" t="n"/>
      <c r="CZ28" s="24" t="n"/>
      <c r="DA28" s="24" t="n"/>
      <c r="DB28" s="24" t="n"/>
      <c r="DC28" s="24" t="n"/>
      <c r="DD28" s="24" t="n"/>
      <c r="DE28" s="24" t="n"/>
      <c r="DF28" s="24" t="n"/>
      <c r="DG28" s="24" t="n"/>
      <c r="DH28" s="24" t="n"/>
      <c r="DI28" s="24" t="n"/>
      <c r="DJ28" s="24" t="inlineStr">
        <is>
          <t>0.5</t>
        </is>
      </c>
      <c r="DK28" s="24" t="n"/>
      <c r="DL28" s="24" t="n"/>
      <c r="DM28" s="24" t="n"/>
      <c r="DN28" s="24" t="n"/>
      <c r="DO28" s="24" t="n"/>
      <c r="DP28" s="24" t="n"/>
      <c r="DQ28" s="24" t="n"/>
    </row>
    <row r="29" ht="36" customHeight="1">
      <c r="A29" s="24" t="inlineStr">
        <is>
          <t>b694b69c9389485e</t>
        </is>
      </c>
      <c r="B29" s="24" t="inlineStr">
        <is>
          <t>2026-08-14T07:40:54.664764Z</t>
        </is>
      </c>
      <c r="C29" s="24" t="inlineStr">
        <is>
          <t>2026-08-14T10:00:00Z</t>
        </is>
      </c>
      <c r="D29" s="24" t="inlineStr">
        <is>
          <t>78564</t>
        </is>
      </c>
      <c r="E29" s="24" t="inlineStr">
        <is>
          <t>KBO</t>
        </is>
      </c>
      <c r="F29" s="24" t="inlineStr">
        <is>
          <t>Hanwha Eagles</t>
        </is>
      </c>
      <c r="G29" s="24" t="inlineStr">
        <is>
          <t>Samsung Lions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-144</v>
      </c>
      <c r="M29" s="27" t="n">
        <v>1.694444</v>
      </c>
      <c r="N29" s="28" t="n">
        <v>0.590164</v>
      </c>
      <c r="O29" s="28" t="n">
        <v>0.552042</v>
      </c>
      <c r="P29" s="28" t="n"/>
      <c r="Q29" s="28" t="n">
        <v>-0.038122</v>
      </c>
      <c r="R29" s="26" t="n">
        <v>1</v>
      </c>
      <c r="S29" s="29" t="n">
        <v>1</v>
      </c>
      <c r="T29" s="24" t="inlineStr">
        <is>
          <t>kbo-tie-aware-elo-v2</t>
        </is>
      </c>
      <c r="U29" s="24" t="inlineStr">
        <is>
          <t>settled</t>
        </is>
      </c>
      <c r="V29" s="24" t="inlineStr">
        <is>
          <t>win</t>
        </is>
      </c>
      <c r="W29" s="26" t="n">
        <v>5</v>
      </c>
      <c r="X29" s="26" t="n">
        <v>8</v>
      </c>
      <c r="Y29" s="25" t="n"/>
      <c r="Z29" s="26" t="n"/>
      <c r="AA29" s="28" t="n"/>
      <c r="AB29" s="28" t="n"/>
      <c r="AC29" s="30" t="n">
        <v>0.6944</v>
      </c>
      <c r="AD29" s="24" t="inlineStr">
        <is>
          <t>2026-08-14T17:00:37.948943Z</t>
        </is>
      </c>
      <c r="AE29" s="31" t="inlineStr">
        <is>
          <t>Tie-aware Elo baseline; executable ask 0.5900 (market_slug=aec-kbo-sla-hea-2026-08-14). Tie probability=0.0225.</t>
        </is>
      </c>
      <c r="AF29" s="31" t="inlineStr">
        <is>
          <t>Config-promoted international baseball baseline; gates enforced at log time.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paper_call</t>
        </is>
      </c>
      <c r="AL29" s="26" t="n">
        <v>3</v>
      </c>
      <c r="AM29" s="24" t="inlineStr">
        <is>
          <t>RESEARCH_OBSERVATION</t>
        </is>
      </c>
      <c r="AN29" s="24" t="inlineStr">
        <is>
          <t>CALL</t>
        </is>
      </c>
      <c r="AO29" s="24" t="inlineStr">
        <is>
          <t>PAPER_CALL_LOW_EDGE</t>
        </is>
      </c>
      <c r="AP29" s="24" t="inlineStr">
        <is>
          <t>Hanwha Eagles</t>
        </is>
      </c>
      <c r="AQ29" s="24" t="inlineStr">
        <is>
          <t>Hanwha Eagles</t>
        </is>
      </c>
      <c r="AR29" s="24" t="inlineStr">
        <is>
          <t>Hanwha Eagles</t>
        </is>
      </c>
      <c r="AS29" s="24" t="inlineStr">
        <is>
          <t>Samsung Lions</t>
        </is>
      </c>
      <c r="AT29" s="24" t="inlineStr">
        <is>
          <t>Samsung Lions</t>
        </is>
      </c>
      <c r="AU29" s="24" t="inlineStr">
        <is>
          <t>Samsung Lions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3a572a3fc135ed105088206acaf7cc0cdbe6ced4b24cde4eed0f6b8d210f621c</t>
        </is>
      </c>
      <c r="BB29" s="24" t="inlineStr">
        <is>
          <t>tie_aware_elo</t>
        </is>
      </c>
      <c r="BC29" s="24" t="inlineStr">
        <is>
          <t>kbo-tie-aware-elo-v2</t>
        </is>
      </c>
      <c r="BD29" s="24" t="inlineStr">
        <is>
          <t>3a572a3fc135ed105088206acaf7cc0cdbe6ced4b24cde4eed0f6b8d210f621c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kbo-tie-aware-elo-v2</t>
        </is>
      </c>
      <c r="BH29" s="24" t="inlineStr">
        <is>
          <t>2026-08-14T07:40:54.046742Z</t>
        </is>
      </c>
      <c r="BI29" s="24" t="inlineStr">
        <is>
          <t>["same_event","same_team_same_day","same_league_same_day"]</t>
        </is>
      </c>
      <c r="BJ29" s="25" t="n"/>
      <c r="BK29" s="26" t="n">
        <v>-144</v>
      </c>
      <c r="BL29" s="27" t="n">
        <v>1.694444</v>
      </c>
      <c r="BM29" s="28" t="n">
        <v>0.590164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False</t>
        </is>
      </c>
      <c r="CT29" s="24" t="n"/>
      <c r="CU29" s="24" t="n"/>
      <c r="CV29" s="24" t="n"/>
      <c r="CW29" s="24" t="n"/>
      <c r="CX29" s="24" t="n"/>
      <c r="CY29" s="24" t="n"/>
      <c r="CZ29" s="24" t="n"/>
      <c r="DA29" s="24" t="n"/>
      <c r="DB29" s="24" t="n"/>
      <c r="DC29" s="24" t="n"/>
      <c r="DD29" s="24" t="n"/>
      <c r="DE29" s="24" t="n"/>
      <c r="DF29" s="24" t="n"/>
      <c r="DG29" s="24" t="n"/>
      <c r="DH29" s="24" t="n"/>
      <c r="DI29" s="24" t="n"/>
      <c r="DJ29" s="24" t="inlineStr">
        <is>
          <t>0.590164</t>
        </is>
      </c>
      <c r="DK29" s="24" t="n"/>
      <c r="DL29" s="24" t="n"/>
      <c r="DM29" s="24" t="n"/>
      <c r="DN29" s="24" t="n"/>
      <c r="DO29" s="24" t="n"/>
      <c r="DP29" s="24" t="n"/>
      <c r="DQ29" s="24" t="n"/>
    </row>
    <row r="30" ht="36" customHeight="1">
      <c r="A30" s="24" t="inlineStr">
        <is>
          <t>2c918ae584f74d76</t>
        </is>
      </c>
      <c r="B30" s="24" t="inlineStr">
        <is>
          <t>2026-08-14T07:40:54.664764Z</t>
        </is>
      </c>
      <c r="C30" s="24" t="inlineStr">
        <is>
          <t>2026-08-14T10:00:00Z</t>
        </is>
      </c>
      <c r="D30" s="24" t="inlineStr">
        <is>
          <t>78565</t>
        </is>
      </c>
      <c r="E30" s="24" t="inlineStr">
        <is>
          <t>KBO</t>
        </is>
      </c>
      <c r="F30" s="24" t="inlineStr">
        <is>
          <t>Doosan Bears</t>
        </is>
      </c>
      <c r="G30" s="24" t="inlineStr">
        <is>
          <t>Kia Tigers</t>
        </is>
      </c>
      <c r="H30" s="24" t="inlineStr">
        <is>
          <t>moneyline</t>
        </is>
      </c>
      <c r="I30" s="24" t="inlineStr">
        <is>
          <t>away</t>
        </is>
      </c>
      <c r="J30" s="25" t="n"/>
      <c r="K30" s="24" t="inlineStr">
        <is>
          <t>polymarket_us</t>
        </is>
      </c>
      <c r="L30" s="26" t="n">
        <v>-156</v>
      </c>
      <c r="M30" s="27" t="n">
        <v>1.641026</v>
      </c>
      <c r="N30" s="28" t="n">
        <v>0.609375</v>
      </c>
      <c r="O30" s="28" t="n">
        <v>0.524687</v>
      </c>
      <c r="P30" s="28" t="n"/>
      <c r="Q30" s="28" t="n">
        <v>-0.084688</v>
      </c>
      <c r="R30" s="26" t="n">
        <v>0</v>
      </c>
      <c r="S30" s="29" t="n">
        <v>1</v>
      </c>
      <c r="T30" s="24" t="inlineStr">
        <is>
          <t>kbo-tie-aware-elo-v2</t>
        </is>
      </c>
      <c r="U30" s="24" t="inlineStr">
        <is>
          <t>settled</t>
        </is>
      </c>
      <c r="V30" s="24" t="inlineStr">
        <is>
          <t>win</t>
        </is>
      </c>
      <c r="W30" s="26" t="n">
        <v>10</v>
      </c>
      <c r="X30" s="26" t="n">
        <v>4</v>
      </c>
      <c r="Y30" s="25" t="n"/>
      <c r="Z30" s="26" t="n"/>
      <c r="AA30" s="28" t="n"/>
      <c r="AB30" s="28" t="n"/>
      <c r="AC30" s="30" t="n">
        <v>0.641</v>
      </c>
      <c r="AD30" s="24" t="inlineStr">
        <is>
          <t>2026-08-14T17:00:38.090862Z</t>
        </is>
      </c>
      <c r="AE30" s="31" t="inlineStr">
        <is>
          <t>Tie-aware Elo baseline; executable ask 0.6100 (market_slug=aec-kbo-kti-dbo-2026-08-14). Tie probability=0.0225.</t>
        </is>
      </c>
      <c r="AF30" s="31" t="inlineStr">
        <is>
          <t>Config-promoted international baseball baseline; gates enforced at log time.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paper_call</t>
        </is>
      </c>
      <c r="AL30" s="26" t="n">
        <v>3</v>
      </c>
      <c r="AM30" s="24" t="inlineStr">
        <is>
          <t>RESEARCH_OBSERVATION</t>
        </is>
      </c>
      <c r="AN30" s="24" t="inlineStr">
        <is>
          <t>CALL</t>
        </is>
      </c>
      <c r="AO30" s="24" t="inlineStr">
        <is>
          <t>PAPER_CALL_LOW_EDGE</t>
        </is>
      </c>
      <c r="AP30" s="24" t="inlineStr">
        <is>
          <t>Doosan Bears</t>
        </is>
      </c>
      <c r="AQ30" s="24" t="inlineStr">
        <is>
          <t>Doosan Bears</t>
        </is>
      </c>
      <c r="AR30" s="24" t="inlineStr">
        <is>
          <t>Doosan Bears</t>
        </is>
      </c>
      <c r="AS30" s="24" t="inlineStr">
        <is>
          <t>Kia Tigers</t>
        </is>
      </c>
      <c r="AT30" s="24" t="inlineStr">
        <is>
          <t>Kia Tigers</t>
        </is>
      </c>
      <c r="AU30" s="24" t="inlineStr">
        <is>
          <t>Kia Tigers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3a572a3fc135ed105088206acaf7cc0cdbe6ced4b24cde4eed0f6b8d210f621c</t>
        </is>
      </c>
      <c r="BB30" s="24" t="inlineStr">
        <is>
          <t>tie_aware_elo</t>
        </is>
      </c>
      <c r="BC30" s="24" t="inlineStr">
        <is>
          <t>kbo-tie-aware-elo-v2</t>
        </is>
      </c>
      <c r="BD30" s="24" t="inlineStr">
        <is>
          <t>3a572a3fc135ed105088206acaf7cc0cdbe6ced4b24cde4eed0f6b8d210f621c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kbo-tie-aware-elo-v2</t>
        </is>
      </c>
      <c r="BH30" s="24" t="inlineStr">
        <is>
          <t>2026-08-14T07:40:54.664723Z</t>
        </is>
      </c>
      <c r="BI30" s="24" t="inlineStr">
        <is>
          <t>["same_event","same_team_same_day","same_league_same_day"]</t>
        </is>
      </c>
      <c r="BJ30" s="25" t="n"/>
      <c r="BK30" s="26" t="n">
        <v>-156</v>
      </c>
      <c r="BL30" s="27" t="n">
        <v>1.641026</v>
      </c>
      <c r="BM30" s="28" t="n">
        <v>0.609375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False</t>
        </is>
      </c>
      <c r="CT30" s="24" t="n"/>
      <c r="CU30" s="24" t="n"/>
      <c r="CV30" s="24" t="n"/>
      <c r="CW30" s="24" t="n"/>
      <c r="CX30" s="24" t="n"/>
      <c r="CY30" s="24" t="n"/>
      <c r="CZ30" s="24" t="n"/>
      <c r="DA30" s="24" t="n"/>
      <c r="DB30" s="24" t="n"/>
      <c r="DC30" s="24" t="n"/>
      <c r="DD30" s="24" t="n"/>
      <c r="DE30" s="24" t="n"/>
      <c r="DF30" s="24" t="n"/>
      <c r="DG30" s="24" t="n"/>
      <c r="DH30" s="24" t="n"/>
      <c r="DI30" s="24" t="n"/>
      <c r="DJ30" s="24" t="inlineStr">
        <is>
          <t>0.609375</t>
        </is>
      </c>
      <c r="DK30" s="24" t="n"/>
      <c r="DL30" s="24" t="n"/>
      <c r="DM30" s="24" t="n"/>
      <c r="DN30" s="24" t="n"/>
      <c r="DO30" s="24" t="n"/>
      <c r="DP30" s="24" t="n"/>
      <c r="DQ30" s="24" t="n"/>
    </row>
    <row r="31" ht="36" customHeight="1">
      <c r="A31" s="24" t="inlineStr">
        <is>
          <t>19e23ef87ee14578</t>
        </is>
      </c>
      <c r="B31" s="24" t="inlineStr">
        <is>
          <t>2026-08-15T08:27:01.116968Z</t>
        </is>
      </c>
      <c r="C31" s="24" t="inlineStr">
        <is>
          <t>2026-08-15T10:00:00Z</t>
        </is>
      </c>
      <c r="D31" s="24" t="inlineStr">
        <is>
          <t>79616</t>
        </is>
      </c>
      <c r="E31" s="24" t="inlineStr">
        <is>
          <t>KBO</t>
        </is>
      </c>
      <c r="F31" s="24" t="inlineStr">
        <is>
          <t>Doosan Bears</t>
        </is>
      </c>
      <c r="G31" s="24" t="inlineStr">
        <is>
          <t>Kia Tigers</t>
        </is>
      </c>
      <c r="H31" s="24" t="inlineStr">
        <is>
          <t>moneyline</t>
        </is>
      </c>
      <c r="I31" s="24" t="inlineStr">
        <is>
          <t>away</t>
        </is>
      </c>
      <c r="J31" s="25" t="n"/>
      <c r="K31" s="24" t="inlineStr">
        <is>
          <t>polymarket_us</t>
        </is>
      </c>
      <c r="L31" s="26" t="n">
        <v>117</v>
      </c>
      <c r="M31" s="27" t="n">
        <v>2.17</v>
      </c>
      <c r="N31" s="28" t="n">
        <v>0.460829</v>
      </c>
      <c r="O31" s="28" t="n">
        <v>0.535259</v>
      </c>
      <c r="P31" s="28" t="n"/>
      <c r="Q31" s="28" t="n">
        <v>0.07443</v>
      </c>
      <c r="R31" s="26" t="n">
        <v>57</v>
      </c>
      <c r="S31" s="29" t="n">
        <v>1</v>
      </c>
      <c r="T31" s="24" t="inlineStr">
        <is>
          <t>kbo-tie-aware-elo-v2</t>
        </is>
      </c>
      <c r="U31" s="24" t="inlineStr">
        <is>
          <t>settled</t>
        </is>
      </c>
      <c r="V31" s="24" t="inlineStr">
        <is>
          <t>loss</t>
        </is>
      </c>
      <c r="W31" s="26" t="n">
        <v>1</v>
      </c>
      <c r="X31" s="26" t="n">
        <v>6</v>
      </c>
      <c r="Y31" s="25" t="n"/>
      <c r="Z31" s="26" t="n"/>
      <c r="AA31" s="28" t="n"/>
      <c r="AB31" s="28" t="n"/>
      <c r="AC31" s="30" t="n">
        <v>-1</v>
      </c>
      <c r="AD31" s="24" t="inlineStr">
        <is>
          <t>2026-08-15T14:39:39.494348Z</t>
        </is>
      </c>
      <c r="AE31" s="31" t="inlineStr">
        <is>
          <t>Tie-aware Elo baseline; executable ask 0.4600 (market_slug=aec-kbo-kti-dbo-2026-08-15). Tie probability=0.0225.</t>
        </is>
      </c>
      <c r="AF31" s="31" t="inlineStr">
        <is>
          <t>Config-promoted international baseball baseline; gates enforced at log time.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paper_call</t>
        </is>
      </c>
      <c r="AL31" s="26" t="n">
        <v>3</v>
      </c>
      <c r="AM31" s="24" t="inlineStr">
        <is>
          <t>RESEARCH_OBSERVATION</t>
        </is>
      </c>
      <c r="AN31" s="24" t="inlineStr">
        <is>
          <t>CALL</t>
        </is>
      </c>
      <c r="AO31" s="24" t="inlineStr">
        <is>
          <t>PAPER_CALL_LOW_EDGE</t>
        </is>
      </c>
      <c r="AP31" s="24" t="inlineStr">
        <is>
          <t>Doosan Bears</t>
        </is>
      </c>
      <c r="AQ31" s="24" t="inlineStr">
        <is>
          <t>Doosan Bears</t>
        </is>
      </c>
      <c r="AR31" s="24" t="inlineStr">
        <is>
          <t>Doosan Bears</t>
        </is>
      </c>
      <c r="AS31" s="24" t="inlineStr">
        <is>
          <t>Kia Tigers</t>
        </is>
      </c>
      <c r="AT31" s="24" t="inlineStr">
        <is>
          <t>Kia Tigers</t>
        </is>
      </c>
      <c r="AU31" s="24" t="inlineStr">
        <is>
          <t>Kia Tigers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c9e971552443fc818edf361bec8e2bae41dcc3f6ea26f2d38dbf129926e38757</t>
        </is>
      </c>
      <c r="BB31" s="24" t="inlineStr">
        <is>
          <t>tie_aware_elo</t>
        </is>
      </c>
      <c r="BC31" s="24" t="inlineStr">
        <is>
          <t>kbo-tie-aware-elo-v2</t>
        </is>
      </c>
      <c r="BD31" s="24" t="inlineStr">
        <is>
          <t>c9e971552443fc818edf361bec8e2bae41dcc3f6ea26f2d38dbf129926e38757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kbo-tie-aware-elo-v2</t>
        </is>
      </c>
      <c r="BH31" s="24" t="inlineStr">
        <is>
          <t>2026-08-15T08:26:58.431342Z</t>
        </is>
      </c>
      <c r="BI31" s="24" t="inlineStr">
        <is>
          <t>["same_event","same_team_same_day","same_league_same_day"]</t>
        </is>
      </c>
      <c r="BJ31" s="25" t="n"/>
      <c r="BK31" s="26" t="n">
        <v>117</v>
      </c>
      <c r="BL31" s="27" t="n">
        <v>2.17</v>
      </c>
      <c r="BM31" s="28" t="n">
        <v>0.460829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True</t>
        </is>
      </c>
      <c r="CT31" s="24" t="n"/>
      <c r="CU31" s="24" t="n"/>
      <c r="CV31" s="24" t="n"/>
      <c r="CW31" s="24" t="n"/>
      <c r="CX31" s="24" t="n"/>
      <c r="CY31" s="24" t="n"/>
      <c r="CZ31" s="24" t="n"/>
      <c r="DA31" s="24" t="n"/>
      <c r="DB31" s="24" t="n"/>
      <c r="DC31" s="24" t="n"/>
      <c r="DD31" s="24" t="n"/>
      <c r="DE31" s="24" t="n"/>
      <c r="DF31" s="24" t="n"/>
      <c r="DG31" s="24" t="n"/>
      <c r="DH31" s="24" t="n"/>
      <c r="DI31" s="24" t="n"/>
      <c r="DJ31" s="24" t="inlineStr">
        <is>
          <t>0.460829</t>
        </is>
      </c>
      <c r="DK31" s="24" t="n"/>
      <c r="DL31" s="24" t="n"/>
      <c r="DM31" s="24" t="n"/>
      <c r="DN31" s="24" t="n"/>
      <c r="DO31" s="24" t="n"/>
      <c r="DP31" s="24" t="n"/>
      <c r="DQ31" s="24" t="n"/>
    </row>
    <row r="32" ht="36" customHeight="1">
      <c r="A32" s="24" t="inlineStr">
        <is>
          <t>45b7e03851e141d5</t>
        </is>
      </c>
      <c r="B32" s="24" t="inlineStr">
        <is>
          <t>2026-08-15T08:27:01.116968Z</t>
        </is>
      </c>
      <c r="C32" s="24" t="inlineStr">
        <is>
          <t>2026-08-15T10:00:00Z</t>
        </is>
      </c>
      <c r="D32" s="24" t="inlineStr">
        <is>
          <t>79617</t>
        </is>
      </c>
      <c r="E32" s="24" t="inlineStr">
        <is>
          <t>KBO</t>
        </is>
      </c>
      <c r="F32" s="24" t="inlineStr">
        <is>
          <t>Kiwoom Heroes</t>
        </is>
      </c>
      <c r="G32" s="24" t="inlineStr">
        <is>
          <t>KT Wiz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-178</v>
      </c>
      <c r="M32" s="27" t="n">
        <v>1.561798</v>
      </c>
      <c r="N32" s="28" t="n">
        <v>0.640288</v>
      </c>
      <c r="O32" s="28" t="n">
        <v>0.6392600000000001</v>
      </c>
      <c r="P32" s="28" t="n"/>
      <c r="Q32" s="28" t="n">
        <v>-0.001028</v>
      </c>
      <c r="R32" s="26" t="n">
        <v>19</v>
      </c>
      <c r="S32" s="29" t="n">
        <v>1.5</v>
      </c>
      <c r="T32" s="24" t="inlineStr">
        <is>
          <t>kbo-tie-aware-elo-v2</t>
        </is>
      </c>
      <c r="U32" s="24" t="inlineStr">
        <is>
          <t>settled</t>
        </is>
      </c>
      <c r="V32" s="24" t="inlineStr">
        <is>
          <t>loss</t>
        </is>
      </c>
      <c r="W32" s="26" t="n">
        <v>10</v>
      </c>
      <c r="X32" s="26" t="n">
        <v>5</v>
      </c>
      <c r="Y32" s="25" t="n"/>
      <c r="Z32" s="26" t="n"/>
      <c r="AA32" s="28" t="n"/>
      <c r="AB32" s="28" t="n"/>
      <c r="AC32" s="30" t="n">
        <v>-1.5</v>
      </c>
      <c r="AD32" s="24" t="inlineStr">
        <is>
          <t>2026-08-15T14:39:39.658929Z</t>
        </is>
      </c>
      <c r="AE32" s="31" t="inlineStr">
        <is>
          <t>Tie-aware Elo baseline; executable ask 0.6400 (market_slug=aec-kbo-kwt-khi-2026-08-15). Tie probability=0.0225.</t>
        </is>
      </c>
      <c r="AF32" s="31" t="inlineStr">
        <is>
          <t>Config-promoted international baseball baseline; gates enforced at log time.</t>
        </is>
      </c>
      <c r="AG32" s="24" t="inlineStr">
        <is>
          <t>review_required</t>
        </is>
      </c>
      <c r="AH32" s="24" t="n"/>
      <c r="AI32" s="31" t="n"/>
      <c r="AJ32" s="31" t="n"/>
      <c r="AK32" s="24" t="inlineStr">
        <is>
          <t>paper_call</t>
        </is>
      </c>
      <c r="AL32" s="26" t="n">
        <v>3</v>
      </c>
      <c r="AM32" s="24" t="inlineStr">
        <is>
          <t>RESEARCH_OBSERVATION</t>
        </is>
      </c>
      <c r="AN32" s="24" t="inlineStr">
        <is>
          <t>CALL</t>
        </is>
      </c>
      <c r="AO32" s="24" t="inlineStr">
        <is>
          <t>PAPER_CALL_LOW_EDGE</t>
        </is>
      </c>
      <c r="AP32" s="24" t="inlineStr">
        <is>
          <t>Kiwoom Heroes</t>
        </is>
      </c>
      <c r="AQ32" s="24" t="inlineStr">
        <is>
          <t>Kiwoom Heroes</t>
        </is>
      </c>
      <c r="AR32" s="24" t="inlineStr">
        <is>
          <t>Kiwoom Heroes</t>
        </is>
      </c>
      <c r="AS32" s="24" t="inlineStr">
        <is>
          <t>KT Wiz</t>
        </is>
      </c>
      <c r="AT32" s="24" t="inlineStr">
        <is>
          <t>KT Wiz</t>
        </is>
      </c>
      <c r="AU32" s="24" t="inlineStr">
        <is>
          <t>KT Wiz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c9e971552443fc818edf361bec8e2bae41dcc3f6ea26f2d38dbf129926e38757</t>
        </is>
      </c>
      <c r="BB32" s="24" t="inlineStr">
        <is>
          <t>tie_aware_elo</t>
        </is>
      </c>
      <c r="BC32" s="24" t="inlineStr">
        <is>
          <t>kbo-tie-aware-elo-v2</t>
        </is>
      </c>
      <c r="BD32" s="24" t="inlineStr">
        <is>
          <t>c9e971552443fc818edf361bec8e2bae41dcc3f6ea26f2d38dbf129926e38757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kbo-tie-aware-elo-v2</t>
        </is>
      </c>
      <c r="BH32" s="24" t="inlineStr">
        <is>
          <t>2026-08-15T08:26:59.186514Z</t>
        </is>
      </c>
      <c r="BI32" s="24" t="inlineStr">
        <is>
          <t>["same_event","same_team_same_day","same_league_same_day"]</t>
        </is>
      </c>
      <c r="BJ32" s="25" t="n"/>
      <c r="BK32" s="26" t="n">
        <v>-178</v>
      </c>
      <c r="BL32" s="27" t="n">
        <v>1.561798</v>
      </c>
      <c r="BM32" s="28" t="n">
        <v>0.640288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False</t>
        </is>
      </c>
      <c r="CT32" s="24" t="n"/>
      <c r="CU32" s="24" t="n"/>
      <c r="CV32" s="24" t="n"/>
      <c r="CW32" s="24" t="n"/>
      <c r="CX32" s="24" t="n"/>
      <c r="CY32" s="24" t="n"/>
      <c r="CZ32" s="24" t="n"/>
      <c r="DA32" s="24" t="n"/>
      <c r="DB32" s="24" t="n"/>
      <c r="DC32" s="24" t="n"/>
      <c r="DD32" s="24" t="n"/>
      <c r="DE32" s="24" t="n"/>
      <c r="DF32" s="24" t="n"/>
      <c r="DG32" s="24" t="n"/>
      <c r="DH32" s="24" t="n"/>
      <c r="DI32" s="24" t="n"/>
      <c r="DJ32" s="24" t="inlineStr">
        <is>
          <t>0.640288</t>
        </is>
      </c>
      <c r="DK32" s="24" t="n"/>
      <c r="DL32" s="24" t="n"/>
      <c r="DM32" s="24" t="n"/>
      <c r="DN32" s="24" t="n"/>
      <c r="DO32" s="24" t="n"/>
      <c r="DP32" s="24" t="n"/>
      <c r="DQ32" s="24" t="n"/>
    </row>
    <row r="33" ht="36" customHeight="1">
      <c r="A33" s="24" t="inlineStr">
        <is>
          <t>c0085ed399544bbb</t>
        </is>
      </c>
      <c r="B33" s="24" t="inlineStr">
        <is>
          <t>2026-08-15T08:27:01.116968Z</t>
        </is>
      </c>
      <c r="C33" s="24" t="inlineStr">
        <is>
          <t>2026-08-15T10:00:00Z</t>
        </is>
      </c>
      <c r="D33" s="24" t="inlineStr">
        <is>
          <t>79618</t>
        </is>
      </c>
      <c r="E33" s="24" t="inlineStr">
        <is>
          <t>KBO</t>
        </is>
      </c>
      <c r="F33" s="24" t="inlineStr">
        <is>
          <t>Hanwha Eagles</t>
        </is>
      </c>
      <c r="G33" s="24" t="inlineStr">
        <is>
          <t>Samsung Lions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-144</v>
      </c>
      <c r="M33" s="27" t="n">
        <v>1.694444</v>
      </c>
      <c r="N33" s="28" t="n">
        <v>0.590164</v>
      </c>
      <c r="O33" s="28" t="n">
        <v>0.56191</v>
      </c>
      <c r="P33" s="28" t="n"/>
      <c r="Q33" s="28" t="n">
        <v>-0.028254</v>
      </c>
      <c r="R33" s="26" t="n">
        <v>6</v>
      </c>
      <c r="S33" s="29" t="n">
        <v>1</v>
      </c>
      <c r="T33" s="24" t="inlineStr">
        <is>
          <t>kbo-tie-aware-elo-v2</t>
        </is>
      </c>
      <c r="U33" s="24" t="inlineStr">
        <is>
          <t>settled</t>
        </is>
      </c>
      <c r="V33" s="24" t="inlineStr">
        <is>
          <t>win</t>
        </is>
      </c>
      <c r="W33" s="26" t="n">
        <v>6</v>
      </c>
      <c r="X33" s="26" t="n">
        <v>11</v>
      </c>
      <c r="Y33" s="25" t="n"/>
      <c r="Z33" s="26" t="n"/>
      <c r="AA33" s="28" t="n"/>
      <c r="AB33" s="28" t="n"/>
      <c r="AC33" s="30" t="n">
        <v>0.6944</v>
      </c>
      <c r="AD33" s="24" t="inlineStr">
        <is>
          <t>2026-08-15T14:39:39.810245Z</t>
        </is>
      </c>
      <c r="AE33" s="31" t="inlineStr">
        <is>
          <t>Tie-aware Elo baseline; executable ask 0.5900 (market_slug=aec-kbo-sla-hea-2026-08-15). Tie probability=0.0225.</t>
        </is>
      </c>
      <c r="AF33" s="31" t="inlineStr">
        <is>
          <t>Config-promoted international baseball baseline; gates enforced at log time.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paper_call</t>
        </is>
      </c>
      <c r="AL33" s="26" t="n">
        <v>3</v>
      </c>
      <c r="AM33" s="24" t="inlineStr">
        <is>
          <t>RESEARCH_OBSERVATION</t>
        </is>
      </c>
      <c r="AN33" s="24" t="inlineStr">
        <is>
          <t>CALL</t>
        </is>
      </c>
      <c r="AO33" s="24" t="inlineStr">
        <is>
          <t>PAPER_CALL_LOW_EDGE</t>
        </is>
      </c>
      <c r="AP33" s="24" t="inlineStr">
        <is>
          <t>Hanwha Eagles</t>
        </is>
      </c>
      <c r="AQ33" s="24" t="inlineStr">
        <is>
          <t>Hanwha Eagles</t>
        </is>
      </c>
      <c r="AR33" s="24" t="inlineStr">
        <is>
          <t>Hanwha Eagles</t>
        </is>
      </c>
      <c r="AS33" s="24" t="inlineStr">
        <is>
          <t>Samsung Lions</t>
        </is>
      </c>
      <c r="AT33" s="24" t="inlineStr">
        <is>
          <t>Samsung Lions</t>
        </is>
      </c>
      <c r="AU33" s="24" t="inlineStr">
        <is>
          <t>Samsung Lions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c9e971552443fc818edf361bec8e2bae41dcc3f6ea26f2d38dbf129926e38757</t>
        </is>
      </c>
      <c r="BB33" s="24" t="inlineStr">
        <is>
          <t>tie_aware_elo</t>
        </is>
      </c>
      <c r="BC33" s="24" t="inlineStr">
        <is>
          <t>kbo-tie-aware-elo-v2</t>
        </is>
      </c>
      <c r="BD33" s="24" t="inlineStr">
        <is>
          <t>c9e971552443fc818edf361bec8e2bae41dcc3f6ea26f2d38dbf129926e38757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kbo-tie-aware-elo-v2</t>
        </is>
      </c>
      <c r="BH33" s="24" t="inlineStr">
        <is>
          <t>2026-08-15T08:26:59.680751Z</t>
        </is>
      </c>
      <c r="BI33" s="24" t="inlineStr">
        <is>
          <t>["same_event","same_team_same_day","same_league_same_day"]</t>
        </is>
      </c>
      <c r="BJ33" s="25" t="n"/>
      <c r="BK33" s="26" t="n">
        <v>-144</v>
      </c>
      <c r="BL33" s="27" t="n">
        <v>1.694444</v>
      </c>
      <c r="BM33" s="28" t="n">
        <v>0.590164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False</t>
        </is>
      </c>
      <c r="CT33" s="24" t="n"/>
      <c r="CU33" s="24" t="n"/>
      <c r="CV33" s="24" t="n"/>
      <c r="CW33" s="24" t="n"/>
      <c r="CX33" s="24" t="n"/>
      <c r="CY33" s="24" t="n"/>
      <c r="CZ33" s="24" t="n"/>
      <c r="DA33" s="24" t="n"/>
      <c r="DB33" s="24" t="n"/>
      <c r="DC33" s="24" t="n"/>
      <c r="DD33" s="24" t="n"/>
      <c r="DE33" s="24" t="n"/>
      <c r="DF33" s="24" t="n"/>
      <c r="DG33" s="24" t="n"/>
      <c r="DH33" s="24" t="n"/>
      <c r="DI33" s="24" t="n"/>
      <c r="DJ33" s="24" t="inlineStr">
        <is>
          <t>0.590164</t>
        </is>
      </c>
      <c r="DK33" s="24" t="n"/>
      <c r="DL33" s="24" t="n"/>
      <c r="DM33" s="24" t="n"/>
      <c r="DN33" s="24" t="n"/>
      <c r="DO33" s="24" t="n"/>
      <c r="DP33" s="24" t="n"/>
      <c r="DQ33" s="24" t="n"/>
    </row>
    <row r="34" ht="36" customHeight="1">
      <c r="A34" s="24" t="inlineStr">
        <is>
          <t>27dff5127b164e4b</t>
        </is>
      </c>
      <c r="B34" s="24" t="inlineStr">
        <is>
          <t>2026-08-15T08:27:01.116968Z</t>
        </is>
      </c>
      <c r="C34" s="24" t="inlineStr">
        <is>
          <t>2026-08-15T10:00:00Z</t>
        </is>
      </c>
      <c r="D34" s="24" t="inlineStr">
        <is>
          <t>79619</t>
        </is>
      </c>
      <c r="E34" s="24" t="inlineStr">
        <is>
          <t>KBO</t>
        </is>
      </c>
      <c r="F34" s="24" t="inlineStr">
        <is>
          <t>NC Dinos</t>
        </is>
      </c>
      <c r="G34" s="24" t="inlineStr">
        <is>
          <t>Lotte Giants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113</v>
      </c>
      <c r="M34" s="27" t="n">
        <v>2.13</v>
      </c>
      <c r="N34" s="28" t="n">
        <v>0.469484</v>
      </c>
      <c r="O34" s="28" t="n">
        <v>0.527922</v>
      </c>
      <c r="P34" s="28" t="n"/>
      <c r="Q34" s="28" t="n">
        <v>0.058438</v>
      </c>
      <c r="R34" s="26" t="n">
        <v>49</v>
      </c>
      <c r="S34" s="29" t="n">
        <v>1</v>
      </c>
      <c r="T34" s="24" t="inlineStr">
        <is>
          <t>kbo-tie-aware-elo-v2</t>
        </is>
      </c>
      <c r="U34" s="24" t="inlineStr">
        <is>
          <t>settled</t>
        </is>
      </c>
      <c r="V34" s="24" t="inlineStr">
        <is>
          <t>loss</t>
        </is>
      </c>
      <c r="W34" s="26" t="n">
        <v>5</v>
      </c>
      <c r="X34" s="26" t="n">
        <v>8</v>
      </c>
      <c r="Y34" s="25" t="n"/>
      <c r="Z34" s="26" t="n"/>
      <c r="AA34" s="28" t="n"/>
      <c r="AB34" s="28" t="n"/>
      <c r="AC34" s="30" t="n">
        <v>-1</v>
      </c>
      <c r="AD34" s="24" t="inlineStr">
        <is>
          <t>2026-08-15T14:39:39.967453Z</t>
        </is>
      </c>
      <c r="AE34" s="31" t="inlineStr">
        <is>
          <t>Tie-aware Elo baseline; executable ask 0.4700 (market_slug=aec-kbo-lgo-ndc-2026-08-15). Tie probability=0.0225.</t>
        </is>
      </c>
      <c r="AF34" s="31" t="inlineStr">
        <is>
          <t>Config-promoted international baseball baseline; gates enforced at log time.</t>
        </is>
      </c>
      <c r="AG34" s="24" t="inlineStr">
        <is>
          <t>review_required</t>
        </is>
      </c>
      <c r="AH34" s="24" t="n"/>
      <c r="AI34" s="31" t="n"/>
      <c r="AJ34" s="31" t="n"/>
      <c r="AK34" s="24" t="inlineStr">
        <is>
          <t>paper_call</t>
        </is>
      </c>
      <c r="AL34" s="26" t="n">
        <v>3</v>
      </c>
      <c r="AM34" s="24" t="inlineStr">
        <is>
          <t>RESEARCH_OBSERVATION</t>
        </is>
      </c>
      <c r="AN34" s="24" t="inlineStr">
        <is>
          <t>CALL</t>
        </is>
      </c>
      <c r="AO34" s="24" t="inlineStr">
        <is>
          <t>PAPER_CALL_LOW_EDGE</t>
        </is>
      </c>
      <c r="AP34" s="24" t="inlineStr">
        <is>
          <t>NC Dinos</t>
        </is>
      </c>
      <c r="AQ34" s="24" t="inlineStr">
        <is>
          <t>NC Dinos</t>
        </is>
      </c>
      <c r="AR34" s="24" t="inlineStr">
        <is>
          <t>NC Dinos</t>
        </is>
      </c>
      <c r="AS34" s="24" t="inlineStr">
        <is>
          <t>Lotte Giants</t>
        </is>
      </c>
      <c r="AT34" s="24" t="inlineStr">
        <is>
          <t>Lotte Giants</t>
        </is>
      </c>
      <c r="AU34" s="24" t="inlineStr">
        <is>
          <t>Lotte Giants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c9e971552443fc818edf361bec8e2bae41dcc3f6ea26f2d38dbf129926e38757</t>
        </is>
      </c>
      <c r="BB34" s="24" t="inlineStr">
        <is>
          <t>tie_aware_elo</t>
        </is>
      </c>
      <c r="BC34" s="24" t="inlineStr">
        <is>
          <t>kbo-tie-aware-elo-v2</t>
        </is>
      </c>
      <c r="BD34" s="24" t="inlineStr">
        <is>
          <t>c9e971552443fc818edf361bec8e2bae41dcc3f6ea26f2d38dbf129926e38757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kbo-tie-aware-elo-v2</t>
        </is>
      </c>
      <c r="BH34" s="24" t="inlineStr">
        <is>
          <t>2026-08-15T08:27:00.443909Z</t>
        </is>
      </c>
      <c r="BI34" s="24" t="inlineStr">
        <is>
          <t>["same_event","same_team_same_day","same_league_same_day"]</t>
        </is>
      </c>
      <c r="BJ34" s="25" t="n"/>
      <c r="BK34" s="26" t="n">
        <v>113</v>
      </c>
      <c r="BL34" s="27" t="n">
        <v>2.13</v>
      </c>
      <c r="BM34" s="28" t="n">
        <v>0.469484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True</t>
        </is>
      </c>
      <c r="CT34" s="24" t="n"/>
      <c r="CU34" s="24" t="n"/>
      <c r="CV34" s="24" t="n"/>
      <c r="CW34" s="24" t="n"/>
      <c r="CX34" s="24" t="n"/>
      <c r="CY34" s="24" t="n"/>
      <c r="CZ34" s="24" t="n"/>
      <c r="DA34" s="24" t="n"/>
      <c r="DB34" s="24" t="n"/>
      <c r="DC34" s="24" t="n"/>
      <c r="DD34" s="24" t="n"/>
      <c r="DE34" s="24" t="n"/>
      <c r="DF34" s="24" t="n"/>
      <c r="DG34" s="24" t="n"/>
      <c r="DH34" s="24" t="n"/>
      <c r="DI34" s="24" t="n"/>
      <c r="DJ34" s="24" t="inlineStr">
        <is>
          <t>0.469484</t>
        </is>
      </c>
      <c r="DK34" s="24" t="n"/>
      <c r="DL34" s="24" t="n"/>
      <c r="DM34" s="24" t="n"/>
      <c r="DN34" s="24" t="n"/>
      <c r="DO34" s="24" t="n"/>
      <c r="DP34" s="24" t="n"/>
      <c r="DQ34" s="24" t="n"/>
    </row>
    <row r="35" ht="36" customHeight="1">
      <c r="A35" s="24" t="inlineStr">
        <is>
          <t>87a4c085ee634638</t>
        </is>
      </c>
      <c r="B35" s="24" t="inlineStr">
        <is>
          <t>2026-08-15T08:27:01.116968Z</t>
        </is>
      </c>
      <c r="C35" s="24" t="inlineStr">
        <is>
          <t>2026-08-15T10:00:00Z</t>
        </is>
      </c>
      <c r="D35" s="24" t="inlineStr">
        <is>
          <t>79620</t>
        </is>
      </c>
      <c r="E35" s="24" t="inlineStr">
        <is>
          <t>KBO</t>
        </is>
      </c>
      <c r="F35" s="24" t="inlineStr">
        <is>
          <t>SSG Landers</t>
        </is>
      </c>
      <c r="G35" s="24" t="inlineStr">
        <is>
          <t>LG Twins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-150</v>
      </c>
      <c r="M35" s="27" t="n">
        <v>1.666667</v>
      </c>
      <c r="N35" s="28" t="n">
        <v>0.6</v>
      </c>
      <c r="O35" s="28" t="n">
        <v>0.549467</v>
      </c>
      <c r="P35" s="28" t="n"/>
      <c r="Q35" s="28" t="n">
        <v>-0.050533</v>
      </c>
      <c r="R35" s="26" t="n">
        <v>0</v>
      </c>
      <c r="S35" s="29" t="n">
        <v>1</v>
      </c>
      <c r="T35" s="24" t="inlineStr">
        <is>
          <t>kbo-tie-aware-elo-v2</t>
        </is>
      </c>
      <c r="U35" s="24" t="inlineStr">
        <is>
          <t>settled</t>
        </is>
      </c>
      <c r="V35" s="24" t="inlineStr">
        <is>
          <t>win</t>
        </is>
      </c>
      <c r="W35" s="26" t="n">
        <v>1</v>
      </c>
      <c r="X35" s="26" t="n">
        <v>4</v>
      </c>
      <c r="Y35" s="25" t="n"/>
      <c r="Z35" s="26" t="n"/>
      <c r="AA35" s="28" t="n"/>
      <c r="AB35" s="28" t="n"/>
      <c r="AC35" s="30" t="n">
        <v>0.6667</v>
      </c>
      <c r="AD35" s="24" t="inlineStr">
        <is>
          <t>2026-08-15T14:39:40.118989Z</t>
        </is>
      </c>
      <c r="AE35" s="31" t="inlineStr">
        <is>
          <t>Tie-aware Elo baseline; executable ask 0.6000 (market_slug=aec-kbo-ltg-sls-2026-08-15). Tie probability=0.0225.</t>
        </is>
      </c>
      <c r="AF35" s="31" t="inlineStr">
        <is>
          <t>Config-promoted international baseball baseline; gates enforced at log time.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paper_call</t>
        </is>
      </c>
      <c r="AL35" s="26" t="n">
        <v>3</v>
      </c>
      <c r="AM35" s="24" t="inlineStr">
        <is>
          <t>RESEARCH_OBSERVATION</t>
        </is>
      </c>
      <c r="AN35" s="24" t="inlineStr">
        <is>
          <t>CALL</t>
        </is>
      </c>
      <c r="AO35" s="24" t="inlineStr">
        <is>
          <t>PAPER_CALL_LOW_EDGE</t>
        </is>
      </c>
      <c r="AP35" s="24" t="inlineStr">
        <is>
          <t>SSG Landers</t>
        </is>
      </c>
      <c r="AQ35" s="24" t="inlineStr">
        <is>
          <t>SSG Landers</t>
        </is>
      </c>
      <c r="AR35" s="24" t="inlineStr">
        <is>
          <t>SSG Landers</t>
        </is>
      </c>
      <c r="AS35" s="24" t="inlineStr">
        <is>
          <t>LG Twins</t>
        </is>
      </c>
      <c r="AT35" s="24" t="inlineStr">
        <is>
          <t>LG Twins</t>
        </is>
      </c>
      <c r="AU35" s="24" t="inlineStr">
        <is>
          <t>LG Twins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c9e971552443fc818edf361bec8e2bae41dcc3f6ea26f2d38dbf129926e38757</t>
        </is>
      </c>
      <c r="BB35" s="24" t="inlineStr">
        <is>
          <t>tie_aware_elo</t>
        </is>
      </c>
      <c r="BC35" s="24" t="inlineStr">
        <is>
          <t>kbo-tie-aware-elo-v2</t>
        </is>
      </c>
      <c r="BD35" s="24" t="inlineStr">
        <is>
          <t>c9e971552443fc818edf361bec8e2bae41dcc3f6ea26f2d38dbf129926e38757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kbo-tie-aware-elo-v2</t>
        </is>
      </c>
      <c r="BH35" s="24" t="inlineStr">
        <is>
          <t>2026-08-15T08:27:01.116929Z</t>
        </is>
      </c>
      <c r="BI35" s="24" t="inlineStr">
        <is>
          <t>["same_event","same_team_same_day","same_league_same_day"]</t>
        </is>
      </c>
      <c r="BJ35" s="25" t="n"/>
      <c r="BK35" s="26" t="n">
        <v>-150</v>
      </c>
      <c r="BL35" s="27" t="n">
        <v>1.666667</v>
      </c>
      <c r="BM35" s="28" t="n">
        <v>0.6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False</t>
        </is>
      </c>
      <c r="CT35" s="24" t="n"/>
      <c r="CU35" s="24" t="n"/>
      <c r="CV35" s="24" t="n"/>
      <c r="CW35" s="24" t="n"/>
      <c r="CX35" s="24" t="n"/>
      <c r="CY35" s="24" t="n"/>
      <c r="CZ35" s="24" t="n"/>
      <c r="DA35" s="24" t="n"/>
      <c r="DB35" s="24" t="n"/>
      <c r="DC35" s="24" t="n"/>
      <c r="DD35" s="24" t="n"/>
      <c r="DE35" s="24" t="n"/>
      <c r="DF35" s="24" t="n"/>
      <c r="DG35" s="24" t="n"/>
      <c r="DH35" s="24" t="n"/>
      <c r="DI35" s="24" t="n"/>
      <c r="DJ35" s="24" t="inlineStr">
        <is>
          <t>0.6</t>
        </is>
      </c>
      <c r="DK35" s="24" t="n"/>
      <c r="DL35" s="24" t="n"/>
      <c r="DM35" s="24" t="n"/>
      <c r="DN35" s="24" t="n"/>
      <c r="DO35" s="24" t="n"/>
      <c r="DP35" s="24" t="n"/>
      <c r="DQ35" s="24" t="n"/>
    </row>
    <row r="36" ht="36" customHeight="1">
      <c r="A36" s="24" t="inlineStr">
        <is>
          <t>26f1316f082e4f84</t>
        </is>
      </c>
      <c r="B36" s="24" t="inlineStr">
        <is>
          <t>2026-08-16T09:36:23.671632Z</t>
        </is>
      </c>
      <c r="C36" s="24" t="inlineStr">
        <is>
          <t>2026-08-16T10:00:00Z</t>
        </is>
      </c>
      <c r="D36" s="24" t="inlineStr">
        <is>
          <t>80470</t>
        </is>
      </c>
      <c r="E36" s="24" t="inlineStr">
        <is>
          <t>KBO</t>
        </is>
      </c>
      <c r="F36" s="24" t="inlineStr">
        <is>
          <t>Doosan Bears</t>
        </is>
      </c>
      <c r="G36" s="24" t="inlineStr">
        <is>
          <t>Kia Tigers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-108</v>
      </c>
      <c r="M36" s="27" t="n">
        <v>1.925926</v>
      </c>
      <c r="N36" s="28" t="n">
        <v>0.519231</v>
      </c>
      <c r="O36" s="28" t="n">
        <v>0.523132</v>
      </c>
      <c r="P36" s="28" t="n"/>
      <c r="Q36" s="28" t="n">
        <v>0.003901</v>
      </c>
      <c r="R36" s="26" t="n">
        <v>22</v>
      </c>
      <c r="S36" s="29" t="n">
        <v>1</v>
      </c>
      <c r="T36" s="24" t="inlineStr">
        <is>
          <t>kbo-tie-aware-elo-v2</t>
        </is>
      </c>
      <c r="U36" s="24" t="inlineStr">
        <is>
          <t>settled</t>
        </is>
      </c>
      <c r="V36" s="24" t="inlineStr">
        <is>
          <t>loss</t>
        </is>
      </c>
      <c r="W36" s="26" t="n">
        <v>1</v>
      </c>
      <c r="X36" s="26" t="n">
        <v>2</v>
      </c>
      <c r="Y36" s="25" t="n"/>
      <c r="Z36" s="26" t="n"/>
      <c r="AA36" s="28" t="n"/>
      <c r="AB36" s="28" t="n"/>
      <c r="AC36" s="30" t="n">
        <v>-1</v>
      </c>
      <c r="AD36" s="24" t="inlineStr">
        <is>
          <t>2026-08-16T14:31:28.848650Z</t>
        </is>
      </c>
      <c r="AE36" s="31" t="inlineStr">
        <is>
          <t>Tie-aware Elo baseline; executable ask 0.5200 (market_slug=aec-kbo-kti-dbo-2026-08-16). Tie probability=0.0225.</t>
        </is>
      </c>
      <c r="AF36" s="31" t="inlineStr">
        <is>
          <t>Config-promoted international baseball baseline; gates enforced at log time.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paper_call</t>
        </is>
      </c>
      <c r="AL36" s="26" t="n">
        <v>3</v>
      </c>
      <c r="AM36" s="24" t="inlineStr">
        <is>
          <t>RESEARCH_OBSERVATION</t>
        </is>
      </c>
      <c r="AN36" s="24" t="inlineStr">
        <is>
          <t>CALL</t>
        </is>
      </c>
      <c r="AO36" s="24" t="inlineStr">
        <is>
          <t>PAPER_CALL_LOW_EDGE</t>
        </is>
      </c>
      <c r="AP36" s="24" t="inlineStr">
        <is>
          <t>Doosan Bears</t>
        </is>
      </c>
      <c r="AQ36" s="24" t="inlineStr">
        <is>
          <t>Doosan Bears</t>
        </is>
      </c>
      <c r="AR36" s="24" t="inlineStr">
        <is>
          <t>Doosan Bears</t>
        </is>
      </c>
      <c r="AS36" s="24" t="inlineStr">
        <is>
          <t>Kia Tigers</t>
        </is>
      </c>
      <c r="AT36" s="24" t="inlineStr">
        <is>
          <t>Kia Tigers</t>
        </is>
      </c>
      <c r="AU36" s="24" t="inlineStr">
        <is>
          <t>Kia Tigers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013f343c585ba1fedd8eef7b28b4e7fe89c78839bcf08b91b1dfa01e31982a40</t>
        </is>
      </c>
      <c r="BB36" s="24" t="inlineStr">
        <is>
          <t>tie_aware_elo</t>
        </is>
      </c>
      <c r="BC36" s="24" t="inlineStr">
        <is>
          <t>kbo-tie-aware-elo-v2</t>
        </is>
      </c>
      <c r="BD36" s="24" t="inlineStr">
        <is>
          <t>013f343c585ba1fedd8eef7b28b4e7fe89c78839bcf08b91b1dfa01e31982a40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kbo-tie-aware-elo-v2</t>
        </is>
      </c>
      <c r="BH36" s="24" t="inlineStr">
        <is>
          <t>2026-08-16T09:36:21.155053Z</t>
        </is>
      </c>
      <c r="BI36" s="24" t="inlineStr">
        <is>
          <t>["same_event","same_team_same_day","same_league_same_day"]</t>
        </is>
      </c>
      <c r="BJ36" s="25" t="n"/>
      <c r="BK36" s="26" t="n">
        <v>-108</v>
      </c>
      <c r="BL36" s="27" t="n">
        <v>1.925926</v>
      </c>
      <c r="BM36" s="28" t="n">
        <v>0.519231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True</t>
        </is>
      </c>
      <c r="CT36" s="24" t="n"/>
      <c r="CU36" s="24" t="n"/>
      <c r="CV36" s="24" t="n"/>
      <c r="CW36" s="24" t="n"/>
      <c r="CX36" s="24" t="n"/>
      <c r="CY36" s="24" t="n"/>
      <c r="CZ36" s="24" t="n"/>
      <c r="DA36" s="24" t="n"/>
      <c r="DB36" s="24" t="n"/>
      <c r="DC36" s="24" t="n"/>
      <c r="DD36" s="24" t="n"/>
      <c r="DE36" s="24" t="n"/>
      <c r="DF36" s="24" t="n"/>
      <c r="DG36" s="24" t="n"/>
      <c r="DH36" s="24" t="n"/>
      <c r="DI36" s="24" t="n"/>
      <c r="DJ36" s="24" t="inlineStr">
        <is>
          <t>0.519231</t>
        </is>
      </c>
      <c r="DK36" s="24" t="n"/>
      <c r="DL36" s="24" t="n"/>
      <c r="DM36" s="24" t="n"/>
      <c r="DN36" s="24" t="n"/>
      <c r="DO36" s="24" t="n"/>
      <c r="DP36" s="24" t="n"/>
      <c r="DQ36" s="24" t="n"/>
    </row>
    <row r="37" ht="36" customHeight="1">
      <c r="A37" s="24" t="inlineStr">
        <is>
          <t>bc7e87227e9b455b</t>
        </is>
      </c>
      <c r="B37" s="24" t="inlineStr">
        <is>
          <t>2026-08-16T09:36:23.671632Z</t>
        </is>
      </c>
      <c r="C37" s="24" t="inlineStr">
        <is>
          <t>2026-08-16T10:00:00Z</t>
        </is>
      </c>
      <c r="D37" s="24" t="inlineStr">
        <is>
          <t>80471</t>
        </is>
      </c>
      <c r="E37" s="24" t="inlineStr">
        <is>
          <t>KBO</t>
        </is>
      </c>
      <c r="F37" s="24" t="inlineStr">
        <is>
          <t>Kiwoom Heroes</t>
        </is>
      </c>
      <c r="G37" s="24" t="inlineStr">
        <is>
          <t>KT Wiz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-300</v>
      </c>
      <c r="M37" s="27" t="n">
        <v>1.333333</v>
      </c>
      <c r="N37" s="28" t="n">
        <v>0.75</v>
      </c>
      <c r="O37" s="28" t="n">
        <v>0.6251989999999999</v>
      </c>
      <c r="P37" s="28" t="n"/>
      <c r="Q37" s="28" t="n">
        <v>-0.124801</v>
      </c>
      <c r="R37" s="26" t="n">
        <v>0</v>
      </c>
      <c r="S37" s="29" t="n">
        <v>1.5</v>
      </c>
      <c r="T37" s="24" t="inlineStr">
        <is>
          <t>kbo-tie-aware-elo-v2</t>
        </is>
      </c>
      <c r="U37" s="24" t="inlineStr">
        <is>
          <t>settled</t>
        </is>
      </c>
      <c r="V37" s="24" t="inlineStr">
        <is>
          <t>win</t>
        </is>
      </c>
      <c r="W37" s="26" t="n">
        <v>2</v>
      </c>
      <c r="X37" s="26" t="n">
        <v>6</v>
      </c>
      <c r="Y37" s="25" t="n"/>
      <c r="Z37" s="26" t="n"/>
      <c r="AA37" s="28" t="n"/>
      <c r="AB37" s="28" t="n"/>
      <c r="AC37" s="30" t="n">
        <v>0.5</v>
      </c>
      <c r="AD37" s="24" t="inlineStr">
        <is>
          <t>2026-08-16T14:31:29.121826Z</t>
        </is>
      </c>
      <c r="AE37" s="31" t="inlineStr">
        <is>
          <t>Tie-aware Elo baseline; executable ask 0.7500 (market_slug=aec-kbo-kwt-khi-2026-08-16). Tie probability=0.0225.</t>
        </is>
      </c>
      <c r="AF37" s="31" t="inlineStr">
        <is>
          <t>Config-promoted international baseball baseline; gates enforced at log time.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paper_call</t>
        </is>
      </c>
      <c r="AL37" s="26" t="n">
        <v>3</v>
      </c>
      <c r="AM37" s="24" t="inlineStr">
        <is>
          <t>RESEARCH_OBSERVATION</t>
        </is>
      </c>
      <c r="AN37" s="24" t="inlineStr">
        <is>
          <t>CALL</t>
        </is>
      </c>
      <c r="AO37" s="24" t="inlineStr">
        <is>
          <t>PAPER_CALL_LOW_EDGE</t>
        </is>
      </c>
      <c r="AP37" s="24" t="inlineStr">
        <is>
          <t>Kiwoom Heroes</t>
        </is>
      </c>
      <c r="AQ37" s="24" t="inlineStr">
        <is>
          <t>Kiwoom Heroes</t>
        </is>
      </c>
      <c r="AR37" s="24" t="inlineStr">
        <is>
          <t>Kiwoom Heroes</t>
        </is>
      </c>
      <c r="AS37" s="24" t="inlineStr">
        <is>
          <t>KT Wiz</t>
        </is>
      </c>
      <c r="AT37" s="24" t="inlineStr">
        <is>
          <t>KT Wiz</t>
        </is>
      </c>
      <c r="AU37" s="24" t="inlineStr">
        <is>
          <t>KT Wiz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013f343c585ba1fedd8eef7b28b4e7fe89c78839bcf08b91b1dfa01e31982a40</t>
        </is>
      </c>
      <c r="BB37" s="24" t="inlineStr">
        <is>
          <t>tie_aware_elo</t>
        </is>
      </c>
      <c r="BC37" s="24" t="inlineStr">
        <is>
          <t>kbo-tie-aware-elo-v2</t>
        </is>
      </c>
      <c r="BD37" s="24" t="inlineStr">
        <is>
          <t>013f343c585ba1fedd8eef7b28b4e7fe89c78839bcf08b91b1dfa01e31982a40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kbo-tie-aware-elo-v2</t>
        </is>
      </c>
      <c r="BH37" s="24" t="inlineStr">
        <is>
          <t>2026-08-16T09:36:21.739525Z</t>
        </is>
      </c>
      <c r="BI37" s="24" t="inlineStr">
        <is>
          <t>["same_event","same_team_same_day","same_league_same_day"]</t>
        </is>
      </c>
      <c r="BJ37" s="25" t="n"/>
      <c r="BK37" s="26" t="n">
        <v>-300</v>
      </c>
      <c r="BL37" s="27" t="n">
        <v>1.333333</v>
      </c>
      <c r="BM37" s="28" t="n">
        <v>0.75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False</t>
        </is>
      </c>
      <c r="CT37" s="24" t="n"/>
      <c r="CU37" s="24" t="n"/>
      <c r="CV37" s="24" t="n"/>
      <c r="CW37" s="24" t="n"/>
      <c r="CX37" s="24" t="n"/>
      <c r="CY37" s="24" t="n"/>
      <c r="CZ37" s="24" t="n"/>
      <c r="DA37" s="24" t="n"/>
      <c r="DB37" s="24" t="n"/>
      <c r="DC37" s="24" t="n"/>
      <c r="DD37" s="24" t="n"/>
      <c r="DE37" s="24" t="n"/>
      <c r="DF37" s="24" t="n"/>
      <c r="DG37" s="24" t="n"/>
      <c r="DH37" s="24" t="n"/>
      <c r="DI37" s="24" t="n"/>
      <c r="DJ37" s="24" t="inlineStr">
        <is>
          <t>0.75</t>
        </is>
      </c>
      <c r="DK37" s="24" t="n"/>
      <c r="DL37" s="24" t="n"/>
      <c r="DM37" s="24" t="n"/>
      <c r="DN37" s="24" t="n"/>
      <c r="DO37" s="24" t="n"/>
      <c r="DP37" s="24" t="n"/>
      <c r="DQ37" s="24" t="n"/>
    </row>
    <row r="38" ht="36" customHeight="1">
      <c r="A38" s="24" t="inlineStr">
        <is>
          <t>f94e395dc3d3463e</t>
        </is>
      </c>
      <c r="B38" s="24" t="inlineStr">
        <is>
          <t>2026-08-16T09:36:23.671632Z</t>
        </is>
      </c>
      <c r="C38" s="24" t="inlineStr">
        <is>
          <t>2026-08-16T10:00:00Z</t>
        </is>
      </c>
      <c r="D38" s="24" t="inlineStr">
        <is>
          <t>80472</t>
        </is>
      </c>
      <c r="E38" s="24" t="inlineStr">
        <is>
          <t>KBO</t>
        </is>
      </c>
      <c r="F38" s="24" t="inlineStr">
        <is>
          <t>Hanwha Eagles</t>
        </is>
      </c>
      <c r="G38" s="24" t="inlineStr">
        <is>
          <t>Samsung Lions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-163</v>
      </c>
      <c r="M38" s="27" t="n">
        <v>1.613497</v>
      </c>
      <c r="N38" s="28" t="n">
        <v>0.619772</v>
      </c>
      <c r="O38" s="28" t="n">
        <v>0.571495</v>
      </c>
      <c r="P38" s="28" t="n"/>
      <c r="Q38" s="28" t="n">
        <v>-0.048277</v>
      </c>
      <c r="R38" s="26" t="n">
        <v>0</v>
      </c>
      <c r="S38" s="29" t="n">
        <v>1.25</v>
      </c>
      <c r="T38" s="24" t="inlineStr">
        <is>
          <t>kbo-tie-aware-elo-v2</t>
        </is>
      </c>
      <c r="U38" s="24" t="inlineStr">
        <is>
          <t>settled</t>
        </is>
      </c>
      <c r="V38" s="24" t="inlineStr">
        <is>
          <t>push</t>
        </is>
      </c>
      <c r="W38" s="26" t="n"/>
      <c r="X38" s="26" t="n"/>
      <c r="Y38" s="25" t="n"/>
      <c r="Z38" s="26" t="n"/>
      <c r="AA38" s="28" t="n"/>
      <c r="AB38" s="28" t="n"/>
      <c r="AC38" s="30" t="n">
        <v>0</v>
      </c>
      <c r="AD38" s="24" t="inlineStr">
        <is>
          <t>2026-08-31T06:26:52.085382Z</t>
        </is>
      </c>
      <c r="AE38" s="31" t="inlineStr">
        <is>
          <t>Tie-aware Elo baseline; executable ask 0.6200 (market_slug=aec-kbo-sla-hea-2026-08-16). Tie probability=0.0225.</t>
        </is>
      </c>
      <c r="AF38" s="31" t="inlineStr">
        <is>
          <t>Config-promoted international baseball baseline; gates enforced at log time.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paper_call</t>
        </is>
      </c>
      <c r="AL38" s="26" t="n">
        <v>3</v>
      </c>
      <c r="AM38" s="24" t="inlineStr">
        <is>
          <t>RESEARCH_OBSERVATION</t>
        </is>
      </c>
      <c r="AN38" s="24" t="inlineStr">
        <is>
          <t>CALL</t>
        </is>
      </c>
      <c r="AO38" s="24" t="inlineStr">
        <is>
          <t>PAPER_CALL_LOW_EDGE</t>
        </is>
      </c>
      <c r="AP38" s="24" t="inlineStr">
        <is>
          <t>Hanwha Eagles</t>
        </is>
      </c>
      <c r="AQ38" s="24" t="inlineStr">
        <is>
          <t>Hanwha Eagles</t>
        </is>
      </c>
      <c r="AR38" s="24" t="inlineStr">
        <is>
          <t>Hanwha Eagles</t>
        </is>
      </c>
      <c r="AS38" s="24" t="inlineStr">
        <is>
          <t>Samsung Lions</t>
        </is>
      </c>
      <c r="AT38" s="24" t="inlineStr">
        <is>
          <t>Samsung Lions</t>
        </is>
      </c>
      <c r="AU38" s="24" t="inlineStr">
        <is>
          <t>Samsung Lions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013f343c585ba1fedd8eef7b28b4e7fe89c78839bcf08b91b1dfa01e31982a40</t>
        </is>
      </c>
      <c r="BB38" s="24" t="inlineStr">
        <is>
          <t>tie_aware_elo</t>
        </is>
      </c>
      <c r="BC38" s="24" t="inlineStr">
        <is>
          <t>kbo-tie-aware-elo-v2</t>
        </is>
      </c>
      <c r="BD38" s="24" t="inlineStr">
        <is>
          <t>013f343c585ba1fedd8eef7b28b4e7fe89c78839bcf08b91b1dfa01e31982a40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kbo-tie-aware-elo-v2</t>
        </is>
      </c>
      <c r="BH38" s="24" t="inlineStr">
        <is>
          <t>2026-08-16T09:36:22.397063Z</t>
        </is>
      </c>
      <c r="BI38" s="24" t="inlineStr">
        <is>
          <t>["same_event","same_team_same_day","same_league_same_day"]</t>
        </is>
      </c>
      <c r="BJ38" s="25" t="n"/>
      <c r="BK38" s="26" t="n">
        <v>-163</v>
      </c>
      <c r="BL38" s="27" t="n">
        <v>1.613497</v>
      </c>
      <c r="BM38" s="28" t="n">
        <v>0.619772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inlineStr">
        <is>
          <t>voided 2026-08-31: game never played on its slate date -- the official KBO source still lists HANWHA @ SAMSUNG on 2026-08-16 with no score (postponed; makeup games are replayed under a new game_id on a new date), so no result for this contract can ever exist and the row would stay open forever.</t>
        </is>
      </c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False</t>
        </is>
      </c>
      <c r="CT38" s="24" t="n"/>
      <c r="CU38" s="24" t="n"/>
      <c r="CV38" s="24" t="n"/>
      <c r="CW38" s="24" t="n"/>
      <c r="CX38" s="24" t="n"/>
      <c r="CY38" s="24" t="n"/>
      <c r="CZ38" s="24" t="n"/>
      <c r="DA38" s="24" t="n"/>
      <c r="DB38" s="24" t="n"/>
      <c r="DC38" s="24" t="n"/>
      <c r="DD38" s="24" t="n"/>
      <c r="DE38" s="24" t="n"/>
      <c r="DF38" s="24" t="n"/>
      <c r="DG38" s="24" t="n"/>
      <c r="DH38" s="24" t="n"/>
      <c r="DI38" s="24" t="n"/>
      <c r="DJ38" s="24" t="inlineStr">
        <is>
          <t>0.619772</t>
        </is>
      </c>
      <c r="DK38" s="24" t="n"/>
      <c r="DL38" s="24" t="n"/>
      <c r="DM38" s="24" t="n"/>
      <c r="DN38" s="24" t="n"/>
      <c r="DO38" s="24" t="n"/>
      <c r="DP38" s="24" t="n"/>
      <c r="DQ38" s="24" t="n"/>
    </row>
    <row r="39" ht="36" customHeight="1">
      <c r="A39" s="24" t="inlineStr">
        <is>
          <t>069f26957407473f</t>
        </is>
      </c>
      <c r="B39" s="24" t="inlineStr">
        <is>
          <t>2026-08-16T09:36:23.671632Z</t>
        </is>
      </c>
      <c r="C39" s="24" t="inlineStr">
        <is>
          <t>2026-08-16T10:00:00Z</t>
        </is>
      </c>
      <c r="D39" s="24" t="inlineStr">
        <is>
          <t>80474</t>
        </is>
      </c>
      <c r="E39" s="24" t="inlineStr">
        <is>
          <t>KBO</t>
        </is>
      </c>
      <c r="F39" s="24" t="inlineStr">
        <is>
          <t>NC Dinos</t>
        </is>
      </c>
      <c r="G39" s="24" t="inlineStr">
        <is>
          <t>Lotte Giants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polymarket_us</t>
        </is>
      </c>
      <c r="L39" s="26" t="n">
        <v>-138</v>
      </c>
      <c r="M39" s="27" t="n">
        <v>1.724638</v>
      </c>
      <c r="N39" s="28" t="n">
        <v>0.579832</v>
      </c>
      <c r="O39" s="28" t="n">
        <v>0.515994</v>
      </c>
      <c r="P39" s="28" t="n"/>
      <c r="Q39" s="28" t="n">
        <v>-0.06383800000000001</v>
      </c>
      <c r="R39" s="26" t="n">
        <v>0</v>
      </c>
      <c r="S39" s="29" t="n">
        <v>1</v>
      </c>
      <c r="T39" s="24" t="inlineStr">
        <is>
          <t>kbo-tie-aware-elo-v2</t>
        </is>
      </c>
      <c r="U39" s="24" t="inlineStr">
        <is>
          <t>settled</t>
        </is>
      </c>
      <c r="V39" s="24" t="inlineStr">
        <is>
          <t>push</t>
        </is>
      </c>
      <c r="W39" s="26" t="n"/>
      <c r="X39" s="26" t="n"/>
      <c r="Y39" s="25" t="n"/>
      <c r="Z39" s="26" t="n"/>
      <c r="AA39" s="28" t="n"/>
      <c r="AB39" s="28" t="n"/>
      <c r="AC39" s="30" t="n">
        <v>0</v>
      </c>
      <c r="AD39" s="24" t="inlineStr">
        <is>
          <t>2026-08-31T06:26:52.306784Z</t>
        </is>
      </c>
      <c r="AE39" s="31" t="inlineStr">
        <is>
          <t>Tie-aware Elo baseline; executable ask 0.5800 (market_slug=aec-kbo-lgo-ndc-2026-08-16). Tie probability=0.0225.</t>
        </is>
      </c>
      <c r="AF39" s="31" t="inlineStr">
        <is>
          <t>Config-promoted international baseball baseline; gates enforced at log time.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paper_call</t>
        </is>
      </c>
      <c r="AL39" s="26" t="n">
        <v>3</v>
      </c>
      <c r="AM39" s="24" t="inlineStr">
        <is>
          <t>RESEARCH_OBSERVATION</t>
        </is>
      </c>
      <c r="AN39" s="24" t="inlineStr">
        <is>
          <t>CALL</t>
        </is>
      </c>
      <c r="AO39" s="24" t="inlineStr">
        <is>
          <t>PAPER_CALL_LOW_EDGE</t>
        </is>
      </c>
      <c r="AP39" s="24" t="inlineStr">
        <is>
          <t>NC Dinos</t>
        </is>
      </c>
      <c r="AQ39" s="24" t="inlineStr">
        <is>
          <t>NC Dinos</t>
        </is>
      </c>
      <c r="AR39" s="24" t="inlineStr">
        <is>
          <t>NC Dinos</t>
        </is>
      </c>
      <c r="AS39" s="24" t="inlineStr">
        <is>
          <t>Lotte Giants</t>
        </is>
      </c>
      <c r="AT39" s="24" t="inlineStr">
        <is>
          <t>Lotte Giants</t>
        </is>
      </c>
      <c r="AU39" s="24" t="inlineStr">
        <is>
          <t>Lotte Giants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013f343c585ba1fedd8eef7b28b4e7fe89c78839bcf08b91b1dfa01e31982a40</t>
        </is>
      </c>
      <c r="BB39" s="24" t="inlineStr">
        <is>
          <t>tie_aware_elo</t>
        </is>
      </c>
      <c r="BC39" s="24" t="inlineStr">
        <is>
          <t>kbo-tie-aware-elo-v2</t>
        </is>
      </c>
      <c r="BD39" s="24" t="inlineStr">
        <is>
          <t>013f343c585ba1fedd8eef7b28b4e7fe89c78839bcf08b91b1dfa01e31982a40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kbo-tie-aware-elo-v2</t>
        </is>
      </c>
      <c r="BH39" s="24" t="inlineStr">
        <is>
          <t>2026-08-16T09:36:22.967254Z</t>
        </is>
      </c>
      <c r="BI39" s="24" t="inlineStr">
        <is>
          <t>["same_event","same_team_same_day","same_league_same_day"]</t>
        </is>
      </c>
      <c r="BJ39" s="25" t="n"/>
      <c r="BK39" s="26" t="n">
        <v>-138</v>
      </c>
      <c r="BL39" s="27" t="n">
        <v>1.724638</v>
      </c>
      <c r="BM39" s="28" t="n">
        <v>0.579832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inlineStr">
        <is>
          <t>voided 2026-08-31: game never played on its slate date -- the official KBO source still lists NC @ LOTTE on 2026-08-16 with no score (postponed; makeup games are replayed under a new game_id on a new date), so no result for this contract can ever exist and the row would stay open forever.</t>
        </is>
      </c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False</t>
        </is>
      </c>
      <c r="CT39" s="24" t="n"/>
      <c r="CU39" s="24" t="n"/>
      <c r="CV39" s="24" t="n"/>
      <c r="CW39" s="24" t="n"/>
      <c r="CX39" s="24" t="n"/>
      <c r="CY39" s="24" t="n"/>
      <c r="CZ39" s="24" t="n"/>
      <c r="DA39" s="24" t="n"/>
      <c r="DB39" s="24" t="n"/>
      <c r="DC39" s="24" t="n"/>
      <c r="DD39" s="24" t="n"/>
      <c r="DE39" s="24" t="n"/>
      <c r="DF39" s="24" t="n"/>
      <c r="DG39" s="24" t="n"/>
      <c r="DH39" s="24" t="n"/>
      <c r="DI39" s="24" t="n"/>
      <c r="DJ39" s="24" t="inlineStr">
        <is>
          <t>0.579832</t>
        </is>
      </c>
      <c r="DK39" s="24" t="n"/>
      <c r="DL39" s="24" t="n"/>
      <c r="DM39" s="24" t="n"/>
      <c r="DN39" s="24" t="n"/>
      <c r="DO39" s="24" t="n"/>
      <c r="DP39" s="24" t="n"/>
      <c r="DQ39" s="24" t="n"/>
    </row>
    <row r="40" ht="36" customHeight="1">
      <c r="A40" s="24" t="inlineStr">
        <is>
          <t>9162990dd0d347d6</t>
        </is>
      </c>
      <c r="B40" s="24" t="inlineStr">
        <is>
          <t>2026-08-16T09:36:23.671632Z</t>
        </is>
      </c>
      <c r="C40" s="24" t="inlineStr">
        <is>
          <t>2026-08-16T10:00:00Z</t>
        </is>
      </c>
      <c r="D40" s="24" t="inlineStr">
        <is>
          <t>80475</t>
        </is>
      </c>
      <c r="E40" s="24" t="inlineStr">
        <is>
          <t>KBO</t>
        </is>
      </c>
      <c r="F40" s="24" t="inlineStr">
        <is>
          <t>SSG Landers</t>
        </is>
      </c>
      <c r="G40" s="24" t="inlineStr">
        <is>
          <t>LG Twins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-156</v>
      </c>
      <c r="M40" s="27" t="n">
        <v>1.641026</v>
      </c>
      <c r="N40" s="28" t="n">
        <v>0.609375</v>
      </c>
      <c r="O40" s="28" t="n">
        <v>0.559262</v>
      </c>
      <c r="P40" s="28" t="n"/>
      <c r="Q40" s="28" t="n">
        <v>-0.050113</v>
      </c>
      <c r="R40" s="26" t="n">
        <v>0</v>
      </c>
      <c r="S40" s="29" t="n">
        <v>1</v>
      </c>
      <c r="T40" s="24" t="inlineStr">
        <is>
          <t>kbo-tie-aware-elo-v2</t>
        </is>
      </c>
      <c r="U40" s="24" t="inlineStr">
        <is>
          <t>settled</t>
        </is>
      </c>
      <c r="V40" s="24" t="inlineStr">
        <is>
          <t>loss</t>
        </is>
      </c>
      <c r="W40" s="26" t="n">
        <v>6</v>
      </c>
      <c r="X40" s="26" t="n">
        <v>0</v>
      </c>
      <c r="Y40" s="25" t="n"/>
      <c r="Z40" s="26" t="n"/>
      <c r="AA40" s="28" t="n"/>
      <c r="AB40" s="28" t="n"/>
      <c r="AC40" s="30" t="n">
        <v>-1</v>
      </c>
      <c r="AD40" s="24" t="inlineStr">
        <is>
          <t>2026-08-16T14:31:40.636153Z</t>
        </is>
      </c>
      <c r="AE40" s="31" t="inlineStr">
        <is>
          <t>Tie-aware Elo baseline; executable ask 0.6100 (market_slug=aec-kbo-ltg-sls-2026-08-16). Tie probability=0.0225.</t>
        </is>
      </c>
      <c r="AF40" s="31" t="inlineStr">
        <is>
          <t>Config-promoted international baseball baseline; gates enforced at log time.</t>
        </is>
      </c>
      <c r="AG40" s="24" t="inlineStr">
        <is>
          <t>review_required</t>
        </is>
      </c>
      <c r="AH40" s="24" t="n"/>
      <c r="AI40" s="31" t="n"/>
      <c r="AJ40" s="31" t="n"/>
      <c r="AK40" s="24" t="inlineStr">
        <is>
          <t>paper_call</t>
        </is>
      </c>
      <c r="AL40" s="26" t="n">
        <v>3</v>
      </c>
      <c r="AM40" s="24" t="inlineStr">
        <is>
          <t>RESEARCH_OBSERVATION</t>
        </is>
      </c>
      <c r="AN40" s="24" t="inlineStr">
        <is>
          <t>CALL</t>
        </is>
      </c>
      <c r="AO40" s="24" t="inlineStr">
        <is>
          <t>PAPER_CALL_LOW_EDGE</t>
        </is>
      </c>
      <c r="AP40" s="24" t="inlineStr">
        <is>
          <t>SSG Landers</t>
        </is>
      </c>
      <c r="AQ40" s="24" t="inlineStr">
        <is>
          <t>SSG Landers</t>
        </is>
      </c>
      <c r="AR40" s="24" t="inlineStr">
        <is>
          <t>SSG Landers</t>
        </is>
      </c>
      <c r="AS40" s="24" t="inlineStr">
        <is>
          <t>LG Twins</t>
        </is>
      </c>
      <c r="AT40" s="24" t="inlineStr">
        <is>
          <t>LG Twins</t>
        </is>
      </c>
      <c r="AU40" s="24" t="inlineStr">
        <is>
          <t>LG Twins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013f343c585ba1fedd8eef7b28b4e7fe89c78839bcf08b91b1dfa01e31982a40</t>
        </is>
      </c>
      <c r="BB40" s="24" t="inlineStr">
        <is>
          <t>tie_aware_elo</t>
        </is>
      </c>
      <c r="BC40" s="24" t="inlineStr">
        <is>
          <t>kbo-tie-aware-elo-v2</t>
        </is>
      </c>
      <c r="BD40" s="24" t="inlineStr">
        <is>
          <t>013f343c585ba1fedd8eef7b28b4e7fe89c78839bcf08b91b1dfa01e31982a40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kbo-tie-aware-elo-v2</t>
        </is>
      </c>
      <c r="BH40" s="24" t="inlineStr">
        <is>
          <t>2026-08-16T09:36:23.671492Z</t>
        </is>
      </c>
      <c r="BI40" s="24" t="inlineStr">
        <is>
          <t>["same_event","same_team_same_day","same_league_same_day"]</t>
        </is>
      </c>
      <c r="BJ40" s="25" t="n"/>
      <c r="BK40" s="26" t="n">
        <v>-156</v>
      </c>
      <c r="BL40" s="27" t="n">
        <v>1.641026</v>
      </c>
      <c r="BM40" s="28" t="n">
        <v>0.609375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False</t>
        </is>
      </c>
      <c r="CT40" s="24" t="n"/>
      <c r="CU40" s="24" t="n"/>
      <c r="CV40" s="24" t="n"/>
      <c r="CW40" s="24" t="n"/>
      <c r="CX40" s="24" t="n"/>
      <c r="CY40" s="24" t="n"/>
      <c r="CZ40" s="24" t="n"/>
      <c r="DA40" s="24" t="n"/>
      <c r="DB40" s="24" t="n"/>
      <c r="DC40" s="24" t="n"/>
      <c r="DD40" s="24" t="n"/>
      <c r="DE40" s="24" t="n"/>
      <c r="DF40" s="24" t="n"/>
      <c r="DG40" s="24" t="n"/>
      <c r="DH40" s="24" t="n"/>
      <c r="DI40" s="24" t="n"/>
      <c r="DJ40" s="24" t="inlineStr">
        <is>
          <t>0.609375</t>
        </is>
      </c>
      <c r="DK40" s="24" t="n"/>
      <c r="DL40" s="24" t="n"/>
      <c r="DM40" s="24" t="n"/>
      <c r="DN40" s="24" t="n"/>
      <c r="DO40" s="24" t="n"/>
      <c r="DP40" s="24" t="n"/>
      <c r="DQ40" s="24" t="n"/>
    </row>
    <row r="41" ht="36" customHeight="1">
      <c r="A41" s="24" t="inlineStr">
        <is>
          <t>406abdf55cbc4119</t>
        </is>
      </c>
      <c r="B41" s="24" t="inlineStr">
        <is>
          <t>2026-08-19T07:07:53.316218Z</t>
        </is>
      </c>
      <c r="C41" s="24" t="inlineStr">
        <is>
          <t>2026-08-19T10:00:00Z</t>
        </is>
      </c>
      <c r="D41" s="24" t="inlineStr">
        <is>
          <t>83102</t>
        </is>
      </c>
      <c r="E41" s="24" t="inlineStr">
        <is>
          <t>KBO</t>
        </is>
      </c>
      <c r="F41" s="24" t="inlineStr">
        <is>
          <t>Doosan Bears</t>
        </is>
      </c>
      <c r="G41" s="24" t="inlineStr">
        <is>
          <t>NC Dinos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-117</v>
      </c>
      <c r="M41" s="27" t="n">
        <v>1.854701</v>
      </c>
      <c r="N41" s="28" t="n">
        <v>0.539171</v>
      </c>
      <c r="O41" s="28" t="n">
        <v>0.55062</v>
      </c>
      <c r="P41" s="28" t="n"/>
      <c r="Q41" s="28" t="n">
        <v>0.011449</v>
      </c>
      <c r="R41" s="26" t="n">
        <v>26</v>
      </c>
      <c r="S41" s="29" t="n">
        <v>1</v>
      </c>
      <c r="T41" s="24" t="inlineStr">
        <is>
          <t>kbo-tie-aware-elo-v2</t>
        </is>
      </c>
      <c r="U41" s="24" t="inlineStr">
        <is>
          <t>settled</t>
        </is>
      </c>
      <c r="V41" s="24" t="inlineStr">
        <is>
          <t>win</t>
        </is>
      </c>
      <c r="W41" s="26" t="n">
        <v>8</v>
      </c>
      <c r="X41" s="26" t="n">
        <v>2</v>
      </c>
      <c r="Y41" s="25" t="n"/>
      <c r="Z41" s="26" t="n"/>
      <c r="AA41" s="28" t="n"/>
      <c r="AB41" s="28" t="n"/>
      <c r="AC41" s="30" t="n">
        <v>0.8547</v>
      </c>
      <c r="AD41" s="24" t="inlineStr">
        <is>
          <t>2026-08-19T13:40:16.860149Z</t>
        </is>
      </c>
      <c r="AE41" s="31" t="inlineStr">
        <is>
          <t>Tie-aware Elo baseline; executable ask 0.5400 (market_slug=aec-kbo-ndc-dbo-2026-08-19). Tie probability=0.0225.</t>
        </is>
      </c>
      <c r="AF41" s="31" t="inlineStr">
        <is>
          <t>Config-promoted international baseball baseline; gates enforced at log time.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paper_call</t>
        </is>
      </c>
      <c r="AL41" s="26" t="n">
        <v>3</v>
      </c>
      <c r="AM41" s="24" t="inlineStr">
        <is>
          <t>RESEARCH_OBSERVATION</t>
        </is>
      </c>
      <c r="AN41" s="24" t="inlineStr">
        <is>
          <t>CALL</t>
        </is>
      </c>
      <c r="AO41" s="24" t="inlineStr">
        <is>
          <t>PAPER_CALL_LOW_EDGE</t>
        </is>
      </c>
      <c r="AP41" s="24" t="inlineStr">
        <is>
          <t>Doosan Bears</t>
        </is>
      </c>
      <c r="AQ41" s="24" t="inlineStr">
        <is>
          <t>Doosan Bears</t>
        </is>
      </c>
      <c r="AR41" s="24" t="inlineStr">
        <is>
          <t>Doosan Bears</t>
        </is>
      </c>
      <c r="AS41" s="24" t="inlineStr">
        <is>
          <t>NC Dinos</t>
        </is>
      </c>
      <c r="AT41" s="24" t="inlineStr">
        <is>
          <t>NC Dinos</t>
        </is>
      </c>
      <c r="AU41" s="24" t="inlineStr">
        <is>
          <t>NC Dinos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58c286929e6fead8ccd4d56c1f6d0d75206ecc950fc9594babdb84efa4094b23</t>
        </is>
      </c>
      <c r="BB41" s="24" t="inlineStr">
        <is>
          <t>tie_aware_elo</t>
        </is>
      </c>
      <c r="BC41" s="24" t="inlineStr">
        <is>
          <t>kbo-tie-aware-elo-v2</t>
        </is>
      </c>
      <c r="BD41" s="24" t="inlineStr">
        <is>
          <t>58c286929e6fead8ccd4d56c1f6d0d75206ecc950fc9594babdb84efa4094b23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kbo-tie-aware-elo-v2</t>
        </is>
      </c>
      <c r="BH41" s="24" t="inlineStr">
        <is>
          <t>2026-08-19T07:07:52.967162Z</t>
        </is>
      </c>
      <c r="BI41" s="24" t="inlineStr">
        <is>
          <t>["same_event","same_team_same_day","same_league_same_day"]</t>
        </is>
      </c>
      <c r="BJ41" s="25" t="n"/>
      <c r="BK41" s="26" t="n">
        <v>-117</v>
      </c>
      <c r="BL41" s="27" t="n">
        <v>1.854701</v>
      </c>
      <c r="BM41" s="28" t="n">
        <v>0.539171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True</t>
        </is>
      </c>
      <c r="CT41" s="24" t="n"/>
      <c r="CU41" s="24" t="n"/>
      <c r="CV41" s="24" t="n"/>
      <c r="CW41" s="24" t="n"/>
      <c r="CX41" s="24" t="n"/>
      <c r="CY41" s="24" t="n"/>
      <c r="CZ41" s="24" t="n"/>
      <c r="DA41" s="24" t="n"/>
      <c r="DB41" s="24" t="n"/>
      <c r="DC41" s="24" t="n"/>
      <c r="DD41" s="24" t="n"/>
      <c r="DE41" s="24" t="n"/>
      <c r="DF41" s="24" t="n"/>
      <c r="DG41" s="24" t="n"/>
      <c r="DH41" s="24" t="n"/>
      <c r="DI41" s="24" t="n"/>
      <c r="DJ41" s="24" t="inlineStr">
        <is>
          <t>0.539171</t>
        </is>
      </c>
      <c r="DK41" s="24" t="n"/>
      <c r="DL41" s="24" t="n"/>
      <c r="DM41" s="24" t="n"/>
      <c r="DN41" s="24" t="n"/>
      <c r="DO41" s="24" t="n"/>
      <c r="DP41" s="24" t="n"/>
      <c r="DQ41" s="24" t="n"/>
    </row>
    <row r="42" ht="36" customHeight="1">
      <c r="A42" s="24" t="inlineStr">
        <is>
          <t>d42683481fc84159</t>
        </is>
      </c>
      <c r="B42" s="24" t="inlineStr">
        <is>
          <t>2026-08-19T07:07:53.316218Z</t>
        </is>
      </c>
      <c r="C42" s="24" t="inlineStr">
        <is>
          <t>2026-08-19T10:00:00Z</t>
        </is>
      </c>
      <c r="D42" s="24" t="inlineStr">
        <is>
          <t>83103</t>
        </is>
      </c>
      <c r="E42" s="24" t="inlineStr">
        <is>
          <t>KBO</t>
        </is>
      </c>
      <c r="F42" s="24" t="inlineStr">
        <is>
          <t>KT Wiz</t>
        </is>
      </c>
      <c r="G42" s="24" t="inlineStr">
        <is>
          <t>LG Twins</t>
        </is>
      </c>
      <c r="H42" s="24" t="inlineStr">
        <is>
          <t>moneyline</t>
        </is>
      </c>
      <c r="I42" s="24" t="inlineStr">
        <is>
          <t>away</t>
        </is>
      </c>
      <c r="J42" s="25" t="n"/>
      <c r="K42" s="24" t="inlineStr">
        <is>
          <t>polymarket_us</t>
        </is>
      </c>
      <c r="L42" s="26" t="n">
        <v>133</v>
      </c>
      <c r="M42" s="27" t="n">
        <v>2.33</v>
      </c>
      <c r="N42" s="28" t="n">
        <v>0.429185</v>
      </c>
      <c r="O42" s="28" t="n">
        <v>0.5545949999999999</v>
      </c>
      <c r="P42" s="28" t="n"/>
      <c r="Q42" s="28" t="n">
        <v>0.12541</v>
      </c>
      <c r="R42" s="26" t="n">
        <v>83</v>
      </c>
      <c r="S42" s="29" t="n">
        <v>1</v>
      </c>
      <c r="T42" s="24" t="inlineStr">
        <is>
          <t>kbo-tie-aware-elo-v2</t>
        </is>
      </c>
      <c r="U42" s="24" t="inlineStr">
        <is>
          <t>settled</t>
        </is>
      </c>
      <c r="V42" s="24" t="inlineStr">
        <is>
          <t>loss</t>
        </is>
      </c>
      <c r="W42" s="26" t="n">
        <v>0</v>
      </c>
      <c r="X42" s="26" t="n">
        <v>1</v>
      </c>
      <c r="Y42" s="25" t="n"/>
      <c r="Z42" s="26" t="n"/>
      <c r="AA42" s="28" t="n"/>
      <c r="AB42" s="28" t="n"/>
      <c r="AC42" s="30" t="n">
        <v>-1</v>
      </c>
      <c r="AD42" s="24" t="inlineStr">
        <is>
          <t>2026-08-19T13:40:17.090544Z</t>
        </is>
      </c>
      <c r="AE42" s="31" t="inlineStr">
        <is>
          <t>Tie-aware Elo baseline; executable ask 0.4300 (market_slug=aec-kbo-ltg-kwt-2026-08-19). Tie probability=0.0225.</t>
        </is>
      </c>
      <c r="AF42" s="31" t="inlineStr">
        <is>
          <t>Config-promoted international baseball baseline; gates enforced at log time.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paper_call</t>
        </is>
      </c>
      <c r="AL42" s="26" t="n">
        <v>3</v>
      </c>
      <c r="AM42" s="24" t="inlineStr">
        <is>
          <t>RESEARCH_OBSERVATION</t>
        </is>
      </c>
      <c r="AN42" s="24" t="inlineStr">
        <is>
          <t>CALL</t>
        </is>
      </c>
      <c r="AO42" s="24" t="inlineStr">
        <is>
          <t>PAPER_CALL_LOW_EDGE</t>
        </is>
      </c>
      <c r="AP42" s="24" t="inlineStr">
        <is>
          <t>KT Wiz</t>
        </is>
      </c>
      <c r="AQ42" s="24" t="inlineStr">
        <is>
          <t>KT Wiz</t>
        </is>
      </c>
      <c r="AR42" s="24" t="inlineStr">
        <is>
          <t>KT Wiz</t>
        </is>
      </c>
      <c r="AS42" s="24" t="inlineStr">
        <is>
          <t>LG Twins</t>
        </is>
      </c>
      <c r="AT42" s="24" t="inlineStr">
        <is>
          <t>LG Twins</t>
        </is>
      </c>
      <c r="AU42" s="24" t="inlineStr">
        <is>
          <t>LG Twins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58c286929e6fead8ccd4d56c1f6d0d75206ecc950fc9594babdb84efa4094b23</t>
        </is>
      </c>
      <c r="BB42" s="24" t="inlineStr">
        <is>
          <t>tie_aware_elo</t>
        </is>
      </c>
      <c r="BC42" s="24" t="inlineStr">
        <is>
          <t>kbo-tie-aware-elo-v2</t>
        </is>
      </c>
      <c r="BD42" s="24" t="inlineStr">
        <is>
          <t>58c286929e6fead8ccd4d56c1f6d0d75206ecc950fc9594babdb84efa4094b23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kbo-tie-aware-elo-v2</t>
        </is>
      </c>
      <c r="BH42" s="24" t="inlineStr">
        <is>
          <t>2026-08-19T07:07:53.045409Z</t>
        </is>
      </c>
      <c r="BI42" s="24" t="inlineStr">
        <is>
          <t>["same_event","same_team_same_day","same_league_same_day"]</t>
        </is>
      </c>
      <c r="BJ42" s="25" t="n"/>
      <c r="BK42" s="26" t="n">
        <v>133</v>
      </c>
      <c r="BL42" s="27" t="n">
        <v>2.33</v>
      </c>
      <c r="BM42" s="28" t="n">
        <v>0.429185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True</t>
        </is>
      </c>
      <c r="CT42" s="24" t="n"/>
      <c r="CU42" s="24" t="n"/>
      <c r="CV42" s="24" t="n"/>
      <c r="CW42" s="24" t="n"/>
      <c r="CX42" s="24" t="n"/>
      <c r="CY42" s="24" t="n"/>
      <c r="CZ42" s="24" t="n"/>
      <c r="DA42" s="24" t="n"/>
      <c r="DB42" s="24" t="n"/>
      <c r="DC42" s="24" t="n"/>
      <c r="DD42" s="24" t="n"/>
      <c r="DE42" s="24" t="n"/>
      <c r="DF42" s="24" t="n"/>
      <c r="DG42" s="24" t="n"/>
      <c r="DH42" s="24" t="n"/>
      <c r="DI42" s="24" t="n"/>
      <c r="DJ42" s="24" t="inlineStr">
        <is>
          <t>0.429185</t>
        </is>
      </c>
      <c r="DK42" s="24" t="n"/>
      <c r="DL42" s="24" t="n"/>
      <c r="DM42" s="24" t="n"/>
      <c r="DN42" s="24" t="n"/>
      <c r="DO42" s="24" t="n"/>
      <c r="DP42" s="24" t="n"/>
      <c r="DQ42" s="24" t="n"/>
    </row>
    <row r="43" ht="36" customHeight="1">
      <c r="A43" s="24" t="inlineStr">
        <is>
          <t>d1f81dd09cf542eb</t>
        </is>
      </c>
      <c r="B43" s="24" t="inlineStr">
        <is>
          <t>2026-08-19T07:07:53.316218Z</t>
        </is>
      </c>
      <c r="C43" s="24" t="inlineStr">
        <is>
          <t>2026-08-19T10:00:00Z</t>
        </is>
      </c>
      <c r="D43" s="24" t="inlineStr">
        <is>
          <t>83104</t>
        </is>
      </c>
      <c r="E43" s="24" t="inlineStr">
        <is>
          <t>KBO</t>
        </is>
      </c>
      <c r="F43" s="24" t="inlineStr">
        <is>
          <t>Kia Tigers</t>
        </is>
      </c>
      <c r="G43" s="24" t="inlineStr">
        <is>
          <t>Hanwha Eagles</t>
        </is>
      </c>
      <c r="H43" s="24" t="inlineStr">
        <is>
          <t>moneyline</t>
        </is>
      </c>
      <c r="I43" s="24" t="inlineStr">
        <is>
          <t>away</t>
        </is>
      </c>
      <c r="J43" s="25" t="n"/>
      <c r="K43" s="24" t="inlineStr">
        <is>
          <t>polymarket_us</t>
        </is>
      </c>
      <c r="L43" s="26" t="n">
        <v>156</v>
      </c>
      <c r="M43" s="27" t="n">
        <v>2.56</v>
      </c>
      <c r="N43" s="28" t="n">
        <v>0.390625</v>
      </c>
      <c r="O43" s="28" t="n">
        <v>0.54557</v>
      </c>
      <c r="P43" s="28" t="n"/>
      <c r="Q43" s="28" t="n">
        <v>0.154945</v>
      </c>
      <c r="R43" s="26" t="n">
        <v>97</v>
      </c>
      <c r="S43" s="29" t="n">
        <v>1</v>
      </c>
      <c r="T43" s="24" t="inlineStr">
        <is>
          <t>kbo-tie-aware-elo-v2</t>
        </is>
      </c>
      <c r="U43" s="24" t="inlineStr">
        <is>
          <t>settled</t>
        </is>
      </c>
      <c r="V43" s="24" t="inlineStr">
        <is>
          <t>win</t>
        </is>
      </c>
      <c r="W43" s="26" t="n">
        <v>6</v>
      </c>
      <c r="X43" s="26" t="n">
        <v>3</v>
      </c>
      <c r="Y43" s="25" t="n"/>
      <c r="Z43" s="26" t="n"/>
      <c r="AA43" s="28" t="n"/>
      <c r="AB43" s="28" t="n"/>
      <c r="AC43" s="30" t="n">
        <v>1.56</v>
      </c>
      <c r="AD43" s="24" t="inlineStr">
        <is>
          <t>2026-08-19T13:40:17.274559Z</t>
        </is>
      </c>
      <c r="AE43" s="31" t="inlineStr">
        <is>
          <t>Tie-aware Elo baseline; executable ask 0.3900 (market_slug=aec-kbo-hea-kti-2026-08-19). Tie probability=0.0225.</t>
        </is>
      </c>
      <c r="AF43" s="31" t="inlineStr">
        <is>
          <t>Config-promoted international baseball baseline; gates enforced at log time.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paper_call</t>
        </is>
      </c>
      <c r="AL43" s="26" t="n">
        <v>3</v>
      </c>
      <c r="AM43" s="24" t="inlineStr">
        <is>
          <t>RESEARCH_OBSERVATION</t>
        </is>
      </c>
      <c r="AN43" s="24" t="inlineStr">
        <is>
          <t>CALL</t>
        </is>
      </c>
      <c r="AO43" s="24" t="inlineStr">
        <is>
          <t>PAPER_CALL_LOW_EDGE</t>
        </is>
      </c>
      <c r="AP43" s="24" t="inlineStr">
        <is>
          <t>Kia Tigers</t>
        </is>
      </c>
      <c r="AQ43" s="24" t="inlineStr">
        <is>
          <t>Kia Tigers</t>
        </is>
      </c>
      <c r="AR43" s="24" t="inlineStr">
        <is>
          <t>Kia Tigers</t>
        </is>
      </c>
      <c r="AS43" s="24" t="inlineStr">
        <is>
          <t>Hanwha Eagles</t>
        </is>
      </c>
      <c r="AT43" s="24" t="inlineStr">
        <is>
          <t>Hanwha Eagles</t>
        </is>
      </c>
      <c r="AU43" s="24" t="inlineStr">
        <is>
          <t>Hanwha Eagles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58c286929e6fead8ccd4d56c1f6d0d75206ecc950fc9594babdb84efa4094b23</t>
        </is>
      </c>
      <c r="BB43" s="24" t="inlineStr">
        <is>
          <t>tie_aware_elo</t>
        </is>
      </c>
      <c r="BC43" s="24" t="inlineStr">
        <is>
          <t>kbo-tie-aware-elo-v2</t>
        </is>
      </c>
      <c r="BD43" s="24" t="inlineStr">
        <is>
          <t>58c286929e6fead8ccd4d56c1f6d0d75206ecc950fc9594babdb84efa4094b23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kbo-tie-aware-elo-v2</t>
        </is>
      </c>
      <c r="BH43" s="24" t="inlineStr">
        <is>
          <t>2026-08-19T07:07:53.137614Z</t>
        </is>
      </c>
      <c r="BI43" s="24" t="inlineStr">
        <is>
          <t>["same_event","same_team_same_day","same_league_same_day"]</t>
        </is>
      </c>
      <c r="BJ43" s="25" t="n"/>
      <c r="BK43" s="26" t="n">
        <v>156</v>
      </c>
      <c r="BL43" s="27" t="n">
        <v>2.56</v>
      </c>
      <c r="BM43" s="28" t="n">
        <v>0.390625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True</t>
        </is>
      </c>
      <c r="CT43" s="24" t="n"/>
      <c r="CU43" s="24" t="n"/>
      <c r="CV43" s="24" t="n"/>
      <c r="CW43" s="24" t="n"/>
      <c r="CX43" s="24" t="n"/>
      <c r="CY43" s="24" t="n"/>
      <c r="CZ43" s="24" t="n"/>
      <c r="DA43" s="24" t="n"/>
      <c r="DB43" s="24" t="n"/>
      <c r="DC43" s="24" t="n"/>
      <c r="DD43" s="24" t="n"/>
      <c r="DE43" s="24" t="n"/>
      <c r="DF43" s="24" t="n"/>
      <c r="DG43" s="24" t="n"/>
      <c r="DH43" s="24" t="n"/>
      <c r="DI43" s="24" t="n"/>
      <c r="DJ43" s="24" t="inlineStr">
        <is>
          <t>0.390625</t>
        </is>
      </c>
      <c r="DK43" s="24" t="n"/>
      <c r="DL43" s="24" t="n"/>
      <c r="DM43" s="24" t="n"/>
      <c r="DN43" s="24" t="n"/>
      <c r="DO43" s="24" t="n"/>
      <c r="DP43" s="24" t="n"/>
      <c r="DQ43" s="24" t="n"/>
    </row>
    <row r="44" ht="36" customHeight="1">
      <c r="A44" s="24" t="inlineStr">
        <is>
          <t>73af9f70297a4bd6</t>
        </is>
      </c>
      <c r="B44" s="24" t="inlineStr">
        <is>
          <t>2026-08-19T07:07:53.316218Z</t>
        </is>
      </c>
      <c r="C44" s="24" t="inlineStr">
        <is>
          <t>2026-08-19T10:00:00Z</t>
        </is>
      </c>
      <c r="D44" s="24" t="inlineStr">
        <is>
          <t>83105</t>
        </is>
      </c>
      <c r="E44" s="24" t="inlineStr">
        <is>
          <t>KBO</t>
        </is>
      </c>
      <c r="F44" s="24" t="inlineStr">
        <is>
          <t>SSG Landers</t>
        </is>
      </c>
      <c r="G44" s="24" t="inlineStr">
        <is>
          <t>Samsung Lions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-186</v>
      </c>
      <c r="M44" s="27" t="n">
        <v>1.537634</v>
      </c>
      <c r="N44" s="28" t="n">
        <v>0.65035</v>
      </c>
      <c r="O44" s="28" t="n">
        <v>0.5868679999999999</v>
      </c>
      <c r="P44" s="28" t="n"/>
      <c r="Q44" s="28" t="n">
        <v>-0.063482</v>
      </c>
      <c r="R44" s="26" t="n">
        <v>0</v>
      </c>
      <c r="S44" s="29" t="n">
        <v>1.25</v>
      </c>
      <c r="T44" s="24" t="inlineStr">
        <is>
          <t>kbo-tie-aware-elo-v2</t>
        </is>
      </c>
      <c r="U44" s="24" t="inlineStr">
        <is>
          <t>settled</t>
        </is>
      </c>
      <c r="V44" s="24" t="inlineStr">
        <is>
          <t>win</t>
        </is>
      </c>
      <c r="W44" s="26" t="n">
        <v>4</v>
      </c>
      <c r="X44" s="26" t="n">
        <v>18</v>
      </c>
      <c r="Y44" s="25" t="n"/>
      <c r="Z44" s="26" t="n"/>
      <c r="AA44" s="28" t="n"/>
      <c r="AB44" s="28" t="n"/>
      <c r="AC44" s="30" t="n">
        <v>0.672</v>
      </c>
      <c r="AD44" s="24" t="inlineStr">
        <is>
          <t>2026-08-19T13:40:17.480391Z</t>
        </is>
      </c>
      <c r="AE44" s="31" t="inlineStr">
        <is>
          <t>Tie-aware Elo baseline; executable ask 0.6500 (market_slug=aec-kbo-sla-sls-2026-08-19). Tie probability=0.0225.</t>
        </is>
      </c>
      <c r="AF44" s="31" t="inlineStr">
        <is>
          <t>Config-promoted international baseball baseline; gates enforced at log time.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paper_call</t>
        </is>
      </c>
      <c r="AL44" s="26" t="n">
        <v>3</v>
      </c>
      <c r="AM44" s="24" t="inlineStr">
        <is>
          <t>RESEARCH_OBSERVATION</t>
        </is>
      </c>
      <c r="AN44" s="24" t="inlineStr">
        <is>
          <t>CALL</t>
        </is>
      </c>
      <c r="AO44" s="24" t="inlineStr">
        <is>
          <t>PAPER_CALL_LOW_EDGE</t>
        </is>
      </c>
      <c r="AP44" s="24" t="inlineStr">
        <is>
          <t>SSG Landers</t>
        </is>
      </c>
      <c r="AQ44" s="24" t="inlineStr">
        <is>
          <t>SSG Landers</t>
        </is>
      </c>
      <c r="AR44" s="24" t="inlineStr">
        <is>
          <t>SSG Landers</t>
        </is>
      </c>
      <c r="AS44" s="24" t="inlineStr">
        <is>
          <t>Samsung Lions</t>
        </is>
      </c>
      <c r="AT44" s="24" t="inlineStr">
        <is>
          <t>Samsung Lions</t>
        </is>
      </c>
      <c r="AU44" s="24" t="inlineStr">
        <is>
          <t>Samsung Lions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58c286929e6fead8ccd4d56c1f6d0d75206ecc950fc9594babdb84efa4094b23</t>
        </is>
      </c>
      <c r="BB44" s="24" t="inlineStr">
        <is>
          <t>tie_aware_elo</t>
        </is>
      </c>
      <c r="BC44" s="24" t="inlineStr">
        <is>
          <t>kbo-tie-aware-elo-v2</t>
        </is>
      </c>
      <c r="BD44" s="24" t="inlineStr">
        <is>
          <t>58c286929e6fead8ccd4d56c1f6d0d75206ecc950fc9594babdb84efa4094b23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kbo-tie-aware-elo-v2</t>
        </is>
      </c>
      <c r="BH44" s="24" t="inlineStr">
        <is>
          <t>2026-08-19T07:07:53.223965Z</t>
        </is>
      </c>
      <c r="BI44" s="24" t="inlineStr">
        <is>
          <t>["same_event","same_team_same_day","same_league_same_day"]</t>
        </is>
      </c>
      <c r="BJ44" s="25" t="n"/>
      <c r="BK44" s="26" t="n">
        <v>-186</v>
      </c>
      <c r="BL44" s="27" t="n">
        <v>1.537634</v>
      </c>
      <c r="BM44" s="28" t="n">
        <v>0.65035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False</t>
        </is>
      </c>
      <c r="CT44" s="24" t="n"/>
      <c r="CU44" s="24" t="n"/>
      <c r="CV44" s="24" t="n"/>
      <c r="CW44" s="24" t="n"/>
      <c r="CX44" s="24" t="n"/>
      <c r="CY44" s="24" t="n"/>
      <c r="CZ44" s="24" t="n"/>
      <c r="DA44" s="24" t="n"/>
      <c r="DB44" s="24" t="n"/>
      <c r="DC44" s="24" t="n"/>
      <c r="DD44" s="24" t="n"/>
      <c r="DE44" s="24" t="n"/>
      <c r="DF44" s="24" t="n"/>
      <c r="DG44" s="24" t="n"/>
      <c r="DH44" s="24" t="n"/>
      <c r="DI44" s="24" t="n"/>
      <c r="DJ44" s="24" t="inlineStr">
        <is>
          <t>0.65035</t>
        </is>
      </c>
      <c r="DK44" s="24" t="n"/>
      <c r="DL44" s="24" t="n"/>
      <c r="DM44" s="24" t="n"/>
      <c r="DN44" s="24" t="n"/>
      <c r="DO44" s="24" t="n"/>
      <c r="DP44" s="24" t="n"/>
      <c r="DQ44" s="24" t="n"/>
    </row>
    <row r="45" ht="36" customHeight="1">
      <c r="A45" s="24" t="inlineStr">
        <is>
          <t>9555bd9faa6c4edb</t>
        </is>
      </c>
      <c r="B45" s="24" t="inlineStr">
        <is>
          <t>2026-08-19T07:07:53.316218Z</t>
        </is>
      </c>
      <c r="C45" s="24" t="inlineStr">
        <is>
          <t>2026-08-19T10:00:00Z</t>
        </is>
      </c>
      <c r="D45" s="24" t="inlineStr">
        <is>
          <t>83106</t>
        </is>
      </c>
      <c r="E45" s="24" t="inlineStr">
        <is>
          <t>KBO</t>
        </is>
      </c>
      <c r="F45" s="24" t="inlineStr">
        <is>
          <t>Kiwoom Heroes</t>
        </is>
      </c>
      <c r="G45" s="24" t="inlineStr">
        <is>
          <t>Lotte Giants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-138</v>
      </c>
      <c r="M45" s="27" t="n">
        <v>1.724638</v>
      </c>
      <c r="N45" s="28" t="n">
        <v>0.579832</v>
      </c>
      <c r="O45" s="28" t="n">
        <v>0.551726</v>
      </c>
      <c r="P45" s="28" t="n"/>
      <c r="Q45" s="28" t="n">
        <v>-0.028106</v>
      </c>
      <c r="R45" s="26" t="n">
        <v>6</v>
      </c>
      <c r="S45" s="29" t="n">
        <v>1</v>
      </c>
      <c r="T45" s="24" t="inlineStr">
        <is>
          <t>kbo-tie-aware-elo-v2</t>
        </is>
      </c>
      <c r="U45" s="24" t="inlineStr">
        <is>
          <t>settled</t>
        </is>
      </c>
      <c r="V45" s="24" t="inlineStr">
        <is>
          <t>win</t>
        </is>
      </c>
      <c r="W45" s="26" t="n">
        <v>4</v>
      </c>
      <c r="X45" s="26" t="n">
        <v>5</v>
      </c>
      <c r="Y45" s="25" t="n"/>
      <c r="Z45" s="26" t="n"/>
      <c r="AA45" s="28" t="n"/>
      <c r="AB45" s="28" t="n"/>
      <c r="AC45" s="30" t="n">
        <v>0.7246</v>
      </c>
      <c r="AD45" s="24" t="inlineStr">
        <is>
          <t>2026-08-19T13:40:17.660531Z</t>
        </is>
      </c>
      <c r="AE45" s="31" t="inlineStr">
        <is>
          <t>Tie-aware Elo baseline; executable ask 0.5800 (market_slug=aec-kbo-lgo-khi-2026-08-19). Tie probability=0.0225.</t>
        </is>
      </c>
      <c r="AF45" s="31" t="inlineStr">
        <is>
          <t>Config-promoted international baseball baseline; gates enforced at log time.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paper_call</t>
        </is>
      </c>
      <c r="AL45" s="26" t="n">
        <v>3</v>
      </c>
      <c r="AM45" s="24" t="inlineStr">
        <is>
          <t>RESEARCH_OBSERVATION</t>
        </is>
      </c>
      <c r="AN45" s="24" t="inlineStr">
        <is>
          <t>CALL</t>
        </is>
      </c>
      <c r="AO45" s="24" t="inlineStr">
        <is>
          <t>PAPER_CALL_LOW_EDGE</t>
        </is>
      </c>
      <c r="AP45" s="24" t="inlineStr">
        <is>
          <t>Kiwoom Heroes</t>
        </is>
      </c>
      <c r="AQ45" s="24" t="inlineStr">
        <is>
          <t>Kiwoom Heroes</t>
        </is>
      </c>
      <c r="AR45" s="24" t="inlineStr">
        <is>
          <t>Kiwoom Heroes</t>
        </is>
      </c>
      <c r="AS45" s="24" t="inlineStr">
        <is>
          <t>Lotte Giants</t>
        </is>
      </c>
      <c r="AT45" s="24" t="inlineStr">
        <is>
          <t>Lotte Giants</t>
        </is>
      </c>
      <c r="AU45" s="24" t="inlineStr">
        <is>
          <t>Lotte Giants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58c286929e6fead8ccd4d56c1f6d0d75206ecc950fc9594babdb84efa4094b23</t>
        </is>
      </c>
      <c r="BB45" s="24" t="inlineStr">
        <is>
          <t>tie_aware_elo</t>
        </is>
      </c>
      <c r="BC45" s="24" t="inlineStr">
        <is>
          <t>kbo-tie-aware-elo-v2</t>
        </is>
      </c>
      <c r="BD45" s="24" t="inlineStr">
        <is>
          <t>58c286929e6fead8ccd4d56c1f6d0d75206ecc950fc9594babdb84efa4094b23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kbo-tie-aware-elo-v2</t>
        </is>
      </c>
      <c r="BH45" s="24" t="inlineStr">
        <is>
          <t>2026-08-19T07:07:53.316183Z</t>
        </is>
      </c>
      <c r="BI45" s="24" t="inlineStr">
        <is>
          <t>["same_event","same_team_same_day","same_league_same_day"]</t>
        </is>
      </c>
      <c r="BJ45" s="25" t="n"/>
      <c r="BK45" s="26" t="n">
        <v>-138</v>
      </c>
      <c r="BL45" s="27" t="n">
        <v>1.724638</v>
      </c>
      <c r="BM45" s="28" t="n">
        <v>0.579832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False</t>
        </is>
      </c>
      <c r="CT45" s="24" t="n"/>
      <c r="CU45" s="24" t="n"/>
      <c r="CV45" s="24" t="n"/>
      <c r="CW45" s="24" t="n"/>
      <c r="CX45" s="24" t="n"/>
      <c r="CY45" s="24" t="n"/>
      <c r="CZ45" s="24" t="n"/>
      <c r="DA45" s="24" t="n"/>
      <c r="DB45" s="24" t="n"/>
      <c r="DC45" s="24" t="n"/>
      <c r="DD45" s="24" t="n"/>
      <c r="DE45" s="24" t="n"/>
      <c r="DF45" s="24" t="n"/>
      <c r="DG45" s="24" t="n"/>
      <c r="DH45" s="24" t="n"/>
      <c r="DI45" s="24" t="n"/>
      <c r="DJ45" s="24" t="inlineStr">
        <is>
          <t>0.579832</t>
        </is>
      </c>
      <c r="DK45" s="24" t="n"/>
      <c r="DL45" s="24" t="n"/>
      <c r="DM45" s="24" t="n"/>
      <c r="DN45" s="24" t="n"/>
      <c r="DO45" s="24" t="n"/>
      <c r="DP45" s="24" t="n"/>
      <c r="DQ45" s="24" t="n"/>
    </row>
    <row r="46" ht="36" customHeight="1">
      <c r="A46" s="24" t="inlineStr">
        <is>
          <t>a78d9b35ec5d4c8e</t>
        </is>
      </c>
      <c r="B46" s="24" t="inlineStr">
        <is>
          <t>2026-08-20T09:41:38.784099Z</t>
        </is>
      </c>
      <c r="C46" s="24" t="inlineStr">
        <is>
          <t>2026-08-20T10:00:00Z</t>
        </is>
      </c>
      <c r="D46" s="24" t="inlineStr">
        <is>
          <t>84106</t>
        </is>
      </c>
      <c r="E46" s="24" t="inlineStr">
        <is>
          <t>KBO</t>
        </is>
      </c>
      <c r="F46" s="24" t="inlineStr">
        <is>
          <t>Kia Tigers</t>
        </is>
      </c>
      <c r="G46" s="24" t="inlineStr">
        <is>
          <t>Hanwha Eagles</t>
        </is>
      </c>
      <c r="H46" s="24" t="inlineStr">
        <is>
          <t>moneyline</t>
        </is>
      </c>
      <c r="I46" s="24" t="inlineStr">
        <is>
          <t>away</t>
        </is>
      </c>
      <c r="J46" s="25" t="n"/>
      <c r="K46" s="24" t="inlineStr">
        <is>
          <t>polymarket_us</t>
        </is>
      </c>
      <c r="L46" s="26" t="n">
        <v>133</v>
      </c>
      <c r="M46" s="27" t="n">
        <v>2.33</v>
      </c>
      <c r="N46" s="28" t="n">
        <v>0.429185</v>
      </c>
      <c r="O46" s="28" t="n">
        <v>0.555621</v>
      </c>
      <c r="P46" s="28" t="n"/>
      <c r="Q46" s="28" t="n">
        <v>0.126436</v>
      </c>
      <c r="R46" s="26" t="n">
        <v>83</v>
      </c>
      <c r="S46" s="29" t="n">
        <v>1</v>
      </c>
      <c r="T46" s="24" t="inlineStr">
        <is>
          <t>kbo-tie-aware-elo-v2</t>
        </is>
      </c>
      <c r="U46" s="24" t="inlineStr">
        <is>
          <t>settled</t>
        </is>
      </c>
      <c r="V46" s="24" t="inlineStr">
        <is>
          <t>win</t>
        </is>
      </c>
      <c r="W46" s="26" t="n">
        <v>10</v>
      </c>
      <c r="X46" s="26" t="n">
        <v>6</v>
      </c>
      <c r="Y46" s="25" t="n"/>
      <c r="Z46" s="26" t="n"/>
      <c r="AA46" s="28" t="n"/>
      <c r="AB46" s="28" t="n"/>
      <c r="AC46" s="30" t="n">
        <v>1.33</v>
      </c>
      <c r="AD46" s="24" t="inlineStr">
        <is>
          <t>2026-08-20T15:50:29.040894Z</t>
        </is>
      </c>
      <c r="AE46" s="31" t="inlineStr">
        <is>
          <t>Tie-aware Elo baseline; executable ask 0.4300 (market_slug=aec-kbo-hea-kti-2026-08-20). Tie probability=0.0225.</t>
        </is>
      </c>
      <c r="AF46" s="31" t="inlineStr">
        <is>
          <t>Config-promoted international baseball baseline; gates enforced at log time.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paper_call</t>
        </is>
      </c>
      <c r="AL46" s="26" t="n">
        <v>3</v>
      </c>
      <c r="AM46" s="24" t="inlineStr">
        <is>
          <t>RESEARCH_OBSERVATION</t>
        </is>
      </c>
      <c r="AN46" s="24" t="inlineStr">
        <is>
          <t>CALL</t>
        </is>
      </c>
      <c r="AO46" s="24" t="inlineStr">
        <is>
          <t>PAPER_CALL_LOW_EDGE</t>
        </is>
      </c>
      <c r="AP46" s="24" t="inlineStr">
        <is>
          <t>Kia Tigers</t>
        </is>
      </c>
      <c r="AQ46" s="24" t="inlineStr">
        <is>
          <t>Kia Tigers</t>
        </is>
      </c>
      <c r="AR46" s="24" t="inlineStr">
        <is>
          <t>Kia Tigers</t>
        </is>
      </c>
      <c r="AS46" s="24" t="inlineStr">
        <is>
          <t>Hanwha Eagles</t>
        </is>
      </c>
      <c r="AT46" s="24" t="inlineStr">
        <is>
          <t>Hanwha Eagles</t>
        </is>
      </c>
      <c r="AU46" s="24" t="inlineStr">
        <is>
          <t>Hanwha Eagles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535c9d6fe5a0487bcfc7ed45f252c15299bfd32907862f23a52cee0bc5f04d08</t>
        </is>
      </c>
      <c r="BB46" s="24" t="inlineStr">
        <is>
          <t>tie_aware_elo</t>
        </is>
      </c>
      <c r="BC46" s="24" t="inlineStr">
        <is>
          <t>kbo-tie-aware-elo-v2</t>
        </is>
      </c>
      <c r="BD46" s="24" t="inlineStr">
        <is>
          <t>535c9d6fe5a0487bcfc7ed45f252c15299bfd32907862f23a52cee0bc5f04d08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kbo-tie-aware-elo-v2</t>
        </is>
      </c>
      <c r="BH46" s="24" t="inlineStr">
        <is>
          <t>2026-08-20T09:41:37.148038Z</t>
        </is>
      </c>
      <c r="BI46" s="24" t="inlineStr">
        <is>
          <t>["same_event","same_team_same_day","same_league_same_day"]</t>
        </is>
      </c>
      <c r="BJ46" s="25" t="n"/>
      <c r="BK46" s="26" t="n">
        <v>133</v>
      </c>
      <c r="BL46" s="27" t="n">
        <v>2.33</v>
      </c>
      <c r="BM46" s="28" t="n">
        <v>0.429185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True</t>
        </is>
      </c>
      <c r="CT46" s="24" t="n"/>
      <c r="CU46" s="24" t="n"/>
      <c r="CV46" s="24" t="n"/>
      <c r="CW46" s="24" t="n"/>
      <c r="CX46" s="24" t="n"/>
      <c r="CY46" s="24" t="n"/>
      <c r="CZ46" s="24" t="n"/>
      <c r="DA46" s="24" t="n"/>
      <c r="DB46" s="24" t="n"/>
      <c r="DC46" s="24" t="n"/>
      <c r="DD46" s="24" t="n"/>
      <c r="DE46" s="24" t="n"/>
      <c r="DF46" s="24" t="n"/>
      <c r="DG46" s="24" t="n"/>
      <c r="DH46" s="24" t="n"/>
      <c r="DI46" s="24" t="n"/>
      <c r="DJ46" s="24" t="inlineStr">
        <is>
          <t>0.429185</t>
        </is>
      </c>
      <c r="DK46" s="24" t="n"/>
      <c r="DL46" s="24" t="n"/>
      <c r="DM46" s="24" t="n"/>
      <c r="DN46" s="24" t="n"/>
      <c r="DO46" s="24" t="n"/>
      <c r="DP46" s="24" t="n"/>
      <c r="DQ46" s="24" t="n"/>
    </row>
    <row r="47" ht="36" customHeight="1">
      <c r="A47" s="24" t="inlineStr">
        <is>
          <t>497b4421982144ff</t>
        </is>
      </c>
      <c r="B47" s="24" t="inlineStr">
        <is>
          <t>2026-08-20T09:41:38.784099Z</t>
        </is>
      </c>
      <c r="C47" s="24" t="inlineStr">
        <is>
          <t>2026-08-20T10:00:00Z</t>
        </is>
      </c>
      <c r="D47" s="24" t="inlineStr">
        <is>
          <t>84107</t>
        </is>
      </c>
      <c r="E47" s="24" t="inlineStr">
        <is>
          <t>KBO</t>
        </is>
      </c>
      <c r="F47" s="24" t="inlineStr">
        <is>
          <t>SSG Landers</t>
        </is>
      </c>
      <c r="G47" s="24" t="inlineStr">
        <is>
          <t>Samsung Lions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-194</v>
      </c>
      <c r="M47" s="27" t="n">
        <v>1.515464</v>
      </c>
      <c r="N47" s="28" t="n">
        <v>0.659864</v>
      </c>
      <c r="O47" s="28" t="n">
        <v>0.595463</v>
      </c>
      <c r="P47" s="28" t="n"/>
      <c r="Q47" s="28" t="n">
        <v>-0.064401</v>
      </c>
      <c r="R47" s="26" t="n">
        <v>0</v>
      </c>
      <c r="S47" s="29" t="n">
        <v>1.25</v>
      </c>
      <c r="T47" s="24" t="inlineStr">
        <is>
          <t>kbo-tie-aware-elo-v2</t>
        </is>
      </c>
      <c r="U47" s="24" t="inlineStr">
        <is>
          <t>settled</t>
        </is>
      </c>
      <c r="V47" s="24" t="inlineStr">
        <is>
          <t>loss</t>
        </is>
      </c>
      <c r="W47" s="26" t="n">
        <v>6</v>
      </c>
      <c r="X47" s="26" t="n">
        <v>4</v>
      </c>
      <c r="Y47" s="25" t="n"/>
      <c r="Z47" s="26" t="n"/>
      <c r="AA47" s="28" t="n"/>
      <c r="AB47" s="28" t="n"/>
      <c r="AC47" s="30" t="n">
        <v>-1.25</v>
      </c>
      <c r="AD47" s="24" t="inlineStr">
        <is>
          <t>2026-08-20T15:50:29.273944Z</t>
        </is>
      </c>
      <c r="AE47" s="31" t="inlineStr">
        <is>
          <t>Tie-aware Elo baseline; executable ask 0.6600 (market_slug=aec-kbo-sla-sls-2026-08-20). Tie probability=0.0225.</t>
        </is>
      </c>
      <c r="AF47" s="31" t="inlineStr">
        <is>
          <t>Config-promoted international baseball baseline; gates enforced at log time.</t>
        </is>
      </c>
      <c r="AG47" s="24" t="inlineStr">
        <is>
          <t>review_required</t>
        </is>
      </c>
      <c r="AH47" s="24" t="n"/>
      <c r="AI47" s="31" t="n"/>
      <c r="AJ47" s="31" t="n"/>
      <c r="AK47" s="24" t="inlineStr">
        <is>
          <t>paper_call</t>
        </is>
      </c>
      <c r="AL47" s="26" t="n">
        <v>3</v>
      </c>
      <c r="AM47" s="24" t="inlineStr">
        <is>
          <t>RESEARCH_OBSERVATION</t>
        </is>
      </c>
      <c r="AN47" s="24" t="inlineStr">
        <is>
          <t>CALL</t>
        </is>
      </c>
      <c r="AO47" s="24" t="inlineStr">
        <is>
          <t>PAPER_CALL_LOW_EDGE</t>
        </is>
      </c>
      <c r="AP47" s="24" t="inlineStr">
        <is>
          <t>SSG Landers</t>
        </is>
      </c>
      <c r="AQ47" s="24" t="inlineStr">
        <is>
          <t>SSG Landers</t>
        </is>
      </c>
      <c r="AR47" s="24" t="inlineStr">
        <is>
          <t>SSG Landers</t>
        </is>
      </c>
      <c r="AS47" s="24" t="inlineStr">
        <is>
          <t>Samsung Lions</t>
        </is>
      </c>
      <c r="AT47" s="24" t="inlineStr">
        <is>
          <t>Samsung Lions</t>
        </is>
      </c>
      <c r="AU47" s="24" t="inlineStr">
        <is>
          <t>Samsung Lions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535c9d6fe5a0487bcfc7ed45f252c15299bfd32907862f23a52cee0bc5f04d08</t>
        </is>
      </c>
      <c r="BB47" s="24" t="inlineStr">
        <is>
          <t>tie_aware_elo</t>
        </is>
      </c>
      <c r="BC47" s="24" t="inlineStr">
        <is>
          <t>kbo-tie-aware-elo-v2</t>
        </is>
      </c>
      <c r="BD47" s="24" t="inlineStr">
        <is>
          <t>535c9d6fe5a0487bcfc7ed45f252c15299bfd32907862f23a52cee0bc5f04d08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kbo-tie-aware-elo-v2</t>
        </is>
      </c>
      <c r="BH47" s="24" t="inlineStr">
        <is>
          <t>2026-08-20T09:41:37.241166Z</t>
        </is>
      </c>
      <c r="BI47" s="24" t="inlineStr">
        <is>
          <t>["same_event","same_team_same_day","same_league_same_day"]</t>
        </is>
      </c>
      <c r="BJ47" s="25" t="n"/>
      <c r="BK47" s="26" t="n">
        <v>-194</v>
      </c>
      <c r="BL47" s="27" t="n">
        <v>1.515464</v>
      </c>
      <c r="BM47" s="28" t="n">
        <v>0.659864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False</t>
        </is>
      </c>
      <c r="CT47" s="24" t="n"/>
      <c r="CU47" s="24" t="n"/>
      <c r="CV47" s="24" t="n"/>
      <c r="CW47" s="24" t="n"/>
      <c r="CX47" s="24" t="n"/>
      <c r="CY47" s="24" t="n"/>
      <c r="CZ47" s="24" t="n"/>
      <c r="DA47" s="24" t="n"/>
      <c r="DB47" s="24" t="n"/>
      <c r="DC47" s="24" t="n"/>
      <c r="DD47" s="24" t="n"/>
      <c r="DE47" s="24" t="n"/>
      <c r="DF47" s="24" t="n"/>
      <c r="DG47" s="24" t="n"/>
      <c r="DH47" s="24" t="n"/>
      <c r="DI47" s="24" t="n"/>
      <c r="DJ47" s="24" t="inlineStr">
        <is>
          <t>0.659864</t>
        </is>
      </c>
      <c r="DK47" s="24" t="n"/>
      <c r="DL47" s="24" t="n"/>
      <c r="DM47" s="24" t="n"/>
      <c r="DN47" s="24" t="n"/>
      <c r="DO47" s="24" t="n"/>
      <c r="DP47" s="24" t="n"/>
      <c r="DQ47" s="24" t="n"/>
    </row>
    <row r="48" ht="36" customHeight="1">
      <c r="A48" s="24" t="inlineStr">
        <is>
          <t>5f415ef2191c4e5d</t>
        </is>
      </c>
      <c r="B48" s="24" t="inlineStr">
        <is>
          <t>2026-08-20T09:41:38.784099Z</t>
        </is>
      </c>
      <c r="C48" s="24" t="inlineStr">
        <is>
          <t>2026-08-20T10:00:00Z</t>
        </is>
      </c>
      <c r="D48" s="24" t="inlineStr">
        <is>
          <t>84108</t>
        </is>
      </c>
      <c r="E48" s="24" t="inlineStr">
        <is>
          <t>KBO</t>
        </is>
      </c>
      <c r="F48" s="24" t="inlineStr">
        <is>
          <t>Kiwoom Heroes</t>
        </is>
      </c>
      <c r="G48" s="24" t="inlineStr">
        <is>
          <t>Lotte Giants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-156</v>
      </c>
      <c r="M48" s="27" t="n">
        <v>1.641026</v>
      </c>
      <c r="N48" s="28" t="n">
        <v>0.609375</v>
      </c>
      <c r="O48" s="28" t="n">
        <v>0.561399</v>
      </c>
      <c r="P48" s="28" t="n"/>
      <c r="Q48" s="28" t="n">
        <v>-0.047976</v>
      </c>
      <c r="R48" s="26" t="n">
        <v>0</v>
      </c>
      <c r="S48" s="29" t="n">
        <v>1</v>
      </c>
      <c r="T48" s="24" t="inlineStr">
        <is>
          <t>kbo-tie-aware-elo-v2</t>
        </is>
      </c>
      <c r="U48" s="24" t="inlineStr">
        <is>
          <t>settled</t>
        </is>
      </c>
      <c r="V48" s="24" t="inlineStr">
        <is>
          <t>win</t>
        </is>
      </c>
      <c r="W48" s="26" t="n">
        <v>1</v>
      </c>
      <c r="X48" s="26" t="n">
        <v>7</v>
      </c>
      <c r="Y48" s="25" t="n"/>
      <c r="Z48" s="26" t="n"/>
      <c r="AA48" s="28" t="n"/>
      <c r="AB48" s="28" t="n"/>
      <c r="AC48" s="30" t="n">
        <v>0.641</v>
      </c>
      <c r="AD48" s="24" t="inlineStr">
        <is>
          <t>2026-08-20T15:50:29.503666Z</t>
        </is>
      </c>
      <c r="AE48" s="31" t="inlineStr">
        <is>
          <t>Tie-aware Elo baseline; executable ask 0.6100 (market_slug=aec-kbo-lgo-khi-2026-08-20). Tie probability=0.0225.</t>
        </is>
      </c>
      <c r="AF48" s="31" t="inlineStr">
        <is>
          <t>Config-promoted international baseball baseline; gates enforced at log time.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paper_call</t>
        </is>
      </c>
      <c r="AL48" s="26" t="n">
        <v>3</v>
      </c>
      <c r="AM48" s="24" t="inlineStr">
        <is>
          <t>RESEARCH_OBSERVATION</t>
        </is>
      </c>
      <c r="AN48" s="24" t="inlineStr">
        <is>
          <t>CALL</t>
        </is>
      </c>
      <c r="AO48" s="24" t="inlineStr">
        <is>
          <t>PAPER_CALL_LOW_EDGE</t>
        </is>
      </c>
      <c r="AP48" s="24" t="inlineStr">
        <is>
          <t>Kiwoom Heroes</t>
        </is>
      </c>
      <c r="AQ48" s="24" t="inlineStr">
        <is>
          <t>Kiwoom Heroes</t>
        </is>
      </c>
      <c r="AR48" s="24" t="inlineStr">
        <is>
          <t>Kiwoom Heroes</t>
        </is>
      </c>
      <c r="AS48" s="24" t="inlineStr">
        <is>
          <t>Lotte Giants</t>
        </is>
      </c>
      <c r="AT48" s="24" t="inlineStr">
        <is>
          <t>Lotte Giants</t>
        </is>
      </c>
      <c r="AU48" s="24" t="inlineStr">
        <is>
          <t>Lotte Giants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535c9d6fe5a0487bcfc7ed45f252c15299bfd32907862f23a52cee0bc5f04d08</t>
        </is>
      </c>
      <c r="BB48" s="24" t="inlineStr">
        <is>
          <t>tie_aware_elo</t>
        </is>
      </c>
      <c r="BC48" s="24" t="inlineStr">
        <is>
          <t>kbo-tie-aware-elo-v2</t>
        </is>
      </c>
      <c r="BD48" s="24" t="inlineStr">
        <is>
          <t>535c9d6fe5a0487bcfc7ed45f252c15299bfd32907862f23a52cee0bc5f04d08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kbo-tie-aware-elo-v2</t>
        </is>
      </c>
      <c r="BH48" s="24" t="inlineStr">
        <is>
          <t>2026-08-20T09:41:38.453283Z</t>
        </is>
      </c>
      <c r="BI48" s="24" t="inlineStr">
        <is>
          <t>["same_event","same_team_same_day","same_league_same_day"]</t>
        </is>
      </c>
      <c r="BJ48" s="25" t="n"/>
      <c r="BK48" s="26" t="n">
        <v>-156</v>
      </c>
      <c r="BL48" s="27" t="n">
        <v>1.641026</v>
      </c>
      <c r="BM48" s="28" t="n">
        <v>0.609375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False</t>
        </is>
      </c>
      <c r="CT48" s="24" t="n"/>
      <c r="CU48" s="24" t="n"/>
      <c r="CV48" s="24" t="n"/>
      <c r="CW48" s="24" t="n"/>
      <c r="CX48" s="24" t="n"/>
      <c r="CY48" s="24" t="n"/>
      <c r="CZ48" s="24" t="n"/>
      <c r="DA48" s="24" t="n"/>
      <c r="DB48" s="24" t="n"/>
      <c r="DC48" s="24" t="n"/>
      <c r="DD48" s="24" t="n"/>
      <c r="DE48" s="24" t="n"/>
      <c r="DF48" s="24" t="n"/>
      <c r="DG48" s="24" t="n"/>
      <c r="DH48" s="24" t="n"/>
      <c r="DI48" s="24" t="n"/>
      <c r="DJ48" s="24" t="inlineStr">
        <is>
          <t>0.609375</t>
        </is>
      </c>
      <c r="DK48" s="24" t="n"/>
      <c r="DL48" s="24" t="n"/>
      <c r="DM48" s="24" t="n"/>
      <c r="DN48" s="24" t="n"/>
      <c r="DO48" s="24" t="n"/>
      <c r="DP48" s="24" t="n"/>
      <c r="DQ48" s="24" t="n"/>
    </row>
    <row r="49" ht="36" customHeight="1">
      <c r="A49" s="24" t="inlineStr">
        <is>
          <t>4a9b3f92e0a648eb</t>
        </is>
      </c>
      <c r="B49" s="24" t="inlineStr">
        <is>
          <t>2026-08-20T09:41:38.784099Z</t>
        </is>
      </c>
      <c r="C49" s="24" t="inlineStr">
        <is>
          <t>2026-08-20T10:00:00Z</t>
        </is>
      </c>
      <c r="D49" s="24" t="inlineStr">
        <is>
          <t>84109</t>
        </is>
      </c>
      <c r="E49" s="24" t="inlineStr">
        <is>
          <t>KBO</t>
        </is>
      </c>
      <c r="F49" s="24" t="inlineStr">
        <is>
          <t>Doosan Bears</t>
        </is>
      </c>
      <c r="G49" s="24" t="inlineStr">
        <is>
          <t>NC Dinos</t>
        </is>
      </c>
      <c r="H49" s="24" t="inlineStr">
        <is>
          <t>moneyline</t>
        </is>
      </c>
      <c r="I49" s="24" t="inlineStr">
        <is>
          <t>away</t>
        </is>
      </c>
      <c r="J49" s="25" t="n"/>
      <c r="K49" s="24" t="inlineStr">
        <is>
          <t>polymarket_us</t>
        </is>
      </c>
      <c r="L49" s="26" t="n">
        <v>100</v>
      </c>
      <c r="M49" s="27" t="n">
        <v>2</v>
      </c>
      <c r="N49" s="28" t="n">
        <v>0.5</v>
      </c>
      <c r="O49" s="28" t="n">
        <v>0.560429</v>
      </c>
      <c r="P49" s="28" t="n"/>
      <c r="Q49" s="28" t="n">
        <v>0.060429</v>
      </c>
      <c r="R49" s="26" t="n">
        <v>50</v>
      </c>
      <c r="S49" s="29" t="n">
        <v>1</v>
      </c>
      <c r="T49" s="24" t="inlineStr">
        <is>
          <t>kbo-tie-aware-elo-v2</t>
        </is>
      </c>
      <c r="U49" s="24" t="inlineStr">
        <is>
          <t>settled</t>
        </is>
      </c>
      <c r="V49" s="24" t="inlineStr">
        <is>
          <t>loss</t>
        </is>
      </c>
      <c r="W49" s="26" t="n">
        <v>4</v>
      </c>
      <c r="X49" s="26" t="n">
        <v>5</v>
      </c>
      <c r="Y49" s="25" t="n"/>
      <c r="Z49" s="26" t="n"/>
      <c r="AA49" s="28" t="n"/>
      <c r="AB49" s="28" t="n"/>
      <c r="AC49" s="30" t="n">
        <v>-1</v>
      </c>
      <c r="AD49" s="24" t="inlineStr">
        <is>
          <t>2026-08-20T15:50:29.709721Z</t>
        </is>
      </c>
      <c r="AE49" s="31" t="inlineStr">
        <is>
          <t>Tie-aware Elo baseline; executable ask 0.5000 (market_slug=aec-kbo-ndc-dbo-2026-08-20). Tie probability=0.0225.</t>
        </is>
      </c>
      <c r="AF49" s="31" t="inlineStr">
        <is>
          <t>Config-promoted international baseball baseline; gates enforced at log time.</t>
        </is>
      </c>
      <c r="AG49" s="24" t="inlineStr">
        <is>
          <t>review_required</t>
        </is>
      </c>
      <c r="AH49" s="24" t="n"/>
      <c r="AI49" s="31" t="n"/>
      <c r="AJ49" s="31" t="n"/>
      <c r="AK49" s="24" t="inlineStr">
        <is>
          <t>paper_call</t>
        </is>
      </c>
      <c r="AL49" s="26" t="n">
        <v>3</v>
      </c>
      <c r="AM49" s="24" t="inlineStr">
        <is>
          <t>RESEARCH_OBSERVATION</t>
        </is>
      </c>
      <c r="AN49" s="24" t="inlineStr">
        <is>
          <t>CALL</t>
        </is>
      </c>
      <c r="AO49" s="24" t="inlineStr">
        <is>
          <t>PAPER_CALL_LOW_EDGE</t>
        </is>
      </c>
      <c r="AP49" s="24" t="inlineStr">
        <is>
          <t>Doosan Bears</t>
        </is>
      </c>
      <c r="AQ49" s="24" t="inlineStr">
        <is>
          <t>Doosan Bears</t>
        </is>
      </c>
      <c r="AR49" s="24" t="inlineStr">
        <is>
          <t>Doosan Bears</t>
        </is>
      </c>
      <c r="AS49" s="24" t="inlineStr">
        <is>
          <t>NC Dinos</t>
        </is>
      </c>
      <c r="AT49" s="24" t="inlineStr">
        <is>
          <t>NC Dinos</t>
        </is>
      </c>
      <c r="AU49" s="24" t="inlineStr">
        <is>
          <t>NC Dinos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535c9d6fe5a0487bcfc7ed45f252c15299bfd32907862f23a52cee0bc5f04d08</t>
        </is>
      </c>
      <c r="BB49" s="24" t="inlineStr">
        <is>
          <t>tie_aware_elo</t>
        </is>
      </c>
      <c r="BC49" s="24" t="inlineStr">
        <is>
          <t>kbo-tie-aware-elo-v2</t>
        </is>
      </c>
      <c r="BD49" s="24" t="inlineStr">
        <is>
          <t>535c9d6fe5a0487bcfc7ed45f252c15299bfd32907862f23a52cee0bc5f04d08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kbo-tie-aware-elo-v2</t>
        </is>
      </c>
      <c r="BH49" s="24" t="inlineStr">
        <is>
          <t>2026-08-20T09:41:38.542671Z</t>
        </is>
      </c>
      <c r="BI49" s="24" t="inlineStr">
        <is>
          <t>["same_event","same_team_same_day","same_league_same_day"]</t>
        </is>
      </c>
      <c r="BJ49" s="25" t="n"/>
      <c r="BK49" s="26" t="n">
        <v>100</v>
      </c>
      <c r="BL49" s="27" t="n">
        <v>2</v>
      </c>
      <c r="BM49" s="28" t="n">
        <v>0.5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True</t>
        </is>
      </c>
      <c r="CT49" s="24" t="n"/>
      <c r="CU49" s="24" t="n"/>
      <c r="CV49" s="24" t="n"/>
      <c r="CW49" s="24" t="n"/>
      <c r="CX49" s="24" t="n"/>
      <c r="CY49" s="24" t="n"/>
      <c r="CZ49" s="24" t="n"/>
      <c r="DA49" s="24" t="n"/>
      <c r="DB49" s="24" t="n"/>
      <c r="DC49" s="24" t="n"/>
      <c r="DD49" s="24" t="n"/>
      <c r="DE49" s="24" t="n"/>
      <c r="DF49" s="24" t="n"/>
      <c r="DG49" s="24" t="n"/>
      <c r="DH49" s="24" t="n"/>
      <c r="DI49" s="24" t="n"/>
      <c r="DJ49" s="24" t="inlineStr">
        <is>
          <t>0.5</t>
        </is>
      </c>
      <c r="DK49" s="24" t="n"/>
      <c r="DL49" s="24" t="n"/>
      <c r="DM49" s="24" t="n"/>
      <c r="DN49" s="24" t="n"/>
      <c r="DO49" s="24" t="n"/>
      <c r="DP49" s="24" t="n"/>
      <c r="DQ49" s="24" t="n"/>
    </row>
    <row r="50" ht="36" customHeight="1">
      <c r="A50" s="24" t="inlineStr">
        <is>
          <t>f7922e496cf14df4</t>
        </is>
      </c>
      <c r="B50" s="24" t="inlineStr">
        <is>
          <t>2026-08-20T09:41:38.784099Z</t>
        </is>
      </c>
      <c r="C50" s="24" t="inlineStr">
        <is>
          <t>2026-08-20T10:00:00Z</t>
        </is>
      </c>
      <c r="D50" s="24" t="inlineStr">
        <is>
          <t>84110</t>
        </is>
      </c>
      <c r="E50" s="24" t="inlineStr">
        <is>
          <t>KBO</t>
        </is>
      </c>
      <c r="F50" s="24" t="inlineStr">
        <is>
          <t>KT Wiz</t>
        </is>
      </c>
      <c r="G50" s="24" t="inlineStr">
        <is>
          <t>LG Twins</t>
        </is>
      </c>
      <c r="H50" s="24" t="inlineStr">
        <is>
          <t>moneyline</t>
        </is>
      </c>
      <c r="I50" s="24" t="inlineStr">
        <is>
          <t>away</t>
        </is>
      </c>
      <c r="J50" s="25" t="n"/>
      <c r="K50" s="24" t="inlineStr">
        <is>
          <t>polymarket_us</t>
        </is>
      </c>
      <c r="L50" s="26" t="n">
        <v>-138</v>
      </c>
      <c r="M50" s="27" t="n">
        <v>1.724638</v>
      </c>
      <c r="N50" s="28" t="n">
        <v>0.579832</v>
      </c>
      <c r="O50" s="28" t="n">
        <v>0.542099</v>
      </c>
      <c r="P50" s="28" t="n"/>
      <c r="Q50" s="28" t="n">
        <v>-0.037733</v>
      </c>
      <c r="R50" s="26" t="n">
        <v>1</v>
      </c>
      <c r="S50" s="29" t="n">
        <v>1</v>
      </c>
      <c r="T50" s="24" t="inlineStr">
        <is>
          <t>kbo-tie-aware-elo-v2</t>
        </is>
      </c>
      <c r="U50" s="24" t="inlineStr">
        <is>
          <t>settled</t>
        </is>
      </c>
      <c r="V50" s="24" t="inlineStr">
        <is>
          <t>win</t>
        </is>
      </c>
      <c r="W50" s="26" t="n">
        <v>16</v>
      </c>
      <c r="X50" s="26" t="n">
        <v>4</v>
      </c>
      <c r="Y50" s="25" t="n"/>
      <c r="Z50" s="26" t="n"/>
      <c r="AA50" s="28" t="n"/>
      <c r="AB50" s="28" t="n"/>
      <c r="AC50" s="30" t="n">
        <v>0.7246</v>
      </c>
      <c r="AD50" s="24" t="inlineStr">
        <is>
          <t>2026-08-20T15:50:29.906749Z</t>
        </is>
      </c>
      <c r="AE50" s="31" t="inlineStr">
        <is>
          <t>Tie-aware Elo baseline; executable ask 0.5800 (market_slug=aec-kbo-ltg-kwt-2026-08-20). Tie probability=0.0225.</t>
        </is>
      </c>
      <c r="AF50" s="31" t="inlineStr">
        <is>
          <t>Config-promoted international baseball baseline; gates enforced at log time.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paper_call</t>
        </is>
      </c>
      <c r="AL50" s="26" t="n">
        <v>3</v>
      </c>
      <c r="AM50" s="24" t="inlineStr">
        <is>
          <t>RESEARCH_OBSERVATION</t>
        </is>
      </c>
      <c r="AN50" s="24" t="inlineStr">
        <is>
          <t>CALL</t>
        </is>
      </c>
      <c r="AO50" s="24" t="inlineStr">
        <is>
          <t>PAPER_CALL_LOW_EDGE</t>
        </is>
      </c>
      <c r="AP50" s="24" t="inlineStr">
        <is>
          <t>KT Wiz</t>
        </is>
      </c>
      <c r="AQ50" s="24" t="inlineStr">
        <is>
          <t>KT Wiz</t>
        </is>
      </c>
      <c r="AR50" s="24" t="inlineStr">
        <is>
          <t>KT Wiz</t>
        </is>
      </c>
      <c r="AS50" s="24" t="inlineStr">
        <is>
          <t>LG Twins</t>
        </is>
      </c>
      <c r="AT50" s="24" t="inlineStr">
        <is>
          <t>LG Twins</t>
        </is>
      </c>
      <c r="AU50" s="24" t="inlineStr">
        <is>
          <t>LG Twins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535c9d6fe5a0487bcfc7ed45f252c15299bfd32907862f23a52cee0bc5f04d08</t>
        </is>
      </c>
      <c r="BB50" s="24" t="inlineStr">
        <is>
          <t>tie_aware_elo</t>
        </is>
      </c>
      <c r="BC50" s="24" t="inlineStr">
        <is>
          <t>kbo-tie-aware-elo-v2</t>
        </is>
      </c>
      <c r="BD50" s="24" t="inlineStr">
        <is>
          <t>535c9d6fe5a0487bcfc7ed45f252c15299bfd32907862f23a52cee0bc5f04d08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kbo-tie-aware-elo-v2</t>
        </is>
      </c>
      <c r="BH50" s="24" t="inlineStr">
        <is>
          <t>2026-08-20T09:41:38.784051Z</t>
        </is>
      </c>
      <c r="BI50" s="24" t="inlineStr">
        <is>
          <t>["same_event","same_team_same_day","same_league_same_day"]</t>
        </is>
      </c>
      <c r="BJ50" s="25" t="n"/>
      <c r="BK50" s="26" t="n">
        <v>-138</v>
      </c>
      <c r="BL50" s="27" t="n">
        <v>1.724638</v>
      </c>
      <c r="BM50" s="28" t="n">
        <v>0.579832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False</t>
        </is>
      </c>
      <c r="CT50" s="24" t="n"/>
      <c r="CU50" s="24" t="n"/>
      <c r="CV50" s="24" t="n"/>
      <c r="CW50" s="24" t="n"/>
      <c r="CX50" s="24" t="n"/>
      <c r="CY50" s="24" t="n"/>
      <c r="CZ50" s="24" t="n"/>
      <c r="DA50" s="24" t="n"/>
      <c r="DB50" s="24" t="n"/>
      <c r="DC50" s="24" t="n"/>
      <c r="DD50" s="24" t="n"/>
      <c r="DE50" s="24" t="n"/>
      <c r="DF50" s="24" t="n"/>
      <c r="DG50" s="24" t="n"/>
      <c r="DH50" s="24" t="n"/>
      <c r="DI50" s="24" t="n"/>
      <c r="DJ50" s="24" t="inlineStr">
        <is>
          <t>0.579832</t>
        </is>
      </c>
      <c r="DK50" s="24" t="n"/>
      <c r="DL50" s="24" t="n"/>
      <c r="DM50" s="24" t="n"/>
      <c r="DN50" s="24" t="n"/>
      <c r="DO50" s="24" t="n"/>
      <c r="DP50" s="24" t="n"/>
      <c r="DQ50" s="24" t="n"/>
    </row>
    <row r="51" ht="36" customHeight="1">
      <c r="A51" s="24" t="inlineStr">
        <is>
          <t>75b8954f3f264cb9</t>
        </is>
      </c>
      <c r="B51" s="24" t="inlineStr">
        <is>
          <t>2026-08-21T04:32:02.515915Z</t>
        </is>
      </c>
      <c r="C51" s="24" t="inlineStr">
        <is>
          <t>2026-08-21T10:00:00Z</t>
        </is>
      </c>
      <c r="D51" s="24" t="inlineStr">
        <is>
          <t>85147</t>
        </is>
      </c>
      <c r="E51" s="24" t="inlineStr">
        <is>
          <t>KBO</t>
        </is>
      </c>
      <c r="F51" s="24" t="inlineStr">
        <is>
          <t>KT Wiz</t>
        </is>
      </c>
      <c r="G51" s="24" t="inlineStr">
        <is>
          <t>SSG Landers</t>
        </is>
      </c>
      <c r="H51" s="24" t="inlineStr">
        <is>
          <t>moneyline</t>
        </is>
      </c>
      <c r="I51" s="24" t="inlineStr">
        <is>
          <t>away</t>
        </is>
      </c>
      <c r="J51" s="25" t="n"/>
      <c r="K51" s="24" t="inlineStr">
        <is>
          <t>polymarket_us</t>
        </is>
      </c>
      <c r="L51" s="26" t="n">
        <v>-163</v>
      </c>
      <c r="M51" s="27" t="n">
        <v>1.613497</v>
      </c>
      <c r="N51" s="28" t="n">
        <v>0.619772</v>
      </c>
      <c r="O51" s="28" t="n">
        <v>0.595863</v>
      </c>
      <c r="P51" s="28" t="n"/>
      <c r="Q51" s="28" t="n">
        <v>-0.023909</v>
      </c>
      <c r="R51" s="26" t="n">
        <v>8</v>
      </c>
      <c r="S51" s="29" t="n">
        <v>1.25</v>
      </c>
      <c r="T51" s="24" t="inlineStr">
        <is>
          <t>kbo-tie-aware-elo-v2</t>
        </is>
      </c>
      <c r="U51" s="24" t="inlineStr">
        <is>
          <t>settled</t>
        </is>
      </c>
      <c r="V51" s="24" t="inlineStr">
        <is>
          <t>push</t>
        </is>
      </c>
      <c r="W51" s="26" t="n">
        <v>3</v>
      </c>
      <c r="X51" s="26" t="n">
        <v>3</v>
      </c>
      <c r="Y51" s="25" t="n"/>
      <c r="Z51" s="26" t="n"/>
      <c r="AA51" s="28" t="n"/>
      <c r="AB51" s="28" t="n"/>
      <c r="AC51" s="30" t="n">
        <v>0</v>
      </c>
      <c r="AD51" s="24" t="inlineStr">
        <is>
          <t>2026-08-21T18:25:31.979992Z</t>
        </is>
      </c>
      <c r="AE51" s="31" t="inlineStr">
        <is>
          <t>Tie-aware Elo baseline; executable ask 0.6200 (market_slug=aec-kbo-sls-kwt-2026-08-21). Tie probability=0.0224.</t>
        </is>
      </c>
      <c r="AF51" s="31" t="inlineStr">
        <is>
          <t>Config-promoted international baseball baseline; gates enforced at log time.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paper_call</t>
        </is>
      </c>
      <c r="AL51" s="26" t="n">
        <v>4</v>
      </c>
      <c r="AM51" s="24" t="inlineStr">
        <is>
          <t>RESEARCH_OBSERVATION</t>
        </is>
      </c>
      <c r="AN51" s="24" t="inlineStr">
        <is>
          <t>CALL</t>
        </is>
      </c>
      <c r="AO51" s="24" t="inlineStr">
        <is>
          <t>PAPER_CALL_LOW_EDGE</t>
        </is>
      </c>
      <c r="AP51" s="24" t="inlineStr">
        <is>
          <t>KT Wiz</t>
        </is>
      </c>
      <c r="AQ51" s="24" t="inlineStr">
        <is>
          <t>KT Wiz</t>
        </is>
      </c>
      <c r="AR51" s="24" t="inlineStr">
        <is>
          <t>KT Wiz</t>
        </is>
      </c>
      <c r="AS51" s="24" t="inlineStr">
        <is>
          <t>SSG Landers</t>
        </is>
      </c>
      <c r="AT51" s="24" t="inlineStr">
        <is>
          <t>SSG Landers</t>
        </is>
      </c>
      <c r="AU51" s="24" t="inlineStr">
        <is>
          <t>SSG Landers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d1cc65755b651130759b89eb4831e0e5a7647e19ac85fe26646be34e64a3f0e7</t>
        </is>
      </c>
      <c r="BB51" s="24" t="inlineStr">
        <is>
          <t>tie_aware_elo</t>
        </is>
      </c>
      <c r="BC51" s="24" t="inlineStr">
        <is>
          <t>kbo-tie-aware-elo-v2</t>
        </is>
      </c>
      <c r="BD51" s="24" t="inlineStr">
        <is>
          <t>d1cc65755b651130759b89eb4831e0e5a7647e19ac85fe26646be34e64a3f0e7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kbo-tie-aware-elo-v2</t>
        </is>
      </c>
      <c r="BH51" s="24" t="inlineStr">
        <is>
          <t>2026-08-21T04:32:01.194175Z</t>
        </is>
      </c>
      <c r="BI51" s="24" t="inlineStr">
        <is>
          <t>["same_event","same_team_same_day","same_league_same_day"]</t>
        </is>
      </c>
      <c r="BJ51" s="25" t="n"/>
      <c r="BK51" s="26" t="n">
        <v>-163</v>
      </c>
      <c r="BL51" s="27" t="n">
        <v>1.613497</v>
      </c>
      <c r="BM51" s="28" t="n">
        <v>0.619772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False</t>
        </is>
      </c>
      <c r="CT51" s="24" t="n"/>
      <c r="CU51" s="24" t="n"/>
      <c r="CV51" s="24" t="n"/>
      <c r="CW51" s="24" t="n"/>
      <c r="CX51" s="24" t="n"/>
      <c r="CY51" s="24" t="n"/>
      <c r="CZ51" s="24" t="n"/>
      <c r="DA51" s="24" t="n"/>
      <c r="DB51" s="24" t="n"/>
      <c r="DC51" s="24" t="n"/>
      <c r="DD51" s="24" t="n"/>
      <c r="DE51" s="24" t="n"/>
      <c r="DF51" s="24" t="n"/>
      <c r="DG51" s="24" t="n"/>
      <c r="DH51" s="24" t="n"/>
      <c r="DI51" s="24" t="n"/>
      <c r="DJ51" s="24" t="inlineStr">
        <is>
          <t>0.619772</t>
        </is>
      </c>
      <c r="DK51" s="24" t="n"/>
      <c r="DL51" s="24" t="n"/>
      <c r="DM51" s="24" t="n"/>
      <c r="DN51" s="24" t="n"/>
      <c r="DO51" s="24" t="n"/>
      <c r="DP51" s="24" t="n"/>
      <c r="DQ51" s="24" t="n"/>
    </row>
    <row r="52" ht="36" customHeight="1">
      <c r="A52" s="24" t="inlineStr">
        <is>
          <t>b0fcb4c91adb438c</t>
        </is>
      </c>
      <c r="B52" s="24" t="inlineStr">
        <is>
          <t>2026-08-21T04:32:02.515915Z</t>
        </is>
      </c>
      <c r="C52" s="24" t="inlineStr">
        <is>
          <t>2026-08-21T10:00:00Z</t>
        </is>
      </c>
      <c r="D52" s="24" t="inlineStr">
        <is>
          <t>85148</t>
        </is>
      </c>
      <c r="E52" s="24" t="inlineStr">
        <is>
          <t>KBO</t>
        </is>
      </c>
      <c r="F52" s="24" t="inlineStr">
        <is>
          <t>Samsung Lions</t>
        </is>
      </c>
      <c r="G52" s="24" t="inlineStr">
        <is>
          <t>NC Dinos</t>
        </is>
      </c>
      <c r="H52" s="24" t="inlineStr">
        <is>
          <t>moneyline</t>
        </is>
      </c>
      <c r="I52" s="24" t="inlineStr">
        <is>
          <t>away</t>
        </is>
      </c>
      <c r="J52" s="25" t="n"/>
      <c r="K52" s="24" t="inlineStr">
        <is>
          <t>polymarket_us</t>
        </is>
      </c>
      <c r="L52" s="26" t="n">
        <v>-186</v>
      </c>
      <c r="M52" s="27" t="n">
        <v>1.537634</v>
      </c>
      <c r="N52" s="28" t="n">
        <v>0.65035</v>
      </c>
      <c r="O52" s="28" t="n">
        <v>0.559293</v>
      </c>
      <c r="P52" s="28" t="n"/>
      <c r="Q52" s="28" t="n">
        <v>-0.091057</v>
      </c>
      <c r="R52" s="26" t="n">
        <v>0</v>
      </c>
      <c r="S52" s="29" t="n">
        <v>1</v>
      </c>
      <c r="T52" s="24" t="inlineStr">
        <is>
          <t>kbo-tie-aware-elo-v2</t>
        </is>
      </c>
      <c r="U52" s="24" t="inlineStr">
        <is>
          <t>settled</t>
        </is>
      </c>
      <c r="V52" s="24" t="inlineStr">
        <is>
          <t>loss</t>
        </is>
      </c>
      <c r="W52" s="26" t="n">
        <v>2</v>
      </c>
      <c r="X52" s="26" t="n">
        <v>3</v>
      </c>
      <c r="Y52" s="25" t="n"/>
      <c r="Z52" s="26" t="n"/>
      <c r="AA52" s="28" t="n"/>
      <c r="AB52" s="28" t="n"/>
      <c r="AC52" s="30" t="n">
        <v>-1</v>
      </c>
      <c r="AD52" s="24" t="inlineStr">
        <is>
          <t>2026-08-21T18:25:32.327568Z</t>
        </is>
      </c>
      <c r="AE52" s="31" t="inlineStr">
        <is>
          <t>Tie-aware Elo baseline; executable ask 0.6500 (market_slug=aec-kbo-ndc-sla-2026-08-21). Tie probability=0.0224.</t>
        </is>
      </c>
      <c r="AF52" s="31" t="inlineStr">
        <is>
          <t>Config-promoted international baseball baseline; gates enforced at log time.</t>
        </is>
      </c>
      <c r="AG52" s="24" t="inlineStr">
        <is>
          <t>review_required</t>
        </is>
      </c>
      <c r="AH52" s="24" t="n"/>
      <c r="AI52" s="31" t="n"/>
      <c r="AJ52" s="31" t="n"/>
      <c r="AK52" s="24" t="inlineStr">
        <is>
          <t>paper_call</t>
        </is>
      </c>
      <c r="AL52" s="26" t="n">
        <v>4</v>
      </c>
      <c r="AM52" s="24" t="inlineStr">
        <is>
          <t>RESEARCH_OBSERVATION</t>
        </is>
      </c>
      <c r="AN52" s="24" t="inlineStr">
        <is>
          <t>CALL</t>
        </is>
      </c>
      <c r="AO52" s="24" t="inlineStr">
        <is>
          <t>PAPER_CALL_LOW_EDGE</t>
        </is>
      </c>
      <c r="AP52" s="24" t="inlineStr">
        <is>
          <t>Samsung Lions</t>
        </is>
      </c>
      <c r="AQ52" s="24" t="inlineStr">
        <is>
          <t>Samsung Lions</t>
        </is>
      </c>
      <c r="AR52" s="24" t="inlineStr">
        <is>
          <t>Samsung Lions</t>
        </is>
      </c>
      <c r="AS52" s="24" t="inlineStr">
        <is>
          <t>NC Dinos</t>
        </is>
      </c>
      <c r="AT52" s="24" t="inlineStr">
        <is>
          <t>NC Dinos</t>
        </is>
      </c>
      <c r="AU52" s="24" t="inlineStr">
        <is>
          <t>NC Dinos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d1cc65755b651130759b89eb4831e0e5a7647e19ac85fe26646be34e64a3f0e7</t>
        </is>
      </c>
      <c r="BB52" s="24" t="inlineStr">
        <is>
          <t>tie_aware_elo</t>
        </is>
      </c>
      <c r="BC52" s="24" t="inlineStr">
        <is>
          <t>kbo-tie-aware-elo-v2</t>
        </is>
      </c>
      <c r="BD52" s="24" t="inlineStr">
        <is>
          <t>d1cc65755b651130759b89eb4831e0e5a7647e19ac85fe26646be34e64a3f0e7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kbo-tie-aware-elo-v2</t>
        </is>
      </c>
      <c r="BH52" s="24" t="inlineStr">
        <is>
          <t>2026-08-21T04:32:02.055442Z</t>
        </is>
      </c>
      <c r="BI52" s="24" t="inlineStr">
        <is>
          <t>["same_event","same_team_same_day","same_league_same_day"]</t>
        </is>
      </c>
      <c r="BJ52" s="25" t="n"/>
      <c r="BK52" s="26" t="n">
        <v>-186</v>
      </c>
      <c r="BL52" s="27" t="n">
        <v>1.537634</v>
      </c>
      <c r="BM52" s="28" t="n">
        <v>0.65035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False</t>
        </is>
      </c>
      <c r="CT52" s="24" t="n"/>
      <c r="CU52" s="24" t="n"/>
      <c r="CV52" s="24" t="n"/>
      <c r="CW52" s="24" t="n"/>
      <c r="CX52" s="24" t="n"/>
      <c r="CY52" s="24" t="n"/>
      <c r="CZ52" s="24" t="n"/>
      <c r="DA52" s="24" t="n"/>
      <c r="DB52" s="24" t="n"/>
      <c r="DC52" s="24" t="n"/>
      <c r="DD52" s="24" t="n"/>
      <c r="DE52" s="24" t="n"/>
      <c r="DF52" s="24" t="n"/>
      <c r="DG52" s="24" t="n"/>
      <c r="DH52" s="24" t="n"/>
      <c r="DI52" s="24" t="n"/>
      <c r="DJ52" s="24" t="inlineStr">
        <is>
          <t>0.65035</t>
        </is>
      </c>
      <c r="DK52" s="24" t="n"/>
      <c r="DL52" s="24" t="n"/>
      <c r="DM52" s="24" t="n"/>
      <c r="DN52" s="24" t="n"/>
      <c r="DO52" s="24" t="n"/>
      <c r="DP52" s="24" t="n"/>
      <c r="DQ52" s="24" t="n"/>
    </row>
    <row r="53" ht="36" customHeight="1">
      <c r="A53" s="24" t="inlineStr">
        <is>
          <t>86bd49f11c854886</t>
        </is>
      </c>
      <c r="B53" s="24" t="inlineStr">
        <is>
          <t>2026-08-21T04:32:02.515915Z</t>
        </is>
      </c>
      <c r="C53" s="24" t="inlineStr">
        <is>
          <t>2026-08-21T10:00:00Z</t>
        </is>
      </c>
      <c r="D53" s="24" t="inlineStr">
        <is>
          <t>85149</t>
        </is>
      </c>
      <c r="E53" s="24" t="inlineStr">
        <is>
          <t>KBO</t>
        </is>
      </c>
      <c r="F53" s="24" t="inlineStr">
        <is>
          <t>Kia Tigers</t>
        </is>
      </c>
      <c r="G53" s="24" t="inlineStr">
        <is>
          <t>Kiwoom Heroes</t>
        </is>
      </c>
      <c r="H53" s="24" t="inlineStr">
        <is>
          <t>moneyline</t>
        </is>
      </c>
      <c r="I53" s="24" t="inlineStr">
        <is>
          <t>away</t>
        </is>
      </c>
      <c r="J53" s="25" t="n"/>
      <c r="K53" s="24" t="inlineStr">
        <is>
          <t>polymarket_us</t>
        </is>
      </c>
      <c r="L53" s="26" t="n">
        <v>-156</v>
      </c>
      <c r="M53" s="27" t="n">
        <v>1.641026</v>
      </c>
      <c r="N53" s="28" t="n">
        <v>0.609375</v>
      </c>
      <c r="O53" s="28" t="n">
        <v>0.61407</v>
      </c>
      <c r="P53" s="28" t="n"/>
      <c r="Q53" s="28" t="n">
        <v>0.004695</v>
      </c>
      <c r="R53" s="26" t="n">
        <v>22</v>
      </c>
      <c r="S53" s="29" t="n">
        <v>1.5</v>
      </c>
      <c r="T53" s="24" t="inlineStr">
        <is>
          <t>kbo-tie-aware-elo-v2</t>
        </is>
      </c>
      <c r="U53" s="24" t="inlineStr">
        <is>
          <t>settled</t>
        </is>
      </c>
      <c r="V53" s="24" t="inlineStr">
        <is>
          <t>win</t>
        </is>
      </c>
      <c r="W53" s="26" t="n">
        <v>11</v>
      </c>
      <c r="X53" s="26" t="n">
        <v>1</v>
      </c>
      <c r="Y53" s="25" t="n"/>
      <c r="Z53" s="26" t="n"/>
      <c r="AA53" s="28" t="n"/>
      <c r="AB53" s="28" t="n"/>
      <c r="AC53" s="30" t="n">
        <v>0.9615</v>
      </c>
      <c r="AD53" s="24" t="inlineStr">
        <is>
          <t>2026-08-21T18:25:32.626307Z</t>
        </is>
      </c>
      <c r="AE53" s="31" t="inlineStr">
        <is>
          <t>Tie-aware Elo baseline; executable ask 0.6100 (market_slug=aec-kbo-khi-kti-2026-08-21). Tie probability=0.0224.</t>
        </is>
      </c>
      <c r="AF53" s="31" t="inlineStr">
        <is>
          <t>Config-promoted international baseball baseline; gates enforced at log time.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paper_call</t>
        </is>
      </c>
      <c r="AL53" s="26" t="n">
        <v>4</v>
      </c>
      <c r="AM53" s="24" t="inlineStr">
        <is>
          <t>RESEARCH_OBSERVATION</t>
        </is>
      </c>
      <c r="AN53" s="24" t="inlineStr">
        <is>
          <t>CALL</t>
        </is>
      </c>
      <c r="AO53" s="24" t="inlineStr">
        <is>
          <t>PAPER_CALL_LOW_EDGE</t>
        </is>
      </c>
      <c r="AP53" s="24" t="inlineStr">
        <is>
          <t>Kia Tigers</t>
        </is>
      </c>
      <c r="AQ53" s="24" t="inlineStr">
        <is>
          <t>Kia Tigers</t>
        </is>
      </c>
      <c r="AR53" s="24" t="inlineStr">
        <is>
          <t>Kia Tigers</t>
        </is>
      </c>
      <c r="AS53" s="24" t="inlineStr">
        <is>
          <t>Kiwoom Heroes</t>
        </is>
      </c>
      <c r="AT53" s="24" t="inlineStr">
        <is>
          <t>Kiwoom Heroes</t>
        </is>
      </c>
      <c r="AU53" s="24" t="inlineStr">
        <is>
          <t>Kiwoom Heroes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d1cc65755b651130759b89eb4831e0e5a7647e19ac85fe26646be34e64a3f0e7</t>
        </is>
      </c>
      <c r="BB53" s="24" t="inlineStr">
        <is>
          <t>tie_aware_elo</t>
        </is>
      </c>
      <c r="BC53" s="24" t="inlineStr">
        <is>
          <t>kbo-tie-aware-elo-v2</t>
        </is>
      </c>
      <c r="BD53" s="24" t="inlineStr">
        <is>
          <t>d1cc65755b651130759b89eb4831e0e5a7647e19ac85fe26646be34e64a3f0e7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kbo-tie-aware-elo-v2</t>
        </is>
      </c>
      <c r="BH53" s="24" t="inlineStr">
        <is>
          <t>2026-08-21T04:32:02.286193Z</t>
        </is>
      </c>
      <c r="BI53" s="24" t="inlineStr">
        <is>
          <t>["same_event","same_team_same_day","same_league_same_day"]</t>
        </is>
      </c>
      <c r="BJ53" s="25" t="n"/>
      <c r="BK53" s="26" t="n">
        <v>-156</v>
      </c>
      <c r="BL53" s="27" t="n">
        <v>1.641026</v>
      </c>
      <c r="BM53" s="28" t="n">
        <v>0.609375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True</t>
        </is>
      </c>
      <c r="CT53" s="24" t="n"/>
      <c r="CU53" s="24" t="n"/>
      <c r="CV53" s="24" t="n"/>
      <c r="CW53" s="24" t="n"/>
      <c r="CX53" s="24" t="n"/>
      <c r="CY53" s="24" t="n"/>
      <c r="CZ53" s="24" t="n"/>
      <c r="DA53" s="24" t="n"/>
      <c r="DB53" s="24" t="n"/>
      <c r="DC53" s="24" t="n"/>
      <c r="DD53" s="24" t="n"/>
      <c r="DE53" s="24" t="n"/>
      <c r="DF53" s="24" t="n"/>
      <c r="DG53" s="24" t="n"/>
      <c r="DH53" s="24" t="n"/>
      <c r="DI53" s="24" t="n"/>
      <c r="DJ53" s="24" t="inlineStr">
        <is>
          <t>0.609375</t>
        </is>
      </c>
      <c r="DK53" s="24" t="n"/>
      <c r="DL53" s="24" t="n"/>
      <c r="DM53" s="24" t="n"/>
      <c r="DN53" s="24" t="n"/>
      <c r="DO53" s="24" t="n"/>
      <c r="DP53" s="24" t="n"/>
      <c r="DQ53" s="24" t="n"/>
    </row>
    <row r="54" ht="36" customHeight="1">
      <c r="A54" s="24" t="inlineStr">
        <is>
          <t>c95fd5e705dc447e</t>
        </is>
      </c>
      <c r="B54" s="24" t="inlineStr">
        <is>
          <t>2026-08-21T04:32:02.515915Z</t>
        </is>
      </c>
      <c r="C54" s="24" t="inlineStr">
        <is>
          <t>2026-08-21T10:00:00Z</t>
        </is>
      </c>
      <c r="D54" s="24" t="inlineStr">
        <is>
          <t>85150</t>
        </is>
      </c>
      <c r="E54" s="24" t="inlineStr">
        <is>
          <t>KBO</t>
        </is>
      </c>
      <c r="F54" s="24" t="inlineStr">
        <is>
          <t>LG Twins</t>
        </is>
      </c>
      <c r="G54" s="24" t="inlineStr">
        <is>
          <t>Hanwha Eagles</t>
        </is>
      </c>
      <c r="H54" s="24" t="inlineStr">
        <is>
          <t>moneyline</t>
        </is>
      </c>
      <c r="I54" s="24" t="inlineStr">
        <is>
          <t>away</t>
        </is>
      </c>
      <c r="J54" s="25" t="n"/>
      <c r="K54" s="24" t="inlineStr">
        <is>
          <t>polymarket_us</t>
        </is>
      </c>
      <c r="L54" s="26" t="n">
        <v>-127</v>
      </c>
      <c r="M54" s="27" t="n">
        <v>1.787402</v>
      </c>
      <c r="N54" s="28" t="n">
        <v>0.5594710000000001</v>
      </c>
      <c r="O54" s="28" t="n">
        <v>0.538801</v>
      </c>
      <c r="P54" s="28" t="n"/>
      <c r="Q54" s="28" t="n">
        <v>-0.02067</v>
      </c>
      <c r="R54" s="26" t="n">
        <v>10</v>
      </c>
      <c r="S54" s="29" t="n">
        <v>1</v>
      </c>
      <c r="T54" s="24" t="inlineStr">
        <is>
          <t>kbo-tie-aware-elo-v2</t>
        </is>
      </c>
      <c r="U54" s="24" t="inlineStr">
        <is>
          <t>settled</t>
        </is>
      </c>
      <c r="V54" s="24" t="inlineStr">
        <is>
          <t>loss</t>
        </is>
      </c>
      <c r="W54" s="26" t="n">
        <v>11</v>
      </c>
      <c r="X54" s="26" t="n">
        <v>15</v>
      </c>
      <c r="Y54" s="25" t="n"/>
      <c r="Z54" s="26" t="n"/>
      <c r="AA54" s="28" t="n"/>
      <c r="AB54" s="28" t="n"/>
      <c r="AC54" s="30" t="n">
        <v>-1</v>
      </c>
      <c r="AD54" s="24" t="inlineStr">
        <is>
          <t>2026-08-21T18:25:32.891070Z</t>
        </is>
      </c>
      <c r="AE54" s="31" t="inlineStr">
        <is>
          <t>Tie-aware Elo baseline; executable ask 0.5600 (market_slug=aec-kbo-hea-ltg-2026-08-21). Tie probability=0.0224.</t>
        </is>
      </c>
      <c r="AF54" s="31" t="inlineStr">
        <is>
          <t>Config-promoted international baseball baseline; gates enforced at log time.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paper_call</t>
        </is>
      </c>
      <c r="AL54" s="26" t="n">
        <v>4</v>
      </c>
      <c r="AM54" s="24" t="inlineStr">
        <is>
          <t>RESEARCH_OBSERVATION</t>
        </is>
      </c>
      <c r="AN54" s="24" t="inlineStr">
        <is>
          <t>CALL</t>
        </is>
      </c>
      <c r="AO54" s="24" t="inlineStr">
        <is>
          <t>PAPER_CALL_LOW_EDGE</t>
        </is>
      </c>
      <c r="AP54" s="24" t="inlineStr">
        <is>
          <t>LG Twins</t>
        </is>
      </c>
      <c r="AQ54" s="24" t="inlineStr">
        <is>
          <t>LG Twins</t>
        </is>
      </c>
      <c r="AR54" s="24" t="inlineStr">
        <is>
          <t>LG Twins</t>
        </is>
      </c>
      <c r="AS54" s="24" t="inlineStr">
        <is>
          <t>Hanwha Eagles</t>
        </is>
      </c>
      <c r="AT54" s="24" t="inlineStr">
        <is>
          <t>Hanwha Eagles</t>
        </is>
      </c>
      <c r="AU54" s="24" t="inlineStr">
        <is>
          <t>Hanwha Eagles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d1cc65755b651130759b89eb4831e0e5a7647e19ac85fe26646be34e64a3f0e7</t>
        </is>
      </c>
      <c r="BB54" s="24" t="inlineStr">
        <is>
          <t>tie_aware_elo</t>
        </is>
      </c>
      <c r="BC54" s="24" t="inlineStr">
        <is>
          <t>kbo-tie-aware-elo-v2</t>
        </is>
      </c>
      <c r="BD54" s="24" t="inlineStr">
        <is>
          <t>d1cc65755b651130759b89eb4831e0e5a7647e19ac85fe26646be34e64a3f0e7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kbo-tie-aware-elo-v2</t>
        </is>
      </c>
      <c r="BH54" s="24" t="inlineStr">
        <is>
          <t>2026-08-21T04:32:02.431524Z</t>
        </is>
      </c>
      <c r="BI54" s="24" t="inlineStr">
        <is>
          <t>["same_event","same_team_same_day","same_league_same_day"]</t>
        </is>
      </c>
      <c r="BJ54" s="25" t="n"/>
      <c r="BK54" s="26" t="n">
        <v>-127</v>
      </c>
      <c r="BL54" s="27" t="n">
        <v>1.787402</v>
      </c>
      <c r="BM54" s="28" t="n">
        <v>0.5594710000000001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inlineStr">
        <is>
          <t>False</t>
        </is>
      </c>
      <c r="CT54" s="24" t="n"/>
      <c r="CU54" s="24" t="n"/>
      <c r="CV54" s="24" t="n"/>
      <c r="CW54" s="24" t="n"/>
      <c r="CX54" s="24" t="n"/>
      <c r="CY54" s="24" t="n"/>
      <c r="CZ54" s="24" t="n"/>
      <c r="DA54" s="24" t="n"/>
      <c r="DB54" s="24" t="n"/>
      <c r="DC54" s="24" t="n"/>
      <c r="DD54" s="24" t="n"/>
      <c r="DE54" s="24" t="n"/>
      <c r="DF54" s="24" t="n"/>
      <c r="DG54" s="24" t="n"/>
      <c r="DH54" s="24" t="n"/>
      <c r="DI54" s="24" t="n"/>
      <c r="DJ54" s="24" t="inlineStr">
        <is>
          <t>0.559471</t>
        </is>
      </c>
      <c r="DK54" s="24" t="n"/>
      <c r="DL54" s="24" t="n"/>
      <c r="DM54" s="24" t="n"/>
      <c r="DN54" s="24" t="n"/>
      <c r="DO54" s="24" t="n"/>
      <c r="DP54" s="24" t="n"/>
      <c r="DQ54" s="24" t="n"/>
    </row>
    <row r="55" ht="36" customHeight="1">
      <c r="A55" s="24" t="inlineStr">
        <is>
          <t>a48362e2fd234219</t>
        </is>
      </c>
      <c r="B55" s="24" t="inlineStr">
        <is>
          <t>2026-08-21T04:32:02.515915Z</t>
        </is>
      </c>
      <c r="C55" s="24" t="inlineStr">
        <is>
          <t>2026-08-21T10:00:00Z</t>
        </is>
      </c>
      <c r="D55" s="24" t="inlineStr">
        <is>
          <t>85151</t>
        </is>
      </c>
      <c r="E55" s="24" t="inlineStr">
        <is>
          <t>KBO</t>
        </is>
      </c>
      <c r="F55" s="24" t="inlineStr">
        <is>
          <t>Lotte Giants</t>
        </is>
      </c>
      <c r="G55" s="24" t="inlineStr">
        <is>
          <t>Doosan Bears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133</v>
      </c>
      <c r="M55" s="27" t="n">
        <v>2.33</v>
      </c>
      <c r="N55" s="28" t="n">
        <v>0.429185</v>
      </c>
      <c r="O55" s="28" t="n">
        <v>0.544408</v>
      </c>
      <c r="P55" s="28" t="n"/>
      <c r="Q55" s="28" t="n">
        <v>0.115223</v>
      </c>
      <c r="R55" s="26" t="n">
        <v>78</v>
      </c>
      <c r="S55" s="29" t="n">
        <v>1</v>
      </c>
      <c r="T55" s="24" t="inlineStr">
        <is>
          <t>kbo-tie-aware-elo-v2</t>
        </is>
      </c>
      <c r="U55" s="24" t="inlineStr">
        <is>
          <t>settled</t>
        </is>
      </c>
      <c r="V55" s="24" t="inlineStr">
        <is>
          <t>loss</t>
        </is>
      </c>
      <c r="W55" s="26" t="n">
        <v>11</v>
      </c>
      <c r="X55" s="26" t="n">
        <v>4</v>
      </c>
      <c r="Y55" s="25" t="n"/>
      <c r="Z55" s="26" t="n"/>
      <c r="AA55" s="28" t="n"/>
      <c r="AB55" s="28" t="n"/>
      <c r="AC55" s="30" t="n">
        <v>-1</v>
      </c>
      <c r="AD55" s="24" t="inlineStr">
        <is>
          <t>2026-08-21T18:25:33.160843Z</t>
        </is>
      </c>
      <c r="AE55" s="31" t="inlineStr">
        <is>
          <t>Tie-aware Elo baseline; executable ask 0.4300 (market_slug=aec-kbo-dbo-lgo-2026-08-21). Tie probability=0.0224.</t>
        </is>
      </c>
      <c r="AF55" s="31" t="inlineStr">
        <is>
          <t>Config-promoted international baseball baseline; gates enforced at log time.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paper_call</t>
        </is>
      </c>
      <c r="AL55" s="26" t="n">
        <v>4</v>
      </c>
      <c r="AM55" s="24" t="inlineStr">
        <is>
          <t>RESEARCH_OBSERVATION</t>
        </is>
      </c>
      <c r="AN55" s="24" t="inlineStr">
        <is>
          <t>CALL</t>
        </is>
      </c>
      <c r="AO55" s="24" t="inlineStr">
        <is>
          <t>PAPER_CALL_LOW_EDGE</t>
        </is>
      </c>
      <c r="AP55" s="24" t="inlineStr">
        <is>
          <t>Lotte Giants</t>
        </is>
      </c>
      <c r="AQ55" s="24" t="inlineStr">
        <is>
          <t>Lotte Giants</t>
        </is>
      </c>
      <c r="AR55" s="24" t="inlineStr">
        <is>
          <t>Lotte Giants</t>
        </is>
      </c>
      <c r="AS55" s="24" t="inlineStr">
        <is>
          <t>Doosan Bears</t>
        </is>
      </c>
      <c r="AT55" s="24" t="inlineStr">
        <is>
          <t>Doosan Bears</t>
        </is>
      </c>
      <c r="AU55" s="24" t="inlineStr">
        <is>
          <t>Doosan Bears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d1cc65755b651130759b89eb4831e0e5a7647e19ac85fe26646be34e64a3f0e7</t>
        </is>
      </c>
      <c r="BB55" s="24" t="inlineStr">
        <is>
          <t>tie_aware_elo</t>
        </is>
      </c>
      <c r="BC55" s="24" t="inlineStr">
        <is>
          <t>kbo-tie-aware-elo-v2</t>
        </is>
      </c>
      <c r="BD55" s="24" t="inlineStr">
        <is>
          <t>d1cc65755b651130759b89eb4831e0e5a7647e19ac85fe26646be34e64a3f0e7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kbo-tie-aware-elo-v2</t>
        </is>
      </c>
      <c r="BH55" s="24" t="inlineStr">
        <is>
          <t>2026-08-21T04:32:02.515863Z</t>
        </is>
      </c>
      <c r="BI55" s="24" t="inlineStr">
        <is>
          <t>["same_event","same_team_same_day","same_league_same_day"]</t>
        </is>
      </c>
      <c r="BJ55" s="25" t="n"/>
      <c r="BK55" s="26" t="n">
        <v>133</v>
      </c>
      <c r="BL55" s="27" t="n">
        <v>2.33</v>
      </c>
      <c r="BM55" s="28" t="n">
        <v>0.429185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inlineStr">
        <is>
          <t>True</t>
        </is>
      </c>
      <c r="CT55" s="24" t="n"/>
      <c r="CU55" s="24" t="n"/>
      <c r="CV55" s="24" t="n"/>
      <c r="CW55" s="24" t="n"/>
      <c r="CX55" s="24" t="n"/>
      <c r="CY55" s="24" t="n"/>
      <c r="CZ55" s="24" t="n"/>
      <c r="DA55" s="24" t="n"/>
      <c r="DB55" s="24" t="n"/>
      <c r="DC55" s="24" t="n"/>
      <c r="DD55" s="24" t="n"/>
      <c r="DE55" s="24" t="n"/>
      <c r="DF55" s="24" t="n"/>
      <c r="DG55" s="24" t="n"/>
      <c r="DH55" s="24" t="n"/>
      <c r="DI55" s="24" t="n"/>
      <c r="DJ55" s="24" t="inlineStr">
        <is>
          <t>0.429185</t>
        </is>
      </c>
      <c r="DK55" s="24" t="n"/>
      <c r="DL55" s="24" t="n"/>
      <c r="DM55" s="24" t="n"/>
      <c r="DN55" s="24" t="n"/>
      <c r="DO55" s="24" t="n"/>
      <c r="DP55" s="24" t="n"/>
      <c r="DQ55" s="24" t="n"/>
    </row>
    <row r="56" ht="36" customHeight="1">
      <c r="A56" s="24" t="inlineStr">
        <is>
          <t>d9a6b11d8c9c4ef3</t>
        </is>
      </c>
      <c r="B56" s="24" t="inlineStr">
        <is>
          <t>2026-08-22T07:30:02.486897Z</t>
        </is>
      </c>
      <c r="C56" s="24" t="inlineStr">
        <is>
          <t>2026-08-22T09:00:00Z</t>
        </is>
      </c>
      <c r="D56" s="24" t="inlineStr">
        <is>
          <t>86186</t>
        </is>
      </c>
      <c r="E56" s="24" t="inlineStr">
        <is>
          <t>KBO</t>
        </is>
      </c>
      <c r="F56" s="24" t="inlineStr">
        <is>
          <t>Kia Tigers</t>
        </is>
      </c>
      <c r="G56" s="24" t="inlineStr">
        <is>
          <t>Kiwoom Heroes</t>
        </is>
      </c>
      <c r="H56" s="24" t="inlineStr">
        <is>
          <t>moneyline</t>
        </is>
      </c>
      <c r="I56" s="24" t="inlineStr">
        <is>
          <t>away</t>
        </is>
      </c>
      <c r="J56" s="25" t="n"/>
      <c r="K56" s="24" t="inlineStr">
        <is>
          <t>polymarket_us</t>
        </is>
      </c>
      <c r="L56" s="26" t="n">
        <v>-178</v>
      </c>
      <c r="M56" s="27" t="n">
        <v>1.561798</v>
      </c>
      <c r="N56" s="28" t="n">
        <v>0.640288</v>
      </c>
      <c r="O56" s="28" t="n">
        <v>0.622069</v>
      </c>
      <c r="P56" s="28" t="n"/>
      <c r="Q56" s="28" t="n">
        <v>-0.018219</v>
      </c>
      <c r="R56" s="26" t="n">
        <v>11</v>
      </c>
      <c r="S56" s="29" t="n">
        <v>1.5</v>
      </c>
      <c r="T56" s="24" t="inlineStr">
        <is>
          <t>kbo-tie-aware-elo-v2</t>
        </is>
      </c>
      <c r="U56" s="24" t="inlineStr">
        <is>
          <t>settled</t>
        </is>
      </c>
      <c r="V56" s="24" t="inlineStr">
        <is>
          <t>loss</t>
        </is>
      </c>
      <c r="W56" s="26" t="n">
        <v>1</v>
      </c>
      <c r="X56" s="26" t="n">
        <v>3</v>
      </c>
      <c r="Y56" s="25" t="n"/>
      <c r="Z56" s="26" t="n"/>
      <c r="AA56" s="28" t="n"/>
      <c r="AB56" s="28" t="n"/>
      <c r="AC56" s="30" t="n">
        <v>-1.5</v>
      </c>
      <c r="AD56" s="24" t="inlineStr">
        <is>
          <t>2026-08-22T15:40:06.622283Z</t>
        </is>
      </c>
      <c r="AE56" s="31" t="inlineStr">
        <is>
          <t>Tie-aware Elo baseline; executable ask 0.6400 (market_slug=aec-kbo-khi-kti-2026-08-22). Tie probability=0.0226.</t>
        </is>
      </c>
      <c r="AF56" s="31" t="inlineStr">
        <is>
          <t>Config-promoted international baseball baseline; gates enforced at log time.</t>
        </is>
      </c>
      <c r="AG56" s="24" t="inlineStr">
        <is>
          <t>review_required</t>
        </is>
      </c>
      <c r="AH56" s="24" t="n"/>
      <c r="AI56" s="31" t="n"/>
      <c r="AJ56" s="31" t="n"/>
      <c r="AK56" s="24" t="inlineStr">
        <is>
          <t>paper_call</t>
        </is>
      </c>
      <c r="AL56" s="26" t="n">
        <v>4</v>
      </c>
      <c r="AM56" s="24" t="inlineStr">
        <is>
          <t>RESEARCH_OBSERVATION</t>
        </is>
      </c>
      <c r="AN56" s="24" t="inlineStr">
        <is>
          <t>CALL</t>
        </is>
      </c>
      <c r="AO56" s="24" t="inlineStr">
        <is>
          <t>PAPER_CALL_LOW_EDGE</t>
        </is>
      </c>
      <c r="AP56" s="24" t="inlineStr">
        <is>
          <t>Kia Tigers</t>
        </is>
      </c>
      <c r="AQ56" s="24" t="inlineStr">
        <is>
          <t>Kia Tigers</t>
        </is>
      </c>
      <c r="AR56" s="24" t="inlineStr">
        <is>
          <t>Kia Tigers</t>
        </is>
      </c>
      <c r="AS56" s="24" t="inlineStr">
        <is>
          <t>Kiwoom Heroes</t>
        </is>
      </c>
      <c r="AT56" s="24" t="inlineStr">
        <is>
          <t>Kiwoom Heroes</t>
        </is>
      </c>
      <c r="AU56" s="24" t="inlineStr">
        <is>
          <t>Kiwoom Heroes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5d19006df3dc40a0f0aa9dc63cf87ac297505f6e2d3bc72411d731a9afb599d0</t>
        </is>
      </c>
      <c r="BB56" s="24" t="inlineStr">
        <is>
          <t>tie_aware_elo</t>
        </is>
      </c>
      <c r="BC56" s="24" t="inlineStr">
        <is>
          <t>kbo-tie-aware-elo-v2</t>
        </is>
      </c>
      <c r="BD56" s="24" t="inlineStr">
        <is>
          <t>5d19006df3dc40a0f0aa9dc63cf87ac297505f6e2d3bc72411d731a9afb599d0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kbo-tie-aware-elo-v2</t>
        </is>
      </c>
      <c r="BH56" s="24" t="inlineStr">
        <is>
          <t>2026-08-22T07:30:01.498755Z</t>
        </is>
      </c>
      <c r="BI56" s="24" t="inlineStr">
        <is>
          <t>["same_event","same_team_same_day","same_league_same_day"]</t>
        </is>
      </c>
      <c r="BJ56" s="25" t="n"/>
      <c r="BK56" s="26" t="n">
        <v>-178</v>
      </c>
      <c r="BL56" s="27" t="n">
        <v>1.561798</v>
      </c>
      <c r="BM56" s="28" t="n">
        <v>0.640288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inlineStr">
        <is>
          <t>False</t>
        </is>
      </c>
      <c r="CT56" s="24" t="n"/>
      <c r="CU56" s="24" t="n"/>
      <c r="CV56" s="24" t="n"/>
      <c r="CW56" s="24" t="n"/>
      <c r="CX56" s="24" t="n"/>
      <c r="CY56" s="24" t="n"/>
      <c r="CZ56" s="24" t="n"/>
      <c r="DA56" s="24" t="n"/>
      <c r="DB56" s="24" t="n"/>
      <c r="DC56" s="24" t="n"/>
      <c r="DD56" s="24" t="n"/>
      <c r="DE56" s="24" t="n"/>
      <c r="DF56" s="24" t="n"/>
      <c r="DG56" s="24" t="n"/>
      <c r="DH56" s="24" t="n"/>
      <c r="DI56" s="24" t="n"/>
      <c r="DJ56" s="24" t="inlineStr">
        <is>
          <t>0.640288</t>
        </is>
      </c>
      <c r="DK56" s="24" t="n"/>
      <c r="DL56" s="24" t="n"/>
      <c r="DM56" s="24" t="n"/>
      <c r="DN56" s="24" t="n"/>
      <c r="DO56" s="24" t="n"/>
      <c r="DP56" s="24" t="n"/>
      <c r="DQ56" s="24" t="n"/>
    </row>
    <row r="57" ht="36" customHeight="1">
      <c r="A57" s="24" t="inlineStr">
        <is>
          <t>64337033bdfc47cf</t>
        </is>
      </c>
      <c r="B57" s="24" t="inlineStr">
        <is>
          <t>2026-08-22T09:16:17.241354Z</t>
        </is>
      </c>
      <c r="C57" s="24" t="inlineStr">
        <is>
          <t>2026-08-22T10:00:00Z</t>
        </is>
      </c>
      <c r="D57" s="24" t="inlineStr">
        <is>
          <t>86211</t>
        </is>
      </c>
      <c r="E57" s="24" t="inlineStr">
        <is>
          <t>KBO</t>
        </is>
      </c>
      <c r="F57" s="24" t="inlineStr">
        <is>
          <t>Lotte Giants</t>
        </is>
      </c>
      <c r="G57" s="24" t="inlineStr">
        <is>
          <t>Doosan Bears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-163</v>
      </c>
      <c r="M57" s="27" t="n">
        <v>1.613497</v>
      </c>
      <c r="N57" s="28" t="n">
        <v>0.619772</v>
      </c>
      <c r="O57" s="28" t="n">
        <v>0.532025</v>
      </c>
      <c r="P57" s="28" t="n"/>
      <c r="Q57" s="28" t="n">
        <v>-0.08774700000000001</v>
      </c>
      <c r="R57" s="26" t="n">
        <v>0</v>
      </c>
      <c r="S57" s="29" t="n">
        <v>1</v>
      </c>
      <c r="T57" s="24" t="inlineStr">
        <is>
          <t>kbo-tie-aware-elo-v2</t>
        </is>
      </c>
      <c r="U57" s="24" t="inlineStr">
        <is>
          <t>settled</t>
        </is>
      </c>
      <c r="V57" s="24" t="inlineStr">
        <is>
          <t>push</t>
        </is>
      </c>
      <c r="W57" s="26" t="n"/>
      <c r="X57" s="26" t="n"/>
      <c r="Y57" s="25" t="n"/>
      <c r="Z57" s="26" t="n"/>
      <c r="AA57" s="28" t="n"/>
      <c r="AB57" s="28" t="n"/>
      <c r="AC57" s="30" t="n">
        <v>0</v>
      </c>
      <c r="AD57" s="24" t="inlineStr">
        <is>
          <t>2026-08-31T06:26:52.529257Z</t>
        </is>
      </c>
      <c r="AE57" s="31" t="inlineStr">
        <is>
          <t>Tie-aware Elo baseline; executable ask 0.6200 (market_slug=aec-kbo-dbo-lgo-2026-08-22). Tie probability=0.0226.</t>
        </is>
      </c>
      <c r="AF57" s="31" t="inlineStr">
        <is>
          <t>Config-promoted international baseball baseline; gates enforced at log time.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paper_call</t>
        </is>
      </c>
      <c r="AL57" s="26" t="n">
        <v>4</v>
      </c>
      <c r="AM57" s="24" t="inlineStr">
        <is>
          <t>RESEARCH_OBSERVATION</t>
        </is>
      </c>
      <c r="AN57" s="24" t="inlineStr">
        <is>
          <t>CALL</t>
        </is>
      </c>
      <c r="AO57" s="24" t="inlineStr">
        <is>
          <t>PAPER_CALL_LOW_EDGE</t>
        </is>
      </c>
      <c r="AP57" s="24" t="inlineStr">
        <is>
          <t>Lotte Giants</t>
        </is>
      </c>
      <c r="AQ57" s="24" t="inlineStr">
        <is>
          <t>Lotte Giants</t>
        </is>
      </c>
      <c r="AR57" s="24" t="inlineStr">
        <is>
          <t>Lotte Giants</t>
        </is>
      </c>
      <c r="AS57" s="24" t="inlineStr">
        <is>
          <t>Doosan Bears</t>
        </is>
      </c>
      <c r="AT57" s="24" t="inlineStr">
        <is>
          <t>Doosan Bears</t>
        </is>
      </c>
      <c r="AU57" s="24" t="inlineStr">
        <is>
          <t>Doosan Bears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c582f06e8f03952942500dda19a1ffa4a9117acced5e544f603746f99918b9eb</t>
        </is>
      </c>
      <c r="BB57" s="24" t="inlineStr">
        <is>
          <t>tie_aware_elo</t>
        </is>
      </c>
      <c r="BC57" s="24" t="inlineStr">
        <is>
          <t>kbo-tie-aware-elo-v2</t>
        </is>
      </c>
      <c r="BD57" s="24" t="inlineStr">
        <is>
          <t>c582f06e8f03952942500dda19a1ffa4a9117acced5e544f603746f99918b9eb</t>
        </is>
      </c>
      <c r="BE57" s="24" t="inlineStr">
        <is>
          <t>1</t>
        </is>
      </c>
      <c r="BF57" s="24" t="inlineStr">
        <is>
          <t>1</t>
        </is>
      </c>
      <c r="BG57" s="24" t="inlineStr">
        <is>
          <t>kbo-tie-aware-elo-v2</t>
        </is>
      </c>
      <c r="BH57" s="24" t="inlineStr">
        <is>
          <t>2026-08-22T09:16:16.352980Z</t>
        </is>
      </c>
      <c r="BI57" s="24" t="inlineStr">
        <is>
          <t>["same_event","same_team_same_day","same_league_same_day"]</t>
        </is>
      </c>
      <c r="BJ57" s="25" t="n"/>
      <c r="BK57" s="26" t="n">
        <v>-163</v>
      </c>
      <c r="BL57" s="27" t="n">
        <v>1.613497</v>
      </c>
      <c r="BM57" s="28" t="n">
        <v>0.619772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inlineStr">
        <is>
          <t>voided 2026-08-31: game never played on its slate date -- the official KBO source still lists LOTTE @ DOOSAN on 2026-08-22 with no score (postponed; makeup games are replayed under a new game_id on a new date), so no result for this contract can ever exist and the row would stay open forever.</t>
        </is>
      </c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inlineStr">
        <is>
          <t>False</t>
        </is>
      </c>
      <c r="CT57" s="24" t="n"/>
      <c r="CU57" s="24" t="n"/>
      <c r="CV57" s="24" t="n"/>
      <c r="CW57" s="24" t="n"/>
      <c r="CX57" s="24" t="n"/>
      <c r="CY57" s="24" t="n"/>
      <c r="CZ57" s="24" t="n"/>
      <c r="DA57" s="24" t="n"/>
      <c r="DB57" s="24" t="n"/>
      <c r="DC57" s="24" t="n"/>
      <c r="DD57" s="24" t="n"/>
      <c r="DE57" s="24" t="n"/>
      <c r="DF57" s="24" t="n"/>
      <c r="DG57" s="24" t="n"/>
      <c r="DH57" s="24" t="n"/>
      <c r="DI57" s="24" t="n"/>
      <c r="DJ57" s="24" t="inlineStr">
        <is>
          <t>0.619772</t>
        </is>
      </c>
      <c r="DK57" s="24" t="n"/>
      <c r="DL57" s="24" t="n"/>
      <c r="DM57" s="24" t="n"/>
      <c r="DN57" s="24" t="n"/>
      <c r="DO57" s="24" t="n"/>
      <c r="DP57" s="24" t="n"/>
      <c r="DQ57" s="24" t="n"/>
    </row>
    <row r="58" ht="36" customHeight="1">
      <c r="A58" s="24" t="inlineStr">
        <is>
          <t>fa47a2613cd14785</t>
        </is>
      </c>
      <c r="B58" s="24" t="inlineStr">
        <is>
          <t>2026-08-22T09:16:17.241354Z</t>
        </is>
      </c>
      <c r="C58" s="24" t="inlineStr">
        <is>
          <t>2026-08-22T10:00:00Z</t>
        </is>
      </c>
      <c r="D58" s="24" t="inlineStr">
        <is>
          <t>86212</t>
        </is>
      </c>
      <c r="E58" s="24" t="inlineStr">
        <is>
          <t>KBO</t>
        </is>
      </c>
      <c r="F58" s="24" t="inlineStr">
        <is>
          <t>KT Wiz</t>
        </is>
      </c>
      <c r="G58" s="24" t="inlineStr">
        <is>
          <t>SSG Landers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-117</v>
      </c>
      <c r="M58" s="27" t="n">
        <v>1.854701</v>
      </c>
      <c r="N58" s="28" t="n">
        <v>0.539171</v>
      </c>
      <c r="O58" s="28" t="n">
        <v>0.593539</v>
      </c>
      <c r="P58" s="28" t="n"/>
      <c r="Q58" s="28" t="n">
        <v>0.054368</v>
      </c>
      <c r="R58" s="26" t="n">
        <v>47</v>
      </c>
      <c r="S58" s="29" t="n">
        <v>1.25</v>
      </c>
      <c r="T58" s="24" t="inlineStr">
        <is>
          <t>kbo-tie-aware-elo-v2</t>
        </is>
      </c>
      <c r="U58" s="24" t="inlineStr">
        <is>
          <t>settled</t>
        </is>
      </c>
      <c r="V58" s="24" t="inlineStr">
        <is>
          <t>push</t>
        </is>
      </c>
      <c r="W58" s="26" t="n"/>
      <c r="X58" s="26" t="n"/>
      <c r="Y58" s="25" t="n"/>
      <c r="Z58" s="26" t="n"/>
      <c r="AA58" s="28" t="n"/>
      <c r="AB58" s="28" t="n"/>
      <c r="AC58" s="30" t="n">
        <v>0</v>
      </c>
      <c r="AD58" s="24" t="inlineStr">
        <is>
          <t>2026-08-31T06:26:52.751942Z</t>
        </is>
      </c>
      <c r="AE58" s="31" t="inlineStr">
        <is>
          <t>Tie-aware Elo baseline; executable ask 0.5400 (market_slug=aec-kbo-sls-kwt-2026-08-22). Tie probability=0.0226.</t>
        </is>
      </c>
      <c r="AF58" s="31" t="inlineStr">
        <is>
          <t>Config-promoted international baseball baseline; gates enforced at log time.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paper_call</t>
        </is>
      </c>
      <c r="AL58" s="26" t="n">
        <v>4</v>
      </c>
      <c r="AM58" s="24" t="inlineStr">
        <is>
          <t>RESEARCH_OBSERVATION</t>
        </is>
      </c>
      <c r="AN58" s="24" t="inlineStr">
        <is>
          <t>CALL</t>
        </is>
      </c>
      <c r="AO58" s="24" t="inlineStr">
        <is>
          <t>PAPER_CALL_LOW_EDGE</t>
        </is>
      </c>
      <c r="AP58" s="24" t="inlineStr">
        <is>
          <t>KT Wiz</t>
        </is>
      </c>
      <c r="AQ58" s="24" t="inlineStr">
        <is>
          <t>KT Wiz</t>
        </is>
      </c>
      <c r="AR58" s="24" t="inlineStr">
        <is>
          <t>KT Wiz</t>
        </is>
      </c>
      <c r="AS58" s="24" t="inlineStr">
        <is>
          <t>SSG Landers</t>
        </is>
      </c>
      <c r="AT58" s="24" t="inlineStr">
        <is>
          <t>SSG Landers</t>
        </is>
      </c>
      <c r="AU58" s="24" t="inlineStr">
        <is>
          <t>SSG Landers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c582f06e8f03952942500dda19a1ffa4a9117acced5e544f603746f99918b9eb</t>
        </is>
      </c>
      <c r="BB58" s="24" t="inlineStr">
        <is>
          <t>tie_aware_elo</t>
        </is>
      </c>
      <c r="BC58" s="24" t="inlineStr">
        <is>
          <t>kbo-tie-aware-elo-v2</t>
        </is>
      </c>
      <c r="BD58" s="24" t="inlineStr">
        <is>
          <t>c582f06e8f03952942500dda19a1ffa4a9117acced5e544f603746f99918b9eb</t>
        </is>
      </c>
      <c r="BE58" s="24" t="inlineStr">
        <is>
          <t>1</t>
        </is>
      </c>
      <c r="BF58" s="24" t="inlineStr">
        <is>
          <t>1</t>
        </is>
      </c>
      <c r="BG58" s="24" t="inlineStr">
        <is>
          <t>kbo-tie-aware-elo-v2</t>
        </is>
      </c>
      <c r="BH58" s="24" t="inlineStr">
        <is>
          <t>2026-08-22T09:16:16.419801Z</t>
        </is>
      </c>
      <c r="BI58" s="24" t="inlineStr">
        <is>
          <t>["same_event","same_team_same_day","same_league_same_day"]</t>
        </is>
      </c>
      <c r="BJ58" s="25" t="n"/>
      <c r="BK58" s="26" t="n">
        <v>-117</v>
      </c>
      <c r="BL58" s="27" t="n">
        <v>1.854701</v>
      </c>
      <c r="BM58" s="28" t="n">
        <v>0.539171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inlineStr">
        <is>
          <t>voided 2026-08-31: game never played on its slate date -- the official KBO source still lists KT @ SSG on 2026-08-22 with no score (postponed; makeup games are replayed under a new game_id on a new date), so no result for this contract can ever exist and the row would stay open forever.</t>
        </is>
      </c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inlineStr">
        <is>
          <t>True</t>
        </is>
      </c>
      <c r="CT58" s="24" t="n"/>
      <c r="CU58" s="24" t="n"/>
      <c r="CV58" s="24" t="n"/>
      <c r="CW58" s="24" t="n"/>
      <c r="CX58" s="24" t="n"/>
      <c r="CY58" s="24" t="n"/>
      <c r="CZ58" s="24" t="n"/>
      <c r="DA58" s="24" t="n"/>
      <c r="DB58" s="24" t="n"/>
      <c r="DC58" s="24" t="n"/>
      <c r="DD58" s="24" t="n"/>
      <c r="DE58" s="24" t="n"/>
      <c r="DF58" s="24" t="n"/>
      <c r="DG58" s="24" t="n"/>
      <c r="DH58" s="24" t="n"/>
      <c r="DI58" s="24" t="n"/>
      <c r="DJ58" s="24" t="inlineStr">
        <is>
          <t>0.539171</t>
        </is>
      </c>
      <c r="DK58" s="24" t="n"/>
      <c r="DL58" s="24" t="n"/>
      <c r="DM58" s="24" t="n"/>
      <c r="DN58" s="24" t="n"/>
      <c r="DO58" s="24" t="n"/>
      <c r="DP58" s="24" t="n"/>
      <c r="DQ58" s="24" t="n"/>
    </row>
    <row r="59" ht="36" customHeight="1">
      <c r="A59" s="24" t="inlineStr">
        <is>
          <t>3caa8db6d31c4925</t>
        </is>
      </c>
      <c r="B59" s="24" t="inlineStr">
        <is>
          <t>2026-08-22T09:16:17.241354Z</t>
        </is>
      </c>
      <c r="C59" s="24" t="inlineStr">
        <is>
          <t>2026-08-22T10:00:00Z</t>
        </is>
      </c>
      <c r="D59" s="24" t="inlineStr">
        <is>
          <t>86213</t>
        </is>
      </c>
      <c r="E59" s="24" t="inlineStr">
        <is>
          <t>KBO</t>
        </is>
      </c>
      <c r="F59" s="24" t="inlineStr">
        <is>
          <t>Samsung Lions</t>
        </is>
      </c>
      <c r="G59" s="24" t="inlineStr">
        <is>
          <t>NC Dinos</t>
        </is>
      </c>
      <c r="H59" s="24" t="inlineStr">
        <is>
          <t>moneyline</t>
        </is>
      </c>
      <c r="I59" s="24" t="inlineStr">
        <is>
          <t>away</t>
        </is>
      </c>
      <c r="J59" s="25" t="n"/>
      <c r="K59" s="24" t="inlineStr">
        <is>
          <t>polymarket_us</t>
        </is>
      </c>
      <c r="L59" s="26" t="n">
        <v>-150</v>
      </c>
      <c r="M59" s="27" t="n">
        <v>1.666667</v>
      </c>
      <c r="N59" s="28" t="n">
        <v>0.6</v>
      </c>
      <c r="O59" s="28" t="n">
        <v>0.546522</v>
      </c>
      <c r="P59" s="28" t="n"/>
      <c r="Q59" s="28" t="n">
        <v>-0.053478</v>
      </c>
      <c r="R59" s="26" t="n">
        <v>0</v>
      </c>
      <c r="S59" s="29" t="n">
        <v>1</v>
      </c>
      <c r="T59" s="24" t="inlineStr">
        <is>
          <t>kbo-tie-aware-elo-v2</t>
        </is>
      </c>
      <c r="U59" s="24" t="inlineStr">
        <is>
          <t>settled</t>
        </is>
      </c>
      <c r="V59" s="24" t="inlineStr">
        <is>
          <t>win</t>
        </is>
      </c>
      <c r="W59" s="26" t="n">
        <v>8</v>
      </c>
      <c r="X59" s="26" t="n">
        <v>6</v>
      </c>
      <c r="Y59" s="25" t="n"/>
      <c r="Z59" s="26" t="n"/>
      <c r="AA59" s="28" t="n"/>
      <c r="AB59" s="28" t="n"/>
      <c r="AC59" s="30" t="n">
        <v>0.6667</v>
      </c>
      <c r="AD59" s="24" t="inlineStr">
        <is>
          <t>2026-08-22T15:40:14.154576Z</t>
        </is>
      </c>
      <c r="AE59" s="31" t="inlineStr">
        <is>
          <t>Tie-aware Elo baseline; executable ask 0.6000 (market_slug=aec-kbo-ndc-sla-2026-08-22). Tie probability=0.0226.</t>
        </is>
      </c>
      <c r="AF59" s="31" t="inlineStr">
        <is>
          <t>Config-promoted international baseball baseline; gates enforced at log time.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paper_call</t>
        </is>
      </c>
      <c r="AL59" s="26" t="n">
        <v>4</v>
      </c>
      <c r="AM59" s="24" t="inlineStr">
        <is>
          <t>RESEARCH_OBSERVATION</t>
        </is>
      </c>
      <c r="AN59" s="24" t="inlineStr">
        <is>
          <t>CALL</t>
        </is>
      </c>
      <c r="AO59" s="24" t="inlineStr">
        <is>
          <t>PAPER_CALL_LOW_EDGE</t>
        </is>
      </c>
      <c r="AP59" s="24" t="inlineStr">
        <is>
          <t>Samsung Lions</t>
        </is>
      </c>
      <c r="AQ59" s="24" t="inlineStr">
        <is>
          <t>Samsung Lions</t>
        </is>
      </c>
      <c r="AR59" s="24" t="inlineStr">
        <is>
          <t>Samsung Lions</t>
        </is>
      </c>
      <c r="AS59" s="24" t="inlineStr">
        <is>
          <t>NC Dinos</t>
        </is>
      </c>
      <c r="AT59" s="24" t="inlineStr">
        <is>
          <t>NC Dinos</t>
        </is>
      </c>
      <c r="AU59" s="24" t="inlineStr">
        <is>
          <t>NC Dinos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c582f06e8f03952942500dda19a1ffa4a9117acced5e544f603746f99918b9eb</t>
        </is>
      </c>
      <c r="BB59" s="24" t="inlineStr">
        <is>
          <t>tie_aware_elo</t>
        </is>
      </c>
      <c r="BC59" s="24" t="inlineStr">
        <is>
          <t>kbo-tie-aware-elo-v2</t>
        </is>
      </c>
      <c r="BD59" s="24" t="inlineStr">
        <is>
          <t>c582f06e8f03952942500dda19a1ffa4a9117acced5e544f603746f99918b9eb</t>
        </is>
      </c>
      <c r="BE59" s="24" t="inlineStr">
        <is>
          <t>1</t>
        </is>
      </c>
      <c r="BF59" s="24" t="inlineStr">
        <is>
          <t>1</t>
        </is>
      </c>
      <c r="BG59" s="24" t="inlineStr">
        <is>
          <t>kbo-tie-aware-elo-v2</t>
        </is>
      </c>
      <c r="BH59" s="24" t="inlineStr">
        <is>
          <t>2026-08-22T09:16:16.699559Z</t>
        </is>
      </c>
      <c r="BI59" s="24" t="inlineStr">
        <is>
          <t>["same_event","same_team_same_day","same_league_same_day"]</t>
        </is>
      </c>
      <c r="BJ59" s="25" t="n"/>
      <c r="BK59" s="26" t="n">
        <v>-150</v>
      </c>
      <c r="BL59" s="27" t="n">
        <v>1.666667</v>
      </c>
      <c r="BM59" s="28" t="n">
        <v>0.6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inlineStr">
        <is>
          <t>False</t>
        </is>
      </c>
      <c r="CT59" s="24" t="n"/>
      <c r="CU59" s="24" t="n"/>
      <c r="CV59" s="24" t="n"/>
      <c r="CW59" s="24" t="n"/>
      <c r="CX59" s="24" t="n"/>
      <c r="CY59" s="24" t="n"/>
      <c r="CZ59" s="24" t="n"/>
      <c r="DA59" s="24" t="n"/>
      <c r="DB59" s="24" t="n"/>
      <c r="DC59" s="24" t="n"/>
      <c r="DD59" s="24" t="n"/>
      <c r="DE59" s="24" t="n"/>
      <c r="DF59" s="24" t="n"/>
      <c r="DG59" s="24" t="n"/>
      <c r="DH59" s="24" t="n"/>
      <c r="DI59" s="24" t="n"/>
      <c r="DJ59" s="24" t="inlineStr">
        <is>
          <t>0.6</t>
        </is>
      </c>
      <c r="DK59" s="24" t="n"/>
      <c r="DL59" s="24" t="n"/>
      <c r="DM59" s="24" t="n"/>
      <c r="DN59" s="24" t="n"/>
      <c r="DO59" s="24" t="n"/>
      <c r="DP59" s="24" t="n"/>
      <c r="DQ59" s="24" t="n"/>
    </row>
    <row r="60" ht="36" customHeight="1">
      <c r="A60" s="24" t="inlineStr">
        <is>
          <t>ed744fd478a244f2</t>
        </is>
      </c>
      <c r="B60" s="24" t="inlineStr">
        <is>
          <t>2026-08-22T09:16:17.241354Z</t>
        </is>
      </c>
      <c r="C60" s="24" t="inlineStr">
        <is>
          <t>2026-08-22T10:00:00Z</t>
        </is>
      </c>
      <c r="D60" s="24" t="inlineStr">
        <is>
          <t>86214</t>
        </is>
      </c>
      <c r="E60" s="24" t="inlineStr">
        <is>
          <t>KBO</t>
        </is>
      </c>
      <c r="F60" s="24" t="inlineStr">
        <is>
          <t>LG Twins</t>
        </is>
      </c>
      <c r="G60" s="24" t="inlineStr">
        <is>
          <t>Hanwha Eagles</t>
        </is>
      </c>
      <c r="H60" s="24" t="inlineStr">
        <is>
          <t>moneyline</t>
        </is>
      </c>
      <c r="I60" s="24" t="inlineStr">
        <is>
          <t>away</t>
        </is>
      </c>
      <c r="J60" s="25" t="n"/>
      <c r="K60" s="24" t="inlineStr">
        <is>
          <t>polymarket_us</t>
        </is>
      </c>
      <c r="L60" s="26" t="n">
        <v>-150</v>
      </c>
      <c r="M60" s="27" t="n">
        <v>1.666667</v>
      </c>
      <c r="N60" s="28" t="n">
        <v>0.6</v>
      </c>
      <c r="O60" s="28" t="n">
        <v>0.526589</v>
      </c>
      <c r="P60" s="28" t="n"/>
      <c r="Q60" s="28" t="n">
        <v>-0.073411</v>
      </c>
      <c r="R60" s="26" t="n">
        <v>0</v>
      </c>
      <c r="S60" s="29" t="n">
        <v>1</v>
      </c>
      <c r="T60" s="24" t="inlineStr">
        <is>
          <t>kbo-tie-aware-elo-v2</t>
        </is>
      </c>
      <c r="U60" s="24" t="inlineStr">
        <is>
          <t>settled</t>
        </is>
      </c>
      <c r="V60" s="24" t="inlineStr">
        <is>
          <t>push</t>
        </is>
      </c>
      <c r="W60" s="26" t="n"/>
      <c r="X60" s="26" t="n"/>
      <c r="Y60" s="25" t="n"/>
      <c r="Z60" s="26" t="n"/>
      <c r="AA60" s="28" t="n"/>
      <c r="AB60" s="28" t="n"/>
      <c r="AC60" s="30" t="n">
        <v>0</v>
      </c>
      <c r="AD60" s="24" t="inlineStr">
        <is>
          <t>2026-08-31T06:26:52.974927Z</t>
        </is>
      </c>
      <c r="AE60" s="31" t="inlineStr">
        <is>
          <t>Tie-aware Elo baseline; executable ask 0.6000 (market_slug=aec-kbo-hea-ltg-2026-08-22). Tie probability=0.0226.</t>
        </is>
      </c>
      <c r="AF60" s="31" t="inlineStr">
        <is>
          <t>Config-promoted international baseball baseline; gates enforced at log time.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paper_call</t>
        </is>
      </c>
      <c r="AL60" s="26" t="n">
        <v>4</v>
      </c>
      <c r="AM60" s="24" t="inlineStr">
        <is>
          <t>RESEARCH_OBSERVATION</t>
        </is>
      </c>
      <c r="AN60" s="24" t="inlineStr">
        <is>
          <t>CALL</t>
        </is>
      </c>
      <c r="AO60" s="24" t="inlineStr">
        <is>
          <t>PAPER_CALL_LOW_EDGE</t>
        </is>
      </c>
      <c r="AP60" s="24" t="inlineStr">
        <is>
          <t>LG Twins</t>
        </is>
      </c>
      <c r="AQ60" s="24" t="inlineStr">
        <is>
          <t>LG Twins</t>
        </is>
      </c>
      <c r="AR60" s="24" t="inlineStr">
        <is>
          <t>LG Twins</t>
        </is>
      </c>
      <c r="AS60" s="24" t="inlineStr">
        <is>
          <t>Hanwha Eagles</t>
        </is>
      </c>
      <c r="AT60" s="24" t="inlineStr">
        <is>
          <t>Hanwha Eagles</t>
        </is>
      </c>
      <c r="AU60" s="24" t="inlineStr">
        <is>
          <t>Hanwha Eagles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c582f06e8f03952942500dda19a1ffa4a9117acced5e544f603746f99918b9eb</t>
        </is>
      </c>
      <c r="BB60" s="24" t="inlineStr">
        <is>
          <t>tie_aware_elo</t>
        </is>
      </c>
      <c r="BC60" s="24" t="inlineStr">
        <is>
          <t>kbo-tie-aware-elo-v2</t>
        </is>
      </c>
      <c r="BD60" s="24" t="inlineStr">
        <is>
          <t>c582f06e8f03952942500dda19a1ffa4a9117acced5e544f603746f99918b9eb</t>
        </is>
      </c>
      <c r="BE60" s="24" t="inlineStr">
        <is>
          <t>1</t>
        </is>
      </c>
      <c r="BF60" s="24" t="inlineStr">
        <is>
          <t>1</t>
        </is>
      </c>
      <c r="BG60" s="24" t="inlineStr">
        <is>
          <t>kbo-tie-aware-elo-v2</t>
        </is>
      </c>
      <c r="BH60" s="24" t="inlineStr">
        <is>
          <t>2026-08-22T09:16:17.241291Z</t>
        </is>
      </c>
      <c r="BI60" s="24" t="inlineStr">
        <is>
          <t>["same_event","same_team_same_day","same_league_same_day"]</t>
        </is>
      </c>
      <c r="BJ60" s="25" t="n"/>
      <c r="BK60" s="26" t="n">
        <v>-150</v>
      </c>
      <c r="BL60" s="27" t="n">
        <v>1.666667</v>
      </c>
      <c r="BM60" s="28" t="n">
        <v>0.6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inlineStr">
        <is>
          <t>voided 2026-08-31: game never played on its slate date -- the official KBO source still lists LG @ HANWHA on 2026-08-22 with no score (postponed; makeup games are replayed under a new game_id on a new date), so no result for this contract can ever exist and the row would stay open forever.</t>
        </is>
      </c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inlineStr">
        <is>
          <t>False</t>
        </is>
      </c>
      <c r="CT60" s="24" t="n"/>
      <c r="CU60" s="24" t="n"/>
      <c r="CV60" s="24" t="n"/>
      <c r="CW60" s="24" t="n"/>
      <c r="CX60" s="24" t="n"/>
      <c r="CY60" s="24" t="n"/>
      <c r="CZ60" s="24" t="n"/>
      <c r="DA60" s="24" t="n"/>
      <c r="DB60" s="24" t="n"/>
      <c r="DC60" s="24" t="n"/>
      <c r="DD60" s="24" t="n"/>
      <c r="DE60" s="24" t="n"/>
      <c r="DF60" s="24" t="n"/>
      <c r="DG60" s="24" t="n"/>
      <c r="DH60" s="24" t="n"/>
      <c r="DI60" s="24" t="n"/>
      <c r="DJ60" s="24" t="inlineStr">
        <is>
          <t>0.6</t>
        </is>
      </c>
      <c r="DK60" s="24" t="n"/>
      <c r="DL60" s="24" t="n"/>
      <c r="DM60" s="24" t="n"/>
      <c r="DN60" s="24" t="n"/>
      <c r="DO60" s="24" t="n"/>
      <c r="DP60" s="24" t="n"/>
      <c r="DQ60" s="24" t="n"/>
    </row>
    <row r="61" ht="36" customHeight="1">
      <c r="A61" s="24" t="inlineStr">
        <is>
          <t>9618d5f3cb304ee7</t>
        </is>
      </c>
      <c r="B61" s="24" t="inlineStr">
        <is>
          <t>2026-08-23T08:37:24.980152Z</t>
        </is>
      </c>
      <c r="C61" s="24" t="inlineStr">
        <is>
          <t>2026-08-23T10:00:00Z</t>
        </is>
      </c>
      <c r="D61" s="24" t="inlineStr">
        <is>
          <t>87259</t>
        </is>
      </c>
      <c r="E61" s="24" t="inlineStr">
        <is>
          <t>KBO</t>
        </is>
      </c>
      <c r="F61" s="24" t="inlineStr">
        <is>
          <t>Lotte Giants</t>
        </is>
      </c>
      <c r="G61" s="24" t="inlineStr">
        <is>
          <t>Doosan Bears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-178</v>
      </c>
      <c r="M61" s="27" t="n">
        <v>1.561798</v>
      </c>
      <c r="N61" s="28" t="n">
        <v>0.640288</v>
      </c>
      <c r="O61" s="28" t="n">
        <v>0.531962</v>
      </c>
      <c r="P61" s="28" t="n"/>
      <c r="Q61" s="28" t="n">
        <v>-0.108326</v>
      </c>
      <c r="R61" s="26" t="n">
        <v>0</v>
      </c>
      <c r="S61" s="29" t="n">
        <v>1</v>
      </c>
      <c r="T61" s="24" t="inlineStr">
        <is>
          <t>kbo-tie-aware-elo-v2</t>
        </is>
      </c>
      <c r="U61" s="24" t="inlineStr">
        <is>
          <t>settled</t>
        </is>
      </c>
      <c r="V61" s="24" t="inlineStr">
        <is>
          <t>win</t>
        </is>
      </c>
      <c r="W61" s="26" t="n">
        <v>1</v>
      </c>
      <c r="X61" s="26" t="n">
        <v>3</v>
      </c>
      <c r="Y61" s="25" t="n"/>
      <c r="Z61" s="26" t="n"/>
      <c r="AA61" s="28" t="n"/>
      <c r="AB61" s="28" t="n"/>
      <c r="AC61" s="30" t="n">
        <v>0.5618</v>
      </c>
      <c r="AD61" s="24" t="inlineStr">
        <is>
          <t>2026-08-23T15:50:05.776019Z</t>
        </is>
      </c>
      <c r="AE61" s="31" t="inlineStr">
        <is>
          <t>Tie-aware Elo baseline; executable ask 0.6400 (market_slug=aec-kbo-dbo-lgo-2026-08-23). Tie probability=0.0226.</t>
        </is>
      </c>
      <c r="AF61" s="31" t="inlineStr">
        <is>
          <t>Config-promoted international baseball baseline; gates enforced at log time.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paper_call</t>
        </is>
      </c>
      <c r="AL61" s="26" t="n">
        <v>4</v>
      </c>
      <c r="AM61" s="24" t="inlineStr">
        <is>
          <t>RESEARCH_OBSERVATION</t>
        </is>
      </c>
      <c r="AN61" s="24" t="inlineStr">
        <is>
          <t>CALL</t>
        </is>
      </c>
      <c r="AO61" s="24" t="inlineStr">
        <is>
          <t>PAPER_CALL_LOW_EDGE</t>
        </is>
      </c>
      <c r="AP61" s="24" t="inlineStr">
        <is>
          <t>Lotte Giants</t>
        </is>
      </c>
      <c r="AQ61" s="24" t="inlineStr">
        <is>
          <t>Lotte Giants</t>
        </is>
      </c>
      <c r="AR61" s="24" t="inlineStr">
        <is>
          <t>Lotte Giants</t>
        </is>
      </c>
      <c r="AS61" s="24" t="inlineStr">
        <is>
          <t>Doosan Bears</t>
        </is>
      </c>
      <c r="AT61" s="24" t="inlineStr">
        <is>
          <t>Doosan Bears</t>
        </is>
      </c>
      <c r="AU61" s="24" t="inlineStr">
        <is>
          <t>Doosan Bears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5b220caee37f2f87f111cf8476f1c648b4bdc8d49eaf4c3e529d4587c4b984af</t>
        </is>
      </c>
      <c r="BB61" s="24" t="inlineStr">
        <is>
          <t>tie_aware_elo</t>
        </is>
      </c>
      <c r="BC61" s="24" t="inlineStr">
        <is>
          <t>kbo-tie-aware-elo-v2</t>
        </is>
      </c>
      <c r="BD61" s="24" t="inlineStr">
        <is>
          <t>5b220caee37f2f87f111cf8476f1c648b4bdc8d49eaf4c3e529d4587c4b984af</t>
        </is>
      </c>
      <c r="BE61" s="24" t="inlineStr">
        <is>
          <t>1</t>
        </is>
      </c>
      <c r="BF61" s="24" t="inlineStr">
        <is>
          <t>1</t>
        </is>
      </c>
      <c r="BG61" s="24" t="inlineStr">
        <is>
          <t>kbo-tie-aware-elo-v2</t>
        </is>
      </c>
      <c r="BH61" s="24" t="inlineStr">
        <is>
          <t>2026-08-23T08:37:24.585641Z</t>
        </is>
      </c>
      <c r="BI61" s="24" t="inlineStr">
        <is>
          <t>["same_event","same_team_same_day","same_league_same_day"]</t>
        </is>
      </c>
      <c r="BJ61" s="25" t="n"/>
      <c r="BK61" s="26" t="n">
        <v>-178</v>
      </c>
      <c r="BL61" s="27" t="n">
        <v>1.561798</v>
      </c>
      <c r="BM61" s="28" t="n">
        <v>0.640288</v>
      </c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inlineStr">
        <is>
          <t>False</t>
        </is>
      </c>
      <c r="CT61" s="24" t="n"/>
      <c r="CU61" s="24" t="n"/>
      <c r="CV61" s="24" t="n"/>
      <c r="CW61" s="24" t="n"/>
      <c r="CX61" s="24" t="n"/>
      <c r="CY61" s="24" t="n"/>
      <c r="CZ61" s="24" t="n"/>
      <c r="DA61" s="24" t="n"/>
      <c r="DB61" s="24" t="n"/>
      <c r="DC61" s="24" t="n"/>
      <c r="DD61" s="24" t="n"/>
      <c r="DE61" s="24" t="n"/>
      <c r="DF61" s="24" t="n"/>
      <c r="DG61" s="24" t="n"/>
      <c r="DH61" s="24" t="n"/>
      <c r="DI61" s="24" t="n"/>
      <c r="DJ61" s="24" t="inlineStr">
        <is>
          <t>0.640288</t>
        </is>
      </c>
      <c r="DK61" s="24" t="n"/>
      <c r="DL61" s="24" t="n"/>
      <c r="DM61" s="24" t="n"/>
      <c r="DN61" s="24" t="n"/>
      <c r="DO61" s="24" t="n"/>
      <c r="DP61" s="24" t="n"/>
      <c r="DQ61" s="24" t="n"/>
    </row>
    <row r="62" ht="36" customHeight="1">
      <c r="A62" s="24" t="inlineStr">
        <is>
          <t>5fa8193b20f84787</t>
        </is>
      </c>
      <c r="B62" s="24" t="inlineStr">
        <is>
          <t>2026-08-23T08:37:24.980152Z</t>
        </is>
      </c>
      <c r="C62" s="24" t="inlineStr">
        <is>
          <t>2026-08-23T10:00:00Z</t>
        </is>
      </c>
      <c r="D62" s="24" t="inlineStr">
        <is>
          <t>87260</t>
        </is>
      </c>
      <c r="E62" s="24" t="inlineStr">
        <is>
          <t>KBO</t>
        </is>
      </c>
      <c r="F62" s="24" t="inlineStr">
        <is>
          <t>KT Wiz</t>
        </is>
      </c>
      <c r="G62" s="24" t="inlineStr">
        <is>
          <t>SSG Landers</t>
        </is>
      </c>
      <c r="H62" s="24" t="inlineStr">
        <is>
          <t>moneyline</t>
        </is>
      </c>
      <c r="I62" s="24" t="inlineStr">
        <is>
          <t>away</t>
        </is>
      </c>
      <c r="J62" s="25" t="n"/>
      <c r="K62" s="24" t="inlineStr">
        <is>
          <t>polymarket_us</t>
        </is>
      </c>
      <c r="L62" s="26" t="n">
        <v>-127</v>
      </c>
      <c r="M62" s="27" t="n">
        <v>1.787402</v>
      </c>
      <c r="N62" s="28" t="n">
        <v>0.5594710000000001</v>
      </c>
      <c r="O62" s="28" t="n">
        <v>0.5933580000000001</v>
      </c>
      <c r="P62" s="28" t="n"/>
      <c r="Q62" s="28" t="n">
        <v>0.033887</v>
      </c>
      <c r="R62" s="26" t="n">
        <v>37</v>
      </c>
      <c r="S62" s="29" t="n">
        <v>1</v>
      </c>
      <c r="T62" s="24" t="inlineStr">
        <is>
          <t>kbo-tie-aware-elo-v2</t>
        </is>
      </c>
      <c r="U62" s="24" t="inlineStr">
        <is>
          <t>settled</t>
        </is>
      </c>
      <c r="V62" s="24" t="inlineStr">
        <is>
          <t>win</t>
        </is>
      </c>
      <c r="W62" s="26" t="n">
        <v>3</v>
      </c>
      <c r="X62" s="26" t="n">
        <v>1</v>
      </c>
      <c r="Y62" s="25" t="n"/>
      <c r="Z62" s="26" t="n"/>
      <c r="AA62" s="28" t="n"/>
      <c r="AB62" s="28" t="n"/>
      <c r="AC62" s="30" t="n">
        <v>0.7874</v>
      </c>
      <c r="AD62" s="24" t="inlineStr">
        <is>
          <t>2026-08-23T15:50:06.220105Z</t>
        </is>
      </c>
      <c r="AE62" s="31" t="inlineStr">
        <is>
          <t>Tie-aware Elo baseline; executable ask 0.5600 (market_slug=aec-kbo-sls-kwt-2026-08-23). Tie probability=0.0226.</t>
        </is>
      </c>
      <c r="AF62" s="31" t="inlineStr">
        <is>
          <t>Config-promoted international baseball baseline; gates enforced at log time.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paper_call</t>
        </is>
      </c>
      <c r="AL62" s="26" t="n">
        <v>4</v>
      </c>
      <c r="AM62" s="24" t="inlineStr">
        <is>
          <t>RESEARCH_OBSERVATION</t>
        </is>
      </c>
      <c r="AN62" s="24" t="inlineStr">
        <is>
          <t>CALL</t>
        </is>
      </c>
      <c r="AO62" s="24" t="inlineStr">
        <is>
          <t>PAPER_CALL_LOW_EDGE</t>
        </is>
      </c>
      <c r="AP62" s="24" t="inlineStr">
        <is>
          <t>KT Wiz</t>
        </is>
      </c>
      <c r="AQ62" s="24" t="inlineStr">
        <is>
          <t>KT Wiz</t>
        </is>
      </c>
      <c r="AR62" s="24" t="inlineStr">
        <is>
          <t>KT Wiz</t>
        </is>
      </c>
      <c r="AS62" s="24" t="inlineStr">
        <is>
          <t>SSG Landers</t>
        </is>
      </c>
      <c r="AT62" s="24" t="inlineStr">
        <is>
          <t>SSG Landers</t>
        </is>
      </c>
      <c r="AU62" s="24" t="inlineStr">
        <is>
          <t>SSG Landers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5b220caee37f2f87f111cf8476f1c648b4bdc8d49eaf4c3e529d4587c4b984af</t>
        </is>
      </c>
      <c r="BB62" s="24" t="inlineStr">
        <is>
          <t>tie_aware_elo</t>
        </is>
      </c>
      <c r="BC62" s="24" t="inlineStr">
        <is>
          <t>kbo-tie-aware-elo-v2</t>
        </is>
      </c>
      <c r="BD62" s="24" t="inlineStr">
        <is>
          <t>5b220caee37f2f87f111cf8476f1c648b4bdc8d49eaf4c3e529d4587c4b984af</t>
        </is>
      </c>
      <c r="BE62" s="24" t="inlineStr">
        <is>
          <t>1</t>
        </is>
      </c>
      <c r="BF62" s="24" t="inlineStr">
        <is>
          <t>1</t>
        </is>
      </c>
      <c r="BG62" s="24" t="inlineStr">
        <is>
          <t>kbo-tie-aware-elo-v2</t>
        </is>
      </c>
      <c r="BH62" s="24" t="inlineStr">
        <is>
          <t>2026-08-23T08:37:24.834381Z</t>
        </is>
      </c>
      <c r="BI62" s="24" t="inlineStr">
        <is>
          <t>["same_event","same_team_same_day","same_league_same_day"]</t>
        </is>
      </c>
      <c r="BJ62" s="25" t="n"/>
      <c r="BK62" s="26" t="n">
        <v>-127</v>
      </c>
      <c r="BL62" s="27" t="n">
        <v>1.787402</v>
      </c>
      <c r="BM62" s="28" t="n">
        <v>0.5594710000000001</v>
      </c>
      <c r="BN62" s="28" t="n"/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inlineStr">
        <is>
          <t>True</t>
        </is>
      </c>
      <c r="CT62" s="24" t="n"/>
      <c r="CU62" s="24" t="n"/>
      <c r="CV62" s="24" t="n"/>
      <c r="CW62" s="24" t="n"/>
      <c r="CX62" s="24" t="n"/>
      <c r="CY62" s="24" t="n"/>
      <c r="CZ62" s="24" t="n"/>
      <c r="DA62" s="24" t="n"/>
      <c r="DB62" s="24" t="n"/>
      <c r="DC62" s="24" t="n"/>
      <c r="DD62" s="24" t="n"/>
      <c r="DE62" s="24" t="n"/>
      <c r="DF62" s="24" t="n"/>
      <c r="DG62" s="24" t="n"/>
      <c r="DH62" s="24" t="n"/>
      <c r="DI62" s="24" t="n"/>
      <c r="DJ62" s="24" t="inlineStr">
        <is>
          <t>0.559471</t>
        </is>
      </c>
      <c r="DK62" s="24" t="n"/>
      <c r="DL62" s="24" t="n"/>
      <c r="DM62" s="24" t="n"/>
      <c r="DN62" s="24" t="n"/>
      <c r="DO62" s="24" t="n"/>
      <c r="DP62" s="24" t="n"/>
      <c r="DQ62" s="24" t="n"/>
    </row>
    <row r="63" ht="36" customHeight="1">
      <c r="A63" s="24" t="inlineStr">
        <is>
          <t>d604a24acc3a4a07</t>
        </is>
      </c>
      <c r="B63" s="24" t="inlineStr">
        <is>
          <t>2026-08-23T08:37:24.980152Z</t>
        </is>
      </c>
      <c r="C63" s="24" t="inlineStr">
        <is>
          <t>2026-08-23T10:00:00Z</t>
        </is>
      </c>
      <c r="D63" s="24" t="inlineStr">
        <is>
          <t>87261</t>
        </is>
      </c>
      <c r="E63" s="24" t="inlineStr">
        <is>
          <t>KBO</t>
        </is>
      </c>
      <c r="F63" s="24" t="inlineStr">
        <is>
          <t>Samsung Lions</t>
        </is>
      </c>
      <c r="G63" s="24" t="inlineStr">
        <is>
          <t>NC Dinos</t>
        </is>
      </c>
      <c r="H63" s="24" t="inlineStr">
        <is>
          <t>moneyline</t>
        </is>
      </c>
      <c r="I63" s="24" t="inlineStr">
        <is>
          <t>away</t>
        </is>
      </c>
      <c r="J63" s="25" t="n"/>
      <c r="K63" s="24" t="inlineStr">
        <is>
          <t>polymarket_us</t>
        </is>
      </c>
      <c r="L63" s="26" t="n">
        <v>-127</v>
      </c>
      <c r="M63" s="27" t="n">
        <v>1.787402</v>
      </c>
      <c r="N63" s="28" t="n">
        <v>0.5594710000000001</v>
      </c>
      <c r="O63" s="28" t="n">
        <v>0.556499</v>
      </c>
      <c r="P63" s="28" t="n"/>
      <c r="Q63" s="28" t="n">
        <v>-0.002972</v>
      </c>
      <c r="R63" s="26" t="n">
        <v>19</v>
      </c>
      <c r="S63" s="29" t="n">
        <v>1</v>
      </c>
      <c r="T63" s="24" t="inlineStr">
        <is>
          <t>kbo-tie-aware-elo-v2</t>
        </is>
      </c>
      <c r="U63" s="24" t="inlineStr">
        <is>
          <t>settled</t>
        </is>
      </c>
      <c r="V63" s="24" t="inlineStr">
        <is>
          <t>win</t>
        </is>
      </c>
      <c r="W63" s="26" t="n">
        <v>2</v>
      </c>
      <c r="X63" s="26" t="n">
        <v>1</v>
      </c>
      <c r="Y63" s="25" t="n"/>
      <c r="Z63" s="26" t="n"/>
      <c r="AA63" s="28" t="n"/>
      <c r="AB63" s="28" t="n"/>
      <c r="AC63" s="30" t="n">
        <v>0.7874</v>
      </c>
      <c r="AD63" s="24" t="inlineStr">
        <is>
          <t>2026-08-23T15:50:06.566509Z</t>
        </is>
      </c>
      <c r="AE63" s="31" t="inlineStr">
        <is>
          <t>Tie-aware Elo baseline; executable ask 0.5600 (market_slug=aec-kbo-ndc-sla-2026-08-23). Tie probability=0.0226.</t>
        </is>
      </c>
      <c r="AF63" s="31" t="inlineStr">
        <is>
          <t>Config-promoted international baseball baseline; gates enforced at log time.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paper_call</t>
        </is>
      </c>
      <c r="AL63" s="26" t="n">
        <v>4</v>
      </c>
      <c r="AM63" s="24" t="inlineStr">
        <is>
          <t>RESEARCH_OBSERVATION</t>
        </is>
      </c>
      <c r="AN63" s="24" t="inlineStr">
        <is>
          <t>CALL</t>
        </is>
      </c>
      <c r="AO63" s="24" t="inlineStr">
        <is>
          <t>PAPER_CALL_LOW_EDGE</t>
        </is>
      </c>
      <c r="AP63" s="24" t="inlineStr">
        <is>
          <t>Samsung Lions</t>
        </is>
      </c>
      <c r="AQ63" s="24" t="inlineStr">
        <is>
          <t>Samsung Lions</t>
        </is>
      </c>
      <c r="AR63" s="24" t="inlineStr">
        <is>
          <t>Samsung Lions</t>
        </is>
      </c>
      <c r="AS63" s="24" t="inlineStr">
        <is>
          <t>NC Dinos</t>
        </is>
      </c>
      <c r="AT63" s="24" t="inlineStr">
        <is>
          <t>NC Dinos</t>
        </is>
      </c>
      <c r="AU63" s="24" t="inlineStr">
        <is>
          <t>NC Dinos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5b220caee37f2f87f111cf8476f1c648b4bdc8d49eaf4c3e529d4587c4b984af</t>
        </is>
      </c>
      <c r="BB63" s="24" t="inlineStr">
        <is>
          <t>tie_aware_elo</t>
        </is>
      </c>
      <c r="BC63" s="24" t="inlineStr">
        <is>
          <t>kbo-tie-aware-elo-v2</t>
        </is>
      </c>
      <c r="BD63" s="24" t="inlineStr">
        <is>
          <t>5b220caee37f2f87f111cf8476f1c648b4bdc8d49eaf4c3e529d4587c4b984af</t>
        </is>
      </c>
      <c r="BE63" s="24" t="inlineStr">
        <is>
          <t>1</t>
        </is>
      </c>
      <c r="BF63" s="24" t="inlineStr">
        <is>
          <t>1</t>
        </is>
      </c>
      <c r="BG63" s="24" t="inlineStr">
        <is>
          <t>kbo-tie-aware-elo-v2</t>
        </is>
      </c>
      <c r="BH63" s="24" t="inlineStr">
        <is>
          <t>2026-08-23T08:37:24.907073Z</t>
        </is>
      </c>
      <c r="BI63" s="24" t="inlineStr">
        <is>
          <t>["same_event","same_team_same_day","same_league_same_day"]</t>
        </is>
      </c>
      <c r="BJ63" s="25" t="n"/>
      <c r="BK63" s="26" t="n">
        <v>-127</v>
      </c>
      <c r="BL63" s="27" t="n">
        <v>1.787402</v>
      </c>
      <c r="BM63" s="28" t="n">
        <v>0.5594710000000001</v>
      </c>
      <c r="BN63" s="28" t="n"/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inlineStr">
        <is>
          <t>False</t>
        </is>
      </c>
      <c r="CT63" s="24" t="n"/>
      <c r="CU63" s="24" t="n"/>
      <c r="CV63" s="24" t="n"/>
      <c r="CW63" s="24" t="n"/>
      <c r="CX63" s="24" t="n"/>
      <c r="CY63" s="24" t="n"/>
      <c r="CZ63" s="24" t="n"/>
      <c r="DA63" s="24" t="n"/>
      <c r="DB63" s="24" t="n"/>
      <c r="DC63" s="24" t="n"/>
      <c r="DD63" s="24" t="n"/>
      <c r="DE63" s="24" t="n"/>
      <c r="DF63" s="24" t="n"/>
      <c r="DG63" s="24" t="n"/>
      <c r="DH63" s="24" t="n"/>
      <c r="DI63" s="24" t="n"/>
      <c r="DJ63" s="24" t="inlineStr">
        <is>
          <t>0.559471</t>
        </is>
      </c>
      <c r="DK63" s="24" t="n"/>
      <c r="DL63" s="24" t="n"/>
      <c r="DM63" s="24" t="n"/>
      <c r="DN63" s="24" t="n"/>
      <c r="DO63" s="24" t="n"/>
      <c r="DP63" s="24" t="n"/>
      <c r="DQ63" s="24" t="n"/>
    </row>
    <row r="64" ht="36" customHeight="1">
      <c r="A64" s="24" t="inlineStr">
        <is>
          <t>86b2c2917ab64e9a</t>
        </is>
      </c>
      <c r="B64" s="24" t="inlineStr">
        <is>
          <t>2026-08-23T08:37:24.980152Z</t>
        </is>
      </c>
      <c r="C64" s="24" t="inlineStr">
        <is>
          <t>2026-08-23T10:00:00Z</t>
        </is>
      </c>
      <c r="D64" s="24" t="inlineStr">
        <is>
          <t>87262</t>
        </is>
      </c>
      <c r="E64" s="24" t="inlineStr">
        <is>
          <t>KBO</t>
        </is>
      </c>
      <c r="F64" s="24" t="inlineStr">
        <is>
          <t>LG Twins</t>
        </is>
      </c>
      <c r="G64" s="24" t="inlineStr">
        <is>
          <t>Hanwha Eagles</t>
        </is>
      </c>
      <c r="H64" s="24" t="inlineStr">
        <is>
          <t>moneyline</t>
        </is>
      </c>
      <c r="I64" s="24" t="inlineStr">
        <is>
          <t>away</t>
        </is>
      </c>
      <c r="J64" s="25" t="n"/>
      <c r="K64" s="24" t="inlineStr">
        <is>
          <t>polymarket_us</t>
        </is>
      </c>
      <c r="L64" s="26" t="n">
        <v>-144</v>
      </c>
      <c r="M64" s="27" t="n">
        <v>1.694444</v>
      </c>
      <c r="N64" s="28" t="n">
        <v>0.590164</v>
      </c>
      <c r="O64" s="28" t="n">
        <v>0.526536</v>
      </c>
      <c r="P64" s="28" t="n"/>
      <c r="Q64" s="28" t="n">
        <v>-0.063628</v>
      </c>
      <c r="R64" s="26" t="n">
        <v>0</v>
      </c>
      <c r="S64" s="29" t="n">
        <v>1</v>
      </c>
      <c r="T64" s="24" t="inlineStr">
        <is>
          <t>kbo-tie-aware-elo-v2</t>
        </is>
      </c>
      <c r="U64" s="24" t="inlineStr">
        <is>
          <t>settled</t>
        </is>
      </c>
      <c r="V64" s="24" t="inlineStr">
        <is>
          <t>win</t>
        </is>
      </c>
      <c r="W64" s="26" t="n">
        <v>12</v>
      </c>
      <c r="X64" s="26" t="n">
        <v>3</v>
      </c>
      <c r="Y64" s="25" t="n"/>
      <c r="Z64" s="26" t="n"/>
      <c r="AA64" s="28" t="n"/>
      <c r="AB64" s="28" t="n"/>
      <c r="AC64" s="30" t="n">
        <v>0.6944</v>
      </c>
      <c r="AD64" s="24" t="inlineStr">
        <is>
          <t>2026-08-23T15:50:06.980674Z</t>
        </is>
      </c>
      <c r="AE64" s="31" t="inlineStr">
        <is>
          <t>Tie-aware Elo baseline; executable ask 0.5900 (market_slug=aec-kbo-hea-ltg-2026-08-23). Tie probability=0.0226.</t>
        </is>
      </c>
      <c r="AF64" s="31" t="inlineStr">
        <is>
          <t>Config-promoted international baseball baseline; gates enforced at log time.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paper_call</t>
        </is>
      </c>
      <c r="AL64" s="26" t="n">
        <v>4</v>
      </c>
      <c r="AM64" s="24" t="inlineStr">
        <is>
          <t>RESEARCH_OBSERVATION</t>
        </is>
      </c>
      <c r="AN64" s="24" t="inlineStr">
        <is>
          <t>CALL</t>
        </is>
      </c>
      <c r="AO64" s="24" t="inlineStr">
        <is>
          <t>PAPER_CALL_LOW_EDGE</t>
        </is>
      </c>
      <c r="AP64" s="24" t="inlineStr">
        <is>
          <t>LG Twins</t>
        </is>
      </c>
      <c r="AQ64" s="24" t="inlineStr">
        <is>
          <t>LG Twins</t>
        </is>
      </c>
      <c r="AR64" s="24" t="inlineStr">
        <is>
          <t>LG Twins</t>
        </is>
      </c>
      <c r="AS64" s="24" t="inlineStr">
        <is>
          <t>Hanwha Eagles</t>
        </is>
      </c>
      <c r="AT64" s="24" t="inlineStr">
        <is>
          <t>Hanwha Eagles</t>
        </is>
      </c>
      <c r="AU64" s="24" t="inlineStr">
        <is>
          <t>Hanwha Eagles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5b220caee37f2f87f111cf8476f1c648b4bdc8d49eaf4c3e529d4587c4b984af</t>
        </is>
      </c>
      <c r="BB64" s="24" t="inlineStr">
        <is>
          <t>tie_aware_elo</t>
        </is>
      </c>
      <c r="BC64" s="24" t="inlineStr">
        <is>
          <t>kbo-tie-aware-elo-v2</t>
        </is>
      </c>
      <c r="BD64" s="24" t="inlineStr">
        <is>
          <t>5b220caee37f2f87f111cf8476f1c648b4bdc8d49eaf4c3e529d4587c4b984af</t>
        </is>
      </c>
      <c r="BE64" s="24" t="inlineStr">
        <is>
          <t>1</t>
        </is>
      </c>
      <c r="BF64" s="24" t="inlineStr">
        <is>
          <t>1</t>
        </is>
      </c>
      <c r="BG64" s="24" t="inlineStr">
        <is>
          <t>kbo-tie-aware-elo-v2</t>
        </is>
      </c>
      <c r="BH64" s="24" t="inlineStr">
        <is>
          <t>2026-08-23T08:37:24.980045Z</t>
        </is>
      </c>
      <c r="BI64" s="24" t="inlineStr">
        <is>
          <t>["same_event","same_team_same_day","same_league_same_day"]</t>
        </is>
      </c>
      <c r="BJ64" s="25" t="n"/>
      <c r="BK64" s="26" t="n">
        <v>-144</v>
      </c>
      <c r="BL64" s="27" t="n">
        <v>1.694444</v>
      </c>
      <c r="BM64" s="28" t="n">
        <v>0.590164</v>
      </c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inlineStr">
        <is>
          <t>False</t>
        </is>
      </c>
      <c r="CT64" s="24" t="n"/>
      <c r="CU64" s="24" t="n"/>
      <c r="CV64" s="24" t="n"/>
      <c r="CW64" s="24" t="n"/>
      <c r="CX64" s="24" t="n"/>
      <c r="CY64" s="24" t="n"/>
      <c r="CZ64" s="24" t="n"/>
      <c r="DA64" s="24" t="n"/>
      <c r="DB64" s="24" t="n"/>
      <c r="DC64" s="24" t="n"/>
      <c r="DD64" s="24" t="n"/>
      <c r="DE64" s="24" t="n"/>
      <c r="DF64" s="24" t="n"/>
      <c r="DG64" s="24" t="n"/>
      <c r="DH64" s="24" t="n"/>
      <c r="DI64" s="24" t="n"/>
      <c r="DJ64" s="24" t="inlineStr">
        <is>
          <t>0.590164</t>
        </is>
      </c>
      <c r="DK64" s="24" t="n"/>
      <c r="DL64" s="24" t="n"/>
      <c r="DM64" s="24" t="n"/>
      <c r="DN64" s="24" t="n"/>
      <c r="DO64" s="24" t="n"/>
      <c r="DP64" s="24" t="n"/>
      <c r="DQ64" s="24" t="n"/>
    </row>
    <row r="65" ht="36" customHeight="1">
      <c r="A65" s="24" t="inlineStr">
        <is>
          <t>481dcb3fdbdb4977</t>
        </is>
      </c>
      <c r="B65" s="24" t="inlineStr">
        <is>
          <t>2026-08-25T05:00:51.810879Z</t>
        </is>
      </c>
      <c r="C65" s="24" t="inlineStr">
        <is>
          <t>2026-08-25T09:30:00Z</t>
        </is>
      </c>
      <c r="D65" s="24" t="inlineStr">
        <is>
          <t>88605</t>
        </is>
      </c>
      <c r="E65" s="24" t="inlineStr">
        <is>
          <t>KBO</t>
        </is>
      </c>
      <c r="F65" s="24" t="inlineStr">
        <is>
          <t>Hanwha Eagles</t>
        </is>
      </c>
      <c r="G65" s="24" t="inlineStr">
        <is>
          <t>SSG Landers</t>
        </is>
      </c>
      <c r="H65" s="24" t="inlineStr">
        <is>
          <t>moneyline</t>
        </is>
      </c>
      <c r="I65" s="24" t="inlineStr">
        <is>
          <t>away</t>
        </is>
      </c>
      <c r="J65" s="25" t="n"/>
      <c r="K65" s="24" t="inlineStr">
        <is>
          <t>polymarket_us</t>
        </is>
      </c>
      <c r="L65" s="26" t="n">
        <v>-150</v>
      </c>
      <c r="M65" s="27" t="n">
        <v>1.666667</v>
      </c>
      <c r="N65" s="28" t="n">
        <v>0.6</v>
      </c>
      <c r="O65" s="28" t="n">
        <v>0.510032</v>
      </c>
      <c r="P65" s="28" t="n"/>
      <c r="Q65" s="28" t="n">
        <v>-0.08996800000000001</v>
      </c>
      <c r="R65" s="26" t="n">
        <v>0</v>
      </c>
      <c r="S65" s="29" t="n">
        <v>1</v>
      </c>
      <c r="T65" s="24" t="inlineStr">
        <is>
          <t>kbo-tie-aware-elo-v2</t>
        </is>
      </c>
      <c r="U65" s="24" t="inlineStr">
        <is>
          <t>settled</t>
        </is>
      </c>
      <c r="V65" s="24" t="inlineStr">
        <is>
          <t>loss</t>
        </is>
      </c>
      <c r="W65" s="26" t="n">
        <v>1</v>
      </c>
      <c r="X65" s="26" t="n">
        <v>7</v>
      </c>
      <c r="Y65" s="25" t="n"/>
      <c r="Z65" s="26" t="n"/>
      <c r="AA65" s="28" t="n"/>
      <c r="AB65" s="28" t="n"/>
      <c r="AC65" s="30" t="n">
        <v>-1</v>
      </c>
      <c r="AD65" s="24" t="inlineStr">
        <is>
          <t>2026-08-26T12:40:52.175762Z</t>
        </is>
      </c>
      <c r="AE65" s="31" t="inlineStr">
        <is>
          <t>Tie-aware Elo baseline; executable ask 0.6000 (market_slug=aec-kbo-sls-hea-2026-08-25). Tie probability=0.0225.</t>
        </is>
      </c>
      <c r="AF65" s="31" t="inlineStr">
        <is>
          <t>Config-promoted international baseball baseline; gates enforced at log time.</t>
        </is>
      </c>
      <c r="AG65" s="24" t="inlineStr">
        <is>
          <t>review_required</t>
        </is>
      </c>
      <c r="AH65" s="24" t="n"/>
      <c r="AI65" s="31" t="n"/>
      <c r="AJ65" s="31" t="n"/>
      <c r="AK65" s="24" t="inlineStr">
        <is>
          <t>paper_call</t>
        </is>
      </c>
      <c r="AL65" s="26" t="n">
        <v>4</v>
      </c>
      <c r="AM65" s="24" t="inlineStr">
        <is>
          <t>RESEARCH_OBSERVATION</t>
        </is>
      </c>
      <c r="AN65" s="24" t="inlineStr">
        <is>
          <t>CALL</t>
        </is>
      </c>
      <c r="AO65" s="24" t="inlineStr">
        <is>
          <t>PAPER_CALL_LOW_EDGE</t>
        </is>
      </c>
      <c r="AP65" s="24" t="inlineStr">
        <is>
          <t>Hanwha Eagles</t>
        </is>
      </c>
      <c r="AQ65" s="24" t="inlineStr">
        <is>
          <t>Hanwha Eagles</t>
        </is>
      </c>
      <c r="AR65" s="24" t="inlineStr">
        <is>
          <t>Hanwha Eagles</t>
        </is>
      </c>
      <c r="AS65" s="24" t="inlineStr">
        <is>
          <t>SSG Landers</t>
        </is>
      </c>
      <c r="AT65" s="24" t="inlineStr">
        <is>
          <t>SSG Landers</t>
        </is>
      </c>
      <c r="AU65" s="24" t="inlineStr">
        <is>
          <t>SSG Landers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eedd427a78e6169288bcc8787b65eeb13463cf8eaa7015c7bc1b9b106feb52d8</t>
        </is>
      </c>
      <c r="BB65" s="24" t="inlineStr">
        <is>
          <t>tie_aware_elo</t>
        </is>
      </c>
      <c r="BC65" s="24" t="inlineStr">
        <is>
          <t>kbo-tie-aware-elo-v2</t>
        </is>
      </c>
      <c r="BD65" s="24" t="inlineStr">
        <is>
          <t>eedd427a78e6169288bcc8787b65eeb13463cf8eaa7015c7bc1b9b106feb52d8</t>
        </is>
      </c>
      <c r="BE65" s="24" t="inlineStr">
        <is>
          <t>1</t>
        </is>
      </c>
      <c r="BF65" s="24" t="inlineStr">
        <is>
          <t>1</t>
        </is>
      </c>
      <c r="BG65" s="24" t="inlineStr">
        <is>
          <t>kbo-tie-aware-elo-v2</t>
        </is>
      </c>
      <c r="BH65" s="24" t="inlineStr">
        <is>
          <t>2026-08-25T05:00:51.218775Z</t>
        </is>
      </c>
      <c r="BI65" s="24" t="inlineStr">
        <is>
          <t>["same_event","same_team_same_day","same_league_same_day"]</t>
        </is>
      </c>
      <c r="BJ65" s="25" t="n"/>
      <c r="BK65" s="26" t="n">
        <v>-150</v>
      </c>
      <c r="BL65" s="27" t="n">
        <v>1.666667</v>
      </c>
      <c r="BM65" s="28" t="n">
        <v>0.6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inlineStr">
        <is>
          <t>False</t>
        </is>
      </c>
      <c r="CT65" s="24" t="n"/>
      <c r="CU65" s="24" t="n"/>
      <c r="CV65" s="24" t="n"/>
      <c r="CW65" s="24" t="n"/>
      <c r="CX65" s="24" t="n"/>
      <c r="CY65" s="24" t="n"/>
      <c r="CZ65" s="24" t="n"/>
      <c r="DA65" s="24" t="n"/>
      <c r="DB65" s="24" t="n"/>
      <c r="DC65" s="24" t="n"/>
      <c r="DD65" s="24" t="n"/>
      <c r="DE65" s="24" t="n"/>
      <c r="DF65" s="24" t="n"/>
      <c r="DG65" s="24" t="n"/>
      <c r="DH65" s="24" t="n"/>
      <c r="DI65" s="24" t="n"/>
      <c r="DJ65" s="24" t="inlineStr">
        <is>
          <t>0.6</t>
        </is>
      </c>
      <c r="DK65" s="24" t="n"/>
      <c r="DL65" s="24" t="n"/>
      <c r="DM65" s="24" t="n"/>
      <c r="DN65" s="24" t="n"/>
      <c r="DO65" s="24" t="n"/>
      <c r="DP65" s="24" t="n"/>
      <c r="DQ65" s="24" t="n"/>
    </row>
    <row r="66" ht="36" customHeight="1">
      <c r="A66" s="24" t="inlineStr">
        <is>
          <t>c74af3af3e054ba2</t>
        </is>
      </c>
      <c r="B66" s="24" t="inlineStr">
        <is>
          <t>2026-08-25T05:00:51.810879Z</t>
        </is>
      </c>
      <c r="C66" s="24" t="inlineStr">
        <is>
          <t>2026-08-25T10:00:00Z</t>
        </is>
      </c>
      <c r="D66" s="24" t="inlineStr">
        <is>
          <t>88626</t>
        </is>
      </c>
      <c r="E66" s="24" t="inlineStr">
        <is>
          <t>KBO</t>
        </is>
      </c>
      <c r="F66" s="24" t="inlineStr">
        <is>
          <t>NC Dinos</t>
        </is>
      </c>
      <c r="G66" s="24" t="inlineStr">
        <is>
          <t>LG Twins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-170</v>
      </c>
      <c r="M66" s="27" t="n">
        <v>1.588235</v>
      </c>
      <c r="N66" s="28" t="n">
        <v>0.62963</v>
      </c>
      <c r="O66" s="28" t="n">
        <v>0.524239</v>
      </c>
      <c r="P66" s="28" t="n"/>
      <c r="Q66" s="28" t="n">
        <v>-0.105391</v>
      </c>
      <c r="R66" s="26" t="n">
        <v>0</v>
      </c>
      <c r="S66" s="29" t="n">
        <v>1</v>
      </c>
      <c r="T66" s="24" t="inlineStr">
        <is>
          <t>kbo-tie-aware-elo-v2</t>
        </is>
      </c>
      <c r="U66" s="24" t="inlineStr">
        <is>
          <t>settled</t>
        </is>
      </c>
      <c r="V66" s="24" t="inlineStr">
        <is>
          <t>win</t>
        </is>
      </c>
      <c r="W66" s="26" t="n">
        <v>4</v>
      </c>
      <c r="X66" s="26" t="n">
        <v>5</v>
      </c>
      <c r="Y66" s="25" t="n"/>
      <c r="Z66" s="26" t="n"/>
      <c r="AA66" s="28" t="n"/>
      <c r="AB66" s="28" t="n"/>
      <c r="AC66" s="30" t="n">
        <v>0.5881999999999999</v>
      </c>
      <c r="AD66" s="24" t="inlineStr">
        <is>
          <t>2026-08-26T12:40:52.417537Z</t>
        </is>
      </c>
      <c r="AE66" s="31" t="inlineStr">
        <is>
          <t>Tie-aware Elo baseline; executable ask 0.6300 (market_slug=aec-kbo-ltg-ndc-2026-08-25). Tie probability=0.0225.</t>
        </is>
      </c>
      <c r="AF66" s="31" t="inlineStr">
        <is>
          <t>Config-promoted international baseball baseline; gates enforced at log time.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paper_call</t>
        </is>
      </c>
      <c r="AL66" s="26" t="n">
        <v>4</v>
      </c>
      <c r="AM66" s="24" t="inlineStr">
        <is>
          <t>RESEARCH_OBSERVATION</t>
        </is>
      </c>
      <c r="AN66" s="24" t="inlineStr">
        <is>
          <t>CALL</t>
        </is>
      </c>
      <c r="AO66" s="24" t="inlineStr">
        <is>
          <t>PAPER_CALL_LOW_EDGE</t>
        </is>
      </c>
      <c r="AP66" s="24" t="inlineStr">
        <is>
          <t>NC Dinos</t>
        </is>
      </c>
      <c r="AQ66" s="24" t="inlineStr">
        <is>
          <t>NC Dinos</t>
        </is>
      </c>
      <c r="AR66" s="24" t="inlineStr">
        <is>
          <t>NC Dinos</t>
        </is>
      </c>
      <c r="AS66" s="24" t="inlineStr">
        <is>
          <t>LG Twins</t>
        </is>
      </c>
      <c r="AT66" s="24" t="inlineStr">
        <is>
          <t>LG Twins</t>
        </is>
      </c>
      <c r="AU66" s="24" t="inlineStr">
        <is>
          <t>LG Twins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eedd427a78e6169288bcc8787b65eeb13463cf8eaa7015c7bc1b9b106feb52d8</t>
        </is>
      </c>
      <c r="BB66" s="24" t="inlineStr">
        <is>
          <t>tie_aware_elo</t>
        </is>
      </c>
      <c r="BC66" s="24" t="inlineStr">
        <is>
          <t>kbo-tie-aware-elo-v2</t>
        </is>
      </c>
      <c r="BD66" s="24" t="inlineStr">
        <is>
          <t>eedd427a78e6169288bcc8787b65eeb13463cf8eaa7015c7bc1b9b106feb52d8</t>
        </is>
      </c>
      <c r="BE66" s="24" t="inlineStr">
        <is>
          <t>1</t>
        </is>
      </c>
      <c r="BF66" s="24" t="inlineStr">
        <is>
          <t>1</t>
        </is>
      </c>
      <c r="BG66" s="24" t="inlineStr">
        <is>
          <t>kbo-tie-aware-elo-v2</t>
        </is>
      </c>
      <c r="BH66" s="24" t="inlineStr">
        <is>
          <t>2026-08-25T05:00:51.448792Z</t>
        </is>
      </c>
      <c r="BI66" s="24" t="inlineStr">
        <is>
          <t>["same_event","same_team_same_day","same_league_same_day"]</t>
        </is>
      </c>
      <c r="BJ66" s="25" t="n"/>
      <c r="BK66" s="26" t="n">
        <v>-170</v>
      </c>
      <c r="BL66" s="27" t="n">
        <v>1.588235</v>
      </c>
      <c r="BM66" s="28" t="n">
        <v>0.62963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inlineStr">
        <is>
          <t>False</t>
        </is>
      </c>
      <c r="CT66" s="24" t="n"/>
      <c r="CU66" s="24" t="n"/>
      <c r="CV66" s="24" t="n"/>
      <c r="CW66" s="24" t="n"/>
      <c r="CX66" s="24" t="n"/>
      <c r="CY66" s="24" t="n"/>
      <c r="CZ66" s="24" t="n"/>
      <c r="DA66" s="24" t="n"/>
      <c r="DB66" s="24" t="n"/>
      <c r="DC66" s="24" t="n"/>
      <c r="DD66" s="24" t="n"/>
      <c r="DE66" s="24" t="n"/>
      <c r="DF66" s="24" t="n"/>
      <c r="DG66" s="24" t="n"/>
      <c r="DH66" s="24" t="n"/>
      <c r="DI66" s="24" t="n"/>
      <c r="DJ66" s="24" t="inlineStr">
        <is>
          <t>0.62963</t>
        </is>
      </c>
      <c r="DK66" s="24" t="n"/>
      <c r="DL66" s="24" t="n"/>
      <c r="DM66" s="24" t="n"/>
      <c r="DN66" s="24" t="n"/>
      <c r="DO66" s="24" t="n"/>
      <c r="DP66" s="24" t="n"/>
      <c r="DQ66" s="24" t="n"/>
    </row>
    <row r="67" ht="36" customHeight="1">
      <c r="A67" s="24" t="inlineStr">
        <is>
          <t>d0892b3c0bf2489f</t>
        </is>
      </c>
      <c r="B67" s="24" t="inlineStr">
        <is>
          <t>2026-08-25T05:00:51.810879Z</t>
        </is>
      </c>
      <c r="C67" s="24" t="inlineStr">
        <is>
          <t>2026-08-25T10:00:00Z</t>
        </is>
      </c>
      <c r="D67" s="24" t="inlineStr">
        <is>
          <t>88627</t>
        </is>
      </c>
      <c r="E67" s="24" t="inlineStr">
        <is>
          <t>KBO</t>
        </is>
      </c>
      <c r="F67" s="24" t="inlineStr">
        <is>
          <t>Doosan Bears</t>
        </is>
      </c>
      <c r="G67" s="24" t="inlineStr">
        <is>
          <t>KT Wiz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-138</v>
      </c>
      <c r="M67" s="27" t="n">
        <v>1.724638</v>
      </c>
      <c r="N67" s="28" t="n">
        <v>0.579832</v>
      </c>
      <c r="O67" s="28" t="n">
        <v>0.530164</v>
      </c>
      <c r="P67" s="28" t="n"/>
      <c r="Q67" s="28" t="n">
        <v>-0.049668</v>
      </c>
      <c r="R67" s="26" t="n">
        <v>0</v>
      </c>
      <c r="S67" s="29" t="n">
        <v>1</v>
      </c>
      <c r="T67" s="24" t="inlineStr">
        <is>
          <t>kbo-tie-aware-elo-v2</t>
        </is>
      </c>
      <c r="U67" s="24" t="inlineStr">
        <is>
          <t>settled</t>
        </is>
      </c>
      <c r="V67" s="24" t="inlineStr">
        <is>
          <t>loss</t>
        </is>
      </c>
      <c r="W67" s="26" t="n">
        <v>3</v>
      </c>
      <c r="X67" s="26" t="n">
        <v>1</v>
      </c>
      <c r="Y67" s="25" t="n"/>
      <c r="Z67" s="26" t="n"/>
      <c r="AA67" s="28" t="n"/>
      <c r="AB67" s="28" t="n"/>
      <c r="AC67" s="30" t="n">
        <v>-1</v>
      </c>
      <c r="AD67" s="24" t="inlineStr">
        <is>
          <t>2026-08-26T12:40:52.655304Z</t>
        </is>
      </c>
      <c r="AE67" s="31" t="inlineStr">
        <is>
          <t>Tie-aware Elo baseline; executable ask 0.5800 (market_slug=aec-kbo-kwt-dbo-2026-08-25). Tie probability=0.0225.</t>
        </is>
      </c>
      <c r="AF67" s="31" t="inlineStr">
        <is>
          <t>Config-promoted international baseball baseline; gates enforced at log time.</t>
        </is>
      </c>
      <c r="AG67" s="24" t="inlineStr">
        <is>
          <t>review_required</t>
        </is>
      </c>
      <c r="AH67" s="24" t="n"/>
      <c r="AI67" s="31" t="n"/>
      <c r="AJ67" s="31" t="n"/>
      <c r="AK67" s="24" t="inlineStr">
        <is>
          <t>paper_call</t>
        </is>
      </c>
      <c r="AL67" s="26" t="n">
        <v>4</v>
      </c>
      <c r="AM67" s="24" t="inlineStr">
        <is>
          <t>RESEARCH_OBSERVATION</t>
        </is>
      </c>
      <c r="AN67" s="24" t="inlineStr">
        <is>
          <t>CALL</t>
        </is>
      </c>
      <c r="AO67" s="24" t="inlineStr">
        <is>
          <t>PAPER_CALL_LOW_EDGE</t>
        </is>
      </c>
      <c r="AP67" s="24" t="inlineStr">
        <is>
          <t>Doosan Bears</t>
        </is>
      </c>
      <c r="AQ67" s="24" t="inlineStr">
        <is>
          <t>Doosan Bears</t>
        </is>
      </c>
      <c r="AR67" s="24" t="inlineStr">
        <is>
          <t>Doosan Bears</t>
        </is>
      </c>
      <c r="AS67" s="24" t="inlineStr">
        <is>
          <t>KT Wiz</t>
        </is>
      </c>
      <c r="AT67" s="24" t="inlineStr">
        <is>
          <t>KT Wiz</t>
        </is>
      </c>
      <c r="AU67" s="24" t="inlineStr">
        <is>
          <t>KT Wiz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eedd427a78e6169288bcc8787b65eeb13463cf8eaa7015c7bc1b9b106feb52d8</t>
        </is>
      </c>
      <c r="BB67" s="24" t="inlineStr">
        <is>
          <t>tie_aware_elo</t>
        </is>
      </c>
      <c r="BC67" s="24" t="inlineStr">
        <is>
          <t>kbo-tie-aware-elo-v2</t>
        </is>
      </c>
      <c r="BD67" s="24" t="inlineStr">
        <is>
          <t>eedd427a78e6169288bcc8787b65eeb13463cf8eaa7015c7bc1b9b106feb52d8</t>
        </is>
      </c>
      <c r="BE67" s="24" t="inlineStr">
        <is>
          <t>1</t>
        </is>
      </c>
      <c r="BF67" s="24" t="inlineStr">
        <is>
          <t>1</t>
        </is>
      </c>
      <c r="BG67" s="24" t="inlineStr">
        <is>
          <t>kbo-tie-aware-elo-v2</t>
        </is>
      </c>
      <c r="BH67" s="24" t="inlineStr">
        <is>
          <t>2026-08-25T05:00:51.651246Z</t>
        </is>
      </c>
      <c r="BI67" s="24" t="inlineStr">
        <is>
          <t>["same_event","same_team_same_day","same_league_same_day"]</t>
        </is>
      </c>
      <c r="BJ67" s="25" t="n"/>
      <c r="BK67" s="26" t="n">
        <v>-138</v>
      </c>
      <c r="BL67" s="27" t="n">
        <v>1.724638</v>
      </c>
      <c r="BM67" s="28" t="n">
        <v>0.579832</v>
      </c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inlineStr">
        <is>
          <t>False</t>
        </is>
      </c>
      <c r="CT67" s="24" t="n"/>
      <c r="CU67" s="24" t="n"/>
      <c r="CV67" s="24" t="n"/>
      <c r="CW67" s="24" t="n"/>
      <c r="CX67" s="24" t="n"/>
      <c r="CY67" s="24" t="n"/>
      <c r="CZ67" s="24" t="n"/>
      <c r="DA67" s="24" t="n"/>
      <c r="DB67" s="24" t="n"/>
      <c r="DC67" s="24" t="n"/>
      <c r="DD67" s="24" t="n"/>
      <c r="DE67" s="24" t="n"/>
      <c r="DF67" s="24" t="n"/>
      <c r="DG67" s="24" t="n"/>
      <c r="DH67" s="24" t="n"/>
      <c r="DI67" s="24" t="n"/>
      <c r="DJ67" s="24" t="inlineStr">
        <is>
          <t>0.579832</t>
        </is>
      </c>
      <c r="DK67" s="24" t="n"/>
      <c r="DL67" s="24" t="n"/>
      <c r="DM67" s="24" t="n"/>
      <c r="DN67" s="24" t="n"/>
      <c r="DO67" s="24" t="n"/>
      <c r="DP67" s="24" t="n"/>
      <c r="DQ67" s="24" t="n"/>
    </row>
    <row r="68" ht="36" customHeight="1">
      <c r="A68" s="24" t="inlineStr">
        <is>
          <t>2b793c41b6934747</t>
        </is>
      </c>
      <c r="B68" s="24" t="inlineStr">
        <is>
          <t>2026-08-25T05:00:51.810879Z</t>
        </is>
      </c>
      <c r="C68" s="24" t="inlineStr">
        <is>
          <t>2026-08-25T10:00:00Z</t>
        </is>
      </c>
      <c r="D68" s="24" t="inlineStr">
        <is>
          <t>88628</t>
        </is>
      </c>
      <c r="E68" s="24" t="inlineStr">
        <is>
          <t>KBO</t>
        </is>
      </c>
      <c r="F68" s="24" t="inlineStr">
        <is>
          <t>Lotte Giants</t>
        </is>
      </c>
      <c r="G68" s="24" t="inlineStr">
        <is>
          <t>Kia Tigers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-113</v>
      </c>
      <c r="M68" s="27" t="n">
        <v>1.884956</v>
      </c>
      <c r="N68" s="28" t="n">
        <v>0.530516</v>
      </c>
      <c r="O68" s="28" t="n">
        <v>0.534243</v>
      </c>
      <c r="P68" s="28" t="n"/>
      <c r="Q68" s="28" t="n">
        <v>0.003727</v>
      </c>
      <c r="R68" s="26" t="n">
        <v>22</v>
      </c>
      <c r="S68" s="29" t="n">
        <v>1</v>
      </c>
      <c r="T68" s="24" t="inlineStr">
        <is>
          <t>kbo-tie-aware-elo-v2</t>
        </is>
      </c>
      <c r="U68" s="24" t="inlineStr">
        <is>
          <t>settled</t>
        </is>
      </c>
      <c r="V68" s="24" t="inlineStr">
        <is>
          <t>win</t>
        </is>
      </c>
      <c r="W68" s="26" t="n">
        <v>5</v>
      </c>
      <c r="X68" s="26" t="n">
        <v>8</v>
      </c>
      <c r="Y68" s="25" t="n"/>
      <c r="Z68" s="26" t="n"/>
      <c r="AA68" s="28" t="n"/>
      <c r="AB68" s="28" t="n"/>
      <c r="AC68" s="30" t="n">
        <v>0.885</v>
      </c>
      <c r="AD68" s="24" t="inlineStr">
        <is>
          <t>2026-08-26T12:40:52.890509Z</t>
        </is>
      </c>
      <c r="AE68" s="31" t="inlineStr">
        <is>
          <t>Tie-aware Elo baseline; executable ask 0.5300 (market_slug=aec-kbo-kti-lgo-2026-08-25). Tie probability=0.0225.</t>
        </is>
      </c>
      <c r="AF68" s="31" t="inlineStr">
        <is>
          <t>Config-promoted international baseball baseline; gates enforced at log time.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paper_call</t>
        </is>
      </c>
      <c r="AL68" s="26" t="n">
        <v>4</v>
      </c>
      <c r="AM68" s="24" t="inlineStr">
        <is>
          <t>RESEARCH_OBSERVATION</t>
        </is>
      </c>
      <c r="AN68" s="24" t="inlineStr">
        <is>
          <t>CALL</t>
        </is>
      </c>
      <c r="AO68" s="24" t="inlineStr">
        <is>
          <t>PAPER_CALL_LOW_EDGE</t>
        </is>
      </c>
      <c r="AP68" s="24" t="inlineStr">
        <is>
          <t>Lotte Giants</t>
        </is>
      </c>
      <c r="AQ68" s="24" t="inlineStr">
        <is>
          <t>Lotte Giants</t>
        </is>
      </c>
      <c r="AR68" s="24" t="inlineStr">
        <is>
          <t>Lotte Giants</t>
        </is>
      </c>
      <c r="AS68" s="24" t="inlineStr">
        <is>
          <t>Kia Tigers</t>
        </is>
      </c>
      <c r="AT68" s="24" t="inlineStr">
        <is>
          <t>Kia Tigers</t>
        </is>
      </c>
      <c r="AU68" s="24" t="inlineStr">
        <is>
          <t>Kia Tigers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eedd427a78e6169288bcc8787b65eeb13463cf8eaa7015c7bc1b9b106feb52d8</t>
        </is>
      </c>
      <c r="BB68" s="24" t="inlineStr">
        <is>
          <t>tie_aware_elo</t>
        </is>
      </c>
      <c r="BC68" s="24" t="inlineStr">
        <is>
          <t>kbo-tie-aware-elo-v2</t>
        </is>
      </c>
      <c r="BD68" s="24" t="inlineStr">
        <is>
          <t>eedd427a78e6169288bcc8787b65eeb13463cf8eaa7015c7bc1b9b106feb52d8</t>
        </is>
      </c>
      <c r="BE68" s="24" t="inlineStr">
        <is>
          <t>1</t>
        </is>
      </c>
      <c r="BF68" s="24" t="inlineStr">
        <is>
          <t>1</t>
        </is>
      </c>
      <c r="BG68" s="24" t="inlineStr">
        <is>
          <t>kbo-tie-aware-elo-v2</t>
        </is>
      </c>
      <c r="BH68" s="24" t="inlineStr">
        <is>
          <t>2026-08-25T05:00:51.723596Z</t>
        </is>
      </c>
      <c r="BI68" s="24" t="inlineStr">
        <is>
          <t>["same_event","same_team_same_day","same_league_same_day"]</t>
        </is>
      </c>
      <c r="BJ68" s="25" t="n"/>
      <c r="BK68" s="26" t="n">
        <v>-113</v>
      </c>
      <c r="BL68" s="27" t="n">
        <v>1.884956</v>
      </c>
      <c r="BM68" s="28" t="n">
        <v>0.530516</v>
      </c>
      <c r="BN68" s="28" t="n"/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inlineStr">
        <is>
          <t>True</t>
        </is>
      </c>
      <c r="CT68" s="24" t="n"/>
      <c r="CU68" s="24" t="n"/>
      <c r="CV68" s="24" t="n"/>
      <c r="CW68" s="24" t="n"/>
      <c r="CX68" s="24" t="n"/>
      <c r="CY68" s="24" t="n"/>
      <c r="CZ68" s="24" t="n"/>
      <c r="DA68" s="24" t="n"/>
      <c r="DB68" s="24" t="n"/>
      <c r="DC68" s="24" t="n"/>
      <c r="DD68" s="24" t="n"/>
      <c r="DE68" s="24" t="n"/>
      <c r="DF68" s="24" t="n"/>
      <c r="DG68" s="24" t="n"/>
      <c r="DH68" s="24" t="n"/>
      <c r="DI68" s="24" t="n"/>
      <c r="DJ68" s="24" t="inlineStr">
        <is>
          <t>0.530516</t>
        </is>
      </c>
      <c r="DK68" s="24" t="n"/>
      <c r="DL68" s="24" t="n"/>
      <c r="DM68" s="24" t="n"/>
      <c r="DN68" s="24" t="n"/>
      <c r="DO68" s="24" t="n"/>
      <c r="DP68" s="24" t="n"/>
      <c r="DQ68" s="24" t="n"/>
    </row>
    <row r="69" ht="36" customHeight="1">
      <c r="A69" s="24" t="inlineStr">
        <is>
          <t>72c54fd679144c9e</t>
        </is>
      </c>
      <c r="B69" s="24" t="inlineStr">
        <is>
          <t>2026-08-25T05:00:51.810879Z</t>
        </is>
      </c>
      <c r="C69" s="24" t="inlineStr">
        <is>
          <t>2026-08-25T10:00:00Z</t>
        </is>
      </c>
      <c r="D69" s="24" t="inlineStr">
        <is>
          <t>88629</t>
        </is>
      </c>
      <c r="E69" s="24" t="inlineStr">
        <is>
          <t>KBO</t>
        </is>
      </c>
      <c r="F69" s="24" t="inlineStr">
        <is>
          <t>Samsung Lions</t>
        </is>
      </c>
      <c r="G69" s="24" t="inlineStr">
        <is>
          <t>Kiwoom Heroes</t>
        </is>
      </c>
      <c r="H69" s="24" t="inlineStr">
        <is>
          <t>moneyline</t>
        </is>
      </c>
      <c r="I69" s="24" t="inlineStr">
        <is>
          <t>away</t>
        </is>
      </c>
      <c r="J69" s="25" t="n"/>
      <c r="K69" s="24" t="inlineStr">
        <is>
          <t>polymarket_us</t>
        </is>
      </c>
      <c r="L69" s="26" t="n">
        <v>-150</v>
      </c>
      <c r="M69" s="27" t="n">
        <v>1.666667</v>
      </c>
      <c r="N69" s="28" t="n">
        <v>0.6</v>
      </c>
      <c r="O69" s="28" t="n">
        <v>0.618422</v>
      </c>
      <c r="P69" s="28" t="n"/>
      <c r="Q69" s="28" t="n">
        <v>0.018422</v>
      </c>
      <c r="R69" s="26" t="n">
        <v>29</v>
      </c>
      <c r="S69" s="29" t="n">
        <v>1</v>
      </c>
      <c r="T69" s="24" t="inlineStr">
        <is>
          <t>kbo-tie-aware-elo-v2</t>
        </is>
      </c>
      <c r="U69" s="24" t="inlineStr">
        <is>
          <t>settled</t>
        </is>
      </c>
      <c r="V69" s="24" t="inlineStr">
        <is>
          <t>push</t>
        </is>
      </c>
      <c r="W69" s="26" t="n">
        <v>3</v>
      </c>
      <c r="X69" s="26" t="n">
        <v>3</v>
      </c>
      <c r="Y69" s="25" t="n"/>
      <c r="Z69" s="26" t="n"/>
      <c r="AA69" s="28" t="n"/>
      <c r="AB69" s="28" t="n"/>
      <c r="AC69" s="30" t="n">
        <v>-0.1667</v>
      </c>
      <c r="AD69" s="24" t="inlineStr">
        <is>
          <t>2026-08-26T12:40:53.127633Z</t>
        </is>
      </c>
      <c r="AE69" s="31" t="inlineStr">
        <is>
          <t>Tie-aware Elo baseline; executable ask 0.6000 (market_slug=aec-kbo-khi-sla-2026-08-25). Tie probability=0.0225.</t>
        </is>
      </c>
      <c r="AF69" s="31" t="inlineStr">
        <is>
          <t>Config-promoted international baseball baseline; gates enforced at log time.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paper_call</t>
        </is>
      </c>
      <c r="AL69" s="26" t="n">
        <v>4</v>
      </c>
      <c r="AM69" s="24" t="inlineStr">
        <is>
          <t>RESEARCH_OBSERVATION</t>
        </is>
      </c>
      <c r="AN69" s="24" t="inlineStr">
        <is>
          <t>CALL</t>
        </is>
      </c>
      <c r="AO69" s="24" t="inlineStr">
        <is>
          <t>PAPER_CALL_LOW_EDGE</t>
        </is>
      </c>
      <c r="AP69" s="24" t="inlineStr">
        <is>
          <t>Samsung Lions</t>
        </is>
      </c>
      <c r="AQ69" s="24" t="inlineStr">
        <is>
          <t>Samsung Lions</t>
        </is>
      </c>
      <c r="AR69" s="24" t="inlineStr">
        <is>
          <t>Samsung Lions</t>
        </is>
      </c>
      <c r="AS69" s="24" t="inlineStr">
        <is>
          <t>Kiwoom Heroes</t>
        </is>
      </c>
      <c r="AT69" s="24" t="inlineStr">
        <is>
          <t>Kiwoom Heroes</t>
        </is>
      </c>
      <c r="AU69" s="24" t="inlineStr">
        <is>
          <t>Kiwoom Heroes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eedd427a78e6169288bcc8787b65eeb13463cf8eaa7015c7bc1b9b106feb52d8</t>
        </is>
      </c>
      <c r="BB69" s="24" t="inlineStr">
        <is>
          <t>tie_aware_elo</t>
        </is>
      </c>
      <c r="BC69" s="24" t="inlineStr">
        <is>
          <t>kbo-tie-aware-elo-v2</t>
        </is>
      </c>
      <c r="BD69" s="24" t="inlineStr">
        <is>
          <t>eedd427a78e6169288bcc8787b65eeb13463cf8eaa7015c7bc1b9b106feb52d8</t>
        </is>
      </c>
      <c r="BE69" s="24" t="inlineStr">
        <is>
          <t>1</t>
        </is>
      </c>
      <c r="BF69" s="24" t="inlineStr">
        <is>
          <t>1</t>
        </is>
      </c>
      <c r="BG69" s="24" t="inlineStr">
        <is>
          <t>kbo-tie-aware-elo-v2</t>
        </is>
      </c>
      <c r="BH69" s="24" t="inlineStr">
        <is>
          <t>2026-08-25T05:00:51.810831Z</t>
        </is>
      </c>
      <c r="BI69" s="24" t="inlineStr">
        <is>
          <t>["same_event","same_team_same_day","same_league_same_day"]</t>
        </is>
      </c>
      <c r="BJ69" s="25" t="n"/>
      <c r="BK69" s="26" t="n">
        <v>-150</v>
      </c>
      <c r="BL69" s="27" t="n">
        <v>1.666667</v>
      </c>
      <c r="BM69" s="28" t="n">
        <v>0.6</v>
      </c>
      <c r="BN69" s="28" t="n"/>
      <c r="BO69" s="28" t="n"/>
      <c r="BP69" s="25" t="n"/>
      <c r="BQ69" s="27" t="n"/>
      <c r="BR69" s="28" t="n"/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True</t>
        </is>
      </c>
      <c r="CT69" s="24" t="n"/>
      <c r="CU69" s="24" t="n"/>
      <c r="CV69" s="24" t="n"/>
      <c r="CW69" s="24" t="n"/>
      <c r="CX69" s="24" t="n"/>
      <c r="CY69" s="24" t="n"/>
      <c r="CZ69" s="24" t="n"/>
      <c r="DA69" s="24" t="n"/>
      <c r="DB69" s="24" t="n"/>
      <c r="DC69" s="24" t="n"/>
      <c r="DD69" s="24" t="n"/>
      <c r="DE69" s="24" t="n"/>
      <c r="DF69" s="24" t="n"/>
      <c r="DG69" s="24" t="n"/>
      <c r="DH69" s="24" t="n"/>
      <c r="DI69" s="24" t="n"/>
      <c r="DJ69" s="24" t="inlineStr">
        <is>
          <t>0.6</t>
        </is>
      </c>
      <c r="DK69" s="24" t="n"/>
      <c r="DL69" s="24" t="n"/>
      <c r="DM69" s="24" t="n"/>
      <c r="DN69" s="24" t="n"/>
      <c r="DO69" s="24" t="n"/>
      <c r="DP69" s="24" t="n"/>
      <c r="DQ69" s="24" t="n"/>
    </row>
    <row r="70" ht="36" customHeight="1">
      <c r="A70" s="24" t="inlineStr">
        <is>
          <t>c4bc28a1502a46f6</t>
        </is>
      </c>
      <c r="B70" s="24" t="inlineStr">
        <is>
          <t>2026-08-27T00:44:21.641991Z</t>
        </is>
      </c>
      <c r="C70" s="24" t="inlineStr">
        <is>
          <t>2026-08-27T10:00:00Z</t>
        </is>
      </c>
      <c r="D70" s="24" t="inlineStr">
        <is>
          <t>90818</t>
        </is>
      </c>
      <c r="E70" s="24" t="inlineStr">
        <is>
          <t>KBO</t>
        </is>
      </c>
      <c r="F70" s="24" t="inlineStr">
        <is>
          <t>NC Dinos</t>
        </is>
      </c>
      <c r="G70" s="24" t="inlineStr">
        <is>
          <t>LG Twins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-122</v>
      </c>
      <c r="M70" s="27" t="n">
        <v>1.819672</v>
      </c>
      <c r="N70" s="28" t="n">
        <v>0.54955</v>
      </c>
      <c r="O70" s="28" t="n">
        <v>0.574102</v>
      </c>
      <c r="P70" s="28" t="n"/>
      <c r="Q70" s="28" t="n">
        <v>0.024552</v>
      </c>
      <c r="R70" s="26" t="n">
        <v>32</v>
      </c>
      <c r="S70" s="29" t="n">
        <v>1</v>
      </c>
      <c r="T70" s="24" t="inlineStr">
        <is>
          <t>kbo-tie-aware-elo-v2</t>
        </is>
      </c>
      <c r="U70" s="24" t="inlineStr">
        <is>
          <t>settled</t>
        </is>
      </c>
      <c r="V70" s="24" t="inlineStr">
        <is>
          <t>loss</t>
        </is>
      </c>
      <c r="W70" s="26" t="n">
        <v>13</v>
      </c>
      <c r="X70" s="26" t="n">
        <v>3</v>
      </c>
      <c r="Y70" s="25" t="n"/>
      <c r="Z70" s="26" t="n"/>
      <c r="AA70" s="28" t="n"/>
      <c r="AB70" s="28" t="n"/>
      <c r="AC70" s="30" t="n">
        <v>-1</v>
      </c>
      <c r="AD70" s="24" t="inlineStr">
        <is>
          <t>2026-08-27T13:55:44.811855Z</t>
        </is>
      </c>
      <c r="AE70" s="31" t="inlineStr">
        <is>
          <t>Tie-aware Elo baseline; executable ask 0.5500 (market_slug=aec-kbo-ltg-ndc-2026-08-27). Tie probability=0.0226.</t>
        </is>
      </c>
      <c r="AF70" s="31" t="inlineStr">
        <is>
          <t>Config-promoted international baseball baseline; gates enforced at log time.</t>
        </is>
      </c>
      <c r="AG70" s="24" t="inlineStr">
        <is>
          <t>review_required</t>
        </is>
      </c>
      <c r="AH70" s="24" t="n"/>
      <c r="AI70" s="31" t="n"/>
      <c r="AJ70" s="31" t="n"/>
      <c r="AK70" s="24" t="inlineStr">
        <is>
          <t>paper_call</t>
        </is>
      </c>
      <c r="AL70" s="26" t="n">
        <v>4</v>
      </c>
      <c r="AM70" s="24" t="inlineStr">
        <is>
          <t>RESEARCH_OBSERVATION</t>
        </is>
      </c>
      <c r="AN70" s="24" t="inlineStr">
        <is>
          <t>CALL</t>
        </is>
      </c>
      <c r="AO70" s="24" t="inlineStr">
        <is>
          <t>PAPER_CALL_LOW_EDGE</t>
        </is>
      </c>
      <c r="AP70" s="24" t="inlineStr">
        <is>
          <t>NC Dinos</t>
        </is>
      </c>
      <c r="AQ70" s="24" t="inlineStr">
        <is>
          <t>NC Dinos</t>
        </is>
      </c>
      <c r="AR70" s="24" t="inlineStr">
        <is>
          <t>NC Dinos</t>
        </is>
      </c>
      <c r="AS70" s="24" t="inlineStr">
        <is>
          <t>LG Twins</t>
        </is>
      </c>
      <c r="AT70" s="24" t="inlineStr">
        <is>
          <t>LG Twins</t>
        </is>
      </c>
      <c r="AU70" s="24" t="inlineStr">
        <is>
          <t>LG Twins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ee2fd7240aa243d222c7c70ca01d51160b295b616636ddde643545871f4be3f5</t>
        </is>
      </c>
      <c r="BB70" s="24" t="inlineStr">
        <is>
          <t>tie_aware_elo</t>
        </is>
      </c>
      <c r="BC70" s="24" t="inlineStr">
        <is>
          <t>kbo-tie-aware-elo-v2</t>
        </is>
      </c>
      <c r="BD70" s="24" t="inlineStr">
        <is>
          <t>ee2fd7240aa243d222c7c70ca01d51160b295b616636ddde643545871f4be3f5</t>
        </is>
      </c>
      <c r="BE70" s="24" t="inlineStr">
        <is>
          <t>1</t>
        </is>
      </c>
      <c r="BF70" s="24" t="inlineStr">
        <is>
          <t>1</t>
        </is>
      </c>
      <c r="BG70" s="24" t="inlineStr">
        <is>
          <t>kbo-tie-aware-elo-v2</t>
        </is>
      </c>
      <c r="BH70" s="24" t="inlineStr">
        <is>
          <t>2026-08-27T00:44:20.656084Z</t>
        </is>
      </c>
      <c r="BI70" s="24" t="inlineStr">
        <is>
          <t>["same_event","same_team_same_day","same_league_same_day"]</t>
        </is>
      </c>
      <c r="BJ70" s="25" t="n"/>
      <c r="BK70" s="26" t="n">
        <v>-122</v>
      </c>
      <c r="BL70" s="27" t="n">
        <v>1.819672</v>
      </c>
      <c r="BM70" s="28" t="n">
        <v>0.54955</v>
      </c>
      <c r="BN70" s="28" t="n"/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True</t>
        </is>
      </c>
      <c r="CT70" s="24" t="n"/>
      <c r="CU70" s="24" t="n"/>
      <c r="CV70" s="24" t="n"/>
      <c r="CW70" s="24" t="n"/>
      <c r="CX70" s="24" t="n"/>
      <c r="CY70" s="24" t="n"/>
      <c r="CZ70" s="24" t="n"/>
      <c r="DA70" s="24" t="n"/>
      <c r="DB70" s="24" t="n"/>
      <c r="DC70" s="24" t="n"/>
      <c r="DD70" s="24" t="n"/>
      <c r="DE70" s="24" t="n"/>
      <c r="DF70" s="24" t="n"/>
      <c r="DG70" s="24" t="n"/>
      <c r="DH70" s="24" t="n"/>
      <c r="DI70" s="24" t="n"/>
      <c r="DJ70" s="24" t="inlineStr">
        <is>
          <t>0.54955</t>
        </is>
      </c>
      <c r="DK70" s="24" t="n"/>
      <c r="DL70" s="24" t="n"/>
      <c r="DM70" s="24" t="n"/>
      <c r="DN70" s="24" t="n"/>
      <c r="DO70" s="24" t="n"/>
      <c r="DP70" s="24" t="n"/>
      <c r="DQ70" s="24" t="n"/>
    </row>
    <row r="71" ht="36" customHeight="1">
      <c r="A71" s="24" t="inlineStr">
        <is>
          <t>2c87e7b92906459a</t>
        </is>
      </c>
      <c r="B71" s="24" t="inlineStr">
        <is>
          <t>2026-08-27T00:44:21.641991Z</t>
        </is>
      </c>
      <c r="C71" s="24" t="inlineStr">
        <is>
          <t>2026-08-27T10:00:00Z</t>
        </is>
      </c>
      <c r="D71" s="24" t="inlineStr">
        <is>
          <t>90819</t>
        </is>
      </c>
      <c r="E71" s="24" t="inlineStr">
        <is>
          <t>KBO</t>
        </is>
      </c>
      <c r="F71" s="24" t="inlineStr">
        <is>
          <t>Hanwha Eagles</t>
        </is>
      </c>
      <c r="G71" s="24" t="inlineStr">
        <is>
          <t>SSG Landers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144</v>
      </c>
      <c r="M71" s="27" t="n">
        <v>2.44</v>
      </c>
      <c r="N71" s="28" t="n">
        <v>0.409836</v>
      </c>
      <c r="O71" s="28" t="n">
        <v>0.540615</v>
      </c>
      <c r="P71" s="28" t="n"/>
      <c r="Q71" s="28" t="n">
        <v>0.130779</v>
      </c>
      <c r="R71" s="26" t="n">
        <v>85</v>
      </c>
      <c r="S71" s="29" t="n">
        <v>1.5</v>
      </c>
      <c r="T71" s="24" t="inlineStr">
        <is>
          <t>kbo-tie-aware-elo-v2</t>
        </is>
      </c>
      <c r="U71" s="24" t="inlineStr">
        <is>
          <t>settled</t>
        </is>
      </c>
      <c r="V71" s="24" t="inlineStr">
        <is>
          <t>win</t>
        </is>
      </c>
      <c r="W71" s="26" t="n">
        <v>6</v>
      </c>
      <c r="X71" s="26" t="n">
        <v>13</v>
      </c>
      <c r="Y71" s="25" t="n"/>
      <c r="Z71" s="26" t="n"/>
      <c r="AA71" s="28" t="n"/>
      <c r="AB71" s="28" t="n"/>
      <c r="AC71" s="30" t="n">
        <v>2.16</v>
      </c>
      <c r="AD71" s="24" t="inlineStr">
        <is>
          <t>2026-08-27T13:55:45.155596Z</t>
        </is>
      </c>
      <c r="AE71" s="31" t="inlineStr">
        <is>
          <t>Tie-aware Elo baseline; executable ask 0.4100 (market_slug=aec-kbo-sls-hea-2026-08-27). Tie probability=0.0226.</t>
        </is>
      </c>
      <c r="AF71" s="31" t="inlineStr">
        <is>
          <t>Config-promoted international baseball baseline; gates enforced at log time.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paper_call</t>
        </is>
      </c>
      <c r="AL71" s="26" t="n">
        <v>4</v>
      </c>
      <c r="AM71" s="24" t="inlineStr">
        <is>
          <t>RESEARCH_OBSERVATION</t>
        </is>
      </c>
      <c r="AN71" s="24" t="inlineStr">
        <is>
          <t>CALL</t>
        </is>
      </c>
      <c r="AO71" s="24" t="inlineStr">
        <is>
          <t>PAPER_CALL_LOW_EDGE</t>
        </is>
      </c>
      <c r="AP71" s="24" t="inlineStr">
        <is>
          <t>Hanwha Eagles</t>
        </is>
      </c>
      <c r="AQ71" s="24" t="inlineStr">
        <is>
          <t>Hanwha Eagles</t>
        </is>
      </c>
      <c r="AR71" s="24" t="inlineStr">
        <is>
          <t>Hanwha Eagles</t>
        </is>
      </c>
      <c r="AS71" s="24" t="inlineStr">
        <is>
          <t>SSG Landers</t>
        </is>
      </c>
      <c r="AT71" s="24" t="inlineStr">
        <is>
          <t>SSG Landers</t>
        </is>
      </c>
      <c r="AU71" s="24" t="inlineStr">
        <is>
          <t>SSG Landers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ee2fd7240aa243d222c7c70ca01d51160b295b616636ddde643545871f4be3f5</t>
        </is>
      </c>
      <c r="BB71" s="24" t="inlineStr">
        <is>
          <t>tie_aware_elo</t>
        </is>
      </c>
      <c r="BC71" s="24" t="inlineStr">
        <is>
          <t>kbo-tie-aware-elo-v2</t>
        </is>
      </c>
      <c r="BD71" s="24" t="inlineStr">
        <is>
          <t>ee2fd7240aa243d222c7c70ca01d51160b295b616636ddde643545871f4be3f5</t>
        </is>
      </c>
      <c r="BE71" s="24" t="inlineStr">
        <is>
          <t>1</t>
        </is>
      </c>
      <c r="BF71" s="24" t="inlineStr">
        <is>
          <t>1</t>
        </is>
      </c>
      <c r="BG71" s="24" t="inlineStr">
        <is>
          <t>kbo-tie-aware-elo-v2</t>
        </is>
      </c>
      <c r="BH71" s="24" t="inlineStr">
        <is>
          <t>2026-08-27T00:44:21.139675Z</t>
        </is>
      </c>
      <c r="BI71" s="24" t="inlineStr">
        <is>
          <t>["same_event","same_team_same_day","same_league_same_day"]</t>
        </is>
      </c>
      <c r="BJ71" s="25" t="n"/>
      <c r="BK71" s="26" t="n">
        <v>144</v>
      </c>
      <c r="BL71" s="27" t="n">
        <v>2.44</v>
      </c>
      <c r="BM71" s="28" t="n">
        <v>0.409836</v>
      </c>
      <c r="BN71" s="28" t="n"/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inlineStr">
        <is>
          <t>True</t>
        </is>
      </c>
      <c r="CT71" s="24" t="n"/>
      <c r="CU71" s="24" t="n"/>
      <c r="CV71" s="24" t="n"/>
      <c r="CW71" s="24" t="n"/>
      <c r="CX71" s="24" t="n"/>
      <c r="CY71" s="24" t="n"/>
      <c r="CZ71" s="24" t="n"/>
      <c r="DA71" s="24" t="n"/>
      <c r="DB71" s="24" t="n"/>
      <c r="DC71" s="24" t="n"/>
      <c r="DD71" s="24" t="n"/>
      <c r="DE71" s="24" t="n"/>
      <c r="DF71" s="24" t="n"/>
      <c r="DG71" s="24" t="n"/>
      <c r="DH71" s="24" t="n"/>
      <c r="DI71" s="24" t="n"/>
      <c r="DJ71" s="24" t="inlineStr">
        <is>
          <t>0.409836</t>
        </is>
      </c>
      <c r="DK71" s="24" t="n"/>
      <c r="DL71" s="24" t="n"/>
      <c r="DM71" s="24" t="n"/>
      <c r="DN71" s="24" t="n"/>
      <c r="DO71" s="24" t="n"/>
      <c r="DP71" s="24" t="n"/>
      <c r="DQ71" s="24" t="n"/>
    </row>
    <row r="72" ht="36" customHeight="1">
      <c r="A72" s="24" t="inlineStr">
        <is>
          <t>8e2dd1941c9e4b9c</t>
        </is>
      </c>
      <c r="B72" s="24" t="inlineStr">
        <is>
          <t>2026-08-27T00:44:21.641991Z</t>
        </is>
      </c>
      <c r="C72" s="24" t="inlineStr">
        <is>
          <t>2026-08-27T10:00:00Z</t>
        </is>
      </c>
      <c r="D72" s="24" t="inlineStr">
        <is>
          <t>90820</t>
        </is>
      </c>
      <c r="E72" s="24" t="inlineStr">
        <is>
          <t>KBO</t>
        </is>
      </c>
      <c r="F72" s="24" t="inlineStr">
        <is>
          <t>Doosan Bears</t>
        </is>
      </c>
      <c r="G72" s="24" t="inlineStr">
        <is>
          <t>KT Wiz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-178</v>
      </c>
      <c r="M72" s="27" t="n">
        <v>1.561798</v>
      </c>
      <c r="N72" s="28" t="n">
        <v>0.640288</v>
      </c>
      <c r="O72" s="28" t="n">
        <v>0.556758</v>
      </c>
      <c r="P72" s="28" t="n"/>
      <c r="Q72" s="28" t="n">
        <v>-0.08352999999999999</v>
      </c>
      <c r="R72" s="26" t="n">
        <v>0</v>
      </c>
      <c r="S72" s="29" t="n">
        <v>1</v>
      </c>
      <c r="T72" s="24" t="inlineStr">
        <is>
          <t>kbo-tie-aware-elo-v2</t>
        </is>
      </c>
      <c r="U72" s="24" t="inlineStr">
        <is>
          <t>settled</t>
        </is>
      </c>
      <c r="V72" s="24" t="inlineStr">
        <is>
          <t>win</t>
        </is>
      </c>
      <c r="W72" s="26" t="n">
        <v>4</v>
      </c>
      <c r="X72" s="26" t="n">
        <v>5</v>
      </c>
      <c r="Y72" s="25" t="n"/>
      <c r="Z72" s="26" t="n"/>
      <c r="AA72" s="28" t="n"/>
      <c r="AB72" s="28" t="n"/>
      <c r="AC72" s="30" t="n">
        <v>0.5618</v>
      </c>
      <c r="AD72" s="24" t="inlineStr">
        <is>
          <t>2026-08-27T13:55:45.532206Z</t>
        </is>
      </c>
      <c r="AE72" s="31" t="inlineStr">
        <is>
          <t>Tie-aware Elo baseline; executable ask 0.6400 (market_slug=aec-kbo-kwt-dbo-2026-08-27). Tie probability=0.0226.</t>
        </is>
      </c>
      <c r="AF72" s="31" t="inlineStr">
        <is>
          <t>Config-promoted international baseball baseline; gates enforced at log time.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paper_call</t>
        </is>
      </c>
      <c r="AL72" s="26" t="n">
        <v>4</v>
      </c>
      <c r="AM72" s="24" t="inlineStr">
        <is>
          <t>RESEARCH_OBSERVATION</t>
        </is>
      </c>
      <c r="AN72" s="24" t="inlineStr">
        <is>
          <t>CALL</t>
        </is>
      </c>
      <c r="AO72" s="24" t="inlineStr">
        <is>
          <t>PAPER_CALL_LOW_EDGE</t>
        </is>
      </c>
      <c r="AP72" s="24" t="inlineStr">
        <is>
          <t>Doosan Bears</t>
        </is>
      </c>
      <c r="AQ72" s="24" t="inlineStr">
        <is>
          <t>Doosan Bears</t>
        </is>
      </c>
      <c r="AR72" s="24" t="inlineStr">
        <is>
          <t>Doosan Bears</t>
        </is>
      </c>
      <c r="AS72" s="24" t="inlineStr">
        <is>
          <t>KT Wiz</t>
        </is>
      </c>
      <c r="AT72" s="24" t="inlineStr">
        <is>
          <t>KT Wiz</t>
        </is>
      </c>
      <c r="AU72" s="24" t="inlineStr">
        <is>
          <t>KT Wiz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ee2fd7240aa243d222c7c70ca01d51160b295b616636ddde643545871f4be3f5</t>
        </is>
      </c>
      <c r="BB72" s="24" t="inlineStr">
        <is>
          <t>tie_aware_elo</t>
        </is>
      </c>
      <c r="BC72" s="24" t="inlineStr">
        <is>
          <t>kbo-tie-aware-elo-v2</t>
        </is>
      </c>
      <c r="BD72" s="24" t="inlineStr">
        <is>
          <t>ee2fd7240aa243d222c7c70ca01d51160b295b616636ddde643545871f4be3f5</t>
        </is>
      </c>
      <c r="BE72" s="24" t="inlineStr">
        <is>
          <t>1</t>
        </is>
      </c>
      <c r="BF72" s="24" t="inlineStr">
        <is>
          <t>1</t>
        </is>
      </c>
      <c r="BG72" s="24" t="inlineStr">
        <is>
          <t>kbo-tie-aware-elo-v2</t>
        </is>
      </c>
      <c r="BH72" s="24" t="inlineStr">
        <is>
          <t>2026-08-27T00:44:21.454945Z</t>
        </is>
      </c>
      <c r="BI72" s="24" t="inlineStr">
        <is>
          <t>["same_event","same_team_same_day","same_league_same_day"]</t>
        </is>
      </c>
      <c r="BJ72" s="25" t="n"/>
      <c r="BK72" s="26" t="n">
        <v>-178</v>
      </c>
      <c r="BL72" s="27" t="n">
        <v>1.561798</v>
      </c>
      <c r="BM72" s="28" t="n">
        <v>0.640288</v>
      </c>
      <c r="BN72" s="28" t="n"/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inlineStr">
        <is>
          <t>False</t>
        </is>
      </c>
      <c r="CT72" s="24" t="n"/>
      <c r="CU72" s="24" t="n"/>
      <c r="CV72" s="24" t="n"/>
      <c r="CW72" s="24" t="n"/>
      <c r="CX72" s="24" t="n"/>
      <c r="CY72" s="24" t="n"/>
      <c r="CZ72" s="24" t="n"/>
      <c r="DA72" s="24" t="n"/>
      <c r="DB72" s="24" t="n"/>
      <c r="DC72" s="24" t="n"/>
      <c r="DD72" s="24" t="n"/>
      <c r="DE72" s="24" t="n"/>
      <c r="DF72" s="24" t="n"/>
      <c r="DG72" s="24" t="n"/>
      <c r="DH72" s="24" t="n"/>
      <c r="DI72" s="24" t="n"/>
      <c r="DJ72" s="24" t="inlineStr">
        <is>
          <t>0.640288</t>
        </is>
      </c>
      <c r="DK72" s="24" t="n"/>
      <c r="DL72" s="24" t="n"/>
      <c r="DM72" s="24" t="n"/>
      <c r="DN72" s="24" t="n"/>
      <c r="DO72" s="24" t="n"/>
      <c r="DP72" s="24" t="n"/>
      <c r="DQ72" s="24" t="n"/>
    </row>
    <row r="73" ht="36" customHeight="1">
      <c r="A73" s="24" t="inlineStr">
        <is>
          <t>99e34553a0404225</t>
        </is>
      </c>
      <c r="B73" s="24" t="inlineStr">
        <is>
          <t>2026-08-27T00:44:21.641991Z</t>
        </is>
      </c>
      <c r="C73" s="24" t="inlineStr">
        <is>
          <t>2026-08-27T10:00:00Z</t>
        </is>
      </c>
      <c r="D73" s="24" t="inlineStr">
        <is>
          <t>90822</t>
        </is>
      </c>
      <c r="E73" s="24" t="inlineStr">
        <is>
          <t>KBO</t>
        </is>
      </c>
      <c r="F73" s="24" t="inlineStr">
        <is>
          <t>Lotte Giants</t>
        </is>
      </c>
      <c r="G73" s="24" t="inlineStr">
        <is>
          <t>Kia Tigers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-150</v>
      </c>
      <c r="M73" s="27" t="n">
        <v>1.666667</v>
      </c>
      <c r="N73" s="28" t="n">
        <v>0.6</v>
      </c>
      <c r="O73" s="28" t="n">
        <v>0.58206</v>
      </c>
      <c r="P73" s="28" t="n"/>
      <c r="Q73" s="28" t="n">
        <v>-0.01794</v>
      </c>
      <c r="R73" s="26" t="n">
        <v>11</v>
      </c>
      <c r="S73" s="29" t="n">
        <v>1</v>
      </c>
      <c r="T73" s="24" t="inlineStr">
        <is>
          <t>kbo-tie-aware-elo-v2</t>
        </is>
      </c>
      <c r="U73" s="24" t="inlineStr">
        <is>
          <t>settled</t>
        </is>
      </c>
      <c r="V73" s="24" t="inlineStr">
        <is>
          <t>push</t>
        </is>
      </c>
      <c r="W73" s="26" t="n"/>
      <c r="X73" s="26" t="n"/>
      <c r="Y73" s="25" t="n"/>
      <c r="Z73" s="26" t="n"/>
      <c r="AA73" s="28" t="n"/>
      <c r="AB73" s="28" t="n"/>
      <c r="AC73" s="30" t="n">
        <v>0</v>
      </c>
      <c r="AD73" s="24" t="inlineStr">
        <is>
          <t>2026-08-31T06:26:53.202936Z</t>
        </is>
      </c>
      <c r="AE73" s="31" t="inlineStr">
        <is>
          <t>Tie-aware Elo baseline; executable ask 0.6000 (market_slug=aec-kbo-kti-lgo-2026-08-27). Tie probability=0.0226.</t>
        </is>
      </c>
      <c r="AF73" s="31" t="inlineStr">
        <is>
          <t>Config-promoted international baseball baseline; gates enforced at log time.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paper_call</t>
        </is>
      </c>
      <c r="AL73" s="26" t="n">
        <v>4</v>
      </c>
      <c r="AM73" s="24" t="inlineStr">
        <is>
          <t>RESEARCH_OBSERVATION</t>
        </is>
      </c>
      <c r="AN73" s="24" t="inlineStr">
        <is>
          <t>CALL</t>
        </is>
      </c>
      <c r="AO73" s="24" t="inlineStr">
        <is>
          <t>PAPER_CALL_LOW_EDGE</t>
        </is>
      </c>
      <c r="AP73" s="24" t="inlineStr">
        <is>
          <t>Lotte Giants</t>
        </is>
      </c>
      <c r="AQ73" s="24" t="inlineStr">
        <is>
          <t>Lotte Giants</t>
        </is>
      </c>
      <c r="AR73" s="24" t="inlineStr">
        <is>
          <t>Lotte Giants</t>
        </is>
      </c>
      <c r="AS73" s="24" t="inlineStr">
        <is>
          <t>Kia Tigers</t>
        </is>
      </c>
      <c r="AT73" s="24" t="inlineStr">
        <is>
          <t>Kia Tigers</t>
        </is>
      </c>
      <c r="AU73" s="24" t="inlineStr">
        <is>
          <t>Kia Tigers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ee2fd7240aa243d222c7c70ca01d51160b295b616636ddde643545871f4be3f5</t>
        </is>
      </c>
      <c r="BB73" s="24" t="inlineStr">
        <is>
          <t>tie_aware_elo</t>
        </is>
      </c>
      <c r="BC73" s="24" t="inlineStr">
        <is>
          <t>kbo-tie-aware-elo-v2</t>
        </is>
      </c>
      <c r="BD73" s="24" t="inlineStr">
        <is>
          <t>ee2fd7240aa243d222c7c70ca01d51160b295b616636ddde643545871f4be3f5</t>
        </is>
      </c>
      <c r="BE73" s="24" t="inlineStr">
        <is>
          <t>1</t>
        </is>
      </c>
      <c r="BF73" s="24" t="inlineStr">
        <is>
          <t>1</t>
        </is>
      </c>
      <c r="BG73" s="24" t="inlineStr">
        <is>
          <t>kbo-tie-aware-elo-v2</t>
        </is>
      </c>
      <c r="BH73" s="24" t="inlineStr">
        <is>
          <t>2026-08-27T00:44:21.555707Z</t>
        </is>
      </c>
      <c r="BI73" s="24" t="inlineStr">
        <is>
          <t>["same_event","same_team_same_day","same_league_same_day"]</t>
        </is>
      </c>
      <c r="BJ73" s="25" t="n"/>
      <c r="BK73" s="26" t="n">
        <v>-150</v>
      </c>
      <c r="BL73" s="27" t="n">
        <v>1.666667</v>
      </c>
      <c r="BM73" s="28" t="n">
        <v>0.6</v>
      </c>
      <c r="BN73" s="28" t="n"/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inlineStr">
        <is>
          <t>voided 2026-08-31: game never played on its slate date -- the official KBO source still lists LOTTE @ KIA on 2026-08-27 with no score (postponed; makeup games are replayed under a new game_id on a new date), so no result for this contract can ever exist and the row would stay open forever.</t>
        </is>
      </c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inlineStr">
        <is>
          <t>False</t>
        </is>
      </c>
      <c r="CT73" s="24" t="n"/>
      <c r="CU73" s="24" t="n"/>
      <c r="CV73" s="24" t="n"/>
      <c r="CW73" s="24" t="n"/>
      <c r="CX73" s="24" t="n"/>
      <c r="CY73" s="24" t="n"/>
      <c r="CZ73" s="24" t="n"/>
      <c r="DA73" s="24" t="n"/>
      <c r="DB73" s="24" t="n"/>
      <c r="DC73" s="24" t="n"/>
      <c r="DD73" s="24" t="n"/>
      <c r="DE73" s="24" t="n"/>
      <c r="DF73" s="24" t="n"/>
      <c r="DG73" s="24" t="n"/>
      <c r="DH73" s="24" t="n"/>
      <c r="DI73" s="24" t="n"/>
      <c r="DJ73" s="24" t="inlineStr">
        <is>
          <t>0.6</t>
        </is>
      </c>
      <c r="DK73" s="24" t="n"/>
      <c r="DL73" s="24" t="n"/>
      <c r="DM73" s="24" t="n"/>
      <c r="DN73" s="24" t="n"/>
      <c r="DO73" s="24" t="n"/>
      <c r="DP73" s="24" t="n"/>
      <c r="DQ73" s="24" t="n"/>
    </row>
    <row r="74" ht="36" customHeight="1">
      <c r="A74" s="24" t="inlineStr">
        <is>
          <t>f709015f5a814f25</t>
        </is>
      </c>
      <c r="B74" s="24" t="inlineStr">
        <is>
          <t>2026-08-27T00:44:21.641991Z</t>
        </is>
      </c>
      <c r="C74" s="24" t="inlineStr">
        <is>
          <t>2026-08-27T10:00:00Z</t>
        </is>
      </c>
      <c r="D74" s="24" t="inlineStr">
        <is>
          <t>90824</t>
        </is>
      </c>
      <c r="E74" s="24" t="inlineStr">
        <is>
          <t>KBO</t>
        </is>
      </c>
      <c r="F74" s="24" t="inlineStr">
        <is>
          <t>Samsung Lions</t>
        </is>
      </c>
      <c r="G74" s="24" t="inlineStr">
        <is>
          <t>Kiwoom Heroes</t>
        </is>
      </c>
      <c r="H74" s="24" t="inlineStr">
        <is>
          <t>moneyline</t>
        </is>
      </c>
      <c r="I74" s="24" t="inlineStr">
        <is>
          <t>away</t>
        </is>
      </c>
      <c r="J74" s="25" t="n"/>
      <c r="K74" s="24" t="inlineStr">
        <is>
          <t>polymarket_us</t>
        </is>
      </c>
      <c r="L74" s="26" t="n">
        <v>-213</v>
      </c>
      <c r="M74" s="27" t="n">
        <v>1.469484</v>
      </c>
      <c r="N74" s="28" t="n">
        <v>0.680511</v>
      </c>
      <c r="O74" s="28" t="n">
        <v>0.59799</v>
      </c>
      <c r="P74" s="28" t="n"/>
      <c r="Q74" s="28" t="n">
        <v>-0.082521</v>
      </c>
      <c r="R74" s="26" t="n">
        <v>0</v>
      </c>
      <c r="S74" s="29" t="n">
        <v>1</v>
      </c>
      <c r="T74" s="24" t="inlineStr">
        <is>
          <t>kbo-tie-aware-elo-v2</t>
        </is>
      </c>
      <c r="U74" s="24" t="inlineStr">
        <is>
          <t>settled</t>
        </is>
      </c>
      <c r="V74" s="24" t="inlineStr">
        <is>
          <t>win</t>
        </is>
      </c>
      <c r="W74" s="26" t="n">
        <v>15</v>
      </c>
      <c r="X74" s="26" t="n">
        <v>2</v>
      </c>
      <c r="Y74" s="25" t="n"/>
      <c r="Z74" s="26" t="n"/>
      <c r="AA74" s="28" t="n"/>
      <c r="AB74" s="28" t="n"/>
      <c r="AC74" s="30" t="n">
        <v>0.4695</v>
      </c>
      <c r="AD74" s="24" t="inlineStr">
        <is>
          <t>2026-08-27T13:55:49.332428Z</t>
        </is>
      </c>
      <c r="AE74" s="31" t="inlineStr">
        <is>
          <t>Tie-aware Elo baseline; executable ask 0.6800 (market_slug=aec-kbo-khi-sla-2026-08-27). Tie probability=0.0226.</t>
        </is>
      </c>
      <c r="AF74" s="31" t="inlineStr">
        <is>
          <t>Config-promoted international baseball baseline; gates enforced at log time.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paper_call</t>
        </is>
      </c>
      <c r="AL74" s="26" t="n">
        <v>4</v>
      </c>
      <c r="AM74" s="24" t="inlineStr">
        <is>
          <t>RESEARCH_OBSERVATION</t>
        </is>
      </c>
      <c r="AN74" s="24" t="inlineStr">
        <is>
          <t>CALL</t>
        </is>
      </c>
      <c r="AO74" s="24" t="inlineStr">
        <is>
          <t>PAPER_CALL_LOW_EDGE</t>
        </is>
      </c>
      <c r="AP74" s="24" t="inlineStr">
        <is>
          <t>Samsung Lions</t>
        </is>
      </c>
      <c r="AQ74" s="24" t="inlineStr">
        <is>
          <t>Samsung Lions</t>
        </is>
      </c>
      <c r="AR74" s="24" t="inlineStr">
        <is>
          <t>Samsung Lions</t>
        </is>
      </c>
      <c r="AS74" s="24" t="inlineStr">
        <is>
          <t>Kiwoom Heroes</t>
        </is>
      </c>
      <c r="AT74" s="24" t="inlineStr">
        <is>
          <t>Kiwoom Heroes</t>
        </is>
      </c>
      <c r="AU74" s="24" t="inlineStr">
        <is>
          <t>Kiwoom Heroes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ee2fd7240aa243d222c7c70ca01d51160b295b616636ddde643545871f4be3f5</t>
        </is>
      </c>
      <c r="BB74" s="24" t="inlineStr">
        <is>
          <t>tie_aware_elo</t>
        </is>
      </c>
      <c r="BC74" s="24" t="inlineStr">
        <is>
          <t>kbo-tie-aware-elo-v2</t>
        </is>
      </c>
      <c r="BD74" s="24" t="inlineStr">
        <is>
          <t>ee2fd7240aa243d222c7c70ca01d51160b295b616636ddde643545871f4be3f5</t>
        </is>
      </c>
      <c r="BE74" s="24" t="inlineStr">
        <is>
          <t>1</t>
        </is>
      </c>
      <c r="BF74" s="24" t="inlineStr">
        <is>
          <t>1</t>
        </is>
      </c>
      <c r="BG74" s="24" t="inlineStr">
        <is>
          <t>kbo-tie-aware-elo-v2</t>
        </is>
      </c>
      <c r="BH74" s="24" t="inlineStr">
        <is>
          <t>2026-08-27T00:44:21.641959Z</t>
        </is>
      </c>
      <c r="BI74" s="24" t="inlineStr">
        <is>
          <t>["same_event","same_team_same_day","same_league_same_day"]</t>
        </is>
      </c>
      <c r="BJ74" s="25" t="n"/>
      <c r="BK74" s="26" t="n">
        <v>-213</v>
      </c>
      <c r="BL74" s="27" t="n">
        <v>1.469484</v>
      </c>
      <c r="BM74" s="28" t="n">
        <v>0.680511</v>
      </c>
      <c r="BN74" s="28" t="n"/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inlineStr">
        <is>
          <t>False</t>
        </is>
      </c>
      <c r="CT74" s="24" t="n"/>
      <c r="CU74" s="24" t="n"/>
      <c r="CV74" s="24" t="n"/>
      <c r="CW74" s="24" t="n"/>
      <c r="CX74" s="24" t="n"/>
      <c r="CY74" s="24" t="n"/>
      <c r="CZ74" s="24" t="n"/>
      <c r="DA74" s="24" t="n"/>
      <c r="DB74" s="24" t="n"/>
      <c r="DC74" s="24" t="n"/>
      <c r="DD74" s="24" t="n"/>
      <c r="DE74" s="24" t="n"/>
      <c r="DF74" s="24" t="n"/>
      <c r="DG74" s="24" t="n"/>
      <c r="DH74" s="24" t="n"/>
      <c r="DI74" s="24" t="n"/>
      <c r="DJ74" s="24" t="inlineStr">
        <is>
          <t>0.680511</t>
        </is>
      </c>
      <c r="DK74" s="24" t="n"/>
      <c r="DL74" s="24" t="n"/>
      <c r="DM74" s="24" t="n"/>
      <c r="DN74" s="24" t="n"/>
      <c r="DO74" s="24" t="n"/>
      <c r="DP74" s="24" t="n"/>
      <c r="DQ74" s="24" t="n"/>
    </row>
    <row r="75" ht="36" customHeight="1">
      <c r="A75" s="24" t="inlineStr">
        <is>
          <t>e0fb280cec644e7c</t>
        </is>
      </c>
      <c r="B75" s="24" t="inlineStr">
        <is>
          <t>2026-08-28T02:44:11.916055Z</t>
        </is>
      </c>
      <c r="C75" s="24" t="inlineStr">
        <is>
          <t>2026-08-28T09:30:00Z</t>
        </is>
      </c>
      <c r="D75" s="24" t="inlineStr">
        <is>
          <t>91864</t>
        </is>
      </c>
      <c r="E75" s="24" t="inlineStr">
        <is>
          <t>KBO</t>
        </is>
      </c>
      <c r="F75" s="24" t="inlineStr">
        <is>
          <t>Kiwoom Heroes</t>
        </is>
      </c>
      <c r="G75" s="24" t="inlineStr">
        <is>
          <t>Doosan Bears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-104</v>
      </c>
      <c r="M75" s="27" t="n">
        <v>1.961538</v>
      </c>
      <c r="N75" s="28" t="n">
        <v>0.509804</v>
      </c>
      <c r="O75" s="28" t="n">
        <v>0.63237</v>
      </c>
      <c r="P75" s="28" t="n"/>
      <c r="Q75" s="28" t="n">
        <v>0.122566</v>
      </c>
      <c r="R75" s="26" t="n">
        <v>81</v>
      </c>
      <c r="S75" s="29" t="n">
        <v>1.5</v>
      </c>
      <c r="T75" s="24" t="inlineStr">
        <is>
          <t>kbo-tie-aware-elo-v2</t>
        </is>
      </c>
      <c r="U75" s="24" t="inlineStr">
        <is>
          <t>settled</t>
        </is>
      </c>
      <c r="V75" s="24" t="inlineStr">
        <is>
          <t>push</t>
        </is>
      </c>
      <c r="W75" s="26" t="n"/>
      <c r="X75" s="26" t="n"/>
      <c r="Y75" s="25" t="n"/>
      <c r="Z75" s="26" t="n"/>
      <c r="AA75" s="28" t="n"/>
      <c r="AB75" s="28" t="n"/>
      <c r="AC75" s="30" t="n">
        <v>0</v>
      </c>
      <c r="AD75" s="24" t="inlineStr">
        <is>
          <t>2026-10-06T22:58:45.761826Z</t>
        </is>
      </c>
      <c r="AE75" s="31" t="inlineStr">
        <is>
          <t>Tie-aware Elo baseline; executable ask 0.5100 (market_slug=aec-kbo-dbo-khi-2026-08-28). Tie probability=0.0226.</t>
        </is>
      </c>
      <c r="AF75" s="31" t="inlineStr">
        <is>
          <t>Config-promoted international baseball baseline; gates enforced at log time.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model_qualified</t>
        </is>
      </c>
      <c r="AL75" s="26" t="n">
        <v>4</v>
      </c>
      <c r="AM75" s="24" t="inlineStr">
        <is>
          <t>QUALIFIED_SHADOW_CALL</t>
        </is>
      </c>
      <c r="AN75" s="24" t="inlineStr">
        <is>
          <t>CALL</t>
        </is>
      </c>
      <c r="AO75" s="24" t="inlineStr">
        <is>
          <t>QUALIFIED</t>
        </is>
      </c>
      <c r="AP75" s="24" t="inlineStr">
        <is>
          <t>Kiwoom Heroes</t>
        </is>
      </c>
      <c r="AQ75" s="24" t="inlineStr">
        <is>
          <t>Kiwoom Heroes</t>
        </is>
      </c>
      <c r="AR75" s="24" t="inlineStr">
        <is>
          <t>Kiwoom Heroes</t>
        </is>
      </c>
      <c r="AS75" s="24" t="inlineStr">
        <is>
          <t>Doosan Bears</t>
        </is>
      </c>
      <c r="AT75" s="24" t="inlineStr">
        <is>
          <t>Doosan Bears</t>
        </is>
      </c>
      <c r="AU75" s="24" t="inlineStr">
        <is>
          <t>Doosan Bears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a60aa481ccc202e085658398693185420fca4b33c903f7321e50861e678f3b98</t>
        </is>
      </c>
      <c r="BB75" s="24" t="inlineStr">
        <is>
          <t>tie_aware_elo</t>
        </is>
      </c>
      <c r="BC75" s="24" t="inlineStr">
        <is>
          <t>kbo-tie-aware-elo-v2</t>
        </is>
      </c>
      <c r="BD75" s="24" t="inlineStr">
        <is>
          <t>a60aa481ccc202e085658398693185420fca4b33c903f7321e50861e678f3b98</t>
        </is>
      </c>
      <c r="BE75" s="24" t="inlineStr">
        <is>
          <t>1</t>
        </is>
      </c>
      <c r="BF75" s="24" t="inlineStr">
        <is>
          <t>1</t>
        </is>
      </c>
      <c r="BG75" s="24" t="inlineStr">
        <is>
          <t>kbo-tie-aware-elo-v2</t>
        </is>
      </c>
      <c r="BH75" s="24" t="inlineStr">
        <is>
          <t>2026-08-28T02:44:11.181923Z</t>
        </is>
      </c>
      <c r="BI75" s="24" t="inlineStr">
        <is>
          <t>["same_event","same_team_same_day","same_league_same_day"]</t>
        </is>
      </c>
      <c r="BJ75" s="25" t="n"/>
      <c r="BK75" s="26" t="n">
        <v>-104</v>
      </c>
      <c r="BL75" s="27" t="n">
        <v>1.961538</v>
      </c>
      <c r="BM75" s="28" t="n">
        <v>0.509804</v>
      </c>
      <c r="BN75" s="28" t="n"/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inlineStr">
        <is>
          <t>KBO game scheduled on 2026-08-28 cancelled/postponed (no final score posted after &gt;7 days)</t>
        </is>
      </c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inlineStr">
        <is>
          <t>True</t>
        </is>
      </c>
      <c r="CT75" s="24" t="n"/>
      <c r="CU75" s="24" t="n"/>
      <c r="CV75" s="24" t="n"/>
      <c r="CW75" s="24" t="n"/>
      <c r="CX75" s="24" t="n"/>
      <c r="CY75" s="24" t="n"/>
      <c r="CZ75" s="24" t="n"/>
      <c r="DA75" s="24" t="n"/>
      <c r="DB75" s="24" t="n"/>
      <c r="DC75" s="24" t="n"/>
      <c r="DD75" s="24" t="n"/>
      <c r="DE75" s="24" t="n"/>
      <c r="DF75" s="24" t="n"/>
      <c r="DG75" s="24" t="n"/>
      <c r="DH75" s="24" t="n"/>
      <c r="DI75" s="24" t="n"/>
      <c r="DJ75" s="24" t="inlineStr">
        <is>
          <t>0.509804</t>
        </is>
      </c>
      <c r="DK75" s="24" t="n"/>
      <c r="DL75" s="24" t="n"/>
      <c r="DM75" s="24" t="n"/>
      <c r="DN75" s="24" t="n"/>
      <c r="DO75" s="24" t="n"/>
      <c r="DP75" s="24" t="n"/>
      <c r="DQ75" s="24" t="n"/>
    </row>
    <row r="76" ht="36" customHeight="1">
      <c r="A76" s="24" t="inlineStr">
        <is>
          <t>5305780be26a49a8</t>
        </is>
      </c>
      <c r="B76" s="24" t="inlineStr">
        <is>
          <t>2026-08-28T02:44:11.916055Z</t>
        </is>
      </c>
      <c r="C76" s="24" t="inlineStr">
        <is>
          <t>2026-08-28T09:30:00Z</t>
        </is>
      </c>
      <c r="D76" s="24" t="inlineStr">
        <is>
          <t>91865</t>
        </is>
      </c>
      <c r="E76" s="24" t="inlineStr">
        <is>
          <t>KBO</t>
        </is>
      </c>
      <c r="F76" s="24" t="inlineStr">
        <is>
          <t>LG Twins</t>
        </is>
      </c>
      <c r="G76" s="24" t="inlineStr">
        <is>
          <t>Lotte Giants</t>
        </is>
      </c>
      <c r="H76" s="24" t="inlineStr">
        <is>
          <t>moneyline</t>
        </is>
      </c>
      <c r="I76" s="24" t="inlineStr">
        <is>
          <t>away</t>
        </is>
      </c>
      <c r="J76" s="25" t="n"/>
      <c r="K76" s="24" t="inlineStr">
        <is>
          <t>polymarket_us</t>
        </is>
      </c>
      <c r="L76" s="26" t="n">
        <v>-150</v>
      </c>
      <c r="M76" s="27" t="n">
        <v>1.666667</v>
      </c>
      <c r="N76" s="28" t="n">
        <v>0.6</v>
      </c>
      <c r="O76" s="28" t="n">
        <v>0.501243</v>
      </c>
      <c r="P76" s="28" t="n"/>
      <c r="Q76" s="28" t="n">
        <v>-0.098757</v>
      </c>
      <c r="R76" s="26" t="n">
        <v>0</v>
      </c>
      <c r="S76" s="29" t="n">
        <v>1</v>
      </c>
      <c r="T76" s="24" t="inlineStr">
        <is>
          <t>kbo-tie-aware-elo-v2</t>
        </is>
      </c>
      <c r="U76" s="24" t="inlineStr">
        <is>
          <t>settled</t>
        </is>
      </c>
      <c r="V76" s="24" t="inlineStr">
        <is>
          <t>push</t>
        </is>
      </c>
      <c r="W76" s="26" t="n"/>
      <c r="X76" s="26" t="n"/>
      <c r="Y76" s="25" t="n"/>
      <c r="Z76" s="26" t="n"/>
      <c r="AA76" s="28" t="n"/>
      <c r="AB76" s="28" t="n"/>
      <c r="AC76" s="30" t="n">
        <v>0</v>
      </c>
      <c r="AD76" s="24" t="inlineStr">
        <is>
          <t>2026-10-06T22:58:50.382279Z</t>
        </is>
      </c>
      <c r="AE76" s="31" t="inlineStr">
        <is>
          <t>Tie-aware Elo baseline; executable ask 0.6000 (market_slug=aec-kbo-lgo-ltg-2026-08-28). Tie probability=0.0226.</t>
        </is>
      </c>
      <c r="AF76" s="31" t="inlineStr">
        <is>
          <t>Config-promoted international baseball baseline; gates enforced at log time.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paper_call</t>
        </is>
      </c>
      <c r="AL76" s="26" t="n">
        <v>4</v>
      </c>
      <c r="AM76" s="24" t="inlineStr">
        <is>
          <t>RESEARCH_OBSERVATION</t>
        </is>
      </c>
      <c r="AN76" s="24" t="inlineStr">
        <is>
          <t>CALL</t>
        </is>
      </c>
      <c r="AO76" s="24" t="inlineStr">
        <is>
          <t>PAPER_CALL_LOW_EDGE</t>
        </is>
      </c>
      <c r="AP76" s="24" t="inlineStr">
        <is>
          <t>LG Twins</t>
        </is>
      </c>
      <c r="AQ76" s="24" t="inlineStr">
        <is>
          <t>LG Twins</t>
        </is>
      </c>
      <c r="AR76" s="24" t="inlineStr">
        <is>
          <t>LG Twins</t>
        </is>
      </c>
      <c r="AS76" s="24" t="inlineStr">
        <is>
          <t>Lotte Giants</t>
        </is>
      </c>
      <c r="AT76" s="24" t="inlineStr">
        <is>
          <t>Lotte Giants</t>
        </is>
      </c>
      <c r="AU76" s="24" t="inlineStr">
        <is>
          <t>Lotte Giants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a60aa481ccc202e085658398693185420fca4b33c903f7321e50861e678f3b98</t>
        </is>
      </c>
      <c r="BB76" s="24" t="inlineStr">
        <is>
          <t>tie_aware_elo</t>
        </is>
      </c>
      <c r="BC76" s="24" t="inlineStr">
        <is>
          <t>kbo-tie-aware-elo-v2</t>
        </is>
      </c>
      <c r="BD76" s="24" t="inlineStr">
        <is>
          <t>a60aa481ccc202e085658398693185420fca4b33c903f7321e50861e678f3b98</t>
        </is>
      </c>
      <c r="BE76" s="24" t="inlineStr">
        <is>
          <t>1</t>
        </is>
      </c>
      <c r="BF76" s="24" t="inlineStr">
        <is>
          <t>1</t>
        </is>
      </c>
      <c r="BG76" s="24" t="inlineStr">
        <is>
          <t>kbo-tie-aware-elo-v2</t>
        </is>
      </c>
      <c r="BH76" s="24" t="inlineStr">
        <is>
          <t>2026-08-28T02:44:11.557182Z</t>
        </is>
      </c>
      <c r="BI76" s="24" t="inlineStr">
        <is>
          <t>["same_event","same_team_same_day","same_league_same_day"]</t>
        </is>
      </c>
      <c r="BJ76" s="25" t="n"/>
      <c r="BK76" s="26" t="n">
        <v>-150</v>
      </c>
      <c r="BL76" s="27" t="n">
        <v>1.666667</v>
      </c>
      <c r="BM76" s="28" t="n">
        <v>0.6</v>
      </c>
      <c r="BN76" s="28" t="n"/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inlineStr">
        <is>
          <t>KBO game scheduled on 2026-08-28 cancelled/postponed (no final score posted after &gt;7 days)</t>
        </is>
      </c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inlineStr">
        <is>
          <t>False</t>
        </is>
      </c>
      <c r="CT76" s="24" t="n"/>
      <c r="CU76" s="24" t="n"/>
      <c r="CV76" s="24" t="n"/>
      <c r="CW76" s="24" t="n"/>
      <c r="CX76" s="24" t="n"/>
      <c r="CY76" s="24" t="n"/>
      <c r="CZ76" s="24" t="n"/>
      <c r="DA76" s="24" t="n"/>
      <c r="DB76" s="24" t="n"/>
      <c r="DC76" s="24" t="n"/>
      <c r="DD76" s="24" t="n"/>
      <c r="DE76" s="24" t="n"/>
      <c r="DF76" s="24" t="n"/>
      <c r="DG76" s="24" t="n"/>
      <c r="DH76" s="24" t="n"/>
      <c r="DI76" s="24" t="n"/>
      <c r="DJ76" s="24" t="inlineStr">
        <is>
          <t>0.6</t>
        </is>
      </c>
      <c r="DK76" s="24" t="n"/>
      <c r="DL76" s="24" t="n"/>
      <c r="DM76" s="24" t="n"/>
      <c r="DN76" s="24" t="n"/>
      <c r="DO76" s="24" t="n"/>
      <c r="DP76" s="24" t="n"/>
      <c r="DQ76" s="24" t="n"/>
    </row>
    <row r="77" ht="36" customHeight="1">
      <c r="A77" s="24" t="inlineStr">
        <is>
          <t>518ba431666a47bf</t>
        </is>
      </c>
      <c r="B77" s="24" t="inlineStr">
        <is>
          <t>2026-08-28T02:44:11.916055Z</t>
        </is>
      </c>
      <c r="C77" s="24" t="inlineStr">
        <is>
          <t>2026-08-28T09:30:00Z</t>
        </is>
      </c>
      <c r="D77" s="24" t="inlineStr">
        <is>
          <t>91866</t>
        </is>
      </c>
      <c r="E77" s="24" t="inlineStr">
        <is>
          <t>KBO</t>
        </is>
      </c>
      <c r="F77" s="24" t="inlineStr">
        <is>
          <t>KT Wiz</t>
        </is>
      </c>
      <c r="G77" s="24" t="inlineStr">
        <is>
          <t>Samsung Lions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-104</v>
      </c>
      <c r="M77" s="27" t="n">
        <v>1.961538</v>
      </c>
      <c r="N77" s="28" t="n">
        <v>0.509804</v>
      </c>
      <c r="O77" s="28" t="n">
        <v>0.517707</v>
      </c>
      <c r="P77" s="28" t="n"/>
      <c r="Q77" s="28" t="n">
        <v>0.007903</v>
      </c>
      <c r="R77" s="26" t="n">
        <v>24</v>
      </c>
      <c r="S77" s="29" t="n">
        <v>1</v>
      </c>
      <c r="T77" s="24" t="inlineStr">
        <is>
          <t>kbo-tie-aware-elo-v2</t>
        </is>
      </c>
      <c r="U77" s="24" t="inlineStr">
        <is>
          <t>settled</t>
        </is>
      </c>
      <c r="V77" s="24" t="inlineStr">
        <is>
          <t>push</t>
        </is>
      </c>
      <c r="W77" s="26" t="n"/>
      <c r="X77" s="26" t="n"/>
      <c r="Y77" s="25" t="n"/>
      <c r="Z77" s="26" t="n"/>
      <c r="AA77" s="28" t="n"/>
      <c r="AB77" s="28" t="n"/>
      <c r="AC77" s="30" t="n">
        <v>0</v>
      </c>
      <c r="AD77" s="24" t="inlineStr">
        <is>
          <t>2026-10-06T22:58:55.070528Z</t>
        </is>
      </c>
      <c r="AE77" s="31" t="inlineStr">
        <is>
          <t>Tie-aware Elo baseline; executable ask 0.5100 (market_slug=aec-kbo-sla-kwt-2026-08-28). Tie probability=0.0226.</t>
        </is>
      </c>
      <c r="AF77" s="31" t="inlineStr">
        <is>
          <t>Config-promoted international baseball baseline; gates enforced at log time.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paper_call</t>
        </is>
      </c>
      <c r="AL77" s="26" t="n">
        <v>4</v>
      </c>
      <c r="AM77" s="24" t="inlineStr">
        <is>
          <t>RESEARCH_OBSERVATION</t>
        </is>
      </c>
      <c r="AN77" s="24" t="inlineStr">
        <is>
          <t>CALL</t>
        </is>
      </c>
      <c r="AO77" s="24" t="inlineStr">
        <is>
          <t>PAPER_CALL_LOW_EDGE</t>
        </is>
      </c>
      <c r="AP77" s="24" t="inlineStr">
        <is>
          <t>KT Wiz</t>
        </is>
      </c>
      <c r="AQ77" s="24" t="inlineStr">
        <is>
          <t>KT Wiz</t>
        </is>
      </c>
      <c r="AR77" s="24" t="inlineStr">
        <is>
          <t>KT Wiz</t>
        </is>
      </c>
      <c r="AS77" s="24" t="inlineStr">
        <is>
          <t>Samsung Lions</t>
        </is>
      </c>
      <c r="AT77" s="24" t="inlineStr">
        <is>
          <t>Samsung Lions</t>
        </is>
      </c>
      <c r="AU77" s="24" t="inlineStr">
        <is>
          <t>Samsung Lions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a60aa481ccc202e085658398693185420fca4b33c903f7321e50861e678f3b98</t>
        </is>
      </c>
      <c r="BB77" s="24" t="inlineStr">
        <is>
          <t>tie_aware_elo</t>
        </is>
      </c>
      <c r="BC77" s="24" t="inlineStr">
        <is>
          <t>kbo-tie-aware-elo-v2</t>
        </is>
      </c>
      <c r="BD77" s="24" t="inlineStr">
        <is>
          <t>a60aa481ccc202e085658398693185420fca4b33c903f7321e50861e678f3b98</t>
        </is>
      </c>
      <c r="BE77" s="24" t="inlineStr">
        <is>
          <t>1</t>
        </is>
      </c>
      <c r="BF77" s="24" t="inlineStr">
        <is>
          <t>1</t>
        </is>
      </c>
      <c r="BG77" s="24" t="inlineStr">
        <is>
          <t>kbo-tie-aware-elo-v2</t>
        </is>
      </c>
      <c r="BH77" s="24" t="inlineStr">
        <is>
          <t>2026-08-28T02:44:11.754676Z</t>
        </is>
      </c>
      <c r="BI77" s="24" t="inlineStr">
        <is>
          <t>["same_event","same_team_same_day","same_league_same_day"]</t>
        </is>
      </c>
      <c r="BJ77" s="25" t="n"/>
      <c r="BK77" s="26" t="n">
        <v>-104</v>
      </c>
      <c r="BL77" s="27" t="n">
        <v>1.961538</v>
      </c>
      <c r="BM77" s="28" t="n">
        <v>0.509804</v>
      </c>
      <c r="BN77" s="28" t="n"/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inlineStr">
        <is>
          <t>KBO game scheduled on 2026-08-28 cancelled/postponed (no final score posted after &gt;7 days)</t>
        </is>
      </c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inlineStr">
        <is>
          <t>True</t>
        </is>
      </c>
      <c r="CT77" s="24" t="n"/>
      <c r="CU77" s="24" t="n"/>
      <c r="CV77" s="24" t="n"/>
      <c r="CW77" s="24" t="n"/>
      <c r="CX77" s="24" t="n"/>
      <c r="CY77" s="24" t="n"/>
      <c r="CZ77" s="24" t="n"/>
      <c r="DA77" s="24" t="n"/>
      <c r="DB77" s="24" t="n"/>
      <c r="DC77" s="24" t="n"/>
      <c r="DD77" s="24" t="n"/>
      <c r="DE77" s="24" t="n"/>
      <c r="DF77" s="24" t="n"/>
      <c r="DG77" s="24" t="n"/>
      <c r="DH77" s="24" t="n"/>
      <c r="DI77" s="24" t="n"/>
      <c r="DJ77" s="24" t="inlineStr">
        <is>
          <t>0.509804</t>
        </is>
      </c>
      <c r="DK77" s="24" t="n"/>
      <c r="DL77" s="24" t="n"/>
      <c r="DM77" s="24" t="n"/>
      <c r="DN77" s="24" t="n"/>
      <c r="DO77" s="24" t="n"/>
      <c r="DP77" s="24" t="n"/>
      <c r="DQ77" s="24" t="n"/>
    </row>
    <row r="78" ht="36" customHeight="1">
      <c r="A78" s="24" t="inlineStr">
        <is>
          <t>ec126f72ddd14136</t>
        </is>
      </c>
      <c r="B78" s="24" t="inlineStr">
        <is>
          <t>2026-08-28T02:44:11.916055Z</t>
        </is>
      </c>
      <c r="C78" s="24" t="inlineStr">
        <is>
          <t>2026-08-28T09:30:00Z</t>
        </is>
      </c>
      <c r="D78" s="24" t="inlineStr">
        <is>
          <t>91867</t>
        </is>
      </c>
      <c r="E78" s="24" t="inlineStr">
        <is>
          <t>KBO</t>
        </is>
      </c>
      <c r="F78" s="24" t="inlineStr">
        <is>
          <t>SSG Landers</t>
        </is>
      </c>
      <c r="G78" s="24" t="inlineStr">
        <is>
          <t>Kia Tigers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-223</v>
      </c>
      <c r="M78" s="27" t="n">
        <v>1.44843</v>
      </c>
      <c r="N78" s="28" t="n">
        <v>0.690402</v>
      </c>
      <c r="O78" s="28" t="n">
        <v>0.585994</v>
      </c>
      <c r="P78" s="28" t="n"/>
      <c r="Q78" s="28" t="n">
        <v>-0.104408</v>
      </c>
      <c r="R78" s="26" t="n">
        <v>0</v>
      </c>
      <c r="S78" s="29" t="n">
        <v>1</v>
      </c>
      <c r="T78" s="24" t="inlineStr">
        <is>
          <t>kbo-tie-aware-elo-v2</t>
        </is>
      </c>
      <c r="U78" s="24" t="inlineStr">
        <is>
          <t>settled</t>
        </is>
      </c>
      <c r="V78" s="24" t="inlineStr">
        <is>
          <t>push</t>
        </is>
      </c>
      <c r="W78" s="26" t="n"/>
      <c r="X78" s="26" t="n"/>
      <c r="Y78" s="25" t="n"/>
      <c r="Z78" s="26" t="n"/>
      <c r="AA78" s="28" t="n"/>
      <c r="AB78" s="28" t="n"/>
      <c r="AC78" s="30" t="n">
        <v>0</v>
      </c>
      <c r="AD78" s="24" t="inlineStr">
        <is>
          <t>2026-10-06T22:58:59.778035Z</t>
        </is>
      </c>
      <c r="AE78" s="31" t="inlineStr">
        <is>
          <t>Tie-aware Elo baseline; executable ask 0.6900 (market_slug=aec-kbo-kti-sls-2026-08-28). Tie probability=0.0226.</t>
        </is>
      </c>
      <c r="AF78" s="31" t="inlineStr">
        <is>
          <t>Config-promoted international baseball baseline; gates enforced at log time.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paper_call</t>
        </is>
      </c>
      <c r="AL78" s="26" t="n">
        <v>4</v>
      </c>
      <c r="AM78" s="24" t="inlineStr">
        <is>
          <t>RESEARCH_OBSERVATION</t>
        </is>
      </c>
      <c r="AN78" s="24" t="inlineStr">
        <is>
          <t>CALL</t>
        </is>
      </c>
      <c r="AO78" s="24" t="inlineStr">
        <is>
          <t>PAPER_CALL_LOW_EDGE</t>
        </is>
      </c>
      <c r="AP78" s="24" t="inlineStr">
        <is>
          <t>SSG Landers</t>
        </is>
      </c>
      <c r="AQ78" s="24" t="inlineStr">
        <is>
          <t>SSG Landers</t>
        </is>
      </c>
      <c r="AR78" s="24" t="inlineStr">
        <is>
          <t>SSG Landers</t>
        </is>
      </c>
      <c r="AS78" s="24" t="inlineStr">
        <is>
          <t>Kia Tigers</t>
        </is>
      </c>
      <c r="AT78" s="24" t="inlineStr">
        <is>
          <t>Kia Tigers</t>
        </is>
      </c>
      <c r="AU78" s="24" t="inlineStr">
        <is>
          <t>Kia Tigers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a60aa481ccc202e085658398693185420fca4b33c903f7321e50861e678f3b98</t>
        </is>
      </c>
      <c r="BB78" s="24" t="inlineStr">
        <is>
          <t>tie_aware_elo</t>
        </is>
      </c>
      <c r="BC78" s="24" t="inlineStr">
        <is>
          <t>kbo-tie-aware-elo-v2</t>
        </is>
      </c>
      <c r="BD78" s="24" t="inlineStr">
        <is>
          <t>a60aa481ccc202e085658398693185420fca4b33c903f7321e50861e678f3b98</t>
        </is>
      </c>
      <c r="BE78" s="24" t="inlineStr">
        <is>
          <t>1</t>
        </is>
      </c>
      <c r="BF78" s="24" t="inlineStr">
        <is>
          <t>1</t>
        </is>
      </c>
      <c r="BG78" s="24" t="inlineStr">
        <is>
          <t>kbo-tie-aware-elo-v2</t>
        </is>
      </c>
      <c r="BH78" s="24" t="inlineStr">
        <is>
          <t>2026-08-28T02:44:11.837658Z</t>
        </is>
      </c>
      <c r="BI78" s="24" t="inlineStr">
        <is>
          <t>["same_event","same_team_same_day","same_league_same_day"]</t>
        </is>
      </c>
      <c r="BJ78" s="25" t="n"/>
      <c r="BK78" s="26" t="n">
        <v>-223</v>
      </c>
      <c r="BL78" s="27" t="n">
        <v>1.44843</v>
      </c>
      <c r="BM78" s="28" t="n">
        <v>0.690402</v>
      </c>
      <c r="BN78" s="28" t="n"/>
      <c r="BO78" s="28" t="n"/>
      <c r="BP78" s="25" t="n"/>
      <c r="BQ78" s="27" t="n"/>
      <c r="BR78" s="28" t="n"/>
      <c r="BS78" s="28" t="n"/>
      <c r="BT78" s="28" t="n"/>
      <c r="BU78" s="25" t="n"/>
      <c r="BV78" s="29" t="n"/>
      <c r="BW78" s="24" t="inlineStr">
        <is>
          <t>KBO game scheduled on 2026-08-28 cancelled/postponed (no final score posted after &gt;7 days)</t>
        </is>
      </c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inlineStr">
        <is>
          <t>False</t>
        </is>
      </c>
      <c r="CT78" s="24" t="n"/>
      <c r="CU78" s="24" t="n"/>
      <c r="CV78" s="24" t="n"/>
      <c r="CW78" s="24" t="n"/>
      <c r="CX78" s="24" t="n"/>
      <c r="CY78" s="24" t="n"/>
      <c r="CZ78" s="24" t="n"/>
      <c r="DA78" s="24" t="n"/>
      <c r="DB78" s="24" t="n"/>
      <c r="DC78" s="24" t="n"/>
      <c r="DD78" s="24" t="n"/>
      <c r="DE78" s="24" t="n"/>
      <c r="DF78" s="24" t="n"/>
      <c r="DG78" s="24" t="n"/>
      <c r="DH78" s="24" t="n"/>
      <c r="DI78" s="24" t="n"/>
      <c r="DJ78" s="24" t="inlineStr">
        <is>
          <t>0.690402</t>
        </is>
      </c>
      <c r="DK78" s="24" t="n"/>
      <c r="DL78" s="24" t="n"/>
      <c r="DM78" s="24" t="n"/>
      <c r="DN78" s="24" t="n"/>
      <c r="DO78" s="24" t="n"/>
      <c r="DP78" s="24" t="n"/>
      <c r="DQ78" s="24" t="n"/>
    </row>
    <row r="79" ht="36" customHeight="1">
      <c r="A79" s="24" t="inlineStr">
        <is>
          <t>c9f30df3efc646e8</t>
        </is>
      </c>
      <c r="B79" s="24" t="inlineStr">
        <is>
          <t>2026-08-28T02:44:11.916055Z</t>
        </is>
      </c>
      <c r="C79" s="24" t="inlineStr">
        <is>
          <t>2026-08-28T09:30:00Z</t>
        </is>
      </c>
      <c r="D79" s="24" t="inlineStr">
        <is>
          <t>91868</t>
        </is>
      </c>
      <c r="E79" s="24" t="inlineStr">
        <is>
          <t>KBO</t>
        </is>
      </c>
      <c r="F79" s="24" t="inlineStr">
        <is>
          <t>NC Dinos</t>
        </is>
      </c>
      <c r="G79" s="24" t="inlineStr">
        <is>
          <t>Hanwha Eagles</t>
        </is>
      </c>
      <c r="H79" s="24" t="inlineStr">
        <is>
          <t>moneyline</t>
        </is>
      </c>
      <c r="I79" s="24" t="inlineStr">
        <is>
          <t>home</t>
        </is>
      </c>
      <c r="J79" s="25" t="n"/>
      <c r="K79" s="24" t="inlineStr">
        <is>
          <t>polymarket_us</t>
        </is>
      </c>
      <c r="L79" s="26" t="n">
        <v>104</v>
      </c>
      <c r="M79" s="27" t="n">
        <v>2.04</v>
      </c>
      <c r="N79" s="28" t="n">
        <v>0.490196</v>
      </c>
      <c r="O79" s="28" t="n">
        <v>0.505098</v>
      </c>
      <c r="P79" s="28" t="n"/>
      <c r="Q79" s="28" t="n">
        <v>0.014902</v>
      </c>
      <c r="R79" s="26" t="n">
        <v>27</v>
      </c>
      <c r="S79" s="29" t="n">
        <v>1</v>
      </c>
      <c r="T79" s="24" t="inlineStr">
        <is>
          <t>kbo-tie-aware-elo-v2</t>
        </is>
      </c>
      <c r="U79" s="24" t="inlineStr">
        <is>
          <t>settled</t>
        </is>
      </c>
      <c r="V79" s="24" t="inlineStr">
        <is>
          <t>push</t>
        </is>
      </c>
      <c r="W79" s="26" t="n"/>
      <c r="X79" s="26" t="n"/>
      <c r="Y79" s="25" t="n"/>
      <c r="Z79" s="26" t="n"/>
      <c r="AA79" s="28" t="n"/>
      <c r="AB79" s="28" t="n"/>
      <c r="AC79" s="30" t="n">
        <v>0</v>
      </c>
      <c r="AD79" s="24" t="inlineStr">
        <is>
          <t>2026-10-06T22:59:04.543849Z</t>
        </is>
      </c>
      <c r="AE79" s="31" t="inlineStr">
        <is>
          <t>Tie-aware Elo baseline; executable ask 0.4900 (market_slug=aec-kbo-hea-ndc-2026-08-28). Tie probability=0.0226.</t>
        </is>
      </c>
      <c r="AF79" s="31" t="inlineStr">
        <is>
          <t>Config-promoted international baseball baseline; gates enforced at log time.</t>
        </is>
      </c>
      <c r="AG79" s="24" t="inlineStr">
        <is>
          <t>not_applicable</t>
        </is>
      </c>
      <c r="AH79" s="24" t="n"/>
      <c r="AI79" s="31" t="n"/>
      <c r="AJ79" s="31" t="n"/>
      <c r="AK79" s="24" t="inlineStr">
        <is>
          <t>paper_call</t>
        </is>
      </c>
      <c r="AL79" s="26" t="n">
        <v>4</v>
      </c>
      <c r="AM79" s="24" t="inlineStr">
        <is>
          <t>RESEARCH_OBSERVATION</t>
        </is>
      </c>
      <c r="AN79" s="24" t="inlineStr">
        <is>
          <t>CALL</t>
        </is>
      </c>
      <c r="AO79" s="24" t="inlineStr">
        <is>
          <t>PAPER_CALL_LOW_EDGE</t>
        </is>
      </c>
      <c r="AP79" s="24" t="inlineStr">
        <is>
          <t>NC Dinos</t>
        </is>
      </c>
      <c r="AQ79" s="24" t="inlineStr">
        <is>
          <t>NC Dinos</t>
        </is>
      </c>
      <c r="AR79" s="24" t="inlineStr">
        <is>
          <t>NC Dinos</t>
        </is>
      </c>
      <c r="AS79" s="24" t="inlineStr">
        <is>
          <t>Hanwha Eagles</t>
        </is>
      </c>
      <c r="AT79" s="24" t="inlineStr">
        <is>
          <t>Hanwha Eagles</t>
        </is>
      </c>
      <c r="AU79" s="24" t="inlineStr">
        <is>
          <t>Hanwha Eagles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a60aa481ccc202e085658398693185420fca4b33c903f7321e50861e678f3b98</t>
        </is>
      </c>
      <c r="BB79" s="24" t="inlineStr">
        <is>
          <t>tie_aware_elo</t>
        </is>
      </c>
      <c r="BC79" s="24" t="inlineStr">
        <is>
          <t>kbo-tie-aware-elo-v2</t>
        </is>
      </c>
      <c r="BD79" s="24" t="inlineStr">
        <is>
          <t>a60aa481ccc202e085658398693185420fca4b33c903f7321e50861e678f3b98</t>
        </is>
      </c>
      <c r="BE79" s="24" t="inlineStr">
        <is>
          <t>1</t>
        </is>
      </c>
      <c r="BF79" s="24" t="inlineStr">
        <is>
          <t>1</t>
        </is>
      </c>
      <c r="BG79" s="24" t="inlineStr">
        <is>
          <t>kbo-tie-aware-elo-v2</t>
        </is>
      </c>
      <c r="BH79" s="24" t="inlineStr">
        <is>
          <t>2026-08-28T02:44:11.915941Z</t>
        </is>
      </c>
      <c r="BI79" s="24" t="inlineStr">
        <is>
          <t>["same_event","same_team_same_day","same_league_same_day"]</t>
        </is>
      </c>
      <c r="BJ79" s="25" t="n"/>
      <c r="BK79" s="26" t="n">
        <v>104</v>
      </c>
      <c r="BL79" s="27" t="n">
        <v>2.04</v>
      </c>
      <c r="BM79" s="28" t="n">
        <v>0.490196</v>
      </c>
      <c r="BN79" s="28" t="n"/>
      <c r="BO79" s="28" t="n"/>
      <c r="BP79" s="25" t="n"/>
      <c r="BQ79" s="27" t="n"/>
      <c r="BR79" s="28" t="n"/>
      <c r="BS79" s="28" t="n"/>
      <c r="BT79" s="28" t="n"/>
      <c r="BU79" s="25" t="n"/>
      <c r="BV79" s="29" t="n"/>
      <c r="BW79" s="24" t="inlineStr">
        <is>
          <t>KBO game scheduled on 2026-08-28 cancelled/postponed (no final score posted after &gt;7 days)</t>
        </is>
      </c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inlineStr">
        <is>
          <t>True</t>
        </is>
      </c>
      <c r="CT79" s="24" t="n"/>
      <c r="CU79" s="24" t="n"/>
      <c r="CV79" s="24" t="n"/>
      <c r="CW79" s="24" t="n"/>
      <c r="CX79" s="24" t="n"/>
      <c r="CY79" s="24" t="n"/>
      <c r="CZ79" s="24" t="n"/>
      <c r="DA79" s="24" t="n"/>
      <c r="DB79" s="24" t="n"/>
      <c r="DC79" s="24" t="n"/>
      <c r="DD79" s="24" t="n"/>
      <c r="DE79" s="24" t="n"/>
      <c r="DF79" s="24" t="n"/>
      <c r="DG79" s="24" t="n"/>
      <c r="DH79" s="24" t="n"/>
      <c r="DI79" s="24" t="n"/>
      <c r="DJ79" s="24" t="inlineStr">
        <is>
          <t>0.490196</t>
        </is>
      </c>
      <c r="DK79" s="24" t="n"/>
      <c r="DL79" s="24" t="n"/>
      <c r="DM79" s="24" t="n"/>
      <c r="DN79" s="24" t="n"/>
      <c r="DO79" s="24" t="n"/>
      <c r="DP79" s="24" t="n"/>
      <c r="DQ79" s="24" t="n"/>
    </row>
    <row r="80" ht="36" customHeight="1">
      <c r="A80" s="24" t="inlineStr">
        <is>
          <t>4b36c1d38e4644c4</t>
        </is>
      </c>
      <c r="B80" s="24" t="inlineStr">
        <is>
          <t>2026-08-30T03:34:41.327852Z</t>
        </is>
      </c>
      <c r="C80" s="24" t="inlineStr">
        <is>
          <t>2026-08-30T09:00:00Z</t>
        </is>
      </c>
      <c r="D80" s="24" t="inlineStr">
        <is>
          <t>94170</t>
        </is>
      </c>
      <c r="E80" s="24" t="inlineStr">
        <is>
          <t>KBO</t>
        </is>
      </c>
      <c r="F80" s="24" t="inlineStr">
        <is>
          <t>Kiwoom Heroes</t>
        </is>
      </c>
      <c r="G80" s="24" t="inlineStr">
        <is>
          <t>Doosan Bears</t>
        </is>
      </c>
      <c r="H80" s="24" t="inlineStr">
        <is>
          <t>moneyline</t>
        </is>
      </c>
      <c r="I80" s="24" t="inlineStr">
        <is>
          <t>home</t>
        </is>
      </c>
      <c r="J80" s="25" t="n"/>
      <c r="K80" s="24" t="inlineStr">
        <is>
          <t>polymarket_us</t>
        </is>
      </c>
      <c r="L80" s="26" t="n">
        <v>-178</v>
      </c>
      <c r="M80" s="27" t="n">
        <v>1.561798</v>
      </c>
      <c r="N80" s="28" t="n">
        <v>0.640288</v>
      </c>
      <c r="O80" s="28" t="n">
        <v>0.6389550000000001</v>
      </c>
      <c r="P80" s="28" t="n"/>
      <c r="Q80" s="28" t="n">
        <v>-0.001333</v>
      </c>
      <c r="R80" s="26" t="n">
        <v>19</v>
      </c>
      <c r="S80" s="29" t="n">
        <v>1</v>
      </c>
      <c r="T80" s="24" t="inlineStr">
        <is>
          <t>kbo-tie-aware-elo-v2</t>
        </is>
      </c>
      <c r="U80" s="24" t="inlineStr">
        <is>
          <t>settled</t>
        </is>
      </c>
      <c r="V80" s="24" t="inlineStr">
        <is>
          <t>win</t>
        </is>
      </c>
      <c r="W80" s="26" t="n">
        <v>1</v>
      </c>
      <c r="X80" s="26" t="n">
        <v>15</v>
      </c>
      <c r="Y80" s="25" t="n"/>
      <c r="Z80" s="26" t="n"/>
      <c r="AA80" s="28" t="n"/>
      <c r="AB80" s="28" t="n"/>
      <c r="AC80" s="30" t="n">
        <v>0.5618</v>
      </c>
      <c r="AD80" s="24" t="inlineStr">
        <is>
          <t>2026-08-30T16:02:57.916978Z</t>
        </is>
      </c>
      <c r="AE80" s="31" t="inlineStr">
        <is>
          <t>Tie-aware Elo baseline; executable ask 0.6400 (market_slug=aec-kbo-dbo-khi-2026-08-30). Tie probability=0.0226.</t>
        </is>
      </c>
      <c r="AF80" s="31" t="inlineStr">
        <is>
          <t>Config-promoted international baseball baseline; gates enforced at log time.</t>
        </is>
      </c>
      <c r="AG80" s="24" t="inlineStr">
        <is>
          <t>not_applicable</t>
        </is>
      </c>
      <c r="AH80" s="24" t="n"/>
      <c r="AI80" s="31" t="n"/>
      <c r="AJ80" s="31" t="n"/>
      <c r="AK80" s="24" t="inlineStr">
        <is>
          <t>paper_call</t>
        </is>
      </c>
      <c r="AL80" s="26" t="n">
        <v>4</v>
      </c>
      <c r="AM80" s="24" t="inlineStr">
        <is>
          <t>RESEARCH_OBSERVATION</t>
        </is>
      </c>
      <c r="AN80" s="24" t="inlineStr">
        <is>
          <t>CALL</t>
        </is>
      </c>
      <c r="AO80" s="24" t="inlineStr">
        <is>
          <t>PAPER_CALL_LOW_EDGE</t>
        </is>
      </c>
      <c r="AP80" s="24" t="inlineStr">
        <is>
          <t>Kiwoom Heroes</t>
        </is>
      </c>
      <c r="AQ80" s="24" t="inlineStr">
        <is>
          <t>Kiwoom Heroes</t>
        </is>
      </c>
      <c r="AR80" s="24" t="inlineStr">
        <is>
          <t>Kiwoom Heroes</t>
        </is>
      </c>
      <c r="AS80" s="24" t="inlineStr">
        <is>
          <t>Doosan Bears</t>
        </is>
      </c>
      <c r="AT80" s="24" t="inlineStr">
        <is>
          <t>Doosan Bears</t>
        </is>
      </c>
      <c r="AU80" s="24" t="inlineStr">
        <is>
          <t>Doosan Bears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f5cfad6aa1723de51809b2b394b1a43c5b223b6becba2953d7590040c822591d</t>
        </is>
      </c>
      <c r="BB80" s="24" t="inlineStr">
        <is>
          <t>tie_aware_elo</t>
        </is>
      </c>
      <c r="BC80" s="24" t="inlineStr">
        <is>
          <t>kbo-tie-aware-elo-v2</t>
        </is>
      </c>
      <c r="BD80" s="24" t="inlineStr">
        <is>
          <t>f5cfad6aa1723de51809b2b394b1a43c5b223b6becba2953d7590040c822591d</t>
        </is>
      </c>
      <c r="BE80" s="24" t="inlineStr">
        <is>
          <t>1</t>
        </is>
      </c>
      <c r="BF80" s="24" t="inlineStr">
        <is>
          <t>1</t>
        </is>
      </c>
      <c r="BG80" s="24" t="inlineStr">
        <is>
          <t>kbo-tie-aware-elo-v2</t>
        </is>
      </c>
      <c r="BH80" s="24" t="inlineStr">
        <is>
          <t>2026-08-30T03:34:40.916724Z</t>
        </is>
      </c>
      <c r="BI80" s="24" t="inlineStr">
        <is>
          <t>["same_event","same_team_same_day","same_league_same_day"]</t>
        </is>
      </c>
      <c r="BJ80" s="25" t="n"/>
      <c r="BK80" s="26" t="n">
        <v>-178</v>
      </c>
      <c r="BL80" s="27" t="n">
        <v>1.561798</v>
      </c>
      <c r="BM80" s="28" t="n">
        <v>0.640288</v>
      </c>
      <c r="BN80" s="28" t="n"/>
      <c r="BO80" s="28" t="n"/>
      <c r="BP80" s="25" t="n"/>
      <c r="BQ80" s="27" t="n"/>
      <c r="BR80" s="28" t="n"/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inlineStr">
        <is>
          <t>False</t>
        </is>
      </c>
      <c r="CT80" s="24" t="n"/>
      <c r="CU80" s="24" t="n"/>
      <c r="CV80" s="24" t="n"/>
      <c r="CW80" s="24" t="n"/>
      <c r="CX80" s="24" t="n"/>
      <c r="CY80" s="24" t="n"/>
      <c r="CZ80" s="24" t="n"/>
      <c r="DA80" s="24" t="n"/>
      <c r="DB80" s="24" t="n"/>
      <c r="DC80" s="24" t="n"/>
      <c r="DD80" s="24" t="n"/>
      <c r="DE80" s="24" t="n"/>
      <c r="DF80" s="24" t="n"/>
      <c r="DG80" s="24" t="n"/>
      <c r="DH80" s="24" t="n"/>
      <c r="DI80" s="24" t="n"/>
      <c r="DJ80" s="24" t="inlineStr">
        <is>
          <t>0.640288</t>
        </is>
      </c>
      <c r="DK80" s="24" t="n"/>
      <c r="DL80" s="24" t="n"/>
      <c r="DM80" s="24" t="n"/>
      <c r="DN80" s="24" t="n"/>
      <c r="DO80" s="24" t="n"/>
      <c r="DP80" s="24" t="n"/>
      <c r="DQ80" s="24" t="n"/>
    </row>
    <row r="81" ht="36" customHeight="1">
      <c r="A81" s="24" t="inlineStr">
        <is>
          <t>eea3abe15c3440fc</t>
        </is>
      </c>
      <c r="B81" s="24" t="inlineStr">
        <is>
          <t>2026-08-30T03:34:41.327852Z</t>
        </is>
      </c>
      <c r="C81" s="24" t="inlineStr">
        <is>
          <t>2026-08-30T09:00:00Z</t>
        </is>
      </c>
      <c r="D81" s="24" t="inlineStr">
        <is>
          <t>94173</t>
        </is>
      </c>
      <c r="E81" s="24" t="inlineStr">
        <is>
          <t>KBO</t>
        </is>
      </c>
      <c r="F81" s="24" t="inlineStr">
        <is>
          <t>KT Wiz</t>
        </is>
      </c>
      <c r="G81" s="24" t="inlineStr">
        <is>
          <t>Samsung Lions</t>
        </is>
      </c>
      <c r="H81" s="24" t="inlineStr">
        <is>
          <t>moneyline</t>
        </is>
      </c>
      <c r="I81" s="24" t="inlineStr">
        <is>
          <t>home</t>
        </is>
      </c>
      <c r="J81" s="25" t="n"/>
      <c r="K81" s="24" t="inlineStr">
        <is>
          <t>polymarket_us</t>
        </is>
      </c>
      <c r="L81" s="26" t="n">
        <v>-138</v>
      </c>
      <c r="M81" s="27" t="n">
        <v>1.724638</v>
      </c>
      <c r="N81" s="28" t="n">
        <v>0.579832</v>
      </c>
      <c r="O81" s="28" t="n">
        <v>0.528548</v>
      </c>
      <c r="P81" s="28" t="n"/>
      <c r="Q81" s="28" t="n">
        <v>-0.051284</v>
      </c>
      <c r="R81" s="26" t="n">
        <v>0</v>
      </c>
      <c r="S81" s="29" t="n">
        <v>1</v>
      </c>
      <c r="T81" s="24" t="inlineStr">
        <is>
          <t>kbo-tie-aware-elo-v2</t>
        </is>
      </c>
      <c r="U81" s="24" t="inlineStr">
        <is>
          <t>settled</t>
        </is>
      </c>
      <c r="V81" s="24" t="inlineStr">
        <is>
          <t>push</t>
        </is>
      </c>
      <c r="W81" s="26" t="n"/>
      <c r="X81" s="26" t="n"/>
      <c r="Y81" s="25" t="n"/>
      <c r="Z81" s="26" t="n"/>
      <c r="AA81" s="28" t="n"/>
      <c r="AB81" s="28" t="n"/>
      <c r="AC81" s="30" t="n">
        <v>0</v>
      </c>
      <c r="AD81" s="24" t="inlineStr">
        <is>
          <t>2026-10-06T22:59:09.445372Z</t>
        </is>
      </c>
      <c r="AE81" s="31" t="inlineStr">
        <is>
          <t>Tie-aware Elo baseline; executable ask 0.5800 (market_slug=aec-kbo-sla-kwt-2026-08-30). Tie probability=0.0226.</t>
        </is>
      </c>
      <c r="AF81" s="31" t="inlineStr">
        <is>
          <t>Config-promoted international baseball baseline; gates enforced at log time.</t>
        </is>
      </c>
      <c r="AG81" s="24" t="inlineStr">
        <is>
          <t>not_applicable</t>
        </is>
      </c>
      <c r="AH81" s="24" t="n"/>
      <c r="AI81" s="31" t="n"/>
      <c r="AJ81" s="31" t="n"/>
      <c r="AK81" s="24" t="inlineStr">
        <is>
          <t>paper_call</t>
        </is>
      </c>
      <c r="AL81" s="26" t="n">
        <v>4</v>
      </c>
      <c r="AM81" s="24" t="inlineStr">
        <is>
          <t>RESEARCH_OBSERVATION</t>
        </is>
      </c>
      <c r="AN81" s="24" t="inlineStr">
        <is>
          <t>CALL</t>
        </is>
      </c>
      <c r="AO81" s="24" t="inlineStr">
        <is>
          <t>PAPER_CALL_LOW_EDGE</t>
        </is>
      </c>
      <c r="AP81" s="24" t="inlineStr">
        <is>
          <t>KT Wiz</t>
        </is>
      </c>
      <c r="AQ81" s="24" t="inlineStr">
        <is>
          <t>KT Wiz</t>
        </is>
      </c>
      <c r="AR81" s="24" t="inlineStr">
        <is>
          <t>KT Wiz</t>
        </is>
      </c>
      <c r="AS81" s="24" t="inlineStr">
        <is>
          <t>Samsung Lions</t>
        </is>
      </c>
      <c r="AT81" s="24" t="inlineStr">
        <is>
          <t>Samsung Lions</t>
        </is>
      </c>
      <c r="AU81" s="24" t="inlineStr">
        <is>
          <t>Samsung Lions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f5cfad6aa1723de51809b2b394b1a43c5b223b6becba2953d7590040c822591d</t>
        </is>
      </c>
      <c r="BB81" s="24" t="inlineStr">
        <is>
          <t>tie_aware_elo</t>
        </is>
      </c>
      <c r="BC81" s="24" t="inlineStr">
        <is>
          <t>kbo-tie-aware-elo-v2</t>
        </is>
      </c>
      <c r="BD81" s="24" t="inlineStr">
        <is>
          <t>f5cfad6aa1723de51809b2b394b1a43c5b223b6becba2953d7590040c822591d</t>
        </is>
      </c>
      <c r="BE81" s="24" t="inlineStr">
        <is>
          <t>1</t>
        </is>
      </c>
      <c r="BF81" s="24" t="inlineStr">
        <is>
          <t>1</t>
        </is>
      </c>
      <c r="BG81" s="24" t="inlineStr">
        <is>
          <t>kbo-tie-aware-elo-v2</t>
        </is>
      </c>
      <c r="BH81" s="24" t="inlineStr">
        <is>
          <t>2026-08-30T03:34:41.035059Z</t>
        </is>
      </c>
      <c r="BI81" s="24" t="inlineStr">
        <is>
          <t>["same_event","same_team_same_day","same_league_same_day"]</t>
        </is>
      </c>
      <c r="BJ81" s="25" t="n"/>
      <c r="BK81" s="26" t="n">
        <v>-138</v>
      </c>
      <c r="BL81" s="27" t="n">
        <v>1.724638</v>
      </c>
      <c r="BM81" s="28" t="n">
        <v>0.579832</v>
      </c>
      <c r="BN81" s="28" t="n"/>
      <c r="BO81" s="28" t="n"/>
      <c r="BP81" s="25" t="n"/>
      <c r="BQ81" s="27" t="n"/>
      <c r="BR81" s="28" t="n"/>
      <c r="BS81" s="28" t="n"/>
      <c r="BT81" s="28" t="n"/>
      <c r="BU81" s="25" t="n"/>
      <c r="BV81" s="29" t="n"/>
      <c r="BW81" s="24" t="inlineStr">
        <is>
          <t>KBO game scheduled on 2026-08-30 cancelled/postponed (no final score posted after &gt;7 days)</t>
        </is>
      </c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inlineStr">
        <is>
          <t>False</t>
        </is>
      </c>
      <c r="CT81" s="24" t="n"/>
      <c r="CU81" s="24" t="n"/>
      <c r="CV81" s="24" t="n"/>
      <c r="CW81" s="24" t="n"/>
      <c r="CX81" s="24" t="n"/>
      <c r="CY81" s="24" t="n"/>
      <c r="CZ81" s="24" t="n"/>
      <c r="DA81" s="24" t="n"/>
      <c r="DB81" s="24" t="n"/>
      <c r="DC81" s="24" t="n"/>
      <c r="DD81" s="24" t="n"/>
      <c r="DE81" s="24" t="n"/>
      <c r="DF81" s="24" t="n"/>
      <c r="DG81" s="24" t="n"/>
      <c r="DH81" s="24" t="n"/>
      <c r="DI81" s="24" t="n"/>
      <c r="DJ81" s="24" t="inlineStr">
        <is>
          <t>0.579832</t>
        </is>
      </c>
      <c r="DK81" s="24" t="n"/>
      <c r="DL81" s="24" t="n"/>
      <c r="DM81" s="24" t="n"/>
      <c r="DN81" s="24" t="n"/>
      <c r="DO81" s="24" t="n"/>
      <c r="DP81" s="24" t="n"/>
      <c r="DQ81" s="24" t="n"/>
    </row>
    <row r="82" ht="36" customHeight="1">
      <c r="A82" s="24" t="inlineStr">
        <is>
          <t>0be9d2309ef84e33</t>
        </is>
      </c>
      <c r="B82" s="24" t="inlineStr">
        <is>
          <t>2026-08-30T03:34:41.327852Z</t>
        </is>
      </c>
      <c r="C82" s="24" t="inlineStr">
        <is>
          <t>2026-08-30T09:00:00Z</t>
        </is>
      </c>
      <c r="D82" s="24" t="inlineStr">
        <is>
          <t>94176</t>
        </is>
      </c>
      <c r="E82" s="24" t="inlineStr">
        <is>
          <t>KBO</t>
        </is>
      </c>
      <c r="F82" s="24" t="inlineStr">
        <is>
          <t>NC Dinos</t>
        </is>
      </c>
      <c r="G82" s="24" t="inlineStr">
        <is>
          <t>Hanwha Eagles</t>
        </is>
      </c>
      <c r="H82" s="24" t="inlineStr">
        <is>
          <t>moneyline</t>
        </is>
      </c>
      <c r="I82" s="24" t="inlineStr">
        <is>
          <t>away</t>
        </is>
      </c>
      <c r="J82" s="25" t="n"/>
      <c r="K82" s="24" t="inlineStr">
        <is>
          <t>polymarket_us</t>
        </is>
      </c>
      <c r="L82" s="26" t="n">
        <v>-104</v>
      </c>
      <c r="M82" s="27" t="n">
        <v>1.961538</v>
      </c>
      <c r="N82" s="28" t="n">
        <v>0.509804</v>
      </c>
      <c r="O82" s="28" t="n">
        <v>0.5061330000000001</v>
      </c>
      <c r="P82" s="28" t="n"/>
      <c r="Q82" s="28" t="n">
        <v>-0.003671</v>
      </c>
      <c r="R82" s="26" t="n">
        <v>18</v>
      </c>
      <c r="S82" s="29" t="n">
        <v>1</v>
      </c>
      <c r="T82" s="24" t="inlineStr">
        <is>
          <t>kbo-tie-aware-elo-v2</t>
        </is>
      </c>
      <c r="U82" s="24" t="inlineStr">
        <is>
          <t>settled</t>
        </is>
      </c>
      <c r="V82" s="24" t="inlineStr">
        <is>
          <t>win</t>
        </is>
      </c>
      <c r="W82" s="26" t="n">
        <v>10</v>
      </c>
      <c r="X82" s="26" t="n">
        <v>7</v>
      </c>
      <c r="Y82" s="25" t="n"/>
      <c r="Z82" s="26" t="n"/>
      <c r="AA82" s="28" t="n"/>
      <c r="AB82" s="28" t="n"/>
      <c r="AC82" s="30" t="n">
        <v>0.9615</v>
      </c>
      <c r="AD82" s="24" t="inlineStr">
        <is>
          <t>2026-08-30T16:03:01.766121Z</t>
        </is>
      </c>
      <c r="AE82" s="31" t="inlineStr">
        <is>
          <t>Tie-aware Elo baseline; executable ask 0.5100 (market_slug=aec-kbo-hea-ndc-2026-08-30). Tie probability=0.0226.</t>
        </is>
      </c>
      <c r="AF82" s="31" t="inlineStr">
        <is>
          <t>Config-promoted international baseball baseline; gates enforced at log time.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paper_call</t>
        </is>
      </c>
      <c r="AL82" s="26" t="n">
        <v>4</v>
      </c>
      <c r="AM82" s="24" t="inlineStr">
        <is>
          <t>RESEARCH_OBSERVATION</t>
        </is>
      </c>
      <c r="AN82" s="24" t="inlineStr">
        <is>
          <t>CALL</t>
        </is>
      </c>
      <c r="AO82" s="24" t="inlineStr">
        <is>
          <t>PAPER_CALL_LOW_EDGE</t>
        </is>
      </c>
      <c r="AP82" s="24" t="inlineStr">
        <is>
          <t>NC Dinos</t>
        </is>
      </c>
      <c r="AQ82" s="24" t="inlineStr">
        <is>
          <t>NC Dinos</t>
        </is>
      </c>
      <c r="AR82" s="24" t="inlineStr">
        <is>
          <t>NC Dinos</t>
        </is>
      </c>
      <c r="AS82" s="24" t="inlineStr">
        <is>
          <t>Hanwha Eagles</t>
        </is>
      </c>
      <c r="AT82" s="24" t="inlineStr">
        <is>
          <t>Hanwha Eagles</t>
        </is>
      </c>
      <c r="AU82" s="24" t="inlineStr">
        <is>
          <t>Hanwha Eagles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f5cfad6aa1723de51809b2b394b1a43c5b223b6becba2953d7590040c822591d</t>
        </is>
      </c>
      <c r="BB82" s="24" t="inlineStr">
        <is>
          <t>tie_aware_elo</t>
        </is>
      </c>
      <c r="BC82" s="24" t="inlineStr">
        <is>
          <t>kbo-tie-aware-elo-v2</t>
        </is>
      </c>
      <c r="BD82" s="24" t="inlineStr">
        <is>
          <t>f5cfad6aa1723de51809b2b394b1a43c5b223b6becba2953d7590040c822591d</t>
        </is>
      </c>
      <c r="BE82" s="24" t="inlineStr">
        <is>
          <t>1</t>
        </is>
      </c>
      <c r="BF82" s="24" t="inlineStr">
        <is>
          <t>1</t>
        </is>
      </c>
      <c r="BG82" s="24" t="inlineStr">
        <is>
          <t>kbo-tie-aware-elo-v2</t>
        </is>
      </c>
      <c r="BH82" s="24" t="inlineStr">
        <is>
          <t>2026-08-30T03:34:41.112388Z</t>
        </is>
      </c>
      <c r="BI82" s="24" t="inlineStr">
        <is>
          <t>["same_event","same_team_same_day","same_league_same_day"]</t>
        </is>
      </c>
      <c r="BJ82" s="25" t="n"/>
      <c r="BK82" s="26" t="n">
        <v>-104</v>
      </c>
      <c r="BL82" s="27" t="n">
        <v>1.961538</v>
      </c>
      <c r="BM82" s="28" t="n">
        <v>0.509804</v>
      </c>
      <c r="BN82" s="28" t="n"/>
      <c r="BO82" s="28" t="n"/>
      <c r="BP82" s="25" t="n"/>
      <c r="BQ82" s="27" t="n"/>
      <c r="BR82" s="28" t="n"/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inlineStr">
        <is>
          <t>False</t>
        </is>
      </c>
      <c r="CT82" s="24" t="n"/>
      <c r="CU82" s="24" t="n"/>
      <c r="CV82" s="24" t="n"/>
      <c r="CW82" s="24" t="n"/>
      <c r="CX82" s="24" t="n"/>
      <c r="CY82" s="24" t="n"/>
      <c r="CZ82" s="24" t="n"/>
      <c r="DA82" s="24" t="n"/>
      <c r="DB82" s="24" t="n"/>
      <c r="DC82" s="24" t="n"/>
      <c r="DD82" s="24" t="n"/>
      <c r="DE82" s="24" t="n"/>
      <c r="DF82" s="24" t="n"/>
      <c r="DG82" s="24" t="n"/>
      <c r="DH82" s="24" t="n"/>
      <c r="DI82" s="24" t="n"/>
      <c r="DJ82" s="24" t="inlineStr">
        <is>
          <t>0.509804</t>
        </is>
      </c>
      <c r="DK82" s="24" t="n"/>
      <c r="DL82" s="24" t="n"/>
      <c r="DM82" s="24" t="n"/>
      <c r="DN82" s="24" t="n"/>
      <c r="DO82" s="24" t="n"/>
      <c r="DP82" s="24" t="n"/>
      <c r="DQ82" s="24" t="n"/>
    </row>
    <row r="83" ht="36" customHeight="1">
      <c r="A83" s="24" t="inlineStr">
        <is>
          <t>b450927c50b84d05</t>
        </is>
      </c>
      <c r="B83" s="24" t="inlineStr">
        <is>
          <t>2026-08-30T03:34:41.327852Z</t>
        </is>
      </c>
      <c r="C83" s="24" t="inlineStr">
        <is>
          <t>2026-08-30T09:00:00Z</t>
        </is>
      </c>
      <c r="D83" s="24" t="inlineStr">
        <is>
          <t>94181</t>
        </is>
      </c>
      <c r="E83" s="24" t="inlineStr">
        <is>
          <t>KBO</t>
        </is>
      </c>
      <c r="F83" s="24" t="inlineStr">
        <is>
          <t>SSG Landers</t>
        </is>
      </c>
      <c r="G83" s="24" t="inlineStr">
        <is>
          <t>Kia Tigers</t>
        </is>
      </c>
      <c r="H83" s="24" t="inlineStr">
        <is>
          <t>moneyline</t>
        </is>
      </c>
      <c r="I83" s="24" t="inlineStr">
        <is>
          <t>home</t>
        </is>
      </c>
      <c r="J83" s="25" t="n"/>
      <c r="K83" s="24" t="inlineStr">
        <is>
          <t>polymarket_us</t>
        </is>
      </c>
      <c r="L83" s="26" t="n">
        <v>-194</v>
      </c>
      <c r="M83" s="27" t="n">
        <v>1.515464</v>
      </c>
      <c r="N83" s="28" t="n">
        <v>0.659864</v>
      </c>
      <c r="O83" s="28" t="n">
        <v>0.59436</v>
      </c>
      <c r="P83" s="28" t="n"/>
      <c r="Q83" s="28" t="n">
        <v>-0.06550400000000001</v>
      </c>
      <c r="R83" s="26" t="n">
        <v>0</v>
      </c>
      <c r="S83" s="29" t="n">
        <v>1</v>
      </c>
      <c r="T83" s="24" t="inlineStr">
        <is>
          <t>kbo-tie-aware-elo-v2</t>
        </is>
      </c>
      <c r="U83" s="24" t="inlineStr">
        <is>
          <t>settled</t>
        </is>
      </c>
      <c r="V83" s="24" t="inlineStr">
        <is>
          <t>push</t>
        </is>
      </c>
      <c r="W83" s="26" t="n"/>
      <c r="X83" s="26" t="n"/>
      <c r="Y83" s="25" t="n"/>
      <c r="Z83" s="26" t="n"/>
      <c r="AA83" s="28" t="n"/>
      <c r="AB83" s="28" t="n"/>
      <c r="AC83" s="30" t="n">
        <v>0</v>
      </c>
      <c r="AD83" s="24" t="inlineStr">
        <is>
          <t>2026-10-06T22:59:14.166627Z</t>
        </is>
      </c>
      <c r="AE83" s="31" t="inlineStr">
        <is>
          <t>Tie-aware Elo baseline; executable ask 0.6600 (market_slug=aec-kbo-kti-sls-2026-08-30). Tie probability=0.0226.</t>
        </is>
      </c>
      <c r="AF83" s="31" t="inlineStr">
        <is>
          <t>Config-promoted international baseball baseline; gates enforced at log time.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paper_call</t>
        </is>
      </c>
      <c r="AL83" s="26" t="n">
        <v>4</v>
      </c>
      <c r="AM83" s="24" t="inlineStr">
        <is>
          <t>RESEARCH_OBSERVATION</t>
        </is>
      </c>
      <c r="AN83" s="24" t="inlineStr">
        <is>
          <t>CALL</t>
        </is>
      </c>
      <c r="AO83" s="24" t="inlineStr">
        <is>
          <t>PAPER_CALL_LOW_EDGE</t>
        </is>
      </c>
      <c r="AP83" s="24" t="inlineStr">
        <is>
          <t>SSG Landers</t>
        </is>
      </c>
      <c r="AQ83" s="24" t="inlineStr">
        <is>
          <t>SSG Landers</t>
        </is>
      </c>
      <c r="AR83" s="24" t="inlineStr">
        <is>
          <t>SSG Landers</t>
        </is>
      </c>
      <c r="AS83" s="24" t="inlineStr">
        <is>
          <t>Kia Tigers</t>
        </is>
      </c>
      <c r="AT83" s="24" t="inlineStr">
        <is>
          <t>Kia Tigers</t>
        </is>
      </c>
      <c r="AU83" s="24" t="inlineStr">
        <is>
          <t>Kia Tigers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f5cfad6aa1723de51809b2b394b1a43c5b223b6becba2953d7590040c822591d</t>
        </is>
      </c>
      <c r="BB83" s="24" t="inlineStr">
        <is>
          <t>tie_aware_elo</t>
        </is>
      </c>
      <c r="BC83" s="24" t="inlineStr">
        <is>
          <t>kbo-tie-aware-elo-v2</t>
        </is>
      </c>
      <c r="BD83" s="24" t="inlineStr">
        <is>
          <t>f5cfad6aa1723de51809b2b394b1a43c5b223b6becba2953d7590040c822591d</t>
        </is>
      </c>
      <c r="BE83" s="24" t="inlineStr">
        <is>
          <t>1</t>
        </is>
      </c>
      <c r="BF83" s="24" t="inlineStr">
        <is>
          <t>1</t>
        </is>
      </c>
      <c r="BG83" s="24" t="inlineStr">
        <is>
          <t>kbo-tie-aware-elo-v2</t>
        </is>
      </c>
      <c r="BH83" s="24" t="inlineStr">
        <is>
          <t>2026-08-30T03:34:41.259945Z</t>
        </is>
      </c>
      <c r="BI83" s="24" t="inlineStr">
        <is>
          <t>["same_event","same_team_same_day","same_league_same_day"]</t>
        </is>
      </c>
      <c r="BJ83" s="25" t="n"/>
      <c r="BK83" s="26" t="n">
        <v>-194</v>
      </c>
      <c r="BL83" s="27" t="n">
        <v>1.515464</v>
      </c>
      <c r="BM83" s="28" t="n">
        <v>0.659864</v>
      </c>
      <c r="BN83" s="28" t="n"/>
      <c r="BO83" s="28" t="n"/>
      <c r="BP83" s="25" t="n"/>
      <c r="BQ83" s="27" t="n"/>
      <c r="BR83" s="28" t="n"/>
      <c r="BS83" s="28" t="n"/>
      <c r="BT83" s="28" t="n"/>
      <c r="BU83" s="25" t="n"/>
      <c r="BV83" s="29" t="n"/>
      <c r="BW83" s="24" t="inlineStr">
        <is>
          <t>KBO game scheduled on 2026-08-30 cancelled/postponed (no final score posted after &gt;7 days)</t>
        </is>
      </c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inlineStr">
        <is>
          <t>False</t>
        </is>
      </c>
      <c r="CT83" s="24" t="n"/>
      <c r="CU83" s="24" t="n"/>
      <c r="CV83" s="24" t="n"/>
      <c r="CW83" s="24" t="n"/>
      <c r="CX83" s="24" t="n"/>
      <c r="CY83" s="24" t="n"/>
      <c r="CZ83" s="24" t="n"/>
      <c r="DA83" s="24" t="n"/>
      <c r="DB83" s="24" t="n"/>
      <c r="DC83" s="24" t="n"/>
      <c r="DD83" s="24" t="n"/>
      <c r="DE83" s="24" t="n"/>
      <c r="DF83" s="24" t="n"/>
      <c r="DG83" s="24" t="n"/>
      <c r="DH83" s="24" t="n"/>
      <c r="DI83" s="24" t="n"/>
      <c r="DJ83" s="24" t="inlineStr">
        <is>
          <t>0.659864</t>
        </is>
      </c>
      <c r="DK83" s="24" t="n"/>
      <c r="DL83" s="24" t="n"/>
      <c r="DM83" s="24" t="n"/>
      <c r="DN83" s="24" t="n"/>
      <c r="DO83" s="24" t="n"/>
      <c r="DP83" s="24" t="n"/>
      <c r="DQ83" s="24" t="n"/>
    </row>
    <row r="84" ht="36" customHeight="1">
      <c r="A84" s="24" t="inlineStr">
        <is>
          <t>9fa7e4d9eabc40ec</t>
        </is>
      </c>
      <c r="B84" s="24" t="inlineStr">
        <is>
          <t>2026-08-30T03:34:41.327852Z</t>
        </is>
      </c>
      <c r="C84" s="24" t="inlineStr">
        <is>
          <t>2026-08-30T09:00:00Z</t>
        </is>
      </c>
      <c r="D84" s="24" t="inlineStr">
        <is>
          <t>94183</t>
        </is>
      </c>
      <c r="E84" s="24" t="inlineStr">
        <is>
          <t>KBO</t>
        </is>
      </c>
      <c r="F84" s="24" t="inlineStr">
        <is>
          <t>LG Twins</t>
        </is>
      </c>
      <c r="G84" s="24" t="inlineStr">
        <is>
          <t>Lotte Giants</t>
        </is>
      </c>
      <c r="H84" s="24" t="inlineStr">
        <is>
          <t>moneyline</t>
        </is>
      </c>
      <c r="I84" s="24" t="inlineStr">
        <is>
          <t>away</t>
        </is>
      </c>
      <c r="J84" s="25" t="n"/>
      <c r="K84" s="24" t="inlineStr">
        <is>
          <t>polymarket_us</t>
        </is>
      </c>
      <c r="L84" s="26" t="n">
        <v>-170</v>
      </c>
      <c r="M84" s="27" t="n">
        <v>1.588235</v>
      </c>
      <c r="N84" s="28" t="n">
        <v>0.62963</v>
      </c>
      <c r="O84" s="28" t="n">
        <v>0.512311</v>
      </c>
      <c r="P84" s="28" t="n"/>
      <c r="Q84" s="28" t="n">
        <v>-0.117319</v>
      </c>
      <c r="R84" s="26" t="n">
        <v>0</v>
      </c>
      <c r="S84" s="29" t="n">
        <v>1</v>
      </c>
      <c r="T84" s="24" t="inlineStr">
        <is>
          <t>kbo-tie-aware-elo-v2</t>
        </is>
      </c>
      <c r="U84" s="24" t="inlineStr">
        <is>
          <t>settled</t>
        </is>
      </c>
      <c r="V84" s="24" t="inlineStr">
        <is>
          <t>push</t>
        </is>
      </c>
      <c r="W84" s="26" t="n"/>
      <c r="X84" s="26" t="n"/>
      <c r="Y84" s="25" t="n"/>
      <c r="Z84" s="26" t="n"/>
      <c r="AA84" s="28" t="n"/>
      <c r="AB84" s="28" t="n"/>
      <c r="AC84" s="30" t="n">
        <v>0</v>
      </c>
      <c r="AD84" s="24" t="inlineStr">
        <is>
          <t>2026-10-06T22:59:18.761476Z</t>
        </is>
      </c>
      <c r="AE84" s="31" t="inlineStr">
        <is>
          <t>Tie-aware Elo baseline; executable ask 0.6300 (market_slug=aec-kbo-lgo-ltg-2026-08-30). Tie probability=0.0226.</t>
        </is>
      </c>
      <c r="AF84" s="31" t="inlineStr">
        <is>
          <t>Config-promoted international baseball baseline; gates enforced at log time.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paper_call</t>
        </is>
      </c>
      <c r="AL84" s="26" t="n">
        <v>4</v>
      </c>
      <c r="AM84" s="24" t="inlineStr">
        <is>
          <t>RESEARCH_OBSERVATION</t>
        </is>
      </c>
      <c r="AN84" s="24" t="inlineStr">
        <is>
          <t>CALL</t>
        </is>
      </c>
      <c r="AO84" s="24" t="inlineStr">
        <is>
          <t>PAPER_CALL_LOW_EDGE</t>
        </is>
      </c>
      <c r="AP84" s="24" t="inlineStr">
        <is>
          <t>LG Twins</t>
        </is>
      </c>
      <c r="AQ84" s="24" t="inlineStr">
        <is>
          <t>LG Twins</t>
        </is>
      </c>
      <c r="AR84" s="24" t="inlineStr">
        <is>
          <t>LG Twins</t>
        </is>
      </c>
      <c r="AS84" s="24" t="inlineStr">
        <is>
          <t>Lotte Giants</t>
        </is>
      </c>
      <c r="AT84" s="24" t="inlineStr">
        <is>
          <t>Lotte Giants</t>
        </is>
      </c>
      <c r="AU84" s="24" t="inlineStr">
        <is>
          <t>Lotte Giants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f5cfad6aa1723de51809b2b394b1a43c5b223b6becba2953d7590040c822591d</t>
        </is>
      </c>
      <c r="BB84" s="24" t="inlineStr">
        <is>
          <t>tie_aware_elo</t>
        </is>
      </c>
      <c r="BC84" s="24" t="inlineStr">
        <is>
          <t>kbo-tie-aware-elo-v2</t>
        </is>
      </c>
      <c r="BD84" s="24" t="inlineStr">
        <is>
          <t>f5cfad6aa1723de51809b2b394b1a43c5b223b6becba2953d7590040c822591d</t>
        </is>
      </c>
      <c r="BE84" s="24" t="inlineStr">
        <is>
          <t>1</t>
        </is>
      </c>
      <c r="BF84" s="24" t="inlineStr">
        <is>
          <t>1</t>
        </is>
      </c>
      <c r="BG84" s="24" t="inlineStr">
        <is>
          <t>kbo-tie-aware-elo-v2</t>
        </is>
      </c>
      <c r="BH84" s="24" t="inlineStr">
        <is>
          <t>2026-08-30T03:34:41.327805Z</t>
        </is>
      </c>
      <c r="BI84" s="24" t="inlineStr">
        <is>
          <t>["same_event","same_team_same_day","same_league_same_day"]</t>
        </is>
      </c>
      <c r="BJ84" s="25" t="n"/>
      <c r="BK84" s="26" t="n">
        <v>-170</v>
      </c>
      <c r="BL84" s="27" t="n">
        <v>1.588235</v>
      </c>
      <c r="BM84" s="28" t="n">
        <v>0.62963</v>
      </c>
      <c r="BN84" s="28" t="n"/>
      <c r="BO84" s="28" t="n"/>
      <c r="BP84" s="25" t="n"/>
      <c r="BQ84" s="27" t="n"/>
      <c r="BR84" s="28" t="n"/>
      <c r="BS84" s="28" t="n"/>
      <c r="BT84" s="28" t="n"/>
      <c r="BU84" s="25" t="n"/>
      <c r="BV84" s="29" t="n"/>
      <c r="BW84" s="24" t="inlineStr">
        <is>
          <t>KBO game scheduled on 2026-08-30 cancelled/postponed (no final score posted after &gt;7 days)</t>
        </is>
      </c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inlineStr">
        <is>
          <t>False</t>
        </is>
      </c>
      <c r="CT84" s="24" t="n"/>
      <c r="CU84" s="24" t="n"/>
      <c r="CV84" s="24" t="n"/>
      <c r="CW84" s="24" t="n"/>
      <c r="CX84" s="24" t="n"/>
      <c r="CY84" s="24" t="n"/>
      <c r="CZ84" s="24" t="n"/>
      <c r="DA84" s="24" t="n"/>
      <c r="DB84" s="24" t="n"/>
      <c r="DC84" s="24" t="n"/>
      <c r="DD84" s="24" t="n"/>
      <c r="DE84" s="24" t="n"/>
      <c r="DF84" s="24" t="n"/>
      <c r="DG84" s="24" t="n"/>
      <c r="DH84" s="24" t="n"/>
      <c r="DI84" s="24" t="n"/>
      <c r="DJ84" s="24" t="inlineStr">
        <is>
          <t>0.62963</t>
        </is>
      </c>
      <c r="DK84" s="24" t="n"/>
      <c r="DL84" s="24" t="n"/>
      <c r="DM84" s="24" t="n"/>
      <c r="DN84" s="24" t="n"/>
      <c r="DO84" s="24" t="n"/>
      <c r="DP84" s="24" t="n"/>
      <c r="DQ84" s="24" t="n"/>
    </row>
    <row r="85" ht="36" customHeight="1">
      <c r="A85" s="24" t="inlineStr">
        <is>
          <t>4c15c1bfd20c45b0</t>
        </is>
      </c>
      <c r="B85" s="24" t="inlineStr">
        <is>
          <t>2026-09-01T04:43:17.019428Z</t>
        </is>
      </c>
      <c r="C85" s="24" t="inlineStr">
        <is>
          <t>2026-09-01T09:30:00Z</t>
        </is>
      </c>
      <c r="D85" s="24" t="inlineStr">
        <is>
          <t>95783</t>
        </is>
      </c>
      <c r="E85" s="24" t="inlineStr">
        <is>
          <t>KBO</t>
        </is>
      </c>
      <c r="F85" s="24" t="inlineStr">
        <is>
          <t>SSG Landers</t>
        </is>
      </c>
      <c r="G85" s="24" t="inlineStr">
        <is>
          <t>Kiwoom Heroes</t>
        </is>
      </c>
      <c r="H85" s="24" t="inlineStr">
        <is>
          <t>moneyline</t>
        </is>
      </c>
      <c r="I85" s="24" t="inlineStr">
        <is>
          <t>away</t>
        </is>
      </c>
      <c r="J85" s="25" t="n"/>
      <c r="K85" s="24" t="inlineStr">
        <is>
          <t>polymarket_us</t>
        </is>
      </c>
      <c r="L85" s="26" t="n">
        <v>108</v>
      </c>
      <c r="M85" s="27" t="n">
        <v>2.08</v>
      </c>
      <c r="N85" s="28" t="n">
        <v>0.480769</v>
      </c>
      <c r="O85" s="28" t="n">
        <v>0.557247</v>
      </c>
      <c r="P85" s="28" t="n"/>
      <c r="Q85" s="28" t="n">
        <v>0.076478</v>
      </c>
      <c r="R85" s="26" t="n">
        <v>58</v>
      </c>
      <c r="S85" s="29" t="n">
        <v>1.25</v>
      </c>
      <c r="T85" s="24" t="inlineStr">
        <is>
          <t>kbo-tie-aware-elo-v2</t>
        </is>
      </c>
      <c r="U85" s="24" t="inlineStr">
        <is>
          <t>settled</t>
        </is>
      </c>
      <c r="V85" s="24" t="inlineStr">
        <is>
          <t>win</t>
        </is>
      </c>
      <c r="W85" s="26" t="n">
        <v>4</v>
      </c>
      <c r="X85" s="26" t="n">
        <v>0</v>
      </c>
      <c r="Y85" s="25" t="n"/>
      <c r="Z85" s="26" t="n">
        <v>108</v>
      </c>
      <c r="AA85" s="28" t="n">
        <v>0.48</v>
      </c>
      <c r="AB85" s="28" t="n">
        <v>-0.000769</v>
      </c>
      <c r="AC85" s="30" t="n">
        <v>1.35</v>
      </c>
      <c r="AD85" s="24" t="inlineStr">
        <is>
          <t>2026-09-01T13:46:53.788803Z</t>
        </is>
      </c>
      <c r="AE85" s="31" t="inlineStr">
        <is>
          <t>Tie-aware Elo baseline; executable ask 0.4800 (market_slug=aec-kbo-khi-sls-2026-09-01). Tie probability=0.0226.</t>
        </is>
      </c>
      <c r="AF85" s="31" t="inlineStr">
        <is>
          <t>Config-promoted international baseball baseline; gates enforced at log time.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paper_call</t>
        </is>
      </c>
      <c r="AL85" s="26" t="n">
        <v>4</v>
      </c>
      <c r="AM85" s="24" t="inlineStr">
        <is>
          <t>RESEARCH_OBSERVATION</t>
        </is>
      </c>
      <c r="AN85" s="24" t="inlineStr">
        <is>
          <t>CALL</t>
        </is>
      </c>
      <c r="AO85" s="24" t="inlineStr">
        <is>
          <t>PAPER_CALL_LOW_EDGE</t>
        </is>
      </c>
      <c r="AP85" s="24" t="inlineStr">
        <is>
          <t>SSG Landers</t>
        </is>
      </c>
      <c r="AQ85" s="24" t="inlineStr">
        <is>
          <t>SSG Landers</t>
        </is>
      </c>
      <c r="AR85" s="24" t="inlineStr">
        <is>
          <t>SSG Landers</t>
        </is>
      </c>
      <c r="AS85" s="24" t="inlineStr">
        <is>
          <t>Kiwoom Heroes</t>
        </is>
      </c>
      <c r="AT85" s="24" t="inlineStr">
        <is>
          <t>Kiwoom Heroes</t>
        </is>
      </c>
      <c r="AU85" s="24" t="inlineStr">
        <is>
          <t>Kiwoom Heroes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baf98f150fe2eec3c9656477333cbdd7ab9d7b1bd711eb8db0099bb6d390698b</t>
        </is>
      </c>
      <c r="BB85" s="24" t="inlineStr">
        <is>
          <t>tie_aware_elo</t>
        </is>
      </c>
      <c r="BC85" s="24" t="inlineStr">
        <is>
          <t>kbo-tie-aware-elo-v2</t>
        </is>
      </c>
      <c r="BD85" s="24" t="inlineStr">
        <is>
          <t>baf98f150fe2eec3c9656477333cbdd7ab9d7b1bd711eb8db0099bb6d390698b</t>
        </is>
      </c>
      <c r="BE85" s="24" t="inlineStr">
        <is>
          <t>1</t>
        </is>
      </c>
      <c r="BF85" s="24" t="inlineStr">
        <is>
          <t>1</t>
        </is>
      </c>
      <c r="BG85" s="24" t="inlineStr">
        <is>
          <t>kbo-tie-aware-elo-v2</t>
        </is>
      </c>
      <c r="BH85" s="24" t="inlineStr">
        <is>
          <t>2026-09-01T04:43:15.190721Z</t>
        </is>
      </c>
      <c r="BI85" s="24" t="inlineStr">
        <is>
          <t>["same_event","same_team_same_day","same_league_same_day"]</t>
        </is>
      </c>
      <c r="BJ85" s="25" t="n"/>
      <c r="BK85" s="26" t="n">
        <v>108</v>
      </c>
      <c r="BL85" s="27" t="n">
        <v>2.08</v>
      </c>
      <c r="BM85" s="28" t="n">
        <v>0.480769</v>
      </c>
      <c r="BN85" s="28" t="n"/>
      <c r="BO85" s="28" t="n"/>
      <c r="BP85" s="25" t="n"/>
      <c r="BQ85" s="27" t="n">
        <v>2.08</v>
      </c>
      <c r="BR85" s="28" t="n">
        <v>0.48</v>
      </c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inlineStr">
        <is>
          <t>True</t>
        </is>
      </c>
      <c r="CT85" s="24" t="n"/>
      <c r="CU85" s="24" t="n"/>
      <c r="CV85" s="24" t="n"/>
      <c r="CW85" s="24" t="n"/>
      <c r="CX85" s="24" t="n"/>
      <c r="CY85" s="24" t="n"/>
      <c r="CZ85" s="24" t="n"/>
      <c r="DA85" s="24" t="n"/>
      <c r="DB85" s="24" t="n"/>
      <c r="DC85" s="24" t="n"/>
      <c r="DD85" s="24" t="n"/>
      <c r="DE85" s="24" t="n"/>
      <c r="DF85" s="24" t="n"/>
      <c r="DG85" s="24" t="n"/>
      <c r="DH85" s="24" t="n"/>
      <c r="DI85" s="24" t="n"/>
      <c r="DJ85" s="24" t="inlineStr">
        <is>
          <t>0.480769</t>
        </is>
      </c>
      <c r="DK85" s="24" t="n"/>
      <c r="DL85" s="24" t="n"/>
      <c r="DM85" s="24" t="n"/>
      <c r="DN85" s="24" t="n"/>
      <c r="DO85" s="24" t="n"/>
      <c r="DP85" s="24" t="n"/>
      <c r="DQ85" s="24" t="n"/>
    </row>
    <row r="86" ht="36" customHeight="1">
      <c r="A86" s="24" t="inlineStr">
        <is>
          <t>d479a6e6cd21415a</t>
        </is>
      </c>
      <c r="B86" s="24" t="inlineStr">
        <is>
          <t>2026-09-01T04:43:17.019428Z</t>
        </is>
      </c>
      <c r="C86" s="24" t="inlineStr">
        <is>
          <t>2026-09-01T09:30:00Z</t>
        </is>
      </c>
      <c r="D86" s="24" t="inlineStr">
        <is>
          <t>95784</t>
        </is>
      </c>
      <c r="E86" s="24" t="inlineStr">
        <is>
          <t>KBO</t>
        </is>
      </c>
      <c r="F86" s="24" t="inlineStr">
        <is>
          <t>LG Twins</t>
        </is>
      </c>
      <c r="G86" s="24" t="inlineStr">
        <is>
          <t>Doosan Bears</t>
        </is>
      </c>
      <c r="H86" s="24" t="inlineStr">
        <is>
          <t>moneyline</t>
        </is>
      </c>
      <c r="I86" s="24" t="inlineStr">
        <is>
          <t>home</t>
        </is>
      </c>
      <c r="J86" s="25" t="n"/>
      <c r="K86" s="24" t="inlineStr">
        <is>
          <t>polymarket_us</t>
        </is>
      </c>
      <c r="L86" s="26" t="n">
        <v>117</v>
      </c>
      <c r="M86" s="27" t="n">
        <v>2.17</v>
      </c>
      <c r="N86" s="28" t="n">
        <v>0.460829</v>
      </c>
      <c r="O86" s="28" t="n">
        <v>0.519616</v>
      </c>
      <c r="P86" s="28" t="n"/>
      <c r="Q86" s="28" t="n">
        <v>0.058787</v>
      </c>
      <c r="R86" s="26" t="n">
        <v>49</v>
      </c>
      <c r="S86" s="29" t="n">
        <v>1</v>
      </c>
      <c r="T86" s="24" t="inlineStr">
        <is>
          <t>kbo-tie-aware-elo-v2</t>
        </is>
      </c>
      <c r="U86" s="24" t="inlineStr">
        <is>
          <t>settled</t>
        </is>
      </c>
      <c r="V86" s="24" t="inlineStr">
        <is>
          <t>loss</t>
        </is>
      </c>
      <c r="W86" s="26" t="n">
        <v>3</v>
      </c>
      <c r="X86" s="26" t="n">
        <v>1</v>
      </c>
      <c r="Y86" s="25" t="n"/>
      <c r="Z86" s="26" t="n">
        <v>117</v>
      </c>
      <c r="AA86" s="28" t="n">
        <v>0.46</v>
      </c>
      <c r="AB86" s="28" t="n">
        <v>-0.000829</v>
      </c>
      <c r="AC86" s="30" t="n">
        <v>-1</v>
      </c>
      <c r="AD86" s="24" t="inlineStr">
        <is>
          <t>2026-09-01T13:46:53.941781Z</t>
        </is>
      </c>
      <c r="AE86" s="31" t="inlineStr">
        <is>
          <t>Tie-aware Elo baseline; executable ask 0.4600 (market_slug=aec-kbo-dbo-ltg-2026-09-01). Tie probability=0.0226.</t>
        </is>
      </c>
      <c r="AF86" s="31" t="inlineStr">
        <is>
          <t>Config-promoted international baseball baseline; gates enforced at log time.</t>
        </is>
      </c>
      <c r="AG86" s="24" t="inlineStr">
        <is>
          <t>review_required</t>
        </is>
      </c>
      <c r="AH86" s="24" t="n"/>
      <c r="AI86" s="31" t="n"/>
      <c r="AJ86" s="31" t="n"/>
      <c r="AK86" s="24" t="inlineStr">
        <is>
          <t>paper_call</t>
        </is>
      </c>
      <c r="AL86" s="26" t="n">
        <v>4</v>
      </c>
      <c r="AM86" s="24" t="inlineStr">
        <is>
          <t>RESEARCH_OBSERVATION</t>
        </is>
      </c>
      <c r="AN86" s="24" t="inlineStr">
        <is>
          <t>CALL</t>
        </is>
      </c>
      <c r="AO86" s="24" t="inlineStr">
        <is>
          <t>PAPER_CALL_LOW_EDGE</t>
        </is>
      </c>
      <c r="AP86" s="24" t="inlineStr">
        <is>
          <t>LG Twins</t>
        </is>
      </c>
      <c r="AQ86" s="24" t="inlineStr">
        <is>
          <t>LG Twins</t>
        </is>
      </c>
      <c r="AR86" s="24" t="inlineStr">
        <is>
          <t>LG Twins</t>
        </is>
      </c>
      <c r="AS86" s="24" t="inlineStr">
        <is>
          <t>Doosan Bears</t>
        </is>
      </c>
      <c r="AT86" s="24" t="inlineStr">
        <is>
          <t>Doosan Bears</t>
        </is>
      </c>
      <c r="AU86" s="24" t="inlineStr">
        <is>
          <t>Doosan Bears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baf98f150fe2eec3c9656477333cbdd7ab9d7b1bd711eb8db0099bb6d390698b</t>
        </is>
      </c>
      <c r="BB86" s="24" t="inlineStr">
        <is>
          <t>tie_aware_elo</t>
        </is>
      </c>
      <c r="BC86" s="24" t="inlineStr">
        <is>
          <t>kbo-tie-aware-elo-v2</t>
        </is>
      </c>
      <c r="BD86" s="24" t="inlineStr">
        <is>
          <t>baf98f150fe2eec3c9656477333cbdd7ab9d7b1bd711eb8db0099bb6d390698b</t>
        </is>
      </c>
      <c r="BE86" s="24" t="inlineStr">
        <is>
          <t>1</t>
        </is>
      </c>
      <c r="BF86" s="24" t="inlineStr">
        <is>
          <t>1</t>
        </is>
      </c>
      <c r="BG86" s="24" t="inlineStr">
        <is>
          <t>kbo-tie-aware-elo-v2</t>
        </is>
      </c>
      <c r="BH86" s="24" t="inlineStr">
        <is>
          <t>2026-09-01T04:43:15.920963Z</t>
        </is>
      </c>
      <c r="BI86" s="24" t="inlineStr">
        <is>
          <t>["same_event","same_team_same_day","same_league_same_day"]</t>
        </is>
      </c>
      <c r="BJ86" s="25" t="n"/>
      <c r="BK86" s="26" t="n">
        <v>117</v>
      </c>
      <c r="BL86" s="27" t="n">
        <v>2.17</v>
      </c>
      <c r="BM86" s="28" t="n">
        <v>0.460829</v>
      </c>
      <c r="BN86" s="28" t="n"/>
      <c r="BO86" s="28" t="n"/>
      <c r="BP86" s="25" t="n"/>
      <c r="BQ86" s="27" t="n">
        <v>2.17</v>
      </c>
      <c r="BR86" s="28" t="n">
        <v>0.46</v>
      </c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inlineStr">
        <is>
          <t>True</t>
        </is>
      </c>
      <c r="CT86" s="24" t="n"/>
      <c r="CU86" s="24" t="n"/>
      <c r="CV86" s="24" t="n"/>
      <c r="CW86" s="24" t="n"/>
      <c r="CX86" s="24" t="n"/>
      <c r="CY86" s="24" t="n"/>
      <c r="CZ86" s="24" t="n"/>
      <c r="DA86" s="24" t="n"/>
      <c r="DB86" s="24" t="n"/>
      <c r="DC86" s="24" t="n"/>
      <c r="DD86" s="24" t="n"/>
      <c r="DE86" s="24" t="n"/>
      <c r="DF86" s="24" t="n"/>
      <c r="DG86" s="24" t="n"/>
      <c r="DH86" s="24" t="n"/>
      <c r="DI86" s="24" t="n"/>
      <c r="DJ86" s="24" t="inlineStr">
        <is>
          <t>0.460829</t>
        </is>
      </c>
      <c r="DK86" s="24" t="n"/>
      <c r="DL86" s="24" t="n"/>
      <c r="DM86" s="24" t="n"/>
      <c r="DN86" s="24" t="n"/>
      <c r="DO86" s="24" t="n"/>
      <c r="DP86" s="24" t="n"/>
      <c r="DQ86" s="24" t="n"/>
    </row>
    <row r="87" ht="36" customHeight="1">
      <c r="A87" s="24" t="inlineStr">
        <is>
          <t>a8f6e93be2974ab3</t>
        </is>
      </c>
      <c r="B87" s="24" t="inlineStr">
        <is>
          <t>2026-09-01T04:43:17.019428Z</t>
        </is>
      </c>
      <c r="C87" s="24" t="inlineStr">
        <is>
          <t>2026-09-01T09:30:00Z</t>
        </is>
      </c>
      <c r="D87" s="24" t="inlineStr">
        <is>
          <t>95785</t>
        </is>
      </c>
      <c r="E87" s="24" t="inlineStr">
        <is>
          <t>KBO</t>
        </is>
      </c>
      <c r="F87" s="24" t="inlineStr">
        <is>
          <t>Lotte Giants</t>
        </is>
      </c>
      <c r="G87" s="24" t="inlineStr">
        <is>
          <t>Samsung Lions</t>
        </is>
      </c>
      <c r="H87" s="24" t="inlineStr">
        <is>
          <t>moneyline</t>
        </is>
      </c>
      <c r="I87" s="24" t="inlineStr">
        <is>
          <t>home</t>
        </is>
      </c>
      <c r="J87" s="25" t="n"/>
      <c r="K87" s="24" t="inlineStr">
        <is>
          <t>polymarket_us</t>
        </is>
      </c>
      <c r="L87" s="26" t="n">
        <v>-150</v>
      </c>
      <c r="M87" s="27" t="n">
        <v>1.666667</v>
      </c>
      <c r="N87" s="28" t="n">
        <v>0.6</v>
      </c>
      <c r="O87" s="28" t="n">
        <v>0.584661</v>
      </c>
      <c r="P87" s="28" t="n"/>
      <c r="Q87" s="28" t="n">
        <v>-0.015339</v>
      </c>
      <c r="R87" s="26" t="n">
        <v>12</v>
      </c>
      <c r="S87" s="29" t="n">
        <v>1</v>
      </c>
      <c r="T87" s="24" t="inlineStr">
        <is>
          <t>kbo-tie-aware-elo-v2</t>
        </is>
      </c>
      <c r="U87" s="24" t="inlineStr">
        <is>
          <t>settled</t>
        </is>
      </c>
      <c r="V87" s="24" t="inlineStr">
        <is>
          <t>win</t>
        </is>
      </c>
      <c r="W87" s="26" t="n">
        <v>0</v>
      </c>
      <c r="X87" s="26" t="n">
        <v>3</v>
      </c>
      <c r="Y87" s="25" t="n"/>
      <c r="Z87" s="26" t="n">
        <v>-150</v>
      </c>
      <c r="AA87" s="28" t="n">
        <v>0.6</v>
      </c>
      <c r="AB87" s="28" t="n">
        <v>0</v>
      </c>
      <c r="AC87" s="30" t="n">
        <v>0.6667</v>
      </c>
      <c r="AD87" s="24" t="inlineStr">
        <is>
          <t>2026-09-01T13:46:54.055341Z</t>
        </is>
      </c>
      <c r="AE87" s="31" t="inlineStr">
        <is>
          <t>Tie-aware Elo baseline; executable ask 0.6000 (market_slug=aec-kbo-sla-lgo-2026-09-01). Tie probability=0.0226.</t>
        </is>
      </c>
      <c r="AF87" s="31" t="inlineStr">
        <is>
          <t>Config-promoted international baseball baseline; gates enforced at log time.</t>
        </is>
      </c>
      <c r="AG87" s="24" t="inlineStr">
        <is>
          <t>not_applicable</t>
        </is>
      </c>
      <c r="AH87" s="24" t="n"/>
      <c r="AI87" s="31" t="n"/>
      <c r="AJ87" s="31" t="n"/>
      <c r="AK87" s="24" t="inlineStr">
        <is>
          <t>paper_call</t>
        </is>
      </c>
      <c r="AL87" s="26" t="n">
        <v>4</v>
      </c>
      <c r="AM87" s="24" t="inlineStr">
        <is>
          <t>RESEARCH_OBSERVATION</t>
        </is>
      </c>
      <c r="AN87" s="24" t="inlineStr">
        <is>
          <t>CALL</t>
        </is>
      </c>
      <c r="AO87" s="24" t="inlineStr">
        <is>
          <t>PAPER_CALL_LOW_EDGE</t>
        </is>
      </c>
      <c r="AP87" s="24" t="inlineStr">
        <is>
          <t>Lotte Giants</t>
        </is>
      </c>
      <c r="AQ87" s="24" t="inlineStr">
        <is>
          <t>Lotte Giants</t>
        </is>
      </c>
      <c r="AR87" s="24" t="inlineStr">
        <is>
          <t>Lotte Giants</t>
        </is>
      </c>
      <c r="AS87" s="24" t="inlineStr">
        <is>
          <t>Samsung Lions</t>
        </is>
      </c>
      <c r="AT87" s="24" t="inlineStr">
        <is>
          <t>Samsung Lions</t>
        </is>
      </c>
      <c r="AU87" s="24" t="inlineStr">
        <is>
          <t>Samsung Lions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baf98f150fe2eec3c9656477333cbdd7ab9d7b1bd711eb8db0099bb6d390698b</t>
        </is>
      </c>
      <c r="BB87" s="24" t="inlineStr">
        <is>
          <t>tie_aware_elo</t>
        </is>
      </c>
      <c r="BC87" s="24" t="inlineStr">
        <is>
          <t>kbo-tie-aware-elo-v2</t>
        </is>
      </c>
      <c r="BD87" s="24" t="inlineStr">
        <is>
          <t>baf98f150fe2eec3c9656477333cbdd7ab9d7b1bd711eb8db0099bb6d390698b</t>
        </is>
      </c>
      <c r="BE87" s="24" t="inlineStr">
        <is>
          <t>1</t>
        </is>
      </c>
      <c r="BF87" s="24" t="inlineStr">
        <is>
          <t>1</t>
        </is>
      </c>
      <c r="BG87" s="24" t="inlineStr">
        <is>
          <t>kbo-tie-aware-elo-v2</t>
        </is>
      </c>
      <c r="BH87" s="24" t="inlineStr">
        <is>
          <t>2026-09-01T04:43:16.681870Z</t>
        </is>
      </c>
      <c r="BI87" s="24" t="inlineStr">
        <is>
          <t>["same_event","same_team_same_day","same_league_same_day"]</t>
        </is>
      </c>
      <c r="BJ87" s="25" t="n"/>
      <c r="BK87" s="26" t="n">
        <v>-150</v>
      </c>
      <c r="BL87" s="27" t="n">
        <v>1.666667</v>
      </c>
      <c r="BM87" s="28" t="n">
        <v>0.6</v>
      </c>
      <c r="BN87" s="28" t="n"/>
      <c r="BO87" s="28" t="n"/>
      <c r="BP87" s="25" t="n"/>
      <c r="BQ87" s="27" t="n">
        <v>1.666667</v>
      </c>
      <c r="BR87" s="28" t="n">
        <v>0.6</v>
      </c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inlineStr">
        <is>
          <t>False</t>
        </is>
      </c>
      <c r="CT87" s="24" t="n"/>
      <c r="CU87" s="24" t="n"/>
      <c r="CV87" s="24" t="n"/>
      <c r="CW87" s="24" t="n"/>
      <c r="CX87" s="24" t="n"/>
      <c r="CY87" s="24" t="n"/>
      <c r="CZ87" s="24" t="n"/>
      <c r="DA87" s="24" t="n"/>
      <c r="DB87" s="24" t="n"/>
      <c r="DC87" s="24" t="n"/>
      <c r="DD87" s="24" t="n"/>
      <c r="DE87" s="24" t="n"/>
      <c r="DF87" s="24" t="n"/>
      <c r="DG87" s="24" t="n"/>
      <c r="DH87" s="24" t="n"/>
      <c r="DI87" s="24" t="n"/>
      <c r="DJ87" s="24" t="inlineStr">
        <is>
          <t>0.6</t>
        </is>
      </c>
      <c r="DK87" s="24" t="n"/>
      <c r="DL87" s="24" t="n"/>
      <c r="DM87" s="24" t="n"/>
      <c r="DN87" s="24" t="n"/>
      <c r="DO87" s="24" t="n"/>
      <c r="DP87" s="24" t="n"/>
      <c r="DQ87" s="24" t="n"/>
    </row>
    <row r="88" ht="36" customHeight="1">
      <c r="A88" s="24" t="inlineStr">
        <is>
          <t>cd7046e553aa4181</t>
        </is>
      </c>
      <c r="B88" s="24" t="inlineStr">
        <is>
          <t>2026-09-01T04:43:17.019428Z</t>
        </is>
      </c>
      <c r="C88" s="24" t="inlineStr">
        <is>
          <t>2026-09-01T09:30:00Z</t>
        </is>
      </c>
      <c r="D88" s="24" t="inlineStr">
        <is>
          <t>95786</t>
        </is>
      </c>
      <c r="E88" s="24" t="inlineStr">
        <is>
          <t>KBO</t>
        </is>
      </c>
      <c r="F88" s="24" t="inlineStr">
        <is>
          <t>Kia Tigers</t>
        </is>
      </c>
      <c r="G88" s="24" t="inlineStr">
        <is>
          <t>NC Dinos</t>
        </is>
      </c>
      <c r="H88" s="24" t="inlineStr">
        <is>
          <t>moneyline</t>
        </is>
      </c>
      <c r="I88" s="24" t="inlineStr">
        <is>
          <t>away</t>
        </is>
      </c>
      <c r="J88" s="25" t="n"/>
      <c r="K88" s="24" t="inlineStr">
        <is>
          <t>polymarket_us</t>
        </is>
      </c>
      <c r="L88" s="26" t="n">
        <v>-122</v>
      </c>
      <c r="M88" s="27" t="n">
        <v>1.819672</v>
      </c>
      <c r="N88" s="28" t="n">
        <v>0.54955</v>
      </c>
      <c r="O88" s="28" t="n">
        <v>0.550081</v>
      </c>
      <c r="P88" s="28" t="n"/>
      <c r="Q88" s="28" t="n">
        <v>0.000531</v>
      </c>
      <c r="R88" s="26" t="n">
        <v>20</v>
      </c>
      <c r="S88" s="29" t="n">
        <v>1</v>
      </c>
      <c r="T88" s="24" t="inlineStr">
        <is>
          <t>kbo-tie-aware-elo-v2</t>
        </is>
      </c>
      <c r="U88" s="24" t="inlineStr">
        <is>
          <t>settled</t>
        </is>
      </c>
      <c r="V88" s="24" t="inlineStr">
        <is>
          <t>loss</t>
        </is>
      </c>
      <c r="W88" s="26" t="n">
        <v>2</v>
      </c>
      <c r="X88" s="26" t="n">
        <v>7</v>
      </c>
      <c r="Y88" s="25" t="n"/>
      <c r="Z88" s="26" t="n">
        <v>-122</v>
      </c>
      <c r="AA88" s="28" t="n">
        <v>0.55</v>
      </c>
      <c r="AB88" s="28" t="n">
        <v>0.00045</v>
      </c>
      <c r="AC88" s="30" t="n">
        <v>-1</v>
      </c>
      <c r="AD88" s="24" t="inlineStr">
        <is>
          <t>2026-09-01T13:46:54.167622Z</t>
        </is>
      </c>
      <c r="AE88" s="31" t="inlineStr">
        <is>
          <t>Tie-aware Elo baseline; executable ask 0.5500 (market_slug=aec-kbo-ndc-kti-2026-09-01). Tie probability=0.0226.</t>
        </is>
      </c>
      <c r="AF88" s="31" t="inlineStr">
        <is>
          <t>Config-promoted international baseball baseline; gates enforced at log time.</t>
        </is>
      </c>
      <c r="AG88" s="24" t="inlineStr">
        <is>
          <t>review_required</t>
        </is>
      </c>
      <c r="AH88" s="24" t="n"/>
      <c r="AI88" s="31" t="n"/>
      <c r="AJ88" s="31" t="n"/>
      <c r="AK88" s="24" t="inlineStr">
        <is>
          <t>paper_call</t>
        </is>
      </c>
      <c r="AL88" s="26" t="n">
        <v>4</v>
      </c>
      <c r="AM88" s="24" t="inlineStr">
        <is>
          <t>RESEARCH_OBSERVATION</t>
        </is>
      </c>
      <c r="AN88" s="24" t="inlineStr">
        <is>
          <t>CALL</t>
        </is>
      </c>
      <c r="AO88" s="24" t="inlineStr">
        <is>
          <t>PAPER_CALL_LOW_EDGE</t>
        </is>
      </c>
      <c r="AP88" s="24" t="inlineStr">
        <is>
          <t>Kia Tigers</t>
        </is>
      </c>
      <c r="AQ88" s="24" t="inlineStr">
        <is>
          <t>Kia Tigers</t>
        </is>
      </c>
      <c r="AR88" s="24" t="inlineStr">
        <is>
          <t>Kia Tigers</t>
        </is>
      </c>
      <c r="AS88" s="24" t="inlineStr">
        <is>
          <t>NC Dinos</t>
        </is>
      </c>
      <c r="AT88" s="24" t="inlineStr">
        <is>
          <t>NC Dinos</t>
        </is>
      </c>
      <c r="AU88" s="24" t="inlineStr">
        <is>
          <t>NC Dinos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baf98f150fe2eec3c9656477333cbdd7ab9d7b1bd711eb8db0099bb6d390698b</t>
        </is>
      </c>
      <c r="BB88" s="24" t="inlineStr">
        <is>
          <t>tie_aware_elo</t>
        </is>
      </c>
      <c r="BC88" s="24" t="inlineStr">
        <is>
          <t>kbo-tie-aware-elo-v2</t>
        </is>
      </c>
      <c r="BD88" s="24" t="inlineStr">
        <is>
          <t>baf98f150fe2eec3c9656477333cbdd7ab9d7b1bd711eb8db0099bb6d390698b</t>
        </is>
      </c>
      <c r="BE88" s="24" t="inlineStr">
        <is>
          <t>1</t>
        </is>
      </c>
      <c r="BF88" s="24" t="inlineStr">
        <is>
          <t>1</t>
        </is>
      </c>
      <c r="BG88" s="24" t="inlineStr">
        <is>
          <t>kbo-tie-aware-elo-v2</t>
        </is>
      </c>
      <c r="BH88" s="24" t="inlineStr">
        <is>
          <t>2026-09-01T04:43:16.853074Z</t>
        </is>
      </c>
      <c r="BI88" s="24" t="inlineStr">
        <is>
          <t>["same_event","same_team_same_day","same_league_same_day"]</t>
        </is>
      </c>
      <c r="BJ88" s="25" t="n"/>
      <c r="BK88" s="26" t="n">
        <v>-122</v>
      </c>
      <c r="BL88" s="27" t="n">
        <v>1.819672</v>
      </c>
      <c r="BM88" s="28" t="n">
        <v>0.54955</v>
      </c>
      <c r="BN88" s="28" t="n"/>
      <c r="BO88" s="28" t="n"/>
      <c r="BP88" s="25" t="n"/>
      <c r="BQ88" s="27" t="n">
        <v>1.819672</v>
      </c>
      <c r="BR88" s="28" t="n">
        <v>0.55</v>
      </c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inlineStr">
        <is>
          <t>True</t>
        </is>
      </c>
      <c r="CT88" s="24" t="n"/>
      <c r="CU88" s="24" t="n"/>
      <c r="CV88" s="24" t="n"/>
      <c r="CW88" s="24" t="n"/>
      <c r="CX88" s="24" t="n"/>
      <c r="CY88" s="24" t="n"/>
      <c r="CZ88" s="24" t="n"/>
      <c r="DA88" s="24" t="n"/>
      <c r="DB88" s="24" t="n"/>
      <c r="DC88" s="24" t="n"/>
      <c r="DD88" s="24" t="n"/>
      <c r="DE88" s="24" t="n"/>
      <c r="DF88" s="24" t="n"/>
      <c r="DG88" s="24" t="n"/>
      <c r="DH88" s="24" t="n"/>
      <c r="DI88" s="24" t="n"/>
      <c r="DJ88" s="24" t="inlineStr">
        <is>
          <t>0.54955</t>
        </is>
      </c>
      <c r="DK88" s="24" t="n"/>
      <c r="DL88" s="24" t="n"/>
      <c r="DM88" s="24" t="n"/>
      <c r="DN88" s="24" t="n"/>
      <c r="DO88" s="24" t="n"/>
      <c r="DP88" s="24" t="n"/>
      <c r="DQ88" s="24" t="n"/>
    </row>
    <row r="89" ht="36" customHeight="1">
      <c r="A89" s="24" t="inlineStr">
        <is>
          <t>3d9745c883494ae7</t>
        </is>
      </c>
      <c r="B89" s="24" t="inlineStr">
        <is>
          <t>2026-09-01T04:43:17.019428Z</t>
        </is>
      </c>
      <c r="C89" s="24" t="inlineStr">
        <is>
          <t>2026-09-01T09:30:00Z</t>
        </is>
      </c>
      <c r="D89" s="24" t="inlineStr">
        <is>
          <t>95787</t>
        </is>
      </c>
      <c r="E89" s="24" t="inlineStr">
        <is>
          <t>KBO</t>
        </is>
      </c>
      <c r="F89" s="24" t="inlineStr">
        <is>
          <t>Hanwha Eagles</t>
        </is>
      </c>
      <c r="G89" s="24" t="inlineStr">
        <is>
          <t>KT Wiz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-127</v>
      </c>
      <c r="M89" s="27" t="n">
        <v>1.787402</v>
      </c>
      <c r="N89" s="28" t="n">
        <v>0.5594710000000001</v>
      </c>
      <c r="O89" s="28" t="n">
        <v>0.615682</v>
      </c>
      <c r="P89" s="28" t="n"/>
      <c r="Q89" s="28" t="n">
        <v>0.056211</v>
      </c>
      <c r="R89" s="26" t="n">
        <v>48</v>
      </c>
      <c r="S89" s="29" t="n">
        <v>1</v>
      </c>
      <c r="T89" s="24" t="inlineStr">
        <is>
          <t>kbo-tie-aware-elo-v2</t>
        </is>
      </c>
      <c r="U89" s="24" t="inlineStr">
        <is>
          <t>settled</t>
        </is>
      </c>
      <c r="V89" s="24" t="inlineStr">
        <is>
          <t>win</t>
        </is>
      </c>
      <c r="W89" s="26" t="n">
        <v>1</v>
      </c>
      <c r="X89" s="26" t="n">
        <v>6</v>
      </c>
      <c r="Y89" s="25" t="n"/>
      <c r="Z89" s="26" t="n">
        <v>-127</v>
      </c>
      <c r="AA89" s="28" t="n">
        <v>0.5600000000000001</v>
      </c>
      <c r="AB89" s="28" t="n">
        <v>0.000529</v>
      </c>
      <c r="AC89" s="30" t="n">
        <v>0.7874</v>
      </c>
      <c r="AD89" s="24" t="inlineStr">
        <is>
          <t>2026-09-01T13:46:54.328506Z</t>
        </is>
      </c>
      <c r="AE89" s="31" t="inlineStr">
        <is>
          <t>Tie-aware Elo baseline; executable ask 0.5600 (market_slug=aec-kbo-kwt-hea-2026-09-01). Tie probability=0.0226.</t>
        </is>
      </c>
      <c r="AF89" s="31" t="inlineStr">
        <is>
          <t>Config-promoted international baseball baseline; gates enforced at log time.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paper_call</t>
        </is>
      </c>
      <c r="AL89" s="26" t="n">
        <v>4</v>
      </c>
      <c r="AM89" s="24" t="inlineStr">
        <is>
          <t>RESEARCH_OBSERVATION</t>
        </is>
      </c>
      <c r="AN89" s="24" t="inlineStr">
        <is>
          <t>CALL</t>
        </is>
      </c>
      <c r="AO89" s="24" t="inlineStr">
        <is>
          <t>PAPER_CALL_LOW_EDGE</t>
        </is>
      </c>
      <c r="AP89" s="24" t="inlineStr">
        <is>
          <t>Hanwha Eagles</t>
        </is>
      </c>
      <c r="AQ89" s="24" t="inlineStr">
        <is>
          <t>Hanwha Eagles</t>
        </is>
      </c>
      <c r="AR89" s="24" t="inlineStr">
        <is>
          <t>Hanwha Eagles</t>
        </is>
      </c>
      <c r="AS89" s="24" t="inlineStr">
        <is>
          <t>KT Wiz</t>
        </is>
      </c>
      <c r="AT89" s="24" t="inlineStr">
        <is>
          <t>KT Wiz</t>
        </is>
      </c>
      <c r="AU89" s="24" t="inlineStr">
        <is>
          <t>KT Wiz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baf98f150fe2eec3c9656477333cbdd7ab9d7b1bd711eb8db0099bb6d390698b</t>
        </is>
      </c>
      <c r="BB89" s="24" t="inlineStr">
        <is>
          <t>tie_aware_elo</t>
        </is>
      </c>
      <c r="BC89" s="24" t="inlineStr">
        <is>
          <t>kbo-tie-aware-elo-v2</t>
        </is>
      </c>
      <c r="BD89" s="24" t="inlineStr">
        <is>
          <t>baf98f150fe2eec3c9656477333cbdd7ab9d7b1bd711eb8db0099bb6d390698b</t>
        </is>
      </c>
      <c r="BE89" s="24" t="inlineStr">
        <is>
          <t>1</t>
        </is>
      </c>
      <c r="BF89" s="24" t="inlineStr">
        <is>
          <t>1</t>
        </is>
      </c>
      <c r="BG89" s="24" t="inlineStr">
        <is>
          <t>kbo-tie-aware-elo-v2</t>
        </is>
      </c>
      <c r="BH89" s="24" t="inlineStr">
        <is>
          <t>2026-09-01T04:43:17.019378Z</t>
        </is>
      </c>
      <c r="BI89" s="24" t="inlineStr">
        <is>
          <t>["same_event","same_team_same_day","same_league_same_day"]</t>
        </is>
      </c>
      <c r="BJ89" s="25" t="n"/>
      <c r="BK89" s="26" t="n">
        <v>-127</v>
      </c>
      <c r="BL89" s="27" t="n">
        <v>1.787402</v>
      </c>
      <c r="BM89" s="28" t="n">
        <v>0.5594710000000001</v>
      </c>
      <c r="BN89" s="28" t="n"/>
      <c r="BO89" s="28" t="n"/>
      <c r="BP89" s="25" t="n"/>
      <c r="BQ89" s="27" t="n">
        <v>1.787402</v>
      </c>
      <c r="BR89" s="28" t="n">
        <v>0.5600000000000001</v>
      </c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inlineStr">
        <is>
          <t>True</t>
        </is>
      </c>
      <c r="CT89" s="24" t="n"/>
      <c r="CU89" s="24" t="n"/>
      <c r="CV89" s="24" t="n"/>
      <c r="CW89" s="24" t="n"/>
      <c r="CX89" s="24" t="n"/>
      <c r="CY89" s="24" t="n"/>
      <c r="CZ89" s="24" t="n"/>
      <c r="DA89" s="24" t="n"/>
      <c r="DB89" s="24" t="n"/>
      <c r="DC89" s="24" t="n"/>
      <c r="DD89" s="24" t="n"/>
      <c r="DE89" s="24" t="n"/>
      <c r="DF89" s="24" t="n"/>
      <c r="DG89" s="24" t="n"/>
      <c r="DH89" s="24" t="n"/>
      <c r="DI89" s="24" t="n"/>
      <c r="DJ89" s="24" t="inlineStr">
        <is>
          <t>0.559471</t>
        </is>
      </c>
      <c r="DK89" s="24" t="n"/>
      <c r="DL89" s="24" t="n"/>
      <c r="DM89" s="24" t="n"/>
      <c r="DN89" s="24" t="n"/>
      <c r="DO89" s="24" t="n"/>
      <c r="DP89" s="24" t="n"/>
      <c r="DQ89" s="24" t="n"/>
    </row>
    <row r="90" ht="36" customHeight="1">
      <c r="A90" s="24" t="inlineStr">
        <is>
          <t>2f10bb581ca24275</t>
        </is>
      </c>
      <c r="B90" s="24" t="inlineStr">
        <is>
          <t>2026-09-02T04:38:59.485677Z</t>
        </is>
      </c>
      <c r="C90" s="24" t="inlineStr">
        <is>
          <t>2026-09-02T09:30:00Z</t>
        </is>
      </c>
      <c r="D90" s="24" t="inlineStr">
        <is>
          <t>97097</t>
        </is>
      </c>
      <c r="E90" s="24" t="inlineStr">
        <is>
          <t>KBO</t>
        </is>
      </c>
      <c r="F90" s="24" t="inlineStr">
        <is>
          <t>LG Twins</t>
        </is>
      </c>
      <c r="G90" s="24" t="inlineStr">
        <is>
          <t>Doosan Bears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122</v>
      </c>
      <c r="M90" s="27" t="n">
        <v>2.22</v>
      </c>
      <c r="N90" s="28" t="n">
        <v>0.45045</v>
      </c>
      <c r="O90" s="28" t="n">
        <v>0.53665</v>
      </c>
      <c r="P90" s="28" t="n"/>
      <c r="Q90" s="28" t="n">
        <v>0.0862</v>
      </c>
      <c r="R90" s="26" t="n">
        <v>63</v>
      </c>
      <c r="S90" s="29" t="n">
        <v>1.25</v>
      </c>
      <c r="T90" s="24" t="inlineStr">
        <is>
          <t>kbo-tie-aware-elo-v2</t>
        </is>
      </c>
      <c r="U90" s="24" t="inlineStr">
        <is>
          <t>settled</t>
        </is>
      </c>
      <c r="V90" s="24" t="inlineStr">
        <is>
          <t>loss</t>
        </is>
      </c>
      <c r="W90" s="26" t="n">
        <v>5</v>
      </c>
      <c r="X90" s="26" t="n">
        <v>1</v>
      </c>
      <c r="Y90" s="25" t="n"/>
      <c r="Z90" s="26" t="n">
        <v>122</v>
      </c>
      <c r="AA90" s="28" t="n">
        <v>0.45</v>
      </c>
      <c r="AB90" s="28" t="n">
        <v>-0.00045</v>
      </c>
      <c r="AC90" s="30" t="n">
        <v>-1.25</v>
      </c>
      <c r="AD90" s="24" t="inlineStr">
        <is>
          <t>2026-09-02T16:04:58.415873Z</t>
        </is>
      </c>
      <c r="AE90" s="31" t="inlineStr">
        <is>
          <t>Tie-aware Elo baseline; executable ask 0.4500 (market_slug=aec-kbo-dbo-ltg-2026-09-02). Tie probability=0.0226.</t>
        </is>
      </c>
      <c r="AF90" s="31" t="inlineStr">
        <is>
          <t>Config-promoted international baseball baseline; gates enforced at log time.</t>
        </is>
      </c>
      <c r="AG90" s="24" t="inlineStr">
        <is>
          <t>review_required</t>
        </is>
      </c>
      <c r="AH90" s="24" t="n"/>
      <c r="AI90" s="31" t="n"/>
      <c r="AJ90" s="31" t="n"/>
      <c r="AK90" s="24" t="inlineStr">
        <is>
          <t>paper_call</t>
        </is>
      </c>
      <c r="AL90" s="26" t="n">
        <v>4</v>
      </c>
      <c r="AM90" s="24" t="inlineStr">
        <is>
          <t>RESEARCH_OBSERVATION</t>
        </is>
      </c>
      <c r="AN90" s="24" t="inlineStr">
        <is>
          <t>CALL</t>
        </is>
      </c>
      <c r="AO90" s="24" t="inlineStr">
        <is>
          <t>PAPER_CALL_LOW_EDGE</t>
        </is>
      </c>
      <c r="AP90" s="24" t="inlineStr">
        <is>
          <t>LG Twins</t>
        </is>
      </c>
      <c r="AQ90" s="24" t="inlineStr">
        <is>
          <t>LG Twins</t>
        </is>
      </c>
      <c r="AR90" s="24" t="inlineStr">
        <is>
          <t>LG Twins</t>
        </is>
      </c>
      <c r="AS90" s="24" t="inlineStr">
        <is>
          <t>Doosan Bears</t>
        </is>
      </c>
      <c r="AT90" s="24" t="inlineStr">
        <is>
          <t>Doosan Bears</t>
        </is>
      </c>
      <c r="AU90" s="24" t="inlineStr">
        <is>
          <t>Doosan Bears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4ef76fee768b5735216c87e6784c9d2cedbcd785e26d5dc7cd1f5fb9b714137c</t>
        </is>
      </c>
      <c r="BB90" s="24" t="inlineStr">
        <is>
          <t>tie_aware_elo</t>
        </is>
      </c>
      <c r="BC90" s="24" t="inlineStr">
        <is>
          <t>kbo-tie-aware-elo-v2</t>
        </is>
      </c>
      <c r="BD90" s="24" t="inlineStr">
        <is>
          <t>4ef76fee768b5735216c87e6784c9d2cedbcd785e26d5dc7cd1f5fb9b714137c</t>
        </is>
      </c>
      <c r="BE90" s="24" t="inlineStr">
        <is>
          <t>1</t>
        </is>
      </c>
      <c r="BF90" s="24" t="inlineStr">
        <is>
          <t>1</t>
        </is>
      </c>
      <c r="BG90" s="24" t="inlineStr">
        <is>
          <t>kbo-tie-aware-elo-v2</t>
        </is>
      </c>
      <c r="BH90" s="24" t="inlineStr">
        <is>
          <t>2026-09-02T04:38:59.228216Z</t>
        </is>
      </c>
      <c r="BI90" s="24" t="inlineStr">
        <is>
          <t>["same_event","same_team_same_day","same_league_same_day"]</t>
        </is>
      </c>
      <c r="BJ90" s="25" t="n"/>
      <c r="BK90" s="26" t="n">
        <v>122</v>
      </c>
      <c r="BL90" s="27" t="n">
        <v>2.22</v>
      </c>
      <c r="BM90" s="28" t="n">
        <v>0.45045</v>
      </c>
      <c r="BN90" s="28" t="n"/>
      <c r="BO90" s="28" t="n"/>
      <c r="BP90" s="25" t="n"/>
      <c r="BQ90" s="27" t="n">
        <v>2.22</v>
      </c>
      <c r="BR90" s="28" t="n">
        <v>0.45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inlineStr">
        <is>
          <t>True</t>
        </is>
      </c>
      <c r="CT90" s="24" t="n"/>
      <c r="CU90" s="24" t="n"/>
      <c r="CV90" s="24" t="n"/>
      <c r="CW90" s="24" t="n"/>
      <c r="CX90" s="24" t="n"/>
      <c r="CY90" s="24" t="n"/>
      <c r="CZ90" s="24" t="n"/>
      <c r="DA90" s="24" t="n"/>
      <c r="DB90" s="24" t="n"/>
      <c r="DC90" s="24" t="n"/>
      <c r="DD90" s="24" t="n"/>
      <c r="DE90" s="24" t="n"/>
      <c r="DF90" s="24" t="n"/>
      <c r="DG90" s="24" t="n"/>
      <c r="DH90" s="24" t="n"/>
      <c r="DI90" s="24" t="n"/>
      <c r="DJ90" s="24" t="inlineStr">
        <is>
          <t>0.45045</t>
        </is>
      </c>
      <c r="DK90" s="24" t="n"/>
      <c r="DL90" s="24" t="n"/>
      <c r="DM90" s="24" t="n"/>
      <c r="DN90" s="24" t="n"/>
      <c r="DO90" s="24" t="n"/>
      <c r="DP90" s="24" t="n"/>
      <c r="DQ90" s="24" t="n"/>
    </row>
    <row r="91" ht="36" customHeight="1">
      <c r="A91" s="24" t="inlineStr">
        <is>
          <t>c5d27960ed944c43</t>
        </is>
      </c>
      <c r="B91" s="24" t="inlineStr">
        <is>
          <t>2026-09-02T04:38:59.485677Z</t>
        </is>
      </c>
      <c r="C91" s="24" t="inlineStr">
        <is>
          <t>2026-09-02T09:30:00Z</t>
        </is>
      </c>
      <c r="D91" s="24" t="inlineStr">
        <is>
          <t>97098</t>
        </is>
      </c>
      <c r="E91" s="24" t="inlineStr">
        <is>
          <t>KBO</t>
        </is>
      </c>
      <c r="F91" s="24" t="inlineStr">
        <is>
          <t>Lotte Giants</t>
        </is>
      </c>
      <c r="G91" s="24" t="inlineStr">
        <is>
          <t>Samsung Lions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-163</v>
      </c>
      <c r="M91" s="27" t="n">
        <v>1.613497</v>
      </c>
      <c r="N91" s="28" t="n">
        <v>0.619772</v>
      </c>
      <c r="O91" s="28" t="n">
        <v>0.620367</v>
      </c>
      <c r="P91" s="28" t="n"/>
      <c r="Q91" s="28" t="n">
        <v>0.000595</v>
      </c>
      <c r="R91" s="26" t="n">
        <v>20</v>
      </c>
      <c r="S91" s="29" t="n">
        <v>1</v>
      </c>
      <c r="T91" s="24" t="inlineStr">
        <is>
          <t>kbo-tie-aware-elo-v2</t>
        </is>
      </c>
      <c r="U91" s="24" t="inlineStr">
        <is>
          <t>settled</t>
        </is>
      </c>
      <c r="V91" s="24" t="inlineStr">
        <is>
          <t>win</t>
        </is>
      </c>
      <c r="W91" s="26" t="n">
        <v>5</v>
      </c>
      <c r="X91" s="26" t="n">
        <v>8</v>
      </c>
      <c r="Y91" s="25" t="n"/>
      <c r="Z91" s="26" t="n">
        <v>-163</v>
      </c>
      <c r="AA91" s="28" t="n">
        <v>0.62</v>
      </c>
      <c r="AB91" s="28" t="n">
        <v>0.000228</v>
      </c>
      <c r="AC91" s="30" t="n">
        <v>0.6135</v>
      </c>
      <c r="AD91" s="24" t="inlineStr">
        <is>
          <t>2026-09-02T16:04:58.835345Z</t>
        </is>
      </c>
      <c r="AE91" s="31" t="inlineStr">
        <is>
          <t>Tie-aware Elo baseline; executable ask 0.6200 (market_slug=aec-kbo-sla-lgo-2026-09-02). Tie probability=0.0226.</t>
        </is>
      </c>
      <c r="AF91" s="31" t="inlineStr">
        <is>
          <t>Config-promoted international baseball baseline; gates enforced at log time.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paper_call</t>
        </is>
      </c>
      <c r="AL91" s="26" t="n">
        <v>4</v>
      </c>
      <c r="AM91" s="24" t="inlineStr">
        <is>
          <t>RESEARCH_OBSERVATION</t>
        </is>
      </c>
      <c r="AN91" s="24" t="inlineStr">
        <is>
          <t>CALL</t>
        </is>
      </c>
      <c r="AO91" s="24" t="inlineStr">
        <is>
          <t>PAPER_CALL_LOW_EDGE</t>
        </is>
      </c>
      <c r="AP91" s="24" t="inlineStr">
        <is>
          <t>Lotte Giants</t>
        </is>
      </c>
      <c r="AQ91" s="24" t="inlineStr">
        <is>
          <t>Lotte Giants</t>
        </is>
      </c>
      <c r="AR91" s="24" t="inlineStr">
        <is>
          <t>Lotte Giants</t>
        </is>
      </c>
      <c r="AS91" s="24" t="inlineStr">
        <is>
          <t>Samsung Lions</t>
        </is>
      </c>
      <c r="AT91" s="24" t="inlineStr">
        <is>
          <t>Samsung Lions</t>
        </is>
      </c>
      <c r="AU91" s="24" t="inlineStr">
        <is>
          <t>Samsung Lions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4ef76fee768b5735216c87e6784c9d2cedbcd785e26d5dc7cd1f5fb9b714137c</t>
        </is>
      </c>
      <c r="BB91" s="24" t="inlineStr">
        <is>
          <t>tie_aware_elo</t>
        </is>
      </c>
      <c r="BC91" s="24" t="inlineStr">
        <is>
          <t>kbo-tie-aware-elo-v2</t>
        </is>
      </c>
      <c r="BD91" s="24" t="inlineStr">
        <is>
          <t>4ef76fee768b5735216c87e6784c9d2cedbcd785e26d5dc7cd1f5fb9b714137c</t>
        </is>
      </c>
      <c r="BE91" s="24" t="inlineStr">
        <is>
          <t>1</t>
        </is>
      </c>
      <c r="BF91" s="24" t="inlineStr">
        <is>
          <t>1</t>
        </is>
      </c>
      <c r="BG91" s="24" t="inlineStr">
        <is>
          <t>kbo-tie-aware-elo-v2</t>
        </is>
      </c>
      <c r="BH91" s="24" t="inlineStr">
        <is>
          <t>2026-09-02T04:38:59.287548Z</t>
        </is>
      </c>
      <c r="BI91" s="24" t="inlineStr">
        <is>
          <t>["same_event","same_team_same_day","same_league_same_day"]</t>
        </is>
      </c>
      <c r="BJ91" s="25" t="n"/>
      <c r="BK91" s="26" t="n">
        <v>-163</v>
      </c>
      <c r="BL91" s="27" t="n">
        <v>1.613497</v>
      </c>
      <c r="BM91" s="28" t="n">
        <v>0.619772</v>
      </c>
      <c r="BN91" s="28" t="n"/>
      <c r="BO91" s="28" t="n"/>
      <c r="BP91" s="25" t="n"/>
      <c r="BQ91" s="27" t="n">
        <v>1.613497</v>
      </c>
      <c r="BR91" s="28" t="n">
        <v>0.62</v>
      </c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inlineStr">
        <is>
          <t>True</t>
        </is>
      </c>
      <c r="CT91" s="24" t="n"/>
      <c r="CU91" s="24" t="n"/>
      <c r="CV91" s="24" t="n"/>
      <c r="CW91" s="24" t="n"/>
      <c r="CX91" s="24" t="n"/>
      <c r="CY91" s="24" t="n"/>
      <c r="CZ91" s="24" t="n"/>
      <c r="DA91" s="24" t="n"/>
      <c r="DB91" s="24" t="n"/>
      <c r="DC91" s="24" t="n"/>
      <c r="DD91" s="24" t="n"/>
      <c r="DE91" s="24" t="n"/>
      <c r="DF91" s="24" t="n"/>
      <c r="DG91" s="24" t="n"/>
      <c r="DH91" s="24" t="n"/>
      <c r="DI91" s="24" t="n"/>
      <c r="DJ91" s="24" t="inlineStr">
        <is>
          <t>0.619772</t>
        </is>
      </c>
      <c r="DK91" s="24" t="n"/>
      <c r="DL91" s="24" t="n"/>
      <c r="DM91" s="24" t="n"/>
      <c r="DN91" s="24" t="n"/>
      <c r="DO91" s="24" t="n"/>
      <c r="DP91" s="24" t="n"/>
      <c r="DQ91" s="24" t="n"/>
    </row>
    <row r="92" ht="36" customHeight="1">
      <c r="A92" s="24" t="inlineStr">
        <is>
          <t>589e909640e54dbc</t>
        </is>
      </c>
      <c r="B92" s="24" t="inlineStr">
        <is>
          <t>2026-09-02T04:38:59.485677Z</t>
        </is>
      </c>
      <c r="C92" s="24" t="inlineStr">
        <is>
          <t>2026-09-02T09:30:00Z</t>
        </is>
      </c>
      <c r="D92" s="24" t="inlineStr">
        <is>
          <t>97099</t>
        </is>
      </c>
      <c r="E92" s="24" t="inlineStr">
        <is>
          <t>KBO</t>
        </is>
      </c>
      <c r="F92" s="24" t="inlineStr">
        <is>
          <t>Kia Tigers</t>
        </is>
      </c>
      <c r="G92" s="24" t="inlineStr">
        <is>
          <t>NC Dinos</t>
        </is>
      </c>
      <c r="H92" s="24" t="inlineStr">
        <is>
          <t>moneyline</t>
        </is>
      </c>
      <c r="I92" s="24" t="inlineStr">
        <is>
          <t>away</t>
        </is>
      </c>
      <c r="J92" s="25" t="n"/>
      <c r="K92" s="24" t="inlineStr">
        <is>
          <t>polymarket_us</t>
        </is>
      </c>
      <c r="L92" s="26" t="n">
        <v>-117</v>
      </c>
      <c r="M92" s="27" t="n">
        <v>1.854701</v>
      </c>
      <c r="N92" s="28" t="n">
        <v>0.539171</v>
      </c>
      <c r="O92" s="28" t="n">
        <v>0.511143</v>
      </c>
      <c r="P92" s="28" t="n"/>
      <c r="Q92" s="28" t="n">
        <v>-0.028028</v>
      </c>
      <c r="R92" s="26" t="n">
        <v>6</v>
      </c>
      <c r="S92" s="29" t="n">
        <v>1</v>
      </c>
      <c r="T92" s="24" t="inlineStr">
        <is>
          <t>kbo-tie-aware-elo-v2</t>
        </is>
      </c>
      <c r="U92" s="24" t="inlineStr">
        <is>
          <t>settled</t>
        </is>
      </c>
      <c r="V92" s="24" t="inlineStr">
        <is>
          <t>loss</t>
        </is>
      </c>
      <c r="W92" s="26" t="n">
        <v>2</v>
      </c>
      <c r="X92" s="26" t="n">
        <v>3</v>
      </c>
      <c r="Y92" s="25" t="n"/>
      <c r="Z92" s="26" t="n">
        <v>-117</v>
      </c>
      <c r="AA92" s="28" t="n">
        <v>0.54</v>
      </c>
      <c r="AB92" s="28" t="n">
        <v>0.000829</v>
      </c>
      <c r="AC92" s="30" t="n">
        <v>-1</v>
      </c>
      <c r="AD92" s="24" t="inlineStr">
        <is>
          <t>2026-09-02T16:04:59.101011Z</t>
        </is>
      </c>
      <c r="AE92" s="31" t="inlineStr">
        <is>
          <t>Tie-aware Elo baseline; executable ask 0.5400 (market_slug=aec-kbo-ndc-kti-2026-09-02). Tie probability=0.0226.</t>
        </is>
      </c>
      <c r="AF92" s="31" t="inlineStr">
        <is>
          <t>Config-promoted international baseball baseline; gates enforced at log time.</t>
        </is>
      </c>
      <c r="AG92" s="24" t="inlineStr">
        <is>
          <t>review_required</t>
        </is>
      </c>
      <c r="AH92" s="24" t="n"/>
      <c r="AI92" s="31" t="n"/>
      <c r="AJ92" s="31" t="n"/>
      <c r="AK92" s="24" t="inlineStr">
        <is>
          <t>paper_call</t>
        </is>
      </c>
      <c r="AL92" s="26" t="n">
        <v>4</v>
      </c>
      <c r="AM92" s="24" t="inlineStr">
        <is>
          <t>RESEARCH_OBSERVATION</t>
        </is>
      </c>
      <c r="AN92" s="24" t="inlineStr">
        <is>
          <t>CALL</t>
        </is>
      </c>
      <c r="AO92" s="24" t="inlineStr">
        <is>
          <t>PAPER_CALL_LOW_EDGE</t>
        </is>
      </c>
      <c r="AP92" s="24" t="inlineStr">
        <is>
          <t>Kia Tigers</t>
        </is>
      </c>
      <c r="AQ92" s="24" t="inlineStr">
        <is>
          <t>Kia Tigers</t>
        </is>
      </c>
      <c r="AR92" s="24" t="inlineStr">
        <is>
          <t>Kia Tigers</t>
        </is>
      </c>
      <c r="AS92" s="24" t="inlineStr">
        <is>
          <t>NC Dinos</t>
        </is>
      </c>
      <c r="AT92" s="24" t="inlineStr">
        <is>
          <t>NC Dinos</t>
        </is>
      </c>
      <c r="AU92" s="24" t="inlineStr">
        <is>
          <t>NC Dinos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4ef76fee768b5735216c87e6784c9d2cedbcd785e26d5dc7cd1f5fb9b714137c</t>
        </is>
      </c>
      <c r="BB92" s="24" t="inlineStr">
        <is>
          <t>tie_aware_elo</t>
        </is>
      </c>
      <c r="BC92" s="24" t="inlineStr">
        <is>
          <t>kbo-tie-aware-elo-v2</t>
        </is>
      </c>
      <c r="BD92" s="24" t="inlineStr">
        <is>
          <t>4ef76fee768b5735216c87e6784c9d2cedbcd785e26d5dc7cd1f5fb9b714137c</t>
        </is>
      </c>
      <c r="BE92" s="24" t="inlineStr">
        <is>
          <t>1</t>
        </is>
      </c>
      <c r="BF92" s="24" t="inlineStr">
        <is>
          <t>1</t>
        </is>
      </c>
      <c r="BG92" s="24" t="inlineStr">
        <is>
          <t>kbo-tie-aware-elo-v2</t>
        </is>
      </c>
      <c r="BH92" s="24" t="inlineStr">
        <is>
          <t>2026-09-02T04:38:59.359760Z</t>
        </is>
      </c>
      <c r="BI92" s="24" t="inlineStr">
        <is>
          <t>["same_event","same_team_same_day","same_league_same_day"]</t>
        </is>
      </c>
      <c r="BJ92" s="25" t="n"/>
      <c r="BK92" s="26" t="n">
        <v>-117</v>
      </c>
      <c r="BL92" s="27" t="n">
        <v>1.854701</v>
      </c>
      <c r="BM92" s="28" t="n">
        <v>0.539171</v>
      </c>
      <c r="BN92" s="28" t="n"/>
      <c r="BO92" s="28" t="n"/>
      <c r="BP92" s="25" t="n"/>
      <c r="BQ92" s="27" t="n">
        <v>1.854701</v>
      </c>
      <c r="BR92" s="28" t="n">
        <v>0.54</v>
      </c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inlineStr">
        <is>
          <t>False</t>
        </is>
      </c>
      <c r="CT92" s="24" t="n"/>
      <c r="CU92" s="24" t="n"/>
      <c r="CV92" s="24" t="n"/>
      <c r="CW92" s="24" t="n"/>
      <c r="CX92" s="24" t="n"/>
      <c r="CY92" s="24" t="n"/>
      <c r="CZ92" s="24" t="n"/>
      <c r="DA92" s="24" t="n"/>
      <c r="DB92" s="24" t="n"/>
      <c r="DC92" s="24" t="n"/>
      <c r="DD92" s="24" t="n"/>
      <c r="DE92" s="24" t="n"/>
      <c r="DF92" s="24" t="n"/>
      <c r="DG92" s="24" t="n"/>
      <c r="DH92" s="24" t="n"/>
      <c r="DI92" s="24" t="n"/>
      <c r="DJ92" s="24" t="inlineStr">
        <is>
          <t>0.539171</t>
        </is>
      </c>
      <c r="DK92" s="24" t="n"/>
      <c r="DL92" s="24" t="n"/>
      <c r="DM92" s="24" t="n"/>
      <c r="DN92" s="24" t="n"/>
      <c r="DO92" s="24" t="n"/>
      <c r="DP92" s="24" t="n"/>
      <c r="DQ92" s="24" t="n"/>
    </row>
    <row r="93" ht="36" customHeight="1">
      <c r="A93" s="24" t="inlineStr">
        <is>
          <t>a778cd9ef9de4f97</t>
        </is>
      </c>
      <c r="B93" s="24" t="inlineStr">
        <is>
          <t>2026-09-02T04:38:59.485677Z</t>
        </is>
      </c>
      <c r="C93" s="24" t="inlineStr">
        <is>
          <t>2026-09-02T09:30:00Z</t>
        </is>
      </c>
      <c r="D93" s="24" t="inlineStr">
        <is>
          <t>97100</t>
        </is>
      </c>
      <c r="E93" s="24" t="inlineStr">
        <is>
          <t>KBO</t>
        </is>
      </c>
      <c r="F93" s="24" t="inlineStr">
        <is>
          <t>Hanwha Eagles</t>
        </is>
      </c>
      <c r="G93" s="24" t="inlineStr">
        <is>
          <t>KT Wiz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polymarket_us</t>
        </is>
      </c>
      <c r="L93" s="26" t="n">
        <v>-117</v>
      </c>
      <c r="M93" s="27" t="n">
        <v>1.854701</v>
      </c>
      <c r="N93" s="28" t="n">
        <v>0.539171</v>
      </c>
      <c r="O93" s="28" t="n">
        <v>0.650105</v>
      </c>
      <c r="P93" s="28" t="n"/>
      <c r="Q93" s="28" t="n">
        <v>0.110934</v>
      </c>
      <c r="R93" s="26" t="n">
        <v>75</v>
      </c>
      <c r="S93" s="29" t="n">
        <v>1.5</v>
      </c>
      <c r="T93" s="24" t="inlineStr">
        <is>
          <t>kbo-tie-aware-elo-v2</t>
        </is>
      </c>
      <c r="U93" s="24" t="inlineStr">
        <is>
          <t>settled</t>
        </is>
      </c>
      <c r="V93" s="24" t="inlineStr">
        <is>
          <t>win</t>
        </is>
      </c>
      <c r="W93" s="26" t="n">
        <v>6</v>
      </c>
      <c r="X93" s="26" t="n">
        <v>9</v>
      </c>
      <c r="Y93" s="25" t="n"/>
      <c r="Z93" s="26" t="n">
        <v>-117</v>
      </c>
      <c r="AA93" s="28" t="n">
        <v>0.54</v>
      </c>
      <c r="AB93" s="28" t="n">
        <v>0.000829</v>
      </c>
      <c r="AC93" s="30" t="n">
        <v>1.282</v>
      </c>
      <c r="AD93" s="24" t="inlineStr">
        <is>
          <t>2026-09-02T16:04:59.343275Z</t>
        </is>
      </c>
      <c r="AE93" s="31" t="inlineStr">
        <is>
          <t>Tie-aware Elo baseline; executable ask 0.5400 (market_slug=aec-kbo-kwt-hea-2026-09-02). Tie probability=0.0226.</t>
        </is>
      </c>
      <c r="AF93" s="31" t="inlineStr">
        <is>
          <t>Config-promoted international baseball baseline; gates enforced at log time.</t>
        </is>
      </c>
      <c r="AG93" s="24" t="inlineStr">
        <is>
          <t>not_applicable</t>
        </is>
      </c>
      <c r="AH93" s="24" t="n"/>
      <c r="AI93" s="31" t="n"/>
      <c r="AJ93" s="31" t="n"/>
      <c r="AK93" s="24" t="inlineStr">
        <is>
          <t>model_qualified</t>
        </is>
      </c>
      <c r="AL93" s="26" t="n">
        <v>4</v>
      </c>
      <c r="AM93" s="24" t="inlineStr">
        <is>
          <t>QUALIFIED_SHADOW_CALL</t>
        </is>
      </c>
      <c r="AN93" s="24" t="inlineStr">
        <is>
          <t>CALL</t>
        </is>
      </c>
      <c r="AO93" s="24" t="inlineStr">
        <is>
          <t>QUALIFIED</t>
        </is>
      </c>
      <c r="AP93" s="24" t="inlineStr">
        <is>
          <t>Hanwha Eagles</t>
        </is>
      </c>
      <c r="AQ93" s="24" t="inlineStr">
        <is>
          <t>Hanwha Eagles</t>
        </is>
      </c>
      <c r="AR93" s="24" t="inlineStr">
        <is>
          <t>Hanwha Eagles</t>
        </is>
      </c>
      <c r="AS93" s="24" t="inlineStr">
        <is>
          <t>KT Wiz</t>
        </is>
      </c>
      <c r="AT93" s="24" t="inlineStr">
        <is>
          <t>KT Wiz</t>
        </is>
      </c>
      <c r="AU93" s="24" t="inlineStr">
        <is>
          <t>KT Wiz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4ef76fee768b5735216c87e6784c9d2cedbcd785e26d5dc7cd1f5fb9b714137c</t>
        </is>
      </c>
      <c r="BB93" s="24" t="inlineStr">
        <is>
          <t>tie_aware_elo</t>
        </is>
      </c>
      <c r="BC93" s="24" t="inlineStr">
        <is>
          <t>kbo-tie-aware-elo-v2</t>
        </is>
      </c>
      <c r="BD93" s="24" t="inlineStr">
        <is>
          <t>4ef76fee768b5735216c87e6784c9d2cedbcd785e26d5dc7cd1f5fb9b714137c</t>
        </is>
      </c>
      <c r="BE93" s="24" t="inlineStr">
        <is>
          <t>1</t>
        </is>
      </c>
      <c r="BF93" s="24" t="inlineStr">
        <is>
          <t>1</t>
        </is>
      </c>
      <c r="BG93" s="24" t="inlineStr">
        <is>
          <t>kbo-tie-aware-elo-v2</t>
        </is>
      </c>
      <c r="BH93" s="24" t="inlineStr">
        <is>
          <t>2026-09-02T04:38:59.414124Z</t>
        </is>
      </c>
      <c r="BI93" s="24" t="inlineStr">
        <is>
          <t>["same_event","same_team_same_day","same_league_same_day"]</t>
        </is>
      </c>
      <c r="BJ93" s="25" t="n"/>
      <c r="BK93" s="26" t="n">
        <v>-117</v>
      </c>
      <c r="BL93" s="27" t="n">
        <v>1.854701</v>
      </c>
      <c r="BM93" s="28" t="n">
        <v>0.539171</v>
      </c>
      <c r="BN93" s="28" t="n"/>
      <c r="BO93" s="28" t="n"/>
      <c r="BP93" s="25" t="n"/>
      <c r="BQ93" s="27" t="n">
        <v>1.854701</v>
      </c>
      <c r="BR93" s="28" t="n">
        <v>0.54</v>
      </c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inlineStr">
        <is>
          <t>True</t>
        </is>
      </c>
      <c r="CT93" s="24" t="n"/>
      <c r="CU93" s="24" t="n"/>
      <c r="CV93" s="24" t="n"/>
      <c r="CW93" s="24" t="n"/>
      <c r="CX93" s="24" t="n"/>
      <c r="CY93" s="24" t="n"/>
      <c r="CZ93" s="24" t="n"/>
      <c r="DA93" s="24" t="n"/>
      <c r="DB93" s="24" t="n"/>
      <c r="DC93" s="24" t="n"/>
      <c r="DD93" s="24" t="n"/>
      <c r="DE93" s="24" t="n"/>
      <c r="DF93" s="24" t="n"/>
      <c r="DG93" s="24" t="n"/>
      <c r="DH93" s="24" t="n"/>
      <c r="DI93" s="24" t="n"/>
      <c r="DJ93" s="24" t="inlineStr">
        <is>
          <t>0.539171</t>
        </is>
      </c>
      <c r="DK93" s="24" t="n"/>
      <c r="DL93" s="24" t="n"/>
      <c r="DM93" s="24" t="n"/>
      <c r="DN93" s="24" t="n"/>
      <c r="DO93" s="24" t="n"/>
      <c r="DP93" s="24" t="n"/>
      <c r="DQ93" s="24" t="n"/>
    </row>
    <row r="94" ht="36" customHeight="1">
      <c r="A94" s="24" t="inlineStr">
        <is>
          <t>ca0bf0bf6eb24c87</t>
        </is>
      </c>
      <c r="B94" s="24" t="inlineStr">
        <is>
          <t>2026-09-02T04:38:59.485677Z</t>
        </is>
      </c>
      <c r="C94" s="24" t="inlineStr">
        <is>
          <t>2026-09-02T09:30:00Z</t>
        </is>
      </c>
      <c r="D94" s="24" t="inlineStr">
        <is>
          <t>97101</t>
        </is>
      </c>
      <c r="E94" s="24" t="inlineStr">
        <is>
          <t>KBO</t>
        </is>
      </c>
      <c r="F94" s="24" t="inlineStr">
        <is>
          <t>SSG Landers</t>
        </is>
      </c>
      <c r="G94" s="24" t="inlineStr">
        <is>
          <t>Kiwoom Heroes</t>
        </is>
      </c>
      <c r="H94" s="24" t="inlineStr">
        <is>
          <t>moneyline</t>
        </is>
      </c>
      <c r="I94" s="24" t="inlineStr">
        <is>
          <t>away</t>
        </is>
      </c>
      <c r="J94" s="25" t="n"/>
      <c r="K94" s="24" t="inlineStr">
        <is>
          <t>polymarket_us</t>
        </is>
      </c>
      <c r="L94" s="26" t="n">
        <v>-113</v>
      </c>
      <c r="M94" s="27" t="n">
        <v>1.884956</v>
      </c>
      <c r="N94" s="28" t="n">
        <v>0.530516</v>
      </c>
      <c r="O94" s="28" t="n">
        <v>0.53986</v>
      </c>
      <c r="P94" s="28" t="n"/>
      <c r="Q94" s="28" t="n">
        <v>0.009344</v>
      </c>
      <c r="R94" s="26" t="n">
        <v>25</v>
      </c>
      <c r="S94" s="29" t="n">
        <v>1</v>
      </c>
      <c r="T94" s="24" t="inlineStr">
        <is>
          <t>kbo-tie-aware-elo-v2</t>
        </is>
      </c>
      <c r="U94" s="24" t="inlineStr">
        <is>
          <t>settled</t>
        </is>
      </c>
      <c r="V94" s="24" t="inlineStr">
        <is>
          <t>win</t>
        </is>
      </c>
      <c r="W94" s="26" t="n">
        <v>9</v>
      </c>
      <c r="X94" s="26" t="n">
        <v>6</v>
      </c>
      <c r="Y94" s="25" t="n"/>
      <c r="Z94" s="26" t="n">
        <v>-113</v>
      </c>
      <c r="AA94" s="28" t="n">
        <v>0.53</v>
      </c>
      <c r="AB94" s="28" t="n">
        <v>-0.000516</v>
      </c>
      <c r="AC94" s="30" t="n">
        <v>0.885</v>
      </c>
      <c r="AD94" s="24" t="inlineStr">
        <is>
          <t>2026-09-02T16:04:59.870879Z</t>
        </is>
      </c>
      <c r="AE94" s="31" t="inlineStr">
        <is>
          <t>Tie-aware Elo baseline; executable ask 0.5300 (market_slug=aec-kbo-khi-sls-2026-09-02). Tie probability=0.0226.</t>
        </is>
      </c>
      <c r="AF94" s="31" t="inlineStr">
        <is>
          <t>Config-promoted international baseball baseline; gates enforced at log time.</t>
        </is>
      </c>
      <c r="AG94" s="24" t="inlineStr">
        <is>
          <t>not_applicable</t>
        </is>
      </c>
      <c r="AH94" s="24" t="n"/>
      <c r="AI94" s="31" t="n"/>
      <c r="AJ94" s="31" t="n"/>
      <c r="AK94" s="24" t="inlineStr">
        <is>
          <t>paper_call</t>
        </is>
      </c>
      <c r="AL94" s="26" t="n">
        <v>4</v>
      </c>
      <c r="AM94" s="24" t="inlineStr">
        <is>
          <t>RESEARCH_OBSERVATION</t>
        </is>
      </c>
      <c r="AN94" s="24" t="inlineStr">
        <is>
          <t>CALL</t>
        </is>
      </c>
      <c r="AO94" s="24" t="inlineStr">
        <is>
          <t>PAPER_CALL_LOW_EDGE</t>
        </is>
      </c>
      <c r="AP94" s="24" t="inlineStr">
        <is>
          <t>SSG Landers</t>
        </is>
      </c>
      <c r="AQ94" s="24" t="inlineStr">
        <is>
          <t>SSG Landers</t>
        </is>
      </c>
      <c r="AR94" s="24" t="inlineStr">
        <is>
          <t>SSG Landers</t>
        </is>
      </c>
      <c r="AS94" s="24" t="inlineStr">
        <is>
          <t>Kiwoom Heroes</t>
        </is>
      </c>
      <c r="AT94" s="24" t="inlineStr">
        <is>
          <t>Kiwoom Heroes</t>
        </is>
      </c>
      <c r="AU94" s="24" t="inlineStr">
        <is>
          <t>Kiwoom Heroes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4ef76fee768b5735216c87e6784c9d2cedbcd785e26d5dc7cd1f5fb9b714137c</t>
        </is>
      </c>
      <c r="BB94" s="24" t="inlineStr">
        <is>
          <t>tie_aware_elo</t>
        </is>
      </c>
      <c r="BC94" s="24" t="inlineStr">
        <is>
          <t>kbo-tie-aware-elo-v2</t>
        </is>
      </c>
      <c r="BD94" s="24" t="inlineStr">
        <is>
          <t>4ef76fee768b5735216c87e6784c9d2cedbcd785e26d5dc7cd1f5fb9b714137c</t>
        </is>
      </c>
      <c r="BE94" s="24" t="inlineStr">
        <is>
          <t>1</t>
        </is>
      </c>
      <c r="BF94" s="24" t="inlineStr">
        <is>
          <t>1</t>
        </is>
      </c>
      <c r="BG94" s="24" t="inlineStr">
        <is>
          <t>kbo-tie-aware-elo-v2</t>
        </is>
      </c>
      <c r="BH94" s="24" t="inlineStr">
        <is>
          <t>2026-09-02T04:38:59.485590Z</t>
        </is>
      </c>
      <c r="BI94" s="24" t="inlineStr">
        <is>
          <t>["same_event","same_team_same_day","same_league_same_day"]</t>
        </is>
      </c>
      <c r="BJ94" s="25" t="n"/>
      <c r="BK94" s="26" t="n">
        <v>-113</v>
      </c>
      <c r="BL94" s="27" t="n">
        <v>1.884956</v>
      </c>
      <c r="BM94" s="28" t="n">
        <v>0.530516</v>
      </c>
      <c r="BN94" s="28" t="n"/>
      <c r="BO94" s="28" t="n"/>
      <c r="BP94" s="25" t="n"/>
      <c r="BQ94" s="27" t="n">
        <v>1.884956</v>
      </c>
      <c r="BR94" s="28" t="n">
        <v>0.53</v>
      </c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inlineStr">
        <is>
          <t>True</t>
        </is>
      </c>
      <c r="CT94" s="24" t="n"/>
      <c r="CU94" s="24" t="n"/>
      <c r="CV94" s="24" t="n"/>
      <c r="CW94" s="24" t="n"/>
      <c r="CX94" s="24" t="n"/>
      <c r="CY94" s="24" t="n"/>
      <c r="CZ94" s="24" t="n"/>
      <c r="DA94" s="24" t="n"/>
      <c r="DB94" s="24" t="n"/>
      <c r="DC94" s="24" t="n"/>
      <c r="DD94" s="24" t="n"/>
      <c r="DE94" s="24" t="n"/>
      <c r="DF94" s="24" t="n"/>
      <c r="DG94" s="24" t="n"/>
      <c r="DH94" s="24" t="n"/>
      <c r="DI94" s="24" t="n"/>
      <c r="DJ94" s="24" t="inlineStr">
        <is>
          <t>0.530516</t>
        </is>
      </c>
      <c r="DK94" s="24" t="n"/>
      <c r="DL94" s="24" t="n"/>
      <c r="DM94" s="24" t="n"/>
      <c r="DN94" s="24" t="n"/>
      <c r="DO94" s="24" t="n"/>
      <c r="DP94" s="24" t="n"/>
      <c r="DQ94" s="24" t="n"/>
    </row>
    <row r="95" ht="36" customHeight="1">
      <c r="A95" s="24" t="inlineStr">
        <is>
          <t>c637595eb0d845c2</t>
        </is>
      </c>
      <c r="B95" s="24" t="inlineStr">
        <is>
          <t>2026-09-03T04:35:48.822240Z</t>
        </is>
      </c>
      <c r="C95" s="24" t="inlineStr">
        <is>
          <t>2026-09-03T09:30:00Z</t>
        </is>
      </c>
      <c r="D95" s="24" t="inlineStr">
        <is>
          <t>98203</t>
        </is>
      </c>
      <c r="E95" s="24" t="inlineStr">
        <is>
          <t>KBO</t>
        </is>
      </c>
      <c r="F95" s="24" t="inlineStr">
        <is>
          <t>Lotte Giants</t>
        </is>
      </c>
      <c r="G95" s="24" t="inlineStr">
        <is>
          <t>Samsung Lions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polymarket_us</t>
        </is>
      </c>
      <c r="L95" s="26" t="n">
        <v>-194</v>
      </c>
      <c r="M95" s="27" t="n">
        <v>1.515464</v>
      </c>
      <c r="N95" s="28" t="n">
        <v>0.659864</v>
      </c>
      <c r="O95" s="28" t="n">
        <v>0.627949</v>
      </c>
      <c r="P95" s="28" t="n"/>
      <c r="Q95" s="28" t="n">
        <v>-0.031915</v>
      </c>
      <c r="R95" s="26" t="n">
        <v>4</v>
      </c>
      <c r="S95" s="29" t="n">
        <v>1</v>
      </c>
      <c r="T95" s="24" t="inlineStr">
        <is>
          <t>kbo-tie-aware-elo-v2</t>
        </is>
      </c>
      <c r="U95" s="24" t="inlineStr">
        <is>
          <t>settled</t>
        </is>
      </c>
      <c r="V95" s="24" t="inlineStr">
        <is>
          <t>loss</t>
        </is>
      </c>
      <c r="W95" s="26" t="n">
        <v>3</v>
      </c>
      <c r="X95" s="26" t="n">
        <v>2</v>
      </c>
      <c r="Y95" s="25" t="n"/>
      <c r="Z95" s="26" t="n">
        <v>-194</v>
      </c>
      <c r="AA95" s="28" t="n">
        <v>0.66</v>
      </c>
      <c r="AB95" s="28" t="n">
        <v>0.000136</v>
      </c>
      <c r="AC95" s="30" t="n">
        <v>-1</v>
      </c>
      <c r="AD95" s="24" t="inlineStr">
        <is>
          <t>2026-09-03T16:08:13.633777Z</t>
        </is>
      </c>
      <c r="AE95" s="31" t="inlineStr">
        <is>
          <t>Tie-aware Elo baseline; executable ask 0.6600 (market_slug=aec-kbo-sla-lgo-2026-09-03). Tie probability=0.0226.</t>
        </is>
      </c>
      <c r="AF95" s="31" t="inlineStr">
        <is>
          <t>Config-promoted international baseball baseline; gates enforced at log time.</t>
        </is>
      </c>
      <c r="AG95" s="24" t="inlineStr">
        <is>
          <t>review_required</t>
        </is>
      </c>
      <c r="AH95" s="24" t="n"/>
      <c r="AI95" s="31" t="n"/>
      <c r="AJ95" s="31" t="n"/>
      <c r="AK95" s="24" t="inlineStr">
        <is>
          <t>paper_call</t>
        </is>
      </c>
      <c r="AL95" s="26" t="n">
        <v>4</v>
      </c>
      <c r="AM95" s="24" t="inlineStr">
        <is>
          <t>RESEARCH_OBSERVATION</t>
        </is>
      </c>
      <c r="AN95" s="24" t="inlineStr">
        <is>
          <t>CALL</t>
        </is>
      </c>
      <c r="AO95" s="24" t="inlineStr">
        <is>
          <t>PAPER_CALL_LOW_EDGE</t>
        </is>
      </c>
      <c r="AP95" s="24" t="inlineStr">
        <is>
          <t>Lotte Giants</t>
        </is>
      </c>
      <c r="AQ95" s="24" t="inlineStr">
        <is>
          <t>Lotte Giants</t>
        </is>
      </c>
      <c r="AR95" s="24" t="inlineStr">
        <is>
          <t>Lotte Giants</t>
        </is>
      </c>
      <c r="AS95" s="24" t="inlineStr">
        <is>
          <t>Samsung Lions</t>
        </is>
      </c>
      <c r="AT95" s="24" t="inlineStr">
        <is>
          <t>Samsung Lions</t>
        </is>
      </c>
      <c r="AU95" s="24" t="inlineStr">
        <is>
          <t>Samsung Lions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9fb8d89ebdc680d8de08c6afd0d0849e822d63ce40fcf3bd358c742e35d7bcc9</t>
        </is>
      </c>
      <c r="BB95" s="24" t="inlineStr">
        <is>
          <t>tie_aware_elo</t>
        </is>
      </c>
      <c r="BC95" s="24" t="inlineStr">
        <is>
          <t>kbo-tie-aware-elo-v2</t>
        </is>
      </c>
      <c r="BD95" s="24" t="inlineStr">
        <is>
          <t>9fb8d89ebdc680d8de08c6afd0d0849e822d63ce40fcf3bd358c742e35d7bcc9</t>
        </is>
      </c>
      <c r="BE95" s="24" t="inlineStr">
        <is>
          <t>1</t>
        </is>
      </c>
      <c r="BF95" s="24" t="inlineStr">
        <is>
          <t>1</t>
        </is>
      </c>
      <c r="BG95" s="24" t="inlineStr">
        <is>
          <t>kbo-tie-aware-elo-v2</t>
        </is>
      </c>
      <c r="BH95" s="24" t="inlineStr">
        <is>
          <t>2026-09-03T04:35:48.657330Z</t>
        </is>
      </c>
      <c r="BI95" s="24" t="inlineStr">
        <is>
          <t>["same_event","same_team_same_day","same_league_same_day"]</t>
        </is>
      </c>
      <c r="BJ95" s="25" t="n"/>
      <c r="BK95" s="26" t="n">
        <v>-194</v>
      </c>
      <c r="BL95" s="27" t="n">
        <v>1.515464</v>
      </c>
      <c r="BM95" s="28" t="n">
        <v>0.659864</v>
      </c>
      <c r="BN95" s="28" t="n"/>
      <c r="BO95" s="28" t="n"/>
      <c r="BP95" s="25" t="n"/>
      <c r="BQ95" s="27" t="n">
        <v>1.515464</v>
      </c>
      <c r="BR95" s="28" t="n">
        <v>0.66</v>
      </c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inlineStr">
        <is>
          <t>False</t>
        </is>
      </c>
      <c r="CT95" s="24" t="n"/>
      <c r="CU95" s="24" t="n"/>
      <c r="CV95" s="24" t="n"/>
      <c r="CW95" s="24" t="n"/>
      <c r="CX95" s="24" t="n"/>
      <c r="CY95" s="24" t="n"/>
      <c r="CZ95" s="24" t="n"/>
      <c r="DA95" s="24" t="n"/>
      <c r="DB95" s="24" t="n"/>
      <c r="DC95" s="24" t="n"/>
      <c r="DD95" s="24" t="n"/>
      <c r="DE95" s="24" t="n"/>
      <c r="DF95" s="24" t="n"/>
      <c r="DG95" s="24" t="n"/>
      <c r="DH95" s="24" t="n"/>
      <c r="DI95" s="24" t="n"/>
      <c r="DJ95" s="24" t="inlineStr">
        <is>
          <t>0.659864</t>
        </is>
      </c>
      <c r="DK95" s="24" t="n"/>
      <c r="DL95" s="24" t="n"/>
      <c r="DM95" s="24" t="n"/>
      <c r="DN95" s="24" t="n"/>
      <c r="DO95" s="24" t="n"/>
      <c r="DP95" s="24" t="n"/>
      <c r="DQ95" s="24" t="n"/>
    </row>
    <row r="96" ht="36" customHeight="1">
      <c r="A96" s="24" t="inlineStr">
        <is>
          <t>73af212a5b8f4883</t>
        </is>
      </c>
      <c r="B96" s="24" t="inlineStr">
        <is>
          <t>2026-09-03T04:35:48.822240Z</t>
        </is>
      </c>
      <c r="C96" s="24" t="inlineStr">
        <is>
          <t>2026-09-03T09:30:00Z</t>
        </is>
      </c>
      <c r="D96" s="24" t="inlineStr">
        <is>
          <t>98200</t>
        </is>
      </c>
      <c r="E96" s="24" t="inlineStr">
        <is>
          <t>KBO</t>
        </is>
      </c>
      <c r="F96" s="24" t="inlineStr">
        <is>
          <t>Hanwha Eagles</t>
        </is>
      </c>
      <c r="G96" s="24" t="inlineStr">
        <is>
          <t>KT Wiz</t>
        </is>
      </c>
      <c r="H96" s="24" t="inlineStr">
        <is>
          <t>moneyline</t>
        </is>
      </c>
      <c r="I96" s="24" t="inlineStr">
        <is>
          <t>home</t>
        </is>
      </c>
      <c r="J96" s="25" t="n"/>
      <c r="K96" s="24" t="inlineStr">
        <is>
          <t>polymarket_us</t>
        </is>
      </c>
      <c r="L96" s="26" t="n">
        <v>-163</v>
      </c>
      <c r="M96" s="27" t="n">
        <v>1.613497</v>
      </c>
      <c r="N96" s="28" t="n">
        <v>0.619772</v>
      </c>
      <c r="O96" s="28" t="n">
        <v>0.65702</v>
      </c>
      <c r="P96" s="28" t="n"/>
      <c r="Q96" s="28" t="n">
        <v>0.037248</v>
      </c>
      <c r="R96" s="26" t="n">
        <v>39</v>
      </c>
      <c r="S96" s="29" t="n">
        <v>1</v>
      </c>
      <c r="T96" s="24" t="inlineStr">
        <is>
          <t>kbo-tie-aware-elo-v2</t>
        </is>
      </c>
      <c r="U96" s="24" t="inlineStr">
        <is>
          <t>settled</t>
        </is>
      </c>
      <c r="V96" s="24" t="inlineStr">
        <is>
          <t>win</t>
        </is>
      </c>
      <c r="W96" s="26" t="n">
        <v>11</v>
      </c>
      <c r="X96" s="26" t="n">
        <v>13</v>
      </c>
      <c r="Y96" s="25" t="n"/>
      <c r="Z96" s="26" t="n">
        <v>-163</v>
      </c>
      <c r="AA96" s="28" t="n">
        <v>0.62</v>
      </c>
      <c r="AB96" s="28" t="n">
        <v>0.000228</v>
      </c>
      <c r="AC96" s="30" t="n">
        <v>0.6135</v>
      </c>
      <c r="AD96" s="24" t="inlineStr">
        <is>
          <t>2026-09-03T16:08:14.032162Z</t>
        </is>
      </c>
      <c r="AE96" s="31" t="inlineStr">
        <is>
          <t>Tie-aware Elo baseline; executable ask 0.6200 (market_slug=aec-kbo-kwt-hea-2026-09-03). Tie probability=0.0226.</t>
        </is>
      </c>
      <c r="AF96" s="31" t="inlineStr">
        <is>
          <t>Config-promoted international baseball baseline; gates enforced at log time.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model_qualified</t>
        </is>
      </c>
      <c r="AL96" s="26" t="n">
        <v>4</v>
      </c>
      <c r="AM96" s="24" t="inlineStr">
        <is>
          <t>QUALIFIED_SHADOW_CALL</t>
        </is>
      </c>
      <c r="AN96" s="24" t="inlineStr">
        <is>
          <t>CALL</t>
        </is>
      </c>
      <c r="AO96" s="24" t="inlineStr">
        <is>
          <t>QUALIFIED</t>
        </is>
      </c>
      <c r="AP96" s="24" t="inlineStr">
        <is>
          <t>Hanwha Eagles</t>
        </is>
      </c>
      <c r="AQ96" s="24" t="inlineStr">
        <is>
          <t>Hanwha Eagles</t>
        </is>
      </c>
      <c r="AR96" s="24" t="inlineStr">
        <is>
          <t>Hanwha Eagles</t>
        </is>
      </c>
      <c r="AS96" s="24" t="inlineStr">
        <is>
          <t>KT Wiz</t>
        </is>
      </c>
      <c r="AT96" s="24" t="inlineStr">
        <is>
          <t>KT Wiz</t>
        </is>
      </c>
      <c r="AU96" s="24" t="inlineStr">
        <is>
          <t>KT Wiz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9fb8d89ebdc680d8de08c6afd0d0849e822d63ce40fcf3bd358c742e35d7bcc9</t>
        </is>
      </c>
      <c r="BB96" s="24" t="inlineStr">
        <is>
          <t>tie_aware_elo</t>
        </is>
      </c>
      <c r="BC96" s="24" t="inlineStr">
        <is>
          <t>kbo-tie-aware-elo-v2</t>
        </is>
      </c>
      <c r="BD96" s="24" t="inlineStr">
        <is>
          <t>9fb8d89ebdc680d8de08c6afd0d0849e822d63ce40fcf3bd358c742e35d7bcc9</t>
        </is>
      </c>
      <c r="BE96" s="24" t="inlineStr">
        <is>
          <t>1</t>
        </is>
      </c>
      <c r="BF96" s="24" t="inlineStr">
        <is>
          <t>1</t>
        </is>
      </c>
      <c r="BG96" s="24" t="inlineStr">
        <is>
          <t>kbo-tie-aware-elo-v2</t>
        </is>
      </c>
      <c r="BH96" s="24" t="inlineStr">
        <is>
          <t>2026-09-03T04:35:48.709963Z</t>
        </is>
      </c>
      <c r="BI96" s="24" t="inlineStr">
        <is>
          <t>["same_event","same_team_same_day","same_league_same_day"]</t>
        </is>
      </c>
      <c r="BJ96" s="25" t="n"/>
      <c r="BK96" s="26" t="n">
        <v>-163</v>
      </c>
      <c r="BL96" s="27" t="n">
        <v>1.613497</v>
      </c>
      <c r="BM96" s="28" t="n">
        <v>0.619772</v>
      </c>
      <c r="BN96" s="28" t="n"/>
      <c r="BO96" s="28" t="n"/>
      <c r="BP96" s="25" t="n"/>
      <c r="BQ96" s="27" t="n">
        <v>1.613497</v>
      </c>
      <c r="BR96" s="28" t="n">
        <v>0.62</v>
      </c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inlineStr">
        <is>
          <t>True</t>
        </is>
      </c>
      <c r="CT96" s="24" t="n"/>
      <c r="CU96" s="24" t="n"/>
      <c r="CV96" s="24" t="n"/>
      <c r="CW96" s="24" t="n"/>
      <c r="CX96" s="24" t="n"/>
      <c r="CY96" s="24" t="n"/>
      <c r="CZ96" s="24" t="n"/>
      <c r="DA96" s="24" t="n"/>
      <c r="DB96" s="24" t="n"/>
      <c r="DC96" s="24" t="n"/>
      <c r="DD96" s="24" t="n"/>
      <c r="DE96" s="24" t="n"/>
      <c r="DF96" s="24" t="n"/>
      <c r="DG96" s="24" t="n"/>
      <c r="DH96" s="24" t="n"/>
      <c r="DI96" s="24" t="n"/>
      <c r="DJ96" s="24" t="inlineStr">
        <is>
          <t>0.619772</t>
        </is>
      </c>
      <c r="DK96" s="24" t="n"/>
      <c r="DL96" s="24" t="n"/>
      <c r="DM96" s="24" t="n"/>
      <c r="DN96" s="24" t="n"/>
      <c r="DO96" s="24" t="n"/>
      <c r="DP96" s="24" t="n"/>
      <c r="DQ96" s="24" t="n"/>
    </row>
    <row r="97" ht="36" customHeight="1">
      <c r="A97" s="24" t="inlineStr">
        <is>
          <t>22541423a9ef43a8</t>
        </is>
      </c>
      <c r="B97" s="24" t="inlineStr">
        <is>
          <t>2026-09-03T04:35:48.822240Z</t>
        </is>
      </c>
      <c r="C97" s="24" t="inlineStr">
        <is>
          <t>2026-09-03T09:30:00Z</t>
        </is>
      </c>
      <c r="D97" s="24" t="inlineStr">
        <is>
          <t>98201</t>
        </is>
      </c>
      <c r="E97" s="24" t="inlineStr">
        <is>
          <t>KBO</t>
        </is>
      </c>
      <c r="F97" s="24" t="inlineStr">
        <is>
          <t>SSG Landers</t>
        </is>
      </c>
      <c r="G97" s="24" t="inlineStr">
        <is>
          <t>Kiwoom Heroes</t>
        </is>
      </c>
      <c r="H97" s="24" t="inlineStr">
        <is>
          <t>moneyline</t>
        </is>
      </c>
      <c r="I97" s="24" t="inlineStr">
        <is>
          <t>away</t>
        </is>
      </c>
      <c r="J97" s="25" t="n"/>
      <c r="K97" s="24" t="inlineStr">
        <is>
          <t>polymarket_us</t>
        </is>
      </c>
      <c r="L97" s="26" t="n">
        <v>-133</v>
      </c>
      <c r="M97" s="27" t="n">
        <v>1.75188</v>
      </c>
      <c r="N97" s="28" t="n">
        <v>0.570815</v>
      </c>
      <c r="O97" s="28" t="n">
        <v>0.549772</v>
      </c>
      <c r="P97" s="28" t="n"/>
      <c r="Q97" s="28" t="n">
        <v>-0.021043</v>
      </c>
      <c r="R97" s="26" t="n">
        <v>9</v>
      </c>
      <c r="S97" s="29" t="n">
        <v>1</v>
      </c>
      <c r="T97" s="24" t="inlineStr">
        <is>
          <t>kbo-tie-aware-elo-v2</t>
        </is>
      </c>
      <c r="U97" s="24" t="inlineStr">
        <is>
          <t>settled</t>
        </is>
      </c>
      <c r="V97" s="24" t="inlineStr">
        <is>
          <t>loss</t>
        </is>
      </c>
      <c r="W97" s="26" t="n">
        <v>2</v>
      </c>
      <c r="X97" s="26" t="n">
        <v>3</v>
      </c>
      <c r="Y97" s="25" t="n"/>
      <c r="Z97" s="26" t="n">
        <v>-133</v>
      </c>
      <c r="AA97" s="28" t="n">
        <v>0.57</v>
      </c>
      <c r="AB97" s="28" t="n">
        <v>-0.000815</v>
      </c>
      <c r="AC97" s="30" t="n">
        <v>-1</v>
      </c>
      <c r="AD97" s="24" t="inlineStr">
        <is>
          <t>2026-09-03T16:08:14.287728Z</t>
        </is>
      </c>
      <c r="AE97" s="31" t="inlineStr">
        <is>
          <t>Tie-aware Elo baseline; executable ask 0.5700 (market_slug=aec-kbo-khi-sls-2026-09-03). Tie probability=0.0226.</t>
        </is>
      </c>
      <c r="AF97" s="31" t="inlineStr">
        <is>
          <t>Config-promoted international baseball baseline; gates enforced at log time.</t>
        </is>
      </c>
      <c r="AG97" s="24" t="inlineStr">
        <is>
          <t>review_required</t>
        </is>
      </c>
      <c r="AH97" s="24" t="n"/>
      <c r="AI97" s="31" t="n"/>
      <c r="AJ97" s="31" t="n"/>
      <c r="AK97" s="24" t="inlineStr">
        <is>
          <t>paper_call</t>
        </is>
      </c>
      <c r="AL97" s="26" t="n">
        <v>4</v>
      </c>
      <c r="AM97" s="24" t="inlineStr">
        <is>
          <t>RESEARCH_OBSERVATION</t>
        </is>
      </c>
      <c r="AN97" s="24" t="inlineStr">
        <is>
          <t>CALL</t>
        </is>
      </c>
      <c r="AO97" s="24" t="inlineStr">
        <is>
          <t>PAPER_CALL_LOW_EDGE</t>
        </is>
      </c>
      <c r="AP97" s="24" t="inlineStr">
        <is>
          <t>SSG Landers</t>
        </is>
      </c>
      <c r="AQ97" s="24" t="inlineStr">
        <is>
          <t>SSG Landers</t>
        </is>
      </c>
      <c r="AR97" s="24" t="inlineStr">
        <is>
          <t>SSG Landers</t>
        </is>
      </c>
      <c r="AS97" s="24" t="inlineStr">
        <is>
          <t>Kiwoom Heroes</t>
        </is>
      </c>
      <c r="AT97" s="24" t="inlineStr">
        <is>
          <t>Kiwoom Heroes</t>
        </is>
      </c>
      <c r="AU97" s="24" t="inlineStr">
        <is>
          <t>Kiwoom Heroes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9fb8d89ebdc680d8de08c6afd0d0849e822d63ce40fcf3bd358c742e35d7bcc9</t>
        </is>
      </c>
      <c r="BB97" s="24" t="inlineStr">
        <is>
          <t>tie_aware_elo</t>
        </is>
      </c>
      <c r="BC97" s="24" t="inlineStr">
        <is>
          <t>kbo-tie-aware-elo-v2</t>
        </is>
      </c>
      <c r="BD97" s="24" t="inlineStr">
        <is>
          <t>9fb8d89ebdc680d8de08c6afd0d0849e822d63ce40fcf3bd358c742e35d7bcc9</t>
        </is>
      </c>
      <c r="BE97" s="24" t="inlineStr">
        <is>
          <t>1</t>
        </is>
      </c>
      <c r="BF97" s="24" t="inlineStr">
        <is>
          <t>1</t>
        </is>
      </c>
      <c r="BG97" s="24" t="inlineStr">
        <is>
          <t>kbo-tie-aware-elo-v2</t>
        </is>
      </c>
      <c r="BH97" s="24" t="inlineStr">
        <is>
          <t>2026-09-03T04:35:48.765846Z</t>
        </is>
      </c>
      <c r="BI97" s="24" t="inlineStr">
        <is>
          <t>["same_event","same_team_same_day","same_league_same_day"]</t>
        </is>
      </c>
      <c r="BJ97" s="25" t="n"/>
      <c r="BK97" s="26" t="n">
        <v>-133</v>
      </c>
      <c r="BL97" s="27" t="n">
        <v>1.75188</v>
      </c>
      <c r="BM97" s="28" t="n">
        <v>0.570815</v>
      </c>
      <c r="BN97" s="28" t="n"/>
      <c r="BO97" s="28" t="n"/>
      <c r="BP97" s="25" t="n"/>
      <c r="BQ97" s="27" t="n">
        <v>1.75188</v>
      </c>
      <c r="BR97" s="28" t="n">
        <v>0.57</v>
      </c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inlineStr">
        <is>
          <t>False</t>
        </is>
      </c>
      <c r="CT97" s="24" t="n"/>
      <c r="CU97" s="24" t="n"/>
      <c r="CV97" s="24" t="n"/>
      <c r="CW97" s="24" t="n"/>
      <c r="CX97" s="24" t="n"/>
      <c r="CY97" s="24" t="n"/>
      <c r="CZ97" s="24" t="n"/>
      <c r="DA97" s="24" t="n"/>
      <c r="DB97" s="24" t="n"/>
      <c r="DC97" s="24" t="n"/>
      <c r="DD97" s="24" t="n"/>
      <c r="DE97" s="24" t="n"/>
      <c r="DF97" s="24" t="n"/>
      <c r="DG97" s="24" t="n"/>
      <c r="DH97" s="24" t="n"/>
      <c r="DI97" s="24" t="n"/>
      <c r="DJ97" s="24" t="inlineStr">
        <is>
          <t>0.570815</t>
        </is>
      </c>
      <c r="DK97" s="24" t="n"/>
      <c r="DL97" s="24" t="n"/>
      <c r="DM97" s="24" t="n"/>
      <c r="DN97" s="24" t="n"/>
      <c r="DO97" s="24" t="n"/>
      <c r="DP97" s="24" t="n"/>
      <c r="DQ97" s="24" t="n"/>
    </row>
    <row r="98" ht="36" customHeight="1">
      <c r="A98" s="24" t="inlineStr">
        <is>
          <t>a2ee51592d3949ef</t>
        </is>
      </c>
      <c r="B98" s="24" t="inlineStr">
        <is>
          <t>2026-09-03T04:35:48.822240Z</t>
        </is>
      </c>
      <c r="C98" s="24" t="inlineStr">
        <is>
          <t>2026-09-03T09:30:00Z</t>
        </is>
      </c>
      <c r="D98" s="24" t="inlineStr">
        <is>
          <t>98202</t>
        </is>
      </c>
      <c r="E98" s="24" t="inlineStr">
        <is>
          <t>KBO</t>
        </is>
      </c>
      <c r="F98" s="24" t="inlineStr">
        <is>
          <t>LG Twins</t>
        </is>
      </c>
      <c r="G98" s="24" t="inlineStr">
        <is>
          <t>Doosan Bears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-178</v>
      </c>
      <c r="M98" s="27" t="n">
        <v>1.561798</v>
      </c>
      <c r="N98" s="28" t="n">
        <v>0.640288</v>
      </c>
      <c r="O98" s="28" t="n">
        <v>0.524576</v>
      </c>
      <c r="P98" s="28" t="n"/>
      <c r="Q98" s="28" t="n">
        <v>-0.115712</v>
      </c>
      <c r="R98" s="26" t="n">
        <v>0</v>
      </c>
      <c r="S98" s="29" t="n">
        <v>1</v>
      </c>
      <c r="T98" s="24" t="inlineStr">
        <is>
          <t>kbo-tie-aware-elo-v2</t>
        </is>
      </c>
      <c r="U98" s="24" t="inlineStr">
        <is>
          <t>settled</t>
        </is>
      </c>
      <c r="V98" s="24" t="inlineStr">
        <is>
          <t>loss</t>
        </is>
      </c>
      <c r="W98" s="26" t="n">
        <v>1</v>
      </c>
      <c r="X98" s="26" t="n">
        <v>0</v>
      </c>
      <c r="Y98" s="25" t="n"/>
      <c r="Z98" s="26" t="n">
        <v>-178</v>
      </c>
      <c r="AA98" s="28" t="n">
        <v>0.64</v>
      </c>
      <c r="AB98" s="28" t="n">
        <v>-0.000288</v>
      </c>
      <c r="AC98" s="30" t="n">
        <v>-1</v>
      </c>
      <c r="AD98" s="24" t="inlineStr">
        <is>
          <t>2026-09-03T16:08:14.537762Z</t>
        </is>
      </c>
      <c r="AE98" s="31" t="inlineStr">
        <is>
          <t>Tie-aware Elo baseline; executable ask 0.6400 (market_slug=aec-kbo-dbo-ltg-2026-09-03). Tie probability=0.0226.</t>
        </is>
      </c>
      <c r="AF98" s="31" t="inlineStr">
        <is>
          <t>Config-promoted international baseball baseline; gates enforced at log time.</t>
        </is>
      </c>
      <c r="AG98" s="24" t="inlineStr">
        <is>
          <t>review_required</t>
        </is>
      </c>
      <c r="AH98" s="24" t="n"/>
      <c r="AI98" s="31" t="n"/>
      <c r="AJ98" s="31" t="n"/>
      <c r="AK98" s="24" t="inlineStr">
        <is>
          <t>paper_call</t>
        </is>
      </c>
      <c r="AL98" s="26" t="n">
        <v>4</v>
      </c>
      <c r="AM98" s="24" t="inlineStr">
        <is>
          <t>RESEARCH_OBSERVATION</t>
        </is>
      </c>
      <c r="AN98" s="24" t="inlineStr">
        <is>
          <t>CALL</t>
        </is>
      </c>
      <c r="AO98" s="24" t="inlineStr">
        <is>
          <t>PAPER_CALL_LOW_EDGE</t>
        </is>
      </c>
      <c r="AP98" s="24" t="inlineStr">
        <is>
          <t>LG Twins</t>
        </is>
      </c>
      <c r="AQ98" s="24" t="inlineStr">
        <is>
          <t>LG Twins</t>
        </is>
      </c>
      <c r="AR98" s="24" t="inlineStr">
        <is>
          <t>LG Twins</t>
        </is>
      </c>
      <c r="AS98" s="24" t="inlineStr">
        <is>
          <t>Doosan Bears</t>
        </is>
      </c>
      <c r="AT98" s="24" t="inlineStr">
        <is>
          <t>Doosan Bears</t>
        </is>
      </c>
      <c r="AU98" s="24" t="inlineStr">
        <is>
          <t>Doosan Bears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9fb8d89ebdc680d8de08c6afd0d0849e822d63ce40fcf3bd358c742e35d7bcc9</t>
        </is>
      </c>
      <c r="BB98" s="24" t="inlineStr">
        <is>
          <t>tie_aware_elo</t>
        </is>
      </c>
      <c r="BC98" s="24" t="inlineStr">
        <is>
          <t>kbo-tie-aware-elo-v2</t>
        </is>
      </c>
      <c r="BD98" s="24" t="inlineStr">
        <is>
          <t>9fb8d89ebdc680d8de08c6afd0d0849e822d63ce40fcf3bd358c742e35d7bcc9</t>
        </is>
      </c>
      <c r="BE98" s="24" t="inlineStr">
        <is>
          <t>1</t>
        </is>
      </c>
      <c r="BF98" s="24" t="inlineStr">
        <is>
          <t>1</t>
        </is>
      </c>
      <c r="BG98" s="24" t="inlineStr">
        <is>
          <t>kbo-tie-aware-elo-v2</t>
        </is>
      </c>
      <c r="BH98" s="24" t="inlineStr">
        <is>
          <t>2026-09-03T04:35:48.822205Z</t>
        </is>
      </c>
      <c r="BI98" s="24" t="inlineStr">
        <is>
          <t>["same_event","same_team_same_day","same_league_same_day"]</t>
        </is>
      </c>
      <c r="BJ98" s="25" t="n"/>
      <c r="BK98" s="26" t="n">
        <v>-178</v>
      </c>
      <c r="BL98" s="27" t="n">
        <v>1.561798</v>
      </c>
      <c r="BM98" s="28" t="n">
        <v>0.640288</v>
      </c>
      <c r="BN98" s="28" t="n"/>
      <c r="BO98" s="28" t="n"/>
      <c r="BP98" s="25" t="n"/>
      <c r="BQ98" s="27" t="n">
        <v>1.561798</v>
      </c>
      <c r="BR98" s="28" t="n">
        <v>0.64</v>
      </c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inlineStr">
        <is>
          <t>False</t>
        </is>
      </c>
      <c r="CT98" s="24" t="n"/>
      <c r="CU98" s="24" t="n"/>
      <c r="CV98" s="24" t="n"/>
      <c r="CW98" s="24" t="n"/>
      <c r="CX98" s="24" t="n"/>
      <c r="CY98" s="24" t="n"/>
      <c r="CZ98" s="24" t="n"/>
      <c r="DA98" s="24" t="n"/>
      <c r="DB98" s="24" t="n"/>
      <c r="DC98" s="24" t="n"/>
      <c r="DD98" s="24" t="n"/>
      <c r="DE98" s="24" t="n"/>
      <c r="DF98" s="24" t="n"/>
      <c r="DG98" s="24" t="n"/>
      <c r="DH98" s="24" t="n"/>
      <c r="DI98" s="24" t="n"/>
      <c r="DJ98" s="24" t="inlineStr">
        <is>
          <t>0.640288</t>
        </is>
      </c>
      <c r="DK98" s="24" t="n"/>
      <c r="DL98" s="24" t="n"/>
      <c r="DM98" s="24" t="n"/>
      <c r="DN98" s="24" t="n"/>
      <c r="DO98" s="24" t="n"/>
      <c r="DP98" s="24" t="n"/>
      <c r="DQ98" s="24" t="n"/>
    </row>
    <row r="99" ht="36" customHeight="1">
      <c r="A99" s="24" t="inlineStr">
        <is>
          <t>fb17902715c64b76</t>
        </is>
      </c>
      <c r="B99" s="24" t="inlineStr">
        <is>
          <t>2026-09-04T04:36:43.917497Z</t>
        </is>
      </c>
      <c r="C99" s="24" t="inlineStr">
        <is>
          <t>2026-09-04T09:30:00Z</t>
        </is>
      </c>
      <c r="D99" s="24" t="inlineStr">
        <is>
          <t>99152</t>
        </is>
      </c>
      <c r="E99" s="24" t="inlineStr">
        <is>
          <t>KBO</t>
        </is>
      </c>
      <c r="F99" s="24" t="inlineStr">
        <is>
          <t>NC Dinos</t>
        </is>
      </c>
      <c r="G99" s="24" t="inlineStr">
        <is>
          <t>Kiwoom Heroes</t>
        </is>
      </c>
      <c r="H99" s="24" t="inlineStr">
        <is>
          <t>moneyline</t>
        </is>
      </c>
      <c r="I99" s="24" t="inlineStr">
        <is>
          <t>away</t>
        </is>
      </c>
      <c r="J99" s="25" t="n"/>
      <c r="K99" s="24" t="inlineStr">
        <is>
          <t>polymarket_us</t>
        </is>
      </c>
      <c r="L99" s="26" t="n">
        <v>-156</v>
      </c>
      <c r="M99" s="27" t="n">
        <v>1.641026</v>
      </c>
      <c r="N99" s="28" t="n">
        <v>0.609375</v>
      </c>
      <c r="O99" s="28" t="n">
        <v>0.55976</v>
      </c>
      <c r="P99" s="28" t="n"/>
      <c r="Q99" s="28" t="n">
        <v>-0.049615</v>
      </c>
      <c r="R99" s="26" t="n">
        <v>0</v>
      </c>
      <c r="S99" s="29" t="n">
        <v>1</v>
      </c>
      <c r="T99" s="24" t="inlineStr">
        <is>
          <t>kbo-tie-aware-elo-v2</t>
        </is>
      </c>
      <c r="U99" s="24" t="inlineStr">
        <is>
          <t>settled</t>
        </is>
      </c>
      <c r="V99" s="24" t="inlineStr">
        <is>
          <t>win</t>
        </is>
      </c>
      <c r="W99" s="26" t="n">
        <v>6</v>
      </c>
      <c r="X99" s="26" t="n">
        <v>1</v>
      </c>
      <c r="Y99" s="25" t="n"/>
      <c r="Z99" s="26" t="n">
        <v>-156</v>
      </c>
      <c r="AA99" s="28" t="n">
        <v>0.61</v>
      </c>
      <c r="AB99" s="28" t="n">
        <v>0.000625</v>
      </c>
      <c r="AC99" s="30" t="n">
        <v>0.641</v>
      </c>
      <c r="AD99" s="24" t="inlineStr">
        <is>
          <t>2026-09-04T16:00:58.701329Z</t>
        </is>
      </c>
      <c r="AE99" s="31" t="inlineStr">
        <is>
          <t>Tie-aware Elo baseline; executable ask 0.6100 (market_slug=aec-kbo-khi-ndc-2026-09-04). Tie probability=0.0226.</t>
        </is>
      </c>
      <c r="AF99" s="31" t="inlineStr">
        <is>
          <t>Config-promoted international baseball baseline; gates enforced at log time.</t>
        </is>
      </c>
      <c r="AG99" s="24" t="inlineStr">
        <is>
          <t>not_applicable</t>
        </is>
      </c>
      <c r="AH99" s="24" t="n"/>
      <c r="AI99" s="31" t="n"/>
      <c r="AJ99" s="31" t="n"/>
      <c r="AK99" s="24" t="inlineStr">
        <is>
          <t>paper_call</t>
        </is>
      </c>
      <c r="AL99" s="26" t="n">
        <v>4</v>
      </c>
      <c r="AM99" s="24" t="inlineStr">
        <is>
          <t>RESEARCH_OBSERVATION</t>
        </is>
      </c>
      <c r="AN99" s="24" t="inlineStr">
        <is>
          <t>CALL</t>
        </is>
      </c>
      <c r="AO99" s="24" t="inlineStr">
        <is>
          <t>PAPER_CALL_LOW_EDGE</t>
        </is>
      </c>
      <c r="AP99" s="24" t="inlineStr">
        <is>
          <t>NC Dinos</t>
        </is>
      </c>
      <c r="AQ99" s="24" t="inlineStr">
        <is>
          <t>NC Dinos</t>
        </is>
      </c>
      <c r="AR99" s="24" t="inlineStr">
        <is>
          <t>NC Dinos</t>
        </is>
      </c>
      <c r="AS99" s="24" t="inlineStr">
        <is>
          <t>Kiwoom Heroes</t>
        </is>
      </c>
      <c r="AT99" s="24" t="inlineStr">
        <is>
          <t>Kiwoom Heroes</t>
        </is>
      </c>
      <c r="AU99" s="24" t="inlineStr">
        <is>
          <t>Kiwoom Heroes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17acbaf385e0e55e390968d14bd373856f56f7066d077c40e740f4a45b7d43db</t>
        </is>
      </c>
      <c r="BB99" s="24" t="inlineStr">
        <is>
          <t>tie_aware_elo</t>
        </is>
      </c>
      <c r="BC99" s="24" t="inlineStr">
        <is>
          <t>kbo-tie-aware-elo-v2</t>
        </is>
      </c>
      <c r="BD99" s="24" t="inlineStr">
        <is>
          <t>17acbaf385e0e55e390968d14bd373856f56f7066d077c40e740f4a45b7d43db</t>
        </is>
      </c>
      <c r="BE99" s="24" t="inlineStr">
        <is>
          <t>1</t>
        </is>
      </c>
      <c r="BF99" s="24" t="inlineStr">
        <is>
          <t>1</t>
        </is>
      </c>
      <c r="BG99" s="24" t="inlineStr">
        <is>
          <t>kbo-tie-aware-elo-v2</t>
        </is>
      </c>
      <c r="BH99" s="24" t="inlineStr">
        <is>
          <t>2026-09-04T04:36:43.548277Z</t>
        </is>
      </c>
      <c r="BI99" s="24" t="inlineStr">
        <is>
          <t>["same_event","same_team_same_day","same_league_same_day"]</t>
        </is>
      </c>
      <c r="BJ99" s="25" t="n"/>
      <c r="BK99" s="26" t="n">
        <v>-156</v>
      </c>
      <c r="BL99" s="27" t="n">
        <v>1.641026</v>
      </c>
      <c r="BM99" s="28" t="n">
        <v>0.609375</v>
      </c>
      <c r="BN99" s="28" t="n"/>
      <c r="BO99" s="28" t="n"/>
      <c r="BP99" s="25" t="n"/>
      <c r="BQ99" s="27" t="n">
        <v>1.641026</v>
      </c>
      <c r="BR99" s="28" t="n">
        <v>0.61</v>
      </c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inlineStr">
        <is>
          <t>False</t>
        </is>
      </c>
      <c r="CT99" s="24" t="n"/>
      <c r="CU99" s="24" t="n"/>
      <c r="CV99" s="24" t="n"/>
      <c r="CW99" s="24" t="n"/>
      <c r="CX99" s="24" t="n"/>
      <c r="CY99" s="24" t="n"/>
      <c r="CZ99" s="24" t="n"/>
      <c r="DA99" s="24" t="n"/>
      <c r="DB99" s="24" t="n"/>
      <c r="DC99" s="24" t="n"/>
      <c r="DD99" s="24" t="n"/>
      <c r="DE99" s="24" t="n"/>
      <c r="DF99" s="24" t="n"/>
      <c r="DG99" s="24" t="n"/>
      <c r="DH99" s="24" t="n"/>
      <c r="DI99" s="24" t="n"/>
      <c r="DJ99" s="24" t="inlineStr">
        <is>
          <t>0.609375</t>
        </is>
      </c>
      <c r="DK99" s="24" t="n"/>
      <c r="DL99" s="24" t="n"/>
      <c r="DM99" s="24" t="n"/>
      <c r="DN99" s="24" t="n"/>
      <c r="DO99" s="24" t="n"/>
      <c r="DP99" s="24" t="n"/>
      <c r="DQ99" s="24" t="n"/>
    </row>
    <row r="100" ht="36" customHeight="1">
      <c r="A100" s="24" t="inlineStr">
        <is>
          <t>18802e51eabd4c96</t>
        </is>
      </c>
      <c r="B100" s="24" t="inlineStr">
        <is>
          <t>2026-09-04T04:36:43.917497Z</t>
        </is>
      </c>
      <c r="C100" s="24" t="inlineStr">
        <is>
          <t>2026-09-04T09:30:00Z</t>
        </is>
      </c>
      <c r="D100" s="24" t="inlineStr">
        <is>
          <t>99149</t>
        </is>
      </c>
      <c r="E100" s="24" t="inlineStr">
        <is>
          <t>KBO</t>
        </is>
      </c>
      <c r="F100" s="24" t="inlineStr">
        <is>
          <t>Doosan Bears</t>
        </is>
      </c>
      <c r="G100" s="24" t="inlineStr">
        <is>
          <t>SSG Landers</t>
        </is>
      </c>
      <c r="H100" s="24" t="inlineStr">
        <is>
          <t>moneyline</t>
        </is>
      </c>
      <c r="I100" s="24" t="inlineStr">
        <is>
          <t>away</t>
        </is>
      </c>
      <c r="J100" s="25" t="n"/>
      <c r="K100" s="24" t="inlineStr">
        <is>
          <t>polymarket_us</t>
        </is>
      </c>
      <c r="L100" s="26" t="n">
        <v>144</v>
      </c>
      <c r="M100" s="27" t="n">
        <v>2.44</v>
      </c>
      <c r="N100" s="28" t="n">
        <v>0.409836</v>
      </c>
      <c r="O100" s="28" t="n">
        <v>0.513158</v>
      </c>
      <c r="P100" s="28" t="n"/>
      <c r="Q100" s="28" t="n">
        <v>0.103322</v>
      </c>
      <c r="R100" s="26" t="n">
        <v>72</v>
      </c>
      <c r="S100" s="29" t="n">
        <v>1.25</v>
      </c>
      <c r="T100" s="24" t="inlineStr">
        <is>
          <t>kbo-tie-aware-elo-v2</t>
        </is>
      </c>
      <c r="U100" s="24" t="inlineStr">
        <is>
          <t>settled</t>
        </is>
      </c>
      <c r="V100" s="24" t="inlineStr">
        <is>
          <t>loss</t>
        </is>
      </c>
      <c r="W100" s="26" t="n">
        <v>0</v>
      </c>
      <c r="X100" s="26" t="n">
        <v>4</v>
      </c>
      <c r="Y100" s="25" t="n"/>
      <c r="Z100" s="26" t="n">
        <v>144</v>
      </c>
      <c r="AA100" s="28" t="n">
        <v>0.41</v>
      </c>
      <c r="AB100" s="28" t="n">
        <v>0.000164</v>
      </c>
      <c r="AC100" s="30" t="n">
        <v>-1.25</v>
      </c>
      <c r="AD100" s="24" t="inlineStr">
        <is>
          <t>2026-09-04T16:00:58.933897Z</t>
        </is>
      </c>
      <c r="AE100" s="31" t="inlineStr">
        <is>
          <t>Tie-aware Elo baseline; executable ask 0.4100 (market_slug=aec-kbo-sls-dbo-2026-09-04). Tie probability=0.0226.</t>
        </is>
      </c>
      <c r="AF100" s="31" t="inlineStr">
        <is>
          <t>Config-promoted international baseball baseline; gates enforced at log time.</t>
        </is>
      </c>
      <c r="AG100" s="24" t="inlineStr">
        <is>
          <t>review_required</t>
        </is>
      </c>
      <c r="AH100" s="24" t="n"/>
      <c r="AI100" s="31" t="n"/>
      <c r="AJ100" s="31" t="n"/>
      <c r="AK100" s="24" t="inlineStr">
        <is>
          <t>paper_call</t>
        </is>
      </c>
      <c r="AL100" s="26" t="n">
        <v>4</v>
      </c>
      <c r="AM100" s="24" t="inlineStr">
        <is>
          <t>RESEARCH_OBSERVATION</t>
        </is>
      </c>
      <c r="AN100" s="24" t="inlineStr">
        <is>
          <t>CALL</t>
        </is>
      </c>
      <c r="AO100" s="24" t="inlineStr">
        <is>
          <t>PAPER_CALL_LOW_EDGE</t>
        </is>
      </c>
      <c r="AP100" s="24" t="inlineStr">
        <is>
          <t>Doosan Bears</t>
        </is>
      </c>
      <c r="AQ100" s="24" t="inlineStr">
        <is>
          <t>Doosan Bears</t>
        </is>
      </c>
      <c r="AR100" s="24" t="inlineStr">
        <is>
          <t>Doosan Bears</t>
        </is>
      </c>
      <c r="AS100" s="24" t="inlineStr">
        <is>
          <t>SSG Landers</t>
        </is>
      </c>
      <c r="AT100" s="24" t="inlineStr">
        <is>
          <t>SSG Landers</t>
        </is>
      </c>
      <c r="AU100" s="24" t="inlineStr">
        <is>
          <t>SSG Landers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17acbaf385e0e55e390968d14bd373856f56f7066d077c40e740f4a45b7d43db</t>
        </is>
      </c>
      <c r="BB100" s="24" t="inlineStr">
        <is>
          <t>tie_aware_elo</t>
        </is>
      </c>
      <c r="BC100" s="24" t="inlineStr">
        <is>
          <t>kbo-tie-aware-elo-v2</t>
        </is>
      </c>
      <c r="BD100" s="24" t="inlineStr">
        <is>
          <t>17acbaf385e0e55e390968d14bd373856f56f7066d077c40e740f4a45b7d43db</t>
        </is>
      </c>
      <c r="BE100" s="24" t="inlineStr">
        <is>
          <t>1</t>
        </is>
      </c>
      <c r="BF100" s="24" t="inlineStr">
        <is>
          <t>1</t>
        </is>
      </c>
      <c r="BG100" s="24" t="inlineStr">
        <is>
          <t>kbo-tie-aware-elo-v2</t>
        </is>
      </c>
      <c r="BH100" s="24" t="inlineStr">
        <is>
          <t>2026-09-04T04:36:43.667058Z</t>
        </is>
      </c>
      <c r="BI100" s="24" t="inlineStr">
        <is>
          <t>["same_event","same_team_same_day","same_league_same_day"]</t>
        </is>
      </c>
      <c r="BJ100" s="25" t="n"/>
      <c r="BK100" s="26" t="n">
        <v>144</v>
      </c>
      <c r="BL100" s="27" t="n">
        <v>2.44</v>
      </c>
      <c r="BM100" s="28" t="n">
        <v>0.409836</v>
      </c>
      <c r="BN100" s="28" t="n"/>
      <c r="BO100" s="28" t="n"/>
      <c r="BP100" s="25" t="n"/>
      <c r="BQ100" s="27" t="n">
        <v>2.44</v>
      </c>
      <c r="BR100" s="28" t="n">
        <v>0.41</v>
      </c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inlineStr">
        <is>
          <t>True</t>
        </is>
      </c>
      <c r="CT100" s="24" t="n"/>
      <c r="CU100" s="24" t="n"/>
      <c r="CV100" s="24" t="n"/>
      <c r="CW100" s="24" t="n"/>
      <c r="CX100" s="24" t="n"/>
      <c r="CY100" s="24" t="n"/>
      <c r="CZ100" s="24" t="n"/>
      <c r="DA100" s="24" t="n"/>
      <c r="DB100" s="24" t="n"/>
      <c r="DC100" s="24" t="n"/>
      <c r="DD100" s="24" t="n"/>
      <c r="DE100" s="24" t="n"/>
      <c r="DF100" s="24" t="n"/>
      <c r="DG100" s="24" t="n"/>
      <c r="DH100" s="24" t="n"/>
      <c r="DI100" s="24" t="n"/>
      <c r="DJ100" s="24" t="inlineStr">
        <is>
          <t>0.409836</t>
        </is>
      </c>
      <c r="DK100" s="24" t="n"/>
      <c r="DL100" s="24" t="n"/>
      <c r="DM100" s="24" t="n"/>
      <c r="DN100" s="24" t="n"/>
      <c r="DO100" s="24" t="n"/>
      <c r="DP100" s="24" t="n"/>
      <c r="DQ100" s="24" t="n"/>
    </row>
    <row r="101" ht="36" customHeight="1">
      <c r="A101" s="24" t="inlineStr">
        <is>
          <t>db603ed44d674c52</t>
        </is>
      </c>
      <c r="B101" s="24" t="inlineStr">
        <is>
          <t>2026-09-04T04:36:43.917497Z</t>
        </is>
      </c>
      <c r="C101" s="24" t="inlineStr">
        <is>
          <t>2026-09-04T09:30:00Z</t>
        </is>
      </c>
      <c r="D101" s="24" t="inlineStr">
        <is>
          <t>99151</t>
        </is>
      </c>
      <c r="E101" s="24" t="inlineStr">
        <is>
          <t>KBO</t>
        </is>
      </c>
      <c r="F101" s="24" t="inlineStr">
        <is>
          <t>Hanwha Eagles</t>
        </is>
      </c>
      <c r="G101" s="24" t="inlineStr">
        <is>
          <t>Lotte Giants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polymarket_us</t>
        </is>
      </c>
      <c r="L101" s="26" t="n">
        <v>-117</v>
      </c>
      <c r="M101" s="27" t="n">
        <v>1.854701</v>
      </c>
      <c r="N101" s="28" t="n">
        <v>0.539171</v>
      </c>
      <c r="O101" s="28" t="n">
        <v>0.570731</v>
      </c>
      <c r="P101" s="28" t="n"/>
      <c r="Q101" s="28" t="n">
        <v>0.03156</v>
      </c>
      <c r="R101" s="26" t="n">
        <v>36</v>
      </c>
      <c r="S101" s="29" t="n">
        <v>1</v>
      </c>
      <c r="T101" s="24" t="inlineStr">
        <is>
          <t>kbo-tie-aware-elo-v2</t>
        </is>
      </c>
      <c r="U101" s="24" t="inlineStr">
        <is>
          <t>settled</t>
        </is>
      </c>
      <c r="V101" s="24" t="inlineStr">
        <is>
          <t>loss</t>
        </is>
      </c>
      <c r="W101" s="26" t="n">
        <v>14</v>
      </c>
      <c r="X101" s="26" t="n">
        <v>4</v>
      </c>
      <c r="Y101" s="25" t="n"/>
      <c r="Z101" s="26" t="n">
        <v>-117</v>
      </c>
      <c r="AA101" s="28" t="n">
        <v>0.54</v>
      </c>
      <c r="AB101" s="28" t="n">
        <v>0.000829</v>
      </c>
      <c r="AC101" s="30" t="n">
        <v>-1</v>
      </c>
      <c r="AD101" s="24" t="inlineStr">
        <is>
          <t>2026-09-04T16:00:59.062757Z</t>
        </is>
      </c>
      <c r="AE101" s="31" t="inlineStr">
        <is>
          <t>Tie-aware Elo baseline; executable ask 0.5400 (market_slug=aec-kbo-lgo-hea-2026-09-04). Tie probability=0.0226.</t>
        </is>
      </c>
      <c r="AF101" s="31" t="inlineStr">
        <is>
          <t>Config-promoted international baseball baseline; gates enforced at log time.</t>
        </is>
      </c>
      <c r="AG101" s="24" t="inlineStr">
        <is>
          <t>review_required</t>
        </is>
      </c>
      <c r="AH101" s="24" t="n"/>
      <c r="AI101" s="31" t="n"/>
      <c r="AJ101" s="31" t="n"/>
      <c r="AK101" s="24" t="inlineStr">
        <is>
          <t>paper_call</t>
        </is>
      </c>
      <c r="AL101" s="26" t="n">
        <v>4</v>
      </c>
      <c r="AM101" s="24" t="inlineStr">
        <is>
          <t>RESEARCH_OBSERVATION</t>
        </is>
      </c>
      <c r="AN101" s="24" t="inlineStr">
        <is>
          <t>CALL</t>
        </is>
      </c>
      <c r="AO101" s="24" t="inlineStr">
        <is>
          <t>PAPER_CALL_LOW_EDGE</t>
        </is>
      </c>
      <c r="AP101" s="24" t="inlineStr">
        <is>
          <t>Hanwha Eagles</t>
        </is>
      </c>
      <c r="AQ101" s="24" t="inlineStr">
        <is>
          <t>Hanwha Eagles</t>
        </is>
      </c>
      <c r="AR101" s="24" t="inlineStr">
        <is>
          <t>Hanwha Eagles</t>
        </is>
      </c>
      <c r="AS101" s="24" t="inlineStr">
        <is>
          <t>Lotte Giants</t>
        </is>
      </c>
      <c r="AT101" s="24" t="inlineStr">
        <is>
          <t>Lotte Giants</t>
        </is>
      </c>
      <c r="AU101" s="24" t="inlineStr">
        <is>
          <t>Lotte Giants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17acbaf385e0e55e390968d14bd373856f56f7066d077c40e740f4a45b7d43db</t>
        </is>
      </c>
      <c r="BB101" s="24" t="inlineStr">
        <is>
          <t>tie_aware_elo</t>
        </is>
      </c>
      <c r="BC101" s="24" t="inlineStr">
        <is>
          <t>kbo-tie-aware-elo-v2</t>
        </is>
      </c>
      <c r="BD101" s="24" t="inlineStr">
        <is>
          <t>17acbaf385e0e55e390968d14bd373856f56f7066d077c40e740f4a45b7d43db</t>
        </is>
      </c>
      <c r="BE101" s="24" t="inlineStr">
        <is>
          <t>1</t>
        </is>
      </c>
      <c r="BF101" s="24" t="inlineStr">
        <is>
          <t>1</t>
        </is>
      </c>
      <c r="BG101" s="24" t="inlineStr">
        <is>
          <t>kbo-tie-aware-elo-v2</t>
        </is>
      </c>
      <c r="BH101" s="24" t="inlineStr">
        <is>
          <t>2026-09-04T04:36:43.771039Z</t>
        </is>
      </c>
      <c r="BI101" s="24" t="inlineStr">
        <is>
          <t>["same_event","same_team_same_day","same_league_same_day"]</t>
        </is>
      </c>
      <c r="BJ101" s="25" t="n"/>
      <c r="BK101" s="26" t="n">
        <v>-117</v>
      </c>
      <c r="BL101" s="27" t="n">
        <v>1.854701</v>
      </c>
      <c r="BM101" s="28" t="n">
        <v>0.539171</v>
      </c>
      <c r="BN101" s="28" t="n"/>
      <c r="BO101" s="28" t="n"/>
      <c r="BP101" s="25" t="n"/>
      <c r="BQ101" s="27" t="n">
        <v>1.854701</v>
      </c>
      <c r="BR101" s="28" t="n">
        <v>0.54</v>
      </c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inlineStr">
        <is>
          <t>True</t>
        </is>
      </c>
      <c r="CT101" s="24" t="n"/>
      <c r="CU101" s="24" t="n"/>
      <c r="CV101" s="24" t="n"/>
      <c r="CW101" s="24" t="n"/>
      <c r="CX101" s="24" t="n"/>
      <c r="CY101" s="24" t="n"/>
      <c r="CZ101" s="24" t="n"/>
      <c r="DA101" s="24" t="n"/>
      <c r="DB101" s="24" t="n"/>
      <c r="DC101" s="24" t="n"/>
      <c r="DD101" s="24" t="n"/>
      <c r="DE101" s="24" t="n"/>
      <c r="DF101" s="24" t="n"/>
      <c r="DG101" s="24" t="n"/>
      <c r="DH101" s="24" t="n"/>
      <c r="DI101" s="24" t="n"/>
      <c r="DJ101" s="24" t="inlineStr">
        <is>
          <t>0.539171</t>
        </is>
      </c>
      <c r="DK101" s="24" t="n"/>
      <c r="DL101" s="24" t="n"/>
      <c r="DM101" s="24" t="n"/>
      <c r="DN101" s="24" t="n"/>
      <c r="DO101" s="24" t="n"/>
      <c r="DP101" s="24" t="n"/>
      <c r="DQ101" s="24" t="n"/>
    </row>
    <row r="102" ht="36" customHeight="1">
      <c r="A102" s="24" t="inlineStr">
        <is>
          <t>4fb25cbe4bfd4273</t>
        </is>
      </c>
      <c r="B102" s="24" t="inlineStr">
        <is>
          <t>2026-09-04T04:36:43.917497Z</t>
        </is>
      </c>
      <c r="C102" s="24" t="inlineStr">
        <is>
          <t>2026-09-04T09:30:00Z</t>
        </is>
      </c>
      <c r="D102" s="24" t="inlineStr">
        <is>
          <t>99150</t>
        </is>
      </c>
      <c r="E102" s="24" t="inlineStr">
        <is>
          <t>KBO</t>
        </is>
      </c>
      <c r="F102" s="24" t="inlineStr">
        <is>
          <t>Samsung Lions</t>
        </is>
      </c>
      <c r="G102" s="24" t="inlineStr">
        <is>
          <t>LG Twins</t>
        </is>
      </c>
      <c r="H102" s="24" t="inlineStr">
        <is>
          <t>moneyline</t>
        </is>
      </c>
      <c r="I102" s="24" t="inlineStr">
        <is>
          <t>away</t>
        </is>
      </c>
      <c r="J102" s="25" t="n"/>
      <c r="K102" s="24" t="inlineStr">
        <is>
          <t>polymarket_us</t>
        </is>
      </c>
      <c r="L102" s="26" t="n">
        <v>-113</v>
      </c>
      <c r="M102" s="27" t="n">
        <v>1.884956</v>
      </c>
      <c r="N102" s="28" t="n">
        <v>0.530516</v>
      </c>
      <c r="O102" s="28" t="n">
        <v>0.50101</v>
      </c>
      <c r="P102" s="28" t="n"/>
      <c r="Q102" s="28" t="n">
        <v>-0.029506</v>
      </c>
      <c r="R102" s="26" t="n">
        <v>5</v>
      </c>
      <c r="S102" s="29" t="n">
        <v>1</v>
      </c>
      <c r="T102" s="24" t="inlineStr">
        <is>
          <t>kbo-tie-aware-elo-v2</t>
        </is>
      </c>
      <c r="U102" s="24" t="inlineStr">
        <is>
          <t>settled</t>
        </is>
      </c>
      <c r="V102" s="24" t="inlineStr">
        <is>
          <t>loss</t>
        </is>
      </c>
      <c r="W102" s="26" t="n">
        <v>3</v>
      </c>
      <c r="X102" s="26" t="n">
        <v>4</v>
      </c>
      <c r="Y102" s="25" t="n"/>
      <c r="Z102" s="26" t="n">
        <v>-113</v>
      </c>
      <c r="AA102" s="28" t="n">
        <v>0.53</v>
      </c>
      <c r="AB102" s="28" t="n">
        <v>-0.000516</v>
      </c>
      <c r="AC102" s="30" t="n">
        <v>-1</v>
      </c>
      <c r="AD102" s="24" t="inlineStr">
        <is>
          <t>2026-09-04T16:00:59.209298Z</t>
        </is>
      </c>
      <c r="AE102" s="31" t="inlineStr">
        <is>
          <t>Tie-aware Elo baseline; executable ask 0.5300 (market_slug=aec-kbo-ltg-sla-2026-09-04). Tie probability=0.0226.</t>
        </is>
      </c>
      <c r="AF102" s="31" t="inlineStr">
        <is>
          <t>Config-promoted international baseball baseline; gates enforced at log time.</t>
        </is>
      </c>
      <c r="AG102" s="24" t="inlineStr">
        <is>
          <t>review_required</t>
        </is>
      </c>
      <c r="AH102" s="24" t="n"/>
      <c r="AI102" s="31" t="n"/>
      <c r="AJ102" s="31" t="n"/>
      <c r="AK102" s="24" t="inlineStr">
        <is>
          <t>paper_call</t>
        </is>
      </c>
      <c r="AL102" s="26" t="n">
        <v>4</v>
      </c>
      <c r="AM102" s="24" t="inlineStr">
        <is>
          <t>RESEARCH_OBSERVATION</t>
        </is>
      </c>
      <c r="AN102" s="24" t="inlineStr">
        <is>
          <t>CALL</t>
        </is>
      </c>
      <c r="AO102" s="24" t="inlineStr">
        <is>
          <t>PAPER_CALL_LOW_EDGE</t>
        </is>
      </c>
      <c r="AP102" s="24" t="inlineStr">
        <is>
          <t>Samsung Lions</t>
        </is>
      </c>
      <c r="AQ102" s="24" t="inlineStr">
        <is>
          <t>Samsung Lions</t>
        </is>
      </c>
      <c r="AR102" s="24" t="inlineStr">
        <is>
          <t>Samsung Lions</t>
        </is>
      </c>
      <c r="AS102" s="24" t="inlineStr">
        <is>
          <t>LG Twins</t>
        </is>
      </c>
      <c r="AT102" s="24" t="inlineStr">
        <is>
          <t>LG Twins</t>
        </is>
      </c>
      <c r="AU102" s="24" t="inlineStr">
        <is>
          <t>LG Twins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17acbaf385e0e55e390968d14bd373856f56f7066d077c40e740f4a45b7d43db</t>
        </is>
      </c>
      <c r="BB102" s="24" t="inlineStr">
        <is>
          <t>tie_aware_elo</t>
        </is>
      </c>
      <c r="BC102" s="24" t="inlineStr">
        <is>
          <t>kbo-tie-aware-elo-v2</t>
        </is>
      </c>
      <c r="BD102" s="24" t="inlineStr">
        <is>
          <t>17acbaf385e0e55e390968d14bd373856f56f7066d077c40e740f4a45b7d43db</t>
        </is>
      </c>
      <c r="BE102" s="24" t="inlineStr">
        <is>
          <t>1</t>
        </is>
      </c>
      <c r="BF102" s="24" t="inlineStr">
        <is>
          <t>1</t>
        </is>
      </c>
      <c r="BG102" s="24" t="inlineStr">
        <is>
          <t>kbo-tie-aware-elo-v2</t>
        </is>
      </c>
      <c r="BH102" s="24" t="inlineStr">
        <is>
          <t>2026-09-04T04:36:43.857262Z</t>
        </is>
      </c>
      <c r="BI102" s="24" t="inlineStr">
        <is>
          <t>["same_event","same_team_same_day","same_league_same_day"]</t>
        </is>
      </c>
      <c r="BJ102" s="25" t="n"/>
      <c r="BK102" s="26" t="n">
        <v>-113</v>
      </c>
      <c r="BL102" s="27" t="n">
        <v>1.884956</v>
      </c>
      <c r="BM102" s="28" t="n">
        <v>0.530516</v>
      </c>
      <c r="BN102" s="28" t="n"/>
      <c r="BO102" s="28" t="n"/>
      <c r="BP102" s="25" t="n"/>
      <c r="BQ102" s="27" t="n">
        <v>1.884956</v>
      </c>
      <c r="BR102" s="28" t="n">
        <v>0.53</v>
      </c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inlineStr">
        <is>
          <t>False</t>
        </is>
      </c>
      <c r="CT102" s="24" t="n"/>
      <c r="CU102" s="24" t="n"/>
      <c r="CV102" s="24" t="n"/>
      <c r="CW102" s="24" t="n"/>
      <c r="CX102" s="24" t="n"/>
      <c r="CY102" s="24" t="n"/>
      <c r="CZ102" s="24" t="n"/>
      <c r="DA102" s="24" t="n"/>
      <c r="DB102" s="24" t="n"/>
      <c r="DC102" s="24" t="n"/>
      <c r="DD102" s="24" t="n"/>
      <c r="DE102" s="24" t="n"/>
      <c r="DF102" s="24" t="n"/>
      <c r="DG102" s="24" t="n"/>
      <c r="DH102" s="24" t="n"/>
      <c r="DI102" s="24" t="n"/>
      <c r="DJ102" s="24" t="inlineStr">
        <is>
          <t>0.530516</t>
        </is>
      </c>
      <c r="DK102" s="24" t="n"/>
      <c r="DL102" s="24" t="n"/>
      <c r="DM102" s="24" t="n"/>
      <c r="DN102" s="24" t="n"/>
      <c r="DO102" s="24" t="n"/>
      <c r="DP102" s="24" t="n"/>
      <c r="DQ102" s="24" t="n"/>
    </row>
    <row r="103" ht="36" customHeight="1">
      <c r="A103" s="24" t="inlineStr">
        <is>
          <t>5abc08c4f9c24115</t>
        </is>
      </c>
      <c r="B103" s="24" t="inlineStr">
        <is>
          <t>2026-09-04T04:36:43.917497Z</t>
        </is>
      </c>
      <c r="C103" s="24" t="inlineStr">
        <is>
          <t>2026-09-04T09:30:00Z</t>
        </is>
      </c>
      <c r="D103" s="24" t="inlineStr">
        <is>
          <t>99153</t>
        </is>
      </c>
      <c r="E103" s="24" t="inlineStr">
        <is>
          <t>KBO</t>
        </is>
      </c>
      <c r="F103" s="24" t="inlineStr">
        <is>
          <t>KT Wiz</t>
        </is>
      </c>
      <c r="G103" s="24" t="inlineStr">
        <is>
          <t>Kia Tigers</t>
        </is>
      </c>
      <c r="H103" s="24" t="inlineStr">
        <is>
          <t>moneyline</t>
        </is>
      </c>
      <c r="I103" s="24" t="inlineStr">
        <is>
          <t>away</t>
        </is>
      </c>
      <c r="J103" s="25" t="n"/>
      <c r="K103" s="24" t="inlineStr">
        <is>
          <t>polymarket_us</t>
        </is>
      </c>
      <c r="L103" s="26" t="n">
        <v>150</v>
      </c>
      <c r="M103" s="27" t="n">
        <v>2.5</v>
      </c>
      <c r="N103" s="28" t="n">
        <v>0.4</v>
      </c>
      <c r="O103" s="28" t="n">
        <v>0.517936</v>
      </c>
      <c r="P103" s="28" t="n"/>
      <c r="Q103" s="28" t="n">
        <v>0.117936</v>
      </c>
      <c r="R103" s="26" t="n">
        <v>79</v>
      </c>
      <c r="S103" s="29" t="n">
        <v>1.5</v>
      </c>
      <c r="T103" s="24" t="inlineStr">
        <is>
          <t>kbo-tie-aware-elo-v2</t>
        </is>
      </c>
      <c r="U103" s="24" t="inlineStr">
        <is>
          <t>settled</t>
        </is>
      </c>
      <c r="V103" s="24" t="inlineStr">
        <is>
          <t>loss</t>
        </is>
      </c>
      <c r="W103" s="26" t="n">
        <v>3</v>
      </c>
      <c r="X103" s="26" t="n">
        <v>4</v>
      </c>
      <c r="Y103" s="25" t="n"/>
      <c r="Z103" s="26" t="n">
        <v>150</v>
      </c>
      <c r="AA103" s="28" t="n">
        <v>0.4</v>
      </c>
      <c r="AB103" s="28" t="n">
        <v>0</v>
      </c>
      <c r="AC103" s="30" t="n">
        <v>-1.5</v>
      </c>
      <c r="AD103" s="24" t="inlineStr">
        <is>
          <t>2026-09-04T16:00:59.352045Z</t>
        </is>
      </c>
      <c r="AE103" s="31" t="inlineStr">
        <is>
          <t>Tie-aware Elo baseline; executable ask 0.4000 (market_slug=aec-kbo-kti-kwt-2026-09-04). Tie probability=0.0226.</t>
        </is>
      </c>
      <c r="AF103" s="31" t="inlineStr">
        <is>
          <t>Config-promoted international baseball baseline; gates enforced at log time.</t>
        </is>
      </c>
      <c r="AG103" s="24" t="inlineStr">
        <is>
          <t>review_required</t>
        </is>
      </c>
      <c r="AH103" s="24" t="n"/>
      <c r="AI103" s="31" t="n"/>
      <c r="AJ103" s="31" t="n"/>
      <c r="AK103" s="24" t="inlineStr">
        <is>
          <t>paper_call</t>
        </is>
      </c>
      <c r="AL103" s="26" t="n">
        <v>4</v>
      </c>
      <c r="AM103" s="24" t="inlineStr">
        <is>
          <t>RESEARCH_OBSERVATION</t>
        </is>
      </c>
      <c r="AN103" s="24" t="inlineStr">
        <is>
          <t>CALL</t>
        </is>
      </c>
      <c r="AO103" s="24" t="inlineStr">
        <is>
          <t>PAPER_CALL_LOW_EDGE</t>
        </is>
      </c>
      <c r="AP103" s="24" t="inlineStr">
        <is>
          <t>KT Wiz</t>
        </is>
      </c>
      <c r="AQ103" s="24" t="inlineStr">
        <is>
          <t>KT Wiz</t>
        </is>
      </c>
      <c r="AR103" s="24" t="inlineStr">
        <is>
          <t>KT Wiz</t>
        </is>
      </c>
      <c r="AS103" s="24" t="inlineStr">
        <is>
          <t>Kia Tigers</t>
        </is>
      </c>
      <c r="AT103" s="24" t="inlineStr">
        <is>
          <t>Kia Tigers</t>
        </is>
      </c>
      <c r="AU103" s="24" t="inlineStr">
        <is>
          <t>Kia Tigers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17acbaf385e0e55e390968d14bd373856f56f7066d077c40e740f4a45b7d43db</t>
        </is>
      </c>
      <c r="BB103" s="24" t="inlineStr">
        <is>
          <t>tie_aware_elo</t>
        </is>
      </c>
      <c r="BC103" s="24" t="inlineStr">
        <is>
          <t>kbo-tie-aware-elo-v2</t>
        </is>
      </c>
      <c r="BD103" s="24" t="inlineStr">
        <is>
          <t>17acbaf385e0e55e390968d14bd373856f56f7066d077c40e740f4a45b7d43db</t>
        </is>
      </c>
      <c r="BE103" s="24" t="inlineStr">
        <is>
          <t>1</t>
        </is>
      </c>
      <c r="BF103" s="24" t="inlineStr">
        <is>
          <t>1</t>
        </is>
      </c>
      <c r="BG103" s="24" t="inlineStr">
        <is>
          <t>kbo-tie-aware-elo-v2</t>
        </is>
      </c>
      <c r="BH103" s="24" t="inlineStr">
        <is>
          <t>2026-09-04T04:36:43.917463Z</t>
        </is>
      </c>
      <c r="BI103" s="24" t="inlineStr">
        <is>
          <t>["same_event","same_team_same_day","same_league_same_day"]</t>
        </is>
      </c>
      <c r="BJ103" s="25" t="n"/>
      <c r="BK103" s="26" t="n">
        <v>150</v>
      </c>
      <c r="BL103" s="27" t="n">
        <v>2.5</v>
      </c>
      <c r="BM103" s="28" t="n">
        <v>0.4</v>
      </c>
      <c r="BN103" s="28" t="n"/>
      <c r="BO103" s="28" t="n"/>
      <c r="BP103" s="25" t="n"/>
      <c r="BQ103" s="27" t="n">
        <v>2.5</v>
      </c>
      <c r="BR103" s="28" t="n">
        <v>0.4</v>
      </c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inlineStr">
        <is>
          <t>True</t>
        </is>
      </c>
      <c r="CT103" s="24" t="n"/>
      <c r="CU103" s="24" t="n"/>
      <c r="CV103" s="24" t="n"/>
      <c r="CW103" s="24" t="n"/>
      <c r="CX103" s="24" t="n"/>
      <c r="CY103" s="24" t="n"/>
      <c r="CZ103" s="24" t="n"/>
      <c r="DA103" s="24" t="n"/>
      <c r="DB103" s="24" t="n"/>
      <c r="DC103" s="24" t="n"/>
      <c r="DD103" s="24" t="n"/>
      <c r="DE103" s="24" t="n"/>
      <c r="DF103" s="24" t="n"/>
      <c r="DG103" s="24" t="n"/>
      <c r="DH103" s="24" t="n"/>
      <c r="DI103" s="24" t="n"/>
      <c r="DJ103" s="24" t="inlineStr">
        <is>
          <t>0.4</t>
        </is>
      </c>
      <c r="DK103" s="24" t="n"/>
      <c r="DL103" s="24" t="n"/>
      <c r="DM103" s="24" t="n"/>
      <c r="DN103" s="24" t="n"/>
      <c r="DO103" s="24" t="n"/>
      <c r="DP103" s="24" t="n"/>
      <c r="DQ103" s="24" t="n"/>
    </row>
    <row r="104" ht="36" customHeight="1">
      <c r="A104" s="24" t="inlineStr">
        <is>
          <t>cbc5514725b841eb</t>
        </is>
      </c>
      <c r="B104" s="24" t="inlineStr">
        <is>
          <t>2026-09-05T04:43:51.862362Z</t>
        </is>
      </c>
      <c r="C104" s="24" t="inlineStr">
        <is>
          <t>2026-09-05T08:00:00Z</t>
        </is>
      </c>
      <c r="D104" s="24" t="inlineStr">
        <is>
          <t>100190</t>
        </is>
      </c>
      <c r="E104" s="24" t="inlineStr">
        <is>
          <t>KBO</t>
        </is>
      </c>
      <c r="F104" s="24" t="inlineStr">
        <is>
          <t>NC Dinos</t>
        </is>
      </c>
      <c r="G104" s="24" t="inlineStr">
        <is>
          <t>Kiwoom Heroes</t>
        </is>
      </c>
      <c r="H104" s="24" t="inlineStr">
        <is>
          <t>moneyline</t>
        </is>
      </c>
      <c r="I104" s="24" t="inlineStr">
        <is>
          <t>away</t>
        </is>
      </c>
      <c r="J104" s="25" t="n"/>
      <c r="K104" s="24" t="inlineStr">
        <is>
          <t>polymarket_us</t>
        </is>
      </c>
      <c r="L104" s="26" t="n">
        <v>-170</v>
      </c>
      <c r="M104" s="27" t="n">
        <v>1.588235</v>
      </c>
      <c r="N104" s="28" t="n">
        <v>0.62963</v>
      </c>
      <c r="O104" s="28" t="n">
        <v>0.569203</v>
      </c>
      <c r="P104" s="28" t="n"/>
      <c r="Q104" s="28" t="n">
        <v>-0.060427</v>
      </c>
      <c r="R104" s="26" t="n">
        <v>0</v>
      </c>
      <c r="S104" s="29" t="n">
        <v>1</v>
      </c>
      <c r="T104" s="24" t="inlineStr">
        <is>
          <t>kbo-tie-aware-elo-v2</t>
        </is>
      </c>
      <c r="U104" s="24" t="inlineStr">
        <is>
          <t>settled</t>
        </is>
      </c>
      <c r="V104" s="24" t="inlineStr">
        <is>
          <t>win</t>
        </is>
      </c>
      <c r="W104" s="26" t="n">
        <v>2</v>
      </c>
      <c r="X104" s="26" t="n">
        <v>1</v>
      </c>
      <c r="Y104" s="25" t="n"/>
      <c r="Z104" s="26" t="n">
        <v>-170</v>
      </c>
      <c r="AA104" s="28" t="n">
        <v>0.63</v>
      </c>
      <c r="AB104" s="28" t="n">
        <v>0.00037</v>
      </c>
      <c r="AC104" s="30" t="n">
        <v>0.5881999999999999</v>
      </c>
      <c r="AD104" s="24" t="inlineStr">
        <is>
          <t>2026-09-05T16:01:07.020536Z</t>
        </is>
      </c>
      <c r="AE104" s="31" t="inlineStr">
        <is>
          <t>Tie-aware Elo baseline; executable ask 0.6300 (market_slug=aec-kbo-khi-ndc-2026-09-05). Tie probability=0.0226.</t>
        </is>
      </c>
      <c r="AF104" s="31" t="inlineStr">
        <is>
          <t>Config-promoted international baseball baseline; gates enforced at log time.</t>
        </is>
      </c>
      <c r="AG104" s="24" t="inlineStr">
        <is>
          <t>not_applicable</t>
        </is>
      </c>
      <c r="AH104" s="24" t="n"/>
      <c r="AI104" s="31" t="n"/>
      <c r="AJ104" s="31" t="n"/>
      <c r="AK104" s="24" t="inlineStr">
        <is>
          <t>paper_call</t>
        </is>
      </c>
      <c r="AL104" s="26" t="n">
        <v>4</v>
      </c>
      <c r="AM104" s="24" t="inlineStr">
        <is>
          <t>RESEARCH_OBSERVATION</t>
        </is>
      </c>
      <c r="AN104" s="24" t="inlineStr">
        <is>
          <t>CALL</t>
        </is>
      </c>
      <c r="AO104" s="24" t="inlineStr">
        <is>
          <t>PAPER_CALL_LOW_EDGE</t>
        </is>
      </c>
      <c r="AP104" s="24" t="inlineStr">
        <is>
          <t>NC Dinos</t>
        </is>
      </c>
      <c r="AQ104" s="24" t="inlineStr">
        <is>
          <t>NC Dinos</t>
        </is>
      </c>
      <c r="AR104" s="24" t="inlineStr">
        <is>
          <t>NC Dinos</t>
        </is>
      </c>
      <c r="AS104" s="24" t="inlineStr">
        <is>
          <t>Kiwoom Heroes</t>
        </is>
      </c>
      <c r="AT104" s="24" t="inlineStr">
        <is>
          <t>Kiwoom Heroes</t>
        </is>
      </c>
      <c r="AU104" s="24" t="inlineStr">
        <is>
          <t>Kiwoom Heroes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fc7fef5b62c266b937a83234c510fac8d80973e95cb72ac025cc404694eb0bd3</t>
        </is>
      </c>
      <c r="BB104" s="24" t="inlineStr">
        <is>
          <t>tie_aware_elo</t>
        </is>
      </c>
      <c r="BC104" s="24" t="inlineStr">
        <is>
          <t>kbo-tie-aware-elo-v2</t>
        </is>
      </c>
      <c r="BD104" s="24" t="inlineStr">
        <is>
          <t>fc7fef5b62c266b937a83234c510fac8d80973e95cb72ac025cc404694eb0bd3</t>
        </is>
      </c>
      <c r="BE104" s="24" t="inlineStr">
        <is>
          <t>1</t>
        </is>
      </c>
      <c r="BF104" s="24" t="inlineStr">
        <is>
          <t>1</t>
        </is>
      </c>
      <c r="BG104" s="24" t="inlineStr">
        <is>
          <t>kbo-tie-aware-elo-v2</t>
        </is>
      </c>
      <c r="BH104" s="24" t="inlineStr">
        <is>
          <t>2026-09-05T04:43:51.531717Z</t>
        </is>
      </c>
      <c r="BI104" s="24" t="inlineStr">
        <is>
          <t>["same_event","same_team_same_day","same_league_same_day"]</t>
        </is>
      </c>
      <c r="BJ104" s="25" t="n"/>
      <c r="BK104" s="26" t="n">
        <v>-170</v>
      </c>
      <c r="BL104" s="27" t="n">
        <v>1.588235</v>
      </c>
      <c r="BM104" s="28" t="n">
        <v>0.62963</v>
      </c>
      <c r="BN104" s="28" t="n"/>
      <c r="BO104" s="28" t="n"/>
      <c r="BP104" s="25" t="n"/>
      <c r="BQ104" s="27" t="n">
        <v>1.588235</v>
      </c>
      <c r="BR104" s="28" t="n">
        <v>0.63</v>
      </c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inlineStr">
        <is>
          <t>False</t>
        </is>
      </c>
      <c r="CT104" s="24" t="n"/>
      <c r="CU104" s="24" t="n"/>
      <c r="CV104" s="24" t="n"/>
      <c r="CW104" s="24" t="n"/>
      <c r="CX104" s="24" t="n"/>
      <c r="CY104" s="24" t="n"/>
      <c r="CZ104" s="24" t="n"/>
      <c r="DA104" s="24" t="n"/>
      <c r="DB104" s="24" t="n"/>
      <c r="DC104" s="24" t="n"/>
      <c r="DD104" s="24" t="n"/>
      <c r="DE104" s="24" t="n"/>
      <c r="DF104" s="24" t="n"/>
      <c r="DG104" s="24" t="n"/>
      <c r="DH104" s="24" t="n"/>
      <c r="DI104" s="24" t="n"/>
      <c r="DJ104" s="24" t="inlineStr">
        <is>
          <t>0.62963</t>
        </is>
      </c>
      <c r="DK104" s="24" t="n"/>
      <c r="DL104" s="24" t="n"/>
      <c r="DM104" s="24" t="n"/>
      <c r="DN104" s="24" t="n"/>
      <c r="DO104" s="24" t="n"/>
      <c r="DP104" s="24" t="n"/>
      <c r="DQ104" s="24" t="n"/>
    </row>
    <row r="105" ht="36" customHeight="1">
      <c r="A105" s="24" t="inlineStr">
        <is>
          <t>7c924e3646c148f3</t>
        </is>
      </c>
      <c r="B105" s="24" t="inlineStr">
        <is>
          <t>2026-09-05T04:43:51.862362Z</t>
        </is>
      </c>
      <c r="C105" s="24" t="inlineStr">
        <is>
          <t>2026-09-05T08:00:00Z</t>
        </is>
      </c>
      <c r="D105" s="24" t="inlineStr">
        <is>
          <t>100186</t>
        </is>
      </c>
      <c r="E105" s="24" t="inlineStr">
        <is>
          <t>KBO</t>
        </is>
      </c>
      <c r="F105" s="24" t="inlineStr">
        <is>
          <t>Doosan Bears</t>
        </is>
      </c>
      <c r="G105" s="24" t="inlineStr">
        <is>
          <t>SSG Landers</t>
        </is>
      </c>
      <c r="H105" s="24" t="inlineStr">
        <is>
          <t>moneyline</t>
        </is>
      </c>
      <c r="I105" s="24" t="inlineStr">
        <is>
          <t>away</t>
        </is>
      </c>
      <c r="J105" s="25" t="n"/>
      <c r="K105" s="24" t="inlineStr">
        <is>
          <t>polymarket_us</t>
        </is>
      </c>
      <c r="L105" s="26" t="n">
        <v>-122</v>
      </c>
      <c r="M105" s="27" t="n">
        <v>1.819672</v>
      </c>
      <c r="N105" s="28" t="n">
        <v>0.54955</v>
      </c>
      <c r="O105" s="28" t="n">
        <v>0.50144</v>
      </c>
      <c r="P105" s="28" t="n"/>
      <c r="Q105" s="28" t="n">
        <v>-0.04811</v>
      </c>
      <c r="R105" s="26" t="n">
        <v>0</v>
      </c>
      <c r="S105" s="29" t="n">
        <v>1</v>
      </c>
      <c r="T105" s="24" t="inlineStr">
        <is>
          <t>kbo-tie-aware-elo-v2</t>
        </is>
      </c>
      <c r="U105" s="24" t="inlineStr">
        <is>
          <t>settled</t>
        </is>
      </c>
      <c r="V105" s="24" t="inlineStr">
        <is>
          <t>loss</t>
        </is>
      </c>
      <c r="W105" s="26" t="n">
        <v>2</v>
      </c>
      <c r="X105" s="26" t="n">
        <v>3</v>
      </c>
      <c r="Y105" s="25" t="n"/>
      <c r="Z105" s="26" t="n">
        <v>-122</v>
      </c>
      <c r="AA105" s="28" t="n">
        <v>0.55</v>
      </c>
      <c r="AB105" s="28" t="n">
        <v>0.00045</v>
      </c>
      <c r="AC105" s="30" t="n">
        <v>-1</v>
      </c>
      <c r="AD105" s="24" t="inlineStr">
        <is>
          <t>2026-09-05T16:01:07.191337Z</t>
        </is>
      </c>
      <c r="AE105" s="31" t="inlineStr">
        <is>
          <t>Tie-aware Elo baseline; executable ask 0.5500 (market_slug=aec-kbo-sls-dbo-2026-09-05). Tie probability=0.0226.</t>
        </is>
      </c>
      <c r="AF105" s="31" t="inlineStr">
        <is>
          <t>Config-promoted international baseball baseline; gates enforced at log time.</t>
        </is>
      </c>
      <c r="AG105" s="24" t="inlineStr">
        <is>
          <t>review_required</t>
        </is>
      </c>
      <c r="AH105" s="24" t="n"/>
      <c r="AI105" s="31" t="n"/>
      <c r="AJ105" s="31" t="n"/>
      <c r="AK105" s="24" t="inlineStr">
        <is>
          <t>paper_call</t>
        </is>
      </c>
      <c r="AL105" s="26" t="n">
        <v>4</v>
      </c>
      <c r="AM105" s="24" t="inlineStr">
        <is>
          <t>RESEARCH_OBSERVATION</t>
        </is>
      </c>
      <c r="AN105" s="24" t="inlineStr">
        <is>
          <t>CALL</t>
        </is>
      </c>
      <c r="AO105" s="24" t="inlineStr">
        <is>
          <t>PAPER_CALL_LOW_EDGE</t>
        </is>
      </c>
      <c r="AP105" s="24" t="inlineStr">
        <is>
          <t>Doosan Bears</t>
        </is>
      </c>
      <c r="AQ105" s="24" t="inlineStr">
        <is>
          <t>Doosan Bears</t>
        </is>
      </c>
      <c r="AR105" s="24" t="inlineStr">
        <is>
          <t>Doosan Bears</t>
        </is>
      </c>
      <c r="AS105" s="24" t="inlineStr">
        <is>
          <t>SSG Landers</t>
        </is>
      </c>
      <c r="AT105" s="24" t="inlineStr">
        <is>
          <t>SSG Landers</t>
        </is>
      </c>
      <c r="AU105" s="24" t="inlineStr">
        <is>
          <t>SSG Landers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fc7fef5b62c266b937a83234c510fac8d80973e95cb72ac025cc404694eb0bd3</t>
        </is>
      </c>
      <c r="BB105" s="24" t="inlineStr">
        <is>
          <t>tie_aware_elo</t>
        </is>
      </c>
      <c r="BC105" s="24" t="inlineStr">
        <is>
          <t>kbo-tie-aware-elo-v2</t>
        </is>
      </c>
      <c r="BD105" s="24" t="inlineStr">
        <is>
          <t>fc7fef5b62c266b937a83234c510fac8d80973e95cb72ac025cc404694eb0bd3</t>
        </is>
      </c>
      <c r="BE105" s="24" t="inlineStr">
        <is>
          <t>1</t>
        </is>
      </c>
      <c r="BF105" s="24" t="inlineStr">
        <is>
          <t>1</t>
        </is>
      </c>
      <c r="BG105" s="24" t="inlineStr">
        <is>
          <t>kbo-tie-aware-elo-v2</t>
        </is>
      </c>
      <c r="BH105" s="24" t="inlineStr">
        <is>
          <t>2026-09-05T04:43:51.673958Z</t>
        </is>
      </c>
      <c r="BI105" s="24" t="inlineStr">
        <is>
          <t>["same_event","same_team_same_day","same_league_same_day"]</t>
        </is>
      </c>
      <c r="BJ105" s="25" t="n"/>
      <c r="BK105" s="26" t="n">
        <v>-122</v>
      </c>
      <c r="BL105" s="27" t="n">
        <v>1.819672</v>
      </c>
      <c r="BM105" s="28" t="n">
        <v>0.54955</v>
      </c>
      <c r="BN105" s="28" t="n"/>
      <c r="BO105" s="28" t="n"/>
      <c r="BP105" s="25" t="n"/>
      <c r="BQ105" s="27" t="n">
        <v>1.819672</v>
      </c>
      <c r="BR105" s="28" t="n">
        <v>0.55</v>
      </c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inlineStr">
        <is>
          <t>False</t>
        </is>
      </c>
      <c r="CT105" s="24" t="n"/>
      <c r="CU105" s="24" t="n"/>
      <c r="CV105" s="24" t="n"/>
      <c r="CW105" s="24" t="n"/>
      <c r="CX105" s="24" t="n"/>
      <c r="CY105" s="24" t="n"/>
      <c r="CZ105" s="24" t="n"/>
      <c r="DA105" s="24" t="n"/>
      <c r="DB105" s="24" t="n"/>
      <c r="DC105" s="24" t="n"/>
      <c r="DD105" s="24" t="n"/>
      <c r="DE105" s="24" t="n"/>
      <c r="DF105" s="24" t="n"/>
      <c r="DG105" s="24" t="n"/>
      <c r="DH105" s="24" t="n"/>
      <c r="DI105" s="24" t="n"/>
      <c r="DJ105" s="24" t="inlineStr">
        <is>
          <t>0.54955</t>
        </is>
      </c>
      <c r="DK105" s="24" t="n"/>
      <c r="DL105" s="24" t="n"/>
      <c r="DM105" s="24" t="n"/>
      <c r="DN105" s="24" t="n"/>
      <c r="DO105" s="24" t="n"/>
      <c r="DP105" s="24" t="n"/>
      <c r="DQ105" s="24" t="n"/>
    </row>
    <row r="106" ht="36" customHeight="1">
      <c r="A106" s="24" t="inlineStr">
        <is>
          <t>21eb7461b92d45b3</t>
        </is>
      </c>
      <c r="B106" s="24" t="inlineStr">
        <is>
          <t>2026-09-05T04:43:51.862362Z</t>
        </is>
      </c>
      <c r="C106" s="24" t="inlineStr">
        <is>
          <t>2026-09-05T08:00:00Z</t>
        </is>
      </c>
      <c r="D106" s="24" t="inlineStr">
        <is>
          <t>100188</t>
        </is>
      </c>
      <c r="E106" s="24" t="inlineStr">
        <is>
          <t>KBO</t>
        </is>
      </c>
      <c r="F106" s="24" t="inlineStr">
        <is>
          <t>Hanwha Eagles</t>
        </is>
      </c>
      <c r="G106" s="24" t="inlineStr">
        <is>
          <t>Lotte Giants</t>
        </is>
      </c>
      <c r="H106" s="24" t="inlineStr">
        <is>
          <t>moneyline</t>
        </is>
      </c>
      <c r="I106" s="24" t="inlineStr">
        <is>
          <t>home</t>
        </is>
      </c>
      <c r="J106" s="25" t="n"/>
      <c r="K106" s="24" t="inlineStr">
        <is>
          <t>polymarket_us</t>
        </is>
      </c>
      <c r="L106" s="26" t="n">
        <v>-113</v>
      </c>
      <c r="M106" s="27" t="n">
        <v>1.884956</v>
      </c>
      <c r="N106" s="28" t="n">
        <v>0.530516</v>
      </c>
      <c r="O106" s="28" t="n">
        <v>0.558032</v>
      </c>
      <c r="P106" s="28" t="n"/>
      <c r="Q106" s="28" t="n">
        <v>0.027516</v>
      </c>
      <c r="R106" s="26" t="n">
        <v>34</v>
      </c>
      <c r="S106" s="29" t="n">
        <v>1</v>
      </c>
      <c r="T106" s="24" t="inlineStr">
        <is>
          <t>kbo-tie-aware-elo-v2</t>
        </is>
      </c>
      <c r="U106" s="24" t="inlineStr">
        <is>
          <t>settled</t>
        </is>
      </c>
      <c r="V106" s="24" t="inlineStr">
        <is>
          <t>loss</t>
        </is>
      </c>
      <c r="W106" s="26" t="n">
        <v>11</v>
      </c>
      <c r="X106" s="26" t="n">
        <v>6</v>
      </c>
      <c r="Y106" s="25" t="n"/>
      <c r="Z106" s="26" t="n">
        <v>-113</v>
      </c>
      <c r="AA106" s="28" t="n">
        <v>0.53</v>
      </c>
      <c r="AB106" s="28" t="n">
        <v>-0.000516</v>
      </c>
      <c r="AC106" s="30" t="n">
        <v>-1</v>
      </c>
      <c r="AD106" s="24" t="inlineStr">
        <is>
          <t>2026-09-05T16:01:07.317036Z</t>
        </is>
      </c>
      <c r="AE106" s="31" t="inlineStr">
        <is>
          <t>Tie-aware Elo baseline; executable ask 0.5300 (market_slug=aec-kbo-lgo-hea-2026-09-05). Tie probability=0.0226.</t>
        </is>
      </c>
      <c r="AF106" s="31" t="inlineStr">
        <is>
          <t>Config-promoted international baseball baseline; gates enforced at log time.</t>
        </is>
      </c>
      <c r="AG106" s="24" t="inlineStr">
        <is>
          <t>review_required</t>
        </is>
      </c>
      <c r="AH106" s="24" t="n"/>
      <c r="AI106" s="31" t="n"/>
      <c r="AJ106" s="31" t="n"/>
      <c r="AK106" s="24" t="inlineStr">
        <is>
          <t>paper_call</t>
        </is>
      </c>
      <c r="AL106" s="26" t="n">
        <v>4</v>
      </c>
      <c r="AM106" s="24" t="inlineStr">
        <is>
          <t>RESEARCH_OBSERVATION</t>
        </is>
      </c>
      <c r="AN106" s="24" t="inlineStr">
        <is>
          <t>CALL</t>
        </is>
      </c>
      <c r="AO106" s="24" t="inlineStr">
        <is>
          <t>PAPER_CALL_LOW_EDGE</t>
        </is>
      </c>
      <c r="AP106" s="24" t="inlineStr">
        <is>
          <t>Hanwha Eagles</t>
        </is>
      </c>
      <c r="AQ106" s="24" t="inlineStr">
        <is>
          <t>Hanwha Eagles</t>
        </is>
      </c>
      <c r="AR106" s="24" t="inlineStr">
        <is>
          <t>Hanwha Eagles</t>
        </is>
      </c>
      <c r="AS106" s="24" t="inlineStr">
        <is>
          <t>Lotte Giants</t>
        </is>
      </c>
      <c r="AT106" s="24" t="inlineStr">
        <is>
          <t>Lotte Giants</t>
        </is>
      </c>
      <c r="AU106" s="24" t="inlineStr">
        <is>
          <t>Lotte Giants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fc7fef5b62c266b937a83234c510fac8d80973e95cb72ac025cc404694eb0bd3</t>
        </is>
      </c>
      <c r="BB106" s="24" t="inlineStr">
        <is>
          <t>tie_aware_elo</t>
        </is>
      </c>
      <c r="BC106" s="24" t="inlineStr">
        <is>
          <t>kbo-tie-aware-elo-v2</t>
        </is>
      </c>
      <c r="BD106" s="24" t="inlineStr">
        <is>
          <t>fc7fef5b62c266b937a83234c510fac8d80973e95cb72ac025cc404694eb0bd3</t>
        </is>
      </c>
      <c r="BE106" s="24" t="inlineStr">
        <is>
          <t>1</t>
        </is>
      </c>
      <c r="BF106" s="24" t="inlineStr">
        <is>
          <t>1</t>
        </is>
      </c>
      <c r="BG106" s="24" t="inlineStr">
        <is>
          <t>kbo-tie-aware-elo-v2</t>
        </is>
      </c>
      <c r="BH106" s="24" t="inlineStr">
        <is>
          <t>2026-09-05T04:43:51.742312Z</t>
        </is>
      </c>
      <c r="BI106" s="24" t="inlineStr">
        <is>
          <t>["same_event","same_team_same_day","same_league_same_day"]</t>
        </is>
      </c>
      <c r="BJ106" s="25" t="n"/>
      <c r="BK106" s="26" t="n">
        <v>-113</v>
      </c>
      <c r="BL106" s="27" t="n">
        <v>1.884956</v>
      </c>
      <c r="BM106" s="28" t="n">
        <v>0.530516</v>
      </c>
      <c r="BN106" s="28" t="n"/>
      <c r="BO106" s="28" t="n"/>
      <c r="BP106" s="25" t="n"/>
      <c r="BQ106" s="27" t="n">
        <v>1.884956</v>
      </c>
      <c r="BR106" s="28" t="n">
        <v>0.53</v>
      </c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inlineStr">
        <is>
          <t>True</t>
        </is>
      </c>
      <c r="CT106" s="24" t="n"/>
      <c r="CU106" s="24" t="n"/>
      <c r="CV106" s="24" t="n"/>
      <c r="CW106" s="24" t="n"/>
      <c r="CX106" s="24" t="n"/>
      <c r="CY106" s="24" t="n"/>
      <c r="CZ106" s="24" t="n"/>
      <c r="DA106" s="24" t="n"/>
      <c r="DB106" s="24" t="n"/>
      <c r="DC106" s="24" t="n"/>
      <c r="DD106" s="24" t="n"/>
      <c r="DE106" s="24" t="n"/>
      <c r="DF106" s="24" t="n"/>
      <c r="DG106" s="24" t="n"/>
      <c r="DH106" s="24" t="n"/>
      <c r="DI106" s="24" t="n"/>
      <c r="DJ106" s="24" t="inlineStr">
        <is>
          <t>0.530516</t>
        </is>
      </c>
      <c r="DK106" s="24" t="n"/>
      <c r="DL106" s="24" t="n"/>
      <c r="DM106" s="24" t="n"/>
      <c r="DN106" s="24" t="n"/>
      <c r="DO106" s="24" t="n"/>
      <c r="DP106" s="24" t="n"/>
      <c r="DQ106" s="24" t="n"/>
    </row>
    <row r="107" ht="36" customHeight="1">
      <c r="A107" s="24" t="inlineStr">
        <is>
          <t>796df9b421ba4b4f</t>
        </is>
      </c>
      <c r="B107" s="24" t="inlineStr">
        <is>
          <t>2026-09-05T04:43:51.862362Z</t>
        </is>
      </c>
      <c r="C107" s="24" t="inlineStr">
        <is>
          <t>2026-09-05T08:00:00Z</t>
        </is>
      </c>
      <c r="D107" s="24" t="inlineStr">
        <is>
          <t>100189</t>
        </is>
      </c>
      <c r="E107" s="24" t="inlineStr">
        <is>
          <t>KBO</t>
        </is>
      </c>
      <c r="F107" s="24" t="inlineStr">
        <is>
          <t>KT Wiz</t>
        </is>
      </c>
      <c r="G107" s="24" t="inlineStr">
        <is>
          <t>Kia Tigers</t>
        </is>
      </c>
      <c r="H107" s="24" t="inlineStr">
        <is>
          <t>moneyline</t>
        </is>
      </c>
      <c r="I107" s="24" t="inlineStr">
        <is>
          <t>away</t>
        </is>
      </c>
      <c r="J107" s="25" t="n"/>
      <c r="K107" s="24" t="inlineStr">
        <is>
          <t>polymarket_us</t>
        </is>
      </c>
      <c r="L107" s="26" t="n">
        <v>-122</v>
      </c>
      <c r="M107" s="27" t="n">
        <v>1.819672</v>
      </c>
      <c r="N107" s="28" t="n">
        <v>0.54955</v>
      </c>
      <c r="O107" s="28" t="n">
        <v>0.506243</v>
      </c>
      <c r="P107" s="28" t="n"/>
      <c r="Q107" s="28" t="n">
        <v>-0.043307</v>
      </c>
      <c r="R107" s="26" t="n">
        <v>0</v>
      </c>
      <c r="S107" s="29" t="n">
        <v>1</v>
      </c>
      <c r="T107" s="24" t="inlineStr">
        <is>
          <t>kbo-tie-aware-elo-v2</t>
        </is>
      </c>
      <c r="U107" s="24" t="inlineStr">
        <is>
          <t>settled</t>
        </is>
      </c>
      <c r="V107" s="24" t="inlineStr">
        <is>
          <t>loss</t>
        </is>
      </c>
      <c r="W107" s="26" t="n">
        <v>3</v>
      </c>
      <c r="X107" s="26" t="n">
        <v>6</v>
      </c>
      <c r="Y107" s="25" t="n"/>
      <c r="Z107" s="26" t="n">
        <v>-122</v>
      </c>
      <c r="AA107" s="28" t="n">
        <v>0.55</v>
      </c>
      <c r="AB107" s="28" t="n">
        <v>0.00045</v>
      </c>
      <c r="AC107" s="30" t="n">
        <v>-1</v>
      </c>
      <c r="AD107" s="24" t="inlineStr">
        <is>
          <t>2026-09-05T16:01:07.521592Z</t>
        </is>
      </c>
      <c r="AE107" s="31" t="inlineStr">
        <is>
          <t>Tie-aware Elo baseline; executable ask 0.5500 (market_slug=aec-kbo-kti-kwt-2026-09-05). Tie probability=0.0226.</t>
        </is>
      </c>
      <c r="AF107" s="31" t="inlineStr">
        <is>
          <t>Config-promoted international baseball baseline; gates enforced at log time.</t>
        </is>
      </c>
      <c r="AG107" s="24" t="inlineStr">
        <is>
          <t>review_required</t>
        </is>
      </c>
      <c r="AH107" s="24" t="n"/>
      <c r="AI107" s="31" t="n"/>
      <c r="AJ107" s="31" t="n"/>
      <c r="AK107" s="24" t="inlineStr">
        <is>
          <t>paper_call</t>
        </is>
      </c>
      <c r="AL107" s="26" t="n">
        <v>4</v>
      </c>
      <c r="AM107" s="24" t="inlineStr">
        <is>
          <t>RESEARCH_OBSERVATION</t>
        </is>
      </c>
      <c r="AN107" s="24" t="inlineStr">
        <is>
          <t>CALL</t>
        </is>
      </c>
      <c r="AO107" s="24" t="inlineStr">
        <is>
          <t>PAPER_CALL_LOW_EDGE</t>
        </is>
      </c>
      <c r="AP107" s="24" t="inlineStr">
        <is>
          <t>KT Wiz</t>
        </is>
      </c>
      <c r="AQ107" s="24" t="inlineStr">
        <is>
          <t>KT Wiz</t>
        </is>
      </c>
      <c r="AR107" s="24" t="inlineStr">
        <is>
          <t>KT Wiz</t>
        </is>
      </c>
      <c r="AS107" s="24" t="inlineStr">
        <is>
          <t>Kia Tigers</t>
        </is>
      </c>
      <c r="AT107" s="24" t="inlineStr">
        <is>
          <t>Kia Tigers</t>
        </is>
      </c>
      <c r="AU107" s="24" t="inlineStr">
        <is>
          <t>Kia Tigers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fc7fef5b62c266b937a83234c510fac8d80973e95cb72ac025cc404694eb0bd3</t>
        </is>
      </c>
      <c r="BB107" s="24" t="inlineStr">
        <is>
          <t>tie_aware_elo</t>
        </is>
      </c>
      <c r="BC107" s="24" t="inlineStr">
        <is>
          <t>kbo-tie-aware-elo-v2</t>
        </is>
      </c>
      <c r="BD107" s="24" t="inlineStr">
        <is>
          <t>fc7fef5b62c266b937a83234c510fac8d80973e95cb72ac025cc404694eb0bd3</t>
        </is>
      </c>
      <c r="BE107" s="24" t="inlineStr">
        <is>
          <t>1</t>
        </is>
      </c>
      <c r="BF107" s="24" t="inlineStr">
        <is>
          <t>1</t>
        </is>
      </c>
      <c r="BG107" s="24" t="inlineStr">
        <is>
          <t>kbo-tie-aware-elo-v2</t>
        </is>
      </c>
      <c r="BH107" s="24" t="inlineStr">
        <is>
          <t>2026-09-05T04:43:51.801657Z</t>
        </is>
      </c>
      <c r="BI107" s="24" t="inlineStr">
        <is>
          <t>["same_event","same_team_same_day","same_league_same_day"]</t>
        </is>
      </c>
      <c r="BJ107" s="25" t="n"/>
      <c r="BK107" s="26" t="n">
        <v>-122</v>
      </c>
      <c r="BL107" s="27" t="n">
        <v>1.819672</v>
      </c>
      <c r="BM107" s="28" t="n">
        <v>0.54955</v>
      </c>
      <c r="BN107" s="28" t="n"/>
      <c r="BO107" s="28" t="n"/>
      <c r="BP107" s="25" t="n"/>
      <c r="BQ107" s="27" t="n">
        <v>1.819672</v>
      </c>
      <c r="BR107" s="28" t="n">
        <v>0.55</v>
      </c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inlineStr">
        <is>
          <t>False</t>
        </is>
      </c>
      <c r="CT107" s="24" t="n"/>
      <c r="CU107" s="24" t="n"/>
      <c r="CV107" s="24" t="n"/>
      <c r="CW107" s="24" t="n"/>
      <c r="CX107" s="24" t="n"/>
      <c r="CY107" s="24" t="n"/>
      <c r="CZ107" s="24" t="n"/>
      <c r="DA107" s="24" t="n"/>
      <c r="DB107" s="24" t="n"/>
      <c r="DC107" s="24" t="n"/>
      <c r="DD107" s="24" t="n"/>
      <c r="DE107" s="24" t="n"/>
      <c r="DF107" s="24" t="n"/>
      <c r="DG107" s="24" t="n"/>
      <c r="DH107" s="24" t="n"/>
      <c r="DI107" s="24" t="n"/>
      <c r="DJ107" s="24" t="inlineStr">
        <is>
          <t>0.54955</t>
        </is>
      </c>
      <c r="DK107" s="24" t="n"/>
      <c r="DL107" s="24" t="n"/>
      <c r="DM107" s="24" t="n"/>
      <c r="DN107" s="24" t="n"/>
      <c r="DO107" s="24" t="n"/>
      <c r="DP107" s="24" t="n"/>
      <c r="DQ107" s="24" t="n"/>
    </row>
    <row r="108" ht="36" customHeight="1">
      <c r="A108" s="24" t="inlineStr">
        <is>
          <t>80997401c0534b32</t>
        </is>
      </c>
      <c r="B108" s="24" t="inlineStr">
        <is>
          <t>2026-09-05T04:43:51.862362Z</t>
        </is>
      </c>
      <c r="C108" s="24" t="inlineStr">
        <is>
          <t>2026-09-05T08:00:00Z</t>
        </is>
      </c>
      <c r="D108" s="24" t="inlineStr">
        <is>
          <t>100187</t>
        </is>
      </c>
      <c r="E108" s="24" t="inlineStr">
        <is>
          <t>KBO</t>
        </is>
      </c>
      <c r="F108" s="24" t="inlineStr">
        <is>
          <t>Samsung Lions</t>
        </is>
      </c>
      <c r="G108" s="24" t="inlineStr">
        <is>
          <t>LG Twins</t>
        </is>
      </c>
      <c r="H108" s="24" t="inlineStr">
        <is>
          <t>moneyline</t>
        </is>
      </c>
      <c r="I108" s="24" t="inlineStr">
        <is>
          <t>home</t>
        </is>
      </c>
      <c r="J108" s="25" t="n"/>
      <c r="K108" s="24" t="inlineStr">
        <is>
          <t>polymarket_us</t>
        </is>
      </c>
      <c r="L108" s="26" t="n">
        <v>-144</v>
      </c>
      <c r="M108" s="27" t="n">
        <v>1.694444</v>
      </c>
      <c r="N108" s="28" t="n">
        <v>0.590164</v>
      </c>
      <c r="O108" s="28" t="n">
        <v>0.51041</v>
      </c>
      <c r="P108" s="28" t="n"/>
      <c r="Q108" s="28" t="n">
        <v>-0.07975400000000001</v>
      </c>
      <c r="R108" s="26" t="n">
        <v>0</v>
      </c>
      <c r="S108" s="29" t="n">
        <v>1</v>
      </c>
      <c r="T108" s="24" t="inlineStr">
        <is>
          <t>kbo-tie-aware-elo-v2</t>
        </is>
      </c>
      <c r="U108" s="24" t="inlineStr">
        <is>
          <t>settled</t>
        </is>
      </c>
      <c r="V108" s="24" t="inlineStr">
        <is>
          <t>loss</t>
        </is>
      </c>
      <c r="W108" s="26" t="n">
        <v>4</v>
      </c>
      <c r="X108" s="26" t="n">
        <v>3</v>
      </c>
      <c r="Y108" s="25" t="n"/>
      <c r="Z108" s="26" t="n">
        <v>-144</v>
      </c>
      <c r="AA108" s="28" t="n">
        <v>0.59</v>
      </c>
      <c r="AB108" s="28" t="n">
        <v>-0.000164</v>
      </c>
      <c r="AC108" s="30" t="n">
        <v>-1</v>
      </c>
      <c r="AD108" s="24" t="inlineStr">
        <is>
          <t>2026-09-05T16:01:07.675202Z</t>
        </is>
      </c>
      <c r="AE108" s="31" t="inlineStr">
        <is>
          <t>Tie-aware Elo baseline; executable ask 0.5900 (market_slug=aec-kbo-ltg-sla-2026-09-05). Tie probability=0.0226.</t>
        </is>
      </c>
      <c r="AF108" s="31" t="inlineStr">
        <is>
          <t>Config-promoted international baseball baseline; gates enforced at log time.</t>
        </is>
      </c>
      <c r="AG108" s="24" t="inlineStr">
        <is>
          <t>review_required</t>
        </is>
      </c>
      <c r="AH108" s="24" t="n"/>
      <c r="AI108" s="31" t="n"/>
      <c r="AJ108" s="31" t="n"/>
      <c r="AK108" s="24" t="inlineStr">
        <is>
          <t>paper_call</t>
        </is>
      </c>
      <c r="AL108" s="26" t="n">
        <v>4</v>
      </c>
      <c r="AM108" s="24" t="inlineStr">
        <is>
          <t>RESEARCH_OBSERVATION</t>
        </is>
      </c>
      <c r="AN108" s="24" t="inlineStr">
        <is>
          <t>CALL</t>
        </is>
      </c>
      <c r="AO108" s="24" t="inlineStr">
        <is>
          <t>PAPER_CALL_LOW_EDGE</t>
        </is>
      </c>
      <c r="AP108" s="24" t="inlineStr">
        <is>
          <t>Samsung Lions</t>
        </is>
      </c>
      <c r="AQ108" s="24" t="inlineStr">
        <is>
          <t>Samsung Lions</t>
        </is>
      </c>
      <c r="AR108" s="24" t="inlineStr">
        <is>
          <t>Samsung Lions</t>
        </is>
      </c>
      <c r="AS108" s="24" t="inlineStr">
        <is>
          <t>LG Twins</t>
        </is>
      </c>
      <c r="AT108" s="24" t="inlineStr">
        <is>
          <t>LG Twins</t>
        </is>
      </c>
      <c r="AU108" s="24" t="inlineStr">
        <is>
          <t>LG Twins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fc7fef5b62c266b937a83234c510fac8d80973e95cb72ac025cc404694eb0bd3</t>
        </is>
      </c>
      <c r="BB108" s="24" t="inlineStr">
        <is>
          <t>tie_aware_elo</t>
        </is>
      </c>
      <c r="BC108" s="24" t="inlineStr">
        <is>
          <t>kbo-tie-aware-elo-v2</t>
        </is>
      </c>
      <c r="BD108" s="24" t="inlineStr">
        <is>
          <t>fc7fef5b62c266b937a83234c510fac8d80973e95cb72ac025cc404694eb0bd3</t>
        </is>
      </c>
      <c r="BE108" s="24" t="inlineStr">
        <is>
          <t>1</t>
        </is>
      </c>
      <c r="BF108" s="24" t="inlineStr">
        <is>
          <t>1</t>
        </is>
      </c>
      <c r="BG108" s="24" t="inlineStr">
        <is>
          <t>kbo-tie-aware-elo-v2</t>
        </is>
      </c>
      <c r="BH108" s="24" t="inlineStr">
        <is>
          <t>2026-09-05T04:43:51.862311Z</t>
        </is>
      </c>
      <c r="BI108" s="24" t="inlineStr">
        <is>
          <t>["same_event","same_team_same_day","same_league_same_day"]</t>
        </is>
      </c>
      <c r="BJ108" s="25" t="n"/>
      <c r="BK108" s="26" t="n">
        <v>-144</v>
      </c>
      <c r="BL108" s="27" t="n">
        <v>1.694444</v>
      </c>
      <c r="BM108" s="28" t="n">
        <v>0.590164</v>
      </c>
      <c r="BN108" s="28" t="n"/>
      <c r="BO108" s="28" t="n"/>
      <c r="BP108" s="25" t="n"/>
      <c r="BQ108" s="27" t="n">
        <v>1.694444</v>
      </c>
      <c r="BR108" s="28" t="n">
        <v>0.59</v>
      </c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inlineStr">
        <is>
          <t>False</t>
        </is>
      </c>
      <c r="CT108" s="24" t="n"/>
      <c r="CU108" s="24" t="n"/>
      <c r="CV108" s="24" t="n"/>
      <c r="CW108" s="24" t="n"/>
      <c r="CX108" s="24" t="n"/>
      <c r="CY108" s="24" t="n"/>
      <c r="CZ108" s="24" t="n"/>
      <c r="DA108" s="24" t="n"/>
      <c r="DB108" s="24" t="n"/>
      <c r="DC108" s="24" t="n"/>
      <c r="DD108" s="24" t="n"/>
      <c r="DE108" s="24" t="n"/>
      <c r="DF108" s="24" t="n"/>
      <c r="DG108" s="24" t="n"/>
      <c r="DH108" s="24" t="n"/>
      <c r="DI108" s="24" t="n"/>
      <c r="DJ108" s="24" t="inlineStr">
        <is>
          <t>0.590164</t>
        </is>
      </c>
      <c r="DK108" s="24" t="n"/>
      <c r="DL108" s="24" t="n"/>
      <c r="DM108" s="24" t="n"/>
      <c r="DN108" s="24" t="n"/>
      <c r="DO108" s="24" t="n"/>
      <c r="DP108" s="24" t="n"/>
      <c r="DQ108" s="24" t="n"/>
    </row>
    <row r="109" ht="36" customHeight="1">
      <c r="A109" s="24" t="inlineStr">
        <is>
          <t>6159e155d37b4e66</t>
        </is>
      </c>
      <c r="B109" s="24" t="inlineStr">
        <is>
          <t>2026-09-06T04:35:54.512086Z</t>
        </is>
      </c>
      <c r="C109" s="24" t="inlineStr">
        <is>
          <t>2026-09-06T08:00:00Z</t>
        </is>
      </c>
      <c r="D109" s="24" t="inlineStr">
        <is>
          <t>101510</t>
        </is>
      </c>
      <c r="E109" s="24" t="inlineStr">
        <is>
          <t>KBO</t>
        </is>
      </c>
      <c r="F109" s="24" t="inlineStr">
        <is>
          <t>Doosan Bears</t>
        </is>
      </c>
      <c r="G109" s="24" t="inlineStr">
        <is>
          <t>SSG Landers</t>
        </is>
      </c>
      <c r="H109" s="24" t="inlineStr">
        <is>
          <t>moneyline</t>
        </is>
      </c>
      <c r="I109" s="24" t="inlineStr">
        <is>
          <t>home</t>
        </is>
      </c>
      <c r="J109" s="25" t="n"/>
      <c r="K109" s="24" t="inlineStr">
        <is>
          <t>polymarket_us</t>
        </is>
      </c>
      <c r="L109" s="26" t="n">
        <v>138</v>
      </c>
      <c r="M109" s="27" t="n">
        <v>2.38</v>
      </c>
      <c r="N109" s="28" t="n">
        <v>0.420168</v>
      </c>
      <c r="O109" s="28" t="n">
        <v>0.5099630000000001</v>
      </c>
      <c r="P109" s="28" t="n"/>
      <c r="Q109" s="28" t="n">
        <v>0.089795</v>
      </c>
      <c r="R109" s="26" t="n">
        <v>65</v>
      </c>
      <c r="S109" s="29" t="n">
        <v>1.25</v>
      </c>
      <c r="T109" s="24" t="inlineStr">
        <is>
          <t>kbo-tie-aware-elo-v2</t>
        </is>
      </c>
      <c r="U109" s="24" t="inlineStr">
        <is>
          <t>settled</t>
        </is>
      </c>
      <c r="V109" s="24" t="inlineStr">
        <is>
          <t>loss</t>
        </is>
      </c>
      <c r="W109" s="26" t="n">
        <v>16</v>
      </c>
      <c r="X109" s="26" t="n">
        <v>9</v>
      </c>
      <c r="Y109" s="25" t="n"/>
      <c r="Z109" s="26" t="n">
        <v>138</v>
      </c>
      <c r="AA109" s="28" t="n">
        <v>0.42</v>
      </c>
      <c r="AB109" s="28" t="n">
        <v>-0.000168</v>
      </c>
      <c r="AC109" s="30" t="n">
        <v>-1.25</v>
      </c>
      <c r="AD109" s="24" t="inlineStr">
        <is>
          <t>2026-09-06T16:00:59.127061Z</t>
        </is>
      </c>
      <c r="AE109" s="31" t="inlineStr">
        <is>
          <t>Tie-aware Elo baseline; executable ask 0.4200 (market_slug=aec-kbo-sls-dbo-2026-09-06). Tie probability=0.0225.</t>
        </is>
      </c>
      <c r="AF109" s="31" t="inlineStr">
        <is>
          <t>Config-promoted international baseball baseline; gates enforced at log time.</t>
        </is>
      </c>
      <c r="AG109" s="24" t="inlineStr">
        <is>
          <t>review_required</t>
        </is>
      </c>
      <c r="AH109" s="24" t="n"/>
      <c r="AI109" s="31" t="n"/>
      <c r="AJ109" s="31" t="n"/>
      <c r="AK109" s="24" t="inlineStr">
        <is>
          <t>paper_call</t>
        </is>
      </c>
      <c r="AL109" s="26" t="n">
        <v>4</v>
      </c>
      <c r="AM109" s="24" t="inlineStr">
        <is>
          <t>RESEARCH_OBSERVATION</t>
        </is>
      </c>
      <c r="AN109" s="24" t="inlineStr">
        <is>
          <t>CALL</t>
        </is>
      </c>
      <c r="AO109" s="24" t="inlineStr">
        <is>
          <t>PAPER_CALL_LOW_EDGE</t>
        </is>
      </c>
      <c r="AP109" s="24" t="inlineStr">
        <is>
          <t>Doosan Bears</t>
        </is>
      </c>
      <c r="AQ109" s="24" t="inlineStr">
        <is>
          <t>Doosan Bears</t>
        </is>
      </c>
      <c r="AR109" s="24" t="inlineStr">
        <is>
          <t>Doosan Bears</t>
        </is>
      </c>
      <c r="AS109" s="24" t="inlineStr">
        <is>
          <t>SSG Landers</t>
        </is>
      </c>
      <c r="AT109" s="24" t="inlineStr">
        <is>
          <t>SSG Landers</t>
        </is>
      </c>
      <c r="AU109" s="24" t="inlineStr">
        <is>
          <t>SSG Landers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1b1f04ad3351d6a016b1956441fde9c2400edd329870c1fc3373a017a8818681</t>
        </is>
      </c>
      <c r="BB109" s="24" t="inlineStr">
        <is>
          <t>tie_aware_elo</t>
        </is>
      </c>
      <c r="BC109" s="24" t="inlineStr">
        <is>
          <t>kbo-tie-aware-elo-v2</t>
        </is>
      </c>
      <c r="BD109" s="24" t="inlineStr">
        <is>
          <t>1b1f04ad3351d6a016b1956441fde9c2400edd329870c1fc3373a017a8818681</t>
        </is>
      </c>
      <c r="BE109" s="24" t="inlineStr">
        <is>
          <t>1</t>
        </is>
      </c>
      <c r="BF109" s="24" t="inlineStr">
        <is>
          <t>1</t>
        </is>
      </c>
      <c r="BG109" s="24" t="inlineStr">
        <is>
          <t>kbo-tie-aware-elo-v2</t>
        </is>
      </c>
      <c r="BH109" s="24" t="inlineStr">
        <is>
          <t>2026-09-06T04:35:54.114060Z</t>
        </is>
      </c>
      <c r="BI109" s="24" t="inlineStr">
        <is>
          <t>["same_event","same_team_same_day","same_league_same_day"]</t>
        </is>
      </c>
      <c r="BJ109" s="25" t="n"/>
      <c r="BK109" s="26" t="n">
        <v>138</v>
      </c>
      <c r="BL109" s="27" t="n">
        <v>2.38</v>
      </c>
      <c r="BM109" s="28" t="n">
        <v>0.420168</v>
      </c>
      <c r="BN109" s="28" t="n"/>
      <c r="BO109" s="28" t="n"/>
      <c r="BP109" s="25" t="n"/>
      <c r="BQ109" s="27" t="n">
        <v>2.38</v>
      </c>
      <c r="BR109" s="28" t="n">
        <v>0.42</v>
      </c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inlineStr">
        <is>
          <t>True</t>
        </is>
      </c>
      <c r="CT109" s="24" t="n"/>
      <c r="CU109" s="24" t="n"/>
      <c r="CV109" s="24" t="n"/>
      <c r="CW109" s="24" t="n"/>
      <c r="CX109" s="24" t="n"/>
      <c r="CY109" s="24" t="n"/>
      <c r="CZ109" s="24" t="n"/>
      <c r="DA109" s="24" t="n"/>
      <c r="DB109" s="24" t="n"/>
      <c r="DC109" s="24" t="n"/>
      <c r="DD109" s="24" t="n"/>
      <c r="DE109" s="24" t="n"/>
      <c r="DF109" s="24" t="n"/>
      <c r="DG109" s="24" t="n"/>
      <c r="DH109" s="24" t="n"/>
      <c r="DI109" s="24" t="n"/>
      <c r="DJ109" s="24" t="inlineStr">
        <is>
          <t>0.420168</t>
        </is>
      </c>
      <c r="DK109" s="24" t="n"/>
      <c r="DL109" s="24" t="n"/>
      <c r="DM109" s="24" t="n"/>
      <c r="DN109" s="24" t="n"/>
      <c r="DO109" s="24" t="n"/>
      <c r="DP109" s="24" t="n"/>
      <c r="DQ109" s="24" t="n"/>
    </row>
    <row r="110" ht="36" customHeight="1">
      <c r="A110" s="24" t="inlineStr">
        <is>
          <t>0245983cb9da40fc</t>
        </is>
      </c>
      <c r="B110" s="24" t="inlineStr">
        <is>
          <t>2026-09-06T04:35:54.512086Z</t>
        </is>
      </c>
      <c r="C110" s="24" t="inlineStr">
        <is>
          <t>2026-09-06T08:00:00Z</t>
        </is>
      </c>
      <c r="D110" s="24" t="inlineStr">
        <is>
          <t>101509</t>
        </is>
      </c>
      <c r="E110" s="24" t="inlineStr">
        <is>
          <t>KBO</t>
        </is>
      </c>
      <c r="F110" s="24" t="inlineStr">
        <is>
          <t>Samsung Lions</t>
        </is>
      </c>
      <c r="G110" s="24" t="inlineStr">
        <is>
          <t>LG Twins</t>
        </is>
      </c>
      <c r="H110" s="24" t="inlineStr">
        <is>
          <t>moneyline</t>
        </is>
      </c>
      <c r="I110" s="24" t="inlineStr">
        <is>
          <t>away</t>
        </is>
      </c>
      <c r="J110" s="25" t="n"/>
      <c r="K110" s="24" t="inlineStr">
        <is>
          <t>polymarket_us</t>
        </is>
      </c>
      <c r="L110" s="26" t="n">
        <v>-133</v>
      </c>
      <c r="M110" s="27" t="n">
        <v>1.75188</v>
      </c>
      <c r="N110" s="28" t="n">
        <v>0.570815</v>
      </c>
      <c r="O110" s="28" t="n">
        <v>0.500993</v>
      </c>
      <c r="P110" s="28" t="n"/>
      <c r="Q110" s="28" t="n">
        <v>-0.069822</v>
      </c>
      <c r="R110" s="26" t="n">
        <v>0</v>
      </c>
      <c r="S110" s="29" t="n">
        <v>1</v>
      </c>
      <c r="T110" s="24" t="inlineStr">
        <is>
          <t>kbo-tie-aware-elo-v2</t>
        </is>
      </c>
      <c r="U110" s="24" t="inlineStr">
        <is>
          <t>settled</t>
        </is>
      </c>
      <c r="V110" s="24" t="inlineStr">
        <is>
          <t>win</t>
        </is>
      </c>
      <c r="W110" s="26" t="n">
        <v>10</v>
      </c>
      <c r="X110" s="26" t="n">
        <v>4</v>
      </c>
      <c r="Y110" s="25" t="n"/>
      <c r="Z110" s="26" t="n">
        <v>-133</v>
      </c>
      <c r="AA110" s="28" t="n">
        <v>0.57</v>
      </c>
      <c r="AB110" s="28" t="n">
        <v>-0.000815</v>
      </c>
      <c r="AC110" s="30" t="n">
        <v>0.7519</v>
      </c>
      <c r="AD110" s="24" t="inlineStr">
        <is>
          <t>2026-09-06T16:00:59.369896Z</t>
        </is>
      </c>
      <c r="AE110" s="31" t="inlineStr">
        <is>
          <t>Tie-aware Elo baseline; executable ask 0.5700 (market_slug=aec-kbo-ltg-sla-2026-09-06). Tie probability=0.0225.</t>
        </is>
      </c>
      <c r="AF110" s="31" t="inlineStr">
        <is>
          <t>Config-promoted international baseball baseline; gates enforced at log time.</t>
        </is>
      </c>
      <c r="AG110" s="24" t="inlineStr">
        <is>
          <t>not_applicable</t>
        </is>
      </c>
      <c r="AH110" s="24" t="n"/>
      <c r="AI110" s="31" t="n"/>
      <c r="AJ110" s="31" t="n"/>
      <c r="AK110" s="24" t="inlineStr">
        <is>
          <t>paper_call</t>
        </is>
      </c>
      <c r="AL110" s="26" t="n">
        <v>4</v>
      </c>
      <c r="AM110" s="24" t="inlineStr">
        <is>
          <t>RESEARCH_OBSERVATION</t>
        </is>
      </c>
      <c r="AN110" s="24" t="inlineStr">
        <is>
          <t>CALL</t>
        </is>
      </c>
      <c r="AO110" s="24" t="inlineStr">
        <is>
          <t>PAPER_CALL_LOW_EDGE</t>
        </is>
      </c>
      <c r="AP110" s="24" t="inlineStr">
        <is>
          <t>Samsung Lions</t>
        </is>
      </c>
      <c r="AQ110" s="24" t="inlineStr">
        <is>
          <t>Samsung Lions</t>
        </is>
      </c>
      <c r="AR110" s="24" t="inlineStr">
        <is>
          <t>Samsung Lions</t>
        </is>
      </c>
      <c r="AS110" s="24" t="inlineStr">
        <is>
          <t>LG Twins</t>
        </is>
      </c>
      <c r="AT110" s="24" t="inlineStr">
        <is>
          <t>LG Twins</t>
        </is>
      </c>
      <c r="AU110" s="24" t="inlineStr">
        <is>
          <t>LG Twins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1b1f04ad3351d6a016b1956441fde9c2400edd329870c1fc3373a017a8818681</t>
        </is>
      </c>
      <c r="BB110" s="24" t="inlineStr">
        <is>
          <t>tie_aware_elo</t>
        </is>
      </c>
      <c r="BC110" s="24" t="inlineStr">
        <is>
          <t>kbo-tie-aware-elo-v2</t>
        </is>
      </c>
      <c r="BD110" s="24" t="inlineStr">
        <is>
          <t>1b1f04ad3351d6a016b1956441fde9c2400edd329870c1fc3373a017a8818681</t>
        </is>
      </c>
      <c r="BE110" s="24" t="inlineStr">
        <is>
          <t>1</t>
        </is>
      </c>
      <c r="BF110" s="24" t="inlineStr">
        <is>
          <t>1</t>
        </is>
      </c>
      <c r="BG110" s="24" t="inlineStr">
        <is>
          <t>kbo-tie-aware-elo-v2</t>
        </is>
      </c>
      <c r="BH110" s="24" t="inlineStr">
        <is>
          <t>2026-09-06T04:35:54.256721Z</t>
        </is>
      </c>
      <c r="BI110" s="24" t="inlineStr">
        <is>
          <t>["same_event","same_team_same_day","same_league_same_day"]</t>
        </is>
      </c>
      <c r="BJ110" s="25" t="n"/>
      <c r="BK110" s="26" t="n">
        <v>-133</v>
      </c>
      <c r="BL110" s="27" t="n">
        <v>1.75188</v>
      </c>
      <c r="BM110" s="28" t="n">
        <v>0.570815</v>
      </c>
      <c r="BN110" s="28" t="n"/>
      <c r="BO110" s="28" t="n"/>
      <c r="BP110" s="25" t="n"/>
      <c r="BQ110" s="27" t="n">
        <v>1.75188</v>
      </c>
      <c r="BR110" s="28" t="n">
        <v>0.57</v>
      </c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inlineStr">
        <is>
          <t>False</t>
        </is>
      </c>
      <c r="CT110" s="24" t="n"/>
      <c r="CU110" s="24" t="n"/>
      <c r="CV110" s="24" t="n"/>
      <c r="CW110" s="24" t="n"/>
      <c r="CX110" s="24" t="n"/>
      <c r="CY110" s="24" t="n"/>
      <c r="CZ110" s="24" t="n"/>
      <c r="DA110" s="24" t="n"/>
      <c r="DB110" s="24" t="n"/>
      <c r="DC110" s="24" t="n"/>
      <c r="DD110" s="24" t="n"/>
      <c r="DE110" s="24" t="n"/>
      <c r="DF110" s="24" t="n"/>
      <c r="DG110" s="24" t="n"/>
      <c r="DH110" s="24" t="n"/>
      <c r="DI110" s="24" t="n"/>
      <c r="DJ110" s="24" t="inlineStr">
        <is>
          <t>0.570815</t>
        </is>
      </c>
      <c r="DK110" s="24" t="n"/>
      <c r="DL110" s="24" t="n"/>
      <c r="DM110" s="24" t="n"/>
      <c r="DN110" s="24" t="n"/>
      <c r="DO110" s="24" t="n"/>
      <c r="DP110" s="24" t="n"/>
      <c r="DQ110" s="24" t="n"/>
    </row>
    <row r="111" ht="36" customHeight="1">
      <c r="A111" s="24" t="inlineStr">
        <is>
          <t>e19dc253e4b04163</t>
        </is>
      </c>
      <c r="B111" s="24" t="inlineStr">
        <is>
          <t>2026-09-06T04:35:54.512086Z</t>
        </is>
      </c>
      <c r="C111" s="24" t="inlineStr">
        <is>
          <t>2026-09-06T08:00:00Z</t>
        </is>
      </c>
      <c r="D111" s="24" t="inlineStr">
        <is>
          <t>101511</t>
        </is>
      </c>
      <c r="E111" s="24" t="inlineStr">
        <is>
          <t>KBO</t>
        </is>
      </c>
      <c r="F111" s="24" t="inlineStr">
        <is>
          <t>Hanwha Eagles</t>
        </is>
      </c>
      <c r="G111" s="24" t="inlineStr">
        <is>
          <t>Lotte Giants</t>
        </is>
      </c>
      <c r="H111" s="24" t="inlineStr">
        <is>
          <t>moneyline</t>
        </is>
      </c>
      <c r="I111" s="24" t="inlineStr">
        <is>
          <t>home</t>
        </is>
      </c>
      <c r="J111" s="25" t="n"/>
      <c r="K111" s="24" t="inlineStr">
        <is>
          <t>polymarket_us</t>
        </is>
      </c>
      <c r="L111" s="26" t="n">
        <v>100</v>
      </c>
      <c r="M111" s="27" t="n">
        <v>2</v>
      </c>
      <c r="N111" s="28" t="n">
        <v>0.5</v>
      </c>
      <c r="O111" s="28" t="n">
        <v>0.545556</v>
      </c>
      <c r="P111" s="28" t="n"/>
      <c r="Q111" s="28" t="n">
        <v>0.045556</v>
      </c>
      <c r="R111" s="26" t="n">
        <v>43</v>
      </c>
      <c r="S111" s="29" t="n">
        <v>1</v>
      </c>
      <c r="T111" s="24" t="inlineStr">
        <is>
          <t>kbo-tie-aware-elo-v2</t>
        </is>
      </c>
      <c r="U111" s="24" t="inlineStr">
        <is>
          <t>settled</t>
        </is>
      </c>
      <c r="V111" s="24" t="inlineStr">
        <is>
          <t>loss</t>
        </is>
      </c>
      <c r="W111" s="26" t="n">
        <v>8</v>
      </c>
      <c r="X111" s="26" t="n">
        <v>2</v>
      </c>
      <c r="Y111" s="25" t="n"/>
      <c r="Z111" s="26" t="n">
        <v>100</v>
      </c>
      <c r="AA111" s="28" t="n">
        <v>0.5</v>
      </c>
      <c r="AB111" s="28" t="n">
        <v>0</v>
      </c>
      <c r="AC111" s="30" t="n">
        <v>-1</v>
      </c>
      <c r="AD111" s="24" t="inlineStr">
        <is>
          <t>2026-09-06T16:00:59.498432Z</t>
        </is>
      </c>
      <c r="AE111" s="31" t="inlineStr">
        <is>
          <t>Tie-aware Elo baseline; executable ask 0.5000 (market_slug=aec-kbo-lgo-hea-2026-09-06). Tie probability=0.0225.</t>
        </is>
      </c>
      <c r="AF111" s="31" t="inlineStr">
        <is>
          <t>Config-promoted international baseball baseline; gates enforced at log time.</t>
        </is>
      </c>
      <c r="AG111" s="24" t="inlineStr">
        <is>
          <t>review_required</t>
        </is>
      </c>
      <c r="AH111" s="24" t="n"/>
      <c r="AI111" s="31" t="n"/>
      <c r="AJ111" s="31" t="n"/>
      <c r="AK111" s="24" t="inlineStr">
        <is>
          <t>paper_call</t>
        </is>
      </c>
      <c r="AL111" s="26" t="n">
        <v>4</v>
      </c>
      <c r="AM111" s="24" t="inlineStr">
        <is>
          <t>RESEARCH_OBSERVATION</t>
        </is>
      </c>
      <c r="AN111" s="24" t="inlineStr">
        <is>
          <t>CALL</t>
        </is>
      </c>
      <c r="AO111" s="24" t="inlineStr">
        <is>
          <t>PAPER_CALL_LOW_EDGE</t>
        </is>
      </c>
      <c r="AP111" s="24" t="inlineStr">
        <is>
          <t>Hanwha Eagles</t>
        </is>
      </c>
      <c r="AQ111" s="24" t="inlineStr">
        <is>
          <t>Hanwha Eagles</t>
        </is>
      </c>
      <c r="AR111" s="24" t="inlineStr">
        <is>
          <t>Hanwha Eagles</t>
        </is>
      </c>
      <c r="AS111" s="24" t="inlineStr">
        <is>
          <t>Lotte Giants</t>
        </is>
      </c>
      <c r="AT111" s="24" t="inlineStr">
        <is>
          <t>Lotte Giants</t>
        </is>
      </c>
      <c r="AU111" s="24" t="inlineStr">
        <is>
          <t>Lotte Giants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1b1f04ad3351d6a016b1956441fde9c2400edd329870c1fc3373a017a8818681</t>
        </is>
      </c>
      <c r="BB111" s="24" t="inlineStr">
        <is>
          <t>tie_aware_elo</t>
        </is>
      </c>
      <c r="BC111" s="24" t="inlineStr">
        <is>
          <t>kbo-tie-aware-elo-v2</t>
        </is>
      </c>
      <c r="BD111" s="24" t="inlineStr">
        <is>
          <t>1b1f04ad3351d6a016b1956441fde9c2400edd329870c1fc3373a017a8818681</t>
        </is>
      </c>
      <c r="BE111" s="24" t="inlineStr">
        <is>
          <t>1</t>
        </is>
      </c>
      <c r="BF111" s="24" t="inlineStr">
        <is>
          <t>1</t>
        </is>
      </c>
      <c r="BG111" s="24" t="inlineStr">
        <is>
          <t>kbo-tie-aware-elo-v2</t>
        </is>
      </c>
      <c r="BH111" s="24" t="inlineStr">
        <is>
          <t>2026-09-06T04:35:54.445251Z</t>
        </is>
      </c>
      <c r="BI111" s="24" t="inlineStr">
        <is>
          <t>["same_event","same_team_same_day","same_league_same_day"]</t>
        </is>
      </c>
      <c r="BJ111" s="25" t="n"/>
      <c r="BK111" s="26" t="n">
        <v>100</v>
      </c>
      <c r="BL111" s="27" t="n">
        <v>2</v>
      </c>
      <c r="BM111" s="28" t="n">
        <v>0.5</v>
      </c>
      <c r="BN111" s="28" t="n"/>
      <c r="BO111" s="28" t="n"/>
      <c r="BP111" s="25" t="n"/>
      <c r="BQ111" s="27" t="n">
        <v>2</v>
      </c>
      <c r="BR111" s="28" t="n">
        <v>0.5</v>
      </c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inlineStr">
        <is>
          <t>True</t>
        </is>
      </c>
      <c r="CT111" s="24" t="n"/>
      <c r="CU111" s="24" t="n"/>
      <c r="CV111" s="24" t="n"/>
      <c r="CW111" s="24" t="n"/>
      <c r="CX111" s="24" t="n"/>
      <c r="CY111" s="24" t="n"/>
      <c r="CZ111" s="24" t="n"/>
      <c r="DA111" s="24" t="n"/>
      <c r="DB111" s="24" t="n"/>
      <c r="DC111" s="24" t="n"/>
      <c r="DD111" s="24" t="n"/>
      <c r="DE111" s="24" t="n"/>
      <c r="DF111" s="24" t="n"/>
      <c r="DG111" s="24" t="n"/>
      <c r="DH111" s="24" t="n"/>
      <c r="DI111" s="24" t="n"/>
      <c r="DJ111" s="24" t="inlineStr">
        <is>
          <t>0.5</t>
        </is>
      </c>
      <c r="DK111" s="24" t="n"/>
      <c r="DL111" s="24" t="n"/>
      <c r="DM111" s="24" t="n"/>
      <c r="DN111" s="24" t="n"/>
      <c r="DO111" s="24" t="n"/>
      <c r="DP111" s="24" t="n"/>
      <c r="DQ111" s="24" t="n"/>
    </row>
    <row r="112" ht="36" customHeight="1">
      <c r="A112" s="24" t="inlineStr">
        <is>
          <t>db429284946e47e6</t>
        </is>
      </c>
      <c r="B112" s="24" t="inlineStr">
        <is>
          <t>2026-09-06T04:35:54.512086Z</t>
        </is>
      </c>
      <c r="C112" s="24" t="inlineStr">
        <is>
          <t>2026-09-06T10:00:00Z</t>
        </is>
      </c>
      <c r="D112" s="24" t="inlineStr">
        <is>
          <t>101545</t>
        </is>
      </c>
      <c r="E112" s="24" t="inlineStr">
        <is>
          <t>KBO</t>
        </is>
      </c>
      <c r="F112" s="24" t="inlineStr">
        <is>
          <t>NC Dinos</t>
        </is>
      </c>
      <c r="G112" s="24" t="inlineStr">
        <is>
          <t>Kiwoom Heroes</t>
        </is>
      </c>
      <c r="H112" s="24" t="inlineStr">
        <is>
          <t>moneyline</t>
        </is>
      </c>
      <c r="I112" s="24" t="inlineStr">
        <is>
          <t>away</t>
        </is>
      </c>
      <c r="J112" s="25" t="n"/>
      <c r="K112" s="24" t="inlineStr">
        <is>
          <t>polymarket_us</t>
        </is>
      </c>
      <c r="L112" s="26" t="n">
        <v>-138</v>
      </c>
      <c r="M112" s="27" t="n">
        <v>1.724638</v>
      </c>
      <c r="N112" s="28" t="n">
        <v>0.579832</v>
      </c>
      <c r="O112" s="28" t="n">
        <v>0.578358</v>
      </c>
      <c r="P112" s="28" t="n"/>
      <c r="Q112" s="28" t="n">
        <v>-0.001474</v>
      </c>
      <c r="R112" s="26" t="n">
        <v>19</v>
      </c>
      <c r="S112" s="29" t="n">
        <v>1</v>
      </c>
      <c r="T112" s="24" t="inlineStr">
        <is>
          <t>kbo-tie-aware-elo-v2</t>
        </is>
      </c>
      <c r="U112" s="24" t="inlineStr">
        <is>
          <t>settled</t>
        </is>
      </c>
      <c r="V112" s="24" t="inlineStr">
        <is>
          <t>loss</t>
        </is>
      </c>
      <c r="W112" s="26" t="n">
        <v>2</v>
      </c>
      <c r="X112" s="26" t="n">
        <v>4</v>
      </c>
      <c r="Y112" s="25" t="n"/>
      <c r="Z112" s="26" t="n">
        <v>-138</v>
      </c>
      <c r="AA112" s="28" t="n">
        <v>0.58</v>
      </c>
      <c r="AB112" s="28" t="n">
        <v>0.000168</v>
      </c>
      <c r="AC112" s="30" t="n">
        <v>-1</v>
      </c>
      <c r="AD112" s="24" t="inlineStr">
        <is>
          <t>2026-09-06T16:00:59.630527Z</t>
        </is>
      </c>
      <c r="AE112" s="31" t="inlineStr">
        <is>
          <t>Tie-aware Elo baseline; executable ask 0.5800 (market_slug=aec-kbo-khi-ndc-2026-09-06). Tie probability=0.0225.</t>
        </is>
      </c>
      <c r="AF112" s="31" t="inlineStr">
        <is>
          <t>Config-promoted international baseball baseline; gates enforced at log time.</t>
        </is>
      </c>
      <c r="AG112" s="24" t="inlineStr">
        <is>
          <t>review_required</t>
        </is>
      </c>
      <c r="AH112" s="24" t="n"/>
      <c r="AI112" s="31" t="n"/>
      <c r="AJ112" s="31" t="n"/>
      <c r="AK112" s="24" t="inlineStr">
        <is>
          <t>paper_call</t>
        </is>
      </c>
      <c r="AL112" s="26" t="n">
        <v>4</v>
      </c>
      <c r="AM112" s="24" t="inlineStr">
        <is>
          <t>RESEARCH_OBSERVATION</t>
        </is>
      </c>
      <c r="AN112" s="24" t="inlineStr">
        <is>
          <t>CALL</t>
        </is>
      </c>
      <c r="AO112" s="24" t="inlineStr">
        <is>
          <t>PAPER_CALL_LOW_EDGE</t>
        </is>
      </c>
      <c r="AP112" s="24" t="inlineStr">
        <is>
          <t>NC Dinos</t>
        </is>
      </c>
      <c r="AQ112" s="24" t="inlineStr">
        <is>
          <t>NC Dinos</t>
        </is>
      </c>
      <c r="AR112" s="24" t="inlineStr">
        <is>
          <t>NC Dinos</t>
        </is>
      </c>
      <c r="AS112" s="24" t="inlineStr">
        <is>
          <t>Kiwoom Heroes</t>
        </is>
      </c>
      <c r="AT112" s="24" t="inlineStr">
        <is>
          <t>Kiwoom Heroes</t>
        </is>
      </c>
      <c r="AU112" s="24" t="inlineStr">
        <is>
          <t>Kiwoom Heroes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1b1f04ad3351d6a016b1956441fde9c2400edd329870c1fc3373a017a8818681</t>
        </is>
      </c>
      <c r="BB112" s="24" t="inlineStr">
        <is>
          <t>tie_aware_elo</t>
        </is>
      </c>
      <c r="BC112" s="24" t="inlineStr">
        <is>
          <t>kbo-tie-aware-elo-v2</t>
        </is>
      </c>
      <c r="BD112" s="24" t="inlineStr">
        <is>
          <t>1b1f04ad3351d6a016b1956441fde9c2400edd329870c1fc3373a017a8818681</t>
        </is>
      </c>
      <c r="BE112" s="24" t="inlineStr">
        <is>
          <t>1</t>
        </is>
      </c>
      <c r="BF112" s="24" t="inlineStr">
        <is>
          <t>1</t>
        </is>
      </c>
      <c r="BG112" s="24" t="inlineStr">
        <is>
          <t>kbo-tie-aware-elo-v2</t>
        </is>
      </c>
      <c r="BH112" s="24" t="inlineStr">
        <is>
          <t>2026-09-06T04:35:54.512052Z</t>
        </is>
      </c>
      <c r="BI112" s="24" t="inlineStr">
        <is>
          <t>["same_event","same_team_same_day","same_league_same_day"]</t>
        </is>
      </c>
      <c r="BJ112" s="25" t="n"/>
      <c r="BK112" s="26" t="n">
        <v>-138</v>
      </c>
      <c r="BL112" s="27" t="n">
        <v>1.724638</v>
      </c>
      <c r="BM112" s="28" t="n">
        <v>0.579832</v>
      </c>
      <c r="BN112" s="28" t="n"/>
      <c r="BO112" s="28" t="n"/>
      <c r="BP112" s="25" t="n"/>
      <c r="BQ112" s="27" t="n">
        <v>1.724638</v>
      </c>
      <c r="BR112" s="28" t="n">
        <v>0.58</v>
      </c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inlineStr">
        <is>
          <t>False</t>
        </is>
      </c>
      <c r="CT112" s="24" t="n"/>
      <c r="CU112" s="24" t="n"/>
      <c r="CV112" s="24" t="n"/>
      <c r="CW112" s="24" t="n"/>
      <c r="CX112" s="24" t="n"/>
      <c r="CY112" s="24" t="n"/>
      <c r="CZ112" s="24" t="n"/>
      <c r="DA112" s="24" t="n"/>
      <c r="DB112" s="24" t="n"/>
      <c r="DC112" s="24" t="n"/>
      <c r="DD112" s="24" t="n"/>
      <c r="DE112" s="24" t="n"/>
      <c r="DF112" s="24" t="n"/>
      <c r="DG112" s="24" t="n"/>
      <c r="DH112" s="24" t="n"/>
      <c r="DI112" s="24" t="n"/>
      <c r="DJ112" s="24" t="inlineStr">
        <is>
          <t>0.579832</t>
        </is>
      </c>
      <c r="DK112" s="24" t="n"/>
      <c r="DL112" s="24" t="n"/>
      <c r="DM112" s="24" t="n"/>
      <c r="DN112" s="24" t="n"/>
      <c r="DO112" s="24" t="n"/>
      <c r="DP112" s="24" t="n"/>
      <c r="DQ112" s="24" t="n"/>
    </row>
    <row r="113" ht="36" customHeight="1">
      <c r="A113" s="24" t="inlineStr">
        <is>
          <t>e4487b81b5af48f9</t>
        </is>
      </c>
      <c r="B113" s="24" t="inlineStr">
        <is>
          <t>2026-09-08T04:35:36.336043Z</t>
        </is>
      </c>
      <c r="C113" s="24" t="inlineStr">
        <is>
          <t>2026-09-08T09:30:00Z</t>
        </is>
      </c>
      <c r="D113" s="24" t="inlineStr">
        <is>
          <t>104531</t>
        </is>
      </c>
      <c r="E113" s="24" t="inlineStr">
        <is>
          <t>KBO</t>
        </is>
      </c>
      <c r="F113" s="24" t="inlineStr">
        <is>
          <t>SSG Landers</t>
        </is>
      </c>
      <c r="G113" s="24" t="inlineStr">
        <is>
          <t>KT Wiz</t>
        </is>
      </c>
      <c r="H113" s="24" t="inlineStr">
        <is>
          <t>moneyline</t>
        </is>
      </c>
      <c r="I113" s="24" t="inlineStr">
        <is>
          <t>home</t>
        </is>
      </c>
      <c r="J113" s="25" t="n"/>
      <c r="K113" s="24" t="inlineStr">
        <is>
          <t>polymarket_us</t>
        </is>
      </c>
      <c r="L113" s="26" t="n">
        <v>-186</v>
      </c>
      <c r="M113" s="27" t="n">
        <v>1.537634</v>
      </c>
      <c r="N113" s="28" t="n">
        <v>0.65035</v>
      </c>
      <c r="O113" s="28" t="n">
        <v>0.599815</v>
      </c>
      <c r="P113" s="28" t="n"/>
      <c r="Q113" s="28" t="n">
        <v>-0.050535</v>
      </c>
      <c r="R113" s="26" t="n">
        <v>0</v>
      </c>
      <c r="S113" s="29" t="n">
        <v>1</v>
      </c>
      <c r="T113" s="24" t="inlineStr">
        <is>
          <t>kbo-tie-aware-elo-v2</t>
        </is>
      </c>
      <c r="U113" s="24" t="inlineStr">
        <is>
          <t>settled</t>
        </is>
      </c>
      <c r="V113" s="24" t="inlineStr">
        <is>
          <t>win</t>
        </is>
      </c>
      <c r="W113" s="26" t="n">
        <v>1</v>
      </c>
      <c r="X113" s="26" t="n">
        <v>3</v>
      </c>
      <c r="Y113" s="25" t="n"/>
      <c r="Z113" s="26" t="n">
        <v>-186</v>
      </c>
      <c r="AA113" s="28" t="n">
        <v>0.65</v>
      </c>
      <c r="AB113" s="28" t="n">
        <v>-0.00035</v>
      </c>
      <c r="AC113" s="30" t="n">
        <v>0.5376</v>
      </c>
      <c r="AD113" s="24" t="inlineStr">
        <is>
          <t>2026-09-08T16:02:09.157075Z</t>
        </is>
      </c>
      <c r="AE113" s="31" t="inlineStr">
        <is>
          <t>Tie-aware Elo baseline; executable ask 0.6500 (market_slug=aec-kbo-kwt-sls-2026-09-08). Tie probability=0.0225.</t>
        </is>
      </c>
      <c r="AF113" s="31" t="inlineStr">
        <is>
          <t>Config-promoted international baseball baseline; gates enforced at log time.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paper_call</t>
        </is>
      </c>
      <c r="AL113" s="26" t="n">
        <v>4</v>
      </c>
      <c r="AM113" s="24" t="inlineStr">
        <is>
          <t>RESEARCH_OBSERVATION</t>
        </is>
      </c>
      <c r="AN113" s="24" t="inlineStr">
        <is>
          <t>CALL</t>
        </is>
      </c>
      <c r="AO113" s="24" t="inlineStr">
        <is>
          <t>PAPER_CALL_LOW_EDGE</t>
        </is>
      </c>
      <c r="AP113" s="24" t="inlineStr">
        <is>
          <t>SSG Landers</t>
        </is>
      </c>
      <c r="AQ113" s="24" t="inlineStr">
        <is>
          <t>SSG Landers</t>
        </is>
      </c>
      <c r="AR113" s="24" t="inlineStr">
        <is>
          <t>SSG Landers</t>
        </is>
      </c>
      <c r="AS113" s="24" t="inlineStr">
        <is>
          <t>KT Wiz</t>
        </is>
      </c>
      <c r="AT113" s="24" t="inlineStr">
        <is>
          <t>KT Wiz</t>
        </is>
      </c>
      <c r="AU113" s="24" t="inlineStr">
        <is>
          <t>KT Wiz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3b8a0b4ad0c1fbf26128570e8243c557c9534d1b4e14f55ce9cd86d200b4e0b1</t>
        </is>
      </c>
      <c r="BB113" s="24" t="inlineStr">
        <is>
          <t>tie_aware_elo</t>
        </is>
      </c>
      <c r="BC113" s="24" t="inlineStr">
        <is>
          <t>kbo-tie-aware-elo-v2</t>
        </is>
      </c>
      <c r="BD113" s="24" t="inlineStr">
        <is>
          <t>3b8a0b4ad0c1fbf26128570e8243c557c9534d1b4e14f55ce9cd86d200b4e0b1</t>
        </is>
      </c>
      <c r="BE113" s="24" t="inlineStr">
        <is>
          <t>1</t>
        </is>
      </c>
      <c r="BF113" s="24" t="inlineStr">
        <is>
          <t>1</t>
        </is>
      </c>
      <c r="BG113" s="24" t="inlineStr">
        <is>
          <t>kbo-tie-aware-elo-v2</t>
        </is>
      </c>
      <c r="BH113" s="24" t="inlineStr">
        <is>
          <t>2026-09-08T04:35:36.061936Z</t>
        </is>
      </c>
      <c r="BI113" s="24" t="inlineStr">
        <is>
          <t>["same_event","same_team_same_day","same_league_same_day"]</t>
        </is>
      </c>
      <c r="BJ113" s="25" t="n"/>
      <c r="BK113" s="26" t="n">
        <v>-186</v>
      </c>
      <c r="BL113" s="27" t="n">
        <v>1.537634</v>
      </c>
      <c r="BM113" s="28" t="n">
        <v>0.65035</v>
      </c>
      <c r="BN113" s="28" t="n"/>
      <c r="BO113" s="28" t="n"/>
      <c r="BP113" s="25" t="n"/>
      <c r="BQ113" s="27" t="n">
        <v>1.537634</v>
      </c>
      <c r="BR113" s="28" t="n">
        <v>0.65</v>
      </c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  <c r="CS113" s="24" t="inlineStr">
        <is>
          <t>False</t>
        </is>
      </c>
      <c r="CT113" s="24" t="n"/>
      <c r="CU113" s="24" t="n"/>
      <c r="CV113" s="24" t="n"/>
      <c r="CW113" s="24" t="n"/>
      <c r="CX113" s="24" t="n"/>
      <c r="CY113" s="24" t="n"/>
      <c r="CZ113" s="24" t="n"/>
      <c r="DA113" s="24" t="n"/>
      <c r="DB113" s="24" t="n"/>
      <c r="DC113" s="24" t="n"/>
      <c r="DD113" s="24" t="n"/>
      <c r="DE113" s="24" t="n"/>
      <c r="DF113" s="24" t="n"/>
      <c r="DG113" s="24" t="n"/>
      <c r="DH113" s="24" t="n"/>
      <c r="DI113" s="24" t="n"/>
      <c r="DJ113" s="24" t="inlineStr">
        <is>
          <t>0.65035</t>
        </is>
      </c>
      <c r="DK113" s="24" t="n"/>
      <c r="DL113" s="24" t="n"/>
      <c r="DM113" s="24" t="n"/>
      <c r="DN113" s="24" t="n"/>
      <c r="DO113" s="24" t="n"/>
      <c r="DP113" s="24" t="n"/>
      <c r="DQ113" s="24" t="n"/>
    </row>
    <row r="114" ht="36" customHeight="1">
      <c r="A114" s="24" t="inlineStr">
        <is>
          <t>1cf0ffe58cbb4f55</t>
        </is>
      </c>
      <c r="B114" s="24" t="inlineStr">
        <is>
          <t>2026-09-08T04:35:36.336043Z</t>
        </is>
      </c>
      <c r="C114" s="24" t="inlineStr">
        <is>
          <t>2026-09-08T09:30:00Z</t>
        </is>
      </c>
      <c r="D114" s="24" t="inlineStr">
        <is>
          <t>104534</t>
        </is>
      </c>
      <c r="E114" s="24" t="inlineStr">
        <is>
          <t>KBO</t>
        </is>
      </c>
      <c r="F114" s="24" t="inlineStr">
        <is>
          <t>Kiwoom Heroes</t>
        </is>
      </c>
      <c r="G114" s="24" t="inlineStr">
        <is>
          <t>LG Twins</t>
        </is>
      </c>
      <c r="H114" s="24" t="inlineStr">
        <is>
          <t>moneyline</t>
        </is>
      </c>
      <c r="I114" s="24" t="inlineStr">
        <is>
          <t>home</t>
        </is>
      </c>
      <c r="J114" s="25" t="n"/>
      <c r="K114" s="24" t="inlineStr">
        <is>
          <t>polymarket_us</t>
        </is>
      </c>
      <c r="L114" s="26" t="n">
        <v>-150</v>
      </c>
      <c r="M114" s="27" t="n">
        <v>1.666667</v>
      </c>
      <c r="N114" s="28" t="n">
        <v>0.6</v>
      </c>
      <c r="O114" s="28" t="n">
        <v>0.642075</v>
      </c>
      <c r="P114" s="28" t="n"/>
      <c r="Q114" s="28" t="n">
        <v>0.042075</v>
      </c>
      <c r="R114" s="26" t="n">
        <v>41</v>
      </c>
      <c r="S114" s="29" t="n">
        <v>1</v>
      </c>
      <c r="T114" s="24" t="inlineStr">
        <is>
          <t>kbo-tie-aware-elo-v2</t>
        </is>
      </c>
      <c r="U114" s="24" t="inlineStr">
        <is>
          <t>settled</t>
        </is>
      </c>
      <c r="V114" s="24" t="inlineStr">
        <is>
          <t>loss</t>
        </is>
      </c>
      <c r="W114" s="26" t="n">
        <v>8</v>
      </c>
      <c r="X114" s="26" t="n">
        <v>3</v>
      </c>
      <c r="Y114" s="25" t="n"/>
      <c r="Z114" s="26" t="n">
        <v>-150</v>
      </c>
      <c r="AA114" s="28" t="n">
        <v>0.6</v>
      </c>
      <c r="AB114" s="28" t="n">
        <v>0</v>
      </c>
      <c r="AC114" s="30" t="n">
        <v>-1</v>
      </c>
      <c r="AD114" s="24" t="inlineStr">
        <is>
          <t>2026-09-08T16:02:09.832257Z</t>
        </is>
      </c>
      <c r="AE114" s="31" t="inlineStr">
        <is>
          <t>Tie-aware Elo baseline; executable ask 0.6000 (market_slug=aec-kbo-ltg-khi-2026-09-08). Tie probability=0.0225.</t>
        </is>
      </c>
      <c r="AF114" s="31" t="inlineStr">
        <is>
          <t>Config-promoted international baseball baseline; gates enforced at log time.</t>
        </is>
      </c>
      <c r="AG114" s="24" t="inlineStr">
        <is>
          <t>review_required</t>
        </is>
      </c>
      <c r="AH114" s="24" t="n"/>
      <c r="AI114" s="31" t="n"/>
      <c r="AJ114" s="31" t="n"/>
      <c r="AK114" s="24" t="inlineStr">
        <is>
          <t>model_qualified</t>
        </is>
      </c>
      <c r="AL114" s="26" t="n">
        <v>4</v>
      </c>
      <c r="AM114" s="24" t="inlineStr">
        <is>
          <t>QUALIFIED_SHADOW_CALL</t>
        </is>
      </c>
      <c r="AN114" s="24" t="inlineStr">
        <is>
          <t>CALL</t>
        </is>
      </c>
      <c r="AO114" s="24" t="inlineStr">
        <is>
          <t>QUALIFIED</t>
        </is>
      </c>
      <c r="AP114" s="24" t="inlineStr">
        <is>
          <t>Kiwoom Heroes</t>
        </is>
      </c>
      <c r="AQ114" s="24" t="inlineStr">
        <is>
          <t>Kiwoom Heroes</t>
        </is>
      </c>
      <c r="AR114" s="24" t="inlineStr">
        <is>
          <t>Kiwoom Heroes</t>
        </is>
      </c>
      <c r="AS114" s="24" t="inlineStr">
        <is>
          <t>LG Twins</t>
        </is>
      </c>
      <c r="AT114" s="24" t="inlineStr">
        <is>
          <t>LG Twins</t>
        </is>
      </c>
      <c r="AU114" s="24" t="inlineStr">
        <is>
          <t>LG Twins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3b8a0b4ad0c1fbf26128570e8243c557c9534d1b4e14f55ce9cd86d200b4e0b1</t>
        </is>
      </c>
      <c r="BB114" s="24" t="inlineStr">
        <is>
          <t>tie_aware_elo</t>
        </is>
      </c>
      <c r="BC114" s="24" t="inlineStr">
        <is>
          <t>kbo-tie-aware-elo-v2</t>
        </is>
      </c>
      <c r="BD114" s="24" t="inlineStr">
        <is>
          <t>3b8a0b4ad0c1fbf26128570e8243c557c9534d1b4e14f55ce9cd86d200b4e0b1</t>
        </is>
      </c>
      <c r="BE114" s="24" t="inlineStr">
        <is>
          <t>1</t>
        </is>
      </c>
      <c r="BF114" s="24" t="inlineStr">
        <is>
          <t>1</t>
        </is>
      </c>
      <c r="BG114" s="24" t="inlineStr">
        <is>
          <t>kbo-tie-aware-elo-v2</t>
        </is>
      </c>
      <c r="BH114" s="24" t="inlineStr">
        <is>
          <t>2026-09-08T04:35:36.114615Z</t>
        </is>
      </c>
      <c r="BI114" s="24" t="inlineStr">
        <is>
          <t>["same_event","same_team_same_day","same_league_same_day"]</t>
        </is>
      </c>
      <c r="BJ114" s="25" t="n"/>
      <c r="BK114" s="26" t="n">
        <v>-150</v>
      </c>
      <c r="BL114" s="27" t="n">
        <v>1.666667</v>
      </c>
      <c r="BM114" s="28" t="n">
        <v>0.6</v>
      </c>
      <c r="BN114" s="28" t="n"/>
      <c r="BO114" s="28" t="n"/>
      <c r="BP114" s="25" t="n"/>
      <c r="BQ114" s="27" t="n">
        <v>1.666667</v>
      </c>
      <c r="BR114" s="28" t="n">
        <v>0.6</v>
      </c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  <c r="CS114" s="24" t="inlineStr">
        <is>
          <t>True</t>
        </is>
      </c>
      <c r="CT114" s="24" t="n"/>
      <c r="CU114" s="24" t="n"/>
      <c r="CV114" s="24" t="n"/>
      <c r="CW114" s="24" t="n"/>
      <c r="CX114" s="24" t="n"/>
      <c r="CY114" s="24" t="n"/>
      <c r="CZ114" s="24" t="n"/>
      <c r="DA114" s="24" t="n"/>
      <c r="DB114" s="24" t="n"/>
      <c r="DC114" s="24" t="n"/>
      <c r="DD114" s="24" t="n"/>
      <c r="DE114" s="24" t="n"/>
      <c r="DF114" s="24" t="n"/>
      <c r="DG114" s="24" t="n"/>
      <c r="DH114" s="24" t="n"/>
      <c r="DI114" s="24" t="n"/>
      <c r="DJ114" s="24" t="inlineStr">
        <is>
          <t>0.6</t>
        </is>
      </c>
      <c r="DK114" s="24" t="n"/>
      <c r="DL114" s="24" t="n"/>
      <c r="DM114" s="24" t="n"/>
      <c r="DN114" s="24" t="n"/>
      <c r="DO114" s="24" t="n"/>
      <c r="DP114" s="24" t="n"/>
      <c r="DQ114" s="24" t="n"/>
    </row>
    <row r="115" ht="36" customHeight="1">
      <c r="A115" s="24" t="inlineStr">
        <is>
          <t>302d0c1b0ce54491</t>
        </is>
      </c>
      <c r="B115" s="24" t="inlineStr">
        <is>
          <t>2026-09-08T04:35:36.336043Z</t>
        </is>
      </c>
      <c r="C115" s="24" t="inlineStr">
        <is>
          <t>2026-09-08T09:30:00Z</t>
        </is>
      </c>
      <c r="D115" s="24" t="inlineStr">
        <is>
          <t>104530</t>
        </is>
      </c>
      <c r="E115" s="24" t="inlineStr">
        <is>
          <t>KBO</t>
        </is>
      </c>
      <c r="F115" s="24" t="inlineStr">
        <is>
          <t>Lotte Giants</t>
        </is>
      </c>
      <c r="G115" s="24" t="inlineStr">
        <is>
          <t>NC Dinos</t>
        </is>
      </c>
      <c r="H115" s="24" t="inlineStr">
        <is>
          <t>moneyline</t>
        </is>
      </c>
      <c r="I115" s="24" t="inlineStr">
        <is>
          <t>home</t>
        </is>
      </c>
      <c r="J115" s="25" t="n"/>
      <c r="K115" s="24" t="inlineStr">
        <is>
          <t>polymarket_us</t>
        </is>
      </c>
      <c r="L115" s="26" t="n">
        <v>-122</v>
      </c>
      <c r="M115" s="27" t="n">
        <v>1.819672</v>
      </c>
      <c r="N115" s="28" t="n">
        <v>0.54955</v>
      </c>
      <c r="O115" s="28" t="n">
        <v>0.574921</v>
      </c>
      <c r="P115" s="28" t="n"/>
      <c r="Q115" s="28" t="n">
        <v>0.025371</v>
      </c>
      <c r="R115" s="26" t="n">
        <v>33</v>
      </c>
      <c r="S115" s="29" t="n">
        <v>1</v>
      </c>
      <c r="T115" s="24" t="inlineStr">
        <is>
          <t>kbo-tie-aware-elo-v2</t>
        </is>
      </c>
      <c r="U115" s="24" t="inlineStr">
        <is>
          <t>settled</t>
        </is>
      </c>
      <c r="V115" s="24" t="inlineStr">
        <is>
          <t>loss</t>
        </is>
      </c>
      <c r="W115" s="26" t="n">
        <v>6</v>
      </c>
      <c r="X115" s="26" t="n">
        <v>3</v>
      </c>
      <c r="Y115" s="25" t="n"/>
      <c r="Z115" s="26" t="n">
        <v>-122</v>
      </c>
      <c r="AA115" s="28" t="n">
        <v>0.55</v>
      </c>
      <c r="AB115" s="28" t="n">
        <v>0.00045</v>
      </c>
      <c r="AC115" s="30" t="n">
        <v>-1</v>
      </c>
      <c r="AD115" s="24" t="inlineStr">
        <is>
          <t>2026-09-08T16:02:10.124352Z</t>
        </is>
      </c>
      <c r="AE115" s="31" t="inlineStr">
        <is>
          <t>Tie-aware Elo baseline; executable ask 0.5500 (market_slug=aec-kbo-ndc-lgo-2026-09-08). Tie probability=0.0225.</t>
        </is>
      </c>
      <c r="AF115" s="31" t="inlineStr">
        <is>
          <t>Config-promoted international baseball baseline; gates enforced at log time.</t>
        </is>
      </c>
      <c r="AG115" s="24" t="inlineStr">
        <is>
          <t>review_required</t>
        </is>
      </c>
      <c r="AH115" s="24" t="n"/>
      <c r="AI115" s="31" t="n"/>
      <c r="AJ115" s="31" t="n"/>
      <c r="AK115" s="24" t="inlineStr">
        <is>
          <t>paper_call</t>
        </is>
      </c>
      <c r="AL115" s="26" t="n">
        <v>4</v>
      </c>
      <c r="AM115" s="24" t="inlineStr">
        <is>
          <t>RESEARCH_OBSERVATION</t>
        </is>
      </c>
      <c r="AN115" s="24" t="inlineStr">
        <is>
          <t>CALL</t>
        </is>
      </c>
      <c r="AO115" s="24" t="inlineStr">
        <is>
          <t>PAPER_CALL_LOW_EDGE</t>
        </is>
      </c>
      <c r="AP115" s="24" t="inlineStr">
        <is>
          <t>Lotte Giants</t>
        </is>
      </c>
      <c r="AQ115" s="24" t="inlineStr">
        <is>
          <t>Lotte Giants</t>
        </is>
      </c>
      <c r="AR115" s="24" t="inlineStr">
        <is>
          <t>Lotte Giants</t>
        </is>
      </c>
      <c r="AS115" s="24" t="inlineStr">
        <is>
          <t>NC Dinos</t>
        </is>
      </c>
      <c r="AT115" s="24" t="inlineStr">
        <is>
          <t>NC Dinos</t>
        </is>
      </c>
      <c r="AU115" s="24" t="inlineStr">
        <is>
          <t>NC Dinos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3b8a0b4ad0c1fbf26128570e8243c557c9534d1b4e14f55ce9cd86d200b4e0b1</t>
        </is>
      </c>
      <c r="BB115" s="24" t="inlineStr">
        <is>
          <t>tie_aware_elo</t>
        </is>
      </c>
      <c r="BC115" s="24" t="inlineStr">
        <is>
          <t>kbo-tie-aware-elo-v2</t>
        </is>
      </c>
      <c r="BD115" s="24" t="inlineStr">
        <is>
          <t>3b8a0b4ad0c1fbf26128570e8243c557c9534d1b4e14f55ce9cd86d200b4e0b1</t>
        </is>
      </c>
      <c r="BE115" s="24" t="inlineStr">
        <is>
          <t>1</t>
        </is>
      </c>
      <c r="BF115" s="24" t="inlineStr">
        <is>
          <t>1</t>
        </is>
      </c>
      <c r="BG115" s="24" t="inlineStr">
        <is>
          <t>kbo-tie-aware-elo-v2</t>
        </is>
      </c>
      <c r="BH115" s="24" t="inlineStr">
        <is>
          <t>2026-09-08T04:35:36.190576Z</t>
        </is>
      </c>
      <c r="BI115" s="24" t="inlineStr">
        <is>
          <t>["same_event","same_team_same_day","same_league_same_day"]</t>
        </is>
      </c>
      <c r="BJ115" s="25" t="n"/>
      <c r="BK115" s="26" t="n">
        <v>-122</v>
      </c>
      <c r="BL115" s="27" t="n">
        <v>1.819672</v>
      </c>
      <c r="BM115" s="28" t="n">
        <v>0.54955</v>
      </c>
      <c r="BN115" s="28" t="n"/>
      <c r="BO115" s="28" t="n"/>
      <c r="BP115" s="25" t="n"/>
      <c r="BQ115" s="27" t="n">
        <v>1.819672</v>
      </c>
      <c r="BR115" s="28" t="n">
        <v>0.55</v>
      </c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inlineStr">
        <is>
          <t>True</t>
        </is>
      </c>
      <c r="CT115" s="24" t="n"/>
      <c r="CU115" s="24" t="n"/>
      <c r="CV115" s="24" t="n"/>
      <c r="CW115" s="24" t="n"/>
      <c r="CX115" s="24" t="n"/>
      <c r="CY115" s="24" t="n"/>
      <c r="CZ115" s="24" t="n"/>
      <c r="DA115" s="24" t="n"/>
      <c r="DB115" s="24" t="n"/>
      <c r="DC115" s="24" t="n"/>
      <c r="DD115" s="24" t="n"/>
      <c r="DE115" s="24" t="n"/>
      <c r="DF115" s="24" t="n"/>
      <c r="DG115" s="24" t="n"/>
      <c r="DH115" s="24" t="n"/>
      <c r="DI115" s="24" t="n"/>
      <c r="DJ115" s="24" t="inlineStr">
        <is>
          <t>0.54955</t>
        </is>
      </c>
      <c r="DK115" s="24" t="n"/>
      <c r="DL115" s="24" t="n"/>
      <c r="DM115" s="24" t="n"/>
      <c r="DN115" s="24" t="n"/>
      <c r="DO115" s="24" t="n"/>
      <c r="DP115" s="24" t="n"/>
      <c r="DQ115" s="24" t="n"/>
    </row>
    <row r="116" ht="36" customHeight="1">
      <c r="A116" s="24" t="inlineStr">
        <is>
          <t>59e4be4f8d014be3</t>
        </is>
      </c>
      <c r="B116" s="24" t="inlineStr">
        <is>
          <t>2026-09-08T04:35:36.336043Z</t>
        </is>
      </c>
      <c r="C116" s="24" t="inlineStr">
        <is>
          <t>2026-09-08T09:30:00Z</t>
        </is>
      </c>
      <c r="D116" s="24" t="inlineStr">
        <is>
          <t>103044</t>
        </is>
      </c>
      <c r="E116" s="24" t="inlineStr">
        <is>
          <t>KBO</t>
        </is>
      </c>
      <c r="F116" s="24" t="inlineStr">
        <is>
          <t>Samsung Lions</t>
        </is>
      </c>
      <c r="G116" s="24" t="inlineStr">
        <is>
          <t>Kia Tigers</t>
        </is>
      </c>
      <c r="H116" s="24" t="inlineStr">
        <is>
          <t>moneyline</t>
        </is>
      </c>
      <c r="I116" s="24" t="inlineStr">
        <is>
          <t>home</t>
        </is>
      </c>
      <c r="J116" s="25" t="n"/>
      <c r="K116" s="24" t="inlineStr">
        <is>
          <t>polymarket_us</t>
        </is>
      </c>
      <c r="L116" s="26" t="n">
        <v>113</v>
      </c>
      <c r="M116" s="27" t="n">
        <v>2.13</v>
      </c>
      <c r="N116" s="28" t="n">
        <v>0.469484</v>
      </c>
      <c r="O116" s="28" t="n">
        <v>0.504792</v>
      </c>
      <c r="P116" s="28" t="n"/>
      <c r="Q116" s="28" t="n">
        <v>0.035308</v>
      </c>
      <c r="R116" s="26" t="n">
        <v>38</v>
      </c>
      <c r="S116" s="29" t="n">
        <v>1</v>
      </c>
      <c r="T116" s="24" t="inlineStr">
        <is>
          <t>kbo-tie-aware-elo-v2</t>
        </is>
      </c>
      <c r="U116" s="24" t="inlineStr">
        <is>
          <t>settled</t>
        </is>
      </c>
      <c r="V116" s="24" t="inlineStr">
        <is>
          <t>push</t>
        </is>
      </c>
      <c r="W116" s="26" t="n"/>
      <c r="X116" s="26" t="n"/>
      <c r="Y116" s="25" t="n"/>
      <c r="Z116" s="26" t="n"/>
      <c r="AA116" s="28" t="n"/>
      <c r="AB116" s="28" t="n"/>
      <c r="AC116" s="30" t="n">
        <v>0</v>
      </c>
      <c r="AD116" s="24" t="inlineStr">
        <is>
          <t>2026-10-06T22:59:23.400595Z</t>
        </is>
      </c>
      <c r="AE116" s="31" t="inlineStr">
        <is>
          <t>Tie-aware Elo baseline; executable ask 0.4700 (market_slug=aec-kbo-kti-sla-2026-09-08). Tie probability=0.0225.</t>
        </is>
      </c>
      <c r="AF116" s="31" t="inlineStr">
        <is>
          <t>Config-promoted international baseball baseline; gates enforced at log time.</t>
        </is>
      </c>
      <c r="AG116" s="24" t="inlineStr">
        <is>
          <t>not_applicable</t>
        </is>
      </c>
      <c r="AH116" s="24" t="n"/>
      <c r="AI116" s="31" t="n"/>
      <c r="AJ116" s="31" t="n"/>
      <c r="AK116" s="24" t="inlineStr">
        <is>
          <t>paper_call</t>
        </is>
      </c>
      <c r="AL116" s="26" t="n">
        <v>4</v>
      </c>
      <c r="AM116" s="24" t="inlineStr">
        <is>
          <t>RESEARCH_OBSERVATION</t>
        </is>
      </c>
      <c r="AN116" s="24" t="inlineStr">
        <is>
          <t>CALL</t>
        </is>
      </c>
      <c r="AO116" s="24" t="inlineStr">
        <is>
          <t>PAPER_CALL_LOW_EDGE</t>
        </is>
      </c>
      <c r="AP116" s="24" t="inlineStr">
        <is>
          <t>Samsung Lions</t>
        </is>
      </c>
      <c r="AQ116" s="24" t="inlineStr">
        <is>
          <t>Samsung Lions</t>
        </is>
      </c>
      <c r="AR116" s="24" t="inlineStr">
        <is>
          <t>Samsung Lions</t>
        </is>
      </c>
      <c r="AS116" s="24" t="inlineStr">
        <is>
          <t>Kia Tigers</t>
        </is>
      </c>
      <c r="AT116" s="24" t="inlineStr">
        <is>
          <t>Kia Tigers</t>
        </is>
      </c>
      <c r="AU116" s="24" t="inlineStr">
        <is>
          <t>Kia Tigers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3b8a0b4ad0c1fbf26128570e8243c557c9534d1b4e14f55ce9cd86d200b4e0b1</t>
        </is>
      </c>
      <c r="BB116" s="24" t="inlineStr">
        <is>
          <t>tie_aware_elo</t>
        </is>
      </c>
      <c r="BC116" s="24" t="inlineStr">
        <is>
          <t>kbo-tie-aware-elo-v2</t>
        </is>
      </c>
      <c r="BD116" s="24" t="inlineStr">
        <is>
          <t>3b8a0b4ad0c1fbf26128570e8243c557c9534d1b4e14f55ce9cd86d200b4e0b1</t>
        </is>
      </c>
      <c r="BE116" s="24" t="inlineStr">
        <is>
          <t>1</t>
        </is>
      </c>
      <c r="BF116" s="24" t="inlineStr">
        <is>
          <t>1</t>
        </is>
      </c>
      <c r="BG116" s="24" t="inlineStr">
        <is>
          <t>kbo-tie-aware-elo-v2</t>
        </is>
      </c>
      <c r="BH116" s="24" t="inlineStr">
        <is>
          <t>2026-09-08T04:35:36.259573Z</t>
        </is>
      </c>
      <c r="BI116" s="24" t="inlineStr">
        <is>
          <t>["same_event","same_team_same_day","same_league_same_day"]</t>
        </is>
      </c>
      <c r="BJ116" s="25" t="n"/>
      <c r="BK116" s="26" t="n">
        <v>113</v>
      </c>
      <c r="BL116" s="27" t="n">
        <v>2.13</v>
      </c>
      <c r="BM116" s="28" t="n">
        <v>0.469484</v>
      </c>
      <c r="BN116" s="28" t="n"/>
      <c r="BO116" s="28" t="n"/>
      <c r="BP116" s="25" t="n"/>
      <c r="BQ116" s="27" t="n"/>
      <c r="BR116" s="28" t="n"/>
      <c r="BS116" s="28" t="n"/>
      <c r="BT116" s="28" t="n"/>
      <c r="BU116" s="25" t="n"/>
      <c r="BV116" s="29" t="n"/>
      <c r="BW116" s="24" t="inlineStr">
        <is>
          <t>KBO game scheduled on 2026-09-08 cancelled/postponed (no final score posted after &gt;7 days)</t>
        </is>
      </c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  <c r="CR116" s="24" t="n"/>
      <c r="CS116" s="24" t="inlineStr">
        <is>
          <t>True</t>
        </is>
      </c>
      <c r="CT116" s="24" t="n"/>
      <c r="CU116" s="24" t="n"/>
      <c r="CV116" s="24" t="n"/>
      <c r="CW116" s="24" t="n"/>
      <c r="CX116" s="24" t="n"/>
      <c r="CY116" s="24" t="n"/>
      <c r="CZ116" s="24" t="n"/>
      <c r="DA116" s="24" t="n"/>
      <c r="DB116" s="24" t="n"/>
      <c r="DC116" s="24" t="n"/>
      <c r="DD116" s="24" t="n"/>
      <c r="DE116" s="24" t="n"/>
      <c r="DF116" s="24" t="n"/>
      <c r="DG116" s="24" t="n"/>
      <c r="DH116" s="24" t="n"/>
      <c r="DI116" s="24" t="n"/>
      <c r="DJ116" s="24" t="inlineStr">
        <is>
          <t>0.469484</t>
        </is>
      </c>
      <c r="DK116" s="24" t="n"/>
      <c r="DL116" s="24" t="n"/>
      <c r="DM116" s="24" t="n"/>
      <c r="DN116" s="24" t="n"/>
      <c r="DO116" s="24" t="n"/>
      <c r="DP116" s="24" t="n"/>
      <c r="DQ116" s="24" t="n"/>
    </row>
    <row r="117" ht="36" customHeight="1">
      <c r="A117" s="24" t="inlineStr">
        <is>
          <t>fdea63b8f943444b</t>
        </is>
      </c>
      <c r="B117" s="24" t="inlineStr">
        <is>
          <t>2026-09-08T04:35:36.336043Z</t>
        </is>
      </c>
      <c r="C117" s="24" t="inlineStr">
        <is>
          <t>2026-09-08T09:30:00Z</t>
        </is>
      </c>
      <c r="D117" s="24" t="inlineStr">
        <is>
          <t>104532</t>
        </is>
      </c>
      <c r="E117" s="24" t="inlineStr">
        <is>
          <t>KBO</t>
        </is>
      </c>
      <c r="F117" s="24" t="inlineStr">
        <is>
          <t>Doosan Bears</t>
        </is>
      </c>
      <c r="G117" s="24" t="inlineStr">
        <is>
          <t>Hanwha Eagles</t>
        </is>
      </c>
      <c r="H117" s="24" t="inlineStr">
        <is>
          <t>moneyline</t>
        </is>
      </c>
      <c r="I117" s="24" t="inlineStr">
        <is>
          <t>away</t>
        </is>
      </c>
      <c r="J117" s="25" t="n"/>
      <c r="K117" s="24" t="inlineStr">
        <is>
          <t>polymarket_us</t>
        </is>
      </c>
      <c r="L117" s="26" t="n">
        <v>150</v>
      </c>
      <c r="M117" s="27" t="n">
        <v>2.5</v>
      </c>
      <c r="N117" s="28" t="n">
        <v>0.4</v>
      </c>
      <c r="O117" s="28" t="n">
        <v>0.533869</v>
      </c>
      <c r="P117" s="28" t="n"/>
      <c r="Q117" s="28" t="n">
        <v>0.133869</v>
      </c>
      <c r="R117" s="26" t="n">
        <v>87</v>
      </c>
      <c r="S117" s="29" t="n">
        <v>1.5</v>
      </c>
      <c r="T117" s="24" t="inlineStr">
        <is>
          <t>kbo-tie-aware-elo-v2</t>
        </is>
      </c>
      <c r="U117" s="24" t="inlineStr">
        <is>
          <t>settled</t>
        </is>
      </c>
      <c r="V117" s="24" t="inlineStr">
        <is>
          <t>loss</t>
        </is>
      </c>
      <c r="W117" s="26" t="n">
        <v>1</v>
      </c>
      <c r="X117" s="26" t="n">
        <v>6</v>
      </c>
      <c r="Y117" s="25" t="n"/>
      <c r="Z117" s="26" t="n">
        <v>150</v>
      </c>
      <c r="AA117" s="28" t="n">
        <v>0.4</v>
      </c>
      <c r="AB117" s="28" t="n">
        <v>0</v>
      </c>
      <c r="AC117" s="30" t="n">
        <v>-1.5</v>
      </c>
      <c r="AD117" s="24" t="inlineStr">
        <is>
          <t>2026-09-08T16:02:14.096356Z</t>
        </is>
      </c>
      <c r="AE117" s="31" t="inlineStr">
        <is>
          <t>Tie-aware Elo baseline; executable ask 0.4000 (market_slug=aec-kbo-hea-dbo-2026-09-08). Tie probability=0.0225.</t>
        </is>
      </c>
      <c r="AF117" s="31" t="inlineStr">
        <is>
          <t>Config-promoted international baseball baseline; gates enforced at log time.</t>
        </is>
      </c>
      <c r="AG117" s="24" t="inlineStr">
        <is>
          <t>review_required</t>
        </is>
      </c>
      <c r="AH117" s="24" t="n"/>
      <c r="AI117" s="31" t="n"/>
      <c r="AJ117" s="31" t="n"/>
      <c r="AK117" s="24" t="inlineStr">
        <is>
          <t>paper_call</t>
        </is>
      </c>
      <c r="AL117" s="26" t="n">
        <v>4</v>
      </c>
      <c r="AM117" s="24" t="inlineStr">
        <is>
          <t>RESEARCH_OBSERVATION</t>
        </is>
      </c>
      <c r="AN117" s="24" t="inlineStr">
        <is>
          <t>CALL</t>
        </is>
      </c>
      <c r="AO117" s="24" t="inlineStr">
        <is>
          <t>PAPER_CALL_LOW_EDGE</t>
        </is>
      </c>
      <c r="AP117" s="24" t="inlineStr">
        <is>
          <t>Doosan Bears</t>
        </is>
      </c>
      <c r="AQ117" s="24" t="inlineStr">
        <is>
          <t>Doosan Bears</t>
        </is>
      </c>
      <c r="AR117" s="24" t="inlineStr">
        <is>
          <t>Doosan Bears</t>
        </is>
      </c>
      <c r="AS117" s="24" t="inlineStr">
        <is>
          <t>Hanwha Eagles</t>
        </is>
      </c>
      <c r="AT117" s="24" t="inlineStr">
        <is>
          <t>Hanwha Eagles</t>
        </is>
      </c>
      <c r="AU117" s="24" t="inlineStr">
        <is>
          <t>Hanwha Eagles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3b8a0b4ad0c1fbf26128570e8243c557c9534d1b4e14f55ce9cd86d200b4e0b1</t>
        </is>
      </c>
      <c r="BB117" s="24" t="inlineStr">
        <is>
          <t>tie_aware_elo</t>
        </is>
      </c>
      <c r="BC117" s="24" t="inlineStr">
        <is>
          <t>kbo-tie-aware-elo-v2</t>
        </is>
      </c>
      <c r="BD117" s="24" t="inlineStr">
        <is>
          <t>3b8a0b4ad0c1fbf26128570e8243c557c9534d1b4e14f55ce9cd86d200b4e0b1</t>
        </is>
      </c>
      <c r="BE117" s="24" t="inlineStr">
        <is>
          <t>1</t>
        </is>
      </c>
      <c r="BF117" s="24" t="inlineStr">
        <is>
          <t>1</t>
        </is>
      </c>
      <c r="BG117" s="24" t="inlineStr">
        <is>
          <t>kbo-tie-aware-elo-v2</t>
        </is>
      </c>
      <c r="BH117" s="24" t="inlineStr">
        <is>
          <t>2026-09-08T04:35:36.335971Z</t>
        </is>
      </c>
      <c r="BI117" s="24" t="inlineStr">
        <is>
          <t>["same_event","same_team_same_day","same_league_same_day"]</t>
        </is>
      </c>
      <c r="BJ117" s="25" t="n"/>
      <c r="BK117" s="26" t="n">
        <v>150</v>
      </c>
      <c r="BL117" s="27" t="n">
        <v>2.5</v>
      </c>
      <c r="BM117" s="28" t="n">
        <v>0.4</v>
      </c>
      <c r="BN117" s="28" t="n"/>
      <c r="BO117" s="28" t="n"/>
      <c r="BP117" s="25" t="n"/>
      <c r="BQ117" s="27" t="n">
        <v>2.5</v>
      </c>
      <c r="BR117" s="28" t="n">
        <v>0.4</v>
      </c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  <c r="CR117" s="24" t="n"/>
      <c r="CS117" s="24" t="inlineStr">
        <is>
          <t>True</t>
        </is>
      </c>
      <c r="CT117" s="24" t="n"/>
      <c r="CU117" s="24" t="n"/>
      <c r="CV117" s="24" t="n"/>
      <c r="CW117" s="24" t="n"/>
      <c r="CX117" s="24" t="n"/>
      <c r="CY117" s="24" t="n"/>
      <c r="CZ117" s="24" t="n"/>
      <c r="DA117" s="24" t="n"/>
      <c r="DB117" s="24" t="n"/>
      <c r="DC117" s="24" t="n"/>
      <c r="DD117" s="24" t="n"/>
      <c r="DE117" s="24" t="n"/>
      <c r="DF117" s="24" t="n"/>
      <c r="DG117" s="24" t="n"/>
      <c r="DH117" s="24" t="n"/>
      <c r="DI117" s="24" t="n"/>
      <c r="DJ117" s="24" t="inlineStr">
        <is>
          <t>0.4</t>
        </is>
      </c>
      <c r="DK117" s="24" t="n"/>
      <c r="DL117" s="24" t="n"/>
      <c r="DM117" s="24" t="n"/>
      <c r="DN117" s="24" t="n"/>
      <c r="DO117" s="24" t="n"/>
      <c r="DP117" s="24" t="n"/>
      <c r="DQ117" s="24" t="n"/>
    </row>
    <row r="118" ht="36" customHeight="1">
      <c r="A118" s="24" t="inlineStr">
        <is>
          <t>b314578838bf43c0</t>
        </is>
      </c>
      <c r="B118" s="24" t="inlineStr">
        <is>
          <t>2026-09-09T04:34:49.868555Z</t>
        </is>
      </c>
      <c r="C118" s="24" t="inlineStr">
        <is>
          <t>2026-09-09T09:30:00Z</t>
        </is>
      </c>
      <c r="D118" s="24" t="inlineStr">
        <is>
          <t>104559</t>
        </is>
      </c>
      <c r="E118" s="24" t="inlineStr">
        <is>
          <t>KBO</t>
        </is>
      </c>
      <c r="F118" s="24" t="inlineStr">
        <is>
          <t>SSG Landers</t>
        </is>
      </c>
      <c r="G118" s="24" t="inlineStr">
        <is>
          <t>Doosan Bears</t>
        </is>
      </c>
      <c r="H118" s="24" t="inlineStr">
        <is>
          <t>moneyline</t>
        </is>
      </c>
      <c r="I118" s="24" t="inlineStr">
        <is>
          <t>home</t>
        </is>
      </c>
      <c r="J118" s="25" t="n"/>
      <c r="K118" s="24" t="inlineStr">
        <is>
          <t>polymarket_us</t>
        </is>
      </c>
      <c r="L118" s="26" t="n">
        <v>-213</v>
      </c>
      <c r="M118" s="27" t="n">
        <v>1.469484</v>
      </c>
      <c r="N118" s="28" t="n">
        <v>0.680511</v>
      </c>
      <c r="O118" s="28" t="n">
        <v>0.555724</v>
      </c>
      <c r="P118" s="28" t="n"/>
      <c r="Q118" s="28" t="n">
        <v>-0.124787</v>
      </c>
      <c r="R118" s="26" t="n">
        <v>0</v>
      </c>
      <c r="S118" s="29" t="n">
        <v>1</v>
      </c>
      <c r="T118" s="24" t="inlineStr">
        <is>
          <t>kbo-tie-aware-elo-v2</t>
        </is>
      </c>
      <c r="U118" s="24" t="inlineStr">
        <is>
          <t>settled</t>
        </is>
      </c>
      <c r="V118" s="24" t="inlineStr">
        <is>
          <t>loss</t>
        </is>
      </c>
      <c r="W118" s="26" t="n">
        <v>1</v>
      </c>
      <c r="X118" s="26" t="n">
        <v>0</v>
      </c>
      <c r="Y118" s="25" t="n"/>
      <c r="Z118" s="26" t="n">
        <v>-213</v>
      </c>
      <c r="AA118" s="28" t="n">
        <v>0.68</v>
      </c>
      <c r="AB118" s="28" t="n">
        <v>-0.000511</v>
      </c>
      <c r="AC118" s="30" t="n">
        <v>-1</v>
      </c>
      <c r="AD118" s="24" t="inlineStr">
        <is>
          <t>2026-09-09T16:01:21.727471Z</t>
        </is>
      </c>
      <c r="AE118" s="31" t="inlineStr">
        <is>
          <t>Tie-aware Elo baseline; executable ask 0.6800 (market_slug=aec-kbo-dbo-sls-2026-09-09). Tie probability=0.0225.</t>
        </is>
      </c>
      <c r="AF118" s="31" t="inlineStr">
        <is>
          <t>Config-promoted international baseball baseline; gates enforced at log time.</t>
        </is>
      </c>
      <c r="AG118" s="24" t="inlineStr">
        <is>
          <t>review_required</t>
        </is>
      </c>
      <c r="AH118" s="24" t="n"/>
      <c r="AI118" s="31" t="n"/>
      <c r="AJ118" s="31" t="n"/>
      <c r="AK118" s="24" t="inlineStr">
        <is>
          <t>paper_call</t>
        </is>
      </c>
      <c r="AL118" s="26" t="n">
        <v>4</v>
      </c>
      <c r="AM118" s="24" t="inlineStr">
        <is>
          <t>RESEARCH_OBSERVATION</t>
        </is>
      </c>
      <c r="AN118" s="24" t="inlineStr">
        <is>
          <t>CALL</t>
        </is>
      </c>
      <c r="AO118" s="24" t="inlineStr">
        <is>
          <t>PAPER_CALL_LOW_EDGE</t>
        </is>
      </c>
      <c r="AP118" s="24" t="inlineStr">
        <is>
          <t>SSG Landers</t>
        </is>
      </c>
      <c r="AQ118" s="24" t="inlineStr">
        <is>
          <t>SSG Landers</t>
        </is>
      </c>
      <c r="AR118" s="24" t="inlineStr">
        <is>
          <t>SSG Landers</t>
        </is>
      </c>
      <c r="AS118" s="24" t="inlineStr">
        <is>
          <t>Doosan Bears</t>
        </is>
      </c>
      <c r="AT118" s="24" t="inlineStr">
        <is>
          <t>Doosan Bears</t>
        </is>
      </c>
      <c r="AU118" s="24" t="inlineStr">
        <is>
          <t>Doosan Bears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5b67a0656a67d4d386704613caed745305c74be8b88301b6963a8af87222cb34</t>
        </is>
      </c>
      <c r="BB118" s="24" t="inlineStr">
        <is>
          <t>tie_aware_elo</t>
        </is>
      </c>
      <c r="BC118" s="24" t="inlineStr">
        <is>
          <t>kbo-tie-aware-elo-v2</t>
        </is>
      </c>
      <c r="BD118" s="24" t="inlineStr">
        <is>
          <t>5b67a0656a67d4d386704613caed745305c74be8b88301b6963a8af87222cb34</t>
        </is>
      </c>
      <c r="BE118" s="24" t="inlineStr">
        <is>
          <t>1</t>
        </is>
      </c>
      <c r="BF118" s="24" t="inlineStr">
        <is>
          <t>1</t>
        </is>
      </c>
      <c r="BG118" s="24" t="inlineStr">
        <is>
          <t>kbo-tie-aware-elo-v2</t>
        </is>
      </c>
      <c r="BH118" s="24" t="inlineStr">
        <is>
          <t>2026-09-09T04:34:49.868521Z</t>
        </is>
      </c>
      <c r="BI118" s="24" t="inlineStr">
        <is>
          <t>["same_event","same_team_same_day","same_league_same_day"]</t>
        </is>
      </c>
      <c r="BJ118" s="25" t="n"/>
      <c r="BK118" s="26" t="n">
        <v>-213</v>
      </c>
      <c r="BL118" s="27" t="n">
        <v>1.469484</v>
      </c>
      <c r="BM118" s="28" t="n">
        <v>0.680511</v>
      </c>
      <c r="BN118" s="28" t="n"/>
      <c r="BO118" s="28" t="n"/>
      <c r="BP118" s="25" t="n"/>
      <c r="BQ118" s="27" t="n">
        <v>1.469484</v>
      </c>
      <c r="BR118" s="28" t="n">
        <v>0.68</v>
      </c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  <c r="CR118" s="24" t="n"/>
      <c r="CS118" s="24" t="inlineStr">
        <is>
          <t>False</t>
        </is>
      </c>
      <c r="CT118" s="24" t="n"/>
      <c r="CU118" s="24" t="n"/>
      <c r="CV118" s="24" t="n"/>
      <c r="CW118" s="24" t="n"/>
      <c r="CX118" s="24" t="n"/>
      <c r="CY118" s="24" t="n"/>
      <c r="CZ118" s="24" t="n"/>
      <c r="DA118" s="24" t="n"/>
      <c r="DB118" s="24" t="n"/>
      <c r="DC118" s="24" t="n"/>
      <c r="DD118" s="24" t="n"/>
      <c r="DE118" s="24" t="n"/>
      <c r="DF118" s="24" t="n"/>
      <c r="DG118" s="24" t="n"/>
      <c r="DH118" s="24" t="n"/>
      <c r="DI118" s="24" t="n"/>
      <c r="DJ118" s="24" t="inlineStr">
        <is>
          <t>0.680511</t>
        </is>
      </c>
      <c r="DK118" s="24" t="n"/>
      <c r="DL118" s="24" t="n"/>
      <c r="DM118" s="24" t="n"/>
      <c r="DN118" s="24" t="n"/>
      <c r="DO118" s="24" t="n"/>
      <c r="DP118" s="24" t="n"/>
      <c r="DQ118" s="24" t="n"/>
    </row>
    <row r="119" ht="36" customHeight="1">
      <c r="A119" s="24" t="inlineStr">
        <is>
          <t>357e83c3e0e64cea</t>
        </is>
      </c>
      <c r="B119" s="24" t="inlineStr">
        <is>
          <t>2026-09-10T04:35:57.414881Z</t>
        </is>
      </c>
      <c r="C119" s="24" t="inlineStr">
        <is>
          <t>2026-09-10T09:30:00Z</t>
        </is>
      </c>
      <c r="D119" s="24" t="inlineStr">
        <is>
          <t>105505</t>
        </is>
      </c>
      <c r="E119" s="24" t="inlineStr">
        <is>
          <t>KBO</t>
        </is>
      </c>
      <c r="F119" s="24" t="inlineStr">
        <is>
          <t>Kiwoom Heroes</t>
        </is>
      </c>
      <c r="G119" s="24" t="inlineStr">
        <is>
          <t>Doosan Bears</t>
        </is>
      </c>
      <c r="H119" s="24" t="inlineStr">
        <is>
          <t>moneyline</t>
        </is>
      </c>
      <c r="I119" s="24" t="inlineStr">
        <is>
          <t>home</t>
        </is>
      </c>
      <c r="J119" s="25" t="n"/>
      <c r="K119" s="24" t="inlineStr">
        <is>
          <t>polymarket_us</t>
        </is>
      </c>
      <c r="L119" s="26" t="n">
        <v>-223</v>
      </c>
      <c r="M119" s="27" t="n">
        <v>1.44843</v>
      </c>
      <c r="N119" s="28" t="n">
        <v>0.690402</v>
      </c>
      <c r="O119" s="28" t="n">
        <v>0.608652</v>
      </c>
      <c r="P119" s="28" t="n"/>
      <c r="Q119" s="28" t="n">
        <v>-0.08175</v>
      </c>
      <c r="R119" s="26" t="n">
        <v>0</v>
      </c>
      <c r="S119" s="29" t="n">
        <v>1</v>
      </c>
      <c r="T119" s="24" t="inlineStr">
        <is>
          <t>kbo-tie-aware-elo-v2</t>
        </is>
      </c>
      <c r="U119" s="24" t="inlineStr">
        <is>
          <t>settled</t>
        </is>
      </c>
      <c r="V119" s="24" t="inlineStr">
        <is>
          <t>win</t>
        </is>
      </c>
      <c r="W119" s="26" t="n">
        <v>0</v>
      </c>
      <c r="X119" s="26" t="n">
        <v>5</v>
      </c>
      <c r="Y119" s="25" t="n"/>
      <c r="Z119" s="26" t="n">
        <v>-223</v>
      </c>
      <c r="AA119" s="28" t="n">
        <v>0.6899999999999999</v>
      </c>
      <c r="AB119" s="28" t="n">
        <v>-0.000402</v>
      </c>
      <c r="AC119" s="30" t="n">
        <v>0.4484</v>
      </c>
      <c r="AD119" s="24" t="inlineStr">
        <is>
          <t>2026-09-10T22:02:00.442586Z</t>
        </is>
      </c>
      <c r="AE119" s="31" t="inlineStr">
        <is>
          <t>Tie-aware Elo baseline; executable ask 0.6900 (market_slug=aec-kbo-dbo-khi-2026-09-10). Tie probability=0.0225.</t>
        </is>
      </c>
      <c r="AF119" s="31" t="inlineStr">
        <is>
          <t>Config-promoted international baseball baseline; gates enforced at log time.</t>
        </is>
      </c>
      <c r="AG119" s="24" t="inlineStr">
        <is>
          <t>not_applicable</t>
        </is>
      </c>
      <c r="AH119" s="24" t="n"/>
      <c r="AI119" s="31" t="n"/>
      <c r="AJ119" s="31" t="n"/>
      <c r="AK119" s="24" t="inlineStr">
        <is>
          <t>paper_call</t>
        </is>
      </c>
      <c r="AL119" s="26" t="n">
        <v>4</v>
      </c>
      <c r="AM119" s="24" t="inlineStr">
        <is>
          <t>RESEARCH_OBSERVATION</t>
        </is>
      </c>
      <c r="AN119" s="24" t="inlineStr">
        <is>
          <t>CALL</t>
        </is>
      </c>
      <c r="AO119" s="24" t="inlineStr">
        <is>
          <t>PAPER_CALL_LOW_EDGE</t>
        </is>
      </c>
      <c r="AP119" s="24" t="inlineStr">
        <is>
          <t>Kiwoom Heroes</t>
        </is>
      </c>
      <c r="AQ119" s="24" t="inlineStr">
        <is>
          <t>Kiwoom Heroes</t>
        </is>
      </c>
      <c r="AR119" s="24" t="inlineStr">
        <is>
          <t>Kiwoom Heroes</t>
        </is>
      </c>
      <c r="AS119" s="24" t="inlineStr">
        <is>
          <t>Doosan Bears</t>
        </is>
      </c>
      <c r="AT119" s="24" t="inlineStr">
        <is>
          <t>Doosan Bears</t>
        </is>
      </c>
      <c r="AU119" s="24" t="inlineStr">
        <is>
          <t>Doosan Bears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004b9415c98048ebe7e282ad4dcb4187767b04817d2c64ae94aa1d4a4b045aff</t>
        </is>
      </c>
      <c r="BB119" s="24" t="inlineStr">
        <is>
          <t>tie_aware_elo</t>
        </is>
      </c>
      <c r="BC119" s="24" t="inlineStr">
        <is>
          <t>kbo-tie-aware-elo-v2</t>
        </is>
      </c>
      <c r="BD119" s="24" t="inlineStr">
        <is>
          <t>004b9415c98048ebe7e282ad4dcb4187767b04817d2c64ae94aa1d4a4b045aff</t>
        </is>
      </c>
      <c r="BE119" s="24" t="inlineStr">
        <is>
          <t>1</t>
        </is>
      </c>
      <c r="BF119" s="24" t="inlineStr">
        <is>
          <t>1</t>
        </is>
      </c>
      <c r="BG119" s="24" t="inlineStr">
        <is>
          <t>kbo-tie-aware-elo-v2</t>
        </is>
      </c>
      <c r="BH119" s="24" t="inlineStr">
        <is>
          <t>2026-09-10T04:35:57.010618Z</t>
        </is>
      </c>
      <c r="BI119" s="24" t="inlineStr">
        <is>
          <t>["same_event","same_team_same_day","same_league_same_day"]</t>
        </is>
      </c>
      <c r="BJ119" s="25" t="n"/>
      <c r="BK119" s="26" t="n">
        <v>-223</v>
      </c>
      <c r="BL119" s="27" t="n">
        <v>1.44843</v>
      </c>
      <c r="BM119" s="28" t="n">
        <v>0.690402</v>
      </c>
      <c r="BN119" s="28" t="n"/>
      <c r="BO119" s="28" t="n"/>
      <c r="BP119" s="25" t="n"/>
      <c r="BQ119" s="27" t="n">
        <v>1.44843</v>
      </c>
      <c r="BR119" s="28" t="n">
        <v>0.6899999999999999</v>
      </c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  <c r="CR119" s="24" t="n"/>
      <c r="CS119" s="24" t="inlineStr">
        <is>
          <t>False</t>
        </is>
      </c>
      <c r="CT119" s="24" t="n"/>
      <c r="CU119" s="24" t="n"/>
      <c r="CV119" s="24" t="n"/>
      <c r="CW119" s="24" t="n"/>
      <c r="CX119" s="24" t="n"/>
      <c r="CY119" s="24" t="n"/>
      <c r="CZ119" s="24" t="n"/>
      <c r="DA119" s="24" t="n"/>
      <c r="DB119" s="24" t="n"/>
      <c r="DC119" s="24" t="n"/>
      <c r="DD119" s="24" t="n"/>
      <c r="DE119" s="24" t="n"/>
      <c r="DF119" s="24" t="n"/>
      <c r="DG119" s="24" t="n"/>
      <c r="DH119" s="24" t="n"/>
      <c r="DI119" s="24" t="n"/>
      <c r="DJ119" s="24" t="inlineStr">
        <is>
          <t>0.690402</t>
        </is>
      </c>
      <c r="DK119" s="24" t="n"/>
      <c r="DL119" s="24" t="n"/>
      <c r="DM119" s="24" t="n"/>
      <c r="DN119" s="24" t="n"/>
      <c r="DO119" s="24" t="n"/>
      <c r="DP119" s="24" t="n"/>
      <c r="DQ119" s="24" t="inlineStr">
        <is>
          <t>{"artifact_hash": "004b9415c98048ebe7e282ad4dcb4187767b04817d2c64ae94aa1d4a4b045aff", "away_team": "Kiwoom Heroes", "draw_settlement_value": 0.5, "event_id": "105505", "event_start_utc": "2026-09-10T09:30:00Z", "features": {"away_elo": 1442.352878, "base_tie_rate": 0.02249232, "home_advantage": 20.0, "home_elo": 1500.900732}, "historical_source_observation_times_verified": false, "home_team": "Doosan Bears", "inference_inputs": {"away_id": "KIWOOM", "base_tie_rate": 0.02249232, "book_state": {"_games_played": null, "_last_active": null, "decay_rate": 0.001, "home_advantage": 20.0, "k": 8.0, "margin_weight": 0.0, "ratings": {"DOOSAN": 1500.900732, "KIWOOM": 1442.352878}}, "code_sha256": {"features/elo_ratings.py": "8525faf022a6343c452286dbfeb17dbb043744c6bdabbe448b6b371216da439b", "international_baseball.py": "f345eb917316d2e897f62c1cdd0f73153115c65da54c30c6137ad76bb7b27869"}, "home_id": "DOOSAN", "tie_method": "flat"}, "market_type": "moneyline", "model_version": "kbo-tie-aware-elo-v2", "observed_at_utc": "2026-09-10T04:35:56.936251+00:00", "outcome_probabilities": {"away": 0.38010176342145746, "draw": 0.02249232, "home": 0.5974059165785426}, "replay_scope": "Exact Elo and tie model; logged value is expected contract settlement, not outright win probability.", "schema": "international-elo-replay-v1", "settlement_values": {"away": 0.391348, "home": 0.608652}, "snapshot_hash": "2f25ddc7c074bcdb39efefe3a153009528aa1ee52a7d3c87389bdb2ad1011db2", "sport": "KBO"}</t>
        </is>
      </c>
    </row>
    <row r="120" ht="36" customHeight="1">
      <c r="A120" s="24" t="inlineStr">
        <is>
          <t>1b3827094d524478</t>
        </is>
      </c>
      <c r="B120" s="24" t="inlineStr">
        <is>
          <t>2026-09-10T04:35:57.414881Z</t>
        </is>
      </c>
      <c r="C120" s="24" t="inlineStr">
        <is>
          <t>2026-09-10T09:30:00Z</t>
        </is>
      </c>
      <c r="D120" s="24" t="inlineStr">
        <is>
          <t>105506</t>
        </is>
      </c>
      <c r="E120" s="24" t="inlineStr">
        <is>
          <t>KBO</t>
        </is>
      </c>
      <c r="F120" s="24" t="inlineStr">
        <is>
          <t>Hanwha Eagles</t>
        </is>
      </c>
      <c r="G120" s="24" t="inlineStr">
        <is>
          <t>SSG Landers</t>
        </is>
      </c>
      <c r="H120" s="24" t="inlineStr">
        <is>
          <t>moneyline</t>
        </is>
      </c>
      <c r="I120" s="24" t="inlineStr">
        <is>
          <t>home</t>
        </is>
      </c>
      <c r="J120" s="25" t="n"/>
      <c r="K120" s="24" t="inlineStr">
        <is>
          <t>polymarket_us</t>
        </is>
      </c>
      <c r="L120" s="26" t="n">
        <v>-156</v>
      </c>
      <c r="M120" s="27" t="n">
        <v>1.641026</v>
      </c>
      <c r="N120" s="28" t="n">
        <v>0.609375</v>
      </c>
      <c r="O120" s="28" t="n">
        <v>0.5500159999999999</v>
      </c>
      <c r="P120" s="28" t="n"/>
      <c r="Q120" s="28" t="n">
        <v>-0.059359</v>
      </c>
      <c r="R120" s="26" t="n">
        <v>0</v>
      </c>
      <c r="S120" s="29" t="n">
        <v>1</v>
      </c>
      <c r="T120" s="24" t="inlineStr">
        <is>
          <t>kbo-tie-aware-elo-v2</t>
        </is>
      </c>
      <c r="U120" s="24" t="inlineStr">
        <is>
          <t>settled</t>
        </is>
      </c>
      <c r="V120" s="24" t="inlineStr">
        <is>
          <t>win</t>
        </is>
      </c>
      <c r="W120" s="26" t="n">
        <v>3</v>
      </c>
      <c r="X120" s="26" t="n">
        <v>4</v>
      </c>
      <c r="Y120" s="25" t="n"/>
      <c r="Z120" s="26" t="n">
        <v>-156</v>
      </c>
      <c r="AA120" s="28" t="n">
        <v>0.61</v>
      </c>
      <c r="AB120" s="28" t="n">
        <v>0.000625</v>
      </c>
      <c r="AC120" s="30" t="n">
        <v>0.641</v>
      </c>
      <c r="AD120" s="24" t="inlineStr">
        <is>
          <t>2026-09-10T22:02:00.874977Z</t>
        </is>
      </c>
      <c r="AE120" s="31" t="inlineStr">
        <is>
          <t>Tie-aware Elo baseline; executable ask 0.6100 (market_slug=aec-kbo-sls-hea-2026-09-10). Tie probability=0.0225.</t>
        </is>
      </c>
      <c r="AF120" s="31" t="inlineStr">
        <is>
          <t>Config-promoted international baseball baseline; gates enforced at log time.</t>
        </is>
      </c>
      <c r="AG120" s="24" t="inlineStr">
        <is>
          <t>not_applicable</t>
        </is>
      </c>
      <c r="AH120" s="24" t="n"/>
      <c r="AI120" s="31" t="n"/>
      <c r="AJ120" s="31" t="n"/>
      <c r="AK120" s="24" t="inlineStr">
        <is>
          <t>paper_call</t>
        </is>
      </c>
      <c r="AL120" s="26" t="n">
        <v>4</v>
      </c>
      <c r="AM120" s="24" t="inlineStr">
        <is>
          <t>RESEARCH_OBSERVATION</t>
        </is>
      </c>
      <c r="AN120" s="24" t="inlineStr">
        <is>
          <t>CALL</t>
        </is>
      </c>
      <c r="AO120" s="24" t="inlineStr">
        <is>
          <t>PAPER_CALL_LOW_EDGE</t>
        </is>
      </c>
      <c r="AP120" s="24" t="inlineStr">
        <is>
          <t>Hanwha Eagles</t>
        </is>
      </c>
      <c r="AQ120" s="24" t="inlineStr">
        <is>
          <t>Hanwha Eagles</t>
        </is>
      </c>
      <c r="AR120" s="24" t="inlineStr">
        <is>
          <t>Hanwha Eagles</t>
        </is>
      </c>
      <c r="AS120" s="24" t="inlineStr">
        <is>
          <t>SSG Landers</t>
        </is>
      </c>
      <c r="AT120" s="24" t="inlineStr">
        <is>
          <t>SSG Landers</t>
        </is>
      </c>
      <c r="AU120" s="24" t="inlineStr">
        <is>
          <t>SSG Landers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004b9415c98048ebe7e282ad4dcb4187767b04817d2c64ae94aa1d4a4b045aff</t>
        </is>
      </c>
      <c r="BB120" s="24" t="inlineStr">
        <is>
          <t>tie_aware_elo</t>
        </is>
      </c>
      <c r="BC120" s="24" t="inlineStr">
        <is>
          <t>kbo-tie-aware-elo-v2</t>
        </is>
      </c>
      <c r="BD120" s="24" t="inlineStr">
        <is>
          <t>004b9415c98048ebe7e282ad4dcb4187767b04817d2c64ae94aa1d4a4b045aff</t>
        </is>
      </c>
      <c r="BE120" s="24" t="inlineStr">
        <is>
          <t>1</t>
        </is>
      </c>
      <c r="BF120" s="24" t="inlineStr">
        <is>
          <t>1</t>
        </is>
      </c>
      <c r="BG120" s="24" t="inlineStr">
        <is>
          <t>kbo-tie-aware-elo-v2</t>
        </is>
      </c>
      <c r="BH120" s="24" t="inlineStr">
        <is>
          <t>2026-09-10T04:35:57.100279Z</t>
        </is>
      </c>
      <c r="BI120" s="24" t="inlineStr">
        <is>
          <t>["same_event","same_team_same_day","same_league_same_day"]</t>
        </is>
      </c>
      <c r="BJ120" s="25" t="n"/>
      <c r="BK120" s="26" t="n">
        <v>-156</v>
      </c>
      <c r="BL120" s="27" t="n">
        <v>1.641026</v>
      </c>
      <c r="BM120" s="28" t="n">
        <v>0.609375</v>
      </c>
      <c r="BN120" s="28" t="n"/>
      <c r="BO120" s="28" t="n"/>
      <c r="BP120" s="25" t="n"/>
      <c r="BQ120" s="27" t="n">
        <v>1.641026</v>
      </c>
      <c r="BR120" s="28" t="n">
        <v>0.61</v>
      </c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  <c r="CR120" s="24" t="n"/>
      <c r="CS120" s="24" t="inlineStr">
        <is>
          <t>False</t>
        </is>
      </c>
      <c r="CT120" s="24" t="n"/>
      <c r="CU120" s="24" t="n"/>
      <c r="CV120" s="24" t="n"/>
      <c r="CW120" s="24" t="n"/>
      <c r="CX120" s="24" t="n"/>
      <c r="CY120" s="24" t="n"/>
      <c r="CZ120" s="24" t="n"/>
      <c r="DA120" s="24" t="n"/>
      <c r="DB120" s="24" t="n"/>
      <c r="DC120" s="24" t="n"/>
      <c r="DD120" s="24" t="n"/>
      <c r="DE120" s="24" t="n"/>
      <c r="DF120" s="24" t="n"/>
      <c r="DG120" s="24" t="n"/>
      <c r="DH120" s="24" t="n"/>
      <c r="DI120" s="24" t="n"/>
      <c r="DJ120" s="24" t="inlineStr">
        <is>
          <t>0.609375</t>
        </is>
      </c>
      <c r="DK120" s="24" t="n"/>
      <c r="DL120" s="24" t="n"/>
      <c r="DM120" s="24" t="n"/>
      <c r="DN120" s="24" t="n"/>
      <c r="DO120" s="24" t="n"/>
      <c r="DP120" s="24" t="n"/>
      <c r="DQ120" s="24" t="inlineStr">
        <is>
          <t>{"artifact_hash": "004b9415c98048ebe7e282ad4dcb4187767b04817d2c64ae94aa1d4a4b045aff", "away_team": "Hanwha Eagles", "draw_settlement_value": 0.5, "event_id": "105506", "event_start_utc": "2026-09-10T09:30:00Z", "features": {"away_elo": 1474.427172, "base_tie_rate": 0.02249232, "home_advantage": 20.0, "home_elo": 1490.106727}, "historical_source_observation_times_verified": false, "home_team": "SSG Landers", "inference_inputs": {"away_id": "HANWHA", "base_tie_rate": 0.02249232, "book_state": {"_games_played": null, "_last_active": null, "decay_rate": 0.001, "home_advantage": 20.0, "k": 8.0, "margin_weight": 0.0, "ratings": {"HANWHA": 1474.427172, "SSG": 1490.106727}}, "code_sha256": {"features/elo_ratings.py": "8525faf022a6343c452286dbfeb17dbb043744c6bdabbe448b6b371216da439b", "international_baseball.py": "f345eb917316d2e897f62c1cdd0f73153115c65da54c30c6137ad76bb7b27869"}, "home_id": "SSG", "tie_method": "flat"}, "market_type": "moneyline", "model_version": "kbo-tie-aware-elo-v2", "observed_at_utc": "2026-09-10T04:35:56.936251+00:00", "outcome_probabilities": {"away": 0.43873744795553893, "draw": 0.02249232, "home": 0.5387702320444611}, "replay_scope": "Exact Elo and tie model; logged value is expected contract settlement, not outright win probability.", "schema": "international-elo-replay-v1", "settlement_values": {"away": 0.449984, "home": 0.550016}, "snapshot_hash": "929b7ec1be5d29782b4776b00d33f8d8097b2cb67357318e49efc88fe3de2a3e", "sport": "KBO"}</t>
        </is>
      </c>
    </row>
    <row r="121" ht="36" customHeight="1">
      <c r="A121" s="24" t="inlineStr">
        <is>
          <t>cca53f86c438405d</t>
        </is>
      </c>
      <c r="B121" s="24" t="inlineStr">
        <is>
          <t>2026-09-10T04:35:57.414881Z</t>
        </is>
      </c>
      <c r="C121" s="24" t="inlineStr">
        <is>
          <t>2026-09-10T09:30:00Z</t>
        </is>
      </c>
      <c r="D121" s="24" t="inlineStr">
        <is>
          <t>105507</t>
        </is>
      </c>
      <c r="E121" s="24" t="inlineStr">
        <is>
          <t>KBO</t>
        </is>
      </c>
      <c r="F121" s="24" t="inlineStr">
        <is>
          <t>KT Wiz</t>
        </is>
      </c>
      <c r="G121" s="24" t="inlineStr">
        <is>
          <t>Lotte Giants</t>
        </is>
      </c>
      <c r="H121" s="24" t="inlineStr">
        <is>
          <t>moneyline</t>
        </is>
      </c>
      <c r="I121" s="24" t="inlineStr">
        <is>
          <t>away</t>
        </is>
      </c>
      <c r="J121" s="25" t="n"/>
      <c r="K121" s="24" t="inlineStr">
        <is>
          <t>polymarket_us</t>
        </is>
      </c>
      <c r="L121" s="26" t="n">
        <v>-117</v>
      </c>
      <c r="M121" s="27" t="n">
        <v>1.854701</v>
      </c>
      <c r="N121" s="28" t="n">
        <v>0.539171</v>
      </c>
      <c r="O121" s="28" t="n">
        <v>0.574868</v>
      </c>
      <c r="P121" s="28" t="n"/>
      <c r="Q121" s="28" t="n">
        <v>0.035697</v>
      </c>
      <c r="R121" s="26" t="n">
        <v>38</v>
      </c>
      <c r="S121" s="29" t="n">
        <v>1</v>
      </c>
      <c r="T121" s="24" t="inlineStr">
        <is>
          <t>kbo-tie-aware-elo-v2</t>
        </is>
      </c>
      <c r="U121" s="24" t="inlineStr">
        <is>
          <t>settled</t>
        </is>
      </c>
      <c r="V121" s="24" t="inlineStr">
        <is>
          <t>win</t>
        </is>
      </c>
      <c r="W121" s="26" t="n">
        <v>16</v>
      </c>
      <c r="X121" s="26" t="n">
        <v>3</v>
      </c>
      <c r="Y121" s="25" t="n"/>
      <c r="Z121" s="26" t="n">
        <v>-117</v>
      </c>
      <c r="AA121" s="28" t="n">
        <v>0.54</v>
      </c>
      <c r="AB121" s="28" t="n">
        <v>0.000829</v>
      </c>
      <c r="AC121" s="30" t="n">
        <v>0.8547</v>
      </c>
      <c r="AD121" s="24" t="inlineStr">
        <is>
          <t>2026-09-10T22:02:01.045923Z</t>
        </is>
      </c>
      <c r="AE121" s="31" t="inlineStr">
        <is>
          <t>Tie-aware Elo baseline; executable ask 0.5400 (market_slug=aec-kbo-lgo-kwt-2026-09-10). Tie probability=0.0225.</t>
        </is>
      </c>
      <c r="AF121" s="31" t="inlineStr">
        <is>
          <t>Config-promoted international baseball baseline; gates enforced at log time.</t>
        </is>
      </c>
      <c r="AG121" s="24" t="inlineStr">
        <is>
          <t>not_applicable</t>
        </is>
      </c>
      <c r="AH121" s="24" t="n"/>
      <c r="AI121" s="31" t="n"/>
      <c r="AJ121" s="31" t="n"/>
      <c r="AK121" s="24" t="inlineStr">
        <is>
          <t>paper_call</t>
        </is>
      </c>
      <c r="AL121" s="26" t="n">
        <v>4</v>
      </c>
      <c r="AM121" s="24" t="inlineStr">
        <is>
          <t>RESEARCH_OBSERVATION</t>
        </is>
      </c>
      <c r="AN121" s="24" t="inlineStr">
        <is>
          <t>CALL</t>
        </is>
      </c>
      <c r="AO121" s="24" t="inlineStr">
        <is>
          <t>PAPER_CALL_LOW_EDGE</t>
        </is>
      </c>
      <c r="AP121" s="24" t="inlineStr">
        <is>
          <t>KT Wiz</t>
        </is>
      </c>
      <c r="AQ121" s="24" t="inlineStr">
        <is>
          <t>KT Wiz</t>
        </is>
      </c>
      <c r="AR121" s="24" t="inlineStr">
        <is>
          <t>KT Wiz</t>
        </is>
      </c>
      <c r="AS121" s="24" t="inlineStr">
        <is>
          <t>Lotte Giants</t>
        </is>
      </c>
      <c r="AT121" s="24" t="inlineStr">
        <is>
          <t>Lotte Giants</t>
        </is>
      </c>
      <c r="AU121" s="24" t="inlineStr">
        <is>
          <t>Lotte Giants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004b9415c98048ebe7e282ad4dcb4187767b04817d2c64ae94aa1d4a4b045aff</t>
        </is>
      </c>
      <c r="BB121" s="24" t="inlineStr">
        <is>
          <t>tie_aware_elo</t>
        </is>
      </c>
      <c r="BC121" s="24" t="inlineStr">
        <is>
          <t>kbo-tie-aware-elo-v2</t>
        </is>
      </c>
      <c r="BD121" s="24" t="inlineStr">
        <is>
          <t>004b9415c98048ebe7e282ad4dcb4187767b04817d2c64ae94aa1d4a4b045aff</t>
        </is>
      </c>
      <c r="BE121" s="24" t="inlineStr">
        <is>
          <t>1</t>
        </is>
      </c>
      <c r="BF121" s="24" t="inlineStr">
        <is>
          <t>1</t>
        </is>
      </c>
      <c r="BG121" s="24" t="inlineStr">
        <is>
          <t>kbo-tie-aware-elo-v2</t>
        </is>
      </c>
      <c r="BH121" s="24" t="inlineStr">
        <is>
          <t>2026-09-10T04:35:57.299434Z</t>
        </is>
      </c>
      <c r="BI121" s="24" t="inlineStr">
        <is>
          <t>["same_event","same_team_same_day","same_league_same_day"]</t>
        </is>
      </c>
      <c r="BJ121" s="25" t="n"/>
      <c r="BK121" s="26" t="n">
        <v>-117</v>
      </c>
      <c r="BL121" s="27" t="n">
        <v>1.854701</v>
      </c>
      <c r="BM121" s="28" t="n">
        <v>0.539171</v>
      </c>
      <c r="BN121" s="28" t="n"/>
      <c r="BO121" s="28" t="n"/>
      <c r="BP121" s="25" t="n"/>
      <c r="BQ121" s="27" t="n">
        <v>1.854701</v>
      </c>
      <c r="BR121" s="28" t="n">
        <v>0.54</v>
      </c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  <c r="CR121" s="24" t="n"/>
      <c r="CS121" s="24" t="inlineStr">
        <is>
          <t>True</t>
        </is>
      </c>
      <c r="CT121" s="24" t="n"/>
      <c r="CU121" s="24" t="n"/>
      <c r="CV121" s="24" t="n"/>
      <c r="CW121" s="24" t="n"/>
      <c r="CX121" s="24" t="n"/>
      <c r="CY121" s="24" t="n"/>
      <c r="CZ121" s="24" t="n"/>
      <c r="DA121" s="24" t="n"/>
      <c r="DB121" s="24" t="n"/>
      <c r="DC121" s="24" t="n"/>
      <c r="DD121" s="24" t="n"/>
      <c r="DE121" s="24" t="n"/>
      <c r="DF121" s="24" t="n"/>
      <c r="DG121" s="24" t="n"/>
      <c r="DH121" s="24" t="n"/>
      <c r="DI121" s="24" t="n"/>
      <c r="DJ121" s="24" t="inlineStr">
        <is>
          <t>0.539171</t>
        </is>
      </c>
      <c r="DK121" s="24" t="n"/>
      <c r="DL121" s="24" t="n"/>
      <c r="DM121" s="24" t="n"/>
      <c r="DN121" s="24" t="n"/>
      <c r="DO121" s="24" t="n"/>
      <c r="DP121" s="24" t="n"/>
      <c r="DQ121" s="24" t="inlineStr">
        <is>
          <t>{"artifact_hash": "004b9415c98048ebe7e282ad4dcb4187767b04817d2c64ae94aa1d4a4b045aff", "away_team": "KT Wiz", "draw_settlement_value": 0.5, "event_id": "105507", "event_start_utc": "2026-09-10T09:30:00Z", "features": {"away_elo": 1547.801799, "base_tie_rate": 0.02249232, "home_advantage": 20.0, "home_elo": 1474.158878}, "historical_source_observation_times_verified": false, "home_team": "Lotte Giants", "inference_inputs": {"away_id": "KT", "base_tie_rate": 0.02249232, "book_state": {"_games_played": null, "_last_active": null, "decay_rate": 0.001, "home_advantage": 20.0, "k": 8.0, "margin_weight": 0.0, "ratings": {"KT": 1547.801799, "LOTTE": 1474.158878}}, "code_sha256": {"features/elo_ratings.py": "8525faf022a6343c452286dbfeb17dbb043744c6bdabbe448b6b371216da439b", "international_baseball.py": "f345eb917316d2e897f62c1cdd0f73153115c65da54c30c6137ad76bb7b27869"}, "home_id": "LOTTE", "tie_method": "flat"}, "market_type": "moneyline", "model_version": "kbo-tie-aware-elo-v2", "observed_at_utc": "2026-09-10T04:35:56.936251+00:00", "outcome_probabilities": {"away": 0.563621871606944, "draw": 0.02249232, "home": 0.413885808393056}, "replay_scope": "Exact Elo and tie model; logged value is expected contract settlement, not outright win probability.", "schema": "international-elo-replay-v1", "settlement_values": {"away": 0.574868, "home": 0.425132}, "snapshot_hash": "90429dd244ed8819d635d9c336612319e3b6b511d4999461abe77db2d8fd2ad6", "sport": "KBO"}</t>
        </is>
      </c>
    </row>
    <row r="122" ht="36" customHeight="1">
      <c r="A122" s="24" t="inlineStr">
        <is>
          <t>3d3e2a90790e4f7f</t>
        </is>
      </c>
      <c r="B122" s="24" t="inlineStr">
        <is>
          <t>2026-09-10T04:35:57.414881Z</t>
        </is>
      </c>
      <c r="C122" s="24" t="inlineStr">
        <is>
          <t>2026-09-10T09:30:00Z</t>
        </is>
      </c>
      <c r="D122" s="24" t="inlineStr">
        <is>
          <t>105509</t>
        </is>
      </c>
      <c r="E122" s="24" t="inlineStr">
        <is>
          <t>KBO</t>
        </is>
      </c>
      <c r="F122" s="24" t="inlineStr">
        <is>
          <t>NC Dinos</t>
        </is>
      </c>
      <c r="G122" s="24" t="inlineStr">
        <is>
          <t>Kia Tigers</t>
        </is>
      </c>
      <c r="H122" s="24" t="inlineStr">
        <is>
          <t>moneyline</t>
        </is>
      </c>
      <c r="I122" s="24" t="inlineStr">
        <is>
          <t>home</t>
        </is>
      </c>
      <c r="J122" s="25" t="n"/>
      <c r="K122" s="24" t="inlineStr">
        <is>
          <t>polymarket_us</t>
        </is>
      </c>
      <c r="L122" s="26" t="n">
        <v>-113</v>
      </c>
      <c r="M122" s="27" t="n">
        <v>1.884956</v>
      </c>
      <c r="N122" s="28" t="n">
        <v>0.530516</v>
      </c>
      <c r="O122" s="28" t="n">
        <v>0.557482</v>
      </c>
      <c r="P122" s="28" t="n"/>
      <c r="Q122" s="28" t="n">
        <v>0.026966</v>
      </c>
      <c r="R122" s="26" t="n">
        <v>33</v>
      </c>
      <c r="S122" s="29" t="n">
        <v>1</v>
      </c>
      <c r="T122" s="24" t="inlineStr">
        <is>
          <t>kbo-tie-aware-elo-v2</t>
        </is>
      </c>
      <c r="U122" s="24" t="inlineStr">
        <is>
          <t>settled</t>
        </is>
      </c>
      <c r="V122" s="24" t="inlineStr">
        <is>
          <t>loss</t>
        </is>
      </c>
      <c r="W122" s="26" t="n">
        <v>2</v>
      </c>
      <c r="X122" s="26" t="n">
        <v>1</v>
      </c>
      <c r="Y122" s="25" t="n"/>
      <c r="Z122" s="26" t="n">
        <v>-113</v>
      </c>
      <c r="AA122" s="28" t="n">
        <v>0.53</v>
      </c>
      <c r="AB122" s="28" t="n">
        <v>-0.000516</v>
      </c>
      <c r="AC122" s="30" t="n">
        <v>-1</v>
      </c>
      <c r="AD122" s="24" t="inlineStr">
        <is>
          <t>2026-09-10T22:02:01.200565Z</t>
        </is>
      </c>
      <c r="AE122" s="31" t="inlineStr">
        <is>
          <t>Tie-aware Elo baseline; executable ask 0.5300 (market_slug=aec-kbo-kti-ndc-2026-09-10). Tie probability=0.0225.</t>
        </is>
      </c>
      <c r="AF122" s="31" t="inlineStr">
        <is>
          <t>Config-promoted international baseball baseline; gates enforced at log time.</t>
        </is>
      </c>
      <c r="AG122" s="24" t="inlineStr">
        <is>
          <t>review_required</t>
        </is>
      </c>
      <c r="AH122" s="24" t="n"/>
      <c r="AI122" s="31" t="n"/>
      <c r="AJ122" s="31" t="n"/>
      <c r="AK122" s="24" t="inlineStr">
        <is>
          <t>paper_call</t>
        </is>
      </c>
      <c r="AL122" s="26" t="n">
        <v>4</v>
      </c>
      <c r="AM122" s="24" t="inlineStr">
        <is>
          <t>RESEARCH_OBSERVATION</t>
        </is>
      </c>
      <c r="AN122" s="24" t="inlineStr">
        <is>
          <t>CALL</t>
        </is>
      </c>
      <c r="AO122" s="24" t="inlineStr">
        <is>
          <t>PAPER_CALL_LOW_EDGE</t>
        </is>
      </c>
      <c r="AP122" s="24" t="inlineStr">
        <is>
          <t>NC Dinos</t>
        </is>
      </c>
      <c r="AQ122" s="24" t="inlineStr">
        <is>
          <t>NC Dinos</t>
        </is>
      </c>
      <c r="AR122" s="24" t="inlineStr">
        <is>
          <t>NC Dinos</t>
        </is>
      </c>
      <c r="AS122" s="24" t="inlineStr">
        <is>
          <t>Kia Tigers</t>
        </is>
      </c>
      <c r="AT122" s="24" t="inlineStr">
        <is>
          <t>Kia Tigers</t>
        </is>
      </c>
      <c r="AU122" s="24" t="inlineStr">
        <is>
          <t>Kia Tigers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004b9415c98048ebe7e282ad4dcb4187767b04817d2c64ae94aa1d4a4b045aff</t>
        </is>
      </c>
      <c r="BB122" s="24" t="inlineStr">
        <is>
          <t>tie_aware_elo</t>
        </is>
      </c>
      <c r="BC122" s="24" t="inlineStr">
        <is>
          <t>kbo-tie-aware-elo-v2</t>
        </is>
      </c>
      <c r="BD122" s="24" t="inlineStr">
        <is>
          <t>004b9415c98048ebe7e282ad4dcb4187767b04817d2c64ae94aa1d4a4b045aff</t>
        </is>
      </c>
      <c r="BE122" s="24" t="inlineStr">
        <is>
          <t>1</t>
        </is>
      </c>
      <c r="BF122" s="24" t="inlineStr">
        <is>
          <t>1</t>
        </is>
      </c>
      <c r="BG122" s="24" t="inlineStr">
        <is>
          <t>kbo-tie-aware-elo-v2</t>
        </is>
      </c>
      <c r="BH122" s="24" t="inlineStr">
        <is>
          <t>2026-09-10T04:35:57.414805Z</t>
        </is>
      </c>
      <c r="BI122" s="24" t="inlineStr">
        <is>
          <t>["same_event","same_team_same_day","same_league_same_day"]</t>
        </is>
      </c>
      <c r="BJ122" s="25" t="n"/>
      <c r="BK122" s="26" t="n">
        <v>-113</v>
      </c>
      <c r="BL122" s="27" t="n">
        <v>1.884956</v>
      </c>
      <c r="BM122" s="28" t="n">
        <v>0.530516</v>
      </c>
      <c r="BN122" s="28" t="n"/>
      <c r="BO122" s="28" t="n"/>
      <c r="BP122" s="25" t="n"/>
      <c r="BQ122" s="27" t="n">
        <v>1.884956</v>
      </c>
      <c r="BR122" s="28" t="n">
        <v>0.53</v>
      </c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  <c r="CR122" s="24" t="n"/>
      <c r="CS122" s="24" t="inlineStr">
        <is>
          <t>True</t>
        </is>
      </c>
      <c r="CT122" s="24" t="n"/>
      <c r="CU122" s="24" t="n"/>
      <c r="CV122" s="24" t="n"/>
      <c r="CW122" s="24" t="n"/>
      <c r="CX122" s="24" t="n"/>
      <c r="CY122" s="24" t="n"/>
      <c r="CZ122" s="24" t="n"/>
      <c r="DA122" s="24" t="n"/>
      <c r="DB122" s="24" t="n"/>
      <c r="DC122" s="24" t="n"/>
      <c r="DD122" s="24" t="n"/>
      <c r="DE122" s="24" t="n"/>
      <c r="DF122" s="24" t="n"/>
      <c r="DG122" s="24" t="n"/>
      <c r="DH122" s="24" t="n"/>
      <c r="DI122" s="24" t="n"/>
      <c r="DJ122" s="24" t="inlineStr">
        <is>
          <t>0.530516</t>
        </is>
      </c>
      <c r="DK122" s="24" t="n"/>
      <c r="DL122" s="24" t="n"/>
      <c r="DM122" s="24" t="n"/>
      <c r="DN122" s="24" t="n"/>
      <c r="DO122" s="24" t="n"/>
      <c r="DP122" s="24" t="n"/>
      <c r="DQ122" s="24" t="inlineStr">
        <is>
          <t>{"artifact_hash": "004b9415c98048ebe7e282ad4dcb4187767b04817d2c64ae94aa1d4a4b045aff", "away_team": "NC Dinos", "draw_settlement_value": 0.5, "event_id": "105509", "event_start_utc": "2026-09-10T09:30:00Z", "features": {"away_elo": 1502.957417, "base_tie_rate": 0.02249232, "home_advantage": 20.0, "home_elo": 1524.008898}, "historical_source_observation_times_verified": false, "home_team": "Kia Tigers", "inference_inputs": {"away_id": "NC", "base_tie_rate": 0.02249232, "book_state": {"_games_played": null, "_last_active": null, "decay_rate": 0.001, "home_advantage": 20.0, "k": 8.0, "margin_weight": 0.0, "ratings": {"KIA": 1524.008898, "NC": 1502.957417}}, "code_sha256": {"features/elo_ratings.py": "8525faf022a6343c452286dbfeb17dbb043744c6bdabbe448b6b371216da439b", "international_baseball.py": "f345eb917316d2e897f62c1cdd0f73153115c65da54c30c6137ad76bb7b27869"}, "home_id": "KIA", "tie_method": "flat"}, "market_type": "moneyline", "model_version": "kbo-tie-aware-elo-v2", "observed_at_utc": "2026-09-10T04:35:56.936251+00:00", "outcome_probabilities": {"away": 0.4312720551728894, "draw": 0.02249232, "home": 0.5462356248271106}, "replay_scope": "Exact Elo and tie model; logged value is expected contract settlement, not outright win probability.", "schema": "international-elo-replay-v1", "settlement_values": {"away": 0.442518, "home": 0.557482}, "snapshot_hash": "343a76453e8cc6e0daaf6499b6e9fc1e2e95dae53db4842acb69d75e8af65cfc", "sport": "KBO"}</t>
        </is>
      </c>
    </row>
    <row r="123" ht="36" customHeight="1">
      <c r="A123" s="24" t="inlineStr">
        <is>
          <t>93d064fecf3f4b95</t>
        </is>
      </c>
      <c r="B123" s="24" t="inlineStr">
        <is>
          <t>2026-09-11T04:33:55.246571Z</t>
        </is>
      </c>
      <c r="C123" s="24" t="inlineStr">
        <is>
          <t>2026-09-11T09:30:00Z</t>
        </is>
      </c>
      <c r="D123" s="24" t="inlineStr">
        <is>
          <t>106735</t>
        </is>
      </c>
      <c r="E123" s="24" t="inlineStr">
        <is>
          <t>KBO</t>
        </is>
      </c>
      <c r="F123" s="24" t="inlineStr">
        <is>
          <t>Kiwoom Heroes</t>
        </is>
      </c>
      <c r="G123" s="24" t="inlineStr">
        <is>
          <t>Samsung Lions</t>
        </is>
      </c>
      <c r="H123" s="24" t="inlineStr">
        <is>
          <t>moneyline</t>
        </is>
      </c>
      <c r="I123" s="24" t="inlineStr">
        <is>
          <t>home</t>
        </is>
      </c>
      <c r="J123" s="25" t="n"/>
      <c r="K123" s="24" t="inlineStr">
        <is>
          <t>polymarket_us</t>
        </is>
      </c>
      <c r="L123" s="26" t="n">
        <v>-355</v>
      </c>
      <c r="M123" s="27" t="n">
        <v>1.28169</v>
      </c>
      <c r="N123" s="28" t="n">
        <v>0.78022</v>
      </c>
      <c r="O123" s="28" t="n">
        <v>0.672477</v>
      </c>
      <c r="P123" s="28" t="n"/>
      <c r="Q123" s="28" t="n">
        <v>-0.107743</v>
      </c>
      <c r="R123" s="26" t="n">
        <v>0</v>
      </c>
      <c r="S123" s="29" t="n">
        <v>1</v>
      </c>
      <c r="T123" s="24" t="inlineStr">
        <is>
          <t>kbo-tie-aware-elo-v2</t>
        </is>
      </c>
      <c r="U123" s="24" t="inlineStr">
        <is>
          <t>settled</t>
        </is>
      </c>
      <c r="V123" s="24" t="inlineStr">
        <is>
          <t>win</t>
        </is>
      </c>
      <c r="W123" s="26" t="n">
        <v>4</v>
      </c>
      <c r="X123" s="26" t="n">
        <v>6</v>
      </c>
      <c r="Y123" s="25" t="n"/>
      <c r="Z123" s="26" t="n">
        <v>-355</v>
      </c>
      <c r="AA123" s="28" t="n">
        <v>0.78</v>
      </c>
      <c r="AB123" s="28" t="n">
        <v>-0.00022</v>
      </c>
      <c r="AC123" s="30" t="n">
        <v>0.2817</v>
      </c>
      <c r="AD123" s="24" t="inlineStr">
        <is>
          <t>2026-09-11T16:01:34.246455Z</t>
        </is>
      </c>
      <c r="AE123" s="31" t="inlineStr">
        <is>
          <t>Tie-aware Elo baseline; executable ask 0.7800 (market_slug=aec-kbo-sla-khi-2026-09-11). Tie probability=0.0225.</t>
        </is>
      </c>
      <c r="AF123" s="31" t="inlineStr">
        <is>
          <t>Config-promoted international baseball baseline; gates enforced at log time.</t>
        </is>
      </c>
      <c r="AG123" s="24" t="inlineStr">
        <is>
          <t>not_applicable</t>
        </is>
      </c>
      <c r="AH123" s="24" t="n"/>
      <c r="AI123" s="31" t="n"/>
      <c r="AJ123" s="31" t="n"/>
      <c r="AK123" s="24" t="inlineStr">
        <is>
          <t>paper_call</t>
        </is>
      </c>
      <c r="AL123" s="26" t="n">
        <v>4</v>
      </c>
      <c r="AM123" s="24" t="inlineStr">
        <is>
          <t>RESEARCH_OBSERVATION</t>
        </is>
      </c>
      <c r="AN123" s="24" t="inlineStr">
        <is>
          <t>CALL</t>
        </is>
      </c>
      <c r="AO123" s="24" t="inlineStr">
        <is>
          <t>PAPER_CALL_LOW_EDGE</t>
        </is>
      </c>
      <c r="AP123" s="24" t="inlineStr">
        <is>
          <t>Kiwoom Heroes</t>
        </is>
      </c>
      <c r="AQ123" s="24" t="inlineStr">
        <is>
          <t>Kiwoom Heroes</t>
        </is>
      </c>
      <c r="AR123" s="24" t="inlineStr">
        <is>
          <t>Kiwoom Heroes</t>
        </is>
      </c>
      <c r="AS123" s="24" t="inlineStr">
        <is>
          <t>Samsung Lions</t>
        </is>
      </c>
      <c r="AT123" s="24" t="inlineStr">
        <is>
          <t>Samsung Lions</t>
        </is>
      </c>
      <c r="AU123" s="24" t="inlineStr">
        <is>
          <t>Samsung Lions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fc1bc79716bd2981eaa4121e9461ac18fb8c90c5d5c7b019cae168500c215b8f</t>
        </is>
      </c>
      <c r="BB123" s="24" t="inlineStr">
        <is>
          <t>tie_aware_elo</t>
        </is>
      </c>
      <c r="BC123" s="24" t="inlineStr">
        <is>
          <t>kbo-tie-aware-elo-v2</t>
        </is>
      </c>
      <c r="BD123" s="24" t="inlineStr">
        <is>
          <t>fc1bc79716bd2981eaa4121e9461ac18fb8c90c5d5c7b019cae168500c215b8f</t>
        </is>
      </c>
      <c r="BE123" s="24" t="inlineStr">
        <is>
          <t>1</t>
        </is>
      </c>
      <c r="BF123" s="24" t="inlineStr">
        <is>
          <t>1</t>
        </is>
      </c>
      <c r="BG123" s="24" t="inlineStr">
        <is>
          <t>kbo-tie-aware-elo-v2</t>
        </is>
      </c>
      <c r="BH123" s="24" t="inlineStr">
        <is>
          <t>2026-09-11T04:33:55.187831Z</t>
        </is>
      </c>
      <c r="BI123" s="24" t="inlineStr">
        <is>
          <t>["same_event","same_team_same_day","same_league_same_day"]</t>
        </is>
      </c>
      <c r="BJ123" s="25" t="n"/>
      <c r="BK123" s="26" t="n">
        <v>-355</v>
      </c>
      <c r="BL123" s="27" t="n">
        <v>1.28169</v>
      </c>
      <c r="BM123" s="28" t="n">
        <v>0.78022</v>
      </c>
      <c r="BN123" s="28" t="n"/>
      <c r="BO123" s="28" t="n"/>
      <c r="BP123" s="25" t="n"/>
      <c r="BQ123" s="27" t="n">
        <v>1.28169</v>
      </c>
      <c r="BR123" s="28" t="n">
        <v>0.78</v>
      </c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  <c r="CR123" s="24" t="n"/>
      <c r="CS123" s="24" t="inlineStr">
        <is>
          <t>False</t>
        </is>
      </c>
      <c r="CT123" s="24" t="n"/>
      <c r="CU123" s="24" t="n"/>
      <c r="CV123" s="24" t="n"/>
      <c r="CW123" s="24" t="n"/>
      <c r="CX123" s="24" t="n"/>
      <c r="CY123" s="24" t="n"/>
      <c r="CZ123" s="24" t="n"/>
      <c r="DA123" s="24" t="n"/>
      <c r="DB123" s="24" t="n"/>
      <c r="DC123" s="24" t="n"/>
      <c r="DD123" s="24" t="n"/>
      <c r="DE123" s="24" t="n"/>
      <c r="DF123" s="24" t="n"/>
      <c r="DG123" s="24" t="n"/>
      <c r="DH123" s="24" t="n"/>
      <c r="DI123" s="24" t="n"/>
      <c r="DJ123" s="24" t="inlineStr">
        <is>
          <t>0.78022</t>
        </is>
      </c>
      <c r="DK123" s="24" t="n"/>
      <c r="DL123" s="24" t="n"/>
      <c r="DM123" s="24" t="n"/>
      <c r="DN123" s="24" t="n"/>
      <c r="DO123" s="24" t="n"/>
      <c r="DP123" s="24" t="n"/>
      <c r="DQ123" s="24" t="inlineStr">
        <is>
          <t>{"artifact_hash": "fc1bc79716bd2981eaa4121e9461ac18fb8c90c5d5c7b019cae168500c215b8f", "away_team": "Kiwoom Heroes", "draw_settlement_value": 0.5, "event_id": "106735", "event_start_utc": "2026-09-11T09:30:00Z", "features": {"away_elo": 1439.701661, "base_tie_rate": 0.02247975, "home_advantage": 20.0, "home_elo": 1547.814538}, "historical_source_observation_times_verified": false, "home_team": "Samsung Lions", "inference_inputs": {"away_id": "KIWOOM", "base_tie_rate": 0.02247975, "book_state": {"_games_played": null, "_last_active": null, "decay_rate": 0.001, "home_advantage": 20.0, "k": 8.0, "margin_weight": 0.0, "ratings": {"KIWOOM": 1439.701661, "SAMSUNG": 1547.814538}}, "code_sha256": {"features/elo_ratings.py": "8525faf022a6343c452286dbfeb17dbb043744c6bdabbe448b6b371216da439b", "international_baseball.py": "f345eb917316d2e897f62c1cdd0f73153115c65da54c30c6137ad76bb7b27869"}, "home_id": "SAMSUNG", "tie_method": "flat"}, "market_type": "moneyline", "model_version": "kbo-tie-aware-elo-v2", "observed_at_utc": "2026-09-11T04:33:54.904885+00:00", "outcome_probabilities": {"away": 0.3162826399043176, "draw": 0.02247975, "home": 0.6612376100956824}, "replay_scope": "Exact Elo and tie model; logged value is expected contract settlement, not outright win probability.", "schema": "international-elo-replay-v1", "settlement_values": {"away": 0.327523, "home": 0.672477}, "snapshot_hash": "b78f970714a0759e79e93d8b1af2ed43ddb7f4541b283a77df778a67dfa869d4", "sport": "KBO"}</t>
        </is>
      </c>
    </row>
    <row r="124" ht="36" customHeight="1">
      <c r="A124" s="24" t="inlineStr">
        <is>
          <t>ec0162881b2d4ba5</t>
        </is>
      </c>
      <c r="B124" s="24" t="inlineStr">
        <is>
          <t>2026-09-11T04:33:55.246571Z</t>
        </is>
      </c>
      <c r="C124" s="24" t="inlineStr">
        <is>
          <t>2026-09-11T09:30:00Z</t>
        </is>
      </c>
      <c r="D124" s="24" t="inlineStr">
        <is>
          <t>106736</t>
        </is>
      </c>
      <c r="E124" s="24" t="inlineStr">
        <is>
          <t>KBO</t>
        </is>
      </c>
      <c r="F124" s="24" t="inlineStr">
        <is>
          <t>KT Wiz</t>
        </is>
      </c>
      <c r="G124" s="24" t="inlineStr">
        <is>
          <t>Lotte Giants</t>
        </is>
      </c>
      <c r="H124" s="24" t="inlineStr">
        <is>
          <t>moneyline</t>
        </is>
      </c>
      <c r="I124" s="24" t="inlineStr">
        <is>
          <t>away</t>
        </is>
      </c>
      <c r="J124" s="25" t="n"/>
      <c r="K124" s="24" t="inlineStr">
        <is>
          <t>polymarket_us</t>
        </is>
      </c>
      <c r="L124" s="26" t="n">
        <v>-150</v>
      </c>
      <c r="M124" s="27" t="n">
        <v>1.666667</v>
      </c>
      <c r="N124" s="28" t="n">
        <v>0.6</v>
      </c>
      <c r="O124" s="28" t="n">
        <v>0.583875</v>
      </c>
      <c r="P124" s="28" t="n"/>
      <c r="Q124" s="28" t="n">
        <v>-0.016125</v>
      </c>
      <c r="R124" s="26" t="n">
        <v>12</v>
      </c>
      <c r="S124" s="29" t="n">
        <v>1</v>
      </c>
      <c r="T124" s="24" t="inlineStr">
        <is>
          <t>kbo-tie-aware-elo-v2</t>
        </is>
      </c>
      <c r="U124" s="24" t="inlineStr">
        <is>
          <t>settled</t>
        </is>
      </c>
      <c r="V124" s="24" t="inlineStr">
        <is>
          <t>win</t>
        </is>
      </c>
      <c r="W124" s="26" t="n">
        <v>7</v>
      </c>
      <c r="X124" s="26" t="n">
        <v>1</v>
      </c>
      <c r="Y124" s="25" t="n"/>
      <c r="Z124" s="26" t="n">
        <v>-150</v>
      </c>
      <c r="AA124" s="28" t="n">
        <v>0.6</v>
      </c>
      <c r="AB124" s="28" t="n">
        <v>0</v>
      </c>
      <c r="AC124" s="30" t="n">
        <v>0.6667</v>
      </c>
      <c r="AD124" s="24" t="inlineStr">
        <is>
          <t>2026-09-11T16:01:34.766750Z</t>
        </is>
      </c>
      <c r="AE124" s="31" t="inlineStr">
        <is>
          <t>Tie-aware Elo baseline; executable ask 0.6000 (market_slug=aec-kbo-lgo-kwt-2026-09-11). Tie probability=0.0225.</t>
        </is>
      </c>
      <c r="AF124" s="31" t="inlineStr">
        <is>
          <t>Config-promoted international baseball baseline; gates enforced at log time.</t>
        </is>
      </c>
      <c r="AG124" s="24" t="inlineStr">
        <is>
          <t>not_applicable</t>
        </is>
      </c>
      <c r="AH124" s="24" t="n"/>
      <c r="AI124" s="31" t="n"/>
      <c r="AJ124" s="31" t="n"/>
      <c r="AK124" s="24" t="inlineStr">
        <is>
          <t>paper_call</t>
        </is>
      </c>
      <c r="AL124" s="26" t="n">
        <v>4</v>
      </c>
      <c r="AM124" s="24" t="inlineStr">
        <is>
          <t>RESEARCH_OBSERVATION</t>
        </is>
      </c>
      <c r="AN124" s="24" t="inlineStr">
        <is>
          <t>CALL</t>
        </is>
      </c>
      <c r="AO124" s="24" t="inlineStr">
        <is>
          <t>PAPER_CALL_LOW_EDGE</t>
        </is>
      </c>
      <c r="AP124" s="24" t="inlineStr">
        <is>
          <t>KT Wiz</t>
        </is>
      </c>
      <c r="AQ124" s="24" t="inlineStr">
        <is>
          <t>KT Wiz</t>
        </is>
      </c>
      <c r="AR124" s="24" t="inlineStr">
        <is>
          <t>KT Wiz</t>
        </is>
      </c>
      <c r="AS124" s="24" t="inlineStr">
        <is>
          <t>Lotte Giants</t>
        </is>
      </c>
      <c r="AT124" s="24" t="inlineStr">
        <is>
          <t>Lotte Giants</t>
        </is>
      </c>
      <c r="AU124" s="24" t="inlineStr">
        <is>
          <t>Lotte Giants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shadow_qualified</t>
        </is>
      </c>
      <c r="BA124" s="24" t="inlineStr">
        <is>
          <t>fc1bc79716bd2981eaa4121e9461ac18fb8c90c5d5c7b019cae168500c215b8f</t>
        </is>
      </c>
      <c r="BB124" s="24" t="inlineStr">
        <is>
          <t>tie_aware_elo</t>
        </is>
      </c>
      <c r="BC124" s="24" t="inlineStr">
        <is>
          <t>kbo-tie-aware-elo-v2</t>
        </is>
      </c>
      <c r="BD124" s="24" t="inlineStr">
        <is>
          <t>fc1bc79716bd2981eaa4121e9461ac18fb8c90c5d5c7b019cae168500c215b8f</t>
        </is>
      </c>
      <c r="BE124" s="24" t="inlineStr">
        <is>
          <t>1</t>
        </is>
      </c>
      <c r="BF124" s="24" t="inlineStr">
        <is>
          <t>1</t>
        </is>
      </c>
      <c r="BG124" s="24" t="inlineStr">
        <is>
          <t>kbo-tie-aware-elo-v2</t>
        </is>
      </c>
      <c r="BH124" s="24" t="inlineStr">
        <is>
          <t>2026-09-11T04:33:55.246533Z</t>
        </is>
      </c>
      <c r="BI124" s="24" t="inlineStr">
        <is>
          <t>["same_event","same_team_same_day","same_league_same_day"]</t>
        </is>
      </c>
      <c r="BJ124" s="25" t="n"/>
      <c r="BK124" s="26" t="n">
        <v>-150</v>
      </c>
      <c r="BL124" s="27" t="n">
        <v>1.666667</v>
      </c>
      <c r="BM124" s="28" t="n">
        <v>0.6</v>
      </c>
      <c r="BN124" s="28" t="n"/>
      <c r="BO124" s="28" t="n"/>
      <c r="BP124" s="25" t="n"/>
      <c r="BQ124" s="27" t="n">
        <v>1.666667</v>
      </c>
      <c r="BR124" s="28" t="n">
        <v>0.6</v>
      </c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  <c r="CR124" s="24" t="n"/>
      <c r="CS124" s="24" t="inlineStr">
        <is>
          <t>False</t>
        </is>
      </c>
      <c r="CT124" s="24" t="n"/>
      <c r="CU124" s="24" t="n"/>
      <c r="CV124" s="24" t="n"/>
      <c r="CW124" s="24" t="n"/>
      <c r="CX124" s="24" t="n"/>
      <c r="CY124" s="24" t="n"/>
      <c r="CZ124" s="24" t="n"/>
      <c r="DA124" s="24" t="n"/>
      <c r="DB124" s="24" t="n"/>
      <c r="DC124" s="24" t="n"/>
      <c r="DD124" s="24" t="n"/>
      <c r="DE124" s="24" t="n"/>
      <c r="DF124" s="24" t="n"/>
      <c r="DG124" s="24" t="n"/>
      <c r="DH124" s="24" t="n"/>
      <c r="DI124" s="24" t="n"/>
      <c r="DJ124" s="24" t="inlineStr">
        <is>
          <t>0.6</t>
        </is>
      </c>
      <c r="DK124" s="24" t="n"/>
      <c r="DL124" s="24" t="n"/>
      <c r="DM124" s="24" t="n"/>
      <c r="DN124" s="24" t="n"/>
      <c r="DO124" s="24" t="n"/>
      <c r="DP124" s="24" t="n"/>
      <c r="DQ124" s="24" t="inlineStr">
        <is>
          <t>{"artifact_hash": "fc1bc79716bd2981eaa4121e9461ac18fb8c90c5d5c7b019cae168500c215b8f", "away_team": "KT Wiz", "draw_settlement_value": 0.5, "event_id": "106736", "event_start_utc": "2026-09-11T09:30:00Z", "features": {"away_elo": 1551.093517, "base_tie_rate": 0.02247975, "home_advantage": 20.0, "home_elo": 1470.874814}, "historical_source_observation_times_verified": false, "home_team": "Lotte Giants", "inference_inputs": {"away_id": "KT", "base_tie_rate": 0.02247975, "book_state": {"_games_played": null, "_last_active": null, "decay_rate": 0.001, "home_advantage": 20.0, "k": 8.0, "margin_weight": 0.0, "ratings": {"KT": 1551.093517, "LOTTE": 1470.874814}}, "code_sha256": {"features/elo_ratings.py": "8525faf022a6343c452286dbfeb17dbb043744c6bdabbe448b6b371216da439b", "international_baseball.py": "f345eb917316d2e897f62c1cdd0f73153115c65da54c30c6137ad76bb7b27869"}, "home_id": "LOTTE", "tie_method": "flat"}, "market_type": "moneyline", "model_version": "kbo-tie-aware-elo-v2", "observed_at_utc": "2026-09-11T04:33:54.904885+00:00", "outcome_probabilities": {"away": 0.572635450115568, "draw": 0.02247975, "home": 0.4048847998844319}, "replay_scope": "Exact Elo and tie model; logged value is expected contract settlement, not outright win probability.", "schema": "international-elo-replay-v1", "settlement_values": {"away": 0.583875, "home": 0.416125}, "snapshot_hash": "6fce285ddf192410082a13e9315eb6d06dcc470964f341cfbbe8a5b48a04218b", "sport": "KBO"}</t>
        </is>
      </c>
    </row>
    <row r="125" ht="36" customHeight="1">
      <c r="A125" s="24" t="inlineStr">
        <is>
          <t>834b8d86d6fd473b</t>
        </is>
      </c>
      <c r="B125" s="24" t="inlineStr">
        <is>
          <t>2026-09-12T04:37:57.065538Z</t>
        </is>
      </c>
      <c r="C125" s="24" t="inlineStr">
        <is>
          <t>2026-09-12T08:00:00Z</t>
        </is>
      </c>
      <c r="D125" s="24" t="inlineStr">
        <is>
          <t>107851</t>
        </is>
      </c>
      <c r="E125" s="24" t="inlineStr">
        <is>
          <t>KBO</t>
        </is>
      </c>
      <c r="F125" s="24" t="inlineStr">
        <is>
          <t>Kia Tigers</t>
        </is>
      </c>
      <c r="G125" s="24" t="inlineStr">
        <is>
          <t>KT Wiz</t>
        </is>
      </c>
      <c r="H125" s="24" t="inlineStr">
        <is>
          <t>moneyline</t>
        </is>
      </c>
      <c r="I125" s="24" t="inlineStr">
        <is>
          <t>home</t>
        </is>
      </c>
      <c r="J125" s="25" t="n"/>
      <c r="K125" s="24" t="inlineStr">
        <is>
          <t>polymarket_us</t>
        </is>
      </c>
      <c r="L125" s="26" t="n">
        <v>-117</v>
      </c>
      <c r="M125" s="27" t="n">
        <v>1.854701</v>
      </c>
      <c r="N125" s="28" t="n">
        <v>0.539171</v>
      </c>
      <c r="O125" s="28" t="n">
        <v>0.5718839999999999</v>
      </c>
      <c r="P125" s="28" t="n"/>
      <c r="Q125" s="28" t="n">
        <v>0.032713</v>
      </c>
      <c r="R125" s="26" t="n">
        <v>36</v>
      </c>
      <c r="S125" s="29" t="n">
        <v>1</v>
      </c>
      <c r="T125" s="24" t="inlineStr">
        <is>
          <t>kbo-tie-aware-elo-v2</t>
        </is>
      </c>
      <c r="U125" s="24" t="inlineStr">
        <is>
          <t>settled</t>
        </is>
      </c>
      <c r="V125" s="24" t="inlineStr">
        <is>
          <t>win</t>
        </is>
      </c>
      <c r="W125" s="26" t="n">
        <v>2</v>
      </c>
      <c r="X125" s="26" t="n">
        <v>6</v>
      </c>
      <c r="Y125" s="25" t="n"/>
      <c r="Z125" s="26" t="n">
        <v>-117</v>
      </c>
      <c r="AA125" s="28" t="n">
        <v>0.54</v>
      </c>
      <c r="AB125" s="28" t="n">
        <v>0.000829</v>
      </c>
      <c r="AC125" s="30" t="n">
        <v>0.8547</v>
      </c>
      <c r="AD125" s="24" t="inlineStr">
        <is>
          <t>2026-09-12T16:01:37.540036Z</t>
        </is>
      </c>
      <c r="AE125" s="31" t="inlineStr">
        <is>
          <t>Tie-aware Elo baseline; executable ask 0.5400 (market_slug=aec-kbo-kwt-kti-2026-09-12). Tie probability=0.0225.</t>
        </is>
      </c>
      <c r="AF125" s="31" t="inlineStr">
        <is>
          <t>Config-promoted international baseball baseline; gates enforced at log time.</t>
        </is>
      </c>
      <c r="AG125" s="24" t="inlineStr">
        <is>
          <t>not_applicable</t>
        </is>
      </c>
      <c r="AH125" s="24" t="n"/>
      <c r="AI125" s="31" t="n"/>
      <c r="AJ125" s="31" t="n"/>
      <c r="AK125" s="24" t="inlineStr">
        <is>
          <t>paper_call</t>
        </is>
      </c>
      <c r="AL125" s="26" t="n">
        <v>4</v>
      </c>
      <c r="AM125" s="24" t="inlineStr">
        <is>
          <t>RESEARCH_OBSERVATION</t>
        </is>
      </c>
      <c r="AN125" s="24" t="inlineStr">
        <is>
          <t>CALL</t>
        </is>
      </c>
      <c r="AO125" s="24" t="inlineStr">
        <is>
          <t>PAPER_CALL_LOW_EDGE</t>
        </is>
      </c>
      <c r="AP125" s="24" t="inlineStr">
        <is>
          <t>Kia Tigers</t>
        </is>
      </c>
      <c r="AQ125" s="24" t="inlineStr">
        <is>
          <t>Kia Tigers</t>
        </is>
      </c>
      <c r="AR125" s="24" t="inlineStr">
        <is>
          <t>Kia Tigers</t>
        </is>
      </c>
      <c r="AS125" s="24" t="inlineStr">
        <is>
          <t>KT Wiz</t>
        </is>
      </c>
      <c r="AT125" s="24" t="inlineStr">
        <is>
          <t>KT Wiz</t>
        </is>
      </c>
      <c r="AU125" s="24" t="inlineStr">
        <is>
          <t>KT Wiz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shadow_qualified</t>
        </is>
      </c>
      <c r="BA125" s="24" t="inlineStr">
        <is>
          <t>652b47b2d1161d2b09e6f4440549ae1e4b0184982177fa816b0fc311905d9dbf</t>
        </is>
      </c>
      <c r="BB125" s="24" t="inlineStr">
        <is>
          <t>tie_aware_elo</t>
        </is>
      </c>
      <c r="BC125" s="24" t="inlineStr">
        <is>
          <t>kbo-tie-aware-elo-v2</t>
        </is>
      </c>
      <c r="BD125" s="24" t="inlineStr">
        <is>
          <t>652b47b2d1161d2b09e6f4440549ae1e4b0184982177fa816b0fc311905d9dbf</t>
        </is>
      </c>
      <c r="BE125" s="24" t="inlineStr">
        <is>
          <t>1</t>
        </is>
      </c>
      <c r="BF125" s="24" t="inlineStr">
        <is>
          <t>1</t>
        </is>
      </c>
      <c r="BG125" s="24" t="inlineStr">
        <is>
          <t>kbo-tie-aware-elo-v2</t>
        </is>
      </c>
      <c r="BH125" s="24" t="inlineStr">
        <is>
          <t>2026-09-12T04:37:56.945135Z</t>
        </is>
      </c>
      <c r="BI125" s="24" t="inlineStr">
        <is>
          <t>["same_event","same_team_same_day","same_league_same_day"]</t>
        </is>
      </c>
      <c r="BJ125" s="25" t="n"/>
      <c r="BK125" s="26" t="n">
        <v>-117</v>
      </c>
      <c r="BL125" s="27" t="n">
        <v>1.854701</v>
      </c>
      <c r="BM125" s="28" t="n">
        <v>0.539171</v>
      </c>
      <c r="BN125" s="28" t="n"/>
      <c r="BO125" s="28" t="n"/>
      <c r="BP125" s="25" t="n"/>
      <c r="BQ125" s="27" t="n">
        <v>1.854701</v>
      </c>
      <c r="BR125" s="28" t="n">
        <v>0.54</v>
      </c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  <c r="CR125" s="24" t="n"/>
      <c r="CS125" s="24" t="inlineStr">
        <is>
          <t>True</t>
        </is>
      </c>
      <c r="CT125" s="24" t="n"/>
      <c r="CU125" s="24" t="n"/>
      <c r="CV125" s="24" t="n"/>
      <c r="CW125" s="24" t="n"/>
      <c r="CX125" s="24" t="n"/>
      <c r="CY125" s="24" t="n"/>
      <c r="CZ125" s="24" t="n"/>
      <c r="DA125" s="24" t="n"/>
      <c r="DB125" s="24" t="n"/>
      <c r="DC125" s="24" t="n"/>
      <c r="DD125" s="24" t="n"/>
      <c r="DE125" s="24" t="n"/>
      <c r="DF125" s="24" t="n"/>
      <c r="DG125" s="24" t="n"/>
      <c r="DH125" s="24" t="n"/>
      <c r="DI125" s="24" t="n"/>
      <c r="DJ125" s="24" t="inlineStr">
        <is>
          <t>0.539171</t>
        </is>
      </c>
      <c r="DK125" s="24" t="n"/>
      <c r="DL125" s="24" t="n"/>
      <c r="DM125" s="24" t="n"/>
      <c r="DN125" s="24" t="n"/>
      <c r="DO125" s="24" t="n"/>
      <c r="DP125" s="24" t="n"/>
      <c r="DQ125" s="24" t="inlineStr">
        <is>
          <t>{"artifact_hash": "652b47b2d1161d2b09e6f4440549ae1e4b0184982177fa816b0fc311905d9dbf", "away_team": "Kia Tigers", "draw_settlement_value": 0.5, "event_id": "107851", "event_start_utc": "2026-09-12T08:00:00Z", "features": {"away_elo": 1522.884369, "base_tie_rate": 0.02246721, "home_advantage": 20.0, "home_elo": 1554.355991}, "historical_source_observation_times_verified": false, "home_team": "KT Wiz", "inference_inputs": {"away_id": "KIA", "base_tie_rate": 0.02246721, "book_state": {"_games_played": null, "_last_active": null, "decay_rate": 0.001, "home_advantage": 20.0, "k": 8.0, "margin_weight": 0.0, "ratings": {"KIA": 1522.884369, "KT": 1554.355991}}, "code_sha256": {"features/elo_ratings.py": "8525faf022a6343c452286dbfeb17dbb043744c6bdabbe448b6b371216da439b", "international_baseball.py": "f345eb917316d2e897f62c1cdd0f73153115c65da54c30c6137ad76bb7b27869"}, "home_id": "KT", "tie_method": "flat"}, "market_type": "moneyline", "model_version": "kbo-tie-aware-elo-v2", "observed_at_utc": "2026-09-12T04:37:56.818555+00:00", "outcome_probabilities": {"away": 0.41688213198827523, "draw": 0.02246721, "home": 0.5606506580117248}, "replay_scope": "Exact Elo and tie model; logged value is expected contract settlement, not outright win probability.", "schema": "international-elo-replay-v1", "settlement_values": {"away": 0.428116, "home": 0.571884}, "snapshot_hash": "2d48aace15cb21814920bbaa3a5b59d1502cfa80f2a6e421ea48a6833d320106", "sport": "KBO"}</t>
        </is>
      </c>
    </row>
    <row r="126" ht="36" customHeight="1">
      <c r="A126" s="24" t="inlineStr">
        <is>
          <t>abcb369422ba4b47</t>
        </is>
      </c>
      <c r="B126" s="24" t="inlineStr">
        <is>
          <t>2026-09-12T04:37:57.065538Z</t>
        </is>
      </c>
      <c r="C126" s="24" t="inlineStr">
        <is>
          <t>2026-09-12T08:00:00Z</t>
        </is>
      </c>
      <c r="D126" s="24" t="inlineStr">
        <is>
          <t>107855</t>
        </is>
      </c>
      <c r="E126" s="24" t="inlineStr">
        <is>
          <t>KBO</t>
        </is>
      </c>
      <c r="F126" s="24" t="inlineStr">
        <is>
          <t>Lotte Giants</t>
        </is>
      </c>
      <c r="G126" s="24" t="inlineStr">
        <is>
          <t>Kiwoom Heroes</t>
        </is>
      </c>
      <c r="H126" s="24" t="inlineStr">
        <is>
          <t>moneyline</t>
        </is>
      </c>
      <c r="I126" s="24" t="inlineStr">
        <is>
          <t>away</t>
        </is>
      </c>
      <c r="J126" s="25" t="n"/>
      <c r="K126" s="24" t="inlineStr">
        <is>
          <t>polymarket_us</t>
        </is>
      </c>
      <c r="L126" s="26" t="n">
        <v>-117</v>
      </c>
      <c r="M126" s="27" t="n">
        <v>1.854701</v>
      </c>
      <c r="N126" s="28" t="n">
        <v>0.539171</v>
      </c>
      <c r="O126" s="28" t="n">
        <v>0.514396</v>
      </c>
      <c r="P126" s="28" t="n"/>
      <c r="Q126" s="28" t="n">
        <v>-0.024775</v>
      </c>
      <c r="R126" s="26" t="n">
        <v>8</v>
      </c>
      <c r="S126" s="29" t="n">
        <v>1</v>
      </c>
      <c r="T126" s="24" t="inlineStr">
        <is>
          <t>kbo-tie-aware-elo-v2</t>
        </is>
      </c>
      <c r="U126" s="24" t="inlineStr">
        <is>
          <t>settled</t>
        </is>
      </c>
      <c r="V126" s="24" t="inlineStr">
        <is>
          <t>win</t>
        </is>
      </c>
      <c r="W126" s="26" t="n">
        <v>8</v>
      </c>
      <c r="X126" s="26" t="n">
        <v>0</v>
      </c>
      <c r="Y126" s="25" t="n"/>
      <c r="Z126" s="26" t="n">
        <v>-117</v>
      </c>
      <c r="AA126" s="28" t="n">
        <v>0.54</v>
      </c>
      <c r="AB126" s="28" t="n">
        <v>0.000829</v>
      </c>
      <c r="AC126" s="30" t="n">
        <v>0.8547</v>
      </c>
      <c r="AD126" s="24" t="inlineStr">
        <is>
          <t>2026-09-12T16:01:37.916525Z</t>
        </is>
      </c>
      <c r="AE126" s="31" t="inlineStr">
        <is>
          <t>Tie-aware Elo baseline; executable ask 0.5400 (market_slug=aec-kbo-khi-lgo-2026-09-12). Tie probability=0.0225.</t>
        </is>
      </c>
      <c r="AF126" s="31" t="inlineStr">
        <is>
          <t>Config-promoted international baseball baseline; gates enforced at log time.</t>
        </is>
      </c>
      <c r="AG126" s="24" t="inlineStr">
        <is>
          <t>not_applicable</t>
        </is>
      </c>
      <c r="AH126" s="24" t="n"/>
      <c r="AI126" s="31" t="n"/>
      <c r="AJ126" s="31" t="n"/>
      <c r="AK126" s="24" t="inlineStr">
        <is>
          <t>paper_call</t>
        </is>
      </c>
      <c r="AL126" s="26" t="n">
        <v>4</v>
      </c>
      <c r="AM126" s="24" t="inlineStr">
        <is>
          <t>RESEARCH_OBSERVATION</t>
        </is>
      </c>
      <c r="AN126" s="24" t="inlineStr">
        <is>
          <t>CALL</t>
        </is>
      </c>
      <c r="AO126" s="24" t="inlineStr">
        <is>
          <t>PAPER_CALL_LOW_EDGE</t>
        </is>
      </c>
      <c r="AP126" s="24" t="inlineStr">
        <is>
          <t>Lotte Giants</t>
        </is>
      </c>
      <c r="AQ126" s="24" t="inlineStr">
        <is>
          <t>Lotte Giants</t>
        </is>
      </c>
      <c r="AR126" s="24" t="inlineStr">
        <is>
          <t>Lotte Giants</t>
        </is>
      </c>
      <c r="AS126" s="24" t="inlineStr">
        <is>
          <t>Kiwoom Heroes</t>
        </is>
      </c>
      <c r="AT126" s="24" t="inlineStr">
        <is>
          <t>Kiwoom Heroes</t>
        </is>
      </c>
      <c r="AU126" s="24" t="inlineStr">
        <is>
          <t>Kiwoom Heroes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shadow_qualified</t>
        </is>
      </c>
      <c r="BA126" s="24" t="inlineStr">
        <is>
          <t>652b47b2d1161d2b09e6f4440549ae1e4b0184982177fa816b0fc311905d9dbf</t>
        </is>
      </c>
      <c r="BB126" s="24" t="inlineStr">
        <is>
          <t>tie_aware_elo</t>
        </is>
      </c>
      <c r="BC126" s="24" t="inlineStr">
        <is>
          <t>kbo-tie-aware-elo-v2</t>
        </is>
      </c>
      <c r="BD126" s="24" t="inlineStr">
        <is>
          <t>652b47b2d1161d2b09e6f4440549ae1e4b0184982177fa816b0fc311905d9dbf</t>
        </is>
      </c>
      <c r="BE126" s="24" t="inlineStr">
        <is>
          <t>1</t>
        </is>
      </c>
      <c r="BF126" s="24" t="inlineStr">
        <is>
          <t>1</t>
        </is>
      </c>
      <c r="BG126" s="24" t="inlineStr">
        <is>
          <t>kbo-tie-aware-elo-v2</t>
        </is>
      </c>
      <c r="BH126" s="24" t="inlineStr">
        <is>
          <t>2026-09-12T04:37:57.003668Z</t>
        </is>
      </c>
      <c r="BI126" s="24" t="inlineStr">
        <is>
          <t>["same_event","same_team_same_day","same_league_same_day"]</t>
        </is>
      </c>
      <c r="BJ126" s="25" t="n"/>
      <c r="BK126" s="26" t="n">
        <v>-117</v>
      </c>
      <c r="BL126" s="27" t="n">
        <v>1.854701</v>
      </c>
      <c r="BM126" s="28" t="n">
        <v>0.539171</v>
      </c>
      <c r="BN126" s="28" t="n"/>
      <c r="BO126" s="28" t="n"/>
      <c r="BP126" s="25" t="n"/>
      <c r="BQ126" s="27" t="n">
        <v>1.854701</v>
      </c>
      <c r="BR126" s="28" t="n">
        <v>0.54</v>
      </c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  <c r="CR126" s="24" t="n"/>
      <c r="CS126" s="24" t="inlineStr">
        <is>
          <t>False</t>
        </is>
      </c>
      <c r="CT126" s="24" t="n"/>
      <c r="CU126" s="24" t="n"/>
      <c r="CV126" s="24" t="n"/>
      <c r="CW126" s="24" t="n"/>
      <c r="CX126" s="24" t="n"/>
      <c r="CY126" s="24" t="n"/>
      <c r="CZ126" s="24" t="n"/>
      <c r="DA126" s="24" t="n"/>
      <c r="DB126" s="24" t="n"/>
      <c r="DC126" s="24" t="n"/>
      <c r="DD126" s="24" t="n"/>
      <c r="DE126" s="24" t="n"/>
      <c r="DF126" s="24" t="n"/>
      <c r="DG126" s="24" t="n"/>
      <c r="DH126" s="24" t="n"/>
      <c r="DI126" s="24" t="n"/>
      <c r="DJ126" s="24" t="inlineStr">
        <is>
          <t>0.539171</t>
        </is>
      </c>
      <c r="DK126" s="24" t="n"/>
      <c r="DL126" s="24" t="n"/>
      <c r="DM126" s="24" t="n"/>
      <c r="DN126" s="24" t="n"/>
      <c r="DO126" s="24" t="n"/>
      <c r="DP126" s="24" t="n"/>
      <c r="DQ126" s="24" t="inlineStr">
        <is>
          <t>{"artifact_hash": "652b47b2d1161d2b09e6f4440549ae1e4b0184982177fa816b0fc311905d9dbf", "away_team": "Lotte Giants", "draw_settlement_value": 0.5, "event_id": "107855", "event_start_utc": "2026-09-12T08:00:00Z", "features": {"away_elo": 1467.590372, "base_tie_rate": 0.02246721, "home_advantage": 20.0, "home_elo": 1437.354044}, "historical_source_observation_times_verified": false, "home_team": "Kiwoom Heroes", "inference_inputs": {"away_id": "LOTTE", "base_tie_rate": 0.02246721, "book_state": {"_games_played": null, "_last_active": null, "decay_rate": 0.001, "home_advantage": 20.0, "k": 8.0, "margin_weight": 0.0, "ratings": {"KIWOOM": 1437.354044, "LOTTE": 1467.590372}}, "code_sha256": {"features/elo_ratings.py": "8525faf022a6343c452286dbfeb17dbb043744c6bdabbe448b6b371216da439b", "international_baseball.py": "f345eb917316d2e897f62c1cdd0f73153115c65da54c30c6137ad76bb7b27869"}, "home_id": "KIWOOM", "tie_method": "flat"}, "market_type": "moneyline", "model_version": "kbo-tie-aware-elo-v2", "observed_at_utc": "2026-09-12T04:37:56.818555+00:00", "outcome_probabilities": {"away": 0.5031625196166047, "draw": 0.02246721, "home": 0.4743702703833953}, "replay_scope": "Exact Elo and tie model; logged value is expected contract settlement, not outright win probability.", "schema": "international-elo-replay-v1", "settlement_values": {"away": 0.514396, "home": 0.485604}, "snapshot_hash": "2c42a804ed00653a5623ddc39e57db0d7c293db635e6e51c797aa006532cf26e", "sport": "KBO"}</t>
        </is>
      </c>
    </row>
    <row r="127" ht="36" customHeight="1">
      <c r="A127" s="24" t="inlineStr">
        <is>
          <t>82b66d4a82f34721</t>
        </is>
      </c>
      <c r="B127" s="24" t="inlineStr">
        <is>
          <t>2026-09-12T04:37:57.065538Z</t>
        </is>
      </c>
      <c r="C127" s="24" t="inlineStr">
        <is>
          <t>2026-09-12T08:00:00Z</t>
        </is>
      </c>
      <c r="D127" s="24" t="inlineStr">
        <is>
          <t>107856</t>
        </is>
      </c>
      <c r="E127" s="24" t="inlineStr">
        <is>
          <t>KBO</t>
        </is>
      </c>
      <c r="F127" s="24" t="inlineStr">
        <is>
          <t>LG Twins</t>
        </is>
      </c>
      <c r="G127" s="24" t="inlineStr">
        <is>
          <t>Samsung Lions</t>
        </is>
      </c>
      <c r="H127" s="24" t="inlineStr">
        <is>
          <t>moneyline</t>
        </is>
      </c>
      <c r="I127" s="24" t="inlineStr">
        <is>
          <t>home</t>
        </is>
      </c>
      <c r="J127" s="25" t="n"/>
      <c r="K127" s="24" t="inlineStr">
        <is>
          <t>polymarket_us</t>
        </is>
      </c>
      <c r="L127" s="26" t="n">
        <v>-138</v>
      </c>
      <c r="M127" s="27" t="n">
        <v>1.724638</v>
      </c>
      <c r="N127" s="28" t="n">
        <v>0.579832</v>
      </c>
      <c r="O127" s="28" t="n">
        <v>0.582906</v>
      </c>
      <c r="P127" s="28" t="n"/>
      <c r="Q127" s="28" t="n">
        <v>0.003074</v>
      </c>
      <c r="R127" s="26" t="n">
        <v>22</v>
      </c>
      <c r="S127" s="29" t="n">
        <v>1</v>
      </c>
      <c r="T127" s="24" t="inlineStr">
        <is>
          <t>kbo-tie-aware-elo-v2</t>
        </is>
      </c>
      <c r="U127" s="24" t="inlineStr">
        <is>
          <t>settled</t>
        </is>
      </c>
      <c r="V127" s="24" t="inlineStr">
        <is>
          <t>loss</t>
        </is>
      </c>
      <c r="W127" s="26" t="n">
        <v>4</v>
      </c>
      <c r="X127" s="26" t="n">
        <v>3</v>
      </c>
      <c r="Y127" s="25" t="n"/>
      <c r="Z127" s="26" t="n">
        <v>-138</v>
      </c>
      <c r="AA127" s="28" t="n">
        <v>0.58</v>
      </c>
      <c r="AB127" s="28" t="n">
        <v>0.000168</v>
      </c>
      <c r="AC127" s="30" t="n">
        <v>-1</v>
      </c>
      <c r="AD127" s="24" t="inlineStr">
        <is>
          <t>2026-09-12T16:01:38.066440Z</t>
        </is>
      </c>
      <c r="AE127" s="31" t="inlineStr">
        <is>
          <t>Tie-aware Elo baseline; executable ask 0.5800 (market_slug=aec-kbo-sla-ltg-2026-09-12). Tie probability=0.0225.</t>
        </is>
      </c>
      <c r="AF127" s="31" t="inlineStr">
        <is>
          <t>Config-promoted international baseball baseline; gates enforced at log time.</t>
        </is>
      </c>
      <c r="AG127" s="24" t="inlineStr">
        <is>
          <t>review_required</t>
        </is>
      </c>
      <c r="AH127" s="24" t="n"/>
      <c r="AI127" s="31" t="n"/>
      <c r="AJ127" s="31" t="n"/>
      <c r="AK127" s="24" t="inlineStr">
        <is>
          <t>paper_call</t>
        </is>
      </c>
      <c r="AL127" s="26" t="n">
        <v>4</v>
      </c>
      <c r="AM127" s="24" t="inlineStr">
        <is>
          <t>RESEARCH_OBSERVATION</t>
        </is>
      </c>
      <c r="AN127" s="24" t="inlineStr">
        <is>
          <t>CALL</t>
        </is>
      </c>
      <c r="AO127" s="24" t="inlineStr">
        <is>
          <t>PAPER_CALL_LOW_EDGE</t>
        </is>
      </c>
      <c r="AP127" s="24" t="inlineStr">
        <is>
          <t>LG Twins</t>
        </is>
      </c>
      <c r="AQ127" s="24" t="inlineStr">
        <is>
          <t>LG Twins</t>
        </is>
      </c>
      <c r="AR127" s="24" t="inlineStr">
        <is>
          <t>LG Twins</t>
        </is>
      </c>
      <c r="AS127" s="24" t="inlineStr">
        <is>
          <t>Samsung Lions</t>
        </is>
      </c>
      <c r="AT127" s="24" t="inlineStr">
        <is>
          <t>Samsung Lions</t>
        </is>
      </c>
      <c r="AU127" s="24" t="inlineStr">
        <is>
          <t>Samsung Lions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shadow_qualified</t>
        </is>
      </c>
      <c r="BA127" s="24" t="inlineStr">
        <is>
          <t>652b47b2d1161d2b09e6f4440549ae1e4b0184982177fa816b0fc311905d9dbf</t>
        </is>
      </c>
      <c r="BB127" s="24" t="inlineStr">
        <is>
          <t>tie_aware_elo</t>
        </is>
      </c>
      <c r="BC127" s="24" t="inlineStr">
        <is>
          <t>kbo-tie-aware-elo-v2</t>
        </is>
      </c>
      <c r="BD127" s="24" t="inlineStr">
        <is>
          <t>652b47b2d1161d2b09e6f4440549ae1e4b0184982177fa816b0fc311905d9dbf</t>
        </is>
      </c>
      <c r="BE127" s="24" t="inlineStr">
        <is>
          <t>1</t>
        </is>
      </c>
      <c r="BF127" s="24" t="inlineStr">
        <is>
          <t>1</t>
        </is>
      </c>
      <c r="BG127" s="24" t="inlineStr">
        <is>
          <t>kbo-tie-aware-elo-v2</t>
        </is>
      </c>
      <c r="BH127" s="24" t="inlineStr">
        <is>
          <t>2026-09-12T04:37:57.065501Z</t>
        </is>
      </c>
      <c r="BI127" s="24" t="inlineStr">
        <is>
          <t>["same_event","same_team_same_day","same_league_same_day"]</t>
        </is>
      </c>
      <c r="BJ127" s="25" t="n"/>
      <c r="BK127" s="26" t="n">
        <v>-138</v>
      </c>
      <c r="BL127" s="27" t="n">
        <v>1.724638</v>
      </c>
      <c r="BM127" s="28" t="n">
        <v>0.579832</v>
      </c>
      <c r="BN127" s="28" t="n"/>
      <c r="BO127" s="28" t="n"/>
      <c r="BP127" s="25" t="n"/>
      <c r="BQ127" s="27" t="n">
        <v>1.724638</v>
      </c>
      <c r="BR127" s="28" t="n">
        <v>0.58</v>
      </c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  <c r="CR127" s="24" t="n"/>
      <c r="CS127" s="24" t="inlineStr">
        <is>
          <t>True</t>
        </is>
      </c>
      <c r="CT127" s="24" t="n"/>
      <c r="CU127" s="24" t="n"/>
      <c r="CV127" s="24" t="n"/>
      <c r="CW127" s="24" t="n"/>
      <c r="CX127" s="24" t="n"/>
      <c r="CY127" s="24" t="n"/>
      <c r="CZ127" s="24" t="n"/>
      <c r="DA127" s="24" t="n"/>
      <c r="DB127" s="24" t="n"/>
      <c r="DC127" s="24" t="n"/>
      <c r="DD127" s="24" t="n"/>
      <c r="DE127" s="24" t="n"/>
      <c r="DF127" s="24" t="n"/>
      <c r="DG127" s="24" t="n"/>
      <c r="DH127" s="24" t="n"/>
      <c r="DI127" s="24" t="n"/>
      <c r="DJ127" s="24" t="inlineStr">
        <is>
          <t>0.579832</t>
        </is>
      </c>
      <c r="DK127" s="24" t="n"/>
      <c r="DL127" s="24" t="n"/>
      <c r="DM127" s="24" t="n"/>
      <c r="DN127" s="24" t="n"/>
      <c r="DO127" s="24" t="n"/>
      <c r="DP127" s="24" t="n"/>
      <c r="DQ127" s="24" t="inlineStr">
        <is>
          <t>{"artifact_hash": "652b47b2d1161d2b09e6f4440549ae1e4b0184982177fa816b0fc311905d9dbf", "away_team": "LG Twins", "draw_settlement_value": 0.5, "event_id": "107856", "event_start_utc": "2026-09-12T08:00:00Z", "features": {"away_elo": 1510.513877, "base_tie_rate": 0.02246721, "home_advantage": 20.0, "home_elo": 1550.021806}, "historical_source_observation_times_verified": false, "home_team": "Samsung Lions", "inference_inputs": {"away_id": "LG", "base_tie_rate": 0.02246721, "book_state": {"_games_played": null, "_last_active": null, "decay_rate": 0.001, "home_advantage": 20.0, "k": 8.0, "margin_weight": 0.0, "ratings": {"LG": 1510.513877, "SAMSUNG": 1550.021806}}, "code_sha256": {"features/elo_ratings.py": "8525faf022a6343c452286dbfeb17dbb043744c6bdabbe448b6b371216da439b", "international_baseball.py": "f345eb917316d2e897f62c1cdd0f73153115c65da54c30c6137ad76bb7b27869"}, "home_id": "SAMSUNG", "tie_method": "flat"}, "market_type": "moneyline", "model_version": "kbo-tie-aware-elo-v2", "observed_at_utc": "2026-09-12T04:37:56.818555+00:00", "outcome_probabilities": {"away": 0.40586079135947295, "draw": 0.02246721, "home": 0.5716719986405271}, "replay_scope": "Exact Elo and tie model; logged value is expected contract settlement, not outright win probability.", "schema": "international-elo-replay-v1", "settlement_values": {"away": 0.417094, "home": 0.582906}, "snapshot_hash": "08029d9b3c53da3fec650b7b8d12ef42d27666f5026cc06618de93492058a0d0", "sport": "KBO"}</t>
        </is>
      </c>
    </row>
    <row r="128" ht="36" customHeight="1">
      <c r="A128" s="24" t="inlineStr">
        <is>
          <t>09773a2db1214eb5</t>
        </is>
      </c>
      <c r="B128" s="24" t="inlineStr">
        <is>
          <t>2026-09-13T05:00:47.380864Z</t>
        </is>
      </c>
      <c r="C128" s="24" t="inlineStr">
        <is>
          <t>2026-09-13T08:00:00Z</t>
        </is>
      </c>
      <c r="D128" s="24" t="inlineStr">
        <is>
          <t>108700</t>
        </is>
      </c>
      <c r="E128" s="24" t="inlineStr">
        <is>
          <t>KBO</t>
        </is>
      </c>
      <c r="F128" s="24" t="inlineStr">
        <is>
          <t>Lotte Giants</t>
        </is>
      </c>
      <c r="G128" s="24" t="inlineStr">
        <is>
          <t>KT Wiz</t>
        </is>
      </c>
      <c r="H128" s="24" t="inlineStr">
        <is>
          <t>moneyline</t>
        </is>
      </c>
      <c r="I128" s="24" t="inlineStr">
        <is>
          <t>home</t>
        </is>
      </c>
      <c r="J128" s="25" t="n"/>
      <c r="K128" s="24" t="inlineStr">
        <is>
          <t>polymarket_us</t>
        </is>
      </c>
      <c r="L128" s="26" t="n">
        <v>-213</v>
      </c>
      <c r="M128" s="27" t="n">
        <v>1.469484</v>
      </c>
      <c r="N128" s="28" t="n">
        <v>0.680511</v>
      </c>
      <c r="O128" s="28" t="n">
        <v>0.644844</v>
      </c>
      <c r="P128" s="28" t="n"/>
      <c r="Q128" s="28" t="n">
        <v>-0.035667</v>
      </c>
      <c r="R128" s="26" t="n">
        <v>2</v>
      </c>
      <c r="S128" s="29" t="n">
        <v>1</v>
      </c>
      <c r="T128" s="24" t="inlineStr">
        <is>
          <t>kbo-tie-aware-elo-v2</t>
        </is>
      </c>
      <c r="U128" s="24" t="inlineStr">
        <is>
          <t>settled</t>
        </is>
      </c>
      <c r="V128" s="24" t="inlineStr">
        <is>
          <t>win</t>
        </is>
      </c>
      <c r="W128" s="26" t="n">
        <v>2</v>
      </c>
      <c r="X128" s="26" t="n">
        <v>5</v>
      </c>
      <c r="Y128" s="25" t="n"/>
      <c r="Z128" s="26" t="n"/>
      <c r="AA128" s="28" t="n"/>
      <c r="AB128" s="28" t="n"/>
      <c r="AC128" s="30" t="n">
        <v>0.4695</v>
      </c>
      <c r="AD128" s="24" t="inlineStr">
        <is>
          <t>2026-09-13T16:01:16.867017Z</t>
        </is>
      </c>
      <c r="AE128" s="31" t="inlineStr">
        <is>
          <t>Tie-aware Elo baseline; executable ask 0.6800 (market_slug=aec-kbo-kwt-lgo-2026-09-13). Tie probability=0.0225.</t>
        </is>
      </c>
      <c r="AF128" s="31" t="inlineStr">
        <is>
          <t>Config-promoted international baseball baseline; gates enforced at log time.</t>
        </is>
      </c>
      <c r="AG128" s="24" t="inlineStr">
        <is>
          <t>not_applicable</t>
        </is>
      </c>
      <c r="AH128" s="24" t="n"/>
      <c r="AI128" s="31" t="n"/>
      <c r="AJ128" s="31" t="n"/>
      <c r="AK128" s="24" t="inlineStr">
        <is>
          <t>paper_call</t>
        </is>
      </c>
      <c r="AL128" s="26" t="n">
        <v>4</v>
      </c>
      <c r="AM128" s="24" t="inlineStr">
        <is>
          <t>RESEARCH_OBSERVATION</t>
        </is>
      </c>
      <c r="AN128" s="24" t="inlineStr">
        <is>
          <t>CALL</t>
        </is>
      </c>
      <c r="AO128" s="24" t="inlineStr">
        <is>
          <t>PAPER_CALL_LOW_EDGE</t>
        </is>
      </c>
      <c r="AP128" s="24" t="inlineStr">
        <is>
          <t>Lotte Giants</t>
        </is>
      </c>
      <c r="AQ128" s="24" t="inlineStr">
        <is>
          <t>Lotte Giants</t>
        </is>
      </c>
      <c r="AR128" s="24" t="inlineStr">
        <is>
          <t>Lotte Giants</t>
        </is>
      </c>
      <c r="AS128" s="24" t="inlineStr">
        <is>
          <t>KT Wiz</t>
        </is>
      </c>
      <c r="AT128" s="24" t="inlineStr">
        <is>
          <t>KT Wiz</t>
        </is>
      </c>
      <c r="AU128" s="24" t="inlineStr">
        <is>
          <t>KT Wiz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e99d6364c6000ce2543ca9d173835c8949fa6c48e2a788d6f99857d1a36094f6</t>
        </is>
      </c>
      <c r="BB128" s="24" t="inlineStr">
        <is>
          <t>tie_aware_elo</t>
        </is>
      </c>
      <c r="BC128" s="24" t="inlineStr">
        <is>
          <t>kbo-tie-aware-elo-v2</t>
        </is>
      </c>
      <c r="BD128" s="24" t="inlineStr">
        <is>
          <t>e99d6364c6000ce2543ca9d173835c8949fa6c48e2a788d6f99857d1a36094f6</t>
        </is>
      </c>
      <c r="BE128" s="24" t="inlineStr">
        <is>
          <t>1</t>
        </is>
      </c>
      <c r="BF128" s="24" t="inlineStr">
        <is>
          <t>1</t>
        </is>
      </c>
      <c r="BG128" s="24" t="inlineStr">
        <is>
          <t>kbo-tie-aware-elo-v2</t>
        </is>
      </c>
      <c r="BH128" s="24" t="inlineStr">
        <is>
          <t>2026-09-13T05:00:47.380822Z</t>
        </is>
      </c>
      <c r="BI128" s="24" t="inlineStr">
        <is>
          <t>["same_event","same_team_same_day","same_league_same_day"]</t>
        </is>
      </c>
      <c r="BJ128" s="25" t="n"/>
      <c r="BK128" s="26" t="n">
        <v>-213</v>
      </c>
      <c r="BL128" s="27" t="n">
        <v>1.469484</v>
      </c>
      <c r="BM128" s="28" t="n">
        <v>0.680511</v>
      </c>
      <c r="BN128" s="28" t="n"/>
      <c r="BO128" s="28" t="n"/>
      <c r="BP128" s="25" t="n"/>
      <c r="BQ128" s="27" t="n"/>
      <c r="BR128" s="28" t="n"/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  <c r="CR128" s="24" t="n"/>
      <c r="CS128" s="24" t="inlineStr">
        <is>
          <t>False</t>
        </is>
      </c>
      <c r="CT128" s="24" t="n"/>
      <c r="CU128" s="24" t="n"/>
      <c r="CV128" s="24" t="n"/>
      <c r="CW128" s="24" t="n"/>
      <c r="CX128" s="24" t="n"/>
      <c r="CY128" s="24" t="n"/>
      <c r="CZ128" s="24" t="n"/>
      <c r="DA128" s="24" t="n"/>
      <c r="DB128" s="24" t="n"/>
      <c r="DC128" s="24" t="n"/>
      <c r="DD128" s="24" t="n"/>
      <c r="DE128" s="24" t="n"/>
      <c r="DF128" s="24" t="n"/>
      <c r="DG128" s="24" t="n"/>
      <c r="DH128" s="24" t="n"/>
      <c r="DI128" s="24" t="n"/>
      <c r="DJ128" s="24" t="inlineStr">
        <is>
          <t>0.680511</t>
        </is>
      </c>
      <c r="DK128" s="24" t="n"/>
      <c r="DL128" s="24" t="n"/>
      <c r="DM128" s="24" t="n"/>
      <c r="DN128" s="24" t="n"/>
      <c r="DO128" s="24" t="n"/>
      <c r="DP128" s="24" t="n"/>
      <c r="DQ128" s="24" t="inlineStr">
        <is>
          <t>{"artifact_hash": "e99d6364c6000ce2543ca9d173835c8949fa6c48e2a788d6f99857d1a36094f6", "away_team": "Lotte Giants", "draw_settlement_value": 0.5, "event_id": "108700", "event_start_utc": "2026-09-13T08:00:00Z", "features": {"away_elo": 1471.569688, "base_tie_rate": 0.02245467, "home_advantage": 20.0, "home_elo": 1557.713343}, "historical_source_observation_times_verified": false, "home_team": "KT Wiz", "inference_inputs": {"away_id": "LOTTE", "base_tie_rate": 0.02245467, "book_state": {"_games_played": null, "_last_active": null, "decay_rate": 0.001, "home_advantage": 20.0, "k": 8.0, "margin_weight": 0.0, "ratings": {"KT": 1557.713343, "LOTTE": 1471.569688}}, "code_sha256": {"features/elo_ratings.py": "8525faf022a6343c452286dbfeb17dbb043744c6bdabbe448b6b371216da439b", "international_baseball.py": "f345eb917316d2e897f62c1cdd0f73153115c65da54c30c6137ad76bb7b27869"}, "home_id": "KT", "tie_method": "flat"}, "market_type": "moneyline", "model_version": "kbo-tie-aware-elo-v2", "observed_at_utc": "2026-09-13T05:00:37.147239+00:00", "outcome_probabilities": {"away": 0.34392819268014524, "draw": 0.02245467, "home": 0.6336171373198548}, "replay_scope": "Exact Elo and tie model; logged value is expected contract settlement, not outright win probability.", "schema": "international-elo-replay-v1", "settlement_values": {"away": 0.355156, "home": 0.644844}, "snapshot_hash": "9efd7e22138dbc320dd1b44b40b35245f5510a218e6d82ce85270b2d5ccb31ad", "sport": "KBO"}</t>
        </is>
      </c>
    </row>
    <row r="129" ht="36" customHeight="1">
      <c r="A129" s="24" t="inlineStr">
        <is>
          <t>91fc570dbc7a440b</t>
        </is>
      </c>
      <c r="B129" s="24" t="inlineStr">
        <is>
          <t>2026-09-15T04:39:55.296063Z</t>
        </is>
      </c>
      <c r="C129" s="24" t="inlineStr">
        <is>
          <t>2026-09-15T09:30:00Z</t>
        </is>
      </c>
      <c r="D129" s="24" t="inlineStr">
        <is>
          <t>110199</t>
        </is>
      </c>
      <c r="E129" s="24" t="inlineStr">
        <is>
          <t>KBO</t>
        </is>
      </c>
      <c r="F129" s="24" t="inlineStr">
        <is>
          <t>Kia Tigers</t>
        </is>
      </c>
      <c r="G129" s="24" t="inlineStr">
        <is>
          <t>SSG Landers</t>
        </is>
      </c>
      <c r="H129" s="24" t="inlineStr">
        <is>
          <t>moneyline</t>
        </is>
      </c>
      <c r="I129" s="24" t="inlineStr">
        <is>
          <t>away</t>
        </is>
      </c>
      <c r="J129" s="25" t="n"/>
      <c r="K129" s="24" t="inlineStr">
        <is>
          <t>polymarket_us</t>
        </is>
      </c>
      <c r="L129" s="26" t="n">
        <v>-117</v>
      </c>
      <c r="M129" s="27" t="n">
        <v>1.854701</v>
      </c>
      <c r="N129" s="28" t="n">
        <v>0.539171</v>
      </c>
      <c r="O129" s="28" t="n">
        <v>0.517045</v>
      </c>
      <c r="P129" s="28" t="n"/>
      <c r="Q129" s="28" t="n">
        <v>-0.022126</v>
      </c>
      <c r="R129" s="26" t="n">
        <v>9</v>
      </c>
      <c r="S129" s="29" t="n">
        <v>1</v>
      </c>
      <c r="T129" s="24" t="inlineStr">
        <is>
          <t>kbo-tie-aware-elo-v2</t>
        </is>
      </c>
      <c r="U129" s="24" t="inlineStr">
        <is>
          <t>settled</t>
        </is>
      </c>
      <c r="V129" s="24" t="inlineStr">
        <is>
          <t>loss</t>
        </is>
      </c>
      <c r="W129" s="26" t="n">
        <v>3</v>
      </c>
      <c r="X129" s="26" t="n">
        <v>6</v>
      </c>
      <c r="Y129" s="25" t="n"/>
      <c r="Z129" s="26" t="n"/>
      <c r="AA129" s="28" t="n"/>
      <c r="AB129" s="28" t="n"/>
      <c r="AC129" s="30" t="n">
        <v>-1</v>
      </c>
      <c r="AD129" s="24" t="inlineStr">
        <is>
          <t>2026-09-15T16:04:51.817234Z</t>
        </is>
      </c>
      <c r="AE129" s="31" t="inlineStr">
        <is>
          <t>Tie-aware Elo baseline; executable ask 0.5400 (market_slug=aec-kbo-sls-kti-2026-09-15). Tie probability=0.0323.</t>
        </is>
      </c>
      <c r="AF129" s="31" t="inlineStr">
        <is>
          <t>Config-promoted international baseball baseline; gates enforced at log time.</t>
        </is>
      </c>
      <c r="AG129" s="24" t="inlineStr">
        <is>
          <t>review_required</t>
        </is>
      </c>
      <c r="AH129" s="24" t="n"/>
      <c r="AI129" s="31" t="n"/>
      <c r="AJ129" s="31" t="n"/>
      <c r="AK129" s="24" t="inlineStr">
        <is>
          <t>paper_call</t>
        </is>
      </c>
      <c r="AL129" s="26" t="n">
        <v>4</v>
      </c>
      <c r="AM129" s="24" t="inlineStr">
        <is>
          <t>RESEARCH_OBSERVATION</t>
        </is>
      </c>
      <c r="AN129" s="24" t="inlineStr">
        <is>
          <t>CALL</t>
        </is>
      </c>
      <c r="AO129" s="24" t="inlineStr">
        <is>
          <t>PAPER_CALL_LOW_EDGE</t>
        </is>
      </c>
      <c r="AP129" s="24" t="inlineStr">
        <is>
          <t>Kia Tigers</t>
        </is>
      </c>
      <c r="AQ129" s="24" t="inlineStr">
        <is>
          <t>Kia Tigers</t>
        </is>
      </c>
      <c r="AR129" s="24" t="inlineStr">
        <is>
          <t>Kia Tigers</t>
        </is>
      </c>
      <c r="AS129" s="24" t="inlineStr">
        <is>
          <t>SSG Landers</t>
        </is>
      </c>
      <c r="AT129" s="24" t="inlineStr">
        <is>
          <t>SSG Landers</t>
        </is>
      </c>
      <c r="AU129" s="24" t="inlineStr">
        <is>
          <t>SSG Landers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784f6c2c2c8a2c8259ace2558d46888fc11aa074755a1fba98afd0bf80e2a5ae</t>
        </is>
      </c>
      <c r="BB129" s="24" t="inlineStr">
        <is>
          <t>tie_aware_elo</t>
        </is>
      </c>
      <c r="BC129" s="24" t="inlineStr">
        <is>
          <t>kbo-tie-aware-elo-v2</t>
        </is>
      </c>
      <c r="BD129" s="24" t="inlineStr">
        <is>
          <t>784f6c2c2c8a2c8259ace2558d46888fc11aa074755a1fba98afd0bf80e2a5ae</t>
        </is>
      </c>
      <c r="BE129" s="24" t="inlineStr">
        <is>
          <t>1</t>
        </is>
      </c>
      <c r="BF129" s="24" t="inlineStr">
        <is>
          <t>1</t>
        </is>
      </c>
      <c r="BG129" s="24" t="inlineStr">
        <is>
          <t>kbo-tie-aware-elo-v2</t>
        </is>
      </c>
      <c r="BH129" s="24" t="inlineStr">
        <is>
          <t>2026-09-15T04:39:55.240197Z</t>
        </is>
      </c>
      <c r="BI129" s="24" t="inlineStr">
        <is>
          <t>["same_event","same_team_same_day","same_league_same_day"]</t>
        </is>
      </c>
      <c r="BJ129" s="25" t="n"/>
      <c r="BK129" s="26" t="n">
        <v>-117</v>
      </c>
      <c r="BL129" s="27" t="n">
        <v>1.854701</v>
      </c>
      <c r="BM129" s="28" t="n">
        <v>0.539171</v>
      </c>
      <c r="BN129" s="28" t="n"/>
      <c r="BO129" s="28" t="n"/>
      <c r="BP129" s="25" t="n"/>
      <c r="BQ129" s="27" t="n"/>
      <c r="BR129" s="28" t="n"/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  <c r="CR129" s="24" t="n"/>
      <c r="CS129" s="24" t="inlineStr">
        <is>
          <t>False</t>
        </is>
      </c>
      <c r="CT129" s="24" t="n"/>
      <c r="CU129" s="24" t="n"/>
      <c r="CV129" s="24" t="n"/>
      <c r="CW129" s="24" t="n"/>
      <c r="CX129" s="24" t="n"/>
      <c r="CY129" s="24" t="n"/>
      <c r="CZ129" s="24" t="n"/>
      <c r="DA129" s="24" t="n"/>
      <c r="DB129" s="24" t="n"/>
      <c r="DC129" s="24" t="n"/>
      <c r="DD129" s="24" t="n"/>
      <c r="DE129" s="24" t="n"/>
      <c r="DF129" s="24" t="n"/>
      <c r="DG129" s="24" t="n"/>
      <c r="DH129" s="24" t="n"/>
      <c r="DI129" s="24" t="n"/>
      <c r="DJ129" s="24" t="inlineStr">
        <is>
          <t>0.539171</t>
        </is>
      </c>
      <c r="DK129" s="24" t="n"/>
      <c r="DL129" s="24" t="n"/>
      <c r="DM129" s="24" t="n"/>
      <c r="DN129" s="24" t="n"/>
      <c r="DO129" s="24" t="n"/>
      <c r="DP129" s="24" t="n"/>
      <c r="DQ129" s="24" t="inlineStr">
        <is>
          <t>{"artifact_hash": "784f6c2c2c8a2c8259ace2558d46888fc11aa074755a1fba98afd0bf80e2a5ae", "away_team": "Kia Tigers", "draw_settlement_value": 0.5, "event_id": "110199", "event_start_utc": "2026-09-15T09:30:00Z", "features": {"away_elo": 1522.610772, "base_tie_rate": 0.02244215, "home_advantage": 20.0, "home_elo": 1490.366298}, "historical_source_observation_times_verified": false, "home_team": "SSG Landers", "inference_inputs": {"away_id": "KIA", "base_tie_rate": 0.02244215, "book_state": {"_games_played": null, "_last_active": null, "decay_rate": 0.001, "home_advantage": 20.0, "k": 8.0, "margin_weight": 0.0, "ratings": {"KIA": 1522.610772, "SSG": 1490.366298}}, "code_sha256": {"features/elo_ratings.py": "8525faf022a6343c452286dbfeb17dbb043744c6bdabbe448b6b371216da439b", "international_baseball.py": "f345eb917316d2e897f62c1cdd0f73153115c65da54c30c6137ad76bb7b27869"}, "home_id": "SSG", "tie_method": "elo_gap"}, "market_type": "moneyline", "model_version": "kbo-tie-aware-elo-v2", "observed_at_utc": "2026-09-15T04:39:53.494436+00:00", "outcome_probabilities": {"away": 0.5009005505472034, "draw": 0.0322892633891045, "home": 0.4668101860636921}, "replay_scope": "Exact Elo and tie model; logged value is expected contract settlement, not outright win probability.", "schema": "international-elo-replay-v1", "settlement_values": {"away": 0.517045, "home": 0.482955}, "snapshot_hash": "49d527cfb62fc147421df1fde121584a1a9acc12ee403656dbe9db044479719c", "sport": "KBO"}</t>
        </is>
      </c>
    </row>
    <row r="130" ht="36" customHeight="1">
      <c r="A130" s="24" t="inlineStr">
        <is>
          <t>99b0f43bcf1140c1</t>
        </is>
      </c>
      <c r="B130" s="24" t="inlineStr">
        <is>
          <t>2026-09-15T04:39:55.296063Z</t>
        </is>
      </c>
      <c r="C130" s="24" t="inlineStr">
        <is>
          <t>2026-09-15T09:30:00Z</t>
        </is>
      </c>
      <c r="D130" s="24" t="inlineStr">
        <is>
          <t>110198</t>
        </is>
      </c>
      <c r="E130" s="24" t="inlineStr">
        <is>
          <t>KBO</t>
        </is>
      </c>
      <c r="F130" s="24" t="inlineStr">
        <is>
          <t>LG Twins</t>
        </is>
      </c>
      <c r="G130" s="24" t="inlineStr">
        <is>
          <t>NC Dinos</t>
        </is>
      </c>
      <c r="H130" s="24" t="inlineStr">
        <is>
          <t>moneyline</t>
        </is>
      </c>
      <c r="I130" s="24" t="inlineStr">
        <is>
          <t>home</t>
        </is>
      </c>
      <c r="J130" s="25" t="n"/>
      <c r="K130" s="24" t="inlineStr">
        <is>
          <t>polymarket_us</t>
        </is>
      </c>
      <c r="L130" s="26" t="n">
        <v>156</v>
      </c>
      <c r="M130" s="27" t="n">
        <v>2.56</v>
      </c>
      <c r="N130" s="28" t="n">
        <v>0.390625</v>
      </c>
      <c r="O130" s="28" t="n">
        <v>0.516195</v>
      </c>
      <c r="P130" s="28" t="n"/>
      <c r="Q130" s="28" t="n">
        <v>0.12557</v>
      </c>
      <c r="R130" s="26" t="n">
        <v>83</v>
      </c>
      <c r="S130" s="29" t="n">
        <v>1.5</v>
      </c>
      <c r="T130" s="24" t="inlineStr">
        <is>
          <t>kbo-tie-aware-elo-v2</t>
        </is>
      </c>
      <c r="U130" s="24" t="inlineStr">
        <is>
          <t>settled</t>
        </is>
      </c>
      <c r="V130" s="24" t="inlineStr">
        <is>
          <t>loss</t>
        </is>
      </c>
      <c r="W130" s="26" t="n">
        <v>3</v>
      </c>
      <c r="X130" s="26" t="n">
        <v>2</v>
      </c>
      <c r="Y130" s="25" t="n"/>
      <c r="Z130" s="26" t="n"/>
      <c r="AA130" s="28" t="n"/>
      <c r="AB130" s="28" t="n"/>
      <c r="AC130" s="30" t="n">
        <v>-1.5</v>
      </c>
      <c r="AD130" s="24" t="inlineStr">
        <is>
          <t>2026-09-15T16:04:52.716927Z</t>
        </is>
      </c>
      <c r="AE130" s="31" t="inlineStr">
        <is>
          <t>Tie-aware Elo baseline; executable ask 0.3900 (market_slug=aec-kbo-ndc-ltg-2026-09-15). Tie probability=0.0324.</t>
        </is>
      </c>
      <c r="AF130" s="31" t="inlineStr">
        <is>
          <t>Config-promoted international baseball baseline; gates enforced at log time.</t>
        </is>
      </c>
      <c r="AG130" s="24" t="inlineStr">
        <is>
          <t>review_required</t>
        </is>
      </c>
      <c r="AH130" s="24" t="n"/>
      <c r="AI130" s="31" t="n"/>
      <c r="AJ130" s="31" t="n"/>
      <c r="AK130" s="24" t="inlineStr">
        <is>
          <t>paper_call</t>
        </is>
      </c>
      <c r="AL130" s="26" t="n">
        <v>4</v>
      </c>
      <c r="AM130" s="24" t="inlineStr">
        <is>
          <t>RESEARCH_OBSERVATION</t>
        </is>
      </c>
      <c r="AN130" s="24" t="inlineStr">
        <is>
          <t>CALL</t>
        </is>
      </c>
      <c r="AO130" s="24" t="inlineStr">
        <is>
          <t>PAPER_CALL_LOW_EDGE</t>
        </is>
      </c>
      <c r="AP130" s="24" t="inlineStr">
        <is>
          <t>LG Twins</t>
        </is>
      </c>
      <c r="AQ130" s="24" t="inlineStr">
        <is>
          <t>LG Twins</t>
        </is>
      </c>
      <c r="AR130" s="24" t="inlineStr">
        <is>
          <t>LG Twins</t>
        </is>
      </c>
      <c r="AS130" s="24" t="inlineStr">
        <is>
          <t>NC Dinos</t>
        </is>
      </c>
      <c r="AT130" s="24" t="inlineStr">
        <is>
          <t>NC Dinos</t>
        </is>
      </c>
      <c r="AU130" s="24" t="inlineStr">
        <is>
          <t>NC Dinos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784f6c2c2c8a2c8259ace2558d46888fc11aa074755a1fba98afd0bf80e2a5ae</t>
        </is>
      </c>
      <c r="BB130" s="24" t="inlineStr">
        <is>
          <t>tie_aware_elo</t>
        </is>
      </c>
      <c r="BC130" s="24" t="inlineStr">
        <is>
          <t>kbo-tie-aware-elo-v2</t>
        </is>
      </c>
      <c r="BD130" s="24" t="inlineStr">
        <is>
          <t>784f6c2c2c8a2c8259ace2558d46888fc11aa074755a1fba98afd0bf80e2a5ae</t>
        </is>
      </c>
      <c r="BE130" s="24" t="inlineStr">
        <is>
          <t>1</t>
        </is>
      </c>
      <c r="BF130" s="24" t="inlineStr">
        <is>
          <t>1</t>
        </is>
      </c>
      <c r="BG130" s="24" t="inlineStr">
        <is>
          <t>kbo-tie-aware-elo-v2</t>
        </is>
      </c>
      <c r="BH130" s="24" t="inlineStr">
        <is>
          <t>2026-09-15T04:39:55.295773Z</t>
        </is>
      </c>
      <c r="BI130" s="24" t="inlineStr">
        <is>
          <t>["same_event","same_team_same_day","same_league_same_day"]</t>
        </is>
      </c>
      <c r="BJ130" s="25" t="n"/>
      <c r="BK130" s="26" t="n">
        <v>156</v>
      </c>
      <c r="BL130" s="27" t="n">
        <v>2.56</v>
      </c>
      <c r="BM130" s="28" t="n">
        <v>0.390625</v>
      </c>
      <c r="BN130" s="28" t="n"/>
      <c r="BO130" s="28" t="n"/>
      <c r="BP130" s="25" t="n"/>
      <c r="BQ130" s="27" t="n"/>
      <c r="BR130" s="28" t="n"/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  <c r="CR130" s="24" t="n"/>
      <c r="CS130" s="24" t="inlineStr">
        <is>
          <t>True</t>
        </is>
      </c>
      <c r="CT130" s="24" t="n"/>
      <c r="CU130" s="24" t="n"/>
      <c r="CV130" s="24" t="n"/>
      <c r="CW130" s="24" t="n"/>
      <c r="CX130" s="24" t="n"/>
      <c r="CY130" s="24" t="n"/>
      <c r="CZ130" s="24" t="n"/>
      <c r="DA130" s="24" t="n"/>
      <c r="DB130" s="24" t="n"/>
      <c r="DC130" s="24" t="n"/>
      <c r="DD130" s="24" t="n"/>
      <c r="DE130" s="24" t="n"/>
      <c r="DF130" s="24" t="n"/>
      <c r="DG130" s="24" t="n"/>
      <c r="DH130" s="24" t="n"/>
      <c r="DI130" s="24" t="n"/>
      <c r="DJ130" s="24" t="inlineStr">
        <is>
          <t>0.390625</t>
        </is>
      </c>
      <c r="DK130" s="24" t="n"/>
      <c r="DL130" s="24" t="n"/>
      <c r="DM130" s="24" t="n"/>
      <c r="DN130" s="24" t="n"/>
      <c r="DO130" s="24" t="n"/>
      <c r="DP130" s="24" t="n"/>
      <c r="DQ130" s="24" t="inlineStr">
        <is>
          <t>{"artifact_hash": "784f6c2c2c8a2c8259ace2558d46888fc11aa074755a1fba98afd0bf80e2a5ae", "away_team": "LG Twins", "draw_settlement_value": 0.5, "event_id": "110198", "event_start_utc": "2026-09-15T09:30:00Z", "features": {"away_elo": 1519.672186, "base_tie_rate": 0.02244215, "home_advantage": 20.0, "home_elo": 1511.306545}, "historical_source_observation_times_verified": false, "home_team": "NC Dinos", "inference_inputs": {"away_id": "LG", "base_tie_rate": 0.02244215, "book_state": {"_games_played": null, "_last_active": null, "decay_rate": 0.001, "home_advantage": 20.0, "k": 8.0, "margin_weight": 0.0, "ratings": {"LG": 1519.672186, "NC": 1511.306545}}, "code_sha256": {"features/elo_ratings.py": "8525faf022a6343c452286dbfeb17dbb043744c6bdabbe448b6b371216da439b", "international_baseball.py": "f345eb917316d2e897f62c1cdd0f73153115c65da54c30c6137ad76bb7b27869"}, "home_id": "NC", "tie_method": "elo_gap"}, "market_type": "moneyline", "model_version": "kbo-tie-aware-elo-v2", "observed_at_utc": "2026-09-15T04:39:53.494436+00:00", "outcome_probabilities": {"away": 0.4676257735980906, "draw": 0.03235772485084076, "home": 0.5000165015510686}, "replay_scope": "Exact Elo and tie model; logged value is expected contract settlement, not outright win probability.", "schema": "international-elo-replay-v1", "settlement_values": {"away": 0.483805, "home": 0.516195}, "snapshot_hash": "58d6d37123c35f6200ce25d813e8775ac29ec722c105c66ab23bd98564af7838", "sport": "KBO"}</t>
        </is>
      </c>
    </row>
    <row r="131" ht="36" customHeight="1">
      <c r="A131" s="24" t="inlineStr">
        <is>
          <t>add18b8443d74e6b</t>
        </is>
      </c>
      <c r="B131" s="24" t="inlineStr">
        <is>
          <t>2026-09-16T06:45:52.592652Z</t>
        </is>
      </c>
      <c r="C131" s="24" t="inlineStr">
        <is>
          <t>2026-09-16T09:30:00Z</t>
        </is>
      </c>
      <c r="D131" s="24" t="inlineStr">
        <is>
          <t>111427</t>
        </is>
      </c>
      <c r="E131" s="24" t="inlineStr">
        <is>
          <t>KBO</t>
        </is>
      </c>
      <c r="F131" s="24" t="inlineStr">
        <is>
          <t>LG Twins</t>
        </is>
      </c>
      <c r="G131" s="24" t="inlineStr">
        <is>
          <t>NC Dinos</t>
        </is>
      </c>
      <c r="H131" s="24" t="inlineStr">
        <is>
          <t>moneyline</t>
        </is>
      </c>
      <c r="I131" s="24" t="inlineStr">
        <is>
          <t>home</t>
        </is>
      </c>
      <c r="J131" s="25" t="n"/>
      <c r="K131" s="24" t="inlineStr">
        <is>
          <t>polymarket_us</t>
        </is>
      </c>
      <c r="L131" s="26" t="n">
        <v>108</v>
      </c>
      <c r="M131" s="27" t="n">
        <v>2.08</v>
      </c>
      <c r="N131" s="28" t="n">
        <v>0.480769</v>
      </c>
      <c r="O131" s="28" t="n">
        <v>0.504753</v>
      </c>
      <c r="P131" s="28" t="n"/>
      <c r="Q131" s="28" t="n">
        <v>0.023984</v>
      </c>
      <c r="R131" s="26" t="n">
        <v>32</v>
      </c>
      <c r="S131" s="29" t="n">
        <v>1</v>
      </c>
      <c r="T131" s="24" t="inlineStr">
        <is>
          <t>kbo-tie-aware-elo-v2</t>
        </is>
      </c>
      <c r="U131" s="24" t="inlineStr">
        <is>
          <t>settled</t>
        </is>
      </c>
      <c r="V131" s="24" t="inlineStr">
        <is>
          <t>loss</t>
        </is>
      </c>
      <c r="W131" s="26" t="n">
        <v>9</v>
      </c>
      <c r="X131" s="26" t="n">
        <v>2</v>
      </c>
      <c r="Y131" s="25" t="n"/>
      <c r="Z131" s="26" t="n"/>
      <c r="AA131" s="28" t="n"/>
      <c r="AB131" s="28" t="n"/>
      <c r="AC131" s="30" t="n">
        <v>-1</v>
      </c>
      <c r="AD131" s="24" t="inlineStr">
        <is>
          <t>2026-09-16T16:02:59.722267Z</t>
        </is>
      </c>
      <c r="AE131" s="31" t="inlineStr">
        <is>
          <t>Tie-aware Elo baseline; executable ask 0.4800 (market_slug=aec-kbo-ndc-ltg-2026-09-16). Tie probability=0.0333.</t>
        </is>
      </c>
      <c r="AF131" s="31" t="inlineStr">
        <is>
          <t>Config-promoted international baseball baseline; gates enforced at log time.</t>
        </is>
      </c>
      <c r="AG131" s="24" t="inlineStr">
        <is>
          <t>review_required</t>
        </is>
      </c>
      <c r="AH131" s="24" t="n"/>
      <c r="AI131" s="31" t="n"/>
      <c r="AJ131" s="31" t="n"/>
      <c r="AK131" s="24" t="inlineStr">
        <is>
          <t>paper_call</t>
        </is>
      </c>
      <c r="AL131" s="26" t="n">
        <v>4</v>
      </c>
      <c r="AM131" s="24" t="inlineStr">
        <is>
          <t>RESEARCH_OBSERVATION</t>
        </is>
      </c>
      <c r="AN131" s="24" t="inlineStr">
        <is>
          <t>CALL</t>
        </is>
      </c>
      <c r="AO131" s="24" t="inlineStr">
        <is>
          <t>PAPER_CALL_LOW_EDGE</t>
        </is>
      </c>
      <c r="AP131" s="24" t="inlineStr">
        <is>
          <t>LG Twins</t>
        </is>
      </c>
      <c r="AQ131" s="24" t="inlineStr">
        <is>
          <t>LG Twins</t>
        </is>
      </c>
      <c r="AR131" s="24" t="inlineStr">
        <is>
          <t>LG Twins</t>
        </is>
      </c>
      <c r="AS131" s="24" t="inlineStr">
        <is>
          <t>NC Dinos</t>
        </is>
      </c>
      <c r="AT131" s="24" t="inlineStr">
        <is>
          <t>NC Dinos</t>
        </is>
      </c>
      <c r="AU131" s="24" t="inlineStr">
        <is>
          <t>NC Dinos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0a836e08ec3d7c60321a9701322faf28944d7e3eb3df5060298723d5e3e1ff17</t>
        </is>
      </c>
      <c r="BB131" s="24" t="inlineStr">
        <is>
          <t>tie_aware_elo</t>
        </is>
      </c>
      <c r="BC131" s="24" t="inlineStr">
        <is>
          <t>kbo-tie-aware-elo-v2</t>
        </is>
      </c>
      <c r="BD131" s="24" t="inlineStr">
        <is>
          <t>0a836e08ec3d7c60321a9701322faf28944d7e3eb3df5060298723d5e3e1ff17</t>
        </is>
      </c>
      <c r="BE131" s="24" t="inlineStr">
        <is>
          <t>1</t>
        </is>
      </c>
      <c r="BF131" s="24" t="inlineStr">
        <is>
          <t>1</t>
        </is>
      </c>
      <c r="BG131" s="24" t="inlineStr">
        <is>
          <t>kbo-tie-aware-elo-v2</t>
        </is>
      </c>
      <c r="BH131" s="24" t="inlineStr">
        <is>
          <t>2026-09-16T06:45:52.503886Z</t>
        </is>
      </c>
      <c r="BI131" s="24" t="inlineStr">
        <is>
          <t>["same_event","same_team_same_day","same_league_same_day"]</t>
        </is>
      </c>
      <c r="BJ131" s="25" t="n"/>
      <c r="BK131" s="26" t="n">
        <v>108</v>
      </c>
      <c r="BL131" s="27" t="n">
        <v>2.08</v>
      </c>
      <c r="BM131" s="28" t="n">
        <v>0.480769</v>
      </c>
      <c r="BN131" s="28" t="n"/>
      <c r="BO131" s="28" t="n"/>
      <c r="BP131" s="25" t="n"/>
      <c r="BQ131" s="27" t="n"/>
      <c r="BR131" s="28" t="n"/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  <c r="CR131" s="24" t="n"/>
      <c r="CS131" s="24" t="inlineStr">
        <is>
          <t>True</t>
        </is>
      </c>
      <c r="CT131" s="24" t="n"/>
      <c r="CU131" s="24" t="n"/>
      <c r="CV131" s="24" t="n"/>
      <c r="CW131" s="24" t="n"/>
      <c r="CX131" s="24" t="n"/>
      <c r="CY131" s="24" t="n"/>
      <c r="CZ131" s="24" t="n"/>
      <c r="DA131" s="24" t="n"/>
      <c r="DB131" s="24" t="n"/>
      <c r="DC131" s="24" t="n"/>
      <c r="DD131" s="24" t="n"/>
      <c r="DE131" s="24" t="n"/>
      <c r="DF131" s="24" t="n"/>
      <c r="DG131" s="24" t="n"/>
      <c r="DH131" s="24" t="n"/>
      <c r="DI131" s="24" t="n"/>
      <c r="DJ131" s="24" t="inlineStr">
        <is>
          <t>0.480769</t>
        </is>
      </c>
      <c r="DK131" s="24" t="n"/>
      <c r="DL131" s="24" t="n"/>
      <c r="DM131" s="24" t="n"/>
      <c r="DN131" s="24" t="n"/>
      <c r="DO131" s="24" t="n"/>
      <c r="DP131" s="24" t="n"/>
      <c r="DQ131" s="24" t="inlineStr">
        <is>
          <t>{"artifact_hash": "0a836e08ec3d7c60321a9701322faf28944d7e3eb3df5060298723d5e3e1ff17", "away_team": "LG Twins", "draw_settlement_value": 0.5, "event_id": "111427", "event_start_utc": "2026-09-16T09:30:00Z", "features": {"away_elo": 1523.688343, "base_tie_rate": 0.02242965, "home_advantage": 20.0, "home_elo": 1507.10498}, "historical_source_observation_times_verified": false, "home_team": "NC Dinos", "inference_inputs": {"away_id": "LG", "base_tie_rate": 0.02242965, "book_state": {"_games_played": null, "_last_active": null, "decay_rate": 0.001, "home_advantage": 20.0, "k": 8.0, "margin_weight": 0.0, "ratings": {"LG": 1523.688343, "NC": 1507.10498}}, "code_sha256": {"features/elo_ratings.py": "8525faf022a6343c452286dbfeb17dbb043744c6bdabbe448b6b371216da439b", "international_baseball.py": "f345eb917316d2e897f62c1cdd0f73153115c65da54c30c6137ad76bb7b27869"}, "home_id": "NC", "tie_method": "elo_gap"}, "market_type": "moneyline", "model_version": "kbo-tie-aware-elo-v2", "observed_at_utc": "2026-09-16T06:45:42.021994+00:00", "outcome_probabilities": {"away": 0.4786161084647063, "draw": 0.03326130513956475, "home": 0.488122586395729}, "replay_scope": "Exact Elo and tie model; logged value is expected contract settlement, not outright win probability.", "schema": "international-elo-replay-v1", "settlement_values": {"away": 0.495247, "home": 0.504753}, "snapshot_hash": "bebf0bb35d5f37c0cebddfa4b4071e99db95bf5daaa535ada7ed901b2b676109", "sport": "KBO"}</t>
        </is>
      </c>
    </row>
    <row r="132" ht="36" customHeight="1">
      <c r="A132" s="24" t="inlineStr">
        <is>
          <t>d388d9629800473c</t>
        </is>
      </c>
      <c r="B132" s="24" t="inlineStr">
        <is>
          <t>2026-09-16T06:45:52.592652Z</t>
        </is>
      </c>
      <c r="C132" s="24" t="inlineStr">
        <is>
          <t>2026-09-16T09:30:00Z</t>
        </is>
      </c>
      <c r="D132" s="24" t="inlineStr">
        <is>
          <t>111393</t>
        </is>
      </c>
      <c r="E132" s="24" t="inlineStr">
        <is>
          <t>KBO</t>
        </is>
      </c>
      <c r="F132" s="24" t="inlineStr">
        <is>
          <t>Samsung Lions</t>
        </is>
      </c>
      <c r="G132" s="24" t="inlineStr">
        <is>
          <t>Doosan Bears</t>
        </is>
      </c>
      <c r="H132" s="24" t="inlineStr">
        <is>
          <t>moneyline</t>
        </is>
      </c>
      <c r="I132" s="24" t="inlineStr">
        <is>
          <t>away</t>
        </is>
      </c>
      <c r="J132" s="25" t="n"/>
      <c r="K132" s="24" t="inlineStr">
        <is>
          <t>polymarket_us</t>
        </is>
      </c>
      <c r="L132" s="26" t="n">
        <v>-144</v>
      </c>
      <c r="M132" s="27" t="n">
        <v>1.694444</v>
      </c>
      <c r="N132" s="28" t="n">
        <v>0.590164</v>
      </c>
      <c r="O132" s="28" t="n">
        <v>0.5271400000000001</v>
      </c>
      <c r="P132" s="28" t="n"/>
      <c r="Q132" s="28" t="n">
        <v>-0.063024</v>
      </c>
      <c r="R132" s="26" t="n">
        <v>0</v>
      </c>
      <c r="S132" s="29" t="n">
        <v>1</v>
      </c>
      <c r="T132" s="24" t="inlineStr">
        <is>
          <t>kbo-tie-aware-elo-v2</t>
        </is>
      </c>
      <c r="U132" s="24" t="inlineStr">
        <is>
          <t>settled</t>
        </is>
      </c>
      <c r="V132" s="24" t="inlineStr">
        <is>
          <t>loss</t>
        </is>
      </c>
      <c r="W132" s="26" t="n">
        <v>1</v>
      </c>
      <c r="X132" s="26" t="n">
        <v>3</v>
      </c>
      <c r="Y132" s="25" t="n"/>
      <c r="Z132" s="26" t="n">
        <v>-144</v>
      </c>
      <c r="AA132" s="28" t="n">
        <v>0.59</v>
      </c>
      <c r="AB132" s="28" t="n">
        <v>-0.000164</v>
      </c>
      <c r="AC132" s="30" t="n">
        <v>-1</v>
      </c>
      <c r="AD132" s="24" t="inlineStr">
        <is>
          <t>2026-09-16T16:03:00.295381Z</t>
        </is>
      </c>
      <c r="AE132" s="31" t="inlineStr">
        <is>
          <t>Tie-aware Elo baseline; executable ask 0.5900 (market_slug=aec-kbo-dbo-sla-2026-09-16). Tie probability=0.0315.</t>
        </is>
      </c>
      <c r="AF132" s="31" t="inlineStr">
        <is>
          <t>Config-promoted international baseball baseline; gates enforced at log time.</t>
        </is>
      </c>
      <c r="AG132" s="24" t="inlineStr">
        <is>
          <t>review_required</t>
        </is>
      </c>
      <c r="AH132" s="24" t="n"/>
      <c r="AI132" s="31" t="n"/>
      <c r="AJ132" s="31" t="n"/>
      <c r="AK132" s="24" t="inlineStr">
        <is>
          <t>paper_call</t>
        </is>
      </c>
      <c r="AL132" s="26" t="n">
        <v>4</v>
      </c>
      <c r="AM132" s="24" t="inlineStr">
        <is>
          <t>RESEARCH_OBSERVATION</t>
        </is>
      </c>
      <c r="AN132" s="24" t="inlineStr">
        <is>
          <t>CALL</t>
        </is>
      </c>
      <c r="AO132" s="24" t="inlineStr">
        <is>
          <t>PAPER_CALL_LOW_EDGE</t>
        </is>
      </c>
      <c r="AP132" s="24" t="inlineStr">
        <is>
          <t>Samsung Lions</t>
        </is>
      </c>
      <c r="AQ132" s="24" t="inlineStr">
        <is>
          <t>Samsung Lions</t>
        </is>
      </c>
      <c r="AR132" s="24" t="inlineStr">
        <is>
          <t>Samsung Lions</t>
        </is>
      </c>
      <c r="AS132" s="24" t="inlineStr">
        <is>
          <t>Doosan Bears</t>
        </is>
      </c>
      <c r="AT132" s="24" t="inlineStr">
        <is>
          <t>Doosan Bears</t>
        </is>
      </c>
      <c r="AU132" s="24" t="inlineStr">
        <is>
          <t>Doosan Bears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0a836e08ec3d7c60321a9701322faf28944d7e3eb3df5060298723d5e3e1ff17</t>
        </is>
      </c>
      <c r="BB132" s="24" t="inlineStr">
        <is>
          <t>tie_aware_elo</t>
        </is>
      </c>
      <c r="BC132" s="24" t="inlineStr">
        <is>
          <t>kbo-tie-aware-elo-v2</t>
        </is>
      </c>
      <c r="BD132" s="24" t="inlineStr">
        <is>
          <t>0a836e08ec3d7c60321a9701322faf28944d7e3eb3df5060298723d5e3e1ff17</t>
        </is>
      </c>
      <c r="BE132" s="24" t="inlineStr">
        <is>
          <t>1</t>
        </is>
      </c>
      <c r="BF132" s="24" t="inlineStr">
        <is>
          <t>1</t>
        </is>
      </c>
      <c r="BG132" s="24" t="inlineStr">
        <is>
          <t>kbo-tie-aware-elo-v2</t>
        </is>
      </c>
      <c r="BH132" s="24" t="inlineStr">
        <is>
          <t>2026-09-16T06:45:52.592591Z</t>
        </is>
      </c>
      <c r="BI132" s="24" t="inlineStr">
        <is>
          <t>["same_event","same_team_same_day","same_league_same_day"]</t>
        </is>
      </c>
      <c r="BJ132" s="25" t="n"/>
      <c r="BK132" s="26" t="n">
        <v>-144</v>
      </c>
      <c r="BL132" s="27" t="n">
        <v>1.694444</v>
      </c>
      <c r="BM132" s="28" t="n">
        <v>0.590164</v>
      </c>
      <c r="BN132" s="28" t="n"/>
      <c r="BO132" s="28" t="n"/>
      <c r="BP132" s="25" t="n"/>
      <c r="BQ132" s="27" t="n">
        <v>1.694444</v>
      </c>
      <c r="BR132" s="28" t="n">
        <v>0.59</v>
      </c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  <c r="CR132" s="24" t="n"/>
      <c r="CS132" s="24" t="inlineStr">
        <is>
          <t>False</t>
        </is>
      </c>
      <c r="CT132" s="24" t="n"/>
      <c r="CU132" s="24" t="n"/>
      <c r="CV132" s="24" t="n"/>
      <c r="CW132" s="24" t="n"/>
      <c r="CX132" s="24" t="n"/>
      <c r="CY132" s="24" t="n"/>
      <c r="CZ132" s="24" t="n"/>
      <c r="DA132" s="24" t="n"/>
      <c r="DB132" s="24" t="n"/>
      <c r="DC132" s="24" t="n"/>
      <c r="DD132" s="24" t="n"/>
      <c r="DE132" s="24" t="n"/>
      <c r="DF132" s="24" t="n"/>
      <c r="DG132" s="24" t="n"/>
      <c r="DH132" s="24" t="n"/>
      <c r="DI132" s="24" t="n"/>
      <c r="DJ132" s="24" t="inlineStr">
        <is>
          <t>0.590164</t>
        </is>
      </c>
      <c r="DK132" s="24" t="n"/>
      <c r="DL132" s="24" t="n"/>
      <c r="DM132" s="24" t="n"/>
      <c r="DN132" s="24" t="n"/>
      <c r="DO132" s="24" t="n"/>
      <c r="DP132" s="24" t="n"/>
      <c r="DQ132" s="24" t="inlineStr">
        <is>
          <t>{"artifact_hash": "0a836e08ec3d7c60321a9701322faf28944d7e3eb3df5060298723d5e3e1ff17", "away_team": "Samsung Lions", "draw_settlement_value": 0.5, "event_id": "111393", "event_start_utc": "2026-09-16T09:30:00Z", "features": {"away_elo": 1543.224078, "base_tie_rate": 0.02242965, "home_advantage": 20.0, "home_elo": 1503.732022}, "historical_source_observation_times_verified": false, "home_team": "Doosan Bears", "inference_inputs": {"away_id": "SAMSUNG", "base_tie_rate": 0.02242965, "book_state": {"_games_played": null, "_last_active": null, "decay_rate": 0.001, "home_advantage": 20.0, "k": 8.0, "margin_weight": 0.0, "ratings": {"DOOSAN": 1503.732022, "SAMSUNG": 1543.224078}}, "code_sha256": {"features/elo_ratings.py": "8525faf022a6343c452286dbfeb17dbb043744c6bdabbe448b6b371216da439b", "international_baseball.py": "f345eb917316d2e897f62c1cdd0f73153115c65da54c30c6137ad76bb7b27869"}, "home_id": "DOOSAN", "tie_method": "elo_gap"}, "market_type": "moneyline", "model_version": "kbo-tie-aware-elo-v2", "observed_at_utc": "2026-09-16T06:45:42.021994+00:00", "outcome_probabilities": {"away": 0.5114111652151029, "draw": 0.03145847503069799, "home": 0.45713035975419913}, "replay_scope": "Exact Elo and tie model; logged value is expected contract settlement, not outright win probability.", "schema": "international-elo-replay-v1", "settlement_values": {"away": 0.52714, "home": 0.47286}, "snapshot_hash": "7b0ada7357ad2773239fb706e605be4e2010751b3ed1a30b5c8aec0407869466", "sport": "KBO"}</t>
        </is>
      </c>
    </row>
    <row r="133" ht="36" customHeight="1">
      <c r="A133" s="24" t="inlineStr">
        <is>
          <t>d80aa5ec39a04beb</t>
        </is>
      </c>
      <c r="B133" s="24" t="inlineStr">
        <is>
          <t>2026-09-18T07:43:22.898108Z</t>
        </is>
      </c>
      <c r="C133" s="24" t="inlineStr">
        <is>
          <t>2026-09-18T09:30:00Z</t>
        </is>
      </c>
      <c r="D133" s="24" t="inlineStr">
        <is>
          <t>113385</t>
        </is>
      </c>
      <c r="E133" s="24" t="inlineStr">
        <is>
          <t>KBO</t>
        </is>
      </c>
      <c r="F133" s="24" t="inlineStr">
        <is>
          <t>LG Twins</t>
        </is>
      </c>
      <c r="G133" s="24" t="inlineStr">
        <is>
          <t>KT Wiz</t>
        </is>
      </c>
      <c r="H133" s="24" t="inlineStr">
        <is>
          <t>moneyline</t>
        </is>
      </c>
      <c r="I133" s="24" t="inlineStr">
        <is>
          <t>home</t>
        </is>
      </c>
      <c r="J133" s="25" t="n"/>
      <c r="K133" s="24" t="inlineStr">
        <is>
          <t>polymarket_us</t>
        </is>
      </c>
      <c r="L133" s="26" t="n">
        <v>-127</v>
      </c>
      <c r="M133" s="27" t="n">
        <v>1.787402</v>
      </c>
      <c r="N133" s="28" t="n">
        <v>0.5594710000000001</v>
      </c>
      <c r="O133" s="28" t="n">
        <v>0.576053</v>
      </c>
      <c r="P133" s="28" t="n"/>
      <c r="Q133" s="28" t="n">
        <v>0.016582</v>
      </c>
      <c r="R133" s="26" t="n">
        <v>28</v>
      </c>
      <c r="S133" s="29" t="n">
        <v>1</v>
      </c>
      <c r="T133" s="24" t="inlineStr">
        <is>
          <t>kbo-tie-aware-elo-v2</t>
        </is>
      </c>
      <c r="U133" s="24" t="inlineStr">
        <is>
          <t>settled</t>
        </is>
      </c>
      <c r="V133" s="24" t="inlineStr">
        <is>
          <t>loss</t>
        </is>
      </c>
      <c r="W133" s="26" t="n">
        <v>12</v>
      </c>
      <c r="X133" s="26" t="n">
        <v>1</v>
      </c>
      <c r="Y133" s="25" t="n"/>
      <c r="Z133" s="26" t="n"/>
      <c r="AA133" s="28" t="n"/>
      <c r="AB133" s="28" t="n"/>
      <c r="AC133" s="30" t="n">
        <v>-1</v>
      </c>
      <c r="AD133" s="24" t="inlineStr">
        <is>
          <t>2026-09-18T16:28:26.436580Z</t>
        </is>
      </c>
      <c r="AE133" s="31" t="inlineStr">
        <is>
          <t>Tie-aware Elo baseline; executable ask 0.5600 (market_slug=aec-kbo-kwt-ltg-2026-09-18). Tie probability=0.0226.</t>
        </is>
      </c>
      <c r="AF133" s="31" t="inlineStr">
        <is>
          <t>Config-promoted international baseball baseline; gates enforced at log time.</t>
        </is>
      </c>
      <c r="AG133" s="24" t="inlineStr">
        <is>
          <t>review_required</t>
        </is>
      </c>
      <c r="AH133" s="24" t="n"/>
      <c r="AI133" s="31" t="n"/>
      <c r="AJ133" s="31" t="n"/>
      <c r="AK133" s="24" t="inlineStr">
        <is>
          <t>paper_call</t>
        </is>
      </c>
      <c r="AL133" s="26" t="n">
        <v>4</v>
      </c>
      <c r="AM133" s="24" t="inlineStr">
        <is>
          <t>RESEARCH_OBSERVATION</t>
        </is>
      </c>
      <c r="AN133" s="24" t="inlineStr">
        <is>
          <t>CALL</t>
        </is>
      </c>
      <c r="AO133" s="24" t="inlineStr">
        <is>
          <t>PAPER_CALL_LOW_EDGE</t>
        </is>
      </c>
      <c r="AP133" s="24" t="inlineStr">
        <is>
          <t>LG Twins</t>
        </is>
      </c>
      <c r="AQ133" s="24" t="inlineStr">
        <is>
          <t>LG Twins</t>
        </is>
      </c>
      <c r="AR133" s="24" t="inlineStr">
        <is>
          <t>LG Twins</t>
        </is>
      </c>
      <c r="AS133" s="24" t="inlineStr">
        <is>
          <t>KT Wiz</t>
        </is>
      </c>
      <c r="AT133" s="24" t="inlineStr">
        <is>
          <t>KT Wiz</t>
        </is>
      </c>
      <c r="AU133" s="24" t="inlineStr">
        <is>
          <t>KT Wiz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shadow_qualified</t>
        </is>
      </c>
      <c r="BA133" s="24" t="inlineStr">
        <is>
          <t>8105ec70052dc622aefdb59e09332b0a939c2a3ac09dfd38148d717910f0aed1</t>
        </is>
      </c>
      <c r="BB133" s="24" t="inlineStr">
        <is>
          <t>tie_aware_elo</t>
        </is>
      </c>
      <c r="BC133" s="24" t="inlineStr">
        <is>
          <t>kbo-tie-aware-elo-v2</t>
        </is>
      </c>
      <c r="BD133" s="24" t="inlineStr">
        <is>
          <t>8105ec70052dc622aefdb59e09332b0a939c2a3ac09dfd38148d717910f0aed1</t>
        </is>
      </c>
      <c r="BE133" s="24" t="inlineStr">
        <is>
          <t>1</t>
        </is>
      </c>
      <c r="BF133" s="24" t="inlineStr">
        <is>
          <t>1</t>
        </is>
      </c>
      <c r="BG133" s="24" t="inlineStr">
        <is>
          <t>kbo-tie-aware-elo-v2</t>
        </is>
      </c>
      <c r="BH133" s="24" t="inlineStr">
        <is>
          <t>2026-09-18T07:43:22.752230Z</t>
        </is>
      </c>
      <c r="BI133" s="24" t="inlineStr">
        <is>
          <t>["same_event","same_team_same_day","same_league_same_day"]</t>
        </is>
      </c>
      <c r="BJ133" s="25" t="n"/>
      <c r="BK133" s="26" t="n">
        <v>-127</v>
      </c>
      <c r="BL133" s="27" t="n">
        <v>1.787402</v>
      </c>
      <c r="BM133" s="28" t="n">
        <v>0.5594710000000001</v>
      </c>
      <c r="BN133" s="28" t="n"/>
      <c r="BO133" s="28" t="n"/>
      <c r="BP133" s="25" t="n"/>
      <c r="BQ133" s="27" t="n"/>
      <c r="BR133" s="28" t="n"/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  <c r="CR133" s="24" t="n"/>
      <c r="CS133" s="24" t="inlineStr">
        <is>
          <t>True</t>
        </is>
      </c>
      <c r="CT133" s="24" t="n"/>
      <c r="CU133" s="24" t="n"/>
      <c r="CV133" s="24" t="n"/>
      <c r="CW133" s="24" t="n"/>
      <c r="CX133" s="24" t="n"/>
      <c r="CY133" s="24" t="n"/>
      <c r="CZ133" s="24" t="n"/>
      <c r="DA133" s="24" t="n"/>
      <c r="DB133" s="24" t="n"/>
      <c r="DC133" s="24" t="n"/>
      <c r="DD133" s="24" t="n"/>
      <c r="DE133" s="24" t="n"/>
      <c r="DF133" s="24" t="n"/>
      <c r="DG133" s="24" t="n"/>
      <c r="DH133" s="24" t="n"/>
      <c r="DI133" s="24" t="n"/>
      <c r="DJ133" s="24" t="inlineStr">
        <is>
          <t>0.559471</t>
        </is>
      </c>
      <c r="DK133" s="24" t="n"/>
      <c r="DL133" s="24" t="n"/>
      <c r="DM133" s="24" t="n"/>
      <c r="DN133" s="24" t="n"/>
      <c r="DO133" s="24" t="n"/>
      <c r="DP133" s="24" t="n"/>
      <c r="DQ133" s="24" t="inlineStr">
        <is>
          <t>{"artifact_hash": "8105ec70052dc622aefdb59e09332b0a939c2a3ac09dfd38148d717910f0aed1", "away_team": "LG Twins", "draw_settlement_value": 0.5, "event_id": "113385", "event_start_utc": "2026-09-18T09:30:00Z", "features": {"away_elo": 1527.624991, "base_tie_rate": 0.02255011, "home_advantage": 20.0, "home_elo": 1562.134275}, "historical_source_observation_times_verified": false, "home_team": "KT Wiz", "inference_inputs": {"away_id": "LG", "base_tie_rate": 0.02255011, "book_state": {"_games_played": null, "_last_active": null, "decay_rate": 0.001, "home_advantage": 20.0, "k": 8.0, "margin_weight": 0.0, "ratings": {"KT": 1562.134275, "LG": 1527.624991}}, "code_sha256": {"features/elo_ratings.py": "8525faf022a6343c452286dbfeb17dbb043744c6bdabbe448b6b371216da439b", "international_baseball.py": "f345eb917316d2e897f62c1cdd0f73153115c65da54c30c6137ad76bb7b27869"}, "home_id": "KT", "tie_method": "flat"}, "market_type": "moneyline", "model_version": "kbo-tie-aware-elo-v2", "observed_at_utc": "2026-09-18T07:43:22.625229+00:00", "outcome_probabilities": {"away": 0.4126717110828646, "draw": 0.02255011, "home": 0.5647781789171354}, "replay_scope": "Exact Elo and tie model; logged value is expected contract settlement, not outright win probability.", "schema": "international-elo-replay-v1", "settlement_values": {"away": 0.423947, "home": 0.576053}, "snapshot_hash": "91cf2d6a41b1f7c44ed9db2c1a8547ca35625b3e1d19ca7ac51eeb341662d6c8", "sport": "KBO"}</t>
        </is>
      </c>
    </row>
    <row r="134" ht="36" customHeight="1">
      <c r="A134" s="24" t="inlineStr">
        <is>
          <t>a94d93afd2b74d3e</t>
        </is>
      </c>
      <c r="B134" s="24" t="inlineStr">
        <is>
          <t>2026-09-18T07:43:22.898108Z</t>
        </is>
      </c>
      <c r="C134" s="24" t="inlineStr">
        <is>
          <t>2026-09-18T09:30:00Z</t>
        </is>
      </c>
      <c r="D134" s="24" t="inlineStr">
        <is>
          <t>113386</t>
        </is>
      </c>
      <c r="E134" s="24" t="inlineStr">
        <is>
          <t>KBO</t>
        </is>
      </c>
      <c r="F134" s="24" t="inlineStr">
        <is>
          <t>Samsung Lions</t>
        </is>
      </c>
      <c r="G134" s="24" t="inlineStr">
        <is>
          <t>Hanwha Eagles</t>
        </is>
      </c>
      <c r="H134" s="24" t="inlineStr">
        <is>
          <t>moneyline</t>
        </is>
      </c>
      <c r="I134" s="24" t="inlineStr">
        <is>
          <t>away</t>
        </is>
      </c>
      <c r="J134" s="25" t="n"/>
      <c r="K134" s="24" t="inlineStr">
        <is>
          <t>polymarket_us</t>
        </is>
      </c>
      <c r="L134" s="26" t="n">
        <v>-257</v>
      </c>
      <c r="M134" s="27" t="n">
        <v>1.389105</v>
      </c>
      <c r="N134" s="28" t="n">
        <v>0.719888</v>
      </c>
      <c r="O134" s="28" t="n">
        <v>0.578883</v>
      </c>
      <c r="P134" s="28" t="n"/>
      <c r="Q134" s="28" t="n">
        <v>-0.141005</v>
      </c>
      <c r="R134" s="26" t="n">
        <v>0</v>
      </c>
      <c r="S134" s="29" t="n">
        <v>1</v>
      </c>
      <c r="T134" s="24" t="inlineStr">
        <is>
          <t>kbo-tie-aware-elo-v2</t>
        </is>
      </c>
      <c r="U134" s="24" t="inlineStr">
        <is>
          <t>settled</t>
        </is>
      </c>
      <c r="V134" s="24" t="inlineStr">
        <is>
          <t>win</t>
        </is>
      </c>
      <c r="W134" s="26" t="n">
        <v>10</v>
      </c>
      <c r="X134" s="26" t="n">
        <v>4</v>
      </c>
      <c r="Y134" s="25" t="n"/>
      <c r="Z134" s="26" t="n"/>
      <c r="AA134" s="28" t="n"/>
      <c r="AB134" s="28" t="n"/>
      <c r="AC134" s="30" t="n">
        <v>0.3891</v>
      </c>
      <c r="AD134" s="24" t="inlineStr">
        <is>
          <t>2026-09-18T16:28:27.241530Z</t>
        </is>
      </c>
      <c r="AE134" s="31" t="inlineStr">
        <is>
          <t>Tie-aware Elo baseline; executable ask 0.7200 (market_slug=aec-kbo-hea-sla-2026-09-18). Tie probability=0.0226.</t>
        </is>
      </c>
      <c r="AF134" s="31" t="inlineStr">
        <is>
          <t>Config-promoted international baseball baseline; gates enforced at log time.</t>
        </is>
      </c>
      <c r="AG134" s="24" t="inlineStr">
        <is>
          <t>not_applicable</t>
        </is>
      </c>
      <c r="AH134" s="24" t="n"/>
      <c r="AI134" s="31" t="n"/>
      <c r="AJ134" s="31" t="n"/>
      <c r="AK134" s="24" t="inlineStr">
        <is>
          <t>paper_call</t>
        </is>
      </c>
      <c r="AL134" s="26" t="n">
        <v>4</v>
      </c>
      <c r="AM134" s="24" t="inlineStr">
        <is>
          <t>RESEARCH_OBSERVATION</t>
        </is>
      </c>
      <c r="AN134" s="24" t="inlineStr">
        <is>
          <t>CALL</t>
        </is>
      </c>
      <c r="AO134" s="24" t="inlineStr">
        <is>
          <t>PAPER_CALL_LOW_EDGE</t>
        </is>
      </c>
      <c r="AP134" s="24" t="inlineStr">
        <is>
          <t>Samsung Lions</t>
        </is>
      </c>
      <c r="AQ134" s="24" t="inlineStr">
        <is>
          <t>Samsung Lions</t>
        </is>
      </c>
      <c r="AR134" s="24" t="inlineStr">
        <is>
          <t>Samsung Lions</t>
        </is>
      </c>
      <c r="AS134" s="24" t="inlineStr">
        <is>
          <t>Hanwha Eagles</t>
        </is>
      </c>
      <c r="AT134" s="24" t="inlineStr">
        <is>
          <t>Hanwha Eagles</t>
        </is>
      </c>
      <c r="AU134" s="24" t="inlineStr">
        <is>
          <t>Hanwha Eagles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shadow_qualified</t>
        </is>
      </c>
      <c r="BA134" s="24" t="inlineStr">
        <is>
          <t>8105ec70052dc622aefdb59e09332b0a939c2a3ac09dfd38148d717910f0aed1</t>
        </is>
      </c>
      <c r="BB134" s="24" t="inlineStr">
        <is>
          <t>tie_aware_elo</t>
        </is>
      </c>
      <c r="BC134" s="24" t="inlineStr">
        <is>
          <t>kbo-tie-aware-elo-v2</t>
        </is>
      </c>
      <c r="BD134" s="24" t="inlineStr">
        <is>
          <t>8105ec70052dc622aefdb59e09332b0a939c2a3ac09dfd38148d717910f0aed1</t>
        </is>
      </c>
      <c r="BE134" s="24" t="inlineStr">
        <is>
          <t>1</t>
        </is>
      </c>
      <c r="BF134" s="24" t="inlineStr">
        <is>
          <t>1</t>
        </is>
      </c>
      <c r="BG134" s="24" t="inlineStr">
        <is>
          <t>kbo-tie-aware-elo-v2</t>
        </is>
      </c>
      <c r="BH134" s="24" t="inlineStr">
        <is>
          <t>2026-09-18T07:43:22.898024Z</t>
        </is>
      </c>
      <c r="BI134" s="24" t="inlineStr">
        <is>
          <t>["same_event","same_team_same_day","same_league_same_day"]</t>
        </is>
      </c>
      <c r="BJ134" s="25" t="n"/>
      <c r="BK134" s="26" t="n">
        <v>-257</v>
      </c>
      <c r="BL134" s="27" t="n">
        <v>1.389105</v>
      </c>
      <c r="BM134" s="28" t="n">
        <v>0.719888</v>
      </c>
      <c r="BN134" s="28" t="n"/>
      <c r="BO134" s="28" t="n"/>
      <c r="BP134" s="25" t="n"/>
      <c r="BQ134" s="27" t="n"/>
      <c r="BR134" s="28" t="n"/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  <c r="CR134" s="24" t="n"/>
      <c r="CS134" s="24" t="inlineStr">
        <is>
          <t>False</t>
        </is>
      </c>
      <c r="CT134" s="24" t="n"/>
      <c r="CU134" s="24" t="n"/>
      <c r="CV134" s="24" t="n"/>
      <c r="CW134" s="24" t="n"/>
      <c r="CX134" s="24" t="n"/>
      <c r="CY134" s="24" t="n"/>
      <c r="CZ134" s="24" t="n"/>
      <c r="DA134" s="24" t="n"/>
      <c r="DB134" s="24" t="n"/>
      <c r="DC134" s="24" t="n"/>
      <c r="DD134" s="24" t="n"/>
      <c r="DE134" s="24" t="n"/>
      <c r="DF134" s="24" t="n"/>
      <c r="DG134" s="24" t="n"/>
      <c r="DH134" s="24" t="n"/>
      <c r="DI134" s="24" t="n"/>
      <c r="DJ134" s="24" t="inlineStr">
        <is>
          <t>0.719888</t>
        </is>
      </c>
      <c r="DK134" s="24" t="n"/>
      <c r="DL134" s="24" t="n"/>
      <c r="DM134" s="24" t="n"/>
      <c r="DN134" s="24" t="n"/>
      <c r="DO134" s="24" t="n"/>
      <c r="DP134" s="24" t="n"/>
      <c r="DQ134" s="24" t="inlineStr">
        <is>
          <t>{"artifact_hash": "8105ec70052dc622aefdb59e09332b0a939c2a3ac09dfd38148d717910f0aed1", "away_team": "Samsung Lions", "draw_settlement_value": 0.5, "event_id": "113386", "event_start_utc": "2026-09-18T09:30:00Z", "features": {"away_elo": 1538.749649, "base_tie_rate": 0.02255011, "home_advantage": 20.0, "home_elo": 1462.177067}, "historical_source_observation_times_verified": false, "home_team": "Hanwha Eagles", "inference_inputs": {"away_id": "SAMSUNG", "base_tie_rate": 0.02255011, "book_state": {"_games_played": null, "_last_active": null, "decay_rate": 0.001, "home_advantage": 20.0, "k": 8.0, "margin_weight": 0.0, "ratings": {"HANWHA": 1462.177067, "SAMSUNG": 1538.749649}}, "code_sha256": {"features/elo_ratings.py": "8525faf022a6343c452286dbfeb17dbb043744c6bdabbe448b6b371216da439b", "international_baseball.py": "f345eb917316d2e897f62c1cdd0f73153115c65da54c30c6137ad76bb7b27869"}, "home_id": "HANWHA", "tie_method": "flat"}, "market_type": "moneyline", "model_version": "kbo-tie-aware-elo-v2", "observed_at_utc": "2026-09-18T07:43:22.625229+00:00", "outcome_probabilities": {"away": 0.5676076124276612, "draw": 0.02255011, "home": 0.4098422775723388}, "replay_scope": "Exact Elo and tie model; logged value is expected contract settlement, not outright win probability.", "schema": "international-elo-replay-v1", "settlement_values": {"away": 0.578883, "home": 0.421117}, "snapshot_hash": "0d813fba77afec20d6d28ba948b47686aa422cc61c6e048695e577008feac8ab", "sport": "KBO"}</t>
        </is>
      </c>
    </row>
    <row r="135" ht="36" customHeight="1">
      <c r="A135" s="24" t="inlineStr">
        <is>
          <t>3e880943ab4644ae</t>
        </is>
      </c>
      <c r="B135" s="24" t="inlineStr">
        <is>
          <t>2026-09-19T22:46:58.058416Z</t>
        </is>
      </c>
      <c r="C135" s="24" t="inlineStr">
        <is>
          <t>2026-09-20T05:00:00Z</t>
        </is>
      </c>
      <c r="D135" s="24" t="inlineStr">
        <is>
          <t>118327</t>
        </is>
      </c>
      <c r="E135" s="24" t="inlineStr">
        <is>
          <t>KBO</t>
        </is>
      </c>
      <c r="F135" s="24" t="inlineStr">
        <is>
          <t>Kia Tigers</t>
        </is>
      </c>
      <c r="G135" s="24" t="inlineStr">
        <is>
          <t>NC Dinos</t>
        </is>
      </c>
      <c r="H135" s="24" t="inlineStr">
        <is>
          <t>moneyline</t>
        </is>
      </c>
      <c r="I135" s="24" t="inlineStr">
        <is>
          <t>away</t>
        </is>
      </c>
      <c r="J135" s="25" t="n"/>
      <c r="K135" s="24" t="inlineStr">
        <is>
          <t>polymarket_us</t>
        </is>
      </c>
      <c r="L135" s="26" t="n">
        <v>100</v>
      </c>
      <c r="M135" s="27" t="n">
        <v>2</v>
      </c>
      <c r="N135" s="28" t="n">
        <v>0.5</v>
      </c>
      <c r="O135" s="28" t="n">
        <v>0.5170129999999999</v>
      </c>
      <c r="P135" s="28" t="n"/>
      <c r="Q135" s="28" t="n">
        <v>0.017013</v>
      </c>
      <c r="R135" s="26" t="n">
        <v>29</v>
      </c>
      <c r="S135" s="29" t="n">
        <v>1</v>
      </c>
      <c r="T135" s="24" t="inlineStr">
        <is>
          <t>kbo-tie-aware-elo-v2</t>
        </is>
      </c>
      <c r="U135" s="24" t="inlineStr">
        <is>
          <t>settled</t>
        </is>
      </c>
      <c r="V135" s="24" t="inlineStr">
        <is>
          <t>win</t>
        </is>
      </c>
      <c r="W135" s="26" t="n">
        <v>8</v>
      </c>
      <c r="X135" s="26" t="n">
        <v>6</v>
      </c>
      <c r="Y135" s="25" t="n"/>
      <c r="Z135" s="26" t="n"/>
      <c r="AA135" s="28" t="n"/>
      <c r="AB135" s="28" t="n"/>
      <c r="AC135" s="30" t="n">
        <v>1</v>
      </c>
      <c r="AD135" s="24" t="inlineStr">
        <is>
          <t>2026-09-20T10:01:32.316539Z</t>
        </is>
      </c>
      <c r="AE135" s="31" t="inlineStr">
        <is>
          <t>Tie-aware Elo baseline; executable ask 0.5000 (market_slug=aec-kbo-ndc-kti-2026-09-20). Tie probability=0.0227.</t>
        </is>
      </c>
      <c r="AF135" s="31" t="inlineStr">
        <is>
          <t>Config-promoted international baseball baseline; gates enforced at log time.</t>
        </is>
      </c>
      <c r="AG135" s="24" t="inlineStr">
        <is>
          <t>not_applicable</t>
        </is>
      </c>
      <c r="AH135" s="24" t="n"/>
      <c r="AI135" s="31" t="n"/>
      <c r="AJ135" s="31" t="n"/>
      <c r="AK135" s="24" t="inlineStr">
        <is>
          <t>paper_call</t>
        </is>
      </c>
      <c r="AL135" s="26" t="n">
        <v>4</v>
      </c>
      <c r="AM135" s="24" t="inlineStr">
        <is>
          <t>RESEARCH_OBSERVATION</t>
        </is>
      </c>
      <c r="AN135" s="24" t="inlineStr">
        <is>
          <t>CALL</t>
        </is>
      </c>
      <c r="AO135" s="24" t="inlineStr">
        <is>
          <t>PAPER_CALL_LOW_EDGE</t>
        </is>
      </c>
      <c r="AP135" s="24" t="inlineStr">
        <is>
          <t>Kia Tigers</t>
        </is>
      </c>
      <c r="AQ135" s="24" t="inlineStr">
        <is>
          <t>Kia Tigers</t>
        </is>
      </c>
      <c r="AR135" s="24" t="inlineStr">
        <is>
          <t>Kia Tigers</t>
        </is>
      </c>
      <c r="AS135" s="24" t="inlineStr">
        <is>
          <t>NC Dinos</t>
        </is>
      </c>
      <c r="AT135" s="24" t="inlineStr">
        <is>
          <t>NC Dinos</t>
        </is>
      </c>
      <c r="AU135" s="24" t="inlineStr">
        <is>
          <t>NC Dinos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shadow_qualified</t>
        </is>
      </c>
      <c r="BA135" s="24" t="inlineStr">
        <is>
          <t>ff336b03d5670366f5349f8375bf4bd020a5ee86914ddf891c0dc3031b970ce2</t>
        </is>
      </c>
      <c r="BB135" s="24" t="inlineStr">
        <is>
          <t>tie_aware_elo</t>
        </is>
      </c>
      <c r="BC135" s="24" t="inlineStr">
        <is>
          <t>kbo-tie-aware-elo-v2</t>
        </is>
      </c>
      <c r="BD135" s="24" t="inlineStr">
        <is>
          <t>ff336b03d5670366f5349f8375bf4bd020a5ee86914ddf891c0dc3031b970ce2</t>
        </is>
      </c>
      <c r="BE135" s="24" t="inlineStr">
        <is>
          <t>1</t>
        </is>
      </c>
      <c r="BF135" s="24" t="inlineStr">
        <is>
          <t>1</t>
        </is>
      </c>
      <c r="BG135" s="24" t="inlineStr">
        <is>
          <t>kbo-tie-aware-elo-v2</t>
        </is>
      </c>
      <c r="BH135" s="24" t="inlineStr">
        <is>
          <t>2026-09-19T22:46:58.058372Z</t>
        </is>
      </c>
      <c r="BI135" s="24" t="inlineStr">
        <is>
          <t>["same_event","same_team_same_day","same_league_same_day"]</t>
        </is>
      </c>
      <c r="BJ135" s="25" t="n"/>
      <c r="BK135" s="26" t="n">
        <v>100</v>
      </c>
      <c r="BL135" s="27" t="n">
        <v>2</v>
      </c>
      <c r="BM135" s="28" t="n">
        <v>0.5</v>
      </c>
      <c r="BN135" s="28" t="n"/>
      <c r="BO135" s="28" t="n"/>
      <c r="BP135" s="25" t="n"/>
      <c r="BQ135" s="27" t="n"/>
      <c r="BR135" s="28" t="n"/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  <c r="CR135" s="24" t="n"/>
      <c r="CS135" s="24" t="inlineStr">
        <is>
          <t>True</t>
        </is>
      </c>
      <c r="CT135" s="24" t="n"/>
      <c r="CU135" s="24" t="n"/>
      <c r="CV135" s="24" t="n"/>
      <c r="CW135" s="24" t="n"/>
      <c r="CX135" s="24" t="n"/>
      <c r="CY135" s="24" t="n"/>
      <c r="CZ135" s="24" t="n"/>
      <c r="DA135" s="24" t="n"/>
      <c r="DB135" s="24" t="n"/>
      <c r="DC135" s="24" t="n"/>
      <c r="DD135" s="24" t="n"/>
      <c r="DE135" s="24" t="n"/>
      <c r="DF135" s="24" t="n"/>
      <c r="DG135" s="24" t="n"/>
      <c r="DH135" s="24" t="n"/>
      <c r="DI135" s="24" t="n"/>
      <c r="DJ135" s="24" t="inlineStr">
        <is>
          <t>0.5</t>
        </is>
      </c>
      <c r="DK135" s="24" t="n"/>
      <c r="DL135" s="24" t="n"/>
      <c r="DM135" s="24" t="n"/>
      <c r="DN135" s="24" t="n"/>
      <c r="DO135" s="24" t="n"/>
      <c r="DP135" s="24" t="n"/>
      <c r="DQ135" s="24" t="inlineStr">
        <is>
          <t>{"artifact_hash": "ff336b03d5670366f5349f8375bf4bd020a5ee86914ddf891c0dc3031b970ce2", "away_team": "Kia Tigers", "draw_settlement_value": 0.5, "event_id": "118327", "event_start_utc": "2026-09-20T05:00:00Z", "features": {"away_elo": 1522.919329, "base_tie_rate": 0.02266407, "home_advantage": 20.0, "home_elo": 1490.818715}, "historical_source_observation_times_verified": false, "home_team": "NC Dinos", "inference_inputs": {"away_id": "KIA", "base_tie_rate": 0.02266407, "book_state": {"_games_played": null, "_last_active": null, "decay_rate": 0.002, "home_advantage": 20.0, "k": 8.0, "margin_weight": 0.0, "ratings": {"KIA": 1522.919329, "NC": 1490.818715}}, "code_sha256": {"features/elo_ratings.py": "8525faf022a6343c452286dbfeb17dbb043744c6bdabbe448b6b371216da439b", "international_baseball.py": "f345eb917316d2e897f62c1cdd0f73153115c65da54c30c6137ad76bb7b27869"}, "home_id": "NC", "tie_method": "flat"}, "market_type": "moneyline", "model_version": "kbo-tie-aware-elo-v2", "observed_at_utc": "2026-09-19T22:46:49.404629+00:00", "outcome_probabilities": {"away": 0.5056805938091049, "draw": 0.02266407, "home": 0.471655336190895}, "replay_scope": "Exact Elo and tie model; logged value is expected contract settlement, not outright win probability.", "schema": "international-elo-replay-v1", "settlement_values": {"away": 0.517013, "home": 0.482987}, "snapshot_hash": "6201dc5a8484fbd81b2c3f7aa70a267d65a44e73397318af34d9f27e153de419", "sport": "KBO"}</t>
        </is>
      </c>
    </row>
    <row r="136" ht="36" customHeight="1">
      <c r="A136" s="24" t="inlineStr">
        <is>
          <t>0eaeec8ae2c3443c</t>
        </is>
      </c>
      <c r="B136" s="24" t="inlineStr">
        <is>
          <t>2026-09-23T04:43:27.682585Z</t>
        </is>
      </c>
      <c r="C136" s="24" t="inlineStr">
        <is>
          <t>2026-09-23T09:30:00Z</t>
        </is>
      </c>
      <c r="D136" s="24" t="inlineStr">
        <is>
          <t>119092</t>
        </is>
      </c>
      <c r="E136" s="24" t="inlineStr">
        <is>
          <t>KBO</t>
        </is>
      </c>
      <c r="F136" s="24" t="inlineStr">
        <is>
          <t>Lotte Giants</t>
        </is>
      </c>
      <c r="G136" s="24" t="inlineStr">
        <is>
          <t>Hanwha Eagles</t>
        </is>
      </c>
      <c r="H136" s="24" t="inlineStr">
        <is>
          <t>moneyline</t>
        </is>
      </c>
      <c r="I136" s="24" t="inlineStr">
        <is>
          <t>away</t>
        </is>
      </c>
      <c r="J136" s="25" t="n"/>
      <c r="K136" s="24" t="inlineStr">
        <is>
          <t>polymarket_us</t>
        </is>
      </c>
      <c r="L136" s="26" t="n">
        <v>-138</v>
      </c>
      <c r="M136" s="27" t="n">
        <v>1.724638</v>
      </c>
      <c r="N136" s="28" t="n">
        <v>0.579832</v>
      </c>
      <c r="O136" s="28" t="n">
        <v>0.521312</v>
      </c>
      <c r="P136" s="28" t="n"/>
      <c r="Q136" s="28" t="n">
        <v>-0.05852</v>
      </c>
      <c r="R136" s="26" t="n">
        <v>0</v>
      </c>
      <c r="S136" s="29" t="n">
        <v>1</v>
      </c>
      <c r="T136" s="24" t="inlineStr">
        <is>
          <t>kbo-tie-aware-elo-v2</t>
        </is>
      </c>
      <c r="U136" s="24" t="inlineStr">
        <is>
          <t>settled</t>
        </is>
      </c>
      <c r="V136" s="24" t="inlineStr">
        <is>
          <t>win</t>
        </is>
      </c>
      <c r="W136" s="26" t="n">
        <v>9</v>
      </c>
      <c r="X136" s="26" t="n">
        <v>5</v>
      </c>
      <c r="Y136" s="25" t="n"/>
      <c r="Z136" s="26" t="n"/>
      <c r="AA136" s="28" t="n"/>
      <c r="AB136" s="28" t="n"/>
      <c r="AC136" s="30" t="n">
        <v>0.7246</v>
      </c>
      <c r="AD136" s="24" t="inlineStr">
        <is>
          <t>2026-09-23T16:07:31.744897Z</t>
        </is>
      </c>
      <c r="AE136" s="31" t="inlineStr">
        <is>
          <t>Tie-aware Elo baseline; executable ask 0.5800 (market_slug=aec-kbo-hea-lgo-2026-09-23). Tie probability=0.0226.</t>
        </is>
      </c>
      <c r="AF136" s="31" t="inlineStr">
        <is>
          <t>Config-promoted international baseball baseline; gates enforced at log time.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paper_call</t>
        </is>
      </c>
      <c r="AL136" s="26" t="n">
        <v>4</v>
      </c>
      <c r="AM136" s="24" t="inlineStr">
        <is>
          <t>RESEARCH_OBSERVATION</t>
        </is>
      </c>
      <c r="AN136" s="24" t="inlineStr">
        <is>
          <t>CALL</t>
        </is>
      </c>
      <c r="AO136" s="24" t="inlineStr">
        <is>
          <t>PAPER_CALL_LOW_EDGE</t>
        </is>
      </c>
      <c r="AP136" s="24" t="inlineStr">
        <is>
          <t>Lotte Giants</t>
        </is>
      </c>
      <c r="AQ136" s="24" t="inlineStr">
        <is>
          <t>Lotte Giants</t>
        </is>
      </c>
      <c r="AR136" s="24" t="inlineStr">
        <is>
          <t>Lotte Giants</t>
        </is>
      </c>
      <c r="AS136" s="24" t="inlineStr">
        <is>
          <t>Hanwha Eagles</t>
        </is>
      </c>
      <c r="AT136" s="24" t="inlineStr">
        <is>
          <t>Hanwha Eagles</t>
        </is>
      </c>
      <c r="AU136" s="24" t="inlineStr">
        <is>
          <t>Hanwha Eagles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shadow_qualified</t>
        </is>
      </c>
      <c r="BA136" s="24" t="inlineStr">
        <is>
          <t>8a06c32a7937dff4d20df2975069d7ae198f869bd3ac64498741bdb20e2bd429</t>
        </is>
      </c>
      <c r="BB136" s="24" t="inlineStr">
        <is>
          <t>tie_aware_elo</t>
        </is>
      </c>
      <c r="BC136" s="24" t="inlineStr">
        <is>
          <t>kbo-tie-aware-elo-v2</t>
        </is>
      </c>
      <c r="BD136" s="24" t="inlineStr">
        <is>
          <t>8a06c32a7937dff4d20df2975069d7ae198f869bd3ac64498741bdb20e2bd429</t>
        </is>
      </c>
      <c r="BE136" s="24" t="inlineStr">
        <is>
          <t>1</t>
        </is>
      </c>
      <c r="BF136" s="24" t="inlineStr">
        <is>
          <t>1</t>
        </is>
      </c>
      <c r="BG136" s="24" t="inlineStr">
        <is>
          <t>kbo-tie-aware-elo-v2</t>
        </is>
      </c>
      <c r="BH136" s="24" t="inlineStr">
        <is>
          <t>2026-09-23T04:43:27.594931Z</t>
        </is>
      </c>
      <c r="BI136" s="24" t="inlineStr">
        <is>
          <t>["same_event","same_team_same_day","same_league_same_day"]</t>
        </is>
      </c>
      <c r="BJ136" s="25" t="n"/>
      <c r="BK136" s="26" t="n">
        <v>-138</v>
      </c>
      <c r="BL136" s="27" t="n">
        <v>1.724638</v>
      </c>
      <c r="BM136" s="28" t="n">
        <v>0.579832</v>
      </c>
      <c r="BN136" s="28" t="n"/>
      <c r="BO136" s="28" t="n"/>
      <c r="BP136" s="25" t="n"/>
      <c r="BQ136" s="27" t="n"/>
      <c r="BR136" s="28" t="n"/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  <c r="CR136" s="24" t="n"/>
      <c r="CS136" s="24" t="inlineStr">
        <is>
          <t>False</t>
        </is>
      </c>
      <c r="CT136" s="24" t="n"/>
      <c r="CU136" s="24" t="n"/>
      <c r="CV136" s="24" t="n"/>
      <c r="CW136" s="24" t="n"/>
      <c r="CX136" s="24" t="n"/>
      <c r="CY136" s="24" t="n"/>
      <c r="CZ136" s="24" t="n"/>
      <c r="DA136" s="24" t="n"/>
      <c r="DB136" s="24" t="n"/>
      <c r="DC136" s="24" t="n"/>
      <c r="DD136" s="24" t="n"/>
      <c r="DE136" s="24" t="n"/>
      <c r="DF136" s="24" t="n"/>
      <c r="DG136" s="24" t="n"/>
      <c r="DH136" s="24" t="n"/>
      <c r="DI136" s="24" t="n"/>
      <c r="DJ136" s="24" t="inlineStr">
        <is>
          <t>0.579832</t>
        </is>
      </c>
      <c r="DK136" s="24" t="n"/>
      <c r="DL136" s="24" t="n"/>
      <c r="DM136" s="24" t="n"/>
      <c r="DN136" s="24" t="n"/>
      <c r="DO136" s="24" t="n"/>
      <c r="DP136" s="24" t="n"/>
      <c r="DQ136" s="24" t="inlineStr">
        <is>
          <t>{"artifact_hash": "8a06c32a7937dff4d20df2975069d7ae198f869bd3ac64498741bdb20e2bd429", "away_team": "Lotte Giants", "draw_settlement_value": 0.5, "event_id": "119092", "event_start_utc": "2026-09-23T09:30:00Z", "features": {"away_elo": 1484.420907, "base_tie_rate": 0.02263575, "home_advantage": 20.0, "home_elo": 1449.259356}, "historical_source_observation_times_verified": false, "home_team": "Hanwha Eagles", "inference_inputs": {"away_id": "LOTTE", "base_tie_rate": 0.02263575, "book_state": {"_games_played": null, "_last_active": null, "decay_rate": 0.002, "home_advantage": 20.0, "k": 8.0, "margin_weight": 0.0, "ratings": {"HANWHA": 1449.259356, "LOTTE": 1484.420907}}, "code_sha256": {"features/elo_ratings.py": "8525faf022a6343c452286dbfeb17dbb043744c6bdabbe448b6b371216da439b", "international_baseball.py": "f345eb917316d2e897f62c1cdd0f73153115c65da54c30c6137ad76bb7b27869"}, "home_id": "HANWHA", "tie_method": "flat"}, "market_type": "moneyline", "model_version": "kbo-tie-aware-elo-v2", "observed_at_utc": "2026-09-23T04:43:19.256480+00:00", "outcome_probabilities": {"away": 0.5099939298746471, "draw": 0.02263575, "home": 0.467370320125353}, "replay_scope": "Exact Elo and tie model; logged value is expected contract settlement, not outright win probability.", "schema": "international-elo-replay-v1", "settlement_values": {"away": 0.521312, "home": 0.478688}, "snapshot_hash": "e8691c425fe4b89b111609e68c44154c61cecfb86690bf48bff8fcd8b55b16db", "sport": "KBO"}</t>
        </is>
      </c>
    </row>
    <row r="137" ht="36" customHeight="1">
      <c r="A137" s="24" t="inlineStr">
        <is>
          <t>49e92b71ce544273</t>
        </is>
      </c>
      <c r="B137" s="24" t="inlineStr">
        <is>
          <t>2026-09-23T04:43:27.682585Z</t>
        </is>
      </c>
      <c r="C137" s="24" t="inlineStr">
        <is>
          <t>2026-09-23T09:30:00Z</t>
        </is>
      </c>
      <c r="D137" s="24" t="inlineStr">
        <is>
          <t>119093</t>
        </is>
      </c>
      <c r="E137" s="24" t="inlineStr">
        <is>
          <t>KBO</t>
        </is>
      </c>
      <c r="F137" s="24" t="inlineStr">
        <is>
          <t>Kia Tigers</t>
        </is>
      </c>
      <c r="G137" s="24" t="inlineStr">
        <is>
          <t>Doosan Bears</t>
        </is>
      </c>
      <c r="H137" s="24" t="inlineStr">
        <is>
          <t>moneyline</t>
        </is>
      </c>
      <c r="I137" s="24" t="inlineStr">
        <is>
          <t>away</t>
        </is>
      </c>
      <c r="J137" s="25" t="n"/>
      <c r="K137" s="24" t="inlineStr">
        <is>
          <t>polymarket_us</t>
        </is>
      </c>
      <c r="L137" s="26" t="n">
        <v>-138</v>
      </c>
      <c r="M137" s="27" t="n">
        <v>1.724638</v>
      </c>
      <c r="N137" s="28" t="n">
        <v>0.579832</v>
      </c>
      <c r="O137" s="28" t="n">
        <v>0.505977</v>
      </c>
      <c r="P137" s="28" t="n"/>
      <c r="Q137" s="28" t="n">
        <v>-0.073855</v>
      </c>
      <c r="R137" s="26" t="n">
        <v>0</v>
      </c>
      <c r="S137" s="29" t="n">
        <v>1</v>
      </c>
      <c r="T137" s="24" t="inlineStr">
        <is>
          <t>kbo-tie-aware-elo-v2</t>
        </is>
      </c>
      <c r="U137" s="24" t="inlineStr">
        <is>
          <t>settled</t>
        </is>
      </c>
      <c r="V137" s="24" t="inlineStr">
        <is>
          <t>loss</t>
        </is>
      </c>
      <c r="W137" s="26" t="n">
        <v>2</v>
      </c>
      <c r="X137" s="26" t="n">
        <v>3</v>
      </c>
      <c r="Y137" s="25" t="n"/>
      <c r="Z137" s="26" t="n"/>
      <c r="AA137" s="28" t="n"/>
      <c r="AB137" s="28" t="n"/>
      <c r="AC137" s="30" t="n">
        <v>-1</v>
      </c>
      <c r="AD137" s="24" t="inlineStr">
        <is>
          <t>2026-09-23T16:07:32.733680Z</t>
        </is>
      </c>
      <c r="AE137" s="31" t="inlineStr">
        <is>
          <t>Tie-aware Elo baseline; executable ask 0.5800 (market_slug=aec-kbo-dbo-kti-2026-09-23). Tie probability=0.0226.</t>
        </is>
      </c>
      <c r="AF137" s="31" t="inlineStr">
        <is>
          <t>Config-promoted international baseball baseline; gates enforced at log time.</t>
        </is>
      </c>
      <c r="AG137" s="24" t="inlineStr">
        <is>
          <t>review_required</t>
        </is>
      </c>
      <c r="AH137" s="24" t="n"/>
      <c r="AI137" s="31" t="n"/>
      <c r="AJ137" s="31" t="n"/>
      <c r="AK137" s="24" t="inlineStr">
        <is>
          <t>paper_call</t>
        </is>
      </c>
      <c r="AL137" s="26" t="n">
        <v>4</v>
      </c>
      <c r="AM137" s="24" t="inlineStr">
        <is>
          <t>RESEARCH_OBSERVATION</t>
        </is>
      </c>
      <c r="AN137" s="24" t="inlineStr">
        <is>
          <t>CALL</t>
        </is>
      </c>
      <c r="AO137" s="24" t="inlineStr">
        <is>
          <t>PAPER_CALL_LOW_EDGE</t>
        </is>
      </c>
      <c r="AP137" s="24" t="inlineStr">
        <is>
          <t>Kia Tigers</t>
        </is>
      </c>
      <c r="AQ137" s="24" t="inlineStr">
        <is>
          <t>Kia Tigers</t>
        </is>
      </c>
      <c r="AR137" s="24" t="inlineStr">
        <is>
          <t>Kia Tigers</t>
        </is>
      </c>
      <c r="AS137" s="24" t="inlineStr">
        <is>
          <t>Doosan Bears</t>
        </is>
      </c>
      <c r="AT137" s="24" t="inlineStr">
        <is>
          <t>Doosan Bears</t>
        </is>
      </c>
      <c r="AU137" s="24" t="inlineStr">
        <is>
          <t>Doosan Bears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shadow_qualified</t>
        </is>
      </c>
      <c r="BA137" s="24" t="inlineStr">
        <is>
          <t>8a06c32a7937dff4d20df2975069d7ae198f869bd3ac64498741bdb20e2bd429</t>
        </is>
      </c>
      <c r="BB137" s="24" t="inlineStr">
        <is>
          <t>tie_aware_elo</t>
        </is>
      </c>
      <c r="BC137" s="24" t="inlineStr">
        <is>
          <t>kbo-tie-aware-elo-v2</t>
        </is>
      </c>
      <c r="BD137" s="24" t="inlineStr">
        <is>
          <t>8a06c32a7937dff4d20df2975069d7ae198f869bd3ac64498741bdb20e2bd429</t>
        </is>
      </c>
      <c r="BE137" s="24" t="inlineStr">
        <is>
          <t>1</t>
        </is>
      </c>
      <c r="BF137" s="24" t="inlineStr">
        <is>
          <t>1</t>
        </is>
      </c>
      <c r="BG137" s="24" t="inlineStr">
        <is>
          <t>kbo-tie-aware-elo-v2</t>
        </is>
      </c>
      <c r="BH137" s="24" t="inlineStr">
        <is>
          <t>2026-09-23T04:43:27.682523Z</t>
        </is>
      </c>
      <c r="BI137" s="24" t="inlineStr">
        <is>
          <t>["same_event","same_team_same_day","same_league_same_day"]</t>
        </is>
      </c>
      <c r="BJ137" s="25" t="n"/>
      <c r="BK137" s="26" t="n">
        <v>-138</v>
      </c>
      <c r="BL137" s="27" t="n">
        <v>1.724638</v>
      </c>
      <c r="BM137" s="28" t="n">
        <v>0.579832</v>
      </c>
      <c r="BN137" s="28" t="n"/>
      <c r="BO137" s="28" t="n"/>
      <c r="BP137" s="25" t="n"/>
      <c r="BQ137" s="27" t="n"/>
      <c r="BR137" s="28" t="n"/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  <c r="CR137" s="24" t="n"/>
      <c r="CS137" s="24" t="inlineStr">
        <is>
          <t>False</t>
        </is>
      </c>
      <c r="CT137" s="24" t="n"/>
      <c r="CU137" s="24" t="n"/>
      <c r="CV137" s="24" t="n"/>
      <c r="CW137" s="24" t="n"/>
      <c r="CX137" s="24" t="n"/>
      <c r="CY137" s="24" t="n"/>
      <c r="CZ137" s="24" t="n"/>
      <c r="DA137" s="24" t="n"/>
      <c r="DB137" s="24" t="n"/>
      <c r="DC137" s="24" t="n"/>
      <c r="DD137" s="24" t="n"/>
      <c r="DE137" s="24" t="n"/>
      <c r="DF137" s="24" t="n"/>
      <c r="DG137" s="24" t="n"/>
      <c r="DH137" s="24" t="n"/>
      <c r="DI137" s="24" t="n"/>
      <c r="DJ137" s="24" t="inlineStr">
        <is>
          <t>0.579832</t>
        </is>
      </c>
      <c r="DK137" s="24" t="n"/>
      <c r="DL137" s="24" t="n"/>
      <c r="DM137" s="24" t="n"/>
      <c r="DN137" s="24" t="n"/>
      <c r="DO137" s="24" t="n"/>
      <c r="DP137" s="24" t="n"/>
      <c r="DQ137" s="24" t="inlineStr">
        <is>
          <t>{"artifact_hash": "8a06c32a7937dff4d20df2975069d7ae198f869bd3ac64498741bdb20e2bd429", "away_team": "Kia Tigers", "draw_settlement_value": 0.5, "event_id": "119093", "event_start_utc": "2026-09-23T09:30:00Z", "features": {"away_elo": 1526.264448, "base_tie_rate": 0.02263575, "home_advantage": 20.0, "home_elo": 1502.014738}, "historical_source_observation_times_verified": false, "home_team": "Doosan Bears", "inference_inputs": {"away_id": "KIA", "base_tie_rate": 0.02263575, "book_state": {"_games_played": null, "_last_active": null, "decay_rate": 0.002, "home_advantage": 20.0, "k": 8.0, "margin_weight": 0.0, "ratings": {"DOOSAN": 1502.014738, "KIA": 1526.264448}}, "code_sha256": {"features/elo_ratings.py": "8525faf022a6343c452286dbfeb17dbb043744c6bdabbe448b6b371216da439b", "international_baseball.py": "f345eb917316d2e897f62c1cdd0f73153115c65da54c30c6137ad76bb7b27869"}, "home_id": "DOOSAN", "tie_method": "flat"}, "market_type": "moneyline", "model_version": "kbo-tie-aware-elo-v2", "observed_at_utc": "2026-09-23T04:43:19.256480+00:00", "outcome_probabilities": {"away": 0.4946592149586641, "draw": 0.02263575, "home": 0.48270503504133594}, "replay_scope": "Exact Elo and tie model; logged value is expected contract settlement, not outright win probability.", "schema": "international-elo-replay-v1", "settlement_values": {"away": 0.505977, "home": 0.494023}, "snapshot_hash": "e0d3a2426df0daced4f3eef7e4d7c2249a5b7c0d9a3959d4bfa7edc7dcb93d47", "sport": "KBO"}</t>
        </is>
      </c>
    </row>
    <row r="138" ht="36" customHeight="1">
      <c r="A138" s="24" t="inlineStr">
        <is>
          <t>929435932a064ad8</t>
        </is>
      </c>
      <c r="B138" s="24" t="inlineStr">
        <is>
          <t>2026-09-25T04:42:56.370452Z</t>
        </is>
      </c>
      <c r="C138" s="24" t="inlineStr">
        <is>
          <t>2026-09-25T08:00:00Z</t>
        </is>
      </c>
      <c r="D138" s="24" t="inlineStr">
        <is>
          <t>121719</t>
        </is>
      </c>
      <c r="E138" s="24" t="inlineStr">
        <is>
          <t>KBO</t>
        </is>
      </c>
      <c r="F138" s="24" t="inlineStr">
        <is>
          <t>Hanwha Eagles</t>
        </is>
      </c>
      <c r="G138" s="24" t="inlineStr">
        <is>
          <t>NC Dinos</t>
        </is>
      </c>
      <c r="H138" s="24" t="inlineStr">
        <is>
          <t>moneyline</t>
        </is>
      </c>
      <c r="I138" s="24" t="inlineStr">
        <is>
          <t>home</t>
        </is>
      </c>
      <c r="J138" s="25" t="n"/>
      <c r="K138" s="24" t="inlineStr">
        <is>
          <t>polymarket_us</t>
        </is>
      </c>
      <c r="L138" s="26" t="n">
        <v>108</v>
      </c>
      <c r="M138" s="27" t="n">
        <v>2.08</v>
      </c>
      <c r="N138" s="28" t="n">
        <v>0.480769</v>
      </c>
      <c r="O138" s="28" t="n">
        <v>0.583572</v>
      </c>
      <c r="P138" s="28" t="n"/>
      <c r="Q138" s="28" t="n">
        <v>0.102803</v>
      </c>
      <c r="R138" s="26" t="n">
        <v>71</v>
      </c>
      <c r="S138" s="29" t="n">
        <v>1.25</v>
      </c>
      <c r="T138" s="24" t="inlineStr">
        <is>
          <t>kbo-tie-aware-elo-v2</t>
        </is>
      </c>
      <c r="U138" s="24" t="inlineStr">
        <is>
          <t>settled</t>
        </is>
      </c>
      <c r="V138" s="24" t="inlineStr">
        <is>
          <t>win</t>
        </is>
      </c>
      <c r="W138" s="26" t="n">
        <v>7</v>
      </c>
      <c r="X138" s="26" t="n">
        <v>8</v>
      </c>
      <c r="Y138" s="25" t="n"/>
      <c r="Z138" s="26" t="n"/>
      <c r="AA138" s="28" t="n"/>
      <c r="AB138" s="28" t="n"/>
      <c r="AC138" s="30" t="n">
        <v>1.35</v>
      </c>
      <c r="AD138" s="24" t="inlineStr">
        <is>
          <t>2026-09-25T16:01:34.782598Z</t>
        </is>
      </c>
      <c r="AE138" s="31" t="inlineStr">
        <is>
          <t>Tie-aware Elo baseline; executable ask 0.4800 (market_slug=aec-kbo-ndc-hea-2026-09-25). Tie probability=0.0226.</t>
        </is>
      </c>
      <c r="AF138" s="31" t="inlineStr">
        <is>
          <t>Config-promoted international baseball baseline; gates enforced at log time.</t>
        </is>
      </c>
      <c r="AG138" s="24" t="inlineStr">
        <is>
          <t>not_applicable</t>
        </is>
      </c>
      <c r="AH138" s="24" t="n"/>
      <c r="AI138" s="31" t="n"/>
      <c r="AJ138" s="31" t="n"/>
      <c r="AK138" s="24" t="inlineStr">
        <is>
          <t>paper_call</t>
        </is>
      </c>
      <c r="AL138" s="26" t="n">
        <v>4</v>
      </c>
      <c r="AM138" s="24" t="inlineStr">
        <is>
          <t>RESEARCH_OBSERVATION</t>
        </is>
      </c>
      <c r="AN138" s="24" t="inlineStr">
        <is>
          <t>CALL</t>
        </is>
      </c>
      <c r="AO138" s="24" t="inlineStr">
        <is>
          <t>PAPER_CALL_LOW_EDGE</t>
        </is>
      </c>
      <c r="AP138" s="24" t="inlineStr">
        <is>
          <t>Hanwha Eagles</t>
        </is>
      </c>
      <c r="AQ138" s="24" t="inlineStr">
        <is>
          <t>Hanwha Eagles</t>
        </is>
      </c>
      <c r="AR138" s="24" t="inlineStr">
        <is>
          <t>Hanwha Eagles</t>
        </is>
      </c>
      <c r="AS138" s="24" t="inlineStr">
        <is>
          <t>NC Dinos</t>
        </is>
      </c>
      <c r="AT138" s="24" t="inlineStr">
        <is>
          <t>NC Dinos</t>
        </is>
      </c>
      <c r="AU138" s="24" t="inlineStr">
        <is>
          <t>NC Dinos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ed896bd0cac9789cca8e66ff1469e947be6a7e941c829e61082441478c77bbb3</t>
        </is>
      </c>
      <c r="BB138" s="24" t="inlineStr">
        <is>
          <t>tie_aware_elo</t>
        </is>
      </c>
      <c r="BC138" s="24" t="inlineStr">
        <is>
          <t>kbo-tie-aware-elo-v2</t>
        </is>
      </c>
      <c r="BD138" s="24" t="inlineStr">
        <is>
          <t>ed896bd0cac9789cca8e66ff1469e947be6a7e941c829e61082441478c77bbb3</t>
        </is>
      </c>
      <c r="BE138" s="24" t="inlineStr">
        <is>
          <t>1</t>
        </is>
      </c>
      <c r="BF138" s="24" t="inlineStr">
        <is>
          <t>1</t>
        </is>
      </c>
      <c r="BG138" s="24" t="inlineStr">
        <is>
          <t>kbo-tie-aware-elo-v2</t>
        </is>
      </c>
      <c r="BH138" s="24" t="inlineStr">
        <is>
          <t>2026-09-25T04:42:56.370310Z</t>
        </is>
      </c>
      <c r="BI138" s="24" t="inlineStr">
        <is>
          <t>["same_event","same_team_same_day","same_league_same_day"]</t>
        </is>
      </c>
      <c r="BJ138" s="25" t="n"/>
      <c r="BK138" s="26" t="n">
        <v>108</v>
      </c>
      <c r="BL138" s="27" t="n">
        <v>2.08</v>
      </c>
      <c r="BM138" s="28" t="n">
        <v>0.480769</v>
      </c>
      <c r="BN138" s="28" t="n"/>
      <c r="BO138" s="28" t="n"/>
      <c r="BP138" s="25" t="n"/>
      <c r="BQ138" s="27" t="n"/>
      <c r="BR138" s="28" t="n"/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n"/>
      <c r="CD138" s="24" t="n"/>
      <c r="CE138" s="24" t="n"/>
      <c r="CF138" s="24" t="n"/>
      <c r="CG138" s="24" t="n"/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  <c r="CQ138" s="24" t="n"/>
      <c r="CR138" s="24" t="n"/>
      <c r="CS138" s="24" t="inlineStr">
        <is>
          <t>True</t>
        </is>
      </c>
      <c r="CT138" s="24" t="n"/>
      <c r="CU138" s="24" t="n"/>
      <c r="CV138" s="24" t="n"/>
      <c r="CW138" s="24" t="n"/>
      <c r="CX138" s="24" t="n"/>
      <c r="CY138" s="24" t="n"/>
      <c r="CZ138" s="24" t="n"/>
      <c r="DA138" s="24" t="n"/>
      <c r="DB138" s="24" t="n"/>
      <c r="DC138" s="24" t="n"/>
      <c r="DD138" s="24" t="n"/>
      <c r="DE138" s="24" t="n"/>
      <c r="DF138" s="24" t="n"/>
      <c r="DG138" s="24" t="n"/>
      <c r="DH138" s="24" t="n"/>
      <c r="DI138" s="24" t="n"/>
      <c r="DJ138" s="24" t="inlineStr">
        <is>
          <t>0.480769</t>
        </is>
      </c>
      <c r="DK138" s="24" t="n"/>
      <c r="DL138" s="24" t="n"/>
      <c r="DM138" s="24" t="n"/>
      <c r="DN138" s="24" t="n"/>
      <c r="DO138" s="24" t="n"/>
      <c r="DP138" s="24" t="n"/>
      <c r="DQ138" s="24" t="inlineStr">
        <is>
          <t>{"artifact_hash": "ed896bd0cac9789cca8e66ff1469e947be6a7e941c829e61082441478c77bbb3", "away_team": "Hanwha Eagles", "draw_settlement_value": 0.5, "event_id": "121719", "event_start_utc": "2026-09-25T08:00:00Z", "features": {"away_elo": 1445.962088, "base_tie_rate": 0.0226169, "home_advantage": 20.0, "home_elo": 1485.967398}, "historical_source_observation_times_verified": false, "home_team": "NC Dinos", "inference_inputs": {"away_id": "HANWHA", "base_tie_rate": 0.0226169, "book_state": {"_games_played": null, "_last_active": null, "decay_rate": 0.002, "home_advantage": 20.0, "k": 8.0, "margin_weight": 0.0, "ratings": {"HANWHA": 1445.962088, "NC": 1485.967398}}, "code_sha256": {"features/elo_ratings.py": "8525faf022a6343c452286dbfeb17dbb043744c6bdabbe448b6b371216da439b", "international_baseball.py": "f345eb917316d2e897f62c1cdd0f73153115c65da54c30c6137ad76bb7b27869"}, "home_id": "NC", "tie_method": "flat"}, "market_type": "moneyline", "model_version": "kbo-tie-aware-elo-v2", "observed_at_utc": "2026-09-25T04:42:50.772771+00:00", "outcome_probabilities": {"away": 0.40511933593073, "draw": 0.0226169, "home": 0.5722637640692699}, "replay_scope": "Exact Elo and tie model; logged value is expected contract settlement, not outright win probability.", "schema": "international-elo-replay-v1", "settlement_values": {"away": 0.416428, "home": 0.583572}, "snapshot_hash": "63ea825411e665d85b3e60cddf65f4ba469bde03609d040765c3d7026fa4e086", "sport": "KBO"}</t>
        </is>
      </c>
    </row>
    <row r="139" ht="36" customHeight="1">
      <c r="A139" s="24" t="inlineStr">
        <is>
          <t>9fb5c38da7db4584</t>
        </is>
      </c>
      <c r="B139" s="24" t="inlineStr">
        <is>
          <t>2026-09-25T22:09:08.415448Z</t>
        </is>
      </c>
      <c r="C139" s="24" t="inlineStr">
        <is>
          <t>2026-09-26T08:00:00Z</t>
        </is>
      </c>
      <c r="D139" s="24" t="inlineStr">
        <is>
          <t>123326</t>
        </is>
      </c>
      <c r="E139" s="24" t="inlineStr">
        <is>
          <t>KBO</t>
        </is>
      </c>
      <c r="F139" s="24" t="inlineStr">
        <is>
          <t>Hanwha Eagles</t>
        </is>
      </c>
      <c r="G139" s="24" t="inlineStr">
        <is>
          <t>NC Dinos</t>
        </is>
      </c>
      <c r="H139" s="24" t="inlineStr">
        <is>
          <t>moneyline</t>
        </is>
      </c>
      <c r="I139" s="24" t="inlineStr">
        <is>
          <t>home</t>
        </is>
      </c>
      <c r="J139" s="25" t="n"/>
      <c r="K139" s="24" t="inlineStr">
        <is>
          <t>polymarket_us</t>
        </is>
      </c>
      <c r="L139" s="26" t="n">
        <v>-113</v>
      </c>
      <c r="M139" s="27" t="n">
        <v>1.884956</v>
      </c>
      <c r="N139" s="28" t="n">
        <v>0.530516</v>
      </c>
      <c r="O139" s="28" t="n">
        <v>0.592343</v>
      </c>
      <c r="P139" s="28" t="n"/>
      <c r="Q139" s="28" t="n">
        <v>0.061827</v>
      </c>
      <c r="R139" s="26" t="n">
        <v>51</v>
      </c>
      <c r="S139" s="29" t="n">
        <v>1</v>
      </c>
      <c r="T139" s="24" t="inlineStr">
        <is>
          <t>kbo-tie-aware-elo-v2</t>
        </is>
      </c>
      <c r="U139" s="24" t="inlineStr">
        <is>
          <t>settled</t>
        </is>
      </c>
      <c r="V139" s="24" t="inlineStr">
        <is>
          <t>win</t>
        </is>
      </c>
      <c r="W139" s="26" t="n">
        <v>2</v>
      </c>
      <c r="X139" s="26" t="n">
        <v>3</v>
      </c>
      <c r="Y139" s="25" t="n"/>
      <c r="Z139" s="26" t="n"/>
      <c r="AA139" s="28" t="n"/>
      <c r="AB139" s="28" t="n"/>
      <c r="AC139" s="30" t="n">
        <v>0.885</v>
      </c>
      <c r="AD139" s="24" t="inlineStr">
        <is>
          <t>2026-09-26T22:02:51.295470Z</t>
        </is>
      </c>
      <c r="AE139" s="31" t="inlineStr">
        <is>
          <t>Tie-aware Elo baseline; executable ask 0.5300 (market_slug=aec-kbo-ndc-hea-2026-09-26). Tie probability=0.0226.</t>
        </is>
      </c>
      <c r="AF139" s="31" t="inlineStr">
        <is>
          <t>Config-promoted international baseball baseline; gates enforced at log time.</t>
        </is>
      </c>
      <c r="AG139" s="24" t="inlineStr">
        <is>
          <t>not_applicable</t>
        </is>
      </c>
      <c r="AH139" s="24" t="n"/>
      <c r="AI139" s="31" t="n"/>
      <c r="AJ139" s="31" t="n"/>
      <c r="AK139" s="24" t="inlineStr">
        <is>
          <t>paper_call</t>
        </is>
      </c>
      <c r="AL139" s="26" t="n">
        <v>4</v>
      </c>
      <c r="AM139" s="24" t="inlineStr">
        <is>
          <t>RESEARCH_OBSERVATION</t>
        </is>
      </c>
      <c r="AN139" s="24" t="inlineStr">
        <is>
          <t>CALL</t>
        </is>
      </c>
      <c r="AO139" s="24" t="inlineStr">
        <is>
          <t>PAPER_CALL_LOW_EDGE</t>
        </is>
      </c>
      <c r="AP139" s="24" t="inlineStr">
        <is>
          <t>Hanwha Eagles</t>
        </is>
      </c>
      <c r="AQ139" s="24" t="inlineStr">
        <is>
          <t>Hanwha Eagles</t>
        </is>
      </c>
      <c r="AR139" s="24" t="inlineStr">
        <is>
          <t>Hanwha Eagles</t>
        </is>
      </c>
      <c r="AS139" s="24" t="inlineStr">
        <is>
          <t>NC Dinos</t>
        </is>
      </c>
      <c r="AT139" s="24" t="inlineStr">
        <is>
          <t>NC Dinos</t>
        </is>
      </c>
      <c r="AU139" s="24" t="inlineStr">
        <is>
          <t>NC Dinos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shadow_qualified</t>
        </is>
      </c>
      <c r="BA139" s="24" t="inlineStr">
        <is>
          <t>2e48a576f1e89156d3fc2a7f15f66712bb818beff1ba4923f762423c36c7097e</t>
        </is>
      </c>
      <c r="BB139" s="24" t="inlineStr">
        <is>
          <t>tie_aware_elo</t>
        </is>
      </c>
      <c r="BC139" s="24" t="inlineStr">
        <is>
          <t>kbo-tie-aware-elo-v2</t>
        </is>
      </c>
      <c r="BD139" s="24" t="inlineStr">
        <is>
          <t>2e48a576f1e89156d3fc2a7f15f66712bb818beff1ba4923f762423c36c7097e</t>
        </is>
      </c>
      <c r="BE139" s="24" t="inlineStr">
        <is>
          <t>1</t>
        </is>
      </c>
      <c r="BF139" s="24" t="inlineStr">
        <is>
          <t>1</t>
        </is>
      </c>
      <c r="BG139" s="24" t="inlineStr">
        <is>
          <t>kbo-tie-aware-elo-v2</t>
        </is>
      </c>
      <c r="BH139" s="24" t="inlineStr">
        <is>
          <t>2026-09-25T22:09:04.541728Z</t>
        </is>
      </c>
      <c r="BI139" s="24" t="inlineStr">
        <is>
          <t>["same_event","same_team_same_day","same_league_same_day"]</t>
        </is>
      </c>
      <c r="BJ139" s="25" t="n"/>
      <c r="BK139" s="26" t="n">
        <v>-113</v>
      </c>
      <c r="BL139" s="27" t="n">
        <v>1.884956</v>
      </c>
      <c r="BM139" s="28" t="n">
        <v>0.530516</v>
      </c>
      <c r="BN139" s="28" t="n"/>
      <c r="BO139" s="28" t="n"/>
      <c r="BP139" s="25" t="n"/>
      <c r="BQ139" s="27" t="n"/>
      <c r="BR139" s="28" t="n"/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  <c r="CR139" s="24" t="n"/>
      <c r="CS139" s="24" t="inlineStr">
        <is>
          <t>True</t>
        </is>
      </c>
      <c r="CT139" s="24" t="n"/>
      <c r="CU139" s="24" t="n"/>
      <c r="CV139" s="24" t="n"/>
      <c r="CW139" s="24" t="n"/>
      <c r="CX139" s="24" t="n"/>
      <c r="CY139" s="24" t="n"/>
      <c r="CZ139" s="24" t="n"/>
      <c r="DA139" s="24" t="n"/>
      <c r="DB139" s="24" t="n"/>
      <c r="DC139" s="24" t="n"/>
      <c r="DD139" s="24" t="n"/>
      <c r="DE139" s="24" t="n"/>
      <c r="DF139" s="24" t="n"/>
      <c r="DG139" s="24" t="n"/>
      <c r="DH139" s="24" t="n"/>
      <c r="DI139" s="24" t="n"/>
      <c r="DJ139" s="24" t="inlineStr">
        <is>
          <t>0.530516</t>
        </is>
      </c>
      <c r="DK139" s="24" t="n"/>
      <c r="DL139" s="24" t="n"/>
      <c r="DM139" s="24" t="n"/>
      <c r="DN139" s="24" t="n"/>
      <c r="DO139" s="24" t="n"/>
      <c r="DP139" s="24" t="n"/>
      <c r="DQ139" s="24" t="inlineStr">
        <is>
          <t>{"artifact_hash": "2e48a576f1e89156d3fc2a7f15f66712bb818beff1ba4923f762423c36c7097e", "away_team": "Hanwha Eagles", "draw_settlement_value": 0.5, "event_id": "123326", "event_start_utc": "2026-09-26T08:00:00Z", "features": {"away_elo": 1442.862072, "base_tie_rate": 0.02261376, "home_advantage": 20.0, "home_elo": 1489.311414}, "historical_source_observation_times_verified": false, "home_team": "NC Dinos", "inference_inputs": {"away_id": "HANWHA", "base_tie_rate": 0.02261376, "book_state": {"_games_played": null, "_last_active": null, "decay_rate": 0.002, "home_advantage": 20.0, "k": 8.0, "margin_weight": 0.0, "ratings": {"HANWHA": 1442.862072, "NC": 1489.311414}}, "code_sha256": {"features/elo_ratings.py": "8525faf022a6343c452286dbfeb17dbb043744c6bdabbe448b6b371216da439b", "international_baseball.py": "f345eb917316d2e897f62c1cdd0f73153115c65da54c30c6137ad76bb7b27869"}, "home_id": "NC", "tie_method": "flat"}, "market_type": "moneyline", "model_version": "kbo-tie-aware-elo-v2", "observed_at_utc": "2026-09-25T22:09:02.816063+00:00", "outcome_probabilities": {"away": 0.3963505442910887, "draw": 0.02261376, "home": 0.5810356957089113}, "replay_scope": "Exact Elo and tie model; logged value is expected contract settlement, not outright win probability.", "schema": "international-elo-replay-v1", "settlement_values": {"away": 0.407657, "home": 0.592343}, "snapshot_hash": "85ab49670f52038b6dc625dc548384426ead838e9ff783bb37f0ee5d9f39c39c", "sport": "KBO"}</t>
        </is>
      </c>
    </row>
    <row r="140" ht="36" customHeight="1">
      <c r="A140" s="24" t="inlineStr">
        <is>
          <t>4f8814bdc8f748e5</t>
        </is>
      </c>
      <c r="B140" s="24" t="inlineStr">
        <is>
          <t>2026-09-25T22:09:08.415448Z</t>
        </is>
      </c>
      <c r="C140" s="24" t="inlineStr">
        <is>
          <t>2026-09-26T08:00:00Z</t>
        </is>
      </c>
      <c r="D140" s="24" t="inlineStr">
        <is>
          <t>126006</t>
        </is>
      </c>
      <c r="E140" s="24" t="inlineStr">
        <is>
          <t>KBO</t>
        </is>
      </c>
      <c r="F140" s="24" t="inlineStr">
        <is>
          <t>Kiwoom Heroes</t>
        </is>
      </c>
      <c r="G140" s="24" t="inlineStr">
        <is>
          <t>KT Wiz</t>
        </is>
      </c>
      <c r="H140" s="24" t="inlineStr">
        <is>
          <t>moneyline</t>
        </is>
      </c>
      <c r="I140" s="24" t="inlineStr">
        <is>
          <t>home</t>
        </is>
      </c>
      <c r="J140" s="25" t="n"/>
      <c r="K140" s="24" t="inlineStr">
        <is>
          <t>polymarket_us</t>
        </is>
      </c>
      <c r="L140" s="26" t="n">
        <v>-163</v>
      </c>
      <c r="M140" s="27" t="n">
        <v>1.613497</v>
      </c>
      <c r="N140" s="28" t="n">
        <v>0.619772</v>
      </c>
      <c r="O140" s="28" t="n">
        <v>0.67675</v>
      </c>
      <c r="P140" s="28" t="n"/>
      <c r="Q140" s="28" t="n">
        <v>0.056978</v>
      </c>
      <c r="R140" s="26" t="n">
        <v>48</v>
      </c>
      <c r="S140" s="29" t="n">
        <v>1</v>
      </c>
      <c r="T140" s="24" t="inlineStr">
        <is>
          <t>kbo-tie-aware-elo-v2</t>
        </is>
      </c>
      <c r="U140" s="24" t="inlineStr">
        <is>
          <t>settled</t>
        </is>
      </c>
      <c r="V140" s="24" t="inlineStr">
        <is>
          <t>loss</t>
        </is>
      </c>
      <c r="W140" s="26" t="n">
        <v>10</v>
      </c>
      <c r="X140" s="26" t="n">
        <v>1</v>
      </c>
      <c r="Y140" s="25" t="n"/>
      <c r="Z140" s="26" t="n"/>
      <c r="AA140" s="28" t="n"/>
      <c r="AB140" s="28" t="n"/>
      <c r="AC140" s="30" t="n">
        <v>-1</v>
      </c>
      <c r="AD140" s="24" t="inlineStr">
        <is>
          <t>2026-09-26T22:02:51.664245Z</t>
        </is>
      </c>
      <c r="AE140" s="31" t="inlineStr">
        <is>
          <t>Tie-aware Elo baseline; executable ask 0.6200 (market_slug=aec-kbo-kwt-khi-2026-09-26). Tie probability=0.0226.</t>
        </is>
      </c>
      <c r="AF140" s="31" t="inlineStr">
        <is>
          <t>Config-promoted international baseball baseline; gates enforced at log time.</t>
        </is>
      </c>
      <c r="AG140" s="24" t="inlineStr">
        <is>
          <t>review_required</t>
        </is>
      </c>
      <c r="AH140" s="24" t="n"/>
      <c r="AI140" s="31" t="n"/>
      <c r="AJ140" s="31" t="n"/>
      <c r="AK140" s="24" t="inlineStr">
        <is>
          <t>model_qualified</t>
        </is>
      </c>
      <c r="AL140" s="26" t="n">
        <v>4</v>
      </c>
      <c r="AM140" s="24" t="inlineStr">
        <is>
          <t>QUALIFIED_SHADOW_CALL</t>
        </is>
      </c>
      <c r="AN140" s="24" t="inlineStr">
        <is>
          <t>CALL</t>
        </is>
      </c>
      <c r="AO140" s="24" t="inlineStr">
        <is>
          <t>QUALIFIED</t>
        </is>
      </c>
      <c r="AP140" s="24" t="inlineStr">
        <is>
          <t>Kiwoom Heroes</t>
        </is>
      </c>
      <c r="AQ140" s="24" t="inlineStr">
        <is>
          <t>Kiwoom Heroes</t>
        </is>
      </c>
      <c r="AR140" s="24" t="inlineStr">
        <is>
          <t>Kiwoom Heroes</t>
        </is>
      </c>
      <c r="AS140" s="24" t="inlineStr">
        <is>
          <t>KT Wiz</t>
        </is>
      </c>
      <c r="AT140" s="24" t="inlineStr">
        <is>
          <t>KT Wiz</t>
        </is>
      </c>
      <c r="AU140" s="24" t="inlineStr">
        <is>
          <t>KT Wiz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shadow_qualified</t>
        </is>
      </c>
      <c r="BA140" s="24" t="inlineStr">
        <is>
          <t>2e48a576f1e89156d3fc2a7f15f66712bb818beff1ba4923f762423c36c7097e</t>
        </is>
      </c>
      <c r="BB140" s="24" t="inlineStr">
        <is>
          <t>tie_aware_elo</t>
        </is>
      </c>
      <c r="BC140" s="24" t="inlineStr">
        <is>
          <t>kbo-tie-aware-elo-v2</t>
        </is>
      </c>
      <c r="BD140" s="24" t="inlineStr">
        <is>
          <t>2e48a576f1e89156d3fc2a7f15f66712bb818beff1ba4923f762423c36c7097e</t>
        </is>
      </c>
      <c r="BE140" s="24" t="inlineStr">
        <is>
          <t>1</t>
        </is>
      </c>
      <c r="BF140" s="24" t="inlineStr">
        <is>
          <t>1</t>
        </is>
      </c>
      <c r="BG140" s="24" t="inlineStr">
        <is>
          <t>kbo-tie-aware-elo-v2</t>
        </is>
      </c>
      <c r="BH140" s="24" t="inlineStr">
        <is>
          <t>2026-09-25T22:09:04.600714Z</t>
        </is>
      </c>
      <c r="BI140" s="24" t="inlineStr">
        <is>
          <t>["same_event","same_team_same_day","same_league_same_day"]</t>
        </is>
      </c>
      <c r="BJ140" s="25" t="n"/>
      <c r="BK140" s="26" t="n">
        <v>-163</v>
      </c>
      <c r="BL140" s="27" t="n">
        <v>1.613497</v>
      </c>
      <c r="BM140" s="28" t="n">
        <v>0.619772</v>
      </c>
      <c r="BN140" s="28" t="n"/>
      <c r="BO140" s="28" t="n"/>
      <c r="BP140" s="25" t="n"/>
      <c r="BQ140" s="27" t="n"/>
      <c r="BR140" s="28" t="n"/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  <c r="CR140" s="24" t="n"/>
      <c r="CS140" s="24" t="inlineStr">
        <is>
          <t>True</t>
        </is>
      </c>
      <c r="CT140" s="24" t="n"/>
      <c r="CU140" s="24" t="n"/>
      <c r="CV140" s="24" t="n"/>
      <c r="CW140" s="24" t="n"/>
      <c r="CX140" s="24" t="n"/>
      <c r="CY140" s="24" t="n"/>
      <c r="CZ140" s="24" t="n"/>
      <c r="DA140" s="24" t="n"/>
      <c r="DB140" s="24" t="n"/>
      <c r="DC140" s="24" t="n"/>
      <c r="DD140" s="24" t="n"/>
      <c r="DE140" s="24" t="n"/>
      <c r="DF140" s="24" t="n"/>
      <c r="DG140" s="24" t="n"/>
      <c r="DH140" s="24" t="n"/>
      <c r="DI140" s="24" t="n"/>
      <c r="DJ140" s="24" t="inlineStr">
        <is>
          <t>0.619772</t>
        </is>
      </c>
      <c r="DK140" s="24" t="n"/>
      <c r="DL140" s="24" t="n"/>
      <c r="DM140" s="24" t="n"/>
      <c r="DN140" s="24" t="n"/>
      <c r="DO140" s="24" t="n"/>
      <c r="DP140" s="24" t="n"/>
      <c r="DQ140" s="24" t="inlineStr">
        <is>
          <t>{"artifact_hash": "2e48a576f1e89156d3fc2a7f15f66712bb818beff1ba4923f762423c36c7097e", "away_team": "Kiwoom Heroes", "draw_settlement_value": 0.5, "event_id": "126006", "event_start_utc": "2026-09-26T08:00:00Z", "features": {"away_elo": 1445.076679, "base_tie_rate": 0.02261376, "home_advantage": 20.0, "home_elo": 1556.69122}, "historical_source_observation_times_verified": false, "home_team": "KT Wiz", "inference_inputs": {"away_id": "KIWOOM", "base_tie_rate": 0.02261376, "book_state": {"_games_played": null, "_last_active": null, "decay_rate": 0.002, "home_advantage": 20.0, "k": 8.0, "margin_weight": 0.0, "ratings": {"KIWOOM": 1445.076679, "KT": 1556.69122}}, "code_sha256": {"features/elo_ratings.py": "8525faf022a6343c452286dbfeb17dbb043744c6bdabbe448b6b371216da439b", "international_baseball.py": "f345eb917316d2e897f62c1cdd0f73153115c65da54c30c6137ad76bb7b27869"}, "home_id": "KT", "tie_method": "flat"}, "market_type": "moneyline", "model_version": "kbo-tie-aware-elo-v2", "observed_at_utc": "2026-09-25T22:09:02.816063+00:00", "outcome_probabilities": {"away": 0.31194271664070644, "draw": 0.02261376, "home": 0.6654435233592936}, "replay_scope": "Exact Elo and tie model; logged value is expected contract settlement, not outright win probability.", "schema": "international-elo-replay-v1", "settlement_values": {"away": 0.32325, "home": 0.67675}, "snapshot_hash": "d1ce2641d511bb9639ddf58d6e854f963bf42e3a7e270f95e6eace2b4df788bc", "sport": "KBO"}</t>
        </is>
      </c>
    </row>
    <row r="141" ht="36" customHeight="1">
      <c r="A141" s="24" t="inlineStr">
        <is>
          <t>81f9f73af6254579</t>
        </is>
      </c>
      <c r="B141" s="24" t="inlineStr">
        <is>
          <t>2026-09-27T05:03:22.190232Z</t>
        </is>
      </c>
      <c r="C141" s="24" t="inlineStr">
        <is>
          <t>2026-09-27T08:00:00Z</t>
        </is>
      </c>
      <c r="D141" s="24" t="inlineStr">
        <is>
          <t>124832</t>
        </is>
      </c>
      <c r="E141" s="24" t="inlineStr">
        <is>
          <t>KBO</t>
        </is>
      </c>
      <c r="F141" s="24" t="inlineStr">
        <is>
          <t>LG Twins</t>
        </is>
      </c>
      <c r="G141" s="24" t="inlineStr">
        <is>
          <t>Kia Tigers</t>
        </is>
      </c>
      <c r="H141" s="24" t="inlineStr">
        <is>
          <t>moneyline</t>
        </is>
      </c>
      <c r="I141" s="24" t="inlineStr">
        <is>
          <t>home</t>
        </is>
      </c>
      <c r="J141" s="25" t="n"/>
      <c r="K141" s="24" t="inlineStr">
        <is>
          <t>polymarket_us</t>
        </is>
      </c>
      <c r="L141" s="26" t="n">
        <v>170</v>
      </c>
      <c r="M141" s="27" t="n">
        <v>2.7</v>
      </c>
      <c r="N141" s="28" t="n">
        <v>0.37037</v>
      </c>
      <c r="O141" s="28" t="n">
        <v>0.533154</v>
      </c>
      <c r="P141" s="28" t="n"/>
      <c r="Q141" s="28" t="n">
        <v>0.162784</v>
      </c>
      <c r="R141" s="26" t="n">
        <v>100</v>
      </c>
      <c r="S141" s="29" t="n">
        <v>1.75</v>
      </c>
      <c r="T141" s="24" t="inlineStr">
        <is>
          <t>kbo-tie-aware-elo-v2</t>
        </is>
      </c>
      <c r="U141" s="24" t="inlineStr">
        <is>
          <t>settled</t>
        </is>
      </c>
      <c r="V141" s="24" t="inlineStr">
        <is>
          <t>push</t>
        </is>
      </c>
      <c r="W141" s="26" t="n"/>
      <c r="X141" s="26" t="n"/>
      <c r="Y141" s="25" t="n"/>
      <c r="Z141" s="26" t="n"/>
      <c r="AA141" s="28" t="n"/>
      <c r="AB141" s="28" t="n"/>
      <c r="AC141" s="30" t="n">
        <v>0</v>
      </c>
      <c r="AD141" s="24" t="inlineStr">
        <is>
          <t>2026-10-06T22:59:28.097374Z</t>
        </is>
      </c>
      <c r="AE141" s="31" t="inlineStr">
        <is>
          <t>Tie-aware Elo baseline; executable ask 0.3700 (market_slug=aec-kbo-kti-ltg-2026-09-27). Tie probability=0.0226.</t>
        </is>
      </c>
      <c r="AF141" s="31" t="inlineStr">
        <is>
          <t>Config-promoted international baseball baseline; gates enforced at log time.</t>
        </is>
      </c>
      <c r="AG141" s="24" t="inlineStr">
        <is>
          <t>not_applicable</t>
        </is>
      </c>
      <c r="AH141" s="24" t="n"/>
      <c r="AI141" s="31" t="n"/>
      <c r="AJ141" s="31" t="n"/>
      <c r="AK141" s="24" t="inlineStr">
        <is>
          <t>paper_call</t>
        </is>
      </c>
      <c r="AL141" s="26" t="n">
        <v>4</v>
      </c>
      <c r="AM141" s="24" t="inlineStr">
        <is>
          <t>RESEARCH_OBSERVATION</t>
        </is>
      </c>
      <c r="AN141" s="24" t="inlineStr">
        <is>
          <t>CALL</t>
        </is>
      </c>
      <c r="AO141" s="24" t="inlineStr">
        <is>
          <t>PAPER_CALL_LOW_EDGE</t>
        </is>
      </c>
      <c r="AP141" s="24" t="inlineStr">
        <is>
          <t>LG Twins</t>
        </is>
      </c>
      <c r="AQ141" s="24" t="inlineStr">
        <is>
          <t>LG Twins</t>
        </is>
      </c>
      <c r="AR141" s="24" t="inlineStr">
        <is>
          <t>LG Twins</t>
        </is>
      </c>
      <c r="AS141" s="24" t="inlineStr">
        <is>
          <t>Kia Tigers</t>
        </is>
      </c>
      <c r="AT141" s="24" t="inlineStr">
        <is>
          <t>Kia Tigers</t>
        </is>
      </c>
      <c r="AU141" s="24" t="inlineStr">
        <is>
          <t>Kia Tigers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shadow_qualified</t>
        </is>
      </c>
      <c r="BA141" s="24" t="inlineStr">
        <is>
          <t>9cc339d022889dfc7e4c69ec7ca4020cf3f16e38e281698e2b8b1599c297f78e</t>
        </is>
      </c>
      <c r="BB141" s="24" t="inlineStr">
        <is>
          <t>tie_aware_elo</t>
        </is>
      </c>
      <c r="BC141" s="24" t="inlineStr">
        <is>
          <t>kbo-tie-aware-elo-v2</t>
        </is>
      </c>
      <c r="BD141" s="24" t="inlineStr">
        <is>
          <t>9cc339d022889dfc7e4c69ec7ca4020cf3f16e38e281698e2b8b1599c297f78e</t>
        </is>
      </c>
      <c r="BE141" s="24" t="inlineStr">
        <is>
          <t>1</t>
        </is>
      </c>
      <c r="BF141" s="24" t="inlineStr">
        <is>
          <t>1</t>
        </is>
      </c>
      <c r="BG141" s="24" t="inlineStr">
        <is>
          <t>kbo-tie-aware-elo-v2</t>
        </is>
      </c>
      <c r="BH141" s="24" t="inlineStr">
        <is>
          <t>2026-09-27T05:03:13.229860Z</t>
        </is>
      </c>
      <c r="BI141" s="24" t="inlineStr">
        <is>
          <t>["same_event","same_team_same_day","same_league_same_day"]</t>
        </is>
      </c>
      <c r="BJ141" s="25" t="n"/>
      <c r="BK141" s="26" t="n">
        <v>170</v>
      </c>
      <c r="BL141" s="27" t="n">
        <v>2.7</v>
      </c>
      <c r="BM141" s="28" t="n">
        <v>0.37037</v>
      </c>
      <c r="BN141" s="28" t="n"/>
      <c r="BO141" s="28" t="n"/>
      <c r="BP141" s="25" t="n"/>
      <c r="BQ141" s="27" t="n"/>
      <c r="BR141" s="28" t="n"/>
      <c r="BS141" s="28" t="n"/>
      <c r="BT141" s="28" t="n"/>
      <c r="BU141" s="25" t="n"/>
      <c r="BV141" s="29" t="n"/>
      <c r="BW141" s="24" t="inlineStr">
        <is>
          <t>KBO game scheduled on 2026-09-27 cancelled/postponed (no final score posted after &gt;7 days)</t>
        </is>
      </c>
      <c r="BX141" s="30" t="n"/>
      <c r="BY141" s="27" t="n"/>
      <c r="BZ141" s="24" t="n"/>
      <c r="CA141" s="31" t="n"/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n"/>
      <c r="CR141" s="24" t="n"/>
      <c r="CS141" s="24" t="inlineStr">
        <is>
          <t>True</t>
        </is>
      </c>
      <c r="CT141" s="24" t="n"/>
      <c r="CU141" s="24" t="n"/>
      <c r="CV141" s="24" t="n"/>
      <c r="CW141" s="24" t="n"/>
      <c r="CX141" s="24" t="n"/>
      <c r="CY141" s="24" t="n"/>
      <c r="CZ141" s="24" t="n"/>
      <c r="DA141" s="24" t="n"/>
      <c r="DB141" s="24" t="n"/>
      <c r="DC141" s="24" t="n"/>
      <c r="DD141" s="24" t="n"/>
      <c r="DE141" s="24" t="n"/>
      <c r="DF141" s="24" t="n"/>
      <c r="DG141" s="24" t="n"/>
      <c r="DH141" s="24" t="n"/>
      <c r="DI141" s="24" t="n"/>
      <c r="DJ141" s="24" t="inlineStr">
        <is>
          <t>0.37037</t>
        </is>
      </c>
      <c r="DK141" s="24" t="n"/>
      <c r="DL141" s="24" t="n"/>
      <c r="DM141" s="24" t="n"/>
      <c r="DN141" s="24" t="n"/>
      <c r="DO141" s="24" t="n"/>
      <c r="DP141" s="24" t="n"/>
      <c r="DQ141" s="24" t="inlineStr">
        <is>
          <t>{"artifact_hash": "9cc339d022889dfc7e4c69ec7ca4020cf3f16e38e281698e2b8b1599c297f78e", "away_team": "LG Twins", "draw_settlement_value": 0.5, "event_id": "124832", "event_start_utc": "2026-09-27T08:00:00Z", "features": {"away_elo": 1521.78621, "base_tie_rate": 0.02260435, "home_advantage": 20.0, "home_elo": 1525.393362}, "historical_source_observation_times_verified": false, "home_team": "Kia Tigers", "inference_inputs": {"away_id": "LG", "base_tie_rate": 0.02260435, "book_state": {"_games_played": null, "_last_active": null, "decay_rate": 0.002, "home_advantage": 20.0, "k": 8.0, "margin_weight": 0.0, "ratings": {"KIA": 1525.393362, "LG": 1521.78621}}, "code_sha256": {"features/elo_ratings.py": "8525faf022a6343c452286dbfeb17dbb043744c6bdabbe448b6b371216da439b", "international_baseball.py": "f345eb917316d2e897f62c1cdd0f73153115c65da54c30c6137ad76bb7b27869"}, "home_id": "KIA", "tie_method": "flat"}, "market_type": "moneyline", "model_version": "kbo-tie-aware-elo-v2", "observed_at_utc": "2026-09-27T05:03:08.506998+00:00", "outcome_probabilities": {"away": 0.455543355990778, "draw": 0.02260435, "home": 0.521852294009222}, "replay_scope": "Exact Elo and tie model; logged value is expected contract settlement, not outright win probability.", "schema": "international-elo-replay-v1", "settlement_values": {"away": 0.466846, "home": 0.533154}, "snapshot_hash": "3154b03f9ecf61300677d2b66ea71d76554e10e7ca6c1bb5b2ec9bf3ed4e06b9", "sport": "KBO"}</t>
        </is>
      </c>
    </row>
    <row r="142" ht="36" customHeight="1">
      <c r="A142" s="24" t="inlineStr">
        <is>
          <t>6394b9002f64479d</t>
        </is>
      </c>
      <c r="B142" s="24" t="inlineStr">
        <is>
          <t>2026-09-29T04:39:58.474955Z</t>
        </is>
      </c>
      <c r="C142" s="24" t="inlineStr">
        <is>
          <t>2026-09-29T09:30:00Z</t>
        </is>
      </c>
      <c r="D142" s="24" t="inlineStr">
        <is>
          <t>127960</t>
        </is>
      </c>
      <c r="E142" s="24" t="inlineStr">
        <is>
          <t>KBO</t>
        </is>
      </c>
      <c r="F142" s="24" t="inlineStr">
        <is>
          <t>LG Twins</t>
        </is>
      </c>
      <c r="G142" s="24" t="inlineStr">
        <is>
          <t>SSG Landers</t>
        </is>
      </c>
      <c r="H142" s="24" t="inlineStr">
        <is>
          <t>moneyline</t>
        </is>
      </c>
      <c r="I142" s="24" t="inlineStr">
        <is>
          <t>home</t>
        </is>
      </c>
      <c r="J142" s="25" t="n"/>
      <c r="K142" s="24" t="inlineStr">
        <is>
          <t>polymarket_us</t>
        </is>
      </c>
      <c r="L142" s="26" t="n">
        <v>117</v>
      </c>
      <c r="M142" s="27" t="n">
        <v>2.17</v>
      </c>
      <c r="N142" s="28" t="n">
        <v>0.460829</v>
      </c>
      <c r="O142" s="28" t="n">
        <v>0.500224</v>
      </c>
      <c r="P142" s="28" t="n"/>
      <c r="Q142" s="28" t="n">
        <v>0.039395</v>
      </c>
      <c r="R142" s="26" t="n">
        <v>40</v>
      </c>
      <c r="S142" s="29" t="n">
        <v>1</v>
      </c>
      <c r="T142" s="24" t="inlineStr">
        <is>
          <t>kbo-tie-aware-elo-v2</t>
        </is>
      </c>
      <c r="U142" s="24" t="inlineStr">
        <is>
          <t>settled</t>
        </is>
      </c>
      <c r="V142" s="24" t="inlineStr">
        <is>
          <t>win</t>
        </is>
      </c>
      <c r="W142" s="26" t="n">
        <v>1</v>
      </c>
      <c r="X142" s="26" t="n">
        <v>7</v>
      </c>
      <c r="Y142" s="25" t="n"/>
      <c r="Z142" s="26" t="n"/>
      <c r="AA142" s="28" t="n"/>
      <c r="AB142" s="28" t="n"/>
      <c r="AC142" s="30" t="n">
        <v>1.17</v>
      </c>
      <c r="AD142" s="24" t="inlineStr">
        <is>
          <t>2026-09-29T22:01:59.538103Z</t>
        </is>
      </c>
      <c r="AE142" s="31" t="inlineStr">
        <is>
          <t>Tie-aware Elo baseline; executable ask 0.4600 (market_slug=aec-kbo-sls-ltg-2026-09-29). Tie probability=0.0226.</t>
        </is>
      </c>
      <c r="AF142" s="31" t="inlineStr">
        <is>
          <t>Config-promoted international baseball baseline; gates enforced at log time.</t>
        </is>
      </c>
      <c r="AG142" s="24" t="inlineStr">
        <is>
          <t>not_applicable</t>
        </is>
      </c>
      <c r="AH142" s="24" t="n"/>
      <c r="AI142" s="31" t="n"/>
      <c r="AJ142" s="31" t="n"/>
      <c r="AK142" s="24" t="inlineStr">
        <is>
          <t>paper_call</t>
        </is>
      </c>
      <c r="AL142" s="26" t="n">
        <v>4</v>
      </c>
      <c r="AM142" s="24" t="inlineStr">
        <is>
          <t>RESEARCH_OBSERVATION</t>
        </is>
      </c>
      <c r="AN142" s="24" t="inlineStr">
        <is>
          <t>CALL</t>
        </is>
      </c>
      <c r="AO142" s="24" t="inlineStr">
        <is>
          <t>PAPER_CALL_LOW_EDGE</t>
        </is>
      </c>
      <c r="AP142" s="24" t="inlineStr">
        <is>
          <t>LG Twins</t>
        </is>
      </c>
      <c r="AQ142" s="24" t="inlineStr">
        <is>
          <t>LG Twins</t>
        </is>
      </c>
      <c r="AR142" s="24" t="inlineStr">
        <is>
          <t>LG Twins</t>
        </is>
      </c>
      <c r="AS142" s="24" t="inlineStr">
        <is>
          <t>SSG Landers</t>
        </is>
      </c>
      <c r="AT142" s="24" t="inlineStr">
        <is>
          <t>SSG Landers</t>
        </is>
      </c>
      <c r="AU142" s="24" t="inlineStr">
        <is>
          <t>SSG Landers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shadow_qualified</t>
        </is>
      </c>
      <c r="BA142" s="24" t="inlineStr">
        <is>
          <t>714f3798d0f3563c8f0d3bd0f177802476b8266704d08a6b0933f31938092164</t>
        </is>
      </c>
      <c r="BB142" s="24" t="inlineStr">
        <is>
          <t>tie_aware_elo</t>
        </is>
      </c>
      <c r="BC142" s="24" t="inlineStr">
        <is>
          <t>kbo-tie-aware-elo-v2</t>
        </is>
      </c>
      <c r="BD142" s="24" t="inlineStr">
        <is>
          <t>714f3798d0f3563c8f0d3bd0f177802476b8266704d08a6b0933f31938092164</t>
        </is>
      </c>
      <c r="BE142" s="24" t="inlineStr">
        <is>
          <t>1</t>
        </is>
      </c>
      <c r="BF142" s="24" t="inlineStr">
        <is>
          <t>1</t>
        </is>
      </c>
      <c r="BG142" s="24" t="inlineStr">
        <is>
          <t>kbo-tie-aware-elo-v2</t>
        </is>
      </c>
      <c r="BH142" s="24" t="inlineStr">
        <is>
          <t>2026-09-29T04:39:50.200549Z</t>
        </is>
      </c>
      <c r="BI142" s="24" t="inlineStr">
        <is>
          <t>["same_event","same_team_same_day","same_league_same_day"]</t>
        </is>
      </c>
      <c r="BJ142" s="25" t="n"/>
      <c r="BK142" s="26" t="n">
        <v>117</v>
      </c>
      <c r="BL142" s="27" t="n">
        <v>2.17</v>
      </c>
      <c r="BM142" s="28" t="n">
        <v>0.460829</v>
      </c>
      <c r="BN142" s="28" t="n"/>
      <c r="BO142" s="28" t="n"/>
      <c r="BP142" s="25" t="n"/>
      <c r="BQ142" s="27" t="n"/>
      <c r="BR142" s="28" t="n"/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  <c r="CQ142" s="24" t="n"/>
      <c r="CR142" s="24" t="n"/>
      <c r="CS142" s="24" t="inlineStr">
        <is>
          <t>True</t>
        </is>
      </c>
      <c r="CT142" s="24" t="n"/>
      <c r="CU142" s="24" t="n"/>
      <c r="CV142" s="24" t="n"/>
      <c r="CW142" s="24" t="n"/>
      <c r="CX142" s="24" t="n"/>
      <c r="CY142" s="24" t="n"/>
      <c r="CZ142" s="24" t="n"/>
      <c r="DA142" s="24" t="n"/>
      <c r="DB142" s="24" t="n"/>
      <c r="DC142" s="24" t="n"/>
      <c r="DD142" s="24" t="n"/>
      <c r="DE142" s="24" t="n"/>
      <c r="DF142" s="24" t="n"/>
      <c r="DG142" s="24" t="n"/>
      <c r="DH142" s="24" t="n"/>
      <c r="DI142" s="24" t="n"/>
      <c r="DJ142" s="24" t="inlineStr">
        <is>
          <t>0.460829</t>
        </is>
      </c>
      <c r="DK142" s="24" t="n"/>
      <c r="DL142" s="24" t="n"/>
      <c r="DM142" s="24" t="n"/>
      <c r="DN142" s="24" t="n"/>
      <c r="DO142" s="24" t="n"/>
      <c r="DP142" s="24" t="n"/>
      <c r="DQ142" s="24" t="inlineStr">
        <is>
          <t>{"artifact_hash": "714f3798d0f3563c8f0d3bd0f177802476b8266704d08a6b0933f31938092164", "away_team": "LG Twins", "draw_settlement_value": 0.5, "event_id": "127960", "event_start_utc": "2026-09-29T09:30:00Z", "features": {"away_elo": 1521.655754, "base_tie_rate": 0.02259495, "home_advantage": 20.0, "home_elo": 1501.814763}, "historical_source_observation_times_verified": false, "home_team": "SSG Landers", "inference_inputs": {"away_id": "LG", "base_tie_rate": 0.02259495, "book_state": {"_games_played": null, "_last_active": null, "decay_rate": 0.002, "home_advantage": 20.0, "k": 8.0, "margin_weight": 0.0, "ratings": {"LG": 1521.655754, "SSG": 1501.814763}}, "code_sha256": {"features/elo_ratings.py": "8525faf022a6343c452286dbfeb17dbb043744c6bdabbe448b6b371216da439b", "international_baseball.py": "f345eb917316d2e897f62c1cdd0f73153115c65da54c30c6137ad76bb7b27869"}, "home_id": "SSG", "tie_method": "flat"}, "market_type": "moneyline", "model_version": "kbo-tie-aware-elo-v2", "observed_at_utc": "2026-09-29T04:39:41.585157+00:00", "outcome_probabilities": {"away": 0.48847886312536665, "draw": 0.02259495, "home": 0.48892618687463335}, "replay_scope": "Exact Elo and tie model; logged value is expected contract settlement, not outright win probability.", "schema": "international-elo-replay-v1", "settlement_values": {"away": 0.499776, "home": 0.500224}, "snapshot_hash": "b2325d5ed805ee39c252c1dc4350f1adcac58ec19502b0ddc54ad902f6b7a2c1", "sport": "KBO"}</t>
        </is>
      </c>
    </row>
    <row r="143" ht="36" customHeight="1">
      <c r="A143" s="24" t="inlineStr">
        <is>
          <t>9004b2c76af648cb</t>
        </is>
      </c>
      <c r="B143" s="24" t="inlineStr">
        <is>
          <t>2026-09-29T04:39:58.474955Z</t>
        </is>
      </c>
      <c r="C143" s="24" t="inlineStr">
        <is>
          <t>2026-09-29T09:30:00Z</t>
        </is>
      </c>
      <c r="D143" s="24" t="inlineStr">
        <is>
          <t>127961</t>
        </is>
      </c>
      <c r="E143" s="24" t="inlineStr">
        <is>
          <t>KBO</t>
        </is>
      </c>
      <c r="F143" s="24" t="inlineStr">
        <is>
          <t>Kiwoom Heroes</t>
        </is>
      </c>
      <c r="G143" s="24" t="inlineStr">
        <is>
          <t>Lotte Giants</t>
        </is>
      </c>
      <c r="H143" s="24" t="inlineStr">
        <is>
          <t>moneyline</t>
        </is>
      </c>
      <c r="I143" s="24" t="inlineStr">
        <is>
          <t>home</t>
        </is>
      </c>
      <c r="J143" s="25" t="n"/>
      <c r="K143" s="24" t="inlineStr">
        <is>
          <t>polymarket_us</t>
        </is>
      </c>
      <c r="L143" s="26" t="n">
        <v>-194</v>
      </c>
      <c r="M143" s="27" t="n">
        <v>1.515464</v>
      </c>
      <c r="N143" s="28" t="n">
        <v>0.659864</v>
      </c>
      <c r="O143" s="28" t="n">
        <v>0.571971</v>
      </c>
      <c r="P143" s="28" t="n"/>
      <c r="Q143" s="28" t="n">
        <v>-0.087893</v>
      </c>
      <c r="R143" s="26" t="n">
        <v>0</v>
      </c>
      <c r="S143" s="29" t="n">
        <v>1</v>
      </c>
      <c r="T143" s="24" t="inlineStr">
        <is>
          <t>kbo-tie-aware-elo-v2</t>
        </is>
      </c>
      <c r="U143" s="24" t="inlineStr">
        <is>
          <t>settled</t>
        </is>
      </c>
      <c r="V143" s="24" t="inlineStr">
        <is>
          <t>win</t>
        </is>
      </c>
      <c r="W143" s="26" t="n">
        <v>2</v>
      </c>
      <c r="X143" s="26" t="n">
        <v>4</v>
      </c>
      <c r="Y143" s="25" t="n"/>
      <c r="Z143" s="26" t="n"/>
      <c r="AA143" s="28" t="n"/>
      <c r="AB143" s="28" t="n"/>
      <c r="AC143" s="30" t="n">
        <v>0.5155</v>
      </c>
      <c r="AD143" s="24" t="inlineStr">
        <is>
          <t>2026-09-29T22:02:00.202323Z</t>
        </is>
      </c>
      <c r="AE143" s="31" t="inlineStr">
        <is>
          <t>Tie-aware Elo baseline; executable ask 0.6600 (market_slug=aec-kbo-lgo-khi-2026-09-29). Tie probability=0.0226.</t>
        </is>
      </c>
      <c r="AF143" s="31" t="inlineStr">
        <is>
          <t>Config-promoted international baseball baseline; gates enforced at log time.</t>
        </is>
      </c>
      <c r="AG143" s="24" t="inlineStr">
        <is>
          <t>not_applicable</t>
        </is>
      </c>
      <c r="AH143" s="24" t="n"/>
      <c r="AI143" s="31" t="n"/>
      <c r="AJ143" s="31" t="n"/>
      <c r="AK143" s="24" t="inlineStr">
        <is>
          <t>paper_call</t>
        </is>
      </c>
      <c r="AL143" s="26" t="n">
        <v>4</v>
      </c>
      <c r="AM143" s="24" t="inlineStr">
        <is>
          <t>RESEARCH_OBSERVATION</t>
        </is>
      </c>
      <c r="AN143" s="24" t="inlineStr">
        <is>
          <t>CALL</t>
        </is>
      </c>
      <c r="AO143" s="24" t="inlineStr">
        <is>
          <t>PAPER_CALL_LOW_EDGE</t>
        </is>
      </c>
      <c r="AP143" s="24" t="inlineStr">
        <is>
          <t>Kiwoom Heroes</t>
        </is>
      </c>
      <c r="AQ143" s="24" t="inlineStr">
        <is>
          <t>Kiwoom Heroes</t>
        </is>
      </c>
      <c r="AR143" s="24" t="inlineStr">
        <is>
          <t>Kiwoom Heroes</t>
        </is>
      </c>
      <c r="AS143" s="24" t="inlineStr">
        <is>
          <t>Lotte Giants</t>
        </is>
      </c>
      <c r="AT143" s="24" t="inlineStr">
        <is>
          <t>Lotte Giants</t>
        </is>
      </c>
      <c r="AU143" s="24" t="inlineStr">
        <is>
          <t>Lotte Giants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shadow_qualified</t>
        </is>
      </c>
      <c r="BA143" s="24" t="inlineStr">
        <is>
          <t>714f3798d0f3563c8f0d3bd0f177802476b8266704d08a6b0933f31938092164</t>
        </is>
      </c>
      <c r="BB143" s="24" t="inlineStr">
        <is>
          <t>tie_aware_elo</t>
        </is>
      </c>
      <c r="BC143" s="24" t="inlineStr">
        <is>
          <t>kbo-tie-aware-elo-v2</t>
        </is>
      </c>
      <c r="BD143" s="24" t="inlineStr">
        <is>
          <t>714f3798d0f3563c8f0d3bd0f177802476b8266704d08a6b0933f31938092164</t>
        </is>
      </c>
      <c r="BE143" s="24" t="inlineStr">
        <is>
          <t>1</t>
        </is>
      </c>
      <c r="BF143" s="24" t="inlineStr">
        <is>
          <t>1</t>
        </is>
      </c>
      <c r="BG143" s="24" t="inlineStr">
        <is>
          <t>kbo-tie-aware-elo-v2</t>
        </is>
      </c>
      <c r="BH143" s="24" t="inlineStr">
        <is>
          <t>2026-09-29T04:39:50.294878Z</t>
        </is>
      </c>
      <c r="BI143" s="24" t="inlineStr">
        <is>
          <t>["same_event","same_team_same_day","same_league_same_day"]</t>
        </is>
      </c>
      <c r="BJ143" s="25" t="n"/>
      <c r="BK143" s="26" t="n">
        <v>-194</v>
      </c>
      <c r="BL143" s="27" t="n">
        <v>1.515464</v>
      </c>
      <c r="BM143" s="28" t="n">
        <v>0.659864</v>
      </c>
      <c r="BN143" s="28" t="n"/>
      <c r="BO143" s="28" t="n"/>
      <c r="BP143" s="25" t="n"/>
      <c r="BQ143" s="27" t="n"/>
      <c r="BR143" s="28" t="n"/>
      <c r="BS143" s="28" t="n"/>
      <c r="BT143" s="28" t="n"/>
      <c r="BU143" s="25" t="n"/>
      <c r="BV143" s="29" t="n"/>
      <c r="BW143" s="24" t="n"/>
      <c r="BX143" s="30" t="n"/>
      <c r="BY143" s="27" t="n"/>
      <c r="BZ143" s="24" t="n"/>
      <c r="CA143" s="31" t="n"/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  <c r="CQ143" s="24" t="n"/>
      <c r="CR143" s="24" t="n"/>
      <c r="CS143" s="24" t="inlineStr">
        <is>
          <t>False</t>
        </is>
      </c>
      <c r="CT143" s="24" t="n"/>
      <c r="CU143" s="24" t="n"/>
      <c r="CV143" s="24" t="n"/>
      <c r="CW143" s="24" t="n"/>
      <c r="CX143" s="24" t="n"/>
      <c r="CY143" s="24" t="n"/>
      <c r="CZ143" s="24" t="n"/>
      <c r="DA143" s="24" t="n"/>
      <c r="DB143" s="24" t="n"/>
      <c r="DC143" s="24" t="n"/>
      <c r="DD143" s="24" t="n"/>
      <c r="DE143" s="24" t="n"/>
      <c r="DF143" s="24" t="n"/>
      <c r="DG143" s="24" t="n"/>
      <c r="DH143" s="24" t="n"/>
      <c r="DI143" s="24" t="n"/>
      <c r="DJ143" s="24" t="inlineStr">
        <is>
          <t>0.659864</t>
        </is>
      </c>
      <c r="DK143" s="24" t="n"/>
      <c r="DL143" s="24" t="n"/>
      <c r="DM143" s="24" t="n"/>
      <c r="DN143" s="24" t="n"/>
      <c r="DO143" s="24" t="n"/>
      <c r="DP143" s="24" t="n"/>
      <c r="DQ143" s="24" t="inlineStr">
        <is>
          <t>{"artifact_hash": "714f3798d0f3563c8f0d3bd0f177802476b8266704d08a6b0933f31938092164", "away_team": "Kiwoom Heroes", "draw_settlement_value": 0.5, "event_id": "127961", "event_start_utc": "2026-09-29T09:30:00Z", "features": {"away_elo": 1456.80798, "base_tie_rate": 0.02259495, "home_advantage": 20.0, "home_elo": 1488.349169}, "historical_source_observation_times_verified": false, "home_team": "Lotte Giants", "inference_inputs": {"away_id": "KIWOOM", "base_tie_rate": 0.02259495, "book_state": {"_games_played": null, "_last_active": null, "decay_rate": 0.002, "home_advantage": 20.0, "k": 8.0, "margin_weight": 0.0, "ratings": {"KIWOOM": 1456.80798, "LOTTE": 1488.349169}}, "code_sha256": {"features/elo_ratings.py": "8525faf022a6343c452286dbfeb17dbb043744c6bdabbe448b6b371216da439b", "international_baseball.py": "f345eb917316d2e897f62c1cdd0f73153115c65da54c30c6137ad76bb7b27869"}, "home_id": "LOTTE", "tie_method": "flat"}, "market_type": "moneyline", "model_version": "kbo-tie-aware-elo-v2", "observed_at_utc": "2026-09-29T04:39:41.585157+00:00", "outcome_probabilities": {"away": 0.41673192208173576, "draw": 0.02259495, "home": 0.5606731279182642}, "replay_scope": "Exact Elo and tie model; logged value is expected contract settlement, not outright win probability.", "schema": "international-elo-replay-v1", "settlement_values": {"away": 0.428029, "home": 0.571971}, "snapshot_hash": "1d5b89209b579f11b04e8b25fec4647aa362948c9ac122a408a4f185380a0eb9", "sport": "KBO"}</t>
        </is>
      </c>
    </row>
    <row r="144" ht="36" customHeight="1">
      <c r="A144" s="24" t="inlineStr">
        <is>
          <t>119f958682c947a1</t>
        </is>
      </c>
      <c r="B144" s="24" t="inlineStr">
        <is>
          <t>2026-09-30T04:39:30.211761Z</t>
        </is>
      </c>
      <c r="C144" s="24" t="inlineStr">
        <is>
          <t>2026-09-30T09:30:00Z</t>
        </is>
      </c>
      <c r="D144" s="24" t="inlineStr">
        <is>
          <t>129749</t>
        </is>
      </c>
      <c r="E144" s="24" t="inlineStr">
        <is>
          <t>KBO</t>
        </is>
      </c>
      <c r="F144" s="24" t="inlineStr">
        <is>
          <t>LG Twins</t>
        </is>
      </c>
      <c r="G144" s="24" t="inlineStr">
        <is>
          <t>SSG Landers</t>
        </is>
      </c>
      <c r="H144" s="24" t="inlineStr">
        <is>
          <t>moneyline</t>
        </is>
      </c>
      <c r="I144" s="24" t="inlineStr">
        <is>
          <t>home</t>
        </is>
      </c>
      <c r="J144" s="25" t="n"/>
      <c r="K144" s="24" t="inlineStr">
        <is>
          <t>polymarket_us</t>
        </is>
      </c>
      <c r="L144" s="26" t="n">
        <v>133</v>
      </c>
      <c r="M144" s="27" t="n">
        <v>2.33</v>
      </c>
      <c r="N144" s="28" t="n">
        <v>0.429185</v>
      </c>
      <c r="O144" s="28" t="n">
        <v>0.511938</v>
      </c>
      <c r="P144" s="28" t="n"/>
      <c r="Q144" s="28" t="n">
        <v>0.08275299999999999</v>
      </c>
      <c r="R144" s="26" t="n">
        <v>61</v>
      </c>
      <c r="S144" s="29" t="n">
        <v>1.25</v>
      </c>
      <c r="T144" s="24" t="inlineStr">
        <is>
          <t>kbo-tie-aware-elo-v2</t>
        </is>
      </c>
      <c r="U144" s="24" t="inlineStr">
        <is>
          <t>settled</t>
        </is>
      </c>
      <c r="V144" s="24" t="inlineStr">
        <is>
          <t>win</t>
        </is>
      </c>
      <c r="W144" s="26" t="n">
        <v>3</v>
      </c>
      <c r="X144" s="26" t="n">
        <v>4</v>
      </c>
      <c r="Y144" s="25" t="n"/>
      <c r="Z144" s="26" t="n"/>
      <c r="AA144" s="28" t="n"/>
      <c r="AB144" s="28" t="n"/>
      <c r="AC144" s="30" t="n">
        <v>1.6625</v>
      </c>
      <c r="AD144" s="24" t="inlineStr">
        <is>
          <t>2026-09-30T16:18:38.972845Z</t>
        </is>
      </c>
      <c r="AE144" s="31" t="inlineStr">
        <is>
          <t>Tie-aware Elo baseline; executable ask 0.4300 (market_slug=aec-kbo-sls-ltg-2026-09-30). Tie probability=0.0226.</t>
        </is>
      </c>
      <c r="AF144" s="31" t="inlineStr">
        <is>
          <t>Config-promoted international baseball baseline; gates enforced at log time.</t>
        </is>
      </c>
      <c r="AG144" s="24" t="inlineStr">
        <is>
          <t>not_applicable</t>
        </is>
      </c>
      <c r="AH144" s="24" t="n"/>
      <c r="AI144" s="31" t="n"/>
      <c r="AJ144" s="31" t="n"/>
      <c r="AK144" s="24" t="inlineStr">
        <is>
          <t>paper_call</t>
        </is>
      </c>
      <c r="AL144" s="26" t="n">
        <v>4</v>
      </c>
      <c r="AM144" s="24" t="inlineStr">
        <is>
          <t>RESEARCH_OBSERVATION</t>
        </is>
      </c>
      <c r="AN144" s="24" t="inlineStr">
        <is>
          <t>CALL</t>
        </is>
      </c>
      <c r="AO144" s="24" t="inlineStr">
        <is>
          <t>PAPER_CALL_LOW_EDGE</t>
        </is>
      </c>
      <c r="AP144" s="24" t="inlineStr">
        <is>
          <t>LG Twins</t>
        </is>
      </c>
      <c r="AQ144" s="24" t="inlineStr">
        <is>
          <t>LG Twins</t>
        </is>
      </c>
      <c r="AR144" s="24" t="inlineStr">
        <is>
          <t>LG Twins</t>
        </is>
      </c>
      <c r="AS144" s="24" t="inlineStr">
        <is>
          <t>SSG Landers</t>
        </is>
      </c>
      <c r="AT144" s="24" t="inlineStr">
        <is>
          <t>SSG Landers</t>
        </is>
      </c>
      <c r="AU144" s="24" t="inlineStr">
        <is>
          <t>SSG Landers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shadow_qualified</t>
        </is>
      </c>
      <c r="BA144" s="24" t="inlineStr">
        <is>
          <t>7b6161b27ca40af134388f5bcb694a631aced6e475aa3c6356da17b37eed18a5</t>
        </is>
      </c>
      <c r="BB144" s="24" t="inlineStr">
        <is>
          <t>tie_aware_elo</t>
        </is>
      </c>
      <c r="BC144" s="24" t="inlineStr">
        <is>
          <t>kbo-tie-aware-elo-v2</t>
        </is>
      </c>
      <c r="BD144" s="24" t="inlineStr">
        <is>
          <t>7b6161b27ca40af134388f5bcb694a631aced6e475aa3c6356da17b37eed18a5</t>
        </is>
      </c>
      <c r="BE144" s="24" t="inlineStr">
        <is>
          <t>1</t>
        </is>
      </c>
      <c r="BF144" s="24" t="inlineStr">
        <is>
          <t>1</t>
        </is>
      </c>
      <c r="BG144" s="24" t="inlineStr">
        <is>
          <t>kbo-tie-aware-elo-v2</t>
        </is>
      </c>
      <c r="BH144" s="24" t="inlineStr">
        <is>
          <t>2026-09-30T04:39:21.995305Z</t>
        </is>
      </c>
      <c r="BI144" s="24" t="inlineStr">
        <is>
          <t>["same_event","same_team_same_day","same_league_same_day"]</t>
        </is>
      </c>
      <c r="BJ144" s="25" t="n"/>
      <c r="BK144" s="26" t="n">
        <v>133</v>
      </c>
      <c r="BL144" s="27" t="n">
        <v>2.33</v>
      </c>
      <c r="BM144" s="28" t="n">
        <v>0.429185</v>
      </c>
      <c r="BN144" s="28" t="n"/>
      <c r="BO144" s="28" t="n"/>
      <c r="BP144" s="25" t="n"/>
      <c r="BQ144" s="27" t="n"/>
      <c r="BR144" s="28" t="n"/>
      <c r="BS144" s="28" t="n"/>
      <c r="BT144" s="28" t="n"/>
      <c r="BU144" s="25" t="n"/>
      <c r="BV144" s="29" t="n"/>
      <c r="BW144" s="24" t="n"/>
      <c r="BX144" s="30" t="n"/>
      <c r="BY144" s="27" t="n"/>
      <c r="BZ144" s="24" t="n"/>
      <c r="CA144" s="31" t="n"/>
      <c r="CB144" s="24" t="n"/>
      <c r="CC144" s="24" t="n"/>
      <c r="CD144" s="24" t="n"/>
      <c r="CE144" s="24" t="n"/>
      <c r="CF144" s="24" t="n"/>
      <c r="CG144" s="24" t="n"/>
      <c r="CH144" s="24" t="n"/>
      <c r="CI144" s="24" t="n"/>
      <c r="CJ144" s="24" t="n"/>
      <c r="CK144" s="24" t="n"/>
      <c r="CL144" s="24" t="n"/>
      <c r="CM144" s="24" t="n"/>
      <c r="CN144" s="24" t="n"/>
      <c r="CO144" s="24" t="n"/>
      <c r="CP144" s="24" t="n"/>
      <c r="CQ144" s="24" t="n"/>
      <c r="CR144" s="24" t="n"/>
      <c r="CS144" s="24" t="inlineStr">
        <is>
          <t>True</t>
        </is>
      </c>
      <c r="CT144" s="24" t="n"/>
      <c r="CU144" s="24" t="n"/>
      <c r="CV144" s="24" t="n"/>
      <c r="CW144" s="24" t="n"/>
      <c r="CX144" s="24" t="n"/>
      <c r="CY144" s="24" t="n"/>
      <c r="CZ144" s="24" t="n"/>
      <c r="DA144" s="24" t="n"/>
      <c r="DB144" s="24" t="n"/>
      <c r="DC144" s="24" t="n"/>
      <c r="DD144" s="24" t="n"/>
      <c r="DE144" s="24" t="n"/>
      <c r="DF144" s="24" t="n"/>
      <c r="DG144" s="24" t="n"/>
      <c r="DH144" s="24" t="n"/>
      <c r="DI144" s="24" t="n"/>
      <c r="DJ144" s="24" t="inlineStr">
        <is>
          <t>0.429185</t>
        </is>
      </c>
      <c r="DK144" s="24" t="n"/>
      <c r="DL144" s="24" t="n"/>
      <c r="DM144" s="24" t="n"/>
      <c r="DN144" s="24" t="n"/>
      <c r="DO144" s="24" t="n"/>
      <c r="DP144" s="24" t="n"/>
      <c r="DQ144" s="24" t="inlineStr">
        <is>
          <t>{"artifact_hash": "7b6161b27ca40af134388f5bcb694a631aced6e475aa3c6356da17b37eed18a5", "away_team": "LG Twins", "draw_settlement_value": 0.5, "event_id": "129749", "event_start_utc": "2026-09-30T09:30:00Z", "features": {"away_elo": 1517.270885, "base_tie_rate": 0.0225793, "home_advantage": 20.0, "home_elo": 1505.759245}, "historical_source_observation_times_verified": false, "home_team": "SSG Landers", "inference_inputs": {"away_id": "LG", "base_tie_rate": 0.0225793, "book_state": {"_games_played": null, "_last_active": null, "decay_rate": 0.002, "home_advantage": 20.0, "k": 8.0, "margin_weight": 0.0, "ratings": {"LG": 1517.270885, "SSG": 1505.759245}}, "code_sha256": {"features/elo_ratings.py": "8525faf022a6343c452286dbfeb17dbb043744c6bdabbe448b6b371216da439b", "international_baseball.py": "f345eb917316d2e897f62c1cdd0f73153115c65da54c30c6137ad76bb7b27869"}, "home_id": "SSG", "tie_method": "flat"}, "market_type": "moneyline", "model_version": "kbo-tie-aware-elo-v2", "observed_at_utc": "2026-09-30T04:39:21.911980+00:00", "outcome_probabilities": {"away": 0.4767728157402651, "draw": 0.0225793, "home": 0.5006478842597349}, "replay_scope": "Exact Elo and tie model; logged value is expected contract settlement, not outright win probability.", "schema": "international-elo-replay-v1", "settlement_values": {"away": 0.488062, "home": 0.511938}, "snapshot_hash": "50547a2eb92eed62c0871bd008c525e44a9514eed066845266e73595ba869879", "sport": "KBO"}</t>
        </is>
      </c>
    </row>
    <row r="145" ht="36" customHeight="1">
      <c r="A145" s="24" t="inlineStr">
        <is>
          <t>d08e115d6acc45bc</t>
        </is>
      </c>
      <c r="B145" s="24" t="inlineStr">
        <is>
          <t>2026-09-30T04:39:30.211761Z</t>
        </is>
      </c>
      <c r="C145" s="24" t="inlineStr">
        <is>
          <t>2026-09-30T09:30:00Z</t>
        </is>
      </c>
      <c r="D145" s="24" t="inlineStr">
        <is>
          <t>129750</t>
        </is>
      </c>
      <c r="E145" s="24" t="inlineStr">
        <is>
          <t>KBO</t>
        </is>
      </c>
      <c r="F145" s="24" t="inlineStr">
        <is>
          <t>Hanwha Eagles</t>
        </is>
      </c>
      <c r="G145" s="24" t="inlineStr">
        <is>
          <t>Samsung Lions</t>
        </is>
      </c>
      <c r="H145" s="24" t="inlineStr">
        <is>
          <t>moneyline</t>
        </is>
      </c>
      <c r="I145" s="24" t="inlineStr">
        <is>
          <t>home</t>
        </is>
      </c>
      <c r="J145" s="25" t="n"/>
      <c r="K145" s="24" t="inlineStr">
        <is>
          <t>polymarket_us</t>
        </is>
      </c>
      <c r="L145" s="26" t="n">
        <v>-178</v>
      </c>
      <c r="M145" s="27" t="n">
        <v>1.561798</v>
      </c>
      <c r="N145" s="28" t="n">
        <v>0.640288</v>
      </c>
      <c r="O145" s="28" t="n">
        <v>0.649049</v>
      </c>
      <c r="P145" s="28" t="n"/>
      <c r="Q145" s="28" t="n">
        <v>0.008761</v>
      </c>
      <c r="R145" s="26" t="n">
        <v>24</v>
      </c>
      <c r="S145" s="29" t="n">
        <v>1</v>
      </c>
      <c r="T145" s="24" t="inlineStr">
        <is>
          <t>kbo-tie-aware-elo-v2</t>
        </is>
      </c>
      <c r="U145" s="24" t="inlineStr">
        <is>
          <t>settled</t>
        </is>
      </c>
      <c r="V145" s="24" t="inlineStr">
        <is>
          <t>win</t>
        </is>
      </c>
      <c r="W145" s="26" t="n">
        <v>2</v>
      </c>
      <c r="X145" s="26" t="n">
        <v>6</v>
      </c>
      <c r="Y145" s="25" t="n"/>
      <c r="Z145" s="26" t="n">
        <v>-178</v>
      </c>
      <c r="AA145" s="28" t="n">
        <v>0.64</v>
      </c>
      <c r="AB145" s="28" t="n">
        <v>-0.000288</v>
      </c>
      <c r="AC145" s="30" t="n">
        <v>0.5618</v>
      </c>
      <c r="AD145" s="24" t="inlineStr">
        <is>
          <t>2026-09-30T16:18:39.911551Z</t>
        </is>
      </c>
      <c r="AE145" s="31" t="inlineStr">
        <is>
          <t>Tie-aware Elo baseline; executable ask 0.6400 (market_slug=aec-kbo-sla-hea-2026-09-30). Tie probability=0.0226.</t>
        </is>
      </c>
      <c r="AF145" s="31" t="inlineStr">
        <is>
          <t>Config-promoted international baseball baseline; gates enforced at log time.</t>
        </is>
      </c>
      <c r="AG145" s="24" t="inlineStr">
        <is>
          <t>not_applicable</t>
        </is>
      </c>
      <c r="AH145" s="24" t="n"/>
      <c r="AI145" s="31" t="n"/>
      <c r="AJ145" s="31" t="n"/>
      <c r="AK145" s="24" t="inlineStr">
        <is>
          <t>paper_call</t>
        </is>
      </c>
      <c r="AL145" s="26" t="n">
        <v>4</v>
      </c>
      <c r="AM145" s="24" t="inlineStr">
        <is>
          <t>RESEARCH_OBSERVATION</t>
        </is>
      </c>
      <c r="AN145" s="24" t="inlineStr">
        <is>
          <t>CALL</t>
        </is>
      </c>
      <c r="AO145" s="24" t="inlineStr">
        <is>
          <t>PAPER_CALL_LOW_EDGE</t>
        </is>
      </c>
      <c r="AP145" s="24" t="inlineStr">
        <is>
          <t>Hanwha Eagles</t>
        </is>
      </c>
      <c r="AQ145" s="24" t="inlineStr">
        <is>
          <t>Hanwha Eagles</t>
        </is>
      </c>
      <c r="AR145" s="24" t="inlineStr">
        <is>
          <t>Hanwha Eagles</t>
        </is>
      </c>
      <c r="AS145" s="24" t="inlineStr">
        <is>
          <t>Samsung Lions</t>
        </is>
      </c>
      <c r="AT145" s="24" t="inlineStr">
        <is>
          <t>Samsung Lions</t>
        </is>
      </c>
      <c r="AU145" s="24" t="inlineStr">
        <is>
          <t>Samsung Lions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shadow_qualified</t>
        </is>
      </c>
      <c r="BA145" s="24" t="inlineStr">
        <is>
          <t>7b6161b27ca40af134388f5bcb694a631aced6e475aa3c6356da17b37eed18a5</t>
        </is>
      </c>
      <c r="BB145" s="24" t="inlineStr">
        <is>
          <t>tie_aware_elo</t>
        </is>
      </c>
      <c r="BC145" s="24" t="inlineStr">
        <is>
          <t>kbo-tie-aware-elo-v2</t>
        </is>
      </c>
      <c r="BD145" s="24" t="inlineStr">
        <is>
          <t>7b6161b27ca40af134388f5bcb694a631aced6e475aa3c6356da17b37eed18a5</t>
        </is>
      </c>
      <c r="BE145" s="24" t="inlineStr">
        <is>
          <t>1</t>
        </is>
      </c>
      <c r="BF145" s="24" t="inlineStr">
        <is>
          <t>1</t>
        </is>
      </c>
      <c r="BG145" s="24" t="inlineStr">
        <is>
          <t>kbo-tie-aware-elo-v2</t>
        </is>
      </c>
      <c r="BH145" s="24" t="inlineStr">
        <is>
          <t>2026-09-30T04:39:22.067963Z</t>
        </is>
      </c>
      <c r="BI145" s="24" t="inlineStr">
        <is>
          <t>["same_event","same_team_same_day","same_league_same_day"]</t>
        </is>
      </c>
      <c r="BJ145" s="25" t="n"/>
      <c r="BK145" s="26" t="n">
        <v>-178</v>
      </c>
      <c r="BL145" s="27" t="n">
        <v>1.561798</v>
      </c>
      <c r="BM145" s="28" t="n">
        <v>0.640288</v>
      </c>
      <c r="BN145" s="28" t="n"/>
      <c r="BO145" s="28" t="n"/>
      <c r="BP145" s="25" t="n"/>
      <c r="BQ145" s="27" t="n">
        <v>1.561798</v>
      </c>
      <c r="BR145" s="28" t="n">
        <v>0.64</v>
      </c>
      <c r="BS145" s="28" t="n"/>
      <c r="BT145" s="28" t="n"/>
      <c r="BU145" s="25" t="n"/>
      <c r="BV145" s="29" t="n"/>
      <c r="BW145" s="24" t="n"/>
      <c r="BX145" s="30" t="n"/>
      <c r="BY145" s="27" t="n"/>
      <c r="BZ145" s="24" t="n"/>
      <c r="CA145" s="31" t="n"/>
      <c r="CB145" s="24" t="n"/>
      <c r="CC145" s="24" t="n"/>
      <c r="CD145" s="24" t="n"/>
      <c r="CE145" s="24" t="n"/>
      <c r="CF145" s="24" t="n"/>
      <c r="CG145" s="24" t="n"/>
      <c r="CH145" s="24" t="n"/>
      <c r="CI145" s="24" t="n"/>
      <c r="CJ145" s="24" t="n"/>
      <c r="CK145" s="24" t="n"/>
      <c r="CL145" s="24" t="n"/>
      <c r="CM145" s="24" t="n"/>
      <c r="CN145" s="24" t="n"/>
      <c r="CO145" s="24" t="n"/>
      <c r="CP145" s="24" t="n"/>
      <c r="CQ145" s="24" t="n"/>
      <c r="CR145" s="24" t="n"/>
      <c r="CS145" s="24" t="inlineStr">
        <is>
          <t>True</t>
        </is>
      </c>
      <c r="CT145" s="24" t="n"/>
      <c r="CU145" s="24" t="n"/>
      <c r="CV145" s="24" t="n"/>
      <c r="CW145" s="24" t="n"/>
      <c r="CX145" s="24" t="n"/>
      <c r="CY145" s="24" t="n"/>
      <c r="CZ145" s="24" t="n"/>
      <c r="DA145" s="24" t="n"/>
      <c r="DB145" s="24" t="n"/>
      <c r="DC145" s="24" t="n"/>
      <c r="DD145" s="24" t="n"/>
      <c r="DE145" s="24" t="n"/>
      <c r="DF145" s="24" t="n"/>
      <c r="DG145" s="24" t="n"/>
      <c r="DH145" s="24" t="n"/>
      <c r="DI145" s="24" t="n"/>
      <c r="DJ145" s="24" t="inlineStr">
        <is>
          <t>0.640288</t>
        </is>
      </c>
      <c r="DK145" s="24" t="n"/>
      <c r="DL145" s="24" t="n"/>
      <c r="DM145" s="24" t="n"/>
      <c r="DN145" s="24" t="n"/>
      <c r="DO145" s="24" t="n"/>
      <c r="DP145" s="24" t="n"/>
      <c r="DQ145" s="24" t="inlineStr">
        <is>
          <t>{"artifact_hash": "7b6161b27ca40af134388f5bcb694a631aced6e475aa3c6356da17b37eed18a5", "away_team": "Hanwha Eagles", "draw_settlement_value": 0.5, "event_id": "129750", "event_start_utc": "2026-09-30T09:30:00Z", "features": {"away_elo": 1442.072374, "base_tie_rate": 0.0225793, "home_advantage": 20.0, "home_elo": 1531.516576}, "historical_source_observation_times_verified": false, "home_team": "Samsung Lions", "inference_inputs": {"away_id": "HANWHA", "base_tie_rate": 0.0225793, "book_state": {"_games_played": null, "_last_active": null, "decay_rate": 0.002, "home_advantage": 20.0, "k": 8.0, "margin_weight": 0.0, "ratings": {"HANWHA": 1442.072374, "SAMSUNG": 1531.516576}}, "code_sha256": {"features/elo_ratings.py": "8525faf022a6343c452286dbfeb17dbb043744c6bdabbe448b6b371216da439b", "international_baseball.py": "f345eb917316d2e897f62c1cdd0f73153115c65da54c30c6137ad76bb7b27869"}, "home_id": "SAMSUNG", "tie_method": "flat"}, "market_type": "moneyline", "model_version": "kbo-tie-aware-elo-v2", "observed_at_utc": "2026-09-30T04:39:21.911980+00:00", "outcome_probabilities": {"away": 0.3396614510396116, "draw": 0.0225793, "home": 0.6377592489603885}, "replay_scope": "Exact Elo and tie model; logged value is expected contract settlement, not outright win probability.", "schema": "international-elo-replay-v1", "settlement_values": {"away": 0.350951, "home": 0.649049}, "snapshot_hash": "811e1b4e16aad537b1d59b7b2bf588fb45e9369cece3c1e5332b7542d4b297b7", "sport": "KBO"}</t>
        </is>
      </c>
    </row>
    <row r="146" ht="36" customHeight="1">
      <c r="A146" s="24" t="inlineStr">
        <is>
          <t>bd5cedab86fb430b</t>
        </is>
      </c>
      <c r="B146" s="24" t="inlineStr">
        <is>
          <t>2026-10-01T04:40:13.696249Z</t>
        </is>
      </c>
      <c r="C146" s="24" t="inlineStr">
        <is>
          <t>2026-10-01T09:30:00Z</t>
        </is>
      </c>
      <c r="D146" s="24" t="inlineStr">
        <is>
          <t>131359</t>
        </is>
      </c>
      <c r="E146" s="24" t="inlineStr">
        <is>
          <t>KBO</t>
        </is>
      </c>
      <c r="F146" s="24" t="inlineStr">
        <is>
          <t>KT Wiz</t>
        </is>
      </c>
      <c r="G146" s="24" t="inlineStr">
        <is>
          <t>Kia Tigers</t>
        </is>
      </c>
      <c r="H146" s="24" t="inlineStr">
        <is>
          <t>moneyline</t>
        </is>
      </c>
      <c r="I146" s="24" t="inlineStr">
        <is>
          <t>away</t>
        </is>
      </c>
      <c r="J146" s="25" t="n"/>
      <c r="K146" s="24" t="inlineStr">
        <is>
          <t>polymarket_us</t>
        </is>
      </c>
      <c r="L146" s="26" t="n">
        <v>-133</v>
      </c>
      <c r="M146" s="27" t="n">
        <v>1.75188</v>
      </c>
      <c r="N146" s="28" t="n">
        <v>0.570815</v>
      </c>
      <c r="O146" s="28" t="n">
        <v>0.53368</v>
      </c>
      <c r="P146" s="28" t="n"/>
      <c r="Q146" s="28" t="n">
        <v>-0.037135</v>
      </c>
      <c r="R146" s="26" t="n">
        <v>1</v>
      </c>
      <c r="S146" s="29" t="n">
        <v>1</v>
      </c>
      <c r="T146" s="24" t="inlineStr">
        <is>
          <t>kbo-tie-aware-elo-v2</t>
        </is>
      </c>
      <c r="U146" s="24" t="inlineStr">
        <is>
          <t>settled</t>
        </is>
      </c>
      <c r="V146" s="24" t="inlineStr">
        <is>
          <t>win</t>
        </is>
      </c>
      <c r="W146" s="26" t="n">
        <v>7</v>
      </c>
      <c r="X146" s="26" t="n">
        <v>5</v>
      </c>
      <c r="Y146" s="25" t="n"/>
      <c r="Z146" s="26" t="n"/>
      <c r="AA146" s="28" t="n"/>
      <c r="AB146" s="28" t="n"/>
      <c r="AC146" s="30" t="n">
        <v>0.7519</v>
      </c>
      <c r="AD146" s="24" t="inlineStr">
        <is>
          <t>2026-10-01T16:01:28.348213Z</t>
        </is>
      </c>
      <c r="AE146" s="31" t="inlineStr">
        <is>
          <t>Tie-aware Elo baseline; executable ask 0.5700 (market_slug=aec-kbo-kti-kwt-2026-10-01). Tie probability=0.0226.</t>
        </is>
      </c>
      <c r="AF146" s="31" t="inlineStr">
        <is>
          <t>Config-promoted international baseball baseline; gates enforced at log time.</t>
        </is>
      </c>
      <c r="AG146" s="24" t="inlineStr">
        <is>
          <t>not_applicable</t>
        </is>
      </c>
      <c r="AH146" s="24" t="n"/>
      <c r="AI146" s="31" t="n"/>
      <c r="AJ146" s="31" t="n"/>
      <c r="AK146" s="24" t="inlineStr">
        <is>
          <t>paper_call</t>
        </is>
      </c>
      <c r="AL146" s="26" t="n">
        <v>4</v>
      </c>
      <c r="AM146" s="24" t="inlineStr">
        <is>
          <t>RESEARCH_OBSERVATION</t>
        </is>
      </c>
      <c r="AN146" s="24" t="inlineStr">
        <is>
          <t>CALL</t>
        </is>
      </c>
      <c r="AO146" s="24" t="inlineStr">
        <is>
          <t>PAPER_CALL_LOW_EDGE</t>
        </is>
      </c>
      <c r="AP146" s="24" t="inlineStr">
        <is>
          <t>KT Wiz</t>
        </is>
      </c>
      <c r="AQ146" s="24" t="inlineStr">
        <is>
          <t>KT Wiz</t>
        </is>
      </c>
      <c r="AR146" s="24" t="inlineStr">
        <is>
          <t>KT Wiz</t>
        </is>
      </c>
      <c r="AS146" s="24" t="inlineStr">
        <is>
          <t>Kia Tigers</t>
        </is>
      </c>
      <c r="AT146" s="24" t="inlineStr">
        <is>
          <t>Kia Tigers</t>
        </is>
      </c>
      <c r="AU146" s="24" t="inlineStr">
        <is>
          <t>Kia Tigers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shadow_qualified</t>
        </is>
      </c>
      <c r="BA146" s="24" t="inlineStr">
        <is>
          <t>fb7300b3c7441b1653f89c7808de01f4bdb84a0fd72f82d1d5730bf100e31f47</t>
        </is>
      </c>
      <c r="BB146" s="24" t="inlineStr">
        <is>
          <t>tie_aware_elo</t>
        </is>
      </c>
      <c r="BC146" s="24" t="inlineStr">
        <is>
          <t>kbo-tie-aware-elo-v2</t>
        </is>
      </c>
      <c r="BD146" s="24" t="inlineStr">
        <is>
          <t>fb7300b3c7441b1653f89c7808de01f4bdb84a0fd72f82d1d5730bf100e31f47</t>
        </is>
      </c>
      <c r="BE146" s="24" t="inlineStr">
        <is>
          <t>1</t>
        </is>
      </c>
      <c r="BF146" s="24" t="inlineStr">
        <is>
          <t>1</t>
        </is>
      </c>
      <c r="BG146" s="24" t="inlineStr">
        <is>
          <t>kbo-tie-aware-elo-v2</t>
        </is>
      </c>
      <c r="BH146" s="24" t="inlineStr">
        <is>
          <t>2026-10-01T04:40:09.422377Z</t>
        </is>
      </c>
      <c r="BI146" s="24" t="inlineStr">
        <is>
          <t>["same_event","same_team_same_day","same_league_same_day"]</t>
        </is>
      </c>
      <c r="BJ146" s="25" t="n"/>
      <c r="BK146" s="26" t="n">
        <v>-133</v>
      </c>
      <c r="BL146" s="27" t="n">
        <v>1.75188</v>
      </c>
      <c r="BM146" s="28" t="n">
        <v>0.570815</v>
      </c>
      <c r="BN146" s="28" t="n"/>
      <c r="BO146" s="28" t="n"/>
      <c r="BP146" s="25" t="n"/>
      <c r="BQ146" s="27" t="n"/>
      <c r="BR146" s="28" t="n"/>
      <c r="BS146" s="28" t="n"/>
      <c r="BT146" s="28" t="n"/>
      <c r="BU146" s="25" t="n"/>
      <c r="BV146" s="29" t="n"/>
      <c r="BW146" s="24" t="n"/>
      <c r="BX146" s="30" t="n"/>
      <c r="BY146" s="27" t="n"/>
      <c r="BZ146" s="24" t="n"/>
      <c r="CA146" s="31" t="n"/>
      <c r="CB146" s="24" t="n"/>
      <c r="CC146" s="24" t="n"/>
      <c r="CD146" s="24" t="n"/>
      <c r="CE146" s="24" t="n"/>
      <c r="CF146" s="24" t="n"/>
      <c r="CG146" s="24" t="n"/>
      <c r="CH146" s="24" t="n"/>
      <c r="CI146" s="24" t="n"/>
      <c r="CJ146" s="24" t="n"/>
      <c r="CK146" s="24" t="n"/>
      <c r="CL146" s="24" t="n"/>
      <c r="CM146" s="24" t="n"/>
      <c r="CN146" s="24" t="n"/>
      <c r="CO146" s="24" t="n"/>
      <c r="CP146" s="24" t="n"/>
      <c r="CQ146" s="24" t="n"/>
      <c r="CR146" s="24" t="n"/>
      <c r="CS146" s="24" t="inlineStr">
        <is>
          <t>False</t>
        </is>
      </c>
      <c r="CT146" s="24" t="n"/>
      <c r="CU146" s="24" t="n"/>
      <c r="CV146" s="24" t="n"/>
      <c r="CW146" s="24" t="n"/>
      <c r="CX146" s="24" t="n"/>
      <c r="CY146" s="24" t="n"/>
      <c r="CZ146" s="24" t="n"/>
      <c r="DA146" s="24" t="n"/>
      <c r="DB146" s="24" t="n"/>
      <c r="DC146" s="24" t="n"/>
      <c r="DD146" s="24" t="n"/>
      <c r="DE146" s="24" t="n"/>
      <c r="DF146" s="24" t="n"/>
      <c r="DG146" s="24" t="n"/>
      <c r="DH146" s="24" t="n"/>
      <c r="DI146" s="24" t="n"/>
      <c r="DJ146" s="24" t="inlineStr">
        <is>
          <t>0.570815</t>
        </is>
      </c>
      <c r="DK146" s="24" t="n"/>
      <c r="DL146" s="24" t="n"/>
      <c r="DM146" s="24" t="n"/>
      <c r="DN146" s="24" t="n"/>
      <c r="DO146" s="24" t="n"/>
      <c r="DP146" s="24" t="n"/>
      <c r="DQ146" s="24" t="inlineStr">
        <is>
          <t>{"artifact_hash": "fb7300b3c7441b1653f89c7808de01f4bdb84a0fd72f82d1d5730bf100e31f47", "away_team": "KT Wiz", "draw_settlement_value": 0.5, "event_id": "131359", "event_start_utc": "2026-10-01T09:30:00Z", "features": {"away_elo": 1561.128934, "base_tie_rate": 0.02256368, "home_advantage": 20.0, "home_elo": 1517.147501}, "historical_source_observation_times_verified": false, "home_team": "Kia Tigers", "inference_inputs": {"away_id": "KT", "base_tie_rate": 0.02256368, "book_state": {"_games_played": null, "_last_active": null, "decay_rate": 0.002, "home_advantage": 20.0, "k": 8.0, "margin_weight": 0.0, "ratings": {"KIA": 1517.147501, "KT": 1561.128934}}, "code_sha256": {"features/elo_ratings.py": "8525faf022a6343c452286dbfeb17dbb043744c6bdabbe448b6b371216da439b", "international_baseball.py": "f345eb917316d2e897f62c1cdd0f73153115c65da54c30c6137ad76bb7b27869"}, "home_id": "KIA", "tie_method": "flat"}, "market_type": "moneyline", "model_version": "kbo-tie-aware-elo-v2", "observed_at_utc": "2026-10-01T04:40:09.319998+00:00", "outcome_probabilities": {"away": 0.5223980270072005, "draw": 0.02256368, "home": 0.4550382929927995}, "replay_scope": "Exact Elo and tie model; logged value is expected contract settlement, not outright win probability.", "schema": "international-elo-replay-v1", "settlement_values": {"away": 0.53368, "home": 0.46632}, "snapshot_hash": "cbcaee39e4c93d8869c9a1e87bcd595e4095ec2354cebc7bd73c669c444f1dfd", "sport": "KBO"}</t>
        </is>
      </c>
    </row>
    <row r="147" ht="36" customHeight="1">
      <c r="A147" s="24" t="inlineStr">
        <is>
          <t>94ec470c5afb41b2</t>
        </is>
      </c>
      <c r="B147" s="24" t="inlineStr">
        <is>
          <t>2026-10-01T04:40:13.696249Z</t>
        </is>
      </c>
      <c r="C147" s="24" t="inlineStr">
        <is>
          <t>2026-10-01T09:30:00Z</t>
        </is>
      </c>
      <c r="D147" s="24" t="inlineStr">
        <is>
          <t>131360</t>
        </is>
      </c>
      <c r="E147" s="24" t="inlineStr">
        <is>
          <t>KBO</t>
        </is>
      </c>
      <c r="F147" s="24" t="inlineStr">
        <is>
          <t>Hanwha Eagles</t>
        </is>
      </c>
      <c r="G147" s="24" t="inlineStr">
        <is>
          <t>Samsung Lions</t>
        </is>
      </c>
      <c r="H147" s="24" t="inlineStr">
        <is>
          <t>moneyline</t>
        </is>
      </c>
      <c r="I147" s="24" t="inlineStr">
        <is>
          <t>home</t>
        </is>
      </c>
      <c r="J147" s="25" t="n"/>
      <c r="K147" s="24" t="inlineStr">
        <is>
          <t>polymarket_us</t>
        </is>
      </c>
      <c r="L147" s="26" t="n">
        <v>-213</v>
      </c>
      <c r="M147" s="27" t="n">
        <v>1.469484</v>
      </c>
      <c r="N147" s="28" t="n">
        <v>0.680511</v>
      </c>
      <c r="O147" s="28" t="n">
        <v>0.655884</v>
      </c>
      <c r="P147" s="28" t="n"/>
      <c r="Q147" s="28" t="n">
        <v>-0.024627</v>
      </c>
      <c r="R147" s="26" t="n">
        <v>8</v>
      </c>
      <c r="S147" s="29" t="n">
        <v>1</v>
      </c>
      <c r="T147" s="24" t="inlineStr">
        <is>
          <t>kbo-tie-aware-elo-v2</t>
        </is>
      </c>
      <c r="U147" s="24" t="inlineStr">
        <is>
          <t>settled</t>
        </is>
      </c>
      <c r="V147" s="24" t="inlineStr">
        <is>
          <t>win</t>
        </is>
      </c>
      <c r="W147" s="26" t="n">
        <v>2</v>
      </c>
      <c r="X147" s="26" t="n">
        <v>3</v>
      </c>
      <c r="Y147" s="25" t="n"/>
      <c r="Z147" s="26" t="n"/>
      <c r="AA147" s="28" t="n"/>
      <c r="AB147" s="28" t="n"/>
      <c r="AC147" s="30" t="n">
        <v>0.4695</v>
      </c>
      <c r="AD147" s="24" t="inlineStr">
        <is>
          <t>2026-10-01T16:01:28.637864Z</t>
        </is>
      </c>
      <c r="AE147" s="31" t="inlineStr">
        <is>
          <t>Tie-aware Elo baseline; executable ask 0.6800 (market_slug=aec-kbo-sla-hea-2026-10-01). Tie probability=0.0226.</t>
        </is>
      </c>
      <c r="AF147" s="31" t="inlineStr">
        <is>
          <t>Config-promoted international baseball baseline; gates enforced at log time.</t>
        </is>
      </c>
      <c r="AG147" s="24" t="inlineStr">
        <is>
          <t>not_applicable</t>
        </is>
      </c>
      <c r="AH147" s="24" t="n"/>
      <c r="AI147" s="31" t="n"/>
      <c r="AJ147" s="31" t="n"/>
      <c r="AK147" s="24" t="inlineStr">
        <is>
          <t>paper_call</t>
        </is>
      </c>
      <c r="AL147" s="26" t="n">
        <v>4</v>
      </c>
      <c r="AM147" s="24" t="inlineStr">
        <is>
          <t>RESEARCH_OBSERVATION</t>
        </is>
      </c>
      <c r="AN147" s="24" t="inlineStr">
        <is>
          <t>CALL</t>
        </is>
      </c>
      <c r="AO147" s="24" t="inlineStr">
        <is>
          <t>PAPER_CALL_LOW_EDGE</t>
        </is>
      </c>
      <c r="AP147" s="24" t="inlineStr">
        <is>
          <t>Hanwha Eagles</t>
        </is>
      </c>
      <c r="AQ147" s="24" t="inlineStr">
        <is>
          <t>Hanwha Eagles</t>
        </is>
      </c>
      <c r="AR147" s="24" t="inlineStr">
        <is>
          <t>Hanwha Eagles</t>
        </is>
      </c>
      <c r="AS147" s="24" t="inlineStr">
        <is>
          <t>Samsung Lions</t>
        </is>
      </c>
      <c r="AT147" s="24" t="inlineStr">
        <is>
          <t>Samsung Lions</t>
        </is>
      </c>
      <c r="AU147" s="24" t="inlineStr">
        <is>
          <t>Samsung Lions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shadow_qualified</t>
        </is>
      </c>
      <c r="BA147" s="24" t="inlineStr">
        <is>
          <t>fb7300b3c7441b1653f89c7808de01f4bdb84a0fd72f82d1d5730bf100e31f47</t>
        </is>
      </c>
      <c r="BB147" s="24" t="inlineStr">
        <is>
          <t>tie_aware_elo</t>
        </is>
      </c>
      <c r="BC147" s="24" t="inlineStr">
        <is>
          <t>kbo-tie-aware-elo-v2</t>
        </is>
      </c>
      <c r="BD147" s="24" t="inlineStr">
        <is>
          <t>fb7300b3c7441b1653f89c7808de01f4bdb84a0fd72f82d1d5730bf100e31f47</t>
        </is>
      </c>
      <c r="BE147" s="24" t="inlineStr">
        <is>
          <t>1</t>
        </is>
      </c>
      <c r="BF147" s="24" t="inlineStr">
        <is>
          <t>1</t>
        </is>
      </c>
      <c r="BG147" s="24" t="inlineStr">
        <is>
          <t>kbo-tie-aware-elo-v2</t>
        </is>
      </c>
      <c r="BH147" s="24" t="inlineStr">
        <is>
          <t>2026-10-01T04:40:09.500649Z</t>
        </is>
      </c>
      <c r="BI147" s="24" t="inlineStr">
        <is>
          <t>["same_event","same_team_same_day","same_league_same_day"]</t>
        </is>
      </c>
      <c r="BJ147" s="25" t="n"/>
      <c r="BK147" s="26" t="n">
        <v>-213</v>
      </c>
      <c r="BL147" s="27" t="n">
        <v>1.469484</v>
      </c>
      <c r="BM147" s="28" t="n">
        <v>0.680511</v>
      </c>
      <c r="BN147" s="28" t="n"/>
      <c r="BO147" s="28" t="n"/>
      <c r="BP147" s="25" t="n"/>
      <c r="BQ147" s="27" t="n"/>
      <c r="BR147" s="28" t="n"/>
      <c r="BS147" s="28" t="n"/>
      <c r="BT147" s="28" t="n"/>
      <c r="BU147" s="25" t="n"/>
      <c r="BV147" s="29" t="n"/>
      <c r="BW147" s="24" t="n"/>
      <c r="BX147" s="30" t="n"/>
      <c r="BY147" s="27" t="n"/>
      <c r="BZ147" s="24" t="n"/>
      <c r="CA147" s="31" t="n"/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  <c r="CP147" s="24" t="n"/>
      <c r="CQ147" s="24" t="n"/>
      <c r="CR147" s="24" t="n"/>
      <c r="CS147" s="24" t="inlineStr">
        <is>
          <t>False</t>
        </is>
      </c>
      <c r="CT147" s="24" t="n"/>
      <c r="CU147" s="24" t="n"/>
      <c r="CV147" s="24" t="n"/>
      <c r="CW147" s="24" t="n"/>
      <c r="CX147" s="24" t="n"/>
      <c r="CY147" s="24" t="n"/>
      <c r="CZ147" s="24" t="n"/>
      <c r="DA147" s="24" t="n"/>
      <c r="DB147" s="24" t="n"/>
      <c r="DC147" s="24" t="n"/>
      <c r="DD147" s="24" t="n"/>
      <c r="DE147" s="24" t="n"/>
      <c r="DF147" s="24" t="n"/>
      <c r="DG147" s="24" t="n"/>
      <c r="DH147" s="24" t="n"/>
      <c r="DI147" s="24" t="n"/>
      <c r="DJ147" s="24" t="inlineStr">
        <is>
          <t>0.680511</t>
        </is>
      </c>
      <c r="DK147" s="24" t="n"/>
      <c r="DL147" s="24" t="n"/>
      <c r="DM147" s="24" t="n"/>
      <c r="DN147" s="24" t="n"/>
      <c r="DO147" s="24" t="n"/>
      <c r="DP147" s="24" t="n"/>
      <c r="DQ147" s="24" t="inlineStr">
        <is>
          <t>{"artifact_hash": "fb7300b3c7441b1653f89c7808de01f4bdb84a0fd72f82d1d5730bf100e31f47", "away_team": "Hanwha Eagles", "draw_settlement_value": 0.5, "event_id": "131360", "event_start_utc": "2026-10-01T09:30:00Z", "features": {"away_elo": 1439.408166, "base_tie_rate": 0.02256368, "home_advantage": 20.0, "home_elo": 1534.233606}, "historical_source_observation_times_verified": false, "home_team": "Samsung Lions", "inference_inputs": {"away_id": "HANWHA", "base_tie_rate": 0.02256368, "book_state": {"_games_played": null, "_last_active": null, "decay_rate": 0.002, "home_advantage": 20.0, "k": 8.0, "margin_weight": 0.0, "ratings": {"HANWHA": 1439.408166, "SAMSUNG": 1534.233606}}, "code_sha256": {"features/elo_ratings.py": "8525faf022a6343c452286dbfeb17dbb043744c6bdabbe448b6b371216da439b", "international_baseball.py": "f345eb917316d2e897f62c1cdd0f73153115c65da54c30c6137ad76bb7b27869"}, "home_id": "SAMSUNG", "tie_method": "flat"}, "market_type": "moneyline", "model_version": "kbo-tie-aware-elo-v2", "observed_at_utc": "2026-10-01T04:40:09.319998+00:00", "outcome_probabilities": {"away": 0.33283429307734813, "draw": 0.02256368, "home": 0.6446020269226519}, "replay_scope": "Exact Elo and tie model; logged value is expected contract settlement, not outright win probability.", "schema": "international-elo-replay-v1", "settlement_values": {"away": 0.344116, "home": 0.655884}, "snapshot_hash": "a26276669da9268e6ba1fda033cc8e83e303e9c606230fcbce9e442a739704c5", "sport": "KBO"}</t>
        </is>
      </c>
    </row>
    <row r="148" ht="36" customHeight="1">
      <c r="A148" s="24" t="inlineStr">
        <is>
          <t>e174c8efe5294e06</t>
        </is>
      </c>
      <c r="B148" s="24" t="inlineStr">
        <is>
          <t>2026-10-01T04:40:13.696249Z</t>
        </is>
      </c>
      <c r="C148" s="24" t="inlineStr">
        <is>
          <t>2026-10-01T09:30:00Z</t>
        </is>
      </c>
      <c r="D148" s="24" t="inlineStr">
        <is>
          <t>131361</t>
        </is>
      </c>
      <c r="E148" s="24" t="inlineStr">
        <is>
          <t>KBO</t>
        </is>
      </c>
      <c r="F148" s="24" t="inlineStr">
        <is>
          <t>NC Dinos</t>
        </is>
      </c>
      <c r="G148" s="24" t="inlineStr">
        <is>
          <t>Doosan Bears</t>
        </is>
      </c>
      <c r="H148" s="24" t="inlineStr">
        <is>
          <t>moneyline</t>
        </is>
      </c>
      <c r="I148" s="24" t="inlineStr">
        <is>
          <t>home</t>
        </is>
      </c>
      <c r="J148" s="25" t="n"/>
      <c r="K148" s="24" t="inlineStr">
        <is>
          <t>polymarket_us</t>
        </is>
      </c>
      <c r="L148" s="26" t="n">
        <v>-156</v>
      </c>
      <c r="M148" s="27" t="n">
        <v>1.641026</v>
      </c>
      <c r="N148" s="28" t="n">
        <v>0.609375</v>
      </c>
      <c r="O148" s="28" t="n">
        <v>0.567138</v>
      </c>
      <c r="P148" s="28" t="n"/>
      <c r="Q148" s="28" t="n">
        <v>-0.042237</v>
      </c>
      <c r="R148" s="26" t="n">
        <v>0</v>
      </c>
      <c r="S148" s="29" t="n">
        <v>1</v>
      </c>
      <c r="T148" s="24" t="inlineStr">
        <is>
          <t>kbo-tie-aware-elo-v2</t>
        </is>
      </c>
      <c r="U148" s="24" t="inlineStr">
        <is>
          <t>settled</t>
        </is>
      </c>
      <c r="V148" s="24" t="inlineStr">
        <is>
          <t>win</t>
        </is>
      </c>
      <c r="W148" s="26" t="n">
        <v>7</v>
      </c>
      <c r="X148" s="26" t="n">
        <v>9</v>
      </c>
      <c r="Y148" s="25" t="n"/>
      <c r="Z148" s="26" t="n"/>
      <c r="AA148" s="28" t="n"/>
      <c r="AB148" s="28" t="n"/>
      <c r="AC148" s="30" t="n">
        <v>0.641</v>
      </c>
      <c r="AD148" s="24" t="inlineStr">
        <is>
          <t>2026-10-01T16:01:28.821351Z</t>
        </is>
      </c>
      <c r="AE148" s="31" t="inlineStr">
        <is>
          <t>Tie-aware Elo baseline; executable ask 0.6100 (market_slug=aec-kbo-dbo-ndc-2026-10-01). Tie probability=0.0226.</t>
        </is>
      </c>
      <c r="AF148" s="31" t="inlineStr">
        <is>
          <t>Config-promoted international baseball baseline; gates enforced at log time.</t>
        </is>
      </c>
      <c r="AG148" s="24" t="inlineStr">
        <is>
          <t>not_applicable</t>
        </is>
      </c>
      <c r="AH148" s="24" t="n"/>
      <c r="AI148" s="31" t="n"/>
      <c r="AJ148" s="31" t="n"/>
      <c r="AK148" s="24" t="inlineStr">
        <is>
          <t>paper_call</t>
        </is>
      </c>
      <c r="AL148" s="26" t="n">
        <v>4</v>
      </c>
      <c r="AM148" s="24" t="inlineStr">
        <is>
          <t>RESEARCH_OBSERVATION</t>
        </is>
      </c>
      <c r="AN148" s="24" t="inlineStr">
        <is>
          <t>CALL</t>
        </is>
      </c>
      <c r="AO148" s="24" t="inlineStr">
        <is>
          <t>PAPER_CALL_LOW_EDGE</t>
        </is>
      </c>
      <c r="AP148" s="24" t="inlineStr">
        <is>
          <t>NC Dinos</t>
        </is>
      </c>
      <c r="AQ148" s="24" t="inlineStr">
        <is>
          <t>NC Dinos</t>
        </is>
      </c>
      <c r="AR148" s="24" t="inlineStr">
        <is>
          <t>NC Dinos</t>
        </is>
      </c>
      <c r="AS148" s="24" t="inlineStr">
        <is>
          <t>Doosan Bears</t>
        </is>
      </c>
      <c r="AT148" s="24" t="inlineStr">
        <is>
          <t>Doosan Bears</t>
        </is>
      </c>
      <c r="AU148" s="24" t="inlineStr">
        <is>
          <t>Doosan Bears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shadow_qualified</t>
        </is>
      </c>
      <c r="BA148" s="24" t="inlineStr">
        <is>
          <t>fb7300b3c7441b1653f89c7808de01f4bdb84a0fd72f82d1d5730bf100e31f47</t>
        </is>
      </c>
      <c r="BB148" s="24" t="inlineStr">
        <is>
          <t>tie_aware_elo</t>
        </is>
      </c>
      <c r="BC148" s="24" t="inlineStr">
        <is>
          <t>kbo-tie-aware-elo-v2</t>
        </is>
      </c>
      <c r="BD148" s="24" t="inlineStr">
        <is>
          <t>fb7300b3c7441b1653f89c7808de01f4bdb84a0fd72f82d1d5730bf100e31f47</t>
        </is>
      </c>
      <c r="BE148" s="24" t="inlineStr">
        <is>
          <t>1</t>
        </is>
      </c>
      <c r="BF148" s="24" t="inlineStr">
        <is>
          <t>1</t>
        </is>
      </c>
      <c r="BG148" s="24" t="inlineStr">
        <is>
          <t>kbo-tie-aware-elo-v2</t>
        </is>
      </c>
      <c r="BH148" s="24" t="inlineStr">
        <is>
          <t>2026-10-01T04:40:09.545989Z</t>
        </is>
      </c>
      <c r="BI148" s="24" t="inlineStr">
        <is>
          <t>["same_event","same_team_same_day","same_league_same_day"]</t>
        </is>
      </c>
      <c r="BJ148" s="25" t="n"/>
      <c r="BK148" s="26" t="n">
        <v>-156</v>
      </c>
      <c r="BL148" s="27" t="n">
        <v>1.641026</v>
      </c>
      <c r="BM148" s="28" t="n">
        <v>0.609375</v>
      </c>
      <c r="BN148" s="28" t="n"/>
      <c r="BO148" s="28" t="n"/>
      <c r="BP148" s="25" t="n"/>
      <c r="BQ148" s="27" t="n"/>
      <c r="BR148" s="28" t="n"/>
      <c r="BS148" s="28" t="n"/>
      <c r="BT148" s="28" t="n"/>
      <c r="BU148" s="25" t="n"/>
      <c r="BV148" s="29" t="n"/>
      <c r="BW148" s="24" t="n"/>
      <c r="BX148" s="30" t="n"/>
      <c r="BY148" s="27" t="n"/>
      <c r="BZ148" s="24" t="n"/>
      <c r="CA148" s="31" t="n"/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  <c r="CP148" s="24" t="n"/>
      <c r="CQ148" s="24" t="n"/>
      <c r="CR148" s="24" t="n"/>
      <c r="CS148" s="24" t="inlineStr">
        <is>
          <t>False</t>
        </is>
      </c>
      <c r="CT148" s="24" t="n"/>
      <c r="CU148" s="24" t="n"/>
      <c r="CV148" s="24" t="n"/>
      <c r="CW148" s="24" t="n"/>
      <c r="CX148" s="24" t="n"/>
      <c r="CY148" s="24" t="n"/>
      <c r="CZ148" s="24" t="n"/>
      <c r="DA148" s="24" t="n"/>
      <c r="DB148" s="24" t="n"/>
      <c r="DC148" s="24" t="n"/>
      <c r="DD148" s="24" t="n"/>
      <c r="DE148" s="24" t="n"/>
      <c r="DF148" s="24" t="n"/>
      <c r="DG148" s="24" t="n"/>
      <c r="DH148" s="24" t="n"/>
      <c r="DI148" s="24" t="n"/>
      <c r="DJ148" s="24" t="inlineStr">
        <is>
          <t>0.609375</t>
        </is>
      </c>
      <c r="DK148" s="24" t="n"/>
      <c r="DL148" s="24" t="n"/>
      <c r="DM148" s="24" t="n"/>
      <c r="DN148" s="24" t="n"/>
      <c r="DO148" s="24" t="n"/>
      <c r="DP148" s="24" t="n"/>
      <c r="DQ148" s="24" t="inlineStr">
        <is>
          <t>{"artifact_hash": "fb7300b3c7441b1653f89c7808de01f4bdb84a0fd72f82d1d5730bf100e31f47", "away_team": "NC Dinos", "draw_settlement_value": 0.5, "event_id": "131361", "event_start_utc": "2026-10-01T09:30:00Z", "features": {"away_elo": 1481.107787, "base_tie_rate": 0.02256368, "home_advantage": 20.0, "home_elo": 1509.14051}, "historical_source_observation_times_verified": false, "home_team": "Doosan Bears", "inference_inputs": {"away_id": "NC", "base_tie_rate": 0.02256368, "book_state": {"_games_played": null, "_last_active": null, "decay_rate": 0.002, "home_advantage": 20.0, "k": 8.0, "margin_weight": 0.0, "ratings": {"DOOSAN": 1509.14051, "NC": 1481.107787}}, "code_sha256": {"features/elo_ratings.py": "8525faf022a6343c452286dbfeb17dbb043744c6bdabbe448b6b371216da439b", "international_baseball.py": "f345eb917316d2e897f62c1cdd0f73153115c65da54c30c6137ad76bb7b27869"}, "home_id": "DOOSAN", "tie_method": "flat"}, "market_type": "moneyline", "model_version": "kbo-tie-aware-elo-v2", "observed_at_utc": "2026-10-01T04:40:09.319998+00:00", "outcome_probabilities": {"away": 0.4215804089919784, "draw": 0.02256368, "home": 0.5558559110080216}, "replay_scope": "Exact Elo and tie model; logged value is expected contract settlement, not outright win probability.", "schema": "international-elo-replay-v1", "settlement_values": {"away": 0.432862, "home": 0.567138}, "snapshot_hash": "a3a96fb46ab275062c717ea547eee89747cfeb02ec798d13bbe38fb2e0a54647", "sport": "KBO"}</t>
        </is>
      </c>
    </row>
    <row r="149" ht="36" customHeight="1">
      <c r="A149" s="24" t="inlineStr">
        <is>
          <t>40c7d66902904b1d</t>
        </is>
      </c>
      <c r="B149" s="24" t="inlineStr">
        <is>
          <t>2026-10-02T22:06:50.194375Z</t>
        </is>
      </c>
      <c r="C149" s="24" t="inlineStr">
        <is>
          <t>2026-10-03T05:00:00Z</t>
        </is>
      </c>
      <c r="D149" s="24" t="inlineStr">
        <is>
          <t>134374</t>
        </is>
      </c>
      <c r="E149" s="24" t="inlineStr">
        <is>
          <t>KBO</t>
        </is>
      </c>
      <c r="F149" s="24" t="inlineStr">
        <is>
          <t>Doosan Bears</t>
        </is>
      </c>
      <c r="G149" s="24" t="inlineStr">
        <is>
          <t>Samsung Lions</t>
        </is>
      </c>
      <c r="H149" s="24" t="inlineStr">
        <is>
          <t>moneyline</t>
        </is>
      </c>
      <c r="I149" s="24" t="inlineStr">
        <is>
          <t>home</t>
        </is>
      </c>
      <c r="J149" s="25" t="n"/>
      <c r="K149" s="24" t="inlineStr">
        <is>
          <t>polymarket_us</t>
        </is>
      </c>
      <c r="L149" s="26" t="n">
        <v>-150</v>
      </c>
      <c r="M149" s="27" t="n">
        <v>1.666667</v>
      </c>
      <c r="N149" s="28" t="n">
        <v>0.6</v>
      </c>
      <c r="O149" s="28" t="n">
        <v>0.572116</v>
      </c>
      <c r="P149" s="28" t="n"/>
      <c r="Q149" s="28" t="n">
        <v>-0.027884</v>
      </c>
      <c r="R149" s="26" t="n">
        <v>6</v>
      </c>
      <c r="S149" s="29" t="n">
        <v>1</v>
      </c>
      <c r="T149" s="24" t="inlineStr">
        <is>
          <t>kbo-tie-aware-elo-v2</t>
        </is>
      </c>
      <c r="U149" s="24" t="inlineStr">
        <is>
          <t>settled</t>
        </is>
      </c>
      <c r="V149" s="24" t="inlineStr">
        <is>
          <t>win</t>
        </is>
      </c>
      <c r="W149" s="26" t="n">
        <v>4</v>
      </c>
      <c r="X149" s="26" t="n">
        <v>6</v>
      </c>
      <c r="Y149" s="25" t="n"/>
      <c r="Z149" s="26" t="n"/>
      <c r="AA149" s="28" t="n"/>
      <c r="AB149" s="28" t="n"/>
      <c r="AC149" s="30" t="n">
        <v>0.6667</v>
      </c>
      <c r="AD149" s="24" t="inlineStr">
        <is>
          <t>2026-10-03T10:01:07.098275Z</t>
        </is>
      </c>
      <c r="AE149" s="31" t="inlineStr">
        <is>
          <t>Tie-aware Elo baseline; executable ask 0.6000 (market_slug=aec-kbo-sla-dbo-2026-10-03). Tie probability=0.0226.</t>
        </is>
      </c>
      <c r="AF149" s="31" t="inlineStr">
        <is>
          <t>Config-promoted international baseball baseline; gates enforced at log time.</t>
        </is>
      </c>
      <c r="AG149" s="24" t="inlineStr">
        <is>
          <t>not_applicable</t>
        </is>
      </c>
      <c r="AH149" s="24" t="n"/>
      <c r="AI149" s="31" t="n"/>
      <c r="AJ149" s="31" t="n"/>
      <c r="AK149" s="24" t="inlineStr">
        <is>
          <t>paper_call</t>
        </is>
      </c>
      <c r="AL149" s="26" t="n">
        <v>4</v>
      </c>
      <c r="AM149" s="24" t="inlineStr">
        <is>
          <t>RESEARCH_OBSERVATION</t>
        </is>
      </c>
      <c r="AN149" s="24" t="inlineStr">
        <is>
          <t>CALL</t>
        </is>
      </c>
      <c r="AO149" s="24" t="inlineStr">
        <is>
          <t>PAPER_CALL_LOW_EDGE</t>
        </is>
      </c>
      <c r="AP149" s="24" t="inlineStr">
        <is>
          <t>Doosan Bears</t>
        </is>
      </c>
      <c r="AQ149" s="24" t="inlineStr">
        <is>
          <t>Doosan Bears</t>
        </is>
      </c>
      <c r="AR149" s="24" t="inlineStr">
        <is>
          <t>Doosan Bears</t>
        </is>
      </c>
      <c r="AS149" s="24" t="inlineStr">
        <is>
          <t>Samsung Lions</t>
        </is>
      </c>
      <c r="AT149" s="24" t="inlineStr">
        <is>
          <t>Samsung Lions</t>
        </is>
      </c>
      <c r="AU149" s="24" t="inlineStr">
        <is>
          <t>Samsung Lions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shadow_qualified</t>
        </is>
      </c>
      <c r="BA149" s="24" t="inlineStr">
        <is>
          <t>172b9e1c88305d2836582a3eac170c9801753f067305b80d8883461e7709b794</t>
        </is>
      </c>
      <c r="BB149" s="24" t="inlineStr">
        <is>
          <t>tie_aware_elo</t>
        </is>
      </c>
      <c r="BC149" s="24" t="inlineStr">
        <is>
          <t>kbo-tie-aware-elo-v2</t>
        </is>
      </c>
      <c r="BD149" s="24" t="inlineStr">
        <is>
          <t>172b9e1c88305d2836582a3eac170c9801753f067305b80d8883461e7709b794</t>
        </is>
      </c>
      <c r="BE149" s="24" t="inlineStr">
        <is>
          <t>1</t>
        </is>
      </c>
      <c r="BF149" s="24" t="inlineStr">
        <is>
          <t>1</t>
        </is>
      </c>
      <c r="BG149" s="24" t="inlineStr">
        <is>
          <t>kbo-tie-aware-elo-v2</t>
        </is>
      </c>
      <c r="BH149" s="24" t="inlineStr">
        <is>
          <t>2026-10-02T22:06:42.217821Z</t>
        </is>
      </c>
      <c r="BI149" s="24" t="inlineStr">
        <is>
          <t>["same_event","same_team_same_day","same_league_same_day"]</t>
        </is>
      </c>
      <c r="BJ149" s="25" t="n"/>
      <c r="BK149" s="26" t="n">
        <v>-150</v>
      </c>
      <c r="BL149" s="27" t="n">
        <v>1.666667</v>
      </c>
      <c r="BM149" s="28" t="n">
        <v>0.6</v>
      </c>
      <c r="BN149" s="28" t="n"/>
      <c r="BO149" s="28" t="n"/>
      <c r="BP149" s="25" t="n"/>
      <c r="BQ149" s="27" t="n"/>
      <c r="BR149" s="28" t="n"/>
      <c r="BS149" s="28" t="n"/>
      <c r="BT149" s="28" t="n"/>
      <c r="BU149" s="25" t="n"/>
      <c r="BV149" s="29" t="n"/>
      <c r="BW149" s="24" t="n"/>
      <c r="BX149" s="30" t="n"/>
      <c r="BY149" s="27" t="n"/>
      <c r="BZ149" s="24" t="n"/>
      <c r="CA149" s="31" t="n"/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  <c r="CN149" s="24" t="n"/>
      <c r="CO149" s="24" t="n"/>
      <c r="CP149" s="24" t="n"/>
      <c r="CQ149" s="24" t="n"/>
      <c r="CR149" s="24" t="n"/>
      <c r="CS149" s="24" t="inlineStr">
        <is>
          <t>False</t>
        </is>
      </c>
      <c r="CT149" s="24" t="n"/>
      <c r="CU149" s="24" t="n"/>
      <c r="CV149" s="24" t="n"/>
      <c r="CW149" s="24" t="n"/>
      <c r="CX149" s="24" t="n"/>
      <c r="CY149" s="24" t="n"/>
      <c r="CZ149" s="24" t="n"/>
      <c r="DA149" s="24" t="n"/>
      <c r="DB149" s="24" t="n"/>
      <c r="DC149" s="24" t="n"/>
      <c r="DD149" s="24" t="n"/>
      <c r="DE149" s="24" t="n"/>
      <c r="DF149" s="24" t="n"/>
      <c r="DG149" s="24" t="n"/>
      <c r="DH149" s="24" t="n"/>
      <c r="DI149" s="24" t="n"/>
      <c r="DJ149" s="24" t="inlineStr">
        <is>
          <t>0.6</t>
        </is>
      </c>
      <c r="DK149" s="24" t="n"/>
      <c r="DL149" s="24" t="n"/>
      <c r="DM149" s="24" t="n"/>
      <c r="DN149" s="24" t="n"/>
      <c r="DO149" s="24" t="n"/>
      <c r="DP149" s="24" t="n"/>
      <c r="DQ149" s="24" t="inlineStr">
        <is>
          <t>{"artifact_hash": "172b9e1c88305d2836582a3eac170c9801753f067305b80d8883461e7709b794", "away_team": "Doosan Bears", "draw_settlement_value": 0.5, "event_id": "134374", "event_start_utc": "2026-10-03T05:00:00Z", "features": {"away_elo": 1514.492827, "base_tie_rate": 0.02255119, "home_advantage": 20.0, "home_elo": 1546.137206}, "historical_source_observation_times_verified": false, "home_team": "Samsung Lions", "inference_inputs": {"away_id": "DOOSAN", "base_tie_rate": 0.02255119, "book_state": {"_games_played": null, "_last_active": null, "decay_rate": 0.001, "home_advantage": 20.0, "k": 8.0, "margin_weight": 0.0, "ratings": {"DOOSAN": 1514.492827, "SAMSUNG": 1546.137206}}, "code_sha256": {"features/elo_ratings.py": "8525faf022a6343c452286dbfeb17dbb043744c6bdabbe448b6b371216da439b", "international_baseball.py": "f345eb917316d2e897f62c1cdd0f73153115c65da54c30c6137ad76bb7b27869"}, "home_id": "SAMSUNG", "tie_method": "flat"}, "market_type": "moneyline", "model_version": "kbo-tie-aware-elo-v2", "observed_at_utc": "2026-10-02T22:06:42.162416+00:00", "outcome_probabilities": {"away": 0.4166085807138038, "draw": 0.02255119, "home": 0.5608402292861963}, "replay_scope": "Exact Elo and tie model; logged value is expected contract settlement, not outright win probability.", "schema": "international-elo-replay-v1", "settlement_values": {"away": 0.427884, "home": 0.572116}, "snapshot_hash": "8991822fb3a6c7d6f3bd2827807afe84a0db42000a6e045bbdd7ee305e5dd273", "sport": "KBO"}</t>
        </is>
      </c>
    </row>
    <row r="150" ht="36" customHeight="1">
      <c r="A150" s="24" t="inlineStr">
        <is>
          <t>e749b60eb9a74316</t>
        </is>
      </c>
      <c r="B150" s="24" t="inlineStr">
        <is>
          <t>2026-10-02T22:06:50.194375Z</t>
        </is>
      </c>
      <c r="C150" s="24" t="inlineStr">
        <is>
          <t>2026-10-03T05:00:00Z</t>
        </is>
      </c>
      <c r="D150" s="24" t="inlineStr">
        <is>
          <t>134375</t>
        </is>
      </c>
      <c r="E150" s="24" t="inlineStr">
        <is>
          <t>KBO</t>
        </is>
      </c>
      <c r="F150" s="24" t="inlineStr">
        <is>
          <t>Kia Tigers</t>
        </is>
      </c>
      <c r="G150" s="24" t="inlineStr">
        <is>
          <t>LG Twins</t>
        </is>
      </c>
      <c r="H150" s="24" t="inlineStr">
        <is>
          <t>moneyline</t>
        </is>
      </c>
      <c r="I150" s="24" t="inlineStr">
        <is>
          <t>home</t>
        </is>
      </c>
      <c r="J150" s="25" t="n"/>
      <c r="K150" s="24" t="inlineStr">
        <is>
          <t>polymarket_us</t>
        </is>
      </c>
      <c r="L150" s="26" t="n">
        <v>-117</v>
      </c>
      <c r="M150" s="27" t="n">
        <v>1.854701</v>
      </c>
      <c r="N150" s="28" t="n">
        <v>0.539171</v>
      </c>
      <c r="O150" s="28" t="n">
        <v>0.527392</v>
      </c>
      <c r="P150" s="28" t="n"/>
      <c r="Q150" s="28" t="n">
        <v>-0.011779</v>
      </c>
      <c r="R150" s="26" t="n">
        <v>14</v>
      </c>
      <c r="S150" s="29" t="n">
        <v>1</v>
      </c>
      <c r="T150" s="24" t="inlineStr">
        <is>
          <t>kbo-tie-aware-elo-v2</t>
        </is>
      </c>
      <c r="U150" s="24" t="inlineStr">
        <is>
          <t>settled</t>
        </is>
      </c>
      <c r="V150" s="24" t="inlineStr">
        <is>
          <t>loss</t>
        </is>
      </c>
      <c r="W150" s="26" t="n">
        <v>5</v>
      </c>
      <c r="X150" s="26" t="n">
        <v>4</v>
      </c>
      <c r="Y150" s="25" t="n"/>
      <c r="Z150" s="26" t="n"/>
      <c r="AA150" s="28" t="n"/>
      <c r="AB150" s="28" t="n"/>
      <c r="AC150" s="30" t="n">
        <v>-1</v>
      </c>
      <c r="AD150" s="24" t="inlineStr">
        <is>
          <t>2026-10-03T10:01:07.367307Z</t>
        </is>
      </c>
      <c r="AE150" s="31" t="inlineStr">
        <is>
          <t>Tie-aware Elo baseline; executable ask 0.5400 (market_slug=aec-kbo-ltg-kti-2026-10-03). Tie probability=0.0226.</t>
        </is>
      </c>
      <c r="AF150" s="31" t="inlineStr">
        <is>
          <t>Config-promoted international baseball baseline; gates enforced at log time.</t>
        </is>
      </c>
      <c r="AG150" s="24" t="inlineStr">
        <is>
          <t>review_required</t>
        </is>
      </c>
      <c r="AH150" s="24" t="n"/>
      <c r="AI150" s="31" t="n"/>
      <c r="AJ150" s="31" t="n"/>
      <c r="AK150" s="24" t="inlineStr">
        <is>
          <t>paper_call</t>
        </is>
      </c>
      <c r="AL150" s="26" t="n">
        <v>4</v>
      </c>
      <c r="AM150" s="24" t="inlineStr">
        <is>
          <t>RESEARCH_OBSERVATION</t>
        </is>
      </c>
      <c r="AN150" s="24" t="inlineStr">
        <is>
          <t>CALL</t>
        </is>
      </c>
      <c r="AO150" s="24" t="inlineStr">
        <is>
          <t>PAPER_CALL_LOW_EDGE</t>
        </is>
      </c>
      <c r="AP150" s="24" t="inlineStr">
        <is>
          <t>Kia Tigers</t>
        </is>
      </c>
      <c r="AQ150" s="24" t="inlineStr">
        <is>
          <t>Kia Tigers</t>
        </is>
      </c>
      <c r="AR150" s="24" t="inlineStr">
        <is>
          <t>Kia Tigers</t>
        </is>
      </c>
      <c r="AS150" s="24" t="inlineStr">
        <is>
          <t>LG Twins</t>
        </is>
      </c>
      <c r="AT150" s="24" t="inlineStr">
        <is>
          <t>LG Twins</t>
        </is>
      </c>
      <c r="AU150" s="24" t="inlineStr">
        <is>
          <t>LG Twins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shadow_qualified</t>
        </is>
      </c>
      <c r="BA150" s="24" t="inlineStr">
        <is>
          <t>172b9e1c88305d2836582a3eac170c9801753f067305b80d8883461e7709b794</t>
        </is>
      </c>
      <c r="BB150" s="24" t="inlineStr">
        <is>
          <t>tie_aware_elo</t>
        </is>
      </c>
      <c r="BC150" s="24" t="inlineStr">
        <is>
          <t>kbo-tie-aware-elo-v2</t>
        </is>
      </c>
      <c r="BD150" s="24" t="inlineStr">
        <is>
          <t>172b9e1c88305d2836582a3eac170c9801753f067305b80d8883461e7709b794</t>
        </is>
      </c>
      <c r="BE150" s="24" t="inlineStr">
        <is>
          <t>1</t>
        </is>
      </c>
      <c r="BF150" s="24" t="inlineStr">
        <is>
          <t>1</t>
        </is>
      </c>
      <c r="BG150" s="24" t="inlineStr">
        <is>
          <t>kbo-tie-aware-elo-v2</t>
        </is>
      </c>
      <c r="BH150" s="24" t="inlineStr">
        <is>
          <t>2026-10-02T22:06:42.279866Z</t>
        </is>
      </c>
      <c r="BI150" s="24" t="inlineStr">
        <is>
          <t>["same_event","same_team_same_day","same_league_same_day"]</t>
        </is>
      </c>
      <c r="BJ150" s="25" t="n"/>
      <c r="BK150" s="26" t="n">
        <v>-117</v>
      </c>
      <c r="BL150" s="27" t="n">
        <v>1.854701</v>
      </c>
      <c r="BM150" s="28" t="n">
        <v>0.539171</v>
      </c>
      <c r="BN150" s="28" t="n"/>
      <c r="BO150" s="28" t="n"/>
      <c r="BP150" s="25" t="n"/>
      <c r="BQ150" s="27" t="n"/>
      <c r="BR150" s="28" t="n"/>
      <c r="BS150" s="28" t="n"/>
      <c r="BT150" s="28" t="n"/>
      <c r="BU150" s="25" t="n"/>
      <c r="BV150" s="29" t="n"/>
      <c r="BW150" s="24" t="n"/>
      <c r="BX150" s="30" t="n"/>
      <c r="BY150" s="27" t="n"/>
      <c r="BZ150" s="24" t="n"/>
      <c r="CA150" s="31" t="n"/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  <c r="CN150" s="24" t="n"/>
      <c r="CO150" s="24" t="n"/>
      <c r="CP150" s="24" t="n"/>
      <c r="CQ150" s="24" t="n"/>
      <c r="CR150" s="24" t="n"/>
      <c r="CS150" s="24" t="inlineStr">
        <is>
          <t>False</t>
        </is>
      </c>
      <c r="CT150" s="24" t="n"/>
      <c r="CU150" s="24" t="n"/>
      <c r="CV150" s="24" t="n"/>
      <c r="CW150" s="24" t="n"/>
      <c r="CX150" s="24" t="n"/>
      <c r="CY150" s="24" t="n"/>
      <c r="CZ150" s="24" t="n"/>
      <c r="DA150" s="24" t="n"/>
      <c r="DB150" s="24" t="n"/>
      <c r="DC150" s="24" t="n"/>
      <c r="DD150" s="24" t="n"/>
      <c r="DE150" s="24" t="n"/>
      <c r="DF150" s="24" t="n"/>
      <c r="DG150" s="24" t="n"/>
      <c r="DH150" s="24" t="n"/>
      <c r="DI150" s="24" t="n"/>
      <c r="DJ150" s="24" t="inlineStr">
        <is>
          <t>0.539171</t>
        </is>
      </c>
      <c r="DK150" s="24" t="n"/>
      <c r="DL150" s="24" t="n"/>
      <c r="DM150" s="24" t="n"/>
      <c r="DN150" s="24" t="n"/>
      <c r="DO150" s="24" t="n"/>
      <c r="DP150" s="24" t="n"/>
      <c r="DQ150" s="24" t="inlineStr">
        <is>
          <t>{"artifact_hash": "172b9e1c88305d2836582a3eac170c9801753f067305b80d8883461e7709b794", "away_team": "Kia Tigers", "draw_settlement_value": 0.5, "event_id": "134375", "event_start_utc": "2026-10-03T05:00:00Z", "features": {"away_elo": 1516.305542, "base_tie_rate": 0.02255119, "home_advantage": 20.0, "home_elo": 1515.799073}, "historical_source_observation_times_verified": false, "home_team": "LG Twins", "inference_inputs": {"away_id": "KIA", "base_tie_rate": 0.02255119, "book_state": {"_games_played": null, "_last_active": null, "decay_rate": 0.001, "home_advantage": 20.0, "k": 8.0, "margin_weight": 0.0, "ratings": {"KIA": 1516.305542, "LG": 1515.799073}}, "code_sha256": {"features/elo_ratings.py": "8525faf022a6343c452286dbfeb17dbb043744c6bdabbe448b6b371216da439b", "international_baseball.py": "f345eb917316d2e897f62c1cdd0f73153115c65da54c30c6137ad76bb7b27869"}, "home_id": "LG", "tie_method": "flat"}, "market_type": "moneyline", "model_version": "kbo-tie-aware-elo-v2", "observed_at_utc": "2026-10-02T22:06:42.162416+00:00", "outcome_probabilities": {"away": 0.46133233464372725, "draw": 0.02255119, "home": 0.5161164753562728}, "replay_scope": "Exact Elo and tie model; logged value is expected contract settlement, not outright win probability.", "schema": "international-elo-replay-v1", "settlement_values": {"away": 0.472608, "home": 0.527392}, "snapshot_hash": "34934833be314b8298a596284a811f0bf27c343af9b8007f25f4763f560ca99a", "sport": "KBO"}</t>
        </is>
      </c>
    </row>
    <row r="151" ht="36" customHeight="1">
      <c r="A151" s="24" t="inlineStr">
        <is>
          <t>5c90c86e22684564</t>
        </is>
      </c>
      <c r="B151" s="24" t="inlineStr">
        <is>
          <t>2026-10-02T22:06:50.194375Z</t>
        </is>
      </c>
      <c r="C151" s="24" t="inlineStr">
        <is>
          <t>2026-10-03T05:00:00Z</t>
        </is>
      </c>
      <c r="D151" s="24" t="inlineStr">
        <is>
          <t>134376</t>
        </is>
      </c>
      <c r="E151" s="24" t="inlineStr">
        <is>
          <t>KBO</t>
        </is>
      </c>
      <c r="F151" s="24" t="inlineStr">
        <is>
          <t>Lotte Giants</t>
        </is>
      </c>
      <c r="G151" s="24" t="inlineStr">
        <is>
          <t>KT Wiz</t>
        </is>
      </c>
      <c r="H151" s="24" t="inlineStr">
        <is>
          <t>moneyline</t>
        </is>
      </c>
      <c r="I151" s="24" t="inlineStr">
        <is>
          <t>home</t>
        </is>
      </c>
      <c r="J151" s="25" t="n"/>
      <c r="K151" s="24" t="inlineStr">
        <is>
          <t>polymarket_us</t>
        </is>
      </c>
      <c r="L151" s="26" t="n">
        <v>-150</v>
      </c>
      <c r="M151" s="27" t="n">
        <v>1.666667</v>
      </c>
      <c r="N151" s="28" t="n">
        <v>0.6</v>
      </c>
      <c r="O151" s="28" t="n">
        <v>0.63873</v>
      </c>
      <c r="P151" s="28" t="n"/>
      <c r="Q151" s="28" t="n">
        <v>0.03873</v>
      </c>
      <c r="R151" s="26" t="n">
        <v>39</v>
      </c>
      <c r="S151" s="29" t="n">
        <v>1</v>
      </c>
      <c r="T151" s="24" t="inlineStr">
        <is>
          <t>kbo-tie-aware-elo-v2</t>
        </is>
      </c>
      <c r="U151" s="24" t="inlineStr">
        <is>
          <t>settled</t>
        </is>
      </c>
      <c r="V151" s="24" t="inlineStr">
        <is>
          <t>win</t>
        </is>
      </c>
      <c r="W151" s="26" t="n">
        <v>0</v>
      </c>
      <c r="X151" s="26" t="n">
        <v>5</v>
      </c>
      <c r="Y151" s="25" t="n"/>
      <c r="Z151" s="26" t="n"/>
      <c r="AA151" s="28" t="n"/>
      <c r="AB151" s="28" t="n"/>
      <c r="AC151" s="30" t="n">
        <v>0.6667</v>
      </c>
      <c r="AD151" s="24" t="inlineStr">
        <is>
          <t>2026-10-03T10:01:07.557673Z</t>
        </is>
      </c>
      <c r="AE151" s="31" t="inlineStr">
        <is>
          <t>Tie-aware Elo baseline; executable ask 0.6000 (market_slug=aec-kbo-kwt-lgo-2026-10-03). Tie probability=0.0226.</t>
        </is>
      </c>
      <c r="AF151" s="31" t="inlineStr">
        <is>
          <t>Config-promoted international baseball baseline; gates enforced at log time.</t>
        </is>
      </c>
      <c r="AG151" s="24" t="inlineStr">
        <is>
          <t>not_applicable</t>
        </is>
      </c>
      <c r="AH151" s="24" t="n"/>
      <c r="AI151" s="31" t="n"/>
      <c r="AJ151" s="31" t="n"/>
      <c r="AK151" s="24" t="inlineStr">
        <is>
          <t>model_qualified</t>
        </is>
      </c>
      <c r="AL151" s="26" t="n">
        <v>4</v>
      </c>
      <c r="AM151" s="24" t="inlineStr">
        <is>
          <t>QUALIFIED_SHADOW_CALL</t>
        </is>
      </c>
      <c r="AN151" s="24" t="inlineStr">
        <is>
          <t>CALL</t>
        </is>
      </c>
      <c r="AO151" s="24" t="inlineStr">
        <is>
          <t>QUALIFIED</t>
        </is>
      </c>
      <c r="AP151" s="24" t="inlineStr">
        <is>
          <t>Lotte Giants</t>
        </is>
      </c>
      <c r="AQ151" s="24" t="inlineStr">
        <is>
          <t>Lotte Giants</t>
        </is>
      </c>
      <c r="AR151" s="24" t="inlineStr">
        <is>
          <t>Lotte Giants</t>
        </is>
      </c>
      <c r="AS151" s="24" t="inlineStr">
        <is>
          <t>KT Wiz</t>
        </is>
      </c>
      <c r="AT151" s="24" t="inlineStr">
        <is>
          <t>KT Wiz</t>
        </is>
      </c>
      <c r="AU151" s="24" t="inlineStr">
        <is>
          <t>KT Wiz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shadow_qualified</t>
        </is>
      </c>
      <c r="BA151" s="24" t="inlineStr">
        <is>
          <t>172b9e1c88305d2836582a3eac170c9801753f067305b80d8883461e7709b794</t>
        </is>
      </c>
      <c r="BB151" s="24" t="inlineStr">
        <is>
          <t>tie_aware_elo</t>
        </is>
      </c>
      <c r="BC151" s="24" t="inlineStr">
        <is>
          <t>kbo-tie-aware-elo-v2</t>
        </is>
      </c>
      <c r="BD151" s="24" t="inlineStr">
        <is>
          <t>172b9e1c88305d2836582a3eac170c9801753f067305b80d8883461e7709b794</t>
        </is>
      </c>
      <c r="BE151" s="24" t="inlineStr">
        <is>
          <t>1</t>
        </is>
      </c>
      <c r="BF151" s="24" t="inlineStr">
        <is>
          <t>1</t>
        </is>
      </c>
      <c r="BG151" s="24" t="inlineStr">
        <is>
          <t>kbo-tie-aware-elo-v2</t>
        </is>
      </c>
      <c r="BH151" s="24" t="inlineStr">
        <is>
          <t>2026-10-02T22:06:42.366588Z</t>
        </is>
      </c>
      <c r="BI151" s="24" t="inlineStr">
        <is>
          <t>["same_event","same_team_same_day","same_league_same_day"]</t>
        </is>
      </c>
      <c r="BJ151" s="25" t="n"/>
      <c r="BK151" s="26" t="n">
        <v>-150</v>
      </c>
      <c r="BL151" s="27" t="n">
        <v>1.666667</v>
      </c>
      <c r="BM151" s="28" t="n">
        <v>0.6</v>
      </c>
      <c r="BN151" s="28" t="n"/>
      <c r="BO151" s="28" t="n"/>
      <c r="BP151" s="25" t="n"/>
      <c r="BQ151" s="27" t="n"/>
      <c r="BR151" s="28" t="n"/>
      <c r="BS151" s="28" t="n"/>
      <c r="BT151" s="28" t="n"/>
      <c r="BU151" s="25" t="n"/>
      <c r="BV151" s="29" t="n"/>
      <c r="BW151" s="24" t="n"/>
      <c r="BX151" s="30" t="n"/>
      <c r="BY151" s="27" t="n"/>
      <c r="BZ151" s="24" t="n"/>
      <c r="CA151" s="31" t="n"/>
      <c r="CB151" s="24" t="n"/>
      <c r="CC151" s="24" t="n"/>
      <c r="CD151" s="24" t="n"/>
      <c r="CE151" s="24" t="n"/>
      <c r="CF151" s="24" t="n"/>
      <c r="CG151" s="24" t="n"/>
      <c r="CH151" s="24" t="n"/>
      <c r="CI151" s="24" t="n"/>
      <c r="CJ151" s="24" t="n"/>
      <c r="CK151" s="24" t="n"/>
      <c r="CL151" s="24" t="n"/>
      <c r="CM151" s="24" t="n"/>
      <c r="CN151" s="24" t="n"/>
      <c r="CO151" s="24" t="n"/>
      <c r="CP151" s="24" t="n"/>
      <c r="CQ151" s="24" t="n"/>
      <c r="CR151" s="24" t="n"/>
      <c r="CS151" s="24" t="inlineStr">
        <is>
          <t>True</t>
        </is>
      </c>
      <c r="CT151" s="24" t="n"/>
      <c r="CU151" s="24" t="n"/>
      <c r="CV151" s="24" t="n"/>
      <c r="CW151" s="24" t="n"/>
      <c r="CX151" s="24" t="n"/>
      <c r="CY151" s="24" t="n"/>
      <c r="CZ151" s="24" t="n"/>
      <c r="DA151" s="24" t="n"/>
      <c r="DB151" s="24" t="n"/>
      <c r="DC151" s="24" t="n"/>
      <c r="DD151" s="24" t="n"/>
      <c r="DE151" s="24" t="n"/>
      <c r="DF151" s="24" t="n"/>
      <c r="DG151" s="24" t="n"/>
      <c r="DH151" s="24" t="n"/>
      <c r="DI151" s="24" t="n"/>
      <c r="DJ151" s="24" t="inlineStr">
        <is>
          <t>0.6</t>
        </is>
      </c>
      <c r="DK151" s="24" t="n"/>
      <c r="DL151" s="24" t="n"/>
      <c r="DM151" s="24" t="n"/>
      <c r="DN151" s="24" t="n"/>
      <c r="DO151" s="24" t="n"/>
      <c r="DP151" s="24" t="n"/>
      <c r="DQ151" s="24" t="inlineStr">
        <is>
          <t>{"artifact_hash": "172b9e1c88305d2836582a3eac170c9801753f067305b80d8883461e7709b794", "away_team": "Lotte Giants", "draw_settlement_value": 0.5, "event_id": "134376", "event_start_utc": "2026-10-03T05:00:00Z", "features": {"away_elo": 1491.048036, "base_tie_rate": 0.02255119, "home_advantage": 20.0, "home_elo": 1572.456635}, "historical_source_observation_times_verified": false, "home_team": "KT Wiz", "inference_inputs": {"away_id": "LOTTE", "base_tie_rate": 0.02255119, "book_state": {"_games_played": null, "_last_active": null, "decay_rate": 0.001, "home_advantage": 20.0, "k": 8.0, "margin_weight": 0.0, "ratings": {"KT": 1572.456635, "LOTTE": 1491.048036}}, "code_sha256": {"features/elo_ratings.py": "8525faf022a6343c452286dbfeb17dbb043744c6bdabbe448b6b371216da439b", "international_baseball.py": "f345eb917316d2e897f62c1cdd0f73153115c65da54c30c6137ad76bb7b27869"}, "home_id": "KT", "tie_method": "flat"}, "market_type": "moneyline", "model_version": "kbo-tie-aware-elo-v2", "observed_at_utc": "2026-10-02T22:06:42.162416+00:00", "outcome_probabilities": {"away": 0.3499941842535638, "draw": 0.02255119, "home": 0.6274546257464362}, "replay_scope": "Exact Elo and tie model; logged value is expected contract settlement, not outright win probability.", "schema": "international-elo-replay-v1", "settlement_values": {"away": 0.36127, "home": 0.63873}, "snapshot_hash": "4e15c4a5d12584be66c38a0f6bc524cf5c228be3e6fb5b09b93cdb9fa7d7dc81", "sport": "KBO"}</t>
        </is>
      </c>
    </row>
    <row r="152" ht="36" customHeight="1">
      <c r="A152" s="24" t="inlineStr">
        <is>
          <t>3081db1f0e864e63</t>
        </is>
      </c>
      <c r="B152" s="24" t="inlineStr">
        <is>
          <t>2026-10-03T22:33:06.788480Z</t>
        </is>
      </c>
      <c r="C152" s="24" t="inlineStr">
        <is>
          <t>2026-10-04T05:00:00Z</t>
        </is>
      </c>
      <c r="D152" s="24" t="inlineStr">
        <is>
          <t>136243</t>
        </is>
      </c>
      <c r="E152" s="24" t="inlineStr">
        <is>
          <t>KBO</t>
        </is>
      </c>
      <c r="F152" s="24" t="inlineStr">
        <is>
          <t>Kia Tigers</t>
        </is>
      </c>
      <c r="G152" s="24" t="inlineStr">
        <is>
          <t>LG Twins</t>
        </is>
      </c>
      <c r="H152" s="24" t="inlineStr">
        <is>
          <t>moneyline</t>
        </is>
      </c>
      <c r="I152" s="24" t="inlineStr">
        <is>
          <t>home</t>
        </is>
      </c>
      <c r="J152" s="25" t="n"/>
      <c r="K152" s="24" t="inlineStr">
        <is>
          <t>polymarket_us</t>
        </is>
      </c>
      <c r="L152" s="26" t="n">
        <v>-122</v>
      </c>
      <c r="M152" s="27" t="n">
        <v>1.819672</v>
      </c>
      <c r="N152" s="28" t="n">
        <v>0.54955</v>
      </c>
      <c r="O152" s="28" t="n">
        <v>0.515533</v>
      </c>
      <c r="P152" s="28" t="n"/>
      <c r="Q152" s="28" t="n">
        <v>-0.034017</v>
      </c>
      <c r="R152" s="26" t="n">
        <v>3</v>
      </c>
      <c r="S152" s="29" t="n">
        <v>1</v>
      </c>
      <c r="T152" s="24" t="inlineStr">
        <is>
          <t>kbo-tie-aware-elo-v2</t>
        </is>
      </c>
      <c r="U152" s="24" t="inlineStr">
        <is>
          <t>settled</t>
        </is>
      </c>
      <c r="V152" s="24" t="inlineStr">
        <is>
          <t>loss</t>
        </is>
      </c>
      <c r="W152" s="26" t="n">
        <v>6</v>
      </c>
      <c r="X152" s="26" t="n">
        <v>5</v>
      </c>
      <c r="Y152" s="25" t="n"/>
      <c r="Z152" s="26" t="n"/>
      <c r="AA152" s="28" t="n"/>
      <c r="AB152" s="28" t="n"/>
      <c r="AC152" s="30" t="n">
        <v>-1</v>
      </c>
      <c r="AD152" s="24" t="inlineStr">
        <is>
          <t>2026-10-04T21:03:36.849575Z</t>
        </is>
      </c>
      <c r="AE152" s="31" t="inlineStr">
        <is>
          <t>Tie-aware Elo baseline; executable ask 0.5500 (market_slug=aec-kbo-ltg-kti-2026-10-04). Tie probability=0.0225.</t>
        </is>
      </c>
      <c r="AF152" s="31" t="inlineStr">
        <is>
          <t>Config-promoted international baseball baseline; gates enforced at log time.</t>
        </is>
      </c>
      <c r="AG152" s="24" t="inlineStr">
        <is>
          <t>review_required</t>
        </is>
      </c>
      <c r="AH152" s="24" t="n"/>
      <c r="AI152" s="31" t="n"/>
      <c r="AJ152" s="31" t="n"/>
      <c r="AK152" s="24" t="inlineStr">
        <is>
          <t>paper_call</t>
        </is>
      </c>
      <c r="AL152" s="26" t="n">
        <v>4</v>
      </c>
      <c r="AM152" s="24" t="inlineStr">
        <is>
          <t>RESEARCH_OBSERVATION</t>
        </is>
      </c>
      <c r="AN152" s="24" t="inlineStr">
        <is>
          <t>CALL</t>
        </is>
      </c>
      <c r="AO152" s="24" t="inlineStr">
        <is>
          <t>PAPER_CALL_LOW_EDGE</t>
        </is>
      </c>
      <c r="AP152" s="24" t="inlineStr">
        <is>
          <t>Kia Tigers</t>
        </is>
      </c>
      <c r="AQ152" s="24" t="inlineStr">
        <is>
          <t>Kia Tigers</t>
        </is>
      </c>
      <c r="AR152" s="24" t="inlineStr">
        <is>
          <t>Kia Tigers</t>
        </is>
      </c>
      <c r="AS152" s="24" t="inlineStr">
        <is>
          <t>LG Twins</t>
        </is>
      </c>
      <c r="AT152" s="24" t="inlineStr">
        <is>
          <t>LG Twins</t>
        </is>
      </c>
      <c r="AU152" s="24" t="inlineStr">
        <is>
          <t>LG Twins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shadow_qualified</t>
        </is>
      </c>
      <c r="BA152" s="24" t="inlineStr">
        <is>
          <t>9cf9d49bd3bc79a9b27f69674b9f0cb0bfae05157dc6188720aa0edd8524883f</t>
        </is>
      </c>
      <c r="BB152" s="24" t="inlineStr">
        <is>
          <t>tie_aware_elo</t>
        </is>
      </c>
      <c r="BC152" s="24" t="inlineStr">
        <is>
          <t>kbo-tie-aware-elo-v2</t>
        </is>
      </c>
      <c r="BD152" s="24" t="inlineStr">
        <is>
          <t>9cf9d49bd3bc79a9b27f69674b9f0cb0bfae05157dc6188720aa0edd8524883f</t>
        </is>
      </c>
      <c r="BE152" s="24" t="inlineStr">
        <is>
          <t>1</t>
        </is>
      </c>
      <c r="BF152" s="24" t="inlineStr">
        <is>
          <t>1</t>
        </is>
      </c>
      <c r="BG152" s="24" t="inlineStr">
        <is>
          <t>kbo-tie-aware-elo-v2</t>
        </is>
      </c>
      <c r="BH152" s="24" t="inlineStr">
        <is>
          <t>2026-10-03T22:32:58.638227Z</t>
        </is>
      </c>
      <c r="BI152" s="24" t="inlineStr">
        <is>
          <t>["same_event","same_team_same_day","same_league_same_day"]</t>
        </is>
      </c>
      <c r="BJ152" s="25" t="n"/>
      <c r="BK152" s="26" t="n">
        <v>-122</v>
      </c>
      <c r="BL152" s="27" t="n">
        <v>1.819672</v>
      </c>
      <c r="BM152" s="28" t="n">
        <v>0.54955</v>
      </c>
      <c r="BN152" s="28" t="n"/>
      <c r="BO152" s="28" t="n"/>
      <c r="BP152" s="25" t="n"/>
      <c r="BQ152" s="27" t="n"/>
      <c r="BR152" s="28" t="n"/>
      <c r="BS152" s="28" t="n"/>
      <c r="BT152" s="28" t="n"/>
      <c r="BU152" s="25" t="n"/>
      <c r="BV152" s="29" t="n"/>
      <c r="BW152" s="24" t="n"/>
      <c r="BX152" s="30" t="n"/>
      <c r="BY152" s="27" t="n"/>
      <c r="BZ152" s="24" t="n"/>
      <c r="CA152" s="31" t="n"/>
      <c r="CB152" s="24" t="n"/>
      <c r="CC152" s="24" t="n"/>
      <c r="CD152" s="24" t="n"/>
      <c r="CE152" s="24" t="n"/>
      <c r="CF152" s="24" t="n"/>
      <c r="CG152" s="24" t="n"/>
      <c r="CH152" s="24" t="n"/>
      <c r="CI152" s="24" t="n"/>
      <c r="CJ152" s="24" t="n"/>
      <c r="CK152" s="24" t="n"/>
      <c r="CL152" s="24" t="n"/>
      <c r="CM152" s="24" t="n"/>
      <c r="CN152" s="24" t="n"/>
      <c r="CO152" s="24" t="n"/>
      <c r="CP152" s="24" t="n"/>
      <c r="CQ152" s="24" t="n"/>
      <c r="CR152" s="24" t="n"/>
      <c r="CS152" s="24" t="inlineStr">
        <is>
          <t>False</t>
        </is>
      </c>
      <c r="CT152" s="24" t="n"/>
      <c r="CU152" s="24" t="n"/>
      <c r="CV152" s="24" t="n"/>
      <c r="CW152" s="24" t="n"/>
      <c r="CX152" s="24" t="n"/>
      <c r="CY152" s="24" t="n"/>
      <c r="CZ152" s="24" t="n"/>
      <c r="DA152" s="24" t="n"/>
      <c r="DB152" s="24" t="n"/>
      <c r="DC152" s="24" t="n"/>
      <c r="DD152" s="24" t="n"/>
      <c r="DE152" s="24" t="n"/>
      <c r="DF152" s="24" t="n"/>
      <c r="DG152" s="24" t="n"/>
      <c r="DH152" s="24" t="n"/>
      <c r="DI152" s="24" t="n"/>
      <c r="DJ152" s="24" t="inlineStr">
        <is>
          <t>0.54955</t>
        </is>
      </c>
      <c r="DK152" s="24" t="n"/>
      <c r="DL152" s="24" t="n"/>
      <c r="DM152" s="24" t="n"/>
      <c r="DN152" s="24" t="n"/>
      <c r="DO152" s="24" t="n"/>
      <c r="DP152" s="24" t="n"/>
      <c r="DQ152" s="24" t="inlineStr">
        <is>
          <t>{"artifact_hash": "9cf9d49bd3bc79a9b27f69674b9f0cb0bfae05157dc6188720aa0edd8524883f", "away_team": "Kia Tigers", "draw_settlement_value": 0.5, "event_id": "136243", "event_start_utc": "2026-10-04T05:00:00Z", "features": {"away_elo": 1520.49714, "base_tie_rate": 0.0225356, "home_advantage": 20.0, "home_elo": 1511.543298}, "historical_source_observation_times_verified": false, "home_team": "LG Twins", "inference_inputs": {"away_id": "KIA", "base_tie_rate": 0.0225356, "book_state": {"_games_played": null, "_last_active": null, "decay_rate": 0.001, "home_advantage": 20.0, "k": 8.0, "margin_weight": 0.0, "ratings": {"KIA": 1520.49714, "LG": 1511.543298}}, "code_sha256": {"features/elo_ratings.py": "8525faf022a6343c452286dbfeb17dbb043744c6bdabbe448b6b371216da439b", "international_baseball.py": "f345eb917316d2e897f62c1cdd0f73153115c65da54c30c6137ad76bb7b27869"}, "home_id": "LG", "tie_method": "flat"}, "market_type": "moneyline", "model_version": "kbo-tie-aware-elo-v2", "observed_at_utc": "2026-10-03T22:32:58.573331+00:00", "outcome_probabilities": {"away": 0.47319897585165466, "draw": 0.0225356, "home": 0.5042654241483454}, "replay_scope": "Exact Elo and tie model; logged value is expected contract settlement, not outright win probability.", "schema": "international-elo-replay-v1", "settlement_values": {"away": 0.484467, "home": 0.515533}, "snapshot_hash": "defadfc57745c6e217b42a53c5c412081fdcd27adcdaa55d072c1bbfcb3df5c3", "sport": "KBO"}</t>
        </is>
      </c>
    </row>
    <row r="153" ht="36" customHeight="1">
      <c r="A153" s="24" t="inlineStr">
        <is>
          <t>a9b8d87c197d449d</t>
        </is>
      </c>
      <c r="B153" s="24" t="inlineStr">
        <is>
          <t>2026-10-03T22:33:06.788480Z</t>
        </is>
      </c>
      <c r="C153" s="24" t="inlineStr">
        <is>
          <t>2026-10-04T05:00:00Z</t>
        </is>
      </c>
      <c r="D153" s="24" t="inlineStr">
        <is>
          <t>136244</t>
        </is>
      </c>
      <c r="E153" s="24" t="inlineStr">
        <is>
          <t>KBO</t>
        </is>
      </c>
      <c r="F153" s="24" t="inlineStr">
        <is>
          <t>Kiwoom Heroes</t>
        </is>
      </c>
      <c r="G153" s="24" t="inlineStr">
        <is>
          <t>Hanwha Eagles</t>
        </is>
      </c>
      <c r="H153" s="24" t="inlineStr">
        <is>
          <t>moneyline</t>
        </is>
      </c>
      <c r="I153" s="24" t="inlineStr">
        <is>
          <t>home</t>
        </is>
      </c>
      <c r="J153" s="25" t="n"/>
      <c r="K153" s="24" t="inlineStr">
        <is>
          <t>polymarket_us</t>
        </is>
      </c>
      <c r="L153" s="26" t="n">
        <v>113</v>
      </c>
      <c r="M153" s="27" t="n">
        <v>2.13</v>
      </c>
      <c r="N153" s="28" t="n">
        <v>0.469484</v>
      </c>
      <c r="O153" s="28" t="n">
        <v>0.515418</v>
      </c>
      <c r="P153" s="28" t="n"/>
      <c r="Q153" s="28" t="n">
        <v>0.045934</v>
      </c>
      <c r="R153" s="26" t="n">
        <v>43</v>
      </c>
      <c r="S153" s="29" t="n">
        <v>1</v>
      </c>
      <c r="T153" s="24" t="inlineStr">
        <is>
          <t>kbo-tie-aware-elo-v2</t>
        </is>
      </c>
      <c r="U153" s="24" t="inlineStr">
        <is>
          <t>settled</t>
        </is>
      </c>
      <c r="V153" s="24" t="inlineStr">
        <is>
          <t>loss</t>
        </is>
      </c>
      <c r="W153" s="26" t="n">
        <v>9</v>
      </c>
      <c r="X153" s="26" t="n">
        <v>3</v>
      </c>
      <c r="Y153" s="25" t="n"/>
      <c r="Z153" s="26" t="n"/>
      <c r="AA153" s="28" t="n"/>
      <c r="AB153" s="28" t="n"/>
      <c r="AC153" s="30" t="n">
        <v>-1</v>
      </c>
      <c r="AD153" s="24" t="inlineStr">
        <is>
          <t>2026-10-04T21:03:38.916895Z</t>
        </is>
      </c>
      <c r="AE153" s="31" t="inlineStr">
        <is>
          <t>Tie-aware Elo baseline; executable ask 0.4700 (market_slug=aec-kbo-hea-khi-2026-10-04). Tie probability=0.0225.</t>
        </is>
      </c>
      <c r="AF153" s="31" t="inlineStr">
        <is>
          <t>Config-promoted international baseball baseline; gates enforced at log time.</t>
        </is>
      </c>
      <c r="AG153" s="24" t="inlineStr">
        <is>
          <t>review_required</t>
        </is>
      </c>
      <c r="AH153" s="24" t="n"/>
      <c r="AI153" s="31" t="n"/>
      <c r="AJ153" s="31" t="n"/>
      <c r="AK153" s="24" t="inlineStr">
        <is>
          <t>paper_call</t>
        </is>
      </c>
      <c r="AL153" s="26" t="n">
        <v>4</v>
      </c>
      <c r="AM153" s="24" t="inlineStr">
        <is>
          <t>RESEARCH_OBSERVATION</t>
        </is>
      </c>
      <c r="AN153" s="24" t="inlineStr">
        <is>
          <t>CALL</t>
        </is>
      </c>
      <c r="AO153" s="24" t="inlineStr">
        <is>
          <t>PAPER_CALL_LOW_EDGE</t>
        </is>
      </c>
      <c r="AP153" s="24" t="inlineStr">
        <is>
          <t>Kiwoom Heroes</t>
        </is>
      </c>
      <c r="AQ153" s="24" t="inlineStr">
        <is>
          <t>Kiwoom Heroes</t>
        </is>
      </c>
      <c r="AR153" s="24" t="inlineStr">
        <is>
          <t>Kiwoom Heroes</t>
        </is>
      </c>
      <c r="AS153" s="24" t="inlineStr">
        <is>
          <t>Hanwha Eagles</t>
        </is>
      </c>
      <c r="AT153" s="24" t="inlineStr">
        <is>
          <t>Hanwha Eagles</t>
        </is>
      </c>
      <c r="AU153" s="24" t="inlineStr">
        <is>
          <t>Hanwha Eagles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shadow_qualified</t>
        </is>
      </c>
      <c r="BA153" s="24" t="inlineStr">
        <is>
          <t>9cf9d49bd3bc79a9b27f69674b9f0cb0bfae05157dc6188720aa0edd8524883f</t>
        </is>
      </c>
      <c r="BB153" s="24" t="inlineStr">
        <is>
          <t>tie_aware_elo</t>
        </is>
      </c>
      <c r="BC153" s="24" t="inlineStr">
        <is>
          <t>kbo-tie-aware-elo-v2</t>
        </is>
      </c>
      <c r="BD153" s="24" t="inlineStr">
        <is>
          <t>9cf9d49bd3bc79a9b27f69674b9f0cb0bfae05157dc6188720aa0edd8524883f</t>
        </is>
      </c>
      <c r="BE153" s="24" t="inlineStr">
        <is>
          <t>1</t>
        </is>
      </c>
      <c r="BF153" s="24" t="inlineStr">
        <is>
          <t>1</t>
        </is>
      </c>
      <c r="BG153" s="24" t="inlineStr">
        <is>
          <t>kbo-tie-aware-elo-v2</t>
        </is>
      </c>
      <c r="BH153" s="24" t="inlineStr">
        <is>
          <t>2026-10-03T22:32:58.890772Z</t>
        </is>
      </c>
      <c r="BI153" s="24" t="inlineStr">
        <is>
          <t>["same_event","same_team_same_day","same_league_same_day"]</t>
        </is>
      </c>
      <c r="BJ153" s="25" t="n"/>
      <c r="BK153" s="26" t="n">
        <v>113</v>
      </c>
      <c r="BL153" s="27" t="n">
        <v>2.13</v>
      </c>
      <c r="BM153" s="28" t="n">
        <v>0.469484</v>
      </c>
      <c r="BN153" s="28" t="n"/>
      <c r="BO153" s="28" t="n"/>
      <c r="BP153" s="25" t="n"/>
      <c r="BQ153" s="27" t="n"/>
      <c r="BR153" s="28" t="n"/>
      <c r="BS153" s="28" t="n"/>
      <c r="BT153" s="28" t="n"/>
      <c r="BU153" s="25" t="n"/>
      <c r="BV153" s="29" t="n"/>
      <c r="BW153" s="24" t="n"/>
      <c r="BX153" s="30" t="n"/>
      <c r="BY153" s="27" t="n"/>
      <c r="BZ153" s="24" t="n"/>
      <c r="CA153" s="31" t="n"/>
      <c r="CB153" s="24" t="n"/>
      <c r="CC153" s="24" t="n"/>
      <c r="CD153" s="24" t="n"/>
      <c r="CE153" s="24" t="n"/>
      <c r="CF153" s="24" t="n"/>
      <c r="CG153" s="24" t="n"/>
      <c r="CH153" s="24" t="n"/>
      <c r="CI153" s="24" t="n"/>
      <c r="CJ153" s="24" t="n"/>
      <c r="CK153" s="24" t="n"/>
      <c r="CL153" s="24" t="n"/>
      <c r="CM153" s="24" t="n"/>
      <c r="CN153" s="24" t="n"/>
      <c r="CO153" s="24" t="n"/>
      <c r="CP153" s="24" t="n"/>
      <c r="CQ153" s="24" t="n"/>
      <c r="CR153" s="24" t="n"/>
      <c r="CS153" s="24" t="inlineStr">
        <is>
          <t>True</t>
        </is>
      </c>
      <c r="CT153" s="24" t="n"/>
      <c r="CU153" s="24" t="n"/>
      <c r="CV153" s="24" t="n"/>
      <c r="CW153" s="24" t="n"/>
      <c r="CX153" s="24" t="n"/>
      <c r="CY153" s="24" t="n"/>
      <c r="CZ153" s="24" t="n"/>
      <c r="DA153" s="24" t="n"/>
      <c r="DB153" s="24" t="n"/>
      <c r="DC153" s="24" t="n"/>
      <c r="DD153" s="24" t="n"/>
      <c r="DE153" s="24" t="n"/>
      <c r="DF153" s="24" t="n"/>
      <c r="DG153" s="24" t="n"/>
      <c r="DH153" s="24" t="n"/>
      <c r="DI153" s="24" t="n"/>
      <c r="DJ153" s="24" t="inlineStr">
        <is>
          <t>0.469484</t>
        </is>
      </c>
      <c r="DK153" s="24" t="n"/>
      <c r="DL153" s="24" t="n"/>
      <c r="DM153" s="24" t="n"/>
      <c r="DN153" s="24" t="n"/>
      <c r="DO153" s="24" t="n"/>
      <c r="DP153" s="24" t="n"/>
      <c r="DQ153" s="24" t="inlineStr">
        <is>
          <t>{"artifact_hash": "9cf9d49bd3bc79a9b27f69674b9f0cb0bfae05157dc6188720aa0edd8524883f", "away_team": "Kiwoom Heroes", "draw_settlement_value": 0.5, "event_id": "136244", "event_start_utc": "2026-10-04T05:00:00Z", "features": {"away_elo": 1441.987981, "base_tie_rate": 0.0225356, "home_advantage": 20.0, "home_elo": 1432.952241}, "historical_source_observation_times_verified": false, "home_team": "Hanwha Eagles", "inference_inputs": {"away_id": "KIWOOM", "base_tie_rate": 0.0225356, "book_state": {"_games_played": null, "_last_active": null, "decay_rate": 0.001, "home_advantage": 20.0, "k": 8.0, "margin_weight": 0.0, "ratings": {"HANWHA": 1432.952241, "KIWOOM": 1441.987981}}, "code_sha256": {"features/elo_ratings.py": "8525faf022a6343c452286dbfeb17dbb043744c6bdabbe448b6b371216da439b", "international_baseball.py": "f345eb917316d2e897f62c1cdd0f73153115c65da54c30c6137ad76bb7b27869"}, "home_id": "HANWHA", "tie_method": "flat"}, "market_type": "moneyline", "model_version": "kbo-tie-aware-elo-v2", "observed_at_utc": "2026-10-03T22:32:58.573331+00:00", "outcome_probabilities": {"away": 0.47331406497372447, "draw": 0.0225356, "home": 0.5041503350262755}, "replay_scope": "Exact Elo and tie model; logged value is expected contract settlement, not outright win probability.", "schema": "international-elo-replay-v1", "settlement_values": {"away": 0.484582, "home": 0.515418}, "snapshot_hash": "28fb596a7c98b12e6e2327b71d273a62276afe1a491de41ac62b0760863a8211", "sport": "KBO"}</t>
        </is>
      </c>
    </row>
    <row r="154" ht="36" customHeight="1">
      <c r="A154" s="24" t="inlineStr">
        <is>
          <t>c88b0bb4a81745a7</t>
        </is>
      </c>
      <c r="B154" s="24" t="inlineStr">
        <is>
          <t>2026-10-03T22:33:06.788480Z</t>
        </is>
      </c>
      <c r="C154" s="24" t="inlineStr">
        <is>
          <t>2026-10-04T05:00:00Z</t>
        </is>
      </c>
      <c r="D154" s="24" t="inlineStr">
        <is>
          <t>136247</t>
        </is>
      </c>
      <c r="E154" s="24" t="inlineStr">
        <is>
          <t>KBO</t>
        </is>
      </c>
      <c r="F154" s="24" t="inlineStr">
        <is>
          <t>Doosan Bears</t>
        </is>
      </c>
      <c r="G154" s="24" t="inlineStr">
        <is>
          <t>Samsung Lions</t>
        </is>
      </c>
      <c r="H154" s="24" t="inlineStr">
        <is>
          <t>moneyline</t>
        </is>
      </c>
      <c r="I154" s="24" t="inlineStr">
        <is>
          <t>home</t>
        </is>
      </c>
      <c r="J154" s="25" t="n"/>
      <c r="K154" s="24" t="inlineStr">
        <is>
          <t>polymarket_us</t>
        </is>
      </c>
      <c r="L154" s="26" t="n">
        <v>-122</v>
      </c>
      <c r="M154" s="27" t="n">
        <v>1.819672</v>
      </c>
      <c r="N154" s="28" t="n">
        <v>0.54955</v>
      </c>
      <c r="O154" s="28" t="n">
        <v>0.581214</v>
      </c>
      <c r="P154" s="28" t="n"/>
      <c r="Q154" s="28" t="n">
        <v>0.031664</v>
      </c>
      <c r="R154" s="26" t="n">
        <v>36</v>
      </c>
      <c r="S154" s="29" t="n">
        <v>1</v>
      </c>
      <c r="T154" s="24" t="inlineStr">
        <is>
          <t>kbo-tie-aware-elo-v2</t>
        </is>
      </c>
      <c r="U154" s="24" t="inlineStr">
        <is>
          <t>settled</t>
        </is>
      </c>
      <c r="V154" s="24" t="inlineStr">
        <is>
          <t>loss</t>
        </is>
      </c>
      <c r="W154" s="26" t="n">
        <v>12</v>
      </c>
      <c r="X154" s="26" t="n">
        <v>0</v>
      </c>
      <c r="Y154" s="25" t="n"/>
      <c r="Z154" s="26" t="n"/>
      <c r="AA154" s="28" t="n"/>
      <c r="AB154" s="28" t="n"/>
      <c r="AC154" s="30" t="n">
        <v>-1</v>
      </c>
      <c r="AD154" s="24" t="inlineStr">
        <is>
          <t>2026-10-04T21:03:40.694520Z</t>
        </is>
      </c>
      <c r="AE154" s="31" t="inlineStr">
        <is>
          <t>Tie-aware Elo baseline; executable ask 0.5500 (market_slug=aec-kbo-sla-dbo-2026-10-04). Tie probability=0.0225.</t>
        </is>
      </c>
      <c r="AF154" s="31" t="inlineStr">
        <is>
          <t>Config-promoted international baseball baseline; gates enforced at log time.</t>
        </is>
      </c>
      <c r="AG154" s="24" t="inlineStr">
        <is>
          <t>review_required</t>
        </is>
      </c>
      <c r="AH154" s="24" t="n"/>
      <c r="AI154" s="31" t="n"/>
      <c r="AJ154" s="31" t="n"/>
      <c r="AK154" s="24" t="inlineStr">
        <is>
          <t>paper_call</t>
        </is>
      </c>
      <c r="AL154" s="26" t="n">
        <v>4</v>
      </c>
      <c r="AM154" s="24" t="inlineStr">
        <is>
          <t>RESEARCH_OBSERVATION</t>
        </is>
      </c>
      <c r="AN154" s="24" t="inlineStr">
        <is>
          <t>CALL</t>
        </is>
      </c>
      <c r="AO154" s="24" t="inlineStr">
        <is>
          <t>PAPER_CALL_LOW_EDGE</t>
        </is>
      </c>
      <c r="AP154" s="24" t="inlineStr">
        <is>
          <t>Doosan Bears</t>
        </is>
      </c>
      <c r="AQ154" s="24" t="inlineStr">
        <is>
          <t>Doosan Bears</t>
        </is>
      </c>
      <c r="AR154" s="24" t="inlineStr">
        <is>
          <t>Doosan Bears</t>
        </is>
      </c>
      <c r="AS154" s="24" t="inlineStr">
        <is>
          <t>Samsung Lions</t>
        </is>
      </c>
      <c r="AT154" s="24" t="inlineStr">
        <is>
          <t>Samsung Lions</t>
        </is>
      </c>
      <c r="AU154" s="24" t="inlineStr">
        <is>
          <t>Samsung Lions</t>
        </is>
      </c>
      <c r="AV154" s="24" t="n"/>
      <c r="AW154" s="24" t="n"/>
      <c r="AX154" s="24" t="inlineStr">
        <is>
          <t>statistical_model</t>
        </is>
      </c>
      <c r="AY154" s="24" t="n"/>
      <c r="AZ154" s="24" t="inlineStr">
        <is>
          <t>shadow_qualified</t>
        </is>
      </c>
      <c r="BA154" s="24" t="inlineStr">
        <is>
          <t>9cf9d49bd3bc79a9b27f69674b9f0cb0bfae05157dc6188720aa0edd8524883f</t>
        </is>
      </c>
      <c r="BB154" s="24" t="inlineStr">
        <is>
          <t>tie_aware_elo</t>
        </is>
      </c>
      <c r="BC154" s="24" t="inlineStr">
        <is>
          <t>kbo-tie-aware-elo-v2</t>
        </is>
      </c>
      <c r="BD154" s="24" t="inlineStr">
        <is>
          <t>9cf9d49bd3bc79a9b27f69674b9f0cb0bfae05157dc6188720aa0edd8524883f</t>
        </is>
      </c>
      <c r="BE154" s="24" t="inlineStr">
        <is>
          <t>1</t>
        </is>
      </c>
      <c r="BF154" s="24" t="inlineStr">
        <is>
          <t>1</t>
        </is>
      </c>
      <c r="BG154" s="24" t="inlineStr">
        <is>
          <t>kbo-tie-aware-elo-v2</t>
        </is>
      </c>
      <c r="BH154" s="24" t="inlineStr">
        <is>
          <t>2026-10-03T22:32:58.948550Z</t>
        </is>
      </c>
      <c r="BI154" s="24" t="inlineStr">
        <is>
          <t>["same_event","same_team_same_day","same_league_same_day"]</t>
        </is>
      </c>
      <c r="BJ154" s="25" t="n"/>
      <c r="BK154" s="26" t="n">
        <v>-122</v>
      </c>
      <c r="BL154" s="27" t="n">
        <v>1.819672</v>
      </c>
      <c r="BM154" s="28" t="n">
        <v>0.54955</v>
      </c>
      <c r="BN154" s="28" t="n"/>
      <c r="BO154" s="28" t="n"/>
      <c r="BP154" s="25" t="n"/>
      <c r="BQ154" s="27" t="n"/>
      <c r="BR154" s="28" t="n"/>
      <c r="BS154" s="28" t="n"/>
      <c r="BT154" s="28" t="n"/>
      <c r="BU154" s="25" t="n"/>
      <c r="BV154" s="29" t="n"/>
      <c r="BW154" s="24" t="n"/>
      <c r="BX154" s="30" t="n"/>
      <c r="BY154" s="27" t="n"/>
      <c r="BZ154" s="24" t="n"/>
      <c r="CA154" s="31" t="n"/>
      <c r="CB154" s="24" t="n"/>
      <c r="CC154" s="24" t="n"/>
      <c r="CD154" s="24" t="n"/>
      <c r="CE154" s="24" t="n"/>
      <c r="CF154" s="24" t="n"/>
      <c r="CG154" s="24" t="n"/>
      <c r="CH154" s="24" t="n"/>
      <c r="CI154" s="24" t="n"/>
      <c r="CJ154" s="24" t="n"/>
      <c r="CK154" s="24" t="n"/>
      <c r="CL154" s="24" t="n"/>
      <c r="CM154" s="24" t="n"/>
      <c r="CN154" s="24" t="n"/>
      <c r="CO154" s="24" t="n"/>
      <c r="CP154" s="24" t="n"/>
      <c r="CQ154" s="24" t="n"/>
      <c r="CR154" s="24" t="n"/>
      <c r="CS154" s="24" t="inlineStr">
        <is>
          <t>True</t>
        </is>
      </c>
      <c r="CT154" s="24" t="n"/>
      <c r="CU154" s="24" t="n"/>
      <c r="CV154" s="24" t="n"/>
      <c r="CW154" s="24" t="n"/>
      <c r="CX154" s="24" t="n"/>
      <c r="CY154" s="24" t="n"/>
      <c r="CZ154" s="24" t="n"/>
      <c r="DA154" s="24" t="n"/>
      <c r="DB154" s="24" t="n"/>
      <c r="DC154" s="24" t="n"/>
      <c r="DD154" s="24" t="n"/>
      <c r="DE154" s="24" t="n"/>
      <c r="DF154" s="24" t="n"/>
      <c r="DG154" s="24" t="n"/>
      <c r="DH154" s="24" t="n"/>
      <c r="DI154" s="24" t="n"/>
      <c r="DJ154" s="24" t="inlineStr">
        <is>
          <t>0.54955</t>
        </is>
      </c>
      <c r="DK154" s="24" t="n"/>
      <c r="DL154" s="24" t="n"/>
      <c r="DM154" s="24" t="n"/>
      <c r="DN154" s="24" t="n"/>
      <c r="DO154" s="24" t="n"/>
      <c r="DP154" s="24" t="n"/>
      <c r="DQ154" s="24" t="inlineStr">
        <is>
          <t>{"artifact_hash": "9cf9d49bd3bc79a9b27f69674b9f0cb0bfae05157dc6188720aa0edd8524883f", "away_team": "Doosan Bears", "draw_settlement_value": 0.5, "event_id": "136247", "event_start_utc": "2026-10-04T05:00:00Z", "features": {"away_elo": 1510.996325, "base_tie_rate": 0.0225356, "home_advantage": 20.0, "home_elo": 1549.270837}, "historical_source_observation_times_verified": false, "home_team": "Samsung Lions", "inference_inputs": {"away_id": "DOOSAN", "base_tie_rate": 0.0225356, "book_state": {"_games_played": null, "_last_active": null, "decay_rate": 0.001, "home_advantage": 20.0, "k": 8.0, "margin_weight": 0.0, "ratings": {"DOOSAN": 1510.996325, "SAMSUNG": 1549.270837}}, "code_sha256": {"features/elo_ratings.py": "8525faf022a6343c452286dbfeb17dbb043744c6bdabbe448b6b371216da439b", "international_baseball.py": "f345eb917316d2e897f62c1cdd0f73153115c65da54c30c6137ad76bb7b27869"}, "home_id": "SAMSUNG", "tie_method": "flat"}, "market_type": "moneyline", "model_version": "kbo-tie-aware-elo-v2", "observed_at_utc": "2026-10-03T22:32:58.573331+00:00", "outcome_probabilities": {"away": 0.4075185135533365, "draw": 0.0225356, "home": 0.5699458864466634}, "replay_scope": "Exact Elo and tie model; logged value is expected contract settlement, not outright win probability.", "schema": "international-elo-replay-v1", "settlement_values": {"away": 0.418786, "home": 0.581214}, "snapshot_hash": "8e6d7abb110067698e40852c5238991ef2382f93933810c833abd636bae26c40", "sport": "KBO"}</t>
        </is>
      </c>
    </row>
    <row r="155" ht="36" customHeight="1">
      <c r="A155" s="24" t="inlineStr">
        <is>
          <t>7ecebefe906a4828</t>
        </is>
      </c>
      <c r="B155" s="24" t="inlineStr">
        <is>
          <t>2026-10-04T20:30:40.153482Z</t>
        </is>
      </c>
      <c r="C155" s="24" t="inlineStr">
        <is>
          <t>2026-10-05T05:00:00Z</t>
        </is>
      </c>
      <c r="D155" s="24" t="inlineStr">
        <is>
          <t>137787</t>
        </is>
      </c>
      <c r="E155" s="24" t="inlineStr">
        <is>
          <t>KBO</t>
        </is>
      </c>
      <c r="F155" s="24" t="inlineStr">
        <is>
          <t>SSG Landers</t>
        </is>
      </c>
      <c r="G155" s="24" t="inlineStr">
        <is>
          <t>NC Dinos</t>
        </is>
      </c>
      <c r="H155" s="24" t="inlineStr">
        <is>
          <t>moneyline</t>
        </is>
      </c>
      <c r="I155" s="24" t="inlineStr">
        <is>
          <t>away</t>
        </is>
      </c>
      <c r="J155" s="25" t="n"/>
      <c r="K155" s="24" t="inlineStr">
        <is>
          <t>polymarket_us</t>
        </is>
      </c>
      <c r="L155" s="26" t="n">
        <v>-156</v>
      </c>
      <c r="M155" s="27" t="n">
        <v>1.641026</v>
      </c>
      <c r="N155" s="28" t="n">
        <v>0.609375</v>
      </c>
      <c r="O155" s="28" t="n">
        <v>0.517082</v>
      </c>
      <c r="P155" s="28" t="n"/>
      <c r="Q155" s="28" t="n">
        <v>-0.092293</v>
      </c>
      <c r="R155" s="26" t="n">
        <v>0</v>
      </c>
      <c r="S155" s="29" t="n">
        <v>1</v>
      </c>
      <c r="T155" s="24" t="inlineStr">
        <is>
          <t>kbo-tie-aware-elo-v2</t>
        </is>
      </c>
      <c r="U155" s="24" t="inlineStr">
        <is>
          <t>settled</t>
        </is>
      </c>
      <c r="V155" s="24" t="inlineStr">
        <is>
          <t>win</t>
        </is>
      </c>
      <c r="W155" s="26" t="n">
        <v>9</v>
      </c>
      <c r="X155" s="26" t="n">
        <v>0</v>
      </c>
      <c r="Y155" s="25" t="n"/>
      <c r="Z155" s="26" t="n"/>
      <c r="AA155" s="28" t="n"/>
      <c r="AB155" s="28" t="n"/>
      <c r="AC155" s="30" t="n">
        <v>0.641</v>
      </c>
      <c r="AD155" s="24" t="inlineStr">
        <is>
          <t>2026-10-05T10:00:59.816324Z</t>
        </is>
      </c>
      <c r="AE155" s="31" t="inlineStr">
        <is>
          <t>Tie-aware Elo baseline; executable ask 0.6100 (market_slug=aec-kbo-ndc-sls-2026-10-05). Tie probability=0.0227.</t>
        </is>
      </c>
      <c r="AF155" s="31" t="inlineStr">
        <is>
          <t>Config-promoted international baseball baseline; gates enforced at log time.</t>
        </is>
      </c>
      <c r="AG155" s="24" t="inlineStr">
        <is>
          <t>not_applicable</t>
        </is>
      </c>
      <c r="AH155" s="24" t="n"/>
      <c r="AI155" s="31" t="n"/>
      <c r="AJ155" s="31" t="n"/>
      <c r="AK155" s="24" t="inlineStr">
        <is>
          <t>paper_call</t>
        </is>
      </c>
      <c r="AL155" s="26" t="n">
        <v>4</v>
      </c>
      <c r="AM155" s="24" t="inlineStr">
        <is>
          <t>RESEARCH_OBSERVATION</t>
        </is>
      </c>
      <c r="AN155" s="24" t="inlineStr">
        <is>
          <t>CALL</t>
        </is>
      </c>
      <c r="AO155" s="24" t="inlineStr">
        <is>
          <t>PAPER_CALL_LOW_EDGE</t>
        </is>
      </c>
      <c r="AP155" s="24" t="inlineStr">
        <is>
          <t>SSG Landers</t>
        </is>
      </c>
      <c r="AQ155" s="24" t="inlineStr">
        <is>
          <t>SSG Landers</t>
        </is>
      </c>
      <c r="AR155" s="24" t="inlineStr">
        <is>
          <t>SSG Landers</t>
        </is>
      </c>
      <c r="AS155" s="24" t="inlineStr">
        <is>
          <t>NC Dinos</t>
        </is>
      </c>
      <c r="AT155" s="24" t="inlineStr">
        <is>
          <t>NC Dinos</t>
        </is>
      </c>
      <c r="AU155" s="24" t="inlineStr">
        <is>
          <t>NC Dinos</t>
        </is>
      </c>
      <c r="AV155" s="24" t="n"/>
      <c r="AW155" s="24" t="n"/>
      <c r="AX155" s="24" t="inlineStr">
        <is>
          <t>statistical_model</t>
        </is>
      </c>
      <c r="AY155" s="24" t="n"/>
      <c r="AZ155" s="24" t="inlineStr">
        <is>
          <t>shadow_qualified</t>
        </is>
      </c>
      <c r="BA155" s="24" t="inlineStr">
        <is>
          <t>4f30694ae025d565dffd33abbc5b33041c90a41c597f15fc839c4d6565ec740a</t>
        </is>
      </c>
      <c r="BB155" s="24" t="inlineStr">
        <is>
          <t>tie_aware_elo</t>
        </is>
      </c>
      <c r="BC155" s="24" t="inlineStr">
        <is>
          <t>kbo-tie-aware-elo-v2</t>
        </is>
      </c>
      <c r="BD155" s="24" t="inlineStr">
        <is>
          <t>4f30694ae025d565dffd33abbc5b33041c90a41c597f15fc839c4d6565ec740a</t>
        </is>
      </c>
      <c r="BE155" s="24" t="inlineStr">
        <is>
          <t>1</t>
        </is>
      </c>
      <c r="BF155" s="24" t="inlineStr">
        <is>
          <t>1</t>
        </is>
      </c>
      <c r="BG155" s="24" t="inlineStr">
        <is>
          <t>kbo-tie-aware-elo-v2</t>
        </is>
      </c>
      <c r="BH155" s="24" t="inlineStr">
        <is>
          <t>2026-10-04T20:30:32.744299Z</t>
        </is>
      </c>
      <c r="BI155" s="24" t="inlineStr">
        <is>
          <t>["same_event","same_team_same_day","same_league_same_day"]</t>
        </is>
      </c>
      <c r="BJ155" s="25" t="n"/>
      <c r="BK155" s="26" t="n">
        <v>-156</v>
      </c>
      <c r="BL155" s="27" t="n">
        <v>1.641026</v>
      </c>
      <c r="BM155" s="28" t="n">
        <v>0.609375</v>
      </c>
      <c r="BN155" s="28" t="n"/>
      <c r="BO155" s="28" t="n"/>
      <c r="BP155" s="25" t="n"/>
      <c r="BQ155" s="27" t="n"/>
      <c r="BR155" s="28" t="n"/>
      <c r="BS155" s="28" t="n"/>
      <c r="BT155" s="28" t="n"/>
      <c r="BU155" s="25" t="n"/>
      <c r="BV155" s="29" t="n"/>
      <c r="BW155" s="24" t="n"/>
      <c r="BX155" s="30" t="n"/>
      <c r="BY155" s="27" t="n"/>
      <c r="BZ155" s="24" t="n"/>
      <c r="CA155" s="31" t="n"/>
      <c r="CB155" s="24" t="n"/>
      <c r="CC155" s="24" t="n"/>
      <c r="CD155" s="24" t="n"/>
      <c r="CE155" s="24" t="n"/>
      <c r="CF155" s="24" t="n"/>
      <c r="CG155" s="24" t="n"/>
      <c r="CH155" s="24" t="n"/>
      <c r="CI155" s="24" t="n"/>
      <c r="CJ155" s="24" t="n"/>
      <c r="CK155" s="24" t="n"/>
      <c r="CL155" s="24" t="n"/>
      <c r="CM155" s="24" t="n"/>
      <c r="CN155" s="24" t="n"/>
      <c r="CO155" s="24" t="n"/>
      <c r="CP155" s="24" t="n"/>
      <c r="CQ155" s="24" t="n"/>
      <c r="CR155" s="24" t="n"/>
      <c r="CS155" s="24" t="inlineStr">
        <is>
          <t>False</t>
        </is>
      </c>
      <c r="CT155" s="24" t="n"/>
      <c r="CU155" s="24" t="n"/>
      <c r="CV155" s="24" t="n"/>
      <c r="CW155" s="24" t="n"/>
      <c r="CX155" s="24" t="n"/>
      <c r="CY155" s="24" t="n"/>
      <c r="CZ155" s="24" t="n"/>
      <c r="DA155" s="24" t="n"/>
      <c r="DB155" s="24" t="n"/>
      <c r="DC155" s="24" t="n"/>
      <c r="DD155" s="24" t="n"/>
      <c r="DE155" s="24" t="n"/>
      <c r="DF155" s="24" t="n"/>
      <c r="DG155" s="24" t="n"/>
      <c r="DH155" s="24" t="n"/>
      <c r="DI155" s="24" t="n"/>
      <c r="DJ155" s="24" t="n"/>
      <c r="DK155" s="24" t="n"/>
      <c r="DL155" s="24" t="n"/>
      <c r="DM155" s="24" t="n"/>
      <c r="DN155" s="24" t="n"/>
      <c r="DO155" s="24" t="n"/>
      <c r="DP155" s="24" t="n"/>
      <c r="DQ155" s="24" t="inlineStr">
        <is>
          <t>{"artifact_hash": "4f30694ae025d565dffd33abbc5b33041c90a41c597f15fc839c4d6565ec740a", "away_team": "SSG Landers", "draw_settlement_value": 0.5, "event_id": "137787", "event_start_utc": "2026-10-05T05:00:00Z", "features": {"away_elo": 1510.019696, "base_tie_rate": 0.02265819, "home_advantage": 20.0, "home_elo": 1477.869714}, "historical_source_observation_times_verified": false, "home_team": "NC Dinos", "inference_inputs": {"away_id": "SSG", "base_tie_rate": 0.02265819, "book_state": {"_games_played": null, "_last_active": null, "decay_rate": 0.001, "home_advantage": 20.0, "k": 8.0, "margin_weight": 0.0, "ratings": {"NC": 1477.869714, "SSG": 1510.019696}}, "code_sha256": {"features/elo_ratings.py": "8525faf022a6343c452286dbfeb17dbb043744c6bdabbe448b6b371216da439b", "international_baseball.py": "f345eb917316d2e897f62c1cdd0f73153115c65da54c30c6137ad76bb7b27869"}, "home_id": "NC", "tie_method": "flat"}, "market_type": "moneyline", "model_version": "kbo-tie-aware-elo-v2", "observed_at_utc": "2026-10-04T20:30:32.653696+00:00", "outcome_probabilities": {"away": 0.5057529881434593, "draw": 0.02265819, "home": 0.47158882185654083}, "replay_scope": "Exact Elo and tie model; logged value is expected contract settlement, not outright win probability.", "schema": "international-elo-replay-v1", "settlement_values": {"away": 0.517082, "home": 0.482918}, "snapshot_hash": "0553cef399609000baeecc451eeda962aeffa940ec197f807264c9e30cca3fe9", "sport": "KBO"}</t>
        </is>
      </c>
    </row>
    <row r="156" ht="36" customHeight="1">
      <c r="A156" s="24" t="inlineStr">
        <is>
          <t>e067f2a5cf92454d</t>
        </is>
      </c>
      <c r="B156" s="24" t="inlineStr">
        <is>
          <t>2026-10-04T20:30:40.153482Z</t>
        </is>
      </c>
      <c r="C156" s="24" t="inlineStr">
        <is>
          <t>2026-10-05T05:00:00Z</t>
        </is>
      </c>
      <c r="D156" s="24" t="inlineStr">
        <is>
          <t>137788</t>
        </is>
      </c>
      <c r="E156" s="24" t="inlineStr">
        <is>
          <t>KBO</t>
        </is>
      </c>
      <c r="F156" s="24" t="inlineStr">
        <is>
          <t>Kiwoom Heroes</t>
        </is>
      </c>
      <c r="G156" s="24" t="inlineStr">
        <is>
          <t>Hanwha Eagles</t>
        </is>
      </c>
      <c r="H156" s="24" t="inlineStr">
        <is>
          <t>moneyline</t>
        </is>
      </c>
      <c r="I156" s="24" t="inlineStr">
        <is>
          <t>home</t>
        </is>
      </c>
      <c r="J156" s="25" t="n"/>
      <c r="K156" s="24" t="inlineStr">
        <is>
          <t>polymarket_us</t>
        </is>
      </c>
      <c r="L156" s="26" t="n">
        <v>-170</v>
      </c>
      <c r="M156" s="27" t="n">
        <v>1.588235</v>
      </c>
      <c r="N156" s="28" t="n">
        <v>0.62963</v>
      </c>
      <c r="O156" s="28" t="n">
        <v>0.503878</v>
      </c>
      <c r="P156" s="28" t="n"/>
      <c r="Q156" s="28" t="n">
        <v>-0.125752</v>
      </c>
      <c r="R156" s="26" t="n">
        <v>0</v>
      </c>
      <c r="S156" s="29" t="n">
        <v>1</v>
      </c>
      <c r="T156" s="24" t="inlineStr">
        <is>
          <t>kbo-tie-aware-elo-v2</t>
        </is>
      </c>
      <c r="U156" s="24" t="inlineStr">
        <is>
          <t>settled</t>
        </is>
      </c>
      <c r="V156" s="24" t="inlineStr">
        <is>
          <t>win</t>
        </is>
      </c>
      <c r="W156" s="26" t="n">
        <v>6</v>
      </c>
      <c r="X156" s="26" t="n">
        <v>13</v>
      </c>
      <c r="Y156" s="25" t="n"/>
      <c r="Z156" s="26" t="n"/>
      <c r="AA156" s="28" t="n"/>
      <c r="AB156" s="28" t="n"/>
      <c r="AC156" s="30" t="n">
        <v>0.5881999999999999</v>
      </c>
      <c r="AD156" s="24" t="inlineStr">
        <is>
          <t>2026-10-05T10:01:02.134879Z</t>
        </is>
      </c>
      <c r="AE156" s="31" t="inlineStr">
        <is>
          <t>Tie-aware Elo baseline; executable ask 0.6300 (market_slug=aec-kbo-hea-khi-2026-10-05). Tie probability=0.0227.</t>
        </is>
      </c>
      <c r="AF156" s="31" t="inlineStr">
        <is>
          <t>Config-promoted international baseball baseline; gates enforced at log time.</t>
        </is>
      </c>
      <c r="AG156" s="24" t="inlineStr">
        <is>
          <t>not_applicable</t>
        </is>
      </c>
      <c r="AH156" s="24" t="n"/>
      <c r="AI156" s="31" t="n"/>
      <c r="AJ156" s="31" t="n"/>
      <c r="AK156" s="24" t="inlineStr">
        <is>
          <t>paper_call</t>
        </is>
      </c>
      <c r="AL156" s="26" t="n">
        <v>4</v>
      </c>
      <c r="AM156" s="24" t="inlineStr">
        <is>
          <t>RESEARCH_OBSERVATION</t>
        </is>
      </c>
      <c r="AN156" s="24" t="inlineStr">
        <is>
          <t>CALL</t>
        </is>
      </c>
      <c r="AO156" s="24" t="inlineStr">
        <is>
          <t>PAPER_CALL_LOW_EDGE</t>
        </is>
      </c>
      <c r="AP156" s="24" t="inlineStr">
        <is>
          <t>Kiwoom Heroes</t>
        </is>
      </c>
      <c r="AQ156" s="24" t="inlineStr">
        <is>
          <t>Kiwoom Heroes</t>
        </is>
      </c>
      <c r="AR156" s="24" t="inlineStr">
        <is>
          <t>Kiwoom Heroes</t>
        </is>
      </c>
      <c r="AS156" s="24" t="inlineStr">
        <is>
          <t>Hanwha Eagles</t>
        </is>
      </c>
      <c r="AT156" s="24" t="inlineStr">
        <is>
          <t>Hanwha Eagles</t>
        </is>
      </c>
      <c r="AU156" s="24" t="inlineStr">
        <is>
          <t>Hanwha Eagles</t>
        </is>
      </c>
      <c r="AV156" s="24" t="n"/>
      <c r="AW156" s="24" t="n"/>
      <c r="AX156" s="24" t="inlineStr">
        <is>
          <t>statistical_model</t>
        </is>
      </c>
      <c r="AY156" s="24" t="n"/>
      <c r="AZ156" s="24" t="inlineStr">
        <is>
          <t>shadow_qualified</t>
        </is>
      </c>
      <c r="BA156" s="24" t="inlineStr">
        <is>
          <t>4f30694ae025d565dffd33abbc5b33041c90a41c597f15fc839c4d6565ec740a</t>
        </is>
      </c>
      <c r="BB156" s="24" t="inlineStr">
        <is>
          <t>tie_aware_elo</t>
        </is>
      </c>
      <c r="BC156" s="24" t="inlineStr">
        <is>
          <t>kbo-tie-aware-elo-v2</t>
        </is>
      </c>
      <c r="BD156" s="24" t="inlineStr">
        <is>
          <t>4f30694ae025d565dffd33abbc5b33041c90a41c597f15fc839c4d6565ec740a</t>
        </is>
      </c>
      <c r="BE156" s="24" t="inlineStr">
        <is>
          <t>1</t>
        </is>
      </c>
      <c r="BF156" s="24" t="inlineStr">
        <is>
          <t>1</t>
        </is>
      </c>
      <c r="BG156" s="24" t="inlineStr">
        <is>
          <t>kbo-tie-aware-elo-v2</t>
        </is>
      </c>
      <c r="BH156" s="24" t="inlineStr">
        <is>
          <t>2026-10-04T20:30:32.826532Z</t>
        </is>
      </c>
      <c r="BI156" s="24" t="inlineStr">
        <is>
          <t>["same_event","same_team_same_day","same_league_same_day"]</t>
        </is>
      </c>
      <c r="BJ156" s="25" t="n"/>
      <c r="BK156" s="26" t="n">
        <v>-170</v>
      </c>
      <c r="BL156" s="27" t="n">
        <v>1.588235</v>
      </c>
      <c r="BM156" s="28" t="n">
        <v>0.62963</v>
      </c>
      <c r="BN156" s="28" t="n"/>
      <c r="BO156" s="28" t="n"/>
      <c r="BP156" s="25" t="n"/>
      <c r="BQ156" s="27" t="n"/>
      <c r="BR156" s="28" t="n"/>
      <c r="BS156" s="28" t="n"/>
      <c r="BT156" s="28" t="n"/>
      <c r="BU156" s="25" t="n"/>
      <c r="BV156" s="29" t="n"/>
      <c r="BW156" s="24" t="n"/>
      <c r="BX156" s="30" t="n"/>
      <c r="BY156" s="27" t="n"/>
      <c r="BZ156" s="24" t="n"/>
      <c r="CA156" s="31" t="n"/>
      <c r="CB156" s="24" t="n"/>
      <c r="CC156" s="24" t="n"/>
      <c r="CD156" s="24" t="n"/>
      <c r="CE156" s="24" t="n"/>
      <c r="CF156" s="24" t="n"/>
      <c r="CG156" s="24" t="n"/>
      <c r="CH156" s="24" t="n"/>
      <c r="CI156" s="24" t="n"/>
      <c r="CJ156" s="24" t="n"/>
      <c r="CK156" s="24" t="n"/>
      <c r="CL156" s="24" t="n"/>
      <c r="CM156" s="24" t="n"/>
      <c r="CN156" s="24" t="n"/>
      <c r="CO156" s="24" t="n"/>
      <c r="CP156" s="24" t="n"/>
      <c r="CQ156" s="24" t="n"/>
      <c r="CR156" s="24" t="n"/>
      <c r="CS156" s="24" t="inlineStr">
        <is>
          <t>False</t>
        </is>
      </c>
      <c r="CT156" s="24" t="n"/>
      <c r="CU156" s="24" t="n"/>
      <c r="CV156" s="24" t="n"/>
      <c r="CW156" s="24" t="n"/>
      <c r="CX156" s="24" t="n"/>
      <c r="CY156" s="24" t="n"/>
      <c r="CZ156" s="24" t="n"/>
      <c r="DA156" s="24" t="n"/>
      <c r="DB156" s="24" t="n"/>
      <c r="DC156" s="24" t="n"/>
      <c r="DD156" s="24" t="n"/>
      <c r="DE156" s="24" t="n"/>
      <c r="DF156" s="24" t="n"/>
      <c r="DG156" s="24" t="n"/>
      <c r="DH156" s="24" t="n"/>
      <c r="DI156" s="24" t="n"/>
      <c r="DJ156" s="24" t="n"/>
      <c r="DK156" s="24" t="n"/>
      <c r="DL156" s="24" t="n"/>
      <c r="DM156" s="24" t="n"/>
      <c r="DN156" s="24" t="n"/>
      <c r="DO156" s="24" t="n"/>
      <c r="DP156" s="24" t="n"/>
      <c r="DQ156" s="24" t="inlineStr">
        <is>
          <t>{"artifact_hash": "4f30694ae025d565dffd33abbc5b33041c90a41c597f15fc839c4d6565ec740a", "away_team": "Kiwoom Heroes", "draw_settlement_value": 0.5, "event_id": "137788", "event_start_utc": "2026-10-05T05:00:00Z", "features": {"away_elo": 1446.403651, "base_tie_rate": 0.02265819, "home_advantage": 20.0, "home_elo": 1429.160621}, "historical_source_observation_times_verified": false, "home_team": "Hanwha Eagles", "inference_inputs": {"away_id": "KIWOOM", "base_tie_rate": 0.02265819, "book_state": {"_games_played": null, "_last_active": null, "decay_rate": 0.001, "home_advantage": 20.0, "k": 8.0, "margin_weight": 0.0, "ratings": {"HANWHA": 1429.160621, "KIWOOM": 1446.403651}}, "code_sha256": {"features/elo_ratings.py": "8525faf022a6343c452286dbfeb17dbb043744c6bdabbe448b6b371216da439b", "international_baseball.py": "f345eb917316d2e897f62c1cdd0f73153115c65da54c30c6137ad76bb7b27869"}, "home_id": "HANWHA", "tie_method": "flat"}, "market_type": "moneyline", "model_version": "kbo-tie-aware-elo-v2", "observed_at_utc": "2026-10-04T20:30:32.653696+00:00", "outcome_probabilities": {"away": 0.4847932862292278, "draw": 0.02265819, "home": 0.4925485237707722}, "replay_scope": "Exact Elo and tie model; logged value is expected contract settlement, not outright win probability.", "schema": "international-elo-replay-v1", "settlement_values": {"away": 0.496122, "home": 0.503878}, "snapshot_hash": "e7f0f93d2d371fb43f9f887f85478cadbc387eb09260efa55e20dc3f03be7bc6", "sport": "KBO"}</t>
        </is>
      </c>
    </row>
    <row r="157" ht="36" customHeight="1">
      <c r="A157" s="24" t="inlineStr">
        <is>
          <t>3b4d4f415ba44483</t>
        </is>
      </c>
      <c r="B157" s="24" t="inlineStr">
        <is>
          <t>2026-10-04T20:30:40.153482Z</t>
        </is>
      </c>
      <c r="C157" s="24" t="inlineStr">
        <is>
          <t>2026-10-05T05:00:00Z</t>
        </is>
      </c>
      <c r="D157" s="24" t="inlineStr">
        <is>
          <t>137790</t>
        </is>
      </c>
      <c r="E157" s="24" t="inlineStr">
        <is>
          <t>KBO</t>
        </is>
      </c>
      <c r="F157" s="24" t="inlineStr">
        <is>
          <t>Doosan Bears</t>
        </is>
      </c>
      <c r="G157" s="24" t="inlineStr">
        <is>
          <t>Samsung Lions</t>
        </is>
      </c>
      <c r="H157" s="24" t="inlineStr">
        <is>
          <t>moneyline</t>
        </is>
      </c>
      <c r="I157" s="24" t="inlineStr">
        <is>
          <t>home</t>
        </is>
      </c>
      <c r="J157" s="25" t="n"/>
      <c r="K157" s="24" t="inlineStr">
        <is>
          <t>polymarket_us</t>
        </is>
      </c>
      <c r="L157" s="26" t="n">
        <v>-133</v>
      </c>
      <c r="M157" s="27" t="n">
        <v>1.75188</v>
      </c>
      <c r="N157" s="28" t="n">
        <v>0.570815</v>
      </c>
      <c r="O157" s="28" t="n">
        <v>0.568232</v>
      </c>
      <c r="P157" s="28" t="n"/>
      <c r="Q157" s="28" t="n">
        <v>-0.002583</v>
      </c>
      <c r="R157" s="26" t="n">
        <v>19</v>
      </c>
      <c r="S157" s="29" t="n">
        <v>1</v>
      </c>
      <c r="T157" s="24" t="inlineStr">
        <is>
          <t>kbo-tie-aware-elo-v2</t>
        </is>
      </c>
      <c r="U157" s="24" t="inlineStr">
        <is>
          <t>settled</t>
        </is>
      </c>
      <c r="V157" s="24" t="inlineStr">
        <is>
          <t>loss</t>
        </is>
      </c>
      <c r="W157" s="26" t="n">
        <v>7</v>
      </c>
      <c r="X157" s="26" t="n">
        <v>5</v>
      </c>
      <c r="Y157" s="25" t="n"/>
      <c r="Z157" s="26" t="n"/>
      <c r="AA157" s="28" t="n"/>
      <c r="AB157" s="28" t="n"/>
      <c r="AC157" s="30" t="n">
        <v>-1</v>
      </c>
      <c r="AD157" s="24" t="inlineStr">
        <is>
          <t>2026-10-05T10:01:04.247287Z</t>
        </is>
      </c>
      <c r="AE157" s="31" t="inlineStr">
        <is>
          <t>Tie-aware Elo baseline; executable ask 0.5700 (market_slug=aec-kbo-sla-dbo-2026-10-05). Tie probability=0.0227.</t>
        </is>
      </c>
      <c r="AF157" s="31" t="inlineStr">
        <is>
          <t>Config-promoted international baseball baseline; gates enforced at log time.</t>
        </is>
      </c>
      <c r="AG157" s="24" t="inlineStr">
        <is>
          <t>review_required</t>
        </is>
      </c>
      <c r="AH157" s="24" t="n"/>
      <c r="AI157" s="31" t="n"/>
      <c r="AJ157" s="31" t="n"/>
      <c r="AK157" s="24" t="inlineStr">
        <is>
          <t>paper_call</t>
        </is>
      </c>
      <c r="AL157" s="26" t="n">
        <v>4</v>
      </c>
      <c r="AM157" s="24" t="inlineStr">
        <is>
          <t>RESEARCH_OBSERVATION</t>
        </is>
      </c>
      <c r="AN157" s="24" t="inlineStr">
        <is>
          <t>CALL</t>
        </is>
      </c>
      <c r="AO157" s="24" t="inlineStr">
        <is>
          <t>PAPER_CALL_LOW_EDGE</t>
        </is>
      </c>
      <c r="AP157" s="24" t="inlineStr">
        <is>
          <t>Doosan Bears</t>
        </is>
      </c>
      <c r="AQ157" s="24" t="inlineStr">
        <is>
          <t>Doosan Bears</t>
        </is>
      </c>
      <c r="AR157" s="24" t="inlineStr">
        <is>
          <t>Doosan Bears</t>
        </is>
      </c>
      <c r="AS157" s="24" t="inlineStr">
        <is>
          <t>Samsung Lions</t>
        </is>
      </c>
      <c r="AT157" s="24" t="inlineStr">
        <is>
          <t>Samsung Lions</t>
        </is>
      </c>
      <c r="AU157" s="24" t="inlineStr">
        <is>
          <t>Samsung Lions</t>
        </is>
      </c>
      <c r="AV157" s="24" t="n"/>
      <c r="AW157" s="24" t="n"/>
      <c r="AX157" s="24" t="inlineStr">
        <is>
          <t>statistical_model</t>
        </is>
      </c>
      <c r="AY157" s="24" t="n"/>
      <c r="AZ157" s="24" t="inlineStr">
        <is>
          <t>shadow_qualified</t>
        </is>
      </c>
      <c r="BA157" s="24" t="inlineStr">
        <is>
          <t>4f30694ae025d565dffd33abbc5b33041c90a41c597f15fc839c4d6565ec740a</t>
        </is>
      </c>
      <c r="BB157" s="24" t="inlineStr">
        <is>
          <t>tie_aware_elo</t>
        </is>
      </c>
      <c r="BC157" s="24" t="inlineStr">
        <is>
          <t>kbo-tie-aware-elo-v2</t>
        </is>
      </c>
      <c r="BD157" s="24" t="inlineStr">
        <is>
          <t>4f30694ae025d565dffd33abbc5b33041c90a41c597f15fc839c4d6565ec740a</t>
        </is>
      </c>
      <c r="BE157" s="24" t="inlineStr">
        <is>
          <t>1</t>
        </is>
      </c>
      <c r="BF157" s="24" t="inlineStr">
        <is>
          <t>1</t>
        </is>
      </c>
      <c r="BG157" s="24" t="inlineStr">
        <is>
          <t>kbo-tie-aware-elo-v2</t>
        </is>
      </c>
      <c r="BH157" s="24" t="inlineStr">
        <is>
          <t>2026-10-04T20:30:32.893698Z</t>
        </is>
      </c>
      <c r="BI157" s="24" t="inlineStr">
        <is>
          <t>["same_event","same_team_same_day","same_league_same_day"]</t>
        </is>
      </c>
      <c r="BJ157" s="25" t="n"/>
      <c r="BK157" s="26" t="n">
        <v>-133</v>
      </c>
      <c r="BL157" s="27" t="n">
        <v>1.75188</v>
      </c>
      <c r="BM157" s="28" t="n">
        <v>0.570815</v>
      </c>
      <c r="BN157" s="28" t="n"/>
      <c r="BO157" s="28" t="n"/>
      <c r="BP157" s="25" t="n"/>
      <c r="BQ157" s="27" t="n"/>
      <c r="BR157" s="28" t="n"/>
      <c r="BS157" s="28" t="n"/>
      <c r="BT157" s="28" t="n"/>
      <c r="BU157" s="25" t="n"/>
      <c r="BV157" s="29" t="n"/>
      <c r="BW157" s="24" t="n"/>
      <c r="BX157" s="30" t="n"/>
      <c r="BY157" s="27" t="n"/>
      <c r="BZ157" s="24" t="n"/>
      <c r="CA157" s="31" t="n"/>
      <c r="CB157" s="24" t="n"/>
      <c r="CC157" s="24" t="n"/>
      <c r="CD157" s="24" t="n"/>
      <c r="CE157" s="24" t="n"/>
      <c r="CF157" s="24" t="n"/>
      <c r="CG157" s="24" t="n"/>
      <c r="CH157" s="24" t="n"/>
      <c r="CI157" s="24" t="n"/>
      <c r="CJ157" s="24" t="n"/>
      <c r="CK157" s="24" t="n"/>
      <c r="CL157" s="24" t="n"/>
      <c r="CM157" s="24" t="n"/>
      <c r="CN157" s="24" t="n"/>
      <c r="CO157" s="24" t="n"/>
      <c r="CP157" s="24" t="n"/>
      <c r="CQ157" s="24" t="n"/>
      <c r="CR157" s="24" t="n"/>
      <c r="CS157" s="24" t="inlineStr">
        <is>
          <t>False</t>
        </is>
      </c>
      <c r="CT157" s="24" t="n"/>
      <c r="CU157" s="24" t="n"/>
      <c r="CV157" s="24" t="n"/>
      <c r="CW157" s="24" t="n"/>
      <c r="CX157" s="24" t="n"/>
      <c r="CY157" s="24" t="n"/>
      <c r="CZ157" s="24" t="n"/>
      <c r="DA157" s="24" t="n"/>
      <c r="DB157" s="24" t="n"/>
      <c r="DC157" s="24" t="n"/>
      <c r="DD157" s="24" t="n"/>
      <c r="DE157" s="24" t="n"/>
      <c r="DF157" s="24" t="n"/>
      <c r="DG157" s="24" t="n"/>
      <c r="DH157" s="24" t="n"/>
      <c r="DI157" s="24" t="n"/>
      <c r="DJ157" s="24" t="n"/>
      <c r="DK157" s="24" t="n"/>
      <c r="DL157" s="24" t="n"/>
      <c r="DM157" s="24" t="n"/>
      <c r="DN157" s="24" t="n"/>
      <c r="DO157" s="24" t="n"/>
      <c r="DP157" s="24" t="n"/>
      <c r="DQ157" s="24" t="inlineStr">
        <is>
          <t>{"artifact_hash": "4f30694ae025d565dffd33abbc5b33041c90a41c597f15fc839c4d6565ec740a", "away_team": "Doosan Bears", "draw_settlement_value": 0.5, "event_id": "137790", "event_start_utc": "2026-10-05T05:00:00Z", "features": {"away_elo": 1515.628057, "base_tie_rate": 0.02265819, "home_advantage": 20.0, "home_elo": 1544.458483}, "historical_source_observation_times_verified": false, "home_team": "Samsung Lions", "inference_inputs": {"away_id": "DOOSAN", "base_tie_rate": 0.02265819, "book_state": {"_games_played": null, "_last_active": null, "decay_rate": 0.001, "home_advantage": 20.0, "k": 8.0, "margin_weight": 0.0, "ratings": {"DOOSAN": 1515.628057, "SAMSUNG": 1544.458483}}, "code_sha256": {"features/elo_ratings.py": "8525faf022a6343c452286dbfeb17dbb043744c6bdabbe448b6b371216da439b", "international_baseball.py": "f345eb917316d2e897f62c1cdd0f73153115c65da54c30c6137ad76bb7b27869"}, "home_id": "SAMSUNG", "tie_method": "flat"}, "market_type": "moneyline", "model_version": "kbo-tie-aware-elo-v2", "observed_at_utc": "2026-10-04T20:30:32.653696+00:00", "outcome_probabilities": {"away": 0.42043919295125176, "draw": 0.02265819, "home": 0.5569026170487482}, "replay_scope": "Exact Elo and tie model; logged value is expected contract settlement, not outright win probability.", "schema": "international-elo-replay-v1", "settlement_values": {"away": 0.431768, "home": 0.568232}, "snapshot_hash": "47f7481fce736d7182979fd2902d5f5a9cf30fdcf67996d9861b580e4969e539", "sport": "KBO"}</t>
        </is>
      </c>
    </row>
    <row r="158" ht="36" customHeight="1">
      <c r="A158" s="24" t="inlineStr">
        <is>
          <t>87d37f97eb784d30</t>
        </is>
      </c>
      <c r="B158" s="24" t="inlineStr">
        <is>
          <t>2026-10-05T22:24:42.186342Z</t>
        </is>
      </c>
      <c r="C158" s="24" t="inlineStr">
        <is>
          <t>2026-10-06T09:30:00Z</t>
        </is>
      </c>
      <c r="D158" s="24" t="inlineStr">
        <is>
          <t>139678</t>
        </is>
      </c>
      <c r="E158" s="24" t="inlineStr">
        <is>
          <t>KBO</t>
        </is>
      </c>
      <c r="F158" s="24" t="inlineStr">
        <is>
          <t>NC Dinos</t>
        </is>
      </c>
      <c r="G158" s="24" t="inlineStr">
        <is>
          <t>LG Twins</t>
        </is>
      </c>
      <c r="H158" s="24" t="inlineStr">
        <is>
          <t>moneyline</t>
        </is>
      </c>
      <c r="I158" s="24" t="inlineStr">
        <is>
          <t>home</t>
        </is>
      </c>
      <c r="J158" s="25" t="n"/>
      <c r="K158" s="24" t="inlineStr">
        <is>
          <t>polymarket_us</t>
        </is>
      </c>
      <c r="L158" s="26" t="n">
        <v>-150</v>
      </c>
      <c r="M158" s="27" t="n">
        <v>1.666667</v>
      </c>
      <c r="N158" s="28" t="n">
        <v>0.6</v>
      </c>
      <c r="O158" s="28" t="n">
        <v>0.568835</v>
      </c>
      <c r="P158" s="28" t="n"/>
      <c r="Q158" s="28" t="n">
        <v>-0.031165</v>
      </c>
      <c r="R158" s="26" t="n">
        <v>4</v>
      </c>
      <c r="S158" s="29" t="n">
        <v>1</v>
      </c>
      <c r="T158" s="24" t="inlineStr">
        <is>
          <t>kbo-tie-aware-elo-v2</t>
        </is>
      </c>
      <c r="U158" s="24" t="inlineStr">
        <is>
          <t>settled</t>
        </is>
      </c>
      <c r="V158" s="24" t="inlineStr">
        <is>
          <t>win</t>
        </is>
      </c>
      <c r="W158" s="26" t="n">
        <v>1</v>
      </c>
      <c r="X158" s="26" t="n">
        <v>6</v>
      </c>
      <c r="Y158" s="25" t="n"/>
      <c r="Z158" s="26" t="n"/>
      <c r="AA158" s="28" t="n"/>
      <c r="AB158" s="28" t="n"/>
      <c r="AC158" s="30" t="n">
        <v>0.6667</v>
      </c>
      <c r="AD158" s="24" t="inlineStr">
        <is>
          <t>2026-10-06T16:03:38.491687Z</t>
        </is>
      </c>
      <c r="AE158" s="31" t="inlineStr">
        <is>
          <t>Tie-aware Elo baseline; executable ask 0.6000 (market_slug=aec-kbo-ltg-ndc-2026-10-06). Tie probability=0.0226.</t>
        </is>
      </c>
      <c r="AF158" s="31" t="inlineStr">
        <is>
          <t>Config-promoted international baseball baseline; gates enforced at log time.</t>
        </is>
      </c>
      <c r="AG158" s="24" t="inlineStr">
        <is>
          <t>not_applicable</t>
        </is>
      </c>
      <c r="AH158" s="24" t="n"/>
      <c r="AI158" s="31" t="n"/>
      <c r="AJ158" s="31" t="n"/>
      <c r="AK158" s="24" t="inlineStr">
        <is>
          <t>paper_call</t>
        </is>
      </c>
      <c r="AL158" s="26" t="n">
        <v>4</v>
      </c>
      <c r="AM158" s="24" t="inlineStr">
        <is>
          <t>RESEARCH_OBSERVATION</t>
        </is>
      </c>
      <c r="AN158" s="24" t="inlineStr">
        <is>
          <t>CALL</t>
        </is>
      </c>
      <c r="AO158" s="24" t="inlineStr">
        <is>
          <t>PAPER_CALL_LOW_EDGE</t>
        </is>
      </c>
      <c r="AP158" s="24" t="inlineStr">
        <is>
          <t>NC Dinos</t>
        </is>
      </c>
      <c r="AQ158" s="24" t="inlineStr">
        <is>
          <t>NC Dinos</t>
        </is>
      </c>
      <c r="AR158" s="24" t="inlineStr">
        <is>
          <t>NC Dinos</t>
        </is>
      </c>
      <c r="AS158" s="24" t="inlineStr">
        <is>
          <t>LG Twins</t>
        </is>
      </c>
      <c r="AT158" s="24" t="inlineStr">
        <is>
          <t>LG Twins</t>
        </is>
      </c>
      <c r="AU158" s="24" t="inlineStr">
        <is>
          <t>LG Twins</t>
        </is>
      </c>
      <c r="AV158" s="24" t="n"/>
      <c r="AW158" s="24" t="n"/>
      <c r="AX158" s="24" t="inlineStr">
        <is>
          <t>statistical_model</t>
        </is>
      </c>
      <c r="AY158" s="24" t="n"/>
      <c r="AZ158" s="24" t="inlineStr">
        <is>
          <t>shadow_qualified</t>
        </is>
      </c>
      <c r="BA158" s="24" t="inlineStr">
        <is>
          <t>0dd792fffd961e45ddd63fd522512e2d0c1ffa39a64eb8426f75aabc4a5ca075</t>
        </is>
      </c>
      <c r="BB158" s="24" t="inlineStr">
        <is>
          <t>tie_aware_elo</t>
        </is>
      </c>
      <c r="BC158" s="24" t="inlineStr">
        <is>
          <t>kbo-tie-aware-elo-v2</t>
        </is>
      </c>
      <c r="BD158" s="24" t="inlineStr">
        <is>
          <t>0dd792fffd961e45ddd63fd522512e2d0c1ffa39a64eb8426f75aabc4a5ca075</t>
        </is>
      </c>
      <c r="BE158" s="24" t="inlineStr">
        <is>
          <t>1</t>
        </is>
      </c>
      <c r="BF158" s="24" t="inlineStr">
        <is>
          <t>1</t>
        </is>
      </c>
      <c r="BG158" s="24" t="inlineStr">
        <is>
          <t>kbo-tie-aware-elo-v2</t>
        </is>
      </c>
      <c r="BH158" s="24" t="inlineStr">
        <is>
          <t>2026-10-05T22:24:21.723591Z</t>
        </is>
      </c>
      <c r="BI158" s="24" t="inlineStr">
        <is>
          <t>["same_event","same_team_same_day","same_league_same_day"]</t>
        </is>
      </c>
      <c r="BJ158" s="25" t="n"/>
      <c r="BK158" s="26" t="n">
        <v>-150</v>
      </c>
      <c r="BL158" s="27" t="n">
        <v>1.666667</v>
      </c>
      <c r="BM158" s="28" t="n">
        <v>0.6</v>
      </c>
      <c r="BN158" s="28" t="n"/>
      <c r="BO158" s="28" t="n"/>
      <c r="BP158" s="25" t="n"/>
      <c r="BQ158" s="27" t="n"/>
      <c r="BR158" s="28" t="n"/>
      <c r="BS158" s="28" t="n"/>
      <c r="BT158" s="28" t="n"/>
      <c r="BU158" s="25" t="n"/>
      <c r="BV158" s="29" t="n"/>
      <c r="BW158" s="24" t="n"/>
      <c r="BX158" s="30" t="n"/>
      <c r="BY158" s="27" t="n"/>
      <c r="BZ158" s="24" t="n"/>
      <c r="CA158" s="31" t="n"/>
      <c r="CB158" s="24" t="n"/>
      <c r="CC158" s="24" t="n"/>
      <c r="CD158" s="24" t="n"/>
      <c r="CE158" s="24" t="n"/>
      <c r="CF158" s="24" t="n"/>
      <c r="CG158" s="24" t="n"/>
      <c r="CH158" s="24" t="n"/>
      <c r="CI158" s="24" t="n"/>
      <c r="CJ158" s="24" t="n"/>
      <c r="CK158" s="24" t="n"/>
      <c r="CL158" s="24" t="n"/>
      <c r="CM158" s="24" t="n"/>
      <c r="CN158" s="24" t="n"/>
      <c r="CO158" s="24" t="n"/>
      <c r="CP158" s="24" t="n"/>
      <c r="CQ158" s="24" t="n"/>
      <c r="CR158" s="24" t="n"/>
      <c r="CS158" s="24" t="inlineStr">
        <is>
          <t>False</t>
        </is>
      </c>
      <c r="CT158" s="24" t="n"/>
      <c r="CU158" s="24" t="n"/>
      <c r="CV158" s="24" t="n"/>
      <c r="CW158" s="24" t="n"/>
      <c r="CX158" s="24" t="n"/>
      <c r="CY158" s="24" t="n"/>
      <c r="CZ158" s="24" t="n"/>
      <c r="DA158" s="24" t="n"/>
      <c r="DB158" s="24" t="n"/>
      <c r="DC158" s="24" t="n"/>
      <c r="DD158" s="24" t="n"/>
      <c r="DE158" s="24" t="n"/>
      <c r="DF158" s="24" t="n"/>
      <c r="DG158" s="24" t="n"/>
      <c r="DH158" s="24" t="n"/>
      <c r="DI158" s="24" t="n"/>
      <c r="DJ158" s="24" t="n"/>
      <c r="DK158" s="24" t="n"/>
      <c r="DL158" s="24" t="n"/>
      <c r="DM158" s="24" t="n"/>
      <c r="DN158" s="24" t="n"/>
      <c r="DO158" s="24" t="n"/>
      <c r="DP158" s="24" t="n"/>
      <c r="DQ158" s="24" t="inlineStr">
        <is>
          <t>{"artifact_hash": "0dd792fffd961e45ddd63fd522512e2d0c1ffa39a64eb8426f75aabc4a5ca075", "away_team": "NC Dinos", "draw_settlement_value": 0.5, "event_id": "139678", "event_start_utc": "2026-10-06T09:30:00Z", "features": {"away_elo": 1474.097927, "base_tie_rate": 0.02264255, "home_advantage": 20.0, "home_elo": 1503.364974}, "historical_source_observation_times_verified": false, "home_team": "LG Twins", "inference_inputs": {"away_id": "NC", "base_tie_rate": 0.02264255, "book_state": {"_games_played": null, "_last_active": null, "decay_rate": 0.001, "home_advantage": 20.0, "k": 8.0, "margin_weight": 0.0, "ratings": {"LG": 1503.364974, "NC": 1474.097927}}, "code_sha256": {"features/elo_ratings.py": "8525faf022a6343c452286dbfeb17dbb043744c6bdabbe448b6b371216da439b", "international_baseball.py": "f345eb917316d2e897f62c1cdd0f73153115c65da54c30c6137ad76bb7b27869"}, "home_id": "LG", "tie_method": "flat"}, "market_type": "moneyline", "model_version": "kbo-tie-aware-elo-v2", "observed_at_utc": "2026-10-05T22:24:21.667230+00:00", "outcome_probabilities": {"away": 0.41984387903276704, "draw": 0.02264255, "home": 0.5575135709672329}, "replay_scope": "Exact Elo and tie model; logged value is expected contract settlement, not outright win probability.", "schema": "international-elo-replay-v1", "settlement_values": {"away": 0.431165, "home": 0.568835}, "snapshot_hash": "9bcaf068d5404d62c71fae1a5912a4bf886ff2fdad86a965b200d36f629d6d11", "sport": "KBO"}</t>
        </is>
      </c>
    </row>
    <row r="159" ht="36" customHeight="1">
      <c r="A159" s="24" t="inlineStr">
        <is>
          <t>98c5ab3e42c547a5</t>
        </is>
      </c>
      <c r="B159" s="24" t="inlineStr">
        <is>
          <t>2026-10-05T22:24:42.186342Z</t>
        </is>
      </c>
      <c r="C159" s="24" t="inlineStr">
        <is>
          <t>2026-10-06T09:30:00Z</t>
        </is>
      </c>
      <c r="D159" s="24" t="inlineStr">
        <is>
          <t>139679</t>
        </is>
      </c>
      <c r="E159" s="24" t="inlineStr">
        <is>
          <t>KBO</t>
        </is>
      </c>
      <c r="F159" s="24" t="inlineStr">
        <is>
          <t>Doosan Bears</t>
        </is>
      </c>
      <c r="G159" s="24" t="inlineStr">
        <is>
          <t>Lotte Giants</t>
        </is>
      </c>
      <c r="H159" s="24" t="inlineStr">
        <is>
          <t>moneyline</t>
        </is>
      </c>
      <c r="I159" s="24" t="inlineStr">
        <is>
          <t>away</t>
        </is>
      </c>
      <c r="J159" s="25" t="n"/>
      <c r="K159" s="24" t="inlineStr">
        <is>
          <t>polymarket_us</t>
        </is>
      </c>
      <c r="L159" s="26" t="n">
        <v>-170</v>
      </c>
      <c r="M159" s="27" t="n">
        <v>1.588235</v>
      </c>
      <c r="N159" s="28" t="n">
        <v>0.62963</v>
      </c>
      <c r="O159" s="28" t="n">
        <v>0.518979</v>
      </c>
      <c r="P159" s="28" t="n"/>
      <c r="Q159" s="28" t="n">
        <v>-0.110651</v>
      </c>
      <c r="R159" s="26" t="n">
        <v>0</v>
      </c>
      <c r="S159" s="29" t="n">
        <v>1</v>
      </c>
      <c r="T159" s="24" t="inlineStr">
        <is>
          <t>kbo-tie-aware-elo-v2</t>
        </is>
      </c>
      <c r="U159" s="24" t="inlineStr">
        <is>
          <t>settled</t>
        </is>
      </c>
      <c r="V159" s="24" t="inlineStr">
        <is>
          <t>win</t>
        </is>
      </c>
      <c r="W159" s="26" t="n">
        <v>3</v>
      </c>
      <c r="X159" s="26" t="n">
        <v>1</v>
      </c>
      <c r="Y159" s="25" t="n"/>
      <c r="Z159" s="26" t="n"/>
      <c r="AA159" s="28" t="n"/>
      <c r="AB159" s="28" t="n"/>
      <c r="AC159" s="30" t="n">
        <v>0.5881999999999999</v>
      </c>
      <c r="AD159" s="24" t="inlineStr">
        <is>
          <t>2026-10-06T16:03:40.849516Z</t>
        </is>
      </c>
      <c r="AE159" s="31" t="inlineStr">
        <is>
          <t>Tie-aware Elo baseline; executable ask 0.6300 (market_slug=aec-kbo-lgo-dbo-2026-10-06). Tie probability=0.0226.</t>
        </is>
      </c>
      <c r="AF159" s="31" t="inlineStr">
        <is>
          <t>Config-promoted international baseball baseline; gates enforced at log time.</t>
        </is>
      </c>
      <c r="AG159" s="24" t="inlineStr">
        <is>
          <t>not_applicable</t>
        </is>
      </c>
      <c r="AH159" s="24" t="n"/>
      <c r="AI159" s="31" t="n"/>
      <c r="AJ159" s="31" t="n"/>
      <c r="AK159" s="24" t="inlineStr">
        <is>
          <t>paper_call</t>
        </is>
      </c>
      <c r="AL159" s="26" t="n">
        <v>4</v>
      </c>
      <c r="AM159" s="24" t="inlineStr">
        <is>
          <t>RESEARCH_OBSERVATION</t>
        </is>
      </c>
      <c r="AN159" s="24" t="inlineStr">
        <is>
          <t>CALL</t>
        </is>
      </c>
      <c r="AO159" s="24" t="inlineStr">
        <is>
          <t>PAPER_CALL_LOW_EDGE</t>
        </is>
      </c>
      <c r="AP159" s="24" t="inlineStr">
        <is>
          <t>Doosan Bears</t>
        </is>
      </c>
      <c r="AQ159" s="24" t="inlineStr">
        <is>
          <t>Doosan Bears</t>
        </is>
      </c>
      <c r="AR159" s="24" t="inlineStr">
        <is>
          <t>Doosan Bears</t>
        </is>
      </c>
      <c r="AS159" s="24" t="inlineStr">
        <is>
          <t>Lotte Giants</t>
        </is>
      </c>
      <c r="AT159" s="24" t="inlineStr">
        <is>
          <t>Lotte Giants</t>
        </is>
      </c>
      <c r="AU159" s="24" t="inlineStr">
        <is>
          <t>Lotte Giants</t>
        </is>
      </c>
      <c r="AV159" s="24" t="n"/>
      <c r="AW159" s="24" t="n"/>
      <c r="AX159" s="24" t="inlineStr">
        <is>
          <t>statistical_model</t>
        </is>
      </c>
      <c r="AY159" s="24" t="n"/>
      <c r="AZ159" s="24" t="inlineStr">
        <is>
          <t>shadow_qualified</t>
        </is>
      </c>
      <c r="BA159" s="24" t="inlineStr">
        <is>
          <t>0dd792fffd961e45ddd63fd522512e2d0c1ffa39a64eb8426f75aabc4a5ca075</t>
        </is>
      </c>
      <c r="BB159" s="24" t="inlineStr">
        <is>
          <t>tie_aware_elo</t>
        </is>
      </c>
      <c r="BC159" s="24" t="inlineStr">
        <is>
          <t>kbo-tie-aware-elo-v2</t>
        </is>
      </c>
      <c r="BD159" s="24" t="inlineStr">
        <is>
          <t>0dd792fffd961e45ddd63fd522512e2d0c1ffa39a64eb8426f75aabc4a5ca075</t>
        </is>
      </c>
      <c r="BE159" s="24" t="inlineStr">
        <is>
          <t>1</t>
        </is>
      </c>
      <c r="BF159" s="24" t="inlineStr">
        <is>
          <t>1</t>
        </is>
      </c>
      <c r="BG159" s="24" t="inlineStr">
        <is>
          <t>kbo-tie-aware-elo-v2</t>
        </is>
      </c>
      <c r="BH159" s="24" t="inlineStr">
        <is>
          <t>2026-10-05T22:24:21.781359Z</t>
        </is>
      </c>
      <c r="BI159" s="24" t="inlineStr">
        <is>
          <t>["same_event","same_team_same_day","same_league_same_day"]</t>
        </is>
      </c>
      <c r="BJ159" s="25" t="n"/>
      <c r="BK159" s="26" t="n">
        <v>-170</v>
      </c>
      <c r="BL159" s="27" t="n">
        <v>1.588235</v>
      </c>
      <c r="BM159" s="28" t="n">
        <v>0.62963</v>
      </c>
      <c r="BN159" s="28" t="n"/>
      <c r="BO159" s="28" t="n"/>
      <c r="BP159" s="25" t="n"/>
      <c r="BQ159" s="27" t="n"/>
      <c r="BR159" s="28" t="n"/>
      <c r="BS159" s="28" t="n"/>
      <c r="BT159" s="28" t="n"/>
      <c r="BU159" s="25" t="n"/>
      <c r="BV159" s="29" t="n"/>
      <c r="BW159" s="24" t="n"/>
      <c r="BX159" s="30" t="n"/>
      <c r="BY159" s="27" t="n"/>
      <c r="BZ159" s="24" t="n"/>
      <c r="CA159" s="31" t="n"/>
      <c r="CB159" s="24" t="n"/>
      <c r="CC159" s="24" t="n"/>
      <c r="CD159" s="24" t="n"/>
      <c r="CE159" s="24" t="n"/>
      <c r="CF159" s="24" t="n"/>
      <c r="CG159" s="24" t="n"/>
      <c r="CH159" s="24" t="n"/>
      <c r="CI159" s="24" t="n"/>
      <c r="CJ159" s="24" t="n"/>
      <c r="CK159" s="24" t="n"/>
      <c r="CL159" s="24" t="n"/>
      <c r="CM159" s="24" t="n"/>
      <c r="CN159" s="24" t="n"/>
      <c r="CO159" s="24" t="n"/>
      <c r="CP159" s="24" t="n"/>
      <c r="CQ159" s="24" t="n"/>
      <c r="CR159" s="24" t="n"/>
      <c r="CS159" s="24" t="inlineStr">
        <is>
          <t>False</t>
        </is>
      </c>
      <c r="CT159" s="24" t="n"/>
      <c r="CU159" s="24" t="n"/>
      <c r="CV159" s="24" t="n"/>
      <c r="CW159" s="24" t="n"/>
      <c r="CX159" s="24" t="n"/>
      <c r="CY159" s="24" t="n"/>
      <c r="CZ159" s="24" t="n"/>
      <c r="DA159" s="24" t="n"/>
      <c r="DB159" s="24" t="n"/>
      <c r="DC159" s="24" t="n"/>
      <c r="DD159" s="24" t="n"/>
      <c r="DE159" s="24" t="n"/>
      <c r="DF159" s="24" t="n"/>
      <c r="DG159" s="24" t="n"/>
      <c r="DH159" s="24" t="n"/>
      <c r="DI159" s="24" t="n"/>
      <c r="DJ159" s="24" t="n"/>
      <c r="DK159" s="24" t="n"/>
      <c r="DL159" s="24" t="n"/>
      <c r="DM159" s="24" t="n"/>
      <c r="DN159" s="24" t="n"/>
      <c r="DO159" s="24" t="n"/>
      <c r="DP159" s="24" t="n"/>
      <c r="DQ159" s="24" t="inlineStr">
        <is>
          <t>{"artifact_hash": "0dd792fffd961e45ddd63fd522512e2d0c1ffa39a64eb8426f75aabc4a5ca075", "away_team": "Doosan Bears", "draw_settlement_value": 0.5, "event_id": "139679", "event_start_utc": "2026-10-06T09:30:00Z", "features": {"away_elo": 1520.139728, "base_tie_rate": 0.02264255, "home_advantage": 20.0, "home_elo": 1486.639181}, "historical_source_observation_times_verified": false, "home_team": "Lotte Giants", "inference_inputs": {"away_id": "DOOSAN", "base_tie_rate": 0.02264255, "book_state": {"_games_played": null, "_last_active": null, "decay_rate": 0.001, "home_advantage": 20.0, "k": 8.0, "margin_weight": 0.0, "ratings": {"DOOSAN": 1520.139728, "LOTTE": 1486.639181}}, "code_sha256": {"features/elo_ratings.py": "8525faf022a6343c452286dbfeb17dbb043744c6bdabbe448b6b371216da439b", "international_baseball.py": "f345eb917316d2e897f62c1cdd0f73153115c65da54c30c6137ad76bb7b27869"}, "home_id": "LOTTE", "tie_method": "flat"}, "market_type": "moneyline", "model_version": "kbo-tie-aware-elo-v2", "observed_at_utc": "2026-10-05T22:24:21.667230+00:00", "outcome_probabilities": {"away": 0.5076581037446023, "draw": 0.02264255, "home": 0.46969934625539767}, "replay_scope": "Exact Elo and tie model; logged value is expected contract settlement, not outright win probability.", "schema": "international-elo-replay-v1", "settlement_values": {"away": 0.518979, "home": 0.481021}, "snapshot_hash": "7b4ba520f3a5f00a769d01500004eb1c80afe3e9a0988e7c962fd2267f8d0da9", "sport": "KBO"}</t>
        </is>
      </c>
    </row>
    <row r="160" ht="36" customHeight="1">
      <c r="A160" s="24" t="inlineStr">
        <is>
          <t>dff53f436b544e78</t>
        </is>
      </c>
      <c r="B160" s="24" t="inlineStr">
        <is>
          <t>2026-10-05T22:24:42.186342Z</t>
        </is>
      </c>
      <c r="C160" s="24" t="inlineStr">
        <is>
          <t>2026-10-06T09:30:00Z</t>
        </is>
      </c>
      <c r="D160" s="24" t="inlineStr">
        <is>
          <t>139680</t>
        </is>
      </c>
      <c r="E160" s="24" t="inlineStr">
        <is>
          <t>KBO</t>
        </is>
      </c>
      <c r="F160" s="24" t="inlineStr">
        <is>
          <t>Samsung Lions</t>
        </is>
      </c>
      <c r="G160" s="24" t="inlineStr">
        <is>
          <t>Kia Tigers</t>
        </is>
      </c>
      <c r="H160" s="24" t="inlineStr">
        <is>
          <t>moneyline</t>
        </is>
      </c>
      <c r="I160" s="24" t="inlineStr">
        <is>
          <t>home</t>
        </is>
      </c>
      <c r="J160" s="25" t="n"/>
      <c r="K160" s="24" t="inlineStr">
        <is>
          <t>polymarket_us</t>
        </is>
      </c>
      <c r="L160" s="26" t="n">
        <v>-133</v>
      </c>
      <c r="M160" s="27" t="n">
        <v>1.75188</v>
      </c>
      <c r="N160" s="28" t="n">
        <v>0.570815</v>
      </c>
      <c r="O160" s="28" t="n">
        <v>0.5124379999999999</v>
      </c>
      <c r="P160" s="28" t="n"/>
      <c r="Q160" s="28" t="n">
        <v>-0.058377</v>
      </c>
      <c r="R160" s="26" t="n">
        <v>0</v>
      </c>
      <c r="S160" s="29" t="n">
        <v>1</v>
      </c>
      <c r="T160" s="24" t="inlineStr">
        <is>
          <t>kbo-tie-aware-elo-v2</t>
        </is>
      </c>
      <c r="U160" s="24" t="inlineStr">
        <is>
          <t>settled</t>
        </is>
      </c>
      <c r="V160" s="24" t="inlineStr">
        <is>
          <t>loss</t>
        </is>
      </c>
      <c r="W160" s="26" t="n">
        <v>5</v>
      </c>
      <c r="X160" s="26" t="n">
        <v>4</v>
      </c>
      <c r="Y160" s="25" t="n"/>
      <c r="Z160" s="26" t="n"/>
      <c r="AA160" s="28" t="n"/>
      <c r="AB160" s="28" t="n"/>
      <c r="AC160" s="30" t="n">
        <v>-1</v>
      </c>
      <c r="AD160" s="24" t="inlineStr">
        <is>
          <t>2026-10-06T16:03:43.336826Z</t>
        </is>
      </c>
      <c r="AE160" s="31" t="inlineStr">
        <is>
          <t>Tie-aware Elo baseline; executable ask 0.5700 (market_slug=aec-kbo-kti-sla-2026-10-06). Tie probability=0.0226.</t>
        </is>
      </c>
      <c r="AF160" s="31" t="inlineStr">
        <is>
          <t>Config-promoted international baseball baseline; gates enforced at log time.</t>
        </is>
      </c>
      <c r="AG160" s="24" t="inlineStr">
        <is>
          <t>review_required</t>
        </is>
      </c>
      <c r="AH160" s="24" t="n"/>
      <c r="AI160" s="31" t="n"/>
      <c r="AJ160" s="31" t="n"/>
      <c r="AK160" s="24" t="inlineStr">
        <is>
          <t>paper_call</t>
        </is>
      </c>
      <c r="AL160" s="26" t="n">
        <v>4</v>
      </c>
      <c r="AM160" s="24" t="inlineStr">
        <is>
          <t>RESEARCH_OBSERVATION</t>
        </is>
      </c>
      <c r="AN160" s="24" t="inlineStr">
        <is>
          <t>CALL</t>
        </is>
      </c>
      <c r="AO160" s="24" t="inlineStr">
        <is>
          <t>PAPER_CALL_LOW_EDGE</t>
        </is>
      </c>
      <c r="AP160" s="24" t="inlineStr">
        <is>
          <t>Samsung Lions</t>
        </is>
      </c>
      <c r="AQ160" s="24" t="inlineStr">
        <is>
          <t>Samsung Lions</t>
        </is>
      </c>
      <c r="AR160" s="24" t="inlineStr">
        <is>
          <t>Samsung Lions</t>
        </is>
      </c>
      <c r="AS160" s="24" t="inlineStr">
        <is>
          <t>Kia Tigers</t>
        </is>
      </c>
      <c r="AT160" s="24" t="inlineStr">
        <is>
          <t>Kia Tigers</t>
        </is>
      </c>
      <c r="AU160" s="24" t="inlineStr">
        <is>
          <t>Kia Tigers</t>
        </is>
      </c>
      <c r="AV160" s="24" t="n"/>
      <c r="AW160" s="24" t="n"/>
      <c r="AX160" s="24" t="inlineStr">
        <is>
          <t>statistical_model</t>
        </is>
      </c>
      <c r="AY160" s="24" t="n"/>
      <c r="AZ160" s="24" t="inlineStr">
        <is>
          <t>shadow_qualified</t>
        </is>
      </c>
      <c r="BA160" s="24" t="inlineStr">
        <is>
          <t>0dd792fffd961e45ddd63fd522512e2d0c1ffa39a64eb8426f75aabc4a5ca075</t>
        </is>
      </c>
      <c r="BB160" s="24" t="inlineStr">
        <is>
          <t>tie_aware_elo</t>
        </is>
      </c>
      <c r="BC160" s="24" t="inlineStr">
        <is>
          <t>kbo-tie-aware-elo-v2</t>
        </is>
      </c>
      <c r="BD160" s="24" t="inlineStr">
        <is>
          <t>0dd792fffd961e45ddd63fd522512e2d0c1ffa39a64eb8426f75aabc4a5ca075</t>
        </is>
      </c>
      <c r="BE160" s="24" t="inlineStr">
        <is>
          <t>1</t>
        </is>
      </c>
      <c r="BF160" s="24" t="inlineStr">
        <is>
          <t>1</t>
        </is>
      </c>
      <c r="BG160" s="24" t="inlineStr">
        <is>
          <t>kbo-tie-aware-elo-v2</t>
        </is>
      </c>
      <c r="BH160" s="24" t="inlineStr">
        <is>
          <t>2026-10-05T22:24:21.848027Z</t>
        </is>
      </c>
      <c r="BI160" s="24" t="inlineStr">
        <is>
          <t>["same_event","same_team_same_day","same_league_same_day"]</t>
        </is>
      </c>
      <c r="BJ160" s="25" t="n"/>
      <c r="BK160" s="26" t="n">
        <v>-133</v>
      </c>
      <c r="BL160" s="27" t="n">
        <v>1.75188</v>
      </c>
      <c r="BM160" s="28" t="n">
        <v>0.570815</v>
      </c>
      <c r="BN160" s="28" t="n"/>
      <c r="BO160" s="28" t="n"/>
      <c r="BP160" s="25" t="n"/>
      <c r="BQ160" s="27" t="n"/>
      <c r="BR160" s="28" t="n"/>
      <c r="BS160" s="28" t="n"/>
      <c r="BT160" s="28" t="n"/>
      <c r="BU160" s="25" t="n"/>
      <c r="BV160" s="29" t="n"/>
      <c r="BW160" s="24" t="n"/>
      <c r="BX160" s="30" t="n"/>
      <c r="BY160" s="27" t="n"/>
      <c r="BZ160" s="24" t="n"/>
      <c r="CA160" s="31" t="n"/>
      <c r="CB160" s="24" t="n"/>
      <c r="CC160" s="24" t="n"/>
      <c r="CD160" s="24" t="n"/>
      <c r="CE160" s="24" t="n"/>
      <c r="CF160" s="24" t="n"/>
      <c r="CG160" s="24" t="n"/>
      <c r="CH160" s="24" t="n"/>
      <c r="CI160" s="24" t="n"/>
      <c r="CJ160" s="24" t="n"/>
      <c r="CK160" s="24" t="n"/>
      <c r="CL160" s="24" t="n"/>
      <c r="CM160" s="24" t="n"/>
      <c r="CN160" s="24" t="n"/>
      <c r="CO160" s="24" t="n"/>
      <c r="CP160" s="24" t="n"/>
      <c r="CQ160" s="24" t="n"/>
      <c r="CR160" s="24" t="n"/>
      <c r="CS160" s="24" t="inlineStr">
        <is>
          <t>False</t>
        </is>
      </c>
      <c r="CT160" s="24" t="n"/>
      <c r="CU160" s="24" t="n"/>
      <c r="CV160" s="24" t="n"/>
      <c r="CW160" s="24" t="n"/>
      <c r="CX160" s="24" t="n"/>
      <c r="CY160" s="24" t="n"/>
      <c r="CZ160" s="24" t="n"/>
      <c r="DA160" s="24" t="n"/>
      <c r="DB160" s="24" t="n"/>
      <c r="DC160" s="24" t="n"/>
      <c r="DD160" s="24" t="n"/>
      <c r="DE160" s="24" t="n"/>
      <c r="DF160" s="24" t="n"/>
      <c r="DG160" s="24" t="n"/>
      <c r="DH160" s="24" t="n"/>
      <c r="DI160" s="24" t="n"/>
      <c r="DJ160" s="24" t="n"/>
      <c r="DK160" s="24" t="n"/>
      <c r="DL160" s="24" t="n"/>
      <c r="DM160" s="24" t="n"/>
      <c r="DN160" s="24" t="n"/>
      <c r="DO160" s="24" t="n"/>
      <c r="DP160" s="24" t="n"/>
      <c r="DQ160" s="24" t="inlineStr">
        <is>
          <t>{"artifact_hash": "0dd792fffd961e45ddd63fd522512e2d0c1ffa39a64eb8426f75aabc4a5ca075", "away_team": "Samsung Lions", "draw_settlement_value": 0.5, "event_id": "139680", "event_start_utc": "2026-10-06T09:30:00Z", "features": {"away_elo": 1539.766733, "base_tie_rate": 0.02264255, "home_advantage": 20.0, "home_elo": 1528.611415}, "historical_source_observation_times_verified": false, "home_team": "Kia Tigers", "inference_inputs": {"away_id": "SAMSUNG", "base_tie_rate": 0.02264255, "book_state": {"_games_played": null, "_last_active": null, "decay_rate": 0.001, "home_advantage": 20.0, "k": 8.0, "margin_weight": 0.0, "ratings": {"KIA": 1528.611415, "SAMSUNG": 1539.766733}}, "code_sha256": {"features/elo_ratings.py": "8525faf022a6343c452286dbfeb17dbb043744c6bdabbe448b6b371216da439b", "international_baseball.py": "f345eb917316d2e897f62c1cdd0f73153115c65da54c30c6137ad76bb7b27869"}, "home_id": "KIA", "tie_method": "flat"}, "market_type": "moneyline", "model_version": "kbo-tie-aware-elo-v2", "observed_at_utc": "2026-10-05T22:24:21.667230+00:00", "outcome_probabilities": {"away": 0.47624109724939195, "draw": 0.02264255, "home": 0.5011163527506081}, "replay_scope": "Exact Elo and tie model; logged value is expected contract settlement, not outright win probability.", "schema": "international-elo-replay-v1", "settlement_values": {"away": 0.487562, "home": 0.512438}, "snapshot_hash": "ff223ce7e0680ef334905d2af08feb2571462f0f4a79bcc319f2bc1bc9486222", "sport": "KBO"}</t>
        </is>
      </c>
    </row>
    <row r="161" ht="36" customHeight="1">
      <c r="A161" s="24" t="inlineStr">
        <is>
          <t>e21ed824564946f8</t>
        </is>
      </c>
      <c r="B161" s="24" t="inlineStr">
        <is>
          <t>2026-10-05T22:24:42.186342Z</t>
        </is>
      </c>
      <c r="C161" s="24" t="inlineStr">
        <is>
          <t>2026-10-06T09:30:00Z</t>
        </is>
      </c>
      <c r="D161" s="24" t="inlineStr">
        <is>
          <t>139681</t>
        </is>
      </c>
      <c r="E161" s="24" t="inlineStr">
        <is>
          <t>KBO</t>
        </is>
      </c>
      <c r="F161" s="24" t="inlineStr">
        <is>
          <t>SSG Landers</t>
        </is>
      </c>
      <c r="G161" s="24" t="inlineStr">
        <is>
          <t>Hanwha Eagles</t>
        </is>
      </c>
      <c r="H161" s="24" t="inlineStr">
        <is>
          <t>moneyline</t>
        </is>
      </c>
      <c r="I161" s="24" t="inlineStr">
        <is>
          <t>away</t>
        </is>
      </c>
      <c r="J161" s="25" t="n"/>
      <c r="K161" s="24" t="inlineStr">
        <is>
          <t>polymarket_us</t>
        </is>
      </c>
      <c r="L161" s="26" t="n">
        <v>163</v>
      </c>
      <c r="M161" s="27" t="n">
        <v>2.63</v>
      </c>
      <c r="N161" s="28" t="n">
        <v>0.380228</v>
      </c>
      <c r="O161" s="28" t="n">
        <v>0.584051</v>
      </c>
      <c r="P161" s="28" t="n"/>
      <c r="Q161" s="28" t="n">
        <v>0.203823</v>
      </c>
      <c r="R161" s="26" t="n">
        <v>100</v>
      </c>
      <c r="S161" s="29" t="n">
        <v>2</v>
      </c>
      <c r="T161" s="24" t="inlineStr">
        <is>
          <t>kbo-tie-aware-elo-v2</t>
        </is>
      </c>
      <c r="U161" s="24" t="inlineStr">
        <is>
          <t>settled</t>
        </is>
      </c>
      <c r="V161" s="24" t="inlineStr">
        <is>
          <t>loss</t>
        </is>
      </c>
      <c r="W161" s="26" t="n">
        <v>2</v>
      </c>
      <c r="X161" s="26" t="n">
        <v>9</v>
      </c>
      <c r="Y161" s="25" t="n"/>
      <c r="Z161" s="26" t="n"/>
      <c r="AA161" s="28" t="n"/>
      <c r="AB161" s="28" t="n"/>
      <c r="AC161" s="30" t="n">
        <v>-2</v>
      </c>
      <c r="AD161" s="24" t="inlineStr">
        <is>
          <t>2026-10-06T16:03:45.747433Z</t>
        </is>
      </c>
      <c r="AE161" s="31" t="inlineStr">
        <is>
          <t>Tie-aware Elo baseline; executable ask 0.3800 (market_slug=aec-kbo-hea-sls-2026-10-06). Tie probability=0.0226.</t>
        </is>
      </c>
      <c r="AF161" s="31" t="inlineStr">
        <is>
          <t>Config-promoted international baseball baseline; gates enforced at log time.</t>
        </is>
      </c>
      <c r="AG161" s="24" t="inlineStr">
        <is>
          <t>review_required</t>
        </is>
      </c>
      <c r="AH161" s="24" t="n"/>
      <c r="AI161" s="31" t="n"/>
      <c r="AJ161" s="31" t="n"/>
      <c r="AK161" s="24" t="inlineStr">
        <is>
          <t>paper_call</t>
        </is>
      </c>
      <c r="AL161" s="26" t="n">
        <v>4</v>
      </c>
      <c r="AM161" s="24" t="inlineStr">
        <is>
          <t>RESEARCH_OBSERVATION</t>
        </is>
      </c>
      <c r="AN161" s="24" t="inlineStr">
        <is>
          <t>CALL</t>
        </is>
      </c>
      <c r="AO161" s="24" t="inlineStr">
        <is>
          <t>PAPER_CALL_LOW_EDGE</t>
        </is>
      </c>
      <c r="AP161" s="24" t="inlineStr">
        <is>
          <t>SSG Landers</t>
        </is>
      </c>
      <c r="AQ161" s="24" t="inlineStr">
        <is>
          <t>SSG Landers</t>
        </is>
      </c>
      <c r="AR161" s="24" t="inlineStr">
        <is>
          <t>SSG Landers</t>
        </is>
      </c>
      <c r="AS161" s="24" t="inlineStr">
        <is>
          <t>Hanwha Eagles</t>
        </is>
      </c>
      <c r="AT161" s="24" t="inlineStr">
        <is>
          <t>Hanwha Eagles</t>
        </is>
      </c>
      <c r="AU161" s="24" t="inlineStr">
        <is>
          <t>Hanwha Eagles</t>
        </is>
      </c>
      <c r="AV161" s="24" t="n"/>
      <c r="AW161" s="24" t="n"/>
      <c r="AX161" s="24" t="inlineStr">
        <is>
          <t>statistical_model</t>
        </is>
      </c>
      <c r="AY161" s="24" t="n"/>
      <c r="AZ161" s="24" t="inlineStr">
        <is>
          <t>shadow_qualified</t>
        </is>
      </c>
      <c r="BA161" s="24" t="inlineStr">
        <is>
          <t>0dd792fffd961e45ddd63fd522512e2d0c1ffa39a64eb8426f75aabc4a5ca075</t>
        </is>
      </c>
      <c r="BB161" s="24" t="inlineStr">
        <is>
          <t>tie_aware_elo</t>
        </is>
      </c>
      <c r="BC161" s="24" t="inlineStr">
        <is>
          <t>kbo-tie-aware-elo-v2</t>
        </is>
      </c>
      <c r="BD161" s="24" t="inlineStr">
        <is>
          <t>0dd792fffd961e45ddd63fd522512e2d0c1ffa39a64eb8426f75aabc4a5ca075</t>
        </is>
      </c>
      <c r="BE161" s="24" t="inlineStr">
        <is>
          <t>1</t>
        </is>
      </c>
      <c r="BF161" s="24" t="inlineStr">
        <is>
          <t>1</t>
        </is>
      </c>
      <c r="BG161" s="24" t="inlineStr">
        <is>
          <t>kbo-tie-aware-elo-v2</t>
        </is>
      </c>
      <c r="BH161" s="24" t="inlineStr">
        <is>
          <t>2026-10-05T22:24:31.965697Z</t>
        </is>
      </c>
      <c r="BI161" s="24" t="inlineStr">
        <is>
          <t>["same_event","same_team_same_day","same_league_same_day"]</t>
        </is>
      </c>
      <c r="BJ161" s="25" t="n"/>
      <c r="BK161" s="26" t="n">
        <v>163</v>
      </c>
      <c r="BL161" s="27" t="n">
        <v>2.63</v>
      </c>
      <c r="BM161" s="28" t="n">
        <v>0.380228</v>
      </c>
      <c r="BN161" s="28" t="n"/>
      <c r="BO161" s="28" t="n"/>
      <c r="BP161" s="25" t="n"/>
      <c r="BQ161" s="27" t="n"/>
      <c r="BR161" s="28" t="n"/>
      <c r="BS161" s="28" t="n"/>
      <c r="BT161" s="28" t="n"/>
      <c r="BU161" s="25" t="n"/>
      <c r="BV161" s="29" t="n"/>
      <c r="BW161" s="24" t="n"/>
      <c r="BX161" s="30" t="n"/>
      <c r="BY161" s="27" t="n"/>
      <c r="BZ161" s="24" t="n"/>
      <c r="CA161" s="31" t="n"/>
      <c r="CB161" s="24" t="n"/>
      <c r="CC161" s="24" t="n"/>
      <c r="CD161" s="24" t="n"/>
      <c r="CE161" s="24" t="n"/>
      <c r="CF161" s="24" t="n"/>
      <c r="CG161" s="24" t="n"/>
      <c r="CH161" s="24" t="n"/>
      <c r="CI161" s="24" t="n"/>
      <c r="CJ161" s="24" t="n"/>
      <c r="CK161" s="24" t="n"/>
      <c r="CL161" s="24" t="n"/>
      <c r="CM161" s="24" t="n"/>
      <c r="CN161" s="24" t="n"/>
      <c r="CO161" s="24" t="n"/>
      <c r="CP161" s="24" t="n"/>
      <c r="CQ161" s="24" t="n"/>
      <c r="CR161" s="24" t="n"/>
      <c r="CS161" s="24" t="inlineStr">
        <is>
          <t>True</t>
        </is>
      </c>
      <c r="CT161" s="24" t="n"/>
      <c r="CU161" s="24" t="n"/>
      <c r="CV161" s="24" t="n"/>
      <c r="CW161" s="24" t="n"/>
      <c r="CX161" s="24" t="n"/>
      <c r="CY161" s="24" t="n"/>
      <c r="CZ161" s="24" t="n"/>
      <c r="DA161" s="24" t="n"/>
      <c r="DB161" s="24" t="n"/>
      <c r="DC161" s="24" t="n"/>
      <c r="DD161" s="24" t="n"/>
      <c r="DE161" s="24" t="n"/>
      <c r="DF161" s="24" t="n"/>
      <c r="DG161" s="24" t="n"/>
      <c r="DH161" s="24" t="n"/>
      <c r="DI161" s="24" t="n"/>
      <c r="DJ161" s="24" t="n"/>
      <c r="DK161" s="24" t="n"/>
      <c r="DL161" s="24" t="n"/>
      <c r="DM161" s="24" t="n"/>
      <c r="DN161" s="24" t="n"/>
      <c r="DO161" s="24" t="n"/>
      <c r="DP161" s="24" t="n"/>
      <c r="DQ161" s="24" t="inlineStr">
        <is>
          <t>{"artifact_hash": "0dd792fffd961e45ddd63fd522512e2d0c1ffa39a64eb8426f75aabc4a5ca075", "away_team": "SSG Landers", "draw_settlement_value": 0.5, "event_id": "139681", "event_start_utc": "2026-10-06T09:30:00Z", "features": {"away_elo": 1513.839852, "base_tie_rate": 0.02264255, "home_advantage": 20.0, "home_elo": 1433.48237}, "historical_source_observation_times_verified": false, "home_team": "Hanwha Eagles", "inference_inputs": {"away_id": "SSG", "base_tie_rate": 0.02264255, "book_state": {"_games_played": null, "_last_active": null, "decay_rate": 0.001, "home_advantage": 20.0, "k": 8.0, "margin_weight": 0.0, "ratings": {"HANWHA": 1433.48237, "SSG": 1513.839852}}, "code_sha256": {"features/elo_ratings.py": "8525faf022a6343c452286dbfeb17dbb043744c6bdabbe448b6b371216da439b", "international_baseball.py": "f345eb917316d2e897f62c1cdd0f73153115c65da54c30c6137ad76bb7b27869"}, "home_id": "HANWHA", "tie_method": "flat"}, "market_type": "moneyline", "model_version": "kbo-tie-aware-elo-v2", "observed_at_utc": "2026-10-05T22:24:21.667230+00:00", "outcome_probabilities": {"away": 0.5727295166495094, "draw": 0.02264255, "home": 0.4046279333504906}, "replay_scope": "Exact Elo and tie model; logged value is expected contract settlement, not outright win probability.", "schema": "international-elo-replay-v1", "settlement_values": {"away": 0.584051, "home": 0.415949}, "snapshot_hash": "adbb3b49eb68b86951f61b6e2aabde1c428afb53a23b167795e3ad6fd8ec9269", "sport": "KBO"}</t>
        </is>
      </c>
    </row>
    <row r="162" ht="36" customHeight="1">
      <c r="A162" s="24" t="inlineStr">
        <is>
          <t>6a193f6532fa41d1</t>
        </is>
      </c>
      <c r="B162" s="24" t="inlineStr">
        <is>
          <t>2026-10-05T22:24:42.186342Z</t>
        </is>
      </c>
      <c r="C162" s="24" t="inlineStr">
        <is>
          <t>2026-10-06T09:30:00Z</t>
        </is>
      </c>
      <c r="D162" s="24" t="inlineStr">
        <is>
          <t>139682</t>
        </is>
      </c>
      <c r="E162" s="24" t="inlineStr">
        <is>
          <t>KBO</t>
        </is>
      </c>
      <c r="F162" s="24" t="inlineStr">
        <is>
          <t>KT Wiz</t>
        </is>
      </c>
      <c r="G162" s="24" t="inlineStr">
        <is>
          <t>Kiwoom Heroes</t>
        </is>
      </c>
      <c r="H162" s="24" t="inlineStr">
        <is>
          <t>moneyline</t>
        </is>
      </c>
      <c r="I162" s="24" t="inlineStr">
        <is>
          <t>away</t>
        </is>
      </c>
      <c r="J162" s="25" t="n"/>
      <c r="K162" s="24" t="inlineStr">
        <is>
          <t>polymarket_us</t>
        </is>
      </c>
      <c r="L162" s="26" t="n">
        <v>-233</v>
      </c>
      <c r="M162" s="27" t="n">
        <v>1.429185</v>
      </c>
      <c r="N162" s="28" t="n">
        <v>0.6997</v>
      </c>
      <c r="O162" s="28" t="n">
        <v>0.654415</v>
      </c>
      <c r="P162" s="28" t="n"/>
      <c r="Q162" s="28" t="n">
        <v>-0.045285</v>
      </c>
      <c r="R162" s="26" t="n">
        <v>0</v>
      </c>
      <c r="S162" s="29" t="n">
        <v>1</v>
      </c>
      <c r="T162" s="24" t="inlineStr">
        <is>
          <t>kbo-tie-aware-elo-v2</t>
        </is>
      </c>
      <c r="U162" s="24" t="inlineStr">
        <is>
          <t>settled</t>
        </is>
      </c>
      <c r="V162" s="24" t="inlineStr">
        <is>
          <t>win</t>
        </is>
      </c>
      <c r="W162" s="26" t="n">
        <v>10</v>
      </c>
      <c r="X162" s="26" t="n">
        <v>1</v>
      </c>
      <c r="Y162" s="25" t="n"/>
      <c r="Z162" s="26" t="n"/>
      <c r="AA162" s="28" t="n"/>
      <c r="AB162" s="28" t="n"/>
      <c r="AC162" s="30" t="n">
        <v>0.4292</v>
      </c>
      <c r="AD162" s="24" t="inlineStr">
        <is>
          <t>2026-10-06T16:03:48.172900Z</t>
        </is>
      </c>
      <c r="AE162" s="31" t="inlineStr">
        <is>
          <t>Tie-aware Elo baseline; executable ask 0.7000 (market_slug=aec-kbo-khi-kwt-2026-10-06). Tie probability=0.0226.</t>
        </is>
      </c>
      <c r="AF162" s="31" t="inlineStr">
        <is>
          <t>Config-promoted international baseball baseline; gates enforced at log time.</t>
        </is>
      </c>
      <c r="AG162" s="24" t="inlineStr">
        <is>
          <t>not_applicable</t>
        </is>
      </c>
      <c r="AH162" s="24" t="n"/>
      <c r="AI162" s="31" t="n"/>
      <c r="AJ162" s="31" t="n"/>
      <c r="AK162" s="24" t="inlineStr">
        <is>
          <t>paper_call</t>
        </is>
      </c>
      <c r="AL162" s="26" t="n">
        <v>4</v>
      </c>
      <c r="AM162" s="24" t="inlineStr">
        <is>
          <t>RESEARCH_OBSERVATION</t>
        </is>
      </c>
      <c r="AN162" s="24" t="inlineStr">
        <is>
          <t>CALL</t>
        </is>
      </c>
      <c r="AO162" s="24" t="inlineStr">
        <is>
          <t>PAPER_CALL_LOW_EDGE</t>
        </is>
      </c>
      <c r="AP162" s="24" t="inlineStr">
        <is>
          <t>KT Wiz</t>
        </is>
      </c>
      <c r="AQ162" s="24" t="inlineStr">
        <is>
          <t>KT Wiz</t>
        </is>
      </c>
      <c r="AR162" s="24" t="inlineStr">
        <is>
          <t>KT Wiz</t>
        </is>
      </c>
      <c r="AS162" s="24" t="inlineStr">
        <is>
          <t>Kiwoom Heroes</t>
        </is>
      </c>
      <c r="AT162" s="24" t="inlineStr">
        <is>
          <t>Kiwoom Heroes</t>
        </is>
      </c>
      <c r="AU162" s="24" t="inlineStr">
        <is>
          <t>Kiwoom Heroes</t>
        </is>
      </c>
      <c r="AV162" s="24" t="n"/>
      <c r="AW162" s="24" t="n"/>
      <c r="AX162" s="24" t="inlineStr">
        <is>
          <t>statistical_model</t>
        </is>
      </c>
      <c r="AY162" s="24" t="n"/>
      <c r="AZ162" s="24" t="inlineStr">
        <is>
          <t>shadow_qualified</t>
        </is>
      </c>
      <c r="BA162" s="24" t="inlineStr">
        <is>
          <t>0dd792fffd961e45ddd63fd522512e2d0c1ffa39a64eb8426f75aabc4a5ca075</t>
        </is>
      </c>
      <c r="BB162" s="24" t="inlineStr">
        <is>
          <t>tie_aware_elo</t>
        </is>
      </c>
      <c r="BC162" s="24" t="inlineStr">
        <is>
          <t>kbo-tie-aware-elo-v2</t>
        </is>
      </c>
      <c r="BD162" s="24" t="inlineStr">
        <is>
          <t>0dd792fffd961e45ddd63fd522512e2d0c1ffa39a64eb8426f75aabc4a5ca075</t>
        </is>
      </c>
      <c r="BE162" s="24" t="inlineStr">
        <is>
          <t>1</t>
        </is>
      </c>
      <c r="BF162" s="24" t="inlineStr">
        <is>
          <t>1</t>
        </is>
      </c>
      <c r="BG162" s="24" t="inlineStr">
        <is>
          <t>kbo-tie-aware-elo-v2</t>
        </is>
      </c>
      <c r="BH162" s="24" t="inlineStr">
        <is>
          <t>2026-10-05T22:24:42.186342Z</t>
        </is>
      </c>
      <c r="BI162" s="24" t="inlineStr">
        <is>
          <t>["same_event","same_team_same_day","same_league_same_day"]</t>
        </is>
      </c>
      <c r="BJ162" s="25" t="n"/>
      <c r="BK162" s="26" t="n">
        <v>-233</v>
      </c>
      <c r="BL162" s="27" t="n">
        <v>1.429185</v>
      </c>
      <c r="BM162" s="28" t="n">
        <v>0.6997</v>
      </c>
      <c r="BN162" s="28" t="n"/>
      <c r="BO162" s="28" t="n"/>
      <c r="BP162" s="25" t="n"/>
      <c r="BQ162" s="27" t="n"/>
      <c r="BR162" s="28" t="n"/>
      <c r="BS162" s="28" t="n"/>
      <c r="BT162" s="28" t="n"/>
      <c r="BU162" s="25" t="n"/>
      <c r="BV162" s="29" t="n"/>
      <c r="BW162" s="24" t="n"/>
      <c r="BX162" s="30" t="n"/>
      <c r="BY162" s="27" t="n"/>
      <c r="BZ162" s="24" t="n"/>
      <c r="CA162" s="31" t="n"/>
      <c r="CB162" s="24" t="n"/>
      <c r="CC162" s="24" t="n"/>
      <c r="CD162" s="24" t="n"/>
      <c r="CE162" s="24" t="n"/>
      <c r="CF162" s="24" t="n"/>
      <c r="CG162" s="24" t="n"/>
      <c r="CH162" s="24" t="n"/>
      <c r="CI162" s="24" t="n"/>
      <c r="CJ162" s="24" t="n"/>
      <c r="CK162" s="24" t="n"/>
      <c r="CL162" s="24" t="n"/>
      <c r="CM162" s="24" t="n"/>
      <c r="CN162" s="24" t="n"/>
      <c r="CO162" s="24" t="n"/>
      <c r="CP162" s="24" t="n"/>
      <c r="CQ162" s="24" t="n"/>
      <c r="CR162" s="24" t="n"/>
      <c r="CS162" s="24" t="inlineStr">
        <is>
          <t>False</t>
        </is>
      </c>
      <c r="CT162" s="24" t="n"/>
      <c r="CU162" s="24" t="n"/>
      <c r="CV162" s="24" t="n"/>
      <c r="CW162" s="24" t="n"/>
      <c r="CX162" s="24" t="n"/>
      <c r="CY162" s="24" t="n"/>
      <c r="CZ162" s="24" t="n"/>
      <c r="DA162" s="24" t="n"/>
      <c r="DB162" s="24" t="n"/>
      <c r="DC162" s="24" t="n"/>
      <c r="DD162" s="24" t="n"/>
      <c r="DE162" s="24" t="n"/>
      <c r="DF162" s="24" t="n"/>
      <c r="DG162" s="24" t="n"/>
      <c r="DH162" s="24" t="n"/>
      <c r="DI162" s="24" t="n"/>
      <c r="DJ162" s="24" t="n"/>
      <c r="DK162" s="24" t="n"/>
      <c r="DL162" s="24" t="n"/>
      <c r="DM162" s="24" t="n"/>
      <c r="DN162" s="24" t="n"/>
      <c r="DO162" s="24" t="n"/>
      <c r="DP162" s="24" t="n"/>
      <c r="DQ162" s="24" t="inlineStr">
        <is>
          <t>{"artifact_hash": "0dd792fffd961e45ddd63fd522512e2d0c1ffa39a64eb8426f75aabc4a5ca075", "away_team": "KT Wiz", "draw_settlement_value": 0.5, "event_id": "139682", "event_start_utc": "2026-10-06T09:30:00Z", "features": {"away_elo": 1576.376979, "base_tie_rate": 0.02264255, "home_advantage": 20.0, "home_elo": 1442.702837}, "historical_source_observation_times_verified": false, "home_team": "Kiwoom Heroes", "inference_inputs": {"away_id": "KT", "base_tie_rate": 0.02264255, "book_state": {"_games_played": null, "_last_active": null, "decay_rate": 0.001, "home_advantage": 20.0, "k": 8.0, "margin_weight": 0.0, "ratings": {"KIWOOM": 1442.702837, "KT": 1576.376979}}, "code_sha256": {"features/elo_ratings.py": "8525faf022a6343c452286dbfeb17dbb043744c6bdabbe448b6b371216da439b", "international_baseball.py": "f345eb917316d2e897f62c1cdd0f73153115c65da54c30c6137ad76bb7b27869"}, "home_id": "KIWOOM", "tie_method": "flat"}, "market_type": "moneyline", "model_version": "kbo-tie-aware-elo-v2", "observed_at_utc": "2026-10-05T22:24:21.667230+00:00", "outcome_probabilities": {"away": 0.643093892952897, "draw": 0.02264255, "home": 0.3342635570471029}, "replay_scope": "Exact Elo and tie model; logged value is expected contract settlement, not outright win probability.", "schema": "international-elo-replay-v1", "settlement_values": {"away": 0.654415, "home": 0.345585}, "snapshot_hash": "a8ea999f753f34ceca22df92024b93b194a3f67a130fda6968ea22ac8d9f8281", "sport": "KBO"}</t>
        </is>
      </c>
    </row>
    <row r="163" ht="36" customHeight="1">
      <c r="A163" s="24" t="inlineStr">
        <is>
          <t>62da44e9dbab4213</t>
        </is>
      </c>
      <c r="B163" s="24" t="inlineStr">
        <is>
          <t>2026-10-06T22:25:10.987601Z</t>
        </is>
      </c>
      <c r="C163" s="24" t="inlineStr">
        <is>
          <t>2026-10-07T09:30:00Z</t>
        </is>
      </c>
      <c r="D163" s="24" t="inlineStr">
        <is>
          <t>141706</t>
        </is>
      </c>
      <c r="E163" s="24" t="inlineStr">
        <is>
          <t>KBO</t>
        </is>
      </c>
      <c r="F163" s="24" t="inlineStr">
        <is>
          <t>NC Dinos</t>
        </is>
      </c>
      <c r="G163" s="24" t="inlineStr">
        <is>
          <t>SSG Landers</t>
        </is>
      </c>
      <c r="H163" s="24" t="inlineStr">
        <is>
          <t>moneyline</t>
        </is>
      </c>
      <c r="I163" s="24" t="inlineStr">
        <is>
          <t>home</t>
        </is>
      </c>
      <c r="J163" s="25" t="n"/>
      <c r="K163" s="24" t="inlineStr">
        <is>
          <t>polymarket_us</t>
        </is>
      </c>
      <c r="L163" s="26" t="n">
        <v>-122</v>
      </c>
      <c r="M163" s="27" t="n">
        <v>1.819672</v>
      </c>
      <c r="N163" s="28" t="n">
        <v>0.54955</v>
      </c>
      <c r="O163" s="28" t="n">
        <v>0.581355</v>
      </c>
      <c r="P163" s="28" t="n"/>
      <c r="Q163" s="28" t="n">
        <v>0.031805</v>
      </c>
      <c r="R163" s="26" t="n">
        <v>36</v>
      </c>
      <c r="S163" s="29" t="n">
        <v>1</v>
      </c>
      <c r="T163" s="24" t="inlineStr">
        <is>
          <t>kbo-tie-aware-elo-v2</t>
        </is>
      </c>
      <c r="U163" s="24" t="inlineStr">
        <is>
          <t>open</t>
        </is>
      </c>
      <c r="V163" s="24" t="n"/>
      <c r="W163" s="26" t="n"/>
      <c r="X163" s="26" t="n"/>
      <c r="Y163" s="25" t="n"/>
      <c r="Z163" s="26" t="n"/>
      <c r="AA163" s="28" t="n"/>
      <c r="AB163" s="28" t="n"/>
      <c r="AC163" s="30" t="n"/>
      <c r="AD163" s="24" t="n"/>
      <c r="AE163" s="31" t="inlineStr">
        <is>
          <t>Tie-aware Elo baseline; executable ask 0.5500 (market_slug=aec-kbo-sls-ndc-2026-10-07). Tie probability=0.0226.</t>
        </is>
      </c>
      <c r="AF163" s="31" t="inlineStr">
        <is>
          <t>Config-promoted international baseball baseline; gates enforced at log time.</t>
        </is>
      </c>
      <c r="AG163" s="24" t="inlineStr">
        <is>
          <t>not_applicable</t>
        </is>
      </c>
      <c r="AH163" s="24" t="n"/>
      <c r="AI163" s="31" t="n"/>
      <c r="AJ163" s="31" t="n"/>
      <c r="AK163" s="24" t="inlineStr">
        <is>
          <t>paper_call</t>
        </is>
      </c>
      <c r="AL163" s="26" t="n">
        <v>4</v>
      </c>
      <c r="AM163" s="24" t="inlineStr">
        <is>
          <t>RESEARCH_OBSERVATION</t>
        </is>
      </c>
      <c r="AN163" s="24" t="inlineStr">
        <is>
          <t>CALL</t>
        </is>
      </c>
      <c r="AO163" s="24" t="inlineStr">
        <is>
          <t>PAPER_CALL_LOW_EDGE</t>
        </is>
      </c>
      <c r="AP163" s="24" t="inlineStr">
        <is>
          <t>NC Dinos</t>
        </is>
      </c>
      <c r="AQ163" s="24" t="inlineStr">
        <is>
          <t>NC Dinos</t>
        </is>
      </c>
      <c r="AR163" s="24" t="inlineStr">
        <is>
          <t>NC Dinos</t>
        </is>
      </c>
      <c r="AS163" s="24" t="inlineStr">
        <is>
          <t>SSG Landers</t>
        </is>
      </c>
      <c r="AT163" s="24" t="inlineStr">
        <is>
          <t>SSG Landers</t>
        </is>
      </c>
      <c r="AU163" s="24" t="inlineStr">
        <is>
          <t>SSG Landers</t>
        </is>
      </c>
      <c r="AV163" s="24" t="n"/>
      <c r="AW163" s="24" t="n"/>
      <c r="AX163" s="24" t="inlineStr">
        <is>
          <t>statistical_model</t>
        </is>
      </c>
      <c r="AY163" s="24" t="n"/>
      <c r="AZ163" s="24" t="inlineStr">
        <is>
          <t>shadow_qualified</t>
        </is>
      </c>
      <c r="BA163" s="24" t="inlineStr">
        <is>
          <t>7cff2807fc660517fbda95f730a6a901b570d0845019c5e524dde23a826f7114</t>
        </is>
      </c>
      <c r="BB163" s="24" t="inlineStr">
        <is>
          <t>tie_aware_elo</t>
        </is>
      </c>
      <c r="BC163" s="24" t="inlineStr">
        <is>
          <t>kbo-tie-aware-elo-v2</t>
        </is>
      </c>
      <c r="BD163" s="24" t="inlineStr">
        <is>
          <t>7cff2807fc660517fbda95f730a6a901b570d0845019c5e524dde23a826f7114</t>
        </is>
      </c>
      <c r="BE163" s="24" t="inlineStr">
        <is>
          <t>1</t>
        </is>
      </c>
      <c r="BF163" s="24" t="inlineStr">
        <is>
          <t>1</t>
        </is>
      </c>
      <c r="BG163" s="24" t="inlineStr">
        <is>
          <t>kbo-tie-aware-elo-v2</t>
        </is>
      </c>
      <c r="BH163" s="24" t="inlineStr">
        <is>
          <t>2026-10-06T22:24:50.360101Z</t>
        </is>
      </c>
      <c r="BI163" s="24" t="inlineStr">
        <is>
          <t>["same_event","same_team_same_day","same_league_same_day"]</t>
        </is>
      </c>
      <c r="BJ163" s="25" t="n"/>
      <c r="BK163" s="26" t="n">
        <v>-122</v>
      </c>
      <c r="BL163" s="27" t="n">
        <v>1.819672</v>
      </c>
      <c r="BM163" s="28" t="n">
        <v>0.54955</v>
      </c>
      <c r="BN163" s="28" t="n"/>
      <c r="BO163" s="28" t="n"/>
      <c r="BP163" s="25" t="n"/>
      <c r="BQ163" s="27" t="n"/>
      <c r="BR163" s="28" t="n"/>
      <c r="BS163" s="28" t="n"/>
      <c r="BT163" s="28" t="n"/>
      <c r="BU163" s="25" t="n"/>
      <c r="BV163" s="29" t="n"/>
      <c r="BW163" s="24" t="n"/>
      <c r="BX163" s="30" t="n"/>
      <c r="BY163" s="27" t="n"/>
      <c r="BZ163" s="24" t="n"/>
      <c r="CA163" s="31" t="n"/>
      <c r="CB163" s="24" t="n"/>
      <c r="CC163" s="24" t="n"/>
      <c r="CD163" s="24" t="n"/>
      <c r="CE163" s="24" t="n"/>
      <c r="CF163" s="24" t="n"/>
      <c r="CG163" s="24" t="n"/>
      <c r="CH163" s="24" t="n"/>
      <c r="CI163" s="24" t="n"/>
      <c r="CJ163" s="24" t="n"/>
      <c r="CK163" s="24" t="n"/>
      <c r="CL163" s="24" t="n"/>
      <c r="CM163" s="24" t="n"/>
      <c r="CN163" s="24" t="n"/>
      <c r="CO163" s="24" t="n"/>
      <c r="CP163" s="24" t="n"/>
      <c r="CQ163" s="24" t="n"/>
      <c r="CR163" s="24" t="n"/>
      <c r="CS163" s="24" t="inlineStr">
        <is>
          <t>True</t>
        </is>
      </c>
      <c r="CT163" s="24" t="n"/>
      <c r="CU163" s="24" t="n"/>
      <c r="CV163" s="24" t="n"/>
      <c r="CW163" s="24" t="n"/>
      <c r="CX163" s="24" t="n"/>
      <c r="CY163" s="24" t="n"/>
      <c r="CZ163" s="24" t="n"/>
      <c r="DA163" s="24" t="n"/>
      <c r="DB163" s="24" t="n"/>
      <c r="DC163" s="24" t="n"/>
      <c r="DD163" s="24" t="n"/>
      <c r="DE163" s="24" t="n"/>
      <c r="DF163" s="24" t="n"/>
      <c r="DG163" s="24" t="n"/>
      <c r="DH163" s="24" t="n"/>
      <c r="DI163" s="24" t="n"/>
      <c r="DJ163" s="24" t="n"/>
      <c r="DK163" s="24" t="n"/>
      <c r="DL163" s="24" t="n"/>
      <c r="DM163" s="24" t="n"/>
      <c r="DN163" s="24" t="n"/>
      <c r="DO163" s="24" t="n"/>
      <c r="DP163" s="24" t="n"/>
      <c r="DQ163" s="24" t="inlineStr">
        <is>
          <t>{"artifact_hash": "7cff2807fc660517fbda95f730a6a901b570d0845019c5e524dde23a826f7114", "away_team": "NC Dinos", "draw_settlement_value": 0.5, "event_id": "141706", "event_start_utc": "2026-10-07T09:30:00Z", "features": {"away_elo": 1470.713142, "base_tie_rate": 0.02262693, "home_advantage": 20.0, "home_elo": 1509.096592}, "historical_source_observation_times_verified": false, "home_team": "SSG Landers", "inference_inputs": {"away_id": "NC", "base_tie_rate": 0.02262693, "book_state": {"_games_played": null, "_last_active": null, "decay_rate": 0.001, "home_advantage": 20.0, "k": 8.0, "margin_weight": 0.0, "ratings": {"NC": 1470.713142, "SSG": 1509.096592}}, "code_sha256": {"features/elo_ratings.py": "8525faf022a6343c452286dbfeb17dbb043744c6bdabbe448b6b371216da439b", "international_baseball.py": "f345eb917316d2e897f62c1cdd0f73153115c65da54c30c6137ad76bb7b27869"}, "home_id": "SSG", "tie_method": "flat"}, "market_type": "moneyline", "model_version": "kbo-tie-aware-elo-v2", "observed_at_utc": "2026-10-06T22:24:50.283322+00:00", "outcome_probabilities": {"away": 0.40733144859905934, "draw": 0.02262693, "home": 0.5700416214009406}, "replay_scope": "Exact Elo and tie model; logged value is expected contract settlement, not outright win probability.", "schema": "international-elo-replay-v1", "settlement_values": {"away": 0.418645, "home": 0.581355}, "snapshot_hash": "31f08db0170bc67e3172ab16f112bf6397329449d8875dba363f80213cb3ec33", "sport": "KBO"}</t>
        </is>
      </c>
    </row>
    <row r="164" ht="36" customHeight="1">
      <c r="A164" s="24" t="inlineStr">
        <is>
          <t>ad6bec2479424e8d</t>
        </is>
      </c>
      <c r="B164" s="24" t="inlineStr">
        <is>
          <t>2026-10-06T22:25:10.987601Z</t>
        </is>
      </c>
      <c r="C164" s="24" t="inlineStr">
        <is>
          <t>2026-10-07T09:30:00Z</t>
        </is>
      </c>
      <c r="D164" s="24" t="inlineStr">
        <is>
          <t>141707</t>
        </is>
      </c>
      <c r="E164" s="24" t="inlineStr">
        <is>
          <t>KBO</t>
        </is>
      </c>
      <c r="F164" s="24" t="inlineStr">
        <is>
          <t>Doosan Bears</t>
        </is>
      </c>
      <c r="G164" s="24" t="inlineStr">
        <is>
          <t>LG Twins</t>
        </is>
      </c>
      <c r="H164" s="24" t="inlineStr">
        <is>
          <t>moneyline</t>
        </is>
      </c>
      <c r="I164" s="24" t="inlineStr">
        <is>
          <t>home</t>
        </is>
      </c>
      <c r="J164" s="25" t="n"/>
      <c r="K164" s="24" t="inlineStr">
        <is>
          <t>polymarket_us</t>
        </is>
      </c>
      <c r="L164" s="26" t="n">
        <v>-133</v>
      </c>
      <c r="M164" s="27" t="n">
        <v>1.75188</v>
      </c>
      <c r="N164" s="28" t="n">
        <v>0.570815</v>
      </c>
      <c r="O164" s="28" t="n">
        <v>0.504038</v>
      </c>
      <c r="P164" s="28" t="n"/>
      <c r="Q164" s="28" t="n">
        <v>-0.066777</v>
      </c>
      <c r="R164" s="26" t="n">
        <v>0</v>
      </c>
      <c r="S164" s="29" t="n">
        <v>1</v>
      </c>
      <c r="T164" s="24" t="inlineStr">
        <is>
          <t>kbo-tie-aware-elo-v2</t>
        </is>
      </c>
      <c r="U164" s="24" t="inlineStr">
        <is>
          <t>open</t>
        </is>
      </c>
      <c r="V164" s="24" t="n"/>
      <c r="W164" s="26" t="n"/>
      <c r="X164" s="26" t="n"/>
      <c r="Y164" s="25" t="n"/>
      <c r="Z164" s="26" t="n"/>
      <c r="AA164" s="28" t="n"/>
      <c r="AB164" s="28" t="n"/>
      <c r="AC164" s="30" t="n"/>
      <c r="AD164" s="24" t="n"/>
      <c r="AE164" s="31" t="inlineStr">
        <is>
          <t>Tie-aware Elo baseline; executable ask 0.5700 (market_slug=aec-kbo-ltg-dbo-2026-10-07). Tie probability=0.0226.</t>
        </is>
      </c>
      <c r="AF164" s="31" t="inlineStr">
        <is>
          <t>Config-promoted international baseball baseline; gates enforced at log time.</t>
        </is>
      </c>
      <c r="AG164" s="24" t="inlineStr">
        <is>
          <t>not_applicable</t>
        </is>
      </c>
      <c r="AH164" s="24" t="n"/>
      <c r="AI164" s="31" t="n"/>
      <c r="AJ164" s="31" t="n"/>
      <c r="AK164" s="24" t="inlineStr">
        <is>
          <t>paper_call</t>
        </is>
      </c>
      <c r="AL164" s="26" t="n">
        <v>4</v>
      </c>
      <c r="AM164" s="24" t="inlineStr">
        <is>
          <t>RESEARCH_OBSERVATION</t>
        </is>
      </c>
      <c r="AN164" s="24" t="inlineStr">
        <is>
          <t>CALL</t>
        </is>
      </c>
      <c r="AO164" s="24" t="inlineStr">
        <is>
          <t>PAPER_CALL_LOW_EDGE</t>
        </is>
      </c>
      <c r="AP164" s="24" t="inlineStr">
        <is>
          <t>Doosan Bears</t>
        </is>
      </c>
      <c r="AQ164" s="24" t="inlineStr">
        <is>
          <t>Doosan Bears</t>
        </is>
      </c>
      <c r="AR164" s="24" t="inlineStr">
        <is>
          <t>Doosan Bears</t>
        </is>
      </c>
      <c r="AS164" s="24" t="inlineStr">
        <is>
          <t>LG Twins</t>
        </is>
      </c>
      <c r="AT164" s="24" t="inlineStr">
        <is>
          <t>LG Twins</t>
        </is>
      </c>
      <c r="AU164" s="24" t="inlineStr">
        <is>
          <t>LG Twins</t>
        </is>
      </c>
      <c r="AV164" s="24" t="n"/>
      <c r="AW164" s="24" t="n"/>
      <c r="AX164" s="24" t="inlineStr">
        <is>
          <t>statistical_model</t>
        </is>
      </c>
      <c r="AY164" s="24" t="n"/>
      <c r="AZ164" s="24" t="inlineStr">
        <is>
          <t>shadow_qualified</t>
        </is>
      </c>
      <c r="BA164" s="24" t="inlineStr">
        <is>
          <t>7cff2807fc660517fbda95f730a6a901b570d0845019c5e524dde23a826f7114</t>
        </is>
      </c>
      <c r="BB164" s="24" t="inlineStr">
        <is>
          <t>tie_aware_elo</t>
        </is>
      </c>
      <c r="BC164" s="24" t="inlineStr">
        <is>
          <t>kbo-tie-aware-elo-v2</t>
        </is>
      </c>
      <c r="BD164" s="24" t="inlineStr">
        <is>
          <t>7cff2807fc660517fbda95f730a6a901b570d0845019c5e524dde23a826f7114</t>
        </is>
      </c>
      <c r="BE164" s="24" t="inlineStr">
        <is>
          <t>1</t>
        </is>
      </c>
      <c r="BF164" s="24" t="inlineStr">
        <is>
          <t>1</t>
        </is>
      </c>
      <c r="BG164" s="24" t="inlineStr">
        <is>
          <t>kbo-tie-aware-elo-v2</t>
        </is>
      </c>
      <c r="BH164" s="24" t="inlineStr">
        <is>
          <t>2026-10-06T22:24:50.421198Z</t>
        </is>
      </c>
      <c r="BI164" s="24" t="inlineStr">
        <is>
          <t>["same_event","same_team_same_day","same_league_same_day"]</t>
        </is>
      </c>
      <c r="BJ164" s="25" t="n"/>
      <c r="BK164" s="26" t="n">
        <v>-133</v>
      </c>
      <c r="BL164" s="27" t="n">
        <v>1.75188</v>
      </c>
      <c r="BM164" s="28" t="n">
        <v>0.570815</v>
      </c>
      <c r="BN164" s="28" t="n"/>
      <c r="BO164" s="28" t="n"/>
      <c r="BP164" s="25" t="n"/>
      <c r="BQ164" s="27" t="n"/>
      <c r="BR164" s="28" t="n"/>
      <c r="BS164" s="28" t="n"/>
      <c r="BT164" s="28" t="n"/>
      <c r="BU164" s="25" t="n"/>
      <c r="BV164" s="29" t="n"/>
      <c r="BW164" s="24" t="n"/>
      <c r="BX164" s="30" t="n"/>
      <c r="BY164" s="27" t="n"/>
      <c r="BZ164" s="24" t="n"/>
      <c r="CA164" s="31" t="n"/>
      <c r="CB164" s="24" t="n"/>
      <c r="CC164" s="24" t="n"/>
      <c r="CD164" s="24" t="n"/>
      <c r="CE164" s="24" t="n"/>
      <c r="CF164" s="24" t="n"/>
      <c r="CG164" s="24" t="n"/>
      <c r="CH164" s="24" t="n"/>
      <c r="CI164" s="24" t="n"/>
      <c r="CJ164" s="24" t="n"/>
      <c r="CK164" s="24" t="n"/>
      <c r="CL164" s="24" t="n"/>
      <c r="CM164" s="24" t="n"/>
      <c r="CN164" s="24" t="n"/>
      <c r="CO164" s="24" t="n"/>
      <c r="CP164" s="24" t="n"/>
      <c r="CQ164" s="24" t="n"/>
      <c r="CR164" s="24" t="n"/>
      <c r="CS164" s="24" t="inlineStr">
        <is>
          <t>False</t>
        </is>
      </c>
      <c r="CT164" s="24" t="n"/>
      <c r="CU164" s="24" t="n"/>
      <c r="CV164" s="24" t="n"/>
      <c r="CW164" s="24" t="n"/>
      <c r="CX164" s="24" t="n"/>
      <c r="CY164" s="24" t="n"/>
      <c r="CZ164" s="24" t="n"/>
      <c r="DA164" s="24" t="n"/>
      <c r="DB164" s="24" t="n"/>
      <c r="DC164" s="24" t="n"/>
      <c r="DD164" s="24" t="n"/>
      <c r="DE164" s="24" t="n"/>
      <c r="DF164" s="24" t="n"/>
      <c r="DG164" s="24" t="n"/>
      <c r="DH164" s="24" t="n"/>
      <c r="DI164" s="24" t="n"/>
      <c r="DJ164" s="24" t="n"/>
      <c r="DK164" s="24" t="n"/>
      <c r="DL164" s="24" t="n"/>
      <c r="DM164" s="24" t="n"/>
      <c r="DN164" s="24" t="n"/>
      <c r="DO164" s="24" t="n"/>
      <c r="DP164" s="24" t="n"/>
      <c r="DQ164" s="24" t="inlineStr">
        <is>
          <t>{"artifact_hash": "7cff2807fc660517fbda95f730a6a901b570d0845019c5e524dde23a826f7114", "away_team": "Doosan Bears", "draw_settlement_value": 0.5, "event_id": "141707", "event_start_utc": "2026-10-07T09:30:00Z", "features": {"away_elo": 1523.924017, "base_tie_rate": 0.02262693, "home_advantage": 20.0, "home_elo": 1506.794811}, "historical_source_observation_times_verified": false, "home_team": "LG Twins", "inference_inputs": {"away_id": "DOOSAN", "base_tie_rate": 0.02262693, "book_state": {"_games_played": null, "_last_active": null, "decay_rate": 0.001, "home_advantage": 20.0, "k": 8.0, "margin_weight": 0.0, "ratings": {"DOOSAN": 1523.924017, "LG": 1506.794811}}, "code_sha256": {"features/elo_ratings.py": "8525faf022a6343c452286dbfeb17dbb043744c6bdabbe448b6b371216da439b", "international_baseball.py": "f345eb917316d2e897f62c1cdd0f73153115c65da54c30c6137ad76bb7b27869"}, "home_id": "LG", "tie_method": "flat"}, "market_type": "moneyline", "model_version": "kbo-tie-aware-elo-v2", "observed_at_utc": "2026-10-06T22:24:50.283322+00:00", "outcome_probabilities": {"away": 0.484648703228405, "draw": 0.02262693, "home": 0.492724366771595}, "replay_scope": "Exact Elo and tie model; logged value is expected contract settlement, not outright win probability.", "schema": "international-elo-replay-v1", "settlement_values": {"away": 0.495962, "home": 0.504038}, "snapshot_hash": "cf1df3745177e4ea6b73c766e3bd90118f6d77b3d5d0fa9466d332ae291e5a03", "sport": "KBO"}</t>
        </is>
      </c>
    </row>
    <row r="165" ht="36" customHeight="1">
      <c r="A165" s="24" t="inlineStr">
        <is>
          <t>eeac7360664c4a91</t>
        </is>
      </c>
      <c r="B165" s="24" t="inlineStr">
        <is>
          <t>2026-10-06T22:25:10.987601Z</t>
        </is>
      </c>
      <c r="C165" s="24" t="inlineStr">
        <is>
          <t>2026-10-07T09:30:00Z</t>
        </is>
      </c>
      <c r="D165" s="24" t="inlineStr">
        <is>
          <t>141708</t>
        </is>
      </c>
      <c r="E165" s="24" t="inlineStr">
        <is>
          <t>KBO</t>
        </is>
      </c>
      <c r="F165" s="24" t="inlineStr">
        <is>
          <t>Samsung Lions</t>
        </is>
      </c>
      <c r="G165" s="24" t="inlineStr">
        <is>
          <t>KT Wiz</t>
        </is>
      </c>
      <c r="H165" s="24" t="inlineStr">
        <is>
          <t>moneyline</t>
        </is>
      </c>
      <c r="I165" s="24" t="inlineStr">
        <is>
          <t>home</t>
        </is>
      </c>
      <c r="J165" s="25" t="n"/>
      <c r="K165" s="24" t="inlineStr">
        <is>
          <t>polymarket_us</t>
        </is>
      </c>
      <c r="L165" s="26" t="n">
        <v>-108</v>
      </c>
      <c r="M165" s="27" t="n">
        <v>1.925926</v>
      </c>
      <c r="N165" s="28" t="n">
        <v>0.519231</v>
      </c>
      <c r="O165" s="28" t="n">
        <v>0.577223</v>
      </c>
      <c r="P165" s="28" t="n"/>
      <c r="Q165" s="28" t="n">
        <v>0.057992</v>
      </c>
      <c r="R165" s="26" t="n">
        <v>49</v>
      </c>
      <c r="S165" s="29" t="n">
        <v>1</v>
      </c>
      <c r="T165" s="24" t="inlineStr">
        <is>
          <t>kbo-tie-aware-elo-v2</t>
        </is>
      </c>
      <c r="U165" s="24" t="inlineStr">
        <is>
          <t>open</t>
        </is>
      </c>
      <c r="V165" s="24" t="n"/>
      <c r="W165" s="26" t="n"/>
      <c r="X165" s="26" t="n"/>
      <c r="Y165" s="25" t="n"/>
      <c r="Z165" s="26" t="n"/>
      <c r="AA165" s="28" t="n"/>
      <c r="AB165" s="28" t="n"/>
      <c r="AC165" s="30" t="n"/>
      <c r="AD165" s="24" t="n"/>
      <c r="AE165" s="31" t="inlineStr">
        <is>
          <t>Tie-aware Elo baseline; executable ask 0.5200 (market_slug=aec-kbo-kwt-sla-2026-10-07). Tie probability=0.0226.</t>
        </is>
      </c>
      <c r="AF165" s="31" t="inlineStr">
        <is>
          <t>Config-promoted international baseball baseline; gates enforced at log time.</t>
        </is>
      </c>
      <c r="AG165" s="24" t="inlineStr">
        <is>
          <t>not_applicable</t>
        </is>
      </c>
      <c r="AH165" s="24" t="n"/>
      <c r="AI165" s="31" t="n"/>
      <c r="AJ165" s="31" t="n"/>
      <c r="AK165" s="24" t="inlineStr">
        <is>
          <t>paper_call</t>
        </is>
      </c>
      <c r="AL165" s="26" t="n">
        <v>4</v>
      </c>
      <c r="AM165" s="24" t="inlineStr">
        <is>
          <t>RESEARCH_OBSERVATION</t>
        </is>
      </c>
      <c r="AN165" s="24" t="inlineStr">
        <is>
          <t>CALL</t>
        </is>
      </c>
      <c r="AO165" s="24" t="inlineStr">
        <is>
          <t>PAPER_CALL_LOW_EDGE</t>
        </is>
      </c>
      <c r="AP165" s="24" t="inlineStr">
        <is>
          <t>Samsung Lions</t>
        </is>
      </c>
      <c r="AQ165" s="24" t="inlineStr">
        <is>
          <t>Samsung Lions</t>
        </is>
      </c>
      <c r="AR165" s="24" t="inlineStr">
        <is>
          <t>Samsung Lions</t>
        </is>
      </c>
      <c r="AS165" s="24" t="inlineStr">
        <is>
          <t>KT Wiz</t>
        </is>
      </c>
      <c r="AT165" s="24" t="inlineStr">
        <is>
          <t>KT Wiz</t>
        </is>
      </c>
      <c r="AU165" s="24" t="inlineStr">
        <is>
          <t>KT Wiz</t>
        </is>
      </c>
      <c r="AV165" s="24" t="n"/>
      <c r="AW165" s="24" t="n"/>
      <c r="AX165" s="24" t="inlineStr">
        <is>
          <t>statistical_model</t>
        </is>
      </c>
      <c r="AY165" s="24" t="n"/>
      <c r="AZ165" s="24" t="inlineStr">
        <is>
          <t>shadow_qualified</t>
        </is>
      </c>
      <c r="BA165" s="24" t="inlineStr">
        <is>
          <t>7cff2807fc660517fbda95f730a6a901b570d0845019c5e524dde23a826f7114</t>
        </is>
      </c>
      <c r="BB165" s="24" t="inlineStr">
        <is>
          <t>tie_aware_elo</t>
        </is>
      </c>
      <c r="BC165" s="24" t="inlineStr">
        <is>
          <t>kbo-tie-aware-elo-v2</t>
        </is>
      </c>
      <c r="BD165" s="24" t="inlineStr">
        <is>
          <t>7cff2807fc660517fbda95f730a6a901b570d0845019c5e524dde23a826f7114</t>
        </is>
      </c>
      <c r="BE165" s="24" t="inlineStr">
        <is>
          <t>1</t>
        </is>
      </c>
      <c r="BF165" s="24" t="inlineStr">
        <is>
          <t>1</t>
        </is>
      </c>
      <c r="BG165" s="24" t="inlineStr">
        <is>
          <t>kbo-tie-aware-elo-v2</t>
        </is>
      </c>
      <c r="BH165" s="24" t="inlineStr">
        <is>
          <t>2026-10-06T22:24:50.489684Z</t>
        </is>
      </c>
      <c r="BI165" s="24" t="inlineStr">
        <is>
          <t>["same_event","same_team_same_day","same_league_same_day"]</t>
        </is>
      </c>
      <c r="BJ165" s="25" t="n"/>
      <c r="BK165" s="26" t="n">
        <v>-108</v>
      </c>
      <c r="BL165" s="27" t="n">
        <v>1.925926</v>
      </c>
      <c r="BM165" s="28" t="n">
        <v>0.519231</v>
      </c>
      <c r="BN165" s="28" t="n"/>
      <c r="BO165" s="28" t="n"/>
      <c r="BP165" s="25" t="n"/>
      <c r="BQ165" s="27" t="n"/>
      <c r="BR165" s="28" t="n"/>
      <c r="BS165" s="28" t="n"/>
      <c r="BT165" s="28" t="n"/>
      <c r="BU165" s="25" t="n"/>
      <c r="BV165" s="29" t="n"/>
      <c r="BW165" s="24" t="n"/>
      <c r="BX165" s="30" t="n"/>
      <c r="BY165" s="27" t="n"/>
      <c r="BZ165" s="24" t="n"/>
      <c r="CA165" s="31" t="n"/>
      <c r="CB165" s="24" t="n"/>
      <c r="CC165" s="24" t="n"/>
      <c r="CD165" s="24" t="n"/>
      <c r="CE165" s="24" t="n"/>
      <c r="CF165" s="24" t="n"/>
      <c r="CG165" s="24" t="n"/>
      <c r="CH165" s="24" t="n"/>
      <c r="CI165" s="24" t="n"/>
      <c r="CJ165" s="24" t="n"/>
      <c r="CK165" s="24" t="n"/>
      <c r="CL165" s="24" t="n"/>
      <c r="CM165" s="24" t="n"/>
      <c r="CN165" s="24" t="n"/>
      <c r="CO165" s="24" t="n"/>
      <c r="CP165" s="24" t="n"/>
      <c r="CQ165" s="24" t="n"/>
      <c r="CR165" s="24" t="n"/>
      <c r="CS165" s="24" t="inlineStr">
        <is>
          <t>True</t>
        </is>
      </c>
      <c r="CT165" s="24" t="n"/>
      <c r="CU165" s="24" t="n"/>
      <c r="CV165" s="24" t="n"/>
      <c r="CW165" s="24" t="n"/>
      <c r="CX165" s="24" t="n"/>
      <c r="CY165" s="24" t="n"/>
      <c r="CZ165" s="24" t="n"/>
      <c r="DA165" s="24" t="n"/>
      <c r="DB165" s="24" t="n"/>
      <c r="DC165" s="24" t="n"/>
      <c r="DD165" s="24" t="n"/>
      <c r="DE165" s="24" t="n"/>
      <c r="DF165" s="24" t="n"/>
      <c r="DG165" s="24" t="n"/>
      <c r="DH165" s="24" t="n"/>
      <c r="DI165" s="24" t="n"/>
      <c r="DJ165" s="24" t="n"/>
      <c r="DK165" s="24" t="n"/>
      <c r="DL165" s="24" t="n"/>
      <c r="DM165" s="24" t="n"/>
      <c r="DN165" s="24" t="n"/>
      <c r="DO165" s="24" t="n"/>
      <c r="DP165" s="24" t="n"/>
      <c r="DQ165" s="24" t="inlineStr">
        <is>
          <t>{"artifact_hash": "7cff2807fc660517fbda95f730a6a901b570d0845019c5e524dde23a826f7114", "away_team": "Samsung Lions", "draw_settlement_value": 0.5, "event_id": "141708", "event_start_utc": "2026-10-07T09:30:00Z", "features": {"away_elo": 1543.670103, "base_tie_rate": 0.02262693, "home_advantage": 20.0, "home_elo": 1579.036662}, "historical_source_observation_times_verified": false, "home_team": "KT Wiz", "inference_inputs": {"away_id": "SAMSUNG", "base_tie_rate": 0.02262693, "book_state": {"_games_played": null, "_last_active": null, "decay_rate": 0.001, "home_advantage": 20.0, "k": 8.0, "margin_weight": 0.0, "ratings": {"KT": 1579.036662, "SAMSUNG": 1543.670103}}, "code_sha256": {"features/elo_ratings.py": "8525faf022a6343c452286dbfeb17dbb043744c6bdabbe448b6b371216da439b", "international_baseball.py": "f345eb917316d2e897f62c1cdd0f73153115c65da54c30c6137ad76bb7b27869"}, "home_id": "KT", "tie_method": "flat"}, "market_type": "moneyline", "model_version": "kbo-tie-aware-elo-v2", "observed_at_utc": "2026-10-06T22:24:50.283322+00:00", "outcome_probabilities": {"away": 0.4114631296070524, "draw": 0.02262693, "home": 0.5659099403929476}, "replay_scope": "Exact Elo and tie model; logged value is expected contract settlement, not outright win probability.", "schema": "international-elo-replay-v1", "settlement_values": {"away": 0.422777, "home": 0.577223}, "snapshot_hash": "3fae4502ed3b14dbbf2cf166b4d67390c55d456648b342cdafced37495eacc0f", "sport": "KBO"}</t>
        </is>
      </c>
    </row>
    <row r="166" ht="36" customHeight="1">
      <c r="A166" s="24" t="inlineStr">
        <is>
          <t>fc1d0965db9e40ef</t>
        </is>
      </c>
      <c r="B166" s="24" t="inlineStr">
        <is>
          <t>2026-10-06T22:25:10.987601Z</t>
        </is>
      </c>
      <c r="C166" s="24" t="inlineStr">
        <is>
          <t>2026-10-07T09:30:00Z</t>
        </is>
      </c>
      <c r="D166" s="24" t="inlineStr">
        <is>
          <t>141709</t>
        </is>
      </c>
      <c r="E166" s="24" t="inlineStr">
        <is>
          <t>KBO</t>
        </is>
      </c>
      <c r="F166" s="24" t="inlineStr">
        <is>
          <t>Kia Tigers</t>
        </is>
      </c>
      <c r="G166" s="24" t="inlineStr">
        <is>
          <t>Lotte Giants</t>
        </is>
      </c>
      <c r="H166" s="24" t="inlineStr">
        <is>
          <t>moneyline</t>
        </is>
      </c>
      <c r="I166" s="24" t="inlineStr">
        <is>
          <t>away</t>
        </is>
      </c>
      <c r="J166" s="25" t="n"/>
      <c r="K166" s="24" t="inlineStr">
        <is>
          <t>polymarket_us</t>
        </is>
      </c>
      <c r="L166" s="26" t="n">
        <v>-163</v>
      </c>
      <c r="M166" s="27" t="n">
        <v>1.613497</v>
      </c>
      <c r="N166" s="28" t="n">
        <v>0.619772</v>
      </c>
      <c r="O166" s="28" t="n">
        <v>0.5302480000000001</v>
      </c>
      <c r="P166" s="28" t="n"/>
      <c r="Q166" s="28" t="n">
        <v>-0.08952400000000001</v>
      </c>
      <c r="R166" s="26" t="n">
        <v>0</v>
      </c>
      <c r="S166" s="29" t="n">
        <v>1</v>
      </c>
      <c r="T166" s="24" t="inlineStr">
        <is>
          <t>kbo-tie-aware-elo-v2</t>
        </is>
      </c>
      <c r="U166" s="24" t="inlineStr">
        <is>
          <t>open</t>
        </is>
      </c>
      <c r="V166" s="24" t="n"/>
      <c r="W166" s="26" t="n"/>
      <c r="X166" s="26" t="n"/>
      <c r="Y166" s="25" t="n"/>
      <c r="Z166" s="26" t="n"/>
      <c r="AA166" s="28" t="n"/>
      <c r="AB166" s="28" t="n"/>
      <c r="AC166" s="30" t="n"/>
      <c r="AD166" s="24" t="n"/>
      <c r="AE166" s="31" t="inlineStr">
        <is>
          <t>Tie-aware Elo baseline; executable ask 0.6200 (market_slug=aec-kbo-lgo-kti-2026-10-07). Tie probability=0.0226.</t>
        </is>
      </c>
      <c r="AF166" s="31" t="inlineStr">
        <is>
          <t>Config-promoted international baseball baseline; gates enforced at log time.</t>
        </is>
      </c>
      <c r="AG166" s="24" t="inlineStr">
        <is>
          <t>not_applicable</t>
        </is>
      </c>
      <c r="AH166" s="24" t="n"/>
      <c r="AI166" s="31" t="n"/>
      <c r="AJ166" s="31" t="n"/>
      <c r="AK166" s="24" t="inlineStr">
        <is>
          <t>paper_call</t>
        </is>
      </c>
      <c r="AL166" s="26" t="n">
        <v>4</v>
      </c>
      <c r="AM166" s="24" t="inlineStr">
        <is>
          <t>RESEARCH_OBSERVATION</t>
        </is>
      </c>
      <c r="AN166" s="24" t="inlineStr">
        <is>
          <t>CALL</t>
        </is>
      </c>
      <c r="AO166" s="24" t="inlineStr">
        <is>
          <t>PAPER_CALL_LOW_EDGE</t>
        </is>
      </c>
      <c r="AP166" s="24" t="inlineStr">
        <is>
          <t>Kia Tigers</t>
        </is>
      </c>
      <c r="AQ166" s="24" t="inlineStr">
        <is>
          <t>Kia Tigers</t>
        </is>
      </c>
      <c r="AR166" s="24" t="inlineStr">
        <is>
          <t>Kia Tigers</t>
        </is>
      </c>
      <c r="AS166" s="24" t="inlineStr">
        <is>
          <t>Lotte Giants</t>
        </is>
      </c>
      <c r="AT166" s="24" t="inlineStr">
        <is>
          <t>Lotte Giants</t>
        </is>
      </c>
      <c r="AU166" s="24" t="inlineStr">
        <is>
          <t>Lotte Giants</t>
        </is>
      </c>
      <c r="AV166" s="24" t="n"/>
      <c r="AW166" s="24" t="n"/>
      <c r="AX166" s="24" t="inlineStr">
        <is>
          <t>statistical_model</t>
        </is>
      </c>
      <c r="AY166" s="24" t="n"/>
      <c r="AZ166" s="24" t="inlineStr">
        <is>
          <t>shadow_qualified</t>
        </is>
      </c>
      <c r="BA166" s="24" t="inlineStr">
        <is>
          <t>7cff2807fc660517fbda95f730a6a901b570d0845019c5e524dde23a826f7114</t>
        </is>
      </c>
      <c r="BB166" s="24" t="inlineStr">
        <is>
          <t>tie_aware_elo</t>
        </is>
      </c>
      <c r="BC166" s="24" t="inlineStr">
        <is>
          <t>kbo-tie-aware-elo-v2</t>
        </is>
      </c>
      <c r="BD166" s="24" t="inlineStr">
        <is>
          <t>7cff2807fc660517fbda95f730a6a901b570d0845019c5e524dde23a826f7114</t>
        </is>
      </c>
      <c r="BE166" s="24" t="inlineStr">
        <is>
          <t>1</t>
        </is>
      </c>
      <c r="BF166" s="24" t="inlineStr">
        <is>
          <t>1</t>
        </is>
      </c>
      <c r="BG166" s="24" t="inlineStr">
        <is>
          <t>kbo-tie-aware-elo-v2</t>
        </is>
      </c>
      <c r="BH166" s="24" t="inlineStr">
        <is>
          <t>2026-10-06T22:24:50.570264Z</t>
        </is>
      </c>
      <c r="BI166" s="24" t="inlineStr">
        <is>
          <t>["same_event","same_team_same_day","same_league_same_day"]</t>
        </is>
      </c>
      <c r="BJ166" s="25" t="n"/>
      <c r="BK166" s="26" t="n">
        <v>-163</v>
      </c>
      <c r="BL166" s="27" t="n">
        <v>1.613497</v>
      </c>
      <c r="BM166" s="28" t="n">
        <v>0.619772</v>
      </c>
      <c r="BN166" s="28" t="n"/>
      <c r="BO166" s="28" t="n"/>
      <c r="BP166" s="25" t="n"/>
      <c r="BQ166" s="27" t="n"/>
      <c r="BR166" s="28" t="n"/>
      <c r="BS166" s="28" t="n"/>
      <c r="BT166" s="28" t="n"/>
      <c r="BU166" s="25" t="n"/>
      <c r="BV166" s="29" t="n"/>
      <c r="BW166" s="24" t="n"/>
      <c r="BX166" s="30" t="n"/>
      <c r="BY166" s="27" t="n"/>
      <c r="BZ166" s="24" t="n"/>
      <c r="CA166" s="31" t="n"/>
      <c r="CB166" s="24" t="n"/>
      <c r="CC166" s="24" t="n"/>
      <c r="CD166" s="24" t="n"/>
      <c r="CE166" s="24" t="n"/>
      <c r="CF166" s="24" t="n"/>
      <c r="CG166" s="24" t="n"/>
      <c r="CH166" s="24" t="n"/>
      <c r="CI166" s="24" t="n"/>
      <c r="CJ166" s="24" t="n"/>
      <c r="CK166" s="24" t="n"/>
      <c r="CL166" s="24" t="n"/>
      <c r="CM166" s="24" t="n"/>
      <c r="CN166" s="24" t="n"/>
      <c r="CO166" s="24" t="n"/>
      <c r="CP166" s="24" t="n"/>
      <c r="CQ166" s="24" t="n"/>
      <c r="CR166" s="24" t="n"/>
      <c r="CS166" s="24" t="inlineStr">
        <is>
          <t>False</t>
        </is>
      </c>
      <c r="CT166" s="24" t="n"/>
      <c r="CU166" s="24" t="n"/>
      <c r="CV166" s="24" t="n"/>
      <c r="CW166" s="24" t="n"/>
      <c r="CX166" s="24" t="n"/>
      <c r="CY166" s="24" t="n"/>
      <c r="CZ166" s="24" t="n"/>
      <c r="DA166" s="24" t="n"/>
      <c r="DB166" s="24" t="n"/>
      <c r="DC166" s="24" t="n"/>
      <c r="DD166" s="24" t="n"/>
      <c r="DE166" s="24" t="n"/>
      <c r="DF166" s="24" t="n"/>
      <c r="DG166" s="24" t="n"/>
      <c r="DH166" s="24" t="n"/>
      <c r="DI166" s="24" t="n"/>
      <c r="DJ166" s="24" t="n"/>
      <c r="DK166" s="24" t="n"/>
      <c r="DL166" s="24" t="n"/>
      <c r="DM166" s="24" t="n"/>
      <c r="DN166" s="24" t="n"/>
      <c r="DO166" s="24" t="n"/>
      <c r="DP166" s="24" t="n"/>
      <c r="DQ166" s="24" t="inlineStr">
        <is>
          <t>{"artifact_hash": "7cff2807fc660517fbda95f730a6a901b570d0845019c5e524dde23a826f7114", "away_team": "Kia Tigers", "draw_settlement_value": 0.5, "event_id": "141709", "event_start_utc": "2026-10-07T09:30:00Z", "features": {"away_elo": 1524.366838, "base_tie_rate": 0.02262693, "home_advantage": 20.0, "home_elo": 1482.834576}, "historical_source_observation_times_verified": false, "home_team": "Lotte Giants", "inference_inputs": {"away_id": "KIA", "base_tie_rate": 0.02262693, "book_state": {"_games_played": null, "_last_active": null, "decay_rate": 0.001, "home_advantage": 20.0, "k": 8.0, "margin_weight": 0.0, "ratings": {"KIA": 1524.366838, "LOTTE": 1482.834576}}, "code_sha256": {"features/elo_ratings.py": "8525faf022a6343c452286dbfeb17dbb043744c6bdabbe448b6b371216da439b", "international_baseball.py": "f345eb917316d2e897f62c1cdd0f73153115c65da54c30c6137ad76bb7b27869"}, "home_id": "LOTTE", "tie_method": "flat"}, "market_type": "moneyline", "model_version": "kbo-tie-aware-elo-v2", "observed_at_utc": "2026-10-06T22:24:50.283322+00:00", "outcome_probabilities": {"away": 0.5189340850239297, "draw": 0.02262693, "home": 0.4584389849760702}, "replay_scope": "Exact Elo and tie model; logged value is expected contract settlement, not outright win probability.", "schema": "international-elo-replay-v1", "settlement_values": {"away": 0.530248, "home": 0.469752}, "snapshot_hash": "7224fd777d486ed64d33b68c30084e68ac7193ae5a6ee397c4e0e18c916f3b21", "sport": "KBO"}</t>
        </is>
      </c>
    </row>
    <row r="167" ht="36" customHeight="1">
      <c r="A167" s="24" t="inlineStr">
        <is>
          <t>45135b7cf1c746d1</t>
        </is>
      </c>
      <c r="B167" s="24" t="inlineStr">
        <is>
          <t>2026-10-06T22:25:10.987601Z</t>
        </is>
      </c>
      <c r="C167" s="24" t="inlineStr">
        <is>
          <t>2026-10-07T09:30:00Z</t>
        </is>
      </c>
      <c r="D167" s="24" t="inlineStr">
        <is>
          <t>141710</t>
        </is>
      </c>
      <c r="E167" s="24" t="inlineStr">
        <is>
          <t>KBO</t>
        </is>
      </c>
      <c r="F167" s="24" t="inlineStr">
        <is>
          <t>Hanwha Eagles</t>
        </is>
      </c>
      <c r="G167" s="24" t="inlineStr">
        <is>
          <t>Kiwoom Heroes</t>
        </is>
      </c>
      <c r="H167" s="24" t="inlineStr">
        <is>
          <t>moneyline</t>
        </is>
      </c>
      <c r="I167" s="24" t="inlineStr">
        <is>
          <t>home</t>
        </is>
      </c>
      <c r="J167" s="25" t="n"/>
      <c r="K167" s="24" t="inlineStr">
        <is>
          <t>polymarket_us</t>
        </is>
      </c>
      <c r="L167" s="26" t="n">
        <v>144</v>
      </c>
      <c r="M167" s="27" t="n">
        <v>2.44</v>
      </c>
      <c r="N167" s="28" t="n">
        <v>0.409836</v>
      </c>
      <c r="O167" s="28" t="n">
        <v>0.530326</v>
      </c>
      <c r="P167" s="28" t="n"/>
      <c r="Q167" s="28" t="n">
        <v>0.12049</v>
      </c>
      <c r="R167" s="26" t="n">
        <v>80</v>
      </c>
      <c r="S167" s="29" t="n">
        <v>1.5</v>
      </c>
      <c r="T167" s="24" t="inlineStr">
        <is>
          <t>kbo-tie-aware-elo-v2</t>
        </is>
      </c>
      <c r="U167" s="24" t="inlineStr">
        <is>
          <t>open</t>
        </is>
      </c>
      <c r="V167" s="24" t="n"/>
      <c r="W167" s="26" t="n"/>
      <c r="X167" s="26" t="n"/>
      <c r="Y167" s="25" t="n"/>
      <c r="Z167" s="26" t="n"/>
      <c r="AA167" s="28" t="n"/>
      <c r="AB167" s="28" t="n"/>
      <c r="AC167" s="30" t="n"/>
      <c r="AD167" s="24" t="n"/>
      <c r="AE167" s="31" t="inlineStr">
        <is>
          <t>Tie-aware Elo baseline; executable ask 0.4100 (market_slug=aec-kbo-khi-hea-2026-10-07). Tie probability=0.0226.</t>
        </is>
      </c>
      <c r="AF167" s="31" t="inlineStr">
        <is>
          <t>Config-promoted international baseball baseline; gates enforced at log time.</t>
        </is>
      </c>
      <c r="AG167" s="24" t="inlineStr">
        <is>
          <t>not_applicable</t>
        </is>
      </c>
      <c r="AH167" s="24" t="n"/>
      <c r="AI167" s="31" t="n"/>
      <c r="AJ167" s="31" t="n"/>
      <c r="AK167" s="24" t="inlineStr">
        <is>
          <t>paper_call</t>
        </is>
      </c>
      <c r="AL167" s="26" t="n">
        <v>4</v>
      </c>
      <c r="AM167" s="24" t="inlineStr">
        <is>
          <t>RESEARCH_OBSERVATION</t>
        </is>
      </c>
      <c r="AN167" s="24" t="inlineStr">
        <is>
          <t>CALL</t>
        </is>
      </c>
      <c r="AO167" s="24" t="inlineStr">
        <is>
          <t>PAPER_CALL_LOW_EDGE</t>
        </is>
      </c>
      <c r="AP167" s="24" t="inlineStr">
        <is>
          <t>Hanwha Eagles</t>
        </is>
      </c>
      <c r="AQ167" s="24" t="inlineStr">
        <is>
          <t>Hanwha Eagles</t>
        </is>
      </c>
      <c r="AR167" s="24" t="inlineStr">
        <is>
          <t>Hanwha Eagles</t>
        </is>
      </c>
      <c r="AS167" s="24" t="inlineStr">
        <is>
          <t>Kiwoom Heroes</t>
        </is>
      </c>
      <c r="AT167" s="24" t="inlineStr">
        <is>
          <t>Kiwoom Heroes</t>
        </is>
      </c>
      <c r="AU167" s="24" t="inlineStr">
        <is>
          <t>Kiwoom Heroes</t>
        </is>
      </c>
      <c r="AV167" s="24" t="n"/>
      <c r="AW167" s="24" t="n"/>
      <c r="AX167" s="24" t="inlineStr">
        <is>
          <t>statistical_model</t>
        </is>
      </c>
      <c r="AY167" s="24" t="n"/>
      <c r="AZ167" s="24" t="inlineStr">
        <is>
          <t>shadow_qualified</t>
        </is>
      </c>
      <c r="BA167" s="24" t="inlineStr">
        <is>
          <t>7cff2807fc660517fbda95f730a6a901b570d0845019c5e524dde23a826f7114</t>
        </is>
      </c>
      <c r="BB167" s="24" t="inlineStr">
        <is>
          <t>tie_aware_elo</t>
        </is>
      </c>
      <c r="BC167" s="24" t="inlineStr">
        <is>
          <t>kbo-tie-aware-elo-v2</t>
        </is>
      </c>
      <c r="BD167" s="24" t="inlineStr">
        <is>
          <t>7cff2807fc660517fbda95f730a6a901b570d0845019c5e524dde23a826f7114</t>
        </is>
      </c>
      <c r="BE167" s="24" t="inlineStr">
        <is>
          <t>1</t>
        </is>
      </c>
      <c r="BF167" s="24" t="inlineStr">
        <is>
          <t>1</t>
        </is>
      </c>
      <c r="BG167" s="24" t="inlineStr">
        <is>
          <t>kbo-tie-aware-elo-v2</t>
        </is>
      </c>
      <c r="BH167" s="24" t="inlineStr">
        <is>
          <t>2026-10-06T22:25:10.987601Z</t>
        </is>
      </c>
      <c r="BI167" s="24" t="inlineStr">
        <is>
          <t>["same_event","same_team_same_day","same_league_same_day"]</t>
        </is>
      </c>
      <c r="BJ167" s="25" t="n"/>
      <c r="BK167" s="26" t="n">
        <v>144</v>
      </c>
      <c r="BL167" s="27" t="n">
        <v>2.44</v>
      </c>
      <c r="BM167" s="28" t="n">
        <v>0.409836</v>
      </c>
      <c r="BN167" s="28" t="n"/>
      <c r="BO167" s="28" t="n"/>
      <c r="BP167" s="25" t="n"/>
      <c r="BQ167" s="27" t="n"/>
      <c r="BR167" s="28" t="n"/>
      <c r="BS167" s="28" t="n"/>
      <c r="BT167" s="28" t="n"/>
      <c r="BU167" s="25" t="n"/>
      <c r="BV167" s="29" t="n"/>
      <c r="BW167" s="24" t="n"/>
      <c r="BX167" s="30" t="n"/>
      <c r="BY167" s="27" t="n"/>
      <c r="BZ167" s="24" t="n"/>
      <c r="CA167" s="31" t="n"/>
      <c r="CB167" s="24" t="n"/>
      <c r="CC167" s="24" t="n"/>
      <c r="CD167" s="24" t="n"/>
      <c r="CE167" s="24" t="n"/>
      <c r="CF167" s="24" t="n"/>
      <c r="CG167" s="24" t="n"/>
      <c r="CH167" s="24" t="n"/>
      <c r="CI167" s="24" t="n"/>
      <c r="CJ167" s="24" t="n"/>
      <c r="CK167" s="24" t="n"/>
      <c r="CL167" s="24" t="n"/>
      <c r="CM167" s="24" t="n"/>
      <c r="CN167" s="24" t="n"/>
      <c r="CO167" s="24" t="n"/>
      <c r="CP167" s="24" t="n"/>
      <c r="CQ167" s="24" t="n"/>
      <c r="CR167" s="24" t="n"/>
      <c r="CS167" s="24" t="inlineStr">
        <is>
          <t>True</t>
        </is>
      </c>
      <c r="CT167" s="24" t="n"/>
      <c r="CU167" s="24" t="n"/>
      <c r="CV167" s="24" t="n"/>
      <c r="CW167" s="24" t="n"/>
      <c r="CX167" s="24" t="n"/>
      <c r="CY167" s="24" t="n"/>
      <c r="CZ167" s="24" t="n"/>
      <c r="DA167" s="24" t="n"/>
      <c r="DB167" s="24" t="n"/>
      <c r="DC167" s="24" t="n"/>
      <c r="DD167" s="24" t="n"/>
      <c r="DE167" s="24" t="n"/>
      <c r="DF167" s="24" t="n"/>
      <c r="DG167" s="24" t="n"/>
      <c r="DH167" s="24" t="n"/>
      <c r="DI167" s="24" t="n"/>
      <c r="DJ167" s="24" t="n"/>
      <c r="DK167" s="24" t="n"/>
      <c r="DL167" s="24" t="n"/>
      <c r="DM167" s="24" t="n"/>
      <c r="DN167" s="24" t="n"/>
      <c r="DO167" s="24" t="n"/>
      <c r="DP167" s="24" t="n"/>
      <c r="DQ167" s="24" t="inlineStr">
        <is>
          <t>{"artifact_hash": "7cff2807fc660517fbda95f730a6a901b570d0845019c5e524dde23a826f7114", "away_team": "Hanwha Eagles", "draw_settlement_value": 0.5, "event_id": "141710", "event_start_utc": "2026-10-07T09:30:00Z", "features": {"away_elo": 1438.436026, "base_tie_rate": 0.02262693, "home_advantage": 20.0, "home_elo": 1440.024074}, "historical_source_observation_times_verified": false, "home_team": "Kiwoom Heroes", "inference_inputs": {"away_id": "HANWHA", "base_tie_rate": 0.02262693, "book_state": {"_games_played": null, "_last_active": null, "decay_rate": 0.001, "home_advantage": 20.0, "k": 8.0, "margin_weight": 0.0, "ratings": {"HANWHA": 1438.436026, "KIWOOM": 1440.024074}}, "code_sha256": {"features/elo_ratings.py": "8525faf022a6343c452286dbfeb17dbb043744c6bdabbe448b6b371216da439b", "international_baseball.py": "f345eb917316d2e897f62c1cdd0f73153115c65da54c30c6137ad76bb7b27869"}, "home_id": "KIWOOM", "tie_method": "flat"}, "market_type": "moneyline", "model_version": "kbo-tie-aware-elo-v2", "observed_at_utc": "2026-10-06T22:24:50.283322+00:00", "outcome_probabilities": {"away": 0.45836082040103526, "draw": 0.02262693, "home": 0.5190122495989647}, "replay_scope": "Exact Elo and tie model; logged value is expected contract settlement, not outright win probability.", "schema": "international-elo-replay-v1", "settlement_values": {"away": 0.469674, "home": 0.530326}, "snapshot_hash": "322b7cf15492d4f871004a8d048c4176fc52dec89f029ce76c72682e2d17a07b", "sport": "KBO"}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2026-10-06T22:59:28Z</dcterms:created>
  <dcterms:modified xmlns:dcterms="http://purl.org/dc/terms/" xmlns:xsi="http://www.w3.org/2001/XMLSchema-instance" xsi:type="dcterms:W3CDTF">2026-10-06T22:59:28Z</dcterms:modified>
</cp:coreProperties>
</file>