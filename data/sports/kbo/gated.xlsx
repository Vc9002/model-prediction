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99" headerRowCount="1">
  <autoFilter ref="A1:DQ9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COUNTA('Picks'!$A$2:$A$99)</f>
        <v/>
      </c>
      <c r="C4" s="6">
        <f>COUNTIF('Picks'!$U$2:$U$99,"open")</f>
        <v/>
      </c>
      <c r="E4" s="6">
        <f>COUNTIF('Picks'!$U$2:$U$99,"settled")</f>
        <v/>
      </c>
      <c r="G4" s="6">
        <f>IF(COUNTIFS('Picks'!$U$2:$U$99,"settled",'Picks'!$V$2:$V$99,"win")+COUNTIFS('Picks'!$U$2:$U$99,"settled",'Picks'!$V$2:$V$99,"loss")&gt;=$L$2,"Ready","Insufficient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COUNTIF('Picks'!$BX$2:$BX$99,"&gt;0")</f>
        <v/>
      </c>
      <c r="C7" s="6">
        <f>COUNTIFS('Picks'!$BX$2:$BX$99,"&gt;0",'Picks'!$V$2:$V$99,"win")&amp;"-"&amp;COUNTIFS('Picks'!$BX$2:$BX$99,"&gt;0",'Picks'!$V$2:$V$99,"loss")</f>
        <v/>
      </c>
      <c r="E7" s="7">
        <f>IFERROR(COUNTIFS('Picks'!$BX$2:$BX$99,"&gt;0",'Picks'!$V$2:$V$99,"win")/(COUNTIFS('Picks'!$BX$2:$BX$99,"&gt;0",'Picks'!$V$2:$V$99,"win")+COUNTIFS('Picks'!$BX$2:$BX$99,"&gt;0",'Picks'!$V$2:$V$99,"loss")),0)</f>
        <v/>
      </c>
      <c r="G7" s="7">
        <f>IFERROR(SUM('Picks'!$BY$2:$BY$99)/SUM('Picks'!$BX$2:$BX$99),0)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SUM('Picks'!$BY$2:$BY$99)</f>
        <v/>
      </c>
      <c r="C10" s="9">
        <f>IFERROR(AVERAGEIF('Picks'!$AB$2:$AB$99,"&lt;&gt;",'Picks'!$AB$2:$AB$99),0)</f>
        <v/>
      </c>
      <c r="E10" s="6">
        <f>COUNTIFS('Picks'!$AM$2:$AM$99,"QUALIFIED_SHADOW_CALL",'Picks'!$U$2:$U$99,"settled")</f>
        <v/>
      </c>
      <c r="G10" s="8">
        <f>SUMIFS('Picks'!$AC$2:$AC$99,'Picks'!$AM$2:$AM$99,"QUALIFIED_SHADOW_CALL")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COUNTIFS('Picks'!$H$2:$H$99,$A14,'Picks'!$U$2:$U$99,"settled")</f>
        <v/>
      </c>
      <c r="C14" s="13">
        <f>COUNTIFS('Picks'!$H$2:$H$99,$A14,'Picks'!$U$2:$U$99,"settled",'Picks'!$V$2:$V$99,"win")</f>
        <v/>
      </c>
      <c r="D14" s="13">
        <f>COUNTIFS('Picks'!$H$2:$H$99,$A14,'Picks'!$U$2:$U$99,"settled",'Picks'!$V$2:$V$99,"loss")</f>
        <v/>
      </c>
      <c r="E14" s="14">
        <f>IFERROR(C14/(C14+D14),0)</f>
        <v/>
      </c>
      <c r="F14" s="15">
        <f>SUMIFS('Picks'!$BY$2:$BY$99,'Picks'!$H$2:$H$99,$A14)</f>
        <v/>
      </c>
      <c r="G14" s="16">
        <f>IFERROR(AVERAGEIFS('Picks'!$AB$2:$AB$99,'Picks'!$H$2:$H$99,$A14,'Picks'!$U$2:$U$99,"settled"),0)</f>
        <v/>
      </c>
    </row>
    <row r="15">
      <c r="A15" s="17" t="inlineStr">
        <is>
          <t>spread</t>
        </is>
      </c>
      <c r="B15" s="18">
        <f>COUNTIFS('Picks'!$H$2:$H$99,$A15,'Picks'!$U$2:$U$99,"settled")</f>
        <v/>
      </c>
      <c r="C15" s="18">
        <f>COUNTIFS('Picks'!$H$2:$H$99,$A15,'Picks'!$U$2:$U$99,"settled",'Picks'!$V$2:$V$99,"win")</f>
        <v/>
      </c>
      <c r="D15" s="18">
        <f>COUNTIFS('Picks'!$H$2:$H$99,$A15,'Picks'!$U$2:$U$99,"settled",'Picks'!$V$2:$V$99,"loss")</f>
        <v/>
      </c>
      <c r="E15" s="19">
        <f>IFERROR(C15/(C15+D15),0)</f>
        <v/>
      </c>
      <c r="F15" s="20">
        <f>SUMIFS('Picks'!$BY$2:$BY$99,'Picks'!$H$2:$H$99,$A15)</f>
        <v/>
      </c>
      <c r="G15" s="21">
        <f>IFERROR(AVERAGEIFS('Picks'!$AB$2:$AB$99,'Picks'!$H$2:$H$99,$A15,'Picks'!$U$2:$U$99,"settled"),0)</f>
        <v/>
      </c>
    </row>
    <row r="16">
      <c r="A16" s="12" t="inlineStr">
        <is>
          <t>total</t>
        </is>
      </c>
      <c r="B16" s="13">
        <f>COUNTIFS('Picks'!$H$2:$H$99,$A16,'Picks'!$U$2:$U$99,"settled")</f>
        <v/>
      </c>
      <c r="C16" s="13">
        <f>COUNTIFS('Picks'!$H$2:$H$99,$A16,'Picks'!$U$2:$U$99,"settled",'Picks'!$V$2:$V$99,"win")</f>
        <v/>
      </c>
      <c r="D16" s="13">
        <f>COUNTIFS('Picks'!$H$2:$H$99,$A16,'Picks'!$U$2:$U$99,"settled",'Picks'!$V$2:$V$99,"loss")</f>
        <v/>
      </c>
      <c r="E16" s="14">
        <f>IFERROR(C16/(C16+D16),0)</f>
        <v/>
      </c>
      <c r="F16" s="15">
        <f>SUMIFS('Picks'!$BY$2:$BY$99,'Picks'!$H$2:$H$99,$A16)</f>
        <v/>
      </c>
      <c r="G16" s="16">
        <f>IFERROR(AVERAGEIFS('Picks'!$AB$2:$AB$99,'Picks'!$H$2:$H$99,$A16,'Picks'!$U$2:$U$99,"settled"),0)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d970e3cf7a594862</t>
        </is>
      </c>
      <c r="B2" s="24" t="inlineStr">
        <is>
          <t>2026-08-25T05:00:51.810879Z</t>
        </is>
      </c>
      <c r="C2" s="24" t="inlineStr">
        <is>
          <t>2026-08-25T09:30:00Z</t>
        </is>
      </c>
      <c r="D2" s="24" t="inlineStr">
        <is>
          <t>88605</t>
        </is>
      </c>
      <c r="E2" s="24" t="inlineStr">
        <is>
          <t>KBO</t>
        </is>
      </c>
      <c r="F2" s="24" t="inlineStr">
        <is>
          <t>Hanwha Eagles</t>
        </is>
      </c>
      <c r="G2" s="24" t="inlineStr">
        <is>
          <t>SSG Landers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-150</v>
      </c>
      <c r="M2" s="27" t="n">
        <v>1.666667</v>
      </c>
      <c r="N2" s="28" t="n">
        <v>0.6</v>
      </c>
      <c r="O2" s="28" t="n">
        <v>0.510032</v>
      </c>
      <c r="P2" s="28" t="n"/>
      <c r="Q2" s="28" t="n">
        <v>-0.08996800000000001</v>
      </c>
      <c r="R2" s="26" t="n">
        <v>0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7</v>
      </c>
      <c r="Y2" s="25" t="n"/>
      <c r="Z2" s="26" t="n"/>
      <c r="AA2" s="28" t="n"/>
      <c r="AB2" s="28" t="n"/>
      <c r="AC2" s="30" t="n">
        <v>-1</v>
      </c>
      <c r="AD2" s="24" t="inlineStr">
        <is>
          <t>2026-08-26T12:41:55.182620Z</t>
        </is>
      </c>
      <c r="AE2" s="31" t="inlineStr">
        <is>
          <t>Tie-aware Elo baseline; executable ask 0.6000 (market_slug=aec-kbo-sls-hea-2026-08-25). Tie probability=0.0225.</t>
        </is>
      </c>
      <c r="AF2" s="31" t="inlineStr">
        <is>
          <t>Config-promoted international baseball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Hanwha Eagles</t>
        </is>
      </c>
      <c r="AQ2" s="24" t="inlineStr">
        <is>
          <t>Hanwha Eagles</t>
        </is>
      </c>
      <c r="AR2" s="24" t="inlineStr">
        <is>
          <t>Hanwha Eagles</t>
        </is>
      </c>
      <c r="AS2" s="24" t="inlineStr">
        <is>
          <t>SSG Landers</t>
        </is>
      </c>
      <c r="AT2" s="24" t="inlineStr">
        <is>
          <t>SSG Landers</t>
        </is>
      </c>
      <c r="AU2" s="24" t="inlineStr">
        <is>
          <t>SSG Landers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eedd427a78e6169288bcc8787b65eeb13463cf8eaa7015c7bc1b9b106feb52d8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eedd427a78e6169288bcc8787b65eeb13463cf8eaa7015c7bc1b9b106feb52d8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2026-08-25T05:00:51.218775Z</t>
        </is>
      </c>
      <c r="BI2" s="24" t="inlineStr">
        <is>
          <t>["same_event","same_team_same_day","same_league_same_day"]</t>
        </is>
      </c>
      <c r="BJ2" s="25" t="n"/>
      <c r="BK2" s="26" t="n">
        <v>-150</v>
      </c>
      <c r="BL2" s="27" t="n">
        <v>1.666667</v>
      </c>
      <c r="BM2" s="28" t="n">
        <v>0.6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828581e5c33244d5</t>
        </is>
      </c>
      <c r="B3" s="24" t="inlineStr">
        <is>
          <t>2026-08-25T05:00:51.810879Z</t>
        </is>
      </c>
      <c r="C3" s="24" t="inlineStr">
        <is>
          <t>2026-08-25T10:00:00Z</t>
        </is>
      </c>
      <c r="D3" s="24" t="inlineStr">
        <is>
          <t>88626</t>
        </is>
      </c>
      <c r="E3" s="24" t="inlineStr">
        <is>
          <t>KBO</t>
        </is>
      </c>
      <c r="F3" s="24" t="inlineStr">
        <is>
          <t>NC Dinos</t>
        </is>
      </c>
      <c r="G3" s="24" t="inlineStr">
        <is>
          <t>LG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-170</v>
      </c>
      <c r="M3" s="27" t="n">
        <v>1.588235</v>
      </c>
      <c r="N3" s="28" t="n">
        <v>0.62963</v>
      </c>
      <c r="O3" s="28" t="n">
        <v>0.524239</v>
      </c>
      <c r="P3" s="28" t="n"/>
      <c r="Q3" s="28" t="n">
        <v>-0.105391</v>
      </c>
      <c r="R3" s="26" t="n">
        <v>0</v>
      </c>
      <c r="S3" s="29" t="n">
        <v>1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0.5881999999999999</v>
      </c>
      <c r="AD3" s="24" t="inlineStr">
        <is>
          <t>2026-08-26T12:41:55.264981Z</t>
        </is>
      </c>
      <c r="AE3" s="31" t="inlineStr">
        <is>
          <t>Tie-aware Elo baseline; executable ask 0.6300 (market_slug=aec-kbo-ltg-ndc-2026-08-25). Tie probability=0.0225.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NC Dinos</t>
        </is>
      </c>
      <c r="AQ3" s="24" t="inlineStr">
        <is>
          <t>NC Dinos</t>
        </is>
      </c>
      <c r="AR3" s="24" t="inlineStr">
        <is>
          <t>NC Dinos</t>
        </is>
      </c>
      <c r="AS3" s="24" t="inlineStr">
        <is>
          <t>LG Twins</t>
        </is>
      </c>
      <c r="AT3" s="24" t="inlineStr">
        <is>
          <t>LG Twins</t>
        </is>
      </c>
      <c r="AU3" s="24" t="inlineStr">
        <is>
          <t>LG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eedd427a78e6169288bcc8787b65eeb13463cf8eaa7015c7bc1b9b106feb52d8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eedd427a78e6169288bcc8787b65eeb13463cf8eaa7015c7bc1b9b106feb52d8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2026-08-25T05:00:51.448792Z</t>
        </is>
      </c>
      <c r="BI3" s="24" t="inlineStr">
        <is>
          <t>["same_event","same_team_same_day","same_league_same_day"]</t>
        </is>
      </c>
      <c r="BJ3" s="25" t="n"/>
      <c r="BK3" s="26" t="n">
        <v>-170</v>
      </c>
      <c r="BL3" s="27" t="n">
        <v>1.588235</v>
      </c>
      <c r="BM3" s="28" t="n">
        <v>0.62963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0.62963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759169930dc54dfd</t>
        </is>
      </c>
      <c r="B4" s="24" t="inlineStr">
        <is>
          <t>2026-08-25T05:00:51.810879Z</t>
        </is>
      </c>
      <c r="C4" s="24" t="inlineStr">
        <is>
          <t>2026-08-25T10:00:00Z</t>
        </is>
      </c>
      <c r="D4" s="24" t="inlineStr">
        <is>
          <t>88627</t>
        </is>
      </c>
      <c r="E4" s="24" t="inlineStr">
        <is>
          <t>KBO</t>
        </is>
      </c>
      <c r="F4" s="24" t="inlineStr">
        <is>
          <t>Doosan Bears</t>
        </is>
      </c>
      <c r="G4" s="24" t="inlineStr">
        <is>
          <t>KT Wiz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0.530164</v>
      </c>
      <c r="P4" s="28" t="n"/>
      <c r="Q4" s="28" t="n">
        <v>-0.049668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2026-08-26T12:41:55.345840Z</t>
        </is>
      </c>
      <c r="AE4" s="31" t="inlineStr">
        <is>
          <t>Tie-aware Elo baseline; executable ask 0.5800 (market_slug=aec-kbo-kwt-dbo-2026-08-25). Tie probability=0.0225.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Doosan Bears</t>
        </is>
      </c>
      <c r="AQ4" s="24" t="inlineStr">
        <is>
          <t>Doosan Bears</t>
        </is>
      </c>
      <c r="AR4" s="24" t="inlineStr">
        <is>
          <t>Doosan Bears</t>
        </is>
      </c>
      <c r="AS4" s="24" t="inlineStr">
        <is>
          <t>KT Wiz</t>
        </is>
      </c>
      <c r="AT4" s="24" t="inlineStr">
        <is>
          <t>KT Wiz</t>
        </is>
      </c>
      <c r="AU4" s="24" t="inlineStr">
        <is>
          <t>KT Wiz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eedd427a78e6169288bcc8787b65eeb13463cf8eaa7015c7bc1b9b106feb52d8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eedd427a78e6169288bcc8787b65eeb13463cf8eaa7015c7bc1b9b106feb52d8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2026-08-25T05:00:51.651246Z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db1981db31db431d</t>
        </is>
      </c>
      <c r="B5" s="24" t="inlineStr">
        <is>
          <t>2026-08-25T05:00:51.810879Z</t>
        </is>
      </c>
      <c r="C5" s="24" t="inlineStr">
        <is>
          <t>2026-08-25T10:00:00Z</t>
        </is>
      </c>
      <c r="D5" s="24" t="inlineStr">
        <is>
          <t>88628</t>
        </is>
      </c>
      <c r="E5" s="24" t="inlineStr">
        <is>
          <t>KBO</t>
        </is>
      </c>
      <c r="F5" s="24" t="inlineStr">
        <is>
          <t>Lotte Giants</t>
        </is>
      </c>
      <c r="G5" s="24" t="inlineStr">
        <is>
          <t>Kia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0.534243</v>
      </c>
      <c r="P5" s="28" t="n"/>
      <c r="Q5" s="28" t="n">
        <v>0.003727</v>
      </c>
      <c r="R5" s="26" t="n">
        <v>22</v>
      </c>
      <c r="S5" s="29" t="n">
        <v>1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5</v>
      </c>
      <c r="X5" s="26" t="n">
        <v>8</v>
      </c>
      <c r="Y5" s="25" t="n"/>
      <c r="Z5" s="26" t="n"/>
      <c r="AA5" s="28" t="n"/>
      <c r="AB5" s="28" t="n"/>
      <c r="AC5" s="30" t="n">
        <v>0.885</v>
      </c>
      <c r="AD5" s="24" t="inlineStr">
        <is>
          <t>2026-08-26T12:41:55.425137Z</t>
        </is>
      </c>
      <c r="AE5" s="31" t="inlineStr">
        <is>
          <t>Tie-aware Elo baseline; executable ask 0.5300 (market_slug=aec-kbo-kti-lgo-2026-08-25). Tie probability=0.0225.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Lotte Giants</t>
        </is>
      </c>
      <c r="AQ5" s="24" t="inlineStr">
        <is>
          <t>Lotte Giants</t>
        </is>
      </c>
      <c r="AR5" s="24" t="inlineStr">
        <is>
          <t>Lotte Giants</t>
        </is>
      </c>
      <c r="AS5" s="24" t="inlineStr">
        <is>
          <t>Kia Tigers</t>
        </is>
      </c>
      <c r="AT5" s="24" t="inlineStr">
        <is>
          <t>Kia Tigers</t>
        </is>
      </c>
      <c r="AU5" s="24" t="inlineStr">
        <is>
          <t>Kia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eedd427a78e6169288bcc8787b65eeb13463cf8eaa7015c7bc1b9b106feb52d8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eedd427a78e6169288bcc8787b65eeb13463cf8eaa7015c7bc1b9b106feb52d8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2026-08-25T05:00:51.723596Z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0.530516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8954d0b5d85b48e7</t>
        </is>
      </c>
      <c r="B6" s="24" t="inlineStr">
        <is>
          <t>2026-08-25T05:00:51.810879Z</t>
        </is>
      </c>
      <c r="C6" s="24" t="inlineStr">
        <is>
          <t>2026-08-25T10:00:00Z</t>
        </is>
      </c>
      <c r="D6" s="24" t="inlineStr">
        <is>
          <t>88629</t>
        </is>
      </c>
      <c r="E6" s="24" t="inlineStr">
        <is>
          <t>KBO</t>
        </is>
      </c>
      <c r="F6" s="24" t="inlineStr">
        <is>
          <t>Samsung Lions</t>
        </is>
      </c>
      <c r="G6" s="24" t="inlineStr">
        <is>
          <t>Kiwoom Heroes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0.618422</v>
      </c>
      <c r="P6" s="28" t="n"/>
      <c r="Q6" s="28" t="n">
        <v>0.018422</v>
      </c>
      <c r="R6" s="26" t="n">
        <v>29</v>
      </c>
      <c r="S6" s="29" t="n">
        <v>1</v>
      </c>
      <c r="T6" s="24" t="inlineStr">
        <is>
          <t>kbo-tie-aware-elo-v2</t>
        </is>
      </c>
      <c r="U6" s="24" t="inlineStr">
        <is>
          <t>settled</t>
        </is>
      </c>
      <c r="V6" s="24" t="inlineStr">
        <is>
          <t>push</t>
        </is>
      </c>
      <c r="W6" s="26" t="n">
        <v>3</v>
      </c>
      <c r="X6" s="26" t="n">
        <v>3</v>
      </c>
      <c r="Y6" s="25" t="n"/>
      <c r="Z6" s="26" t="n"/>
      <c r="AA6" s="28" t="n"/>
      <c r="AB6" s="28" t="n"/>
      <c r="AC6" s="30" t="n">
        <v>-0.1667</v>
      </c>
      <c r="AD6" s="24" t="inlineStr">
        <is>
          <t>2026-08-26T12:41:55.503471Z</t>
        </is>
      </c>
      <c r="AE6" s="31" t="inlineStr">
        <is>
          <t>Tie-aware Elo baseline; executable ask 0.6000 (market_slug=aec-kbo-khi-sla-2026-08-25). Tie probability=0.0225.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Samsung Lions</t>
        </is>
      </c>
      <c r="AQ6" s="24" t="inlineStr">
        <is>
          <t>Samsung Lions</t>
        </is>
      </c>
      <c r="AR6" s="24" t="inlineStr">
        <is>
          <t>Samsung Lions</t>
        </is>
      </c>
      <c r="AS6" s="24" t="inlineStr">
        <is>
          <t>Kiwoom Heroes</t>
        </is>
      </c>
      <c r="AT6" s="24" t="inlineStr">
        <is>
          <t>Kiwoom Heroes</t>
        </is>
      </c>
      <c r="AU6" s="24" t="inlineStr">
        <is>
          <t>Kiwoom Heroes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eedd427a78e6169288bcc8787b65eeb13463cf8eaa7015c7bc1b9b106feb52d8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eedd427a78e6169288bcc8787b65eeb13463cf8eaa7015c7bc1b9b106feb52d8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2026-08-25T05:00:51.810831Z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71fc3f1ebc1d48b4</t>
        </is>
      </c>
      <c r="B7" s="24" t="inlineStr">
        <is>
          <t>2026-08-27T00:44:21.641991Z</t>
        </is>
      </c>
      <c r="C7" s="24" t="inlineStr">
        <is>
          <t>2026-08-27T10:00:00Z</t>
        </is>
      </c>
      <c r="D7" s="24" t="inlineStr">
        <is>
          <t>90818</t>
        </is>
      </c>
      <c r="E7" s="24" t="inlineStr">
        <is>
          <t>KBO</t>
        </is>
      </c>
      <c r="F7" s="24" t="inlineStr">
        <is>
          <t>NC Dinos</t>
        </is>
      </c>
      <c r="G7" s="24" t="inlineStr">
        <is>
          <t>LG Twins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0.574102</v>
      </c>
      <c r="P7" s="28" t="n"/>
      <c r="Q7" s="28" t="n">
        <v>0.024552</v>
      </c>
      <c r="R7" s="26" t="n">
        <v>32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13</v>
      </c>
      <c r="X7" s="26" t="n">
        <v>3</v>
      </c>
      <c r="Y7" s="25" t="n"/>
      <c r="Z7" s="26" t="n"/>
      <c r="AA7" s="28" t="n"/>
      <c r="AB7" s="28" t="n"/>
      <c r="AC7" s="30" t="n">
        <v>-1</v>
      </c>
      <c r="AD7" s="24" t="inlineStr">
        <is>
          <t>2026-08-27T13:56:13.623292Z</t>
        </is>
      </c>
      <c r="AE7" s="31" t="inlineStr">
        <is>
          <t>Tie-aware Elo baseline; executable ask 0.5500 (market_slug=aec-kbo-ltg-ndc-2026-08-27). Tie probability=0.0226.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NC Dinos</t>
        </is>
      </c>
      <c r="AQ7" s="24" t="inlineStr">
        <is>
          <t>NC Dinos</t>
        </is>
      </c>
      <c r="AR7" s="24" t="inlineStr">
        <is>
          <t>NC Dinos</t>
        </is>
      </c>
      <c r="AS7" s="24" t="inlineStr">
        <is>
          <t>LG Twins</t>
        </is>
      </c>
      <c r="AT7" s="24" t="inlineStr">
        <is>
          <t>LG Twins</t>
        </is>
      </c>
      <c r="AU7" s="24" t="inlineStr">
        <is>
          <t>LG Twins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ee2fd7240aa243d222c7c70ca01d51160b295b616636ddde643545871f4be3f5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ee2fd7240aa243d222c7c70ca01d51160b295b616636ddde643545871f4be3f5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2026-08-27T00:44:20.656084Z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7b1ec6a9c2c545d0</t>
        </is>
      </c>
      <c r="B8" s="24" t="inlineStr">
        <is>
          <t>2026-08-27T00:44:21.641991Z</t>
        </is>
      </c>
      <c r="C8" s="24" t="inlineStr">
        <is>
          <t>2026-08-27T10:00:00Z</t>
        </is>
      </c>
      <c r="D8" s="24" t="inlineStr">
        <is>
          <t>90819</t>
        </is>
      </c>
      <c r="E8" s="24" t="inlineStr">
        <is>
          <t>KBO</t>
        </is>
      </c>
      <c r="F8" s="24" t="inlineStr">
        <is>
          <t>Hanwha Eagles</t>
        </is>
      </c>
      <c r="G8" s="24" t="inlineStr">
        <is>
          <t>SSG Landers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144</v>
      </c>
      <c r="M8" s="27" t="n">
        <v>2.44</v>
      </c>
      <c r="N8" s="28" t="n">
        <v>0.409836</v>
      </c>
      <c r="O8" s="28" t="n">
        <v>0.540615</v>
      </c>
      <c r="P8" s="28" t="n"/>
      <c r="Q8" s="28" t="n">
        <v>0.130779</v>
      </c>
      <c r="R8" s="26" t="n">
        <v>85</v>
      </c>
      <c r="S8" s="29" t="n">
        <v>1.5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6</v>
      </c>
      <c r="X8" s="26" t="n">
        <v>13</v>
      </c>
      <c r="Y8" s="25" t="n"/>
      <c r="Z8" s="26" t="n"/>
      <c r="AA8" s="28" t="n"/>
      <c r="AB8" s="28" t="n"/>
      <c r="AC8" s="30" t="n">
        <v>2.16</v>
      </c>
      <c r="AD8" s="24" t="inlineStr">
        <is>
          <t>2026-08-27T13:56:13.718225Z</t>
        </is>
      </c>
      <c r="AE8" s="31" t="inlineStr">
        <is>
          <t>Tie-aware Elo baseline; executable ask 0.4100 (market_slug=aec-kbo-sls-hea-2026-08-27). Tie probability=0.0226.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Hanwha Eagles</t>
        </is>
      </c>
      <c r="AQ8" s="24" t="inlineStr">
        <is>
          <t>Hanwha Eagles</t>
        </is>
      </c>
      <c r="AR8" s="24" t="inlineStr">
        <is>
          <t>Hanwha Eagles</t>
        </is>
      </c>
      <c r="AS8" s="24" t="inlineStr">
        <is>
          <t>SSG Landers</t>
        </is>
      </c>
      <c r="AT8" s="24" t="inlineStr">
        <is>
          <t>SSG Landers</t>
        </is>
      </c>
      <c r="AU8" s="24" t="inlineStr">
        <is>
          <t>SSG Landers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ee2fd7240aa243d222c7c70ca01d51160b295b616636ddde643545871f4be3f5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ee2fd7240aa243d222c7c70ca01d51160b295b616636ddde643545871f4be3f5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2026-08-27T00:44:21.139675Z</t>
        </is>
      </c>
      <c r="BI8" s="24" t="inlineStr">
        <is>
          <t>["same_event","same_team_same_day","same_league_same_day"]</t>
        </is>
      </c>
      <c r="BJ8" s="25" t="n"/>
      <c r="BK8" s="26" t="n">
        <v>144</v>
      </c>
      <c r="BL8" s="27" t="n">
        <v>2.44</v>
      </c>
      <c r="BM8" s="28" t="n">
        <v>0.409836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0.409836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ec9f287cdd70464c</t>
        </is>
      </c>
      <c r="B9" s="24" t="inlineStr">
        <is>
          <t>2026-08-27T00:44:21.641991Z</t>
        </is>
      </c>
      <c r="C9" s="24" t="inlineStr">
        <is>
          <t>2026-08-27T10:00:00Z</t>
        </is>
      </c>
      <c r="D9" s="24" t="inlineStr">
        <is>
          <t>90820</t>
        </is>
      </c>
      <c r="E9" s="24" t="inlineStr">
        <is>
          <t>KBO</t>
        </is>
      </c>
      <c r="F9" s="24" t="inlineStr">
        <is>
          <t>Doosan Bears</t>
        </is>
      </c>
      <c r="G9" s="24" t="inlineStr">
        <is>
          <t>KT Wiz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0.556758</v>
      </c>
      <c r="P9" s="28" t="n"/>
      <c r="Q9" s="28" t="n">
        <v>-0.08352999999999999</v>
      </c>
      <c r="R9" s="26" t="n">
        <v>0</v>
      </c>
      <c r="S9" s="29" t="n">
        <v>1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4</v>
      </c>
      <c r="X9" s="26" t="n">
        <v>5</v>
      </c>
      <c r="Y9" s="25" t="n"/>
      <c r="Z9" s="26" t="n"/>
      <c r="AA9" s="28" t="n"/>
      <c r="AB9" s="28" t="n"/>
      <c r="AC9" s="30" t="n">
        <v>0.5618</v>
      </c>
      <c r="AD9" s="24" t="inlineStr">
        <is>
          <t>2026-08-27T13:56:13.811029Z</t>
        </is>
      </c>
      <c r="AE9" s="31" t="inlineStr">
        <is>
          <t>Tie-aware Elo baseline; executable ask 0.6400 (market_slug=aec-kbo-kwt-dbo-2026-08-27). Tie probability=0.0226.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Doosan Bears</t>
        </is>
      </c>
      <c r="AQ9" s="24" t="inlineStr">
        <is>
          <t>Doosan Bears</t>
        </is>
      </c>
      <c r="AR9" s="24" t="inlineStr">
        <is>
          <t>Doosan Bears</t>
        </is>
      </c>
      <c r="AS9" s="24" t="inlineStr">
        <is>
          <t>KT Wiz</t>
        </is>
      </c>
      <c r="AT9" s="24" t="inlineStr">
        <is>
          <t>KT Wiz</t>
        </is>
      </c>
      <c r="AU9" s="24" t="inlineStr">
        <is>
          <t>KT Wiz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ee2fd7240aa243d222c7c70ca01d51160b295b616636ddde643545871f4be3f5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ee2fd7240aa243d222c7c70ca01d51160b295b616636ddde643545871f4be3f5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2026-08-27T00:44:21.454945Z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0.640288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ed7d403e2a894a1b</t>
        </is>
      </c>
      <c r="B10" s="24" t="inlineStr">
        <is>
          <t>2026-08-27T00:44:21.641991Z</t>
        </is>
      </c>
      <c r="C10" s="24" t="inlineStr">
        <is>
          <t>2026-08-27T10:00:00Z</t>
        </is>
      </c>
      <c r="D10" s="24" t="inlineStr">
        <is>
          <t>90822</t>
        </is>
      </c>
      <c r="E10" s="24" t="inlineStr">
        <is>
          <t>KBO</t>
        </is>
      </c>
      <c r="F10" s="24" t="inlineStr">
        <is>
          <t>Lotte Giants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-150</v>
      </c>
      <c r="M10" s="27" t="n">
        <v>1.666667</v>
      </c>
      <c r="N10" s="28" t="n">
        <v>0.6</v>
      </c>
      <c r="O10" s="28" t="n">
        <v>0.58206</v>
      </c>
      <c r="P10" s="28" t="n"/>
      <c r="Q10" s="28" t="n">
        <v>-0.01794</v>
      </c>
      <c r="R10" s="26" t="n">
        <v>11</v>
      </c>
      <c r="S10" s="29" t="n">
        <v>1</v>
      </c>
      <c r="T10" s="24" t="inlineStr">
        <is>
          <t>kbo-tie-aware-elo-v2</t>
        </is>
      </c>
      <c r="U10" s="24" t="inlineStr">
        <is>
          <t>settled</t>
        </is>
      </c>
      <c r="V10" s="24" t="inlineStr">
        <is>
          <t>push</t>
        </is>
      </c>
      <c r="W10" s="26" t="n"/>
      <c r="X10" s="26" t="n"/>
      <c r="Y10" s="25" t="n"/>
      <c r="Z10" s="26" t="n"/>
      <c r="AA10" s="28" t="n"/>
      <c r="AB10" s="28" t="n"/>
      <c r="AC10" s="30" t="n">
        <v>0</v>
      </c>
      <c r="AD10" s="24" t="inlineStr">
        <is>
          <t>2026-08-31T06:26:53.392645Z</t>
        </is>
      </c>
      <c r="AE10" s="31" t="inlineStr">
        <is>
          <t>Tie-aware Elo baseline; executable ask 0.6000 (market_slug=aec-kbo-kti-lgo-2026-08-27). Tie probability=0.0226.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Lotte Giants</t>
        </is>
      </c>
      <c r="AQ10" s="24" t="inlineStr">
        <is>
          <t>Lotte Giants</t>
        </is>
      </c>
      <c r="AR10" s="24" t="inlineStr">
        <is>
          <t>Lotte Giants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ee2fd7240aa243d222c7c70ca01d51160b295b616636ddde643545871f4be3f5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ee2fd7240aa243d222c7c70ca01d51160b295b616636ddde643545871f4be3f5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2026-08-27T00:44:21.555707Z</t>
        </is>
      </c>
      <c r="BI10" s="24" t="inlineStr">
        <is>
          <t>["same_event","same_team_same_day","same_league_same_day"]</t>
        </is>
      </c>
      <c r="BJ10" s="25" t="n"/>
      <c r="BK10" s="26" t="n">
        <v>-150</v>
      </c>
      <c r="BL10" s="27" t="n">
        <v>1.666667</v>
      </c>
      <c r="BM10" s="28" t="n">
        <v>0.6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inlineStr">
        <is>
          <t>voided 2026-08-31: game never played on its slate date -- the official KBO source still lists LOTTE @ KIA on 2026-08-27 with no score (postponed; makeup games are replayed under a new game_id on a new date), so no result for this contract can ever exist and the row would stay open forever.</t>
        </is>
      </c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d31d56c897c84155</t>
        </is>
      </c>
      <c r="B11" s="24" t="inlineStr">
        <is>
          <t>2026-08-27T00:44:21.641991Z</t>
        </is>
      </c>
      <c r="C11" s="24" t="inlineStr">
        <is>
          <t>2026-08-27T10:00:00Z</t>
        </is>
      </c>
      <c r="D11" s="24" t="inlineStr">
        <is>
          <t>90824</t>
        </is>
      </c>
      <c r="E11" s="24" t="inlineStr">
        <is>
          <t>KBO</t>
        </is>
      </c>
      <c r="F11" s="24" t="inlineStr">
        <is>
          <t>Samsung Lions</t>
        </is>
      </c>
      <c r="G11" s="24" t="inlineStr">
        <is>
          <t>Kiwoom Heroes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-213</v>
      </c>
      <c r="M11" s="27" t="n">
        <v>1.469484</v>
      </c>
      <c r="N11" s="28" t="n">
        <v>0.680511</v>
      </c>
      <c r="O11" s="28" t="n">
        <v>0.59799</v>
      </c>
      <c r="P11" s="28" t="n"/>
      <c r="Q11" s="28" t="n">
        <v>-0.082521</v>
      </c>
      <c r="R11" s="26" t="n">
        <v>0</v>
      </c>
      <c r="S11" s="29" t="n">
        <v>1</v>
      </c>
      <c r="T11" s="24" t="inlineStr">
        <is>
          <t>kbo-tie-aware-elo-v2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15</v>
      </c>
      <c r="X11" s="26" t="n">
        <v>2</v>
      </c>
      <c r="Y11" s="25" t="n"/>
      <c r="Z11" s="26" t="n"/>
      <c r="AA11" s="28" t="n"/>
      <c r="AB11" s="28" t="n"/>
      <c r="AC11" s="30" t="n">
        <v>0.4695</v>
      </c>
      <c r="AD11" s="24" t="inlineStr">
        <is>
          <t>2026-08-27T13:56:17.538849Z</t>
        </is>
      </c>
      <c r="AE11" s="31" t="inlineStr">
        <is>
          <t>Tie-aware Elo baseline; executable ask 0.6800 (market_slug=aec-kbo-khi-sla-2026-08-27). Tie probability=0.0226.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Samsung Lions</t>
        </is>
      </c>
      <c r="AQ11" s="24" t="inlineStr">
        <is>
          <t>Samsung Lions</t>
        </is>
      </c>
      <c r="AR11" s="24" t="inlineStr">
        <is>
          <t>Samsung Lions</t>
        </is>
      </c>
      <c r="AS11" s="24" t="inlineStr">
        <is>
          <t>Kiwoom Heroes</t>
        </is>
      </c>
      <c r="AT11" s="24" t="inlineStr">
        <is>
          <t>Kiwoom Heroes</t>
        </is>
      </c>
      <c r="AU11" s="24" t="inlineStr">
        <is>
          <t>Kiwoom Heroes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ee2fd7240aa243d222c7c70ca01d51160b295b616636ddde643545871f4be3f5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ee2fd7240aa243d222c7c70ca01d51160b295b616636ddde643545871f4be3f5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2026-08-27T00:44:21.641959Z</t>
        </is>
      </c>
      <c r="BI11" s="24" t="inlineStr">
        <is>
          <t>["same_event","same_team_same_day","same_league_same_day"]</t>
        </is>
      </c>
      <c r="BJ11" s="25" t="n"/>
      <c r="BK11" s="26" t="n">
        <v>-213</v>
      </c>
      <c r="BL11" s="27" t="n">
        <v>1.469484</v>
      </c>
      <c r="BM11" s="28" t="n">
        <v>0.680511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0.680511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c00508ebc5e54533</t>
        </is>
      </c>
      <c r="B12" s="24" t="inlineStr">
        <is>
          <t>2026-08-28T02:44:11.916055Z</t>
        </is>
      </c>
      <c r="C12" s="24" t="inlineStr">
        <is>
          <t>2026-08-28T09:30:00Z</t>
        </is>
      </c>
      <c r="D12" s="24" t="inlineStr">
        <is>
          <t>91864</t>
        </is>
      </c>
      <c r="E12" s="24" t="inlineStr">
        <is>
          <t>KBO</t>
        </is>
      </c>
      <c r="F12" s="24" t="inlineStr">
        <is>
          <t>Kiwoom Heroes</t>
        </is>
      </c>
      <c r="G12" s="24" t="inlineStr">
        <is>
          <t>Doosan Bears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0.63237</v>
      </c>
      <c r="P12" s="28" t="n"/>
      <c r="Q12" s="28" t="n">
        <v>0.122566</v>
      </c>
      <c r="R12" s="26" t="n">
        <v>81</v>
      </c>
      <c r="S12" s="29" t="n">
        <v>1.5</v>
      </c>
      <c r="T12" s="24" t="inlineStr">
        <is>
          <t>kbo-tie-aware-elo-v2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Tie-aware Elo baseline; executable ask 0.5100 (market_slug=aec-kbo-dbo-khi-2026-08-28). Tie probability=0.0226.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Kiwoom Heroes</t>
        </is>
      </c>
      <c r="AQ12" s="24" t="inlineStr">
        <is>
          <t>Kiwoom Heroes</t>
        </is>
      </c>
      <c r="AR12" s="24" t="inlineStr">
        <is>
          <t>Kiwoom Heroes</t>
        </is>
      </c>
      <c r="AS12" s="24" t="inlineStr">
        <is>
          <t>Doosan Bears</t>
        </is>
      </c>
      <c r="AT12" s="24" t="inlineStr">
        <is>
          <t>Doosan Bears</t>
        </is>
      </c>
      <c r="AU12" s="24" t="inlineStr">
        <is>
          <t>Doosan Bears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a60aa481ccc202e085658398693185420fca4b33c903f7321e50861e678f3b98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a60aa481ccc202e085658398693185420fca4b33c903f7321e50861e678f3b98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2026-08-28T02:44:11.181923Z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0d3190cdf7344789</t>
        </is>
      </c>
      <c r="B13" s="24" t="inlineStr">
        <is>
          <t>2026-08-28T02:44:11.916055Z</t>
        </is>
      </c>
      <c r="C13" s="24" t="inlineStr">
        <is>
          <t>2026-08-28T09:30:00Z</t>
        </is>
      </c>
      <c r="D13" s="24" t="inlineStr">
        <is>
          <t>91865</t>
        </is>
      </c>
      <c r="E13" s="24" t="inlineStr">
        <is>
          <t>KBO</t>
        </is>
      </c>
      <c r="F13" s="24" t="inlineStr">
        <is>
          <t>LG Twins</t>
        </is>
      </c>
      <c r="G13" s="24" t="inlineStr">
        <is>
          <t>Lotte Giants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0.501243</v>
      </c>
      <c r="P13" s="28" t="n"/>
      <c r="Q13" s="28" t="n">
        <v>-0.098757</v>
      </c>
      <c r="R13" s="26" t="n">
        <v>0</v>
      </c>
      <c r="S13" s="29" t="n">
        <v>1</v>
      </c>
      <c r="T13" s="24" t="inlineStr">
        <is>
          <t>kbo-tie-aware-elo-v2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Tie-aware Elo baseline; executable ask 0.6000 (market_slug=aec-kbo-lgo-ltg-2026-08-28). Tie probability=0.0226.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LG Twins</t>
        </is>
      </c>
      <c r="AQ13" s="24" t="inlineStr">
        <is>
          <t>LG Twins</t>
        </is>
      </c>
      <c r="AR13" s="24" t="inlineStr">
        <is>
          <t>LG Twins</t>
        </is>
      </c>
      <c r="AS13" s="24" t="inlineStr">
        <is>
          <t>Lotte Giants</t>
        </is>
      </c>
      <c r="AT13" s="24" t="inlineStr">
        <is>
          <t>Lotte Giants</t>
        </is>
      </c>
      <c r="AU13" s="24" t="inlineStr">
        <is>
          <t>Lotte Giants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a60aa481ccc202e085658398693185420fca4b33c903f7321e50861e678f3b98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a60aa481ccc202e085658398693185420fca4b33c903f7321e50861e678f3b98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2026-08-28T02:44:11.557182Z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d5654629a6e040dc</t>
        </is>
      </c>
      <c r="B14" s="24" t="inlineStr">
        <is>
          <t>2026-08-28T02:44:11.916055Z</t>
        </is>
      </c>
      <c r="C14" s="24" t="inlineStr">
        <is>
          <t>2026-08-28T09:30:00Z</t>
        </is>
      </c>
      <c r="D14" s="24" t="inlineStr">
        <is>
          <t>91866</t>
        </is>
      </c>
      <c r="E14" s="24" t="inlineStr">
        <is>
          <t>KBO</t>
        </is>
      </c>
      <c r="F14" s="24" t="inlineStr">
        <is>
          <t>KT Wiz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0.517707</v>
      </c>
      <c r="P14" s="28" t="n"/>
      <c r="Q14" s="28" t="n">
        <v>0.007903</v>
      </c>
      <c r="R14" s="26" t="n">
        <v>24</v>
      </c>
      <c r="S14" s="29" t="n">
        <v>1</v>
      </c>
      <c r="T14" s="24" t="inlineStr">
        <is>
          <t>kbo-tie-aware-elo-v2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Tie-aware Elo baseline; executable ask 0.5100 (market_slug=aec-kbo-sla-kwt-2026-08-28). Tie probability=0.0226.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KT Wiz</t>
        </is>
      </c>
      <c r="AQ14" s="24" t="inlineStr">
        <is>
          <t>KT Wiz</t>
        </is>
      </c>
      <c r="AR14" s="24" t="inlineStr">
        <is>
          <t>KT Wiz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a60aa481ccc202e085658398693185420fca4b33c903f7321e50861e678f3b98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a60aa481ccc202e085658398693185420fca4b33c903f7321e50861e678f3b98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2026-08-28T02:44:11.754676Z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0.509804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102240bfe13948f0</t>
        </is>
      </c>
      <c r="B15" s="24" t="inlineStr">
        <is>
          <t>2026-08-28T02:44:11.916055Z</t>
        </is>
      </c>
      <c r="C15" s="24" t="inlineStr">
        <is>
          <t>2026-08-28T09:30:00Z</t>
        </is>
      </c>
      <c r="D15" s="24" t="inlineStr">
        <is>
          <t>91867</t>
        </is>
      </c>
      <c r="E15" s="24" t="inlineStr">
        <is>
          <t>KBO</t>
        </is>
      </c>
      <c r="F15" s="24" t="inlineStr">
        <is>
          <t>SSG Landers</t>
        </is>
      </c>
      <c r="G15" s="24" t="inlineStr">
        <is>
          <t>Kia Tigers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-223</v>
      </c>
      <c r="M15" s="27" t="n">
        <v>1.44843</v>
      </c>
      <c r="N15" s="28" t="n">
        <v>0.690402</v>
      </c>
      <c r="O15" s="28" t="n">
        <v>0.585994</v>
      </c>
      <c r="P15" s="28" t="n"/>
      <c r="Q15" s="28" t="n">
        <v>-0.104408</v>
      </c>
      <c r="R15" s="26" t="n">
        <v>0</v>
      </c>
      <c r="S15" s="29" t="n">
        <v>1</v>
      </c>
      <c r="T15" s="24" t="inlineStr">
        <is>
          <t>kbo-tie-aware-elo-v2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Tie-aware Elo baseline; executable ask 0.6900 (market_slug=aec-kbo-kti-sls-2026-08-28). Tie probability=0.0226.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SSG Landers</t>
        </is>
      </c>
      <c r="AQ15" s="24" t="inlineStr">
        <is>
          <t>SSG Landers</t>
        </is>
      </c>
      <c r="AR15" s="24" t="inlineStr">
        <is>
          <t>SSG Landers</t>
        </is>
      </c>
      <c r="AS15" s="24" t="inlineStr">
        <is>
          <t>Kia Tigers</t>
        </is>
      </c>
      <c r="AT15" s="24" t="inlineStr">
        <is>
          <t>Kia Tigers</t>
        </is>
      </c>
      <c r="AU15" s="24" t="inlineStr">
        <is>
          <t>Kia Tigers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a60aa481ccc202e085658398693185420fca4b33c903f7321e50861e678f3b98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a60aa481ccc202e085658398693185420fca4b33c903f7321e50861e678f3b98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2026-08-28T02:44:11.837658Z</t>
        </is>
      </c>
      <c r="BI15" s="24" t="inlineStr">
        <is>
          <t>["same_event","same_team_same_day","same_league_same_day"]</t>
        </is>
      </c>
      <c r="BJ15" s="25" t="n"/>
      <c r="BK15" s="26" t="n">
        <v>-223</v>
      </c>
      <c r="BL15" s="27" t="n">
        <v>1.44843</v>
      </c>
      <c r="BM15" s="28" t="n">
        <v>0.690402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0.690402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96d421859cb34754</t>
        </is>
      </c>
      <c r="B16" s="24" t="inlineStr">
        <is>
          <t>2026-08-28T02:44:11.916055Z</t>
        </is>
      </c>
      <c r="C16" s="24" t="inlineStr">
        <is>
          <t>2026-08-28T09:30:00Z</t>
        </is>
      </c>
      <c r="D16" s="24" t="inlineStr">
        <is>
          <t>91868</t>
        </is>
      </c>
      <c r="E16" s="24" t="inlineStr">
        <is>
          <t>KBO</t>
        </is>
      </c>
      <c r="F16" s="24" t="inlineStr">
        <is>
          <t>NC Dinos</t>
        </is>
      </c>
      <c r="G16" s="24" t="inlineStr">
        <is>
          <t>Hanwha Eagles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0.505098</v>
      </c>
      <c r="P16" s="28" t="n"/>
      <c r="Q16" s="28" t="n">
        <v>0.014902</v>
      </c>
      <c r="R16" s="26" t="n">
        <v>27</v>
      </c>
      <c r="S16" s="29" t="n">
        <v>1</v>
      </c>
      <c r="T16" s="24" t="inlineStr">
        <is>
          <t>kbo-tie-aware-elo-v2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Tie-aware Elo baseline; executable ask 0.4900 (market_slug=aec-kbo-hea-ndc-2026-08-28). Tie probability=0.0226.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NC Dinos</t>
        </is>
      </c>
      <c r="AQ16" s="24" t="inlineStr">
        <is>
          <t>NC Dinos</t>
        </is>
      </c>
      <c r="AR16" s="24" t="inlineStr">
        <is>
          <t>NC Dinos</t>
        </is>
      </c>
      <c r="AS16" s="24" t="inlineStr">
        <is>
          <t>Hanwha Eagles</t>
        </is>
      </c>
      <c r="AT16" s="24" t="inlineStr">
        <is>
          <t>Hanwha Eagles</t>
        </is>
      </c>
      <c r="AU16" s="24" t="inlineStr">
        <is>
          <t>Hanwha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a60aa481ccc202e085658398693185420fca4b33c903f7321e50861e678f3b98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a60aa481ccc202e085658398693185420fca4b33c903f7321e50861e678f3b98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2026-08-28T02:44:11.915941Z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0.490196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151c04345e884860</t>
        </is>
      </c>
      <c r="B17" s="24" t="inlineStr">
        <is>
          <t>2026-08-30T03:34:41.327852Z</t>
        </is>
      </c>
      <c r="C17" s="24" t="inlineStr">
        <is>
          <t>2026-08-30T09:00:00Z</t>
        </is>
      </c>
      <c r="D17" s="24" t="inlineStr">
        <is>
          <t>94170</t>
        </is>
      </c>
      <c r="E17" s="24" t="inlineStr">
        <is>
          <t>KBO</t>
        </is>
      </c>
      <c r="F17" s="24" t="inlineStr">
        <is>
          <t>Kiwoom Heroes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0.6389550000000001</v>
      </c>
      <c r="P17" s="28" t="n"/>
      <c r="Q17" s="28" t="n">
        <v>-0.001333</v>
      </c>
      <c r="R17" s="26" t="n">
        <v>19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15</v>
      </c>
      <c r="Y17" s="25" t="n"/>
      <c r="Z17" s="26" t="n"/>
      <c r="AA17" s="28" t="n"/>
      <c r="AB17" s="28" t="n"/>
      <c r="AC17" s="30" t="n">
        <v>0.5618</v>
      </c>
      <c r="AD17" s="24" t="inlineStr">
        <is>
          <t>2026-08-30T16:04:17.130058Z</t>
        </is>
      </c>
      <c r="AE17" s="31" t="inlineStr">
        <is>
          <t>Tie-aware Elo baseline; executable ask 0.6400 (market_slug=aec-kbo-dbo-khi-2026-08-30). Tie probability=0.0226.</t>
        </is>
      </c>
      <c r="AF17" s="31" t="inlineStr">
        <is>
          <t>Config-promoted international baseball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Kiwoom Heroes</t>
        </is>
      </c>
      <c r="AQ17" s="24" t="inlineStr">
        <is>
          <t>Kiwoom Heroes</t>
        </is>
      </c>
      <c r="AR17" s="24" t="inlineStr">
        <is>
          <t>Kiwoom Heroes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f5cfad6aa1723de51809b2b394b1a43c5b223b6becba2953d7590040c822591d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f5cfad6aa1723de51809b2b394b1a43c5b223b6becba2953d7590040c822591d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2026-08-30T03:34:40.916724Z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0.640288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3a98be086a6a4631</t>
        </is>
      </c>
      <c r="B18" s="24" t="inlineStr">
        <is>
          <t>2026-08-30T03:34:41.327852Z</t>
        </is>
      </c>
      <c r="C18" s="24" t="inlineStr">
        <is>
          <t>2026-08-30T09:00:00Z</t>
        </is>
      </c>
      <c r="D18" s="24" t="inlineStr">
        <is>
          <t>94173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Samsung Lions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0.528548</v>
      </c>
      <c r="P18" s="28" t="n"/>
      <c r="Q18" s="28" t="n">
        <v>-0.051284</v>
      </c>
      <c r="R18" s="26" t="n">
        <v>0</v>
      </c>
      <c r="S18" s="29" t="n">
        <v>1</v>
      </c>
      <c r="T18" s="24" t="inlineStr">
        <is>
          <t>kbo-tie-aware-elo-v2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Tie-aware Elo baseline; executable ask 0.5800 (market_slug=aec-kbo-sla-kwt-2026-08-30). Tie probability=0.0226.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Samsung Lions</t>
        </is>
      </c>
      <c r="AT18" s="24" t="inlineStr">
        <is>
          <t>Samsung Lions</t>
        </is>
      </c>
      <c r="AU18" s="24" t="inlineStr">
        <is>
          <t>Samsung Lions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f5cfad6aa1723de51809b2b394b1a43c5b223b6becba2953d7590040c822591d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f5cfad6aa1723de51809b2b394b1a43c5b223b6becba2953d7590040c822591d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2026-08-30T03:34:41.035059Z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0.579832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67d6b3d369d74d2f</t>
        </is>
      </c>
      <c r="B19" s="24" t="inlineStr">
        <is>
          <t>2026-08-30T03:34:41.327852Z</t>
        </is>
      </c>
      <c r="C19" s="24" t="inlineStr">
        <is>
          <t>2026-08-30T09:00:00Z</t>
        </is>
      </c>
      <c r="D19" s="24" t="inlineStr">
        <is>
          <t>94176</t>
        </is>
      </c>
      <c r="E19" s="24" t="inlineStr">
        <is>
          <t>KBO</t>
        </is>
      </c>
      <c r="F19" s="24" t="inlineStr">
        <is>
          <t>NC Dinos</t>
        </is>
      </c>
      <c r="G19" s="24" t="inlineStr">
        <is>
          <t>Hanwha Eagles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-104</v>
      </c>
      <c r="M19" s="27" t="n">
        <v>1.961538</v>
      </c>
      <c r="N19" s="28" t="n">
        <v>0.509804</v>
      </c>
      <c r="O19" s="28" t="n">
        <v>0.5061330000000001</v>
      </c>
      <c r="P19" s="28" t="n"/>
      <c r="Q19" s="28" t="n">
        <v>-0.003671</v>
      </c>
      <c r="R19" s="26" t="n">
        <v>18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win</t>
        </is>
      </c>
      <c r="W19" s="26" t="n">
        <v>10</v>
      </c>
      <c r="X19" s="26" t="n">
        <v>7</v>
      </c>
      <c r="Y19" s="25" t="n"/>
      <c r="Z19" s="26" t="n"/>
      <c r="AA19" s="28" t="n"/>
      <c r="AB19" s="28" t="n"/>
      <c r="AC19" s="30" t="n">
        <v>0.9615</v>
      </c>
      <c r="AD19" s="24" t="inlineStr">
        <is>
          <t>2026-08-30T16:04:20.726595Z</t>
        </is>
      </c>
      <c r="AE19" s="31" t="inlineStr">
        <is>
          <t>Tie-aware Elo baseline; executable ask 0.5100 (market_slug=aec-kbo-hea-ndc-2026-08-30). Tie probability=0.0226.</t>
        </is>
      </c>
      <c r="AF19" s="31" t="inlineStr">
        <is>
          <t>Config-promoted international baseball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NC Dinos</t>
        </is>
      </c>
      <c r="AQ19" s="24" t="inlineStr">
        <is>
          <t>NC Dinos</t>
        </is>
      </c>
      <c r="AR19" s="24" t="inlineStr">
        <is>
          <t>NC Dinos</t>
        </is>
      </c>
      <c r="AS19" s="24" t="inlineStr">
        <is>
          <t>Hanwha Eagles</t>
        </is>
      </c>
      <c r="AT19" s="24" t="inlineStr">
        <is>
          <t>Hanwha Eagles</t>
        </is>
      </c>
      <c r="AU19" s="24" t="inlineStr">
        <is>
          <t>Hanwha Eagles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f5cfad6aa1723de51809b2b394b1a43c5b223b6becba2953d7590040c822591d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f5cfad6aa1723de51809b2b394b1a43c5b223b6becba2953d7590040c822591d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2026-08-30T03:34:41.112388Z</t>
        </is>
      </c>
      <c r="BI19" s="24" t="inlineStr">
        <is>
          <t>["same_event","same_team_same_day","same_league_same_day"]</t>
        </is>
      </c>
      <c r="BJ19" s="25" t="n"/>
      <c r="BK19" s="26" t="n">
        <v>-104</v>
      </c>
      <c r="BL19" s="27" t="n">
        <v>1.961538</v>
      </c>
      <c r="BM19" s="28" t="n">
        <v>0.509804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0.509804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0a6bb2398b4a475b</t>
        </is>
      </c>
      <c r="B20" s="24" t="inlineStr">
        <is>
          <t>2026-08-30T03:34:41.327852Z</t>
        </is>
      </c>
      <c r="C20" s="24" t="inlineStr">
        <is>
          <t>2026-08-30T09:00:00Z</t>
        </is>
      </c>
      <c r="D20" s="24" t="inlineStr">
        <is>
          <t>94181</t>
        </is>
      </c>
      <c r="E20" s="24" t="inlineStr">
        <is>
          <t>KBO</t>
        </is>
      </c>
      <c r="F20" s="24" t="inlineStr">
        <is>
          <t>SSG Landers</t>
        </is>
      </c>
      <c r="G20" s="24" t="inlineStr">
        <is>
          <t>Kia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0.59436</v>
      </c>
      <c r="P20" s="28" t="n"/>
      <c r="Q20" s="28" t="n">
        <v>-0.06550400000000001</v>
      </c>
      <c r="R20" s="26" t="n">
        <v>0</v>
      </c>
      <c r="S20" s="29" t="n">
        <v>1</v>
      </c>
      <c r="T20" s="24" t="inlineStr">
        <is>
          <t>kbo-tie-aware-elo-v2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Tie-aware Elo baseline; executable ask 0.6600 (market_slug=aec-kbo-kti-sls-2026-08-30). Tie probability=0.0226.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SSG Landers</t>
        </is>
      </c>
      <c r="AQ20" s="24" t="inlineStr">
        <is>
          <t>SSG Landers</t>
        </is>
      </c>
      <c r="AR20" s="24" t="inlineStr">
        <is>
          <t>SSG Landers</t>
        </is>
      </c>
      <c r="AS20" s="24" t="inlineStr">
        <is>
          <t>Kia Tigers</t>
        </is>
      </c>
      <c r="AT20" s="24" t="inlineStr">
        <is>
          <t>Kia Tigers</t>
        </is>
      </c>
      <c r="AU20" s="24" t="inlineStr">
        <is>
          <t>Kia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f5cfad6aa1723de51809b2b394b1a43c5b223b6becba2953d7590040c822591d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f5cfad6aa1723de51809b2b394b1a43c5b223b6becba2953d7590040c822591d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2026-08-30T03:34:41.259945Z</t>
        </is>
      </c>
      <c r="BI20" s="24" t="inlineStr">
        <is>
          <t>["same_event","same_team_same_day","same_league_same_day"]</t>
        </is>
      </c>
      <c r="BJ20" s="25" t="n"/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0.659864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2f8ef630d4634f91</t>
        </is>
      </c>
      <c r="B21" s="24" t="inlineStr">
        <is>
          <t>2026-08-30T03:34:41.327852Z</t>
        </is>
      </c>
      <c r="C21" s="24" t="inlineStr">
        <is>
          <t>2026-08-30T09:00:00Z</t>
        </is>
      </c>
      <c r="D21" s="24" t="inlineStr">
        <is>
          <t>94183</t>
        </is>
      </c>
      <c r="E21" s="24" t="inlineStr">
        <is>
          <t>KBO</t>
        </is>
      </c>
      <c r="F21" s="24" t="inlineStr">
        <is>
          <t>LG Twins</t>
        </is>
      </c>
      <c r="G21" s="24" t="inlineStr">
        <is>
          <t>Lotte Giants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0.512311</v>
      </c>
      <c r="P21" s="28" t="n"/>
      <c r="Q21" s="28" t="n">
        <v>-0.117319</v>
      </c>
      <c r="R21" s="26" t="n">
        <v>0</v>
      </c>
      <c r="S21" s="29" t="n">
        <v>1</v>
      </c>
      <c r="T21" s="24" t="inlineStr">
        <is>
          <t>kbo-tie-aware-elo-v2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Tie-aware Elo baseline; executable ask 0.6300 (market_slug=aec-kbo-lgo-ltg-2026-08-30). Tie probability=0.0226.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LG Twins</t>
        </is>
      </c>
      <c r="AQ21" s="24" t="inlineStr">
        <is>
          <t>LG Twins</t>
        </is>
      </c>
      <c r="AR21" s="24" t="inlineStr">
        <is>
          <t>LG Twins</t>
        </is>
      </c>
      <c r="AS21" s="24" t="inlineStr">
        <is>
          <t>Lotte Giants</t>
        </is>
      </c>
      <c r="AT21" s="24" t="inlineStr">
        <is>
          <t>Lotte Giants</t>
        </is>
      </c>
      <c r="AU21" s="24" t="inlineStr">
        <is>
          <t>Lotte Giants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f5cfad6aa1723de51809b2b394b1a43c5b223b6becba2953d7590040c822591d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f5cfad6aa1723de51809b2b394b1a43c5b223b6becba2953d7590040c822591d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2026-08-30T03:34:41.327805Z</t>
        </is>
      </c>
      <c r="BI21" s="24" t="inlineStr">
        <is>
          <t>["same_event","same_team_same_day","same_league_same_day"]</t>
        </is>
      </c>
      <c r="BJ21" s="25" t="n"/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734de013c64b43be</t>
        </is>
      </c>
      <c r="B22" s="24" t="inlineStr">
        <is>
          <t>2026-09-01T04:43:17.019428Z</t>
        </is>
      </c>
      <c r="C22" s="24" t="inlineStr">
        <is>
          <t>2026-09-01T09:30:00Z</t>
        </is>
      </c>
      <c r="D22" s="24" t="inlineStr">
        <is>
          <t>95783</t>
        </is>
      </c>
      <c r="E22" s="24" t="inlineStr">
        <is>
          <t>KBO</t>
        </is>
      </c>
      <c r="F22" s="24" t="inlineStr">
        <is>
          <t>SSG Landers</t>
        </is>
      </c>
      <c r="G22" s="24" t="inlineStr">
        <is>
          <t>Kiwoom Heroes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0.557247</v>
      </c>
      <c r="P22" s="28" t="n"/>
      <c r="Q22" s="28" t="n">
        <v>0.076478</v>
      </c>
      <c r="R22" s="26" t="n">
        <v>58</v>
      </c>
      <c r="S22" s="29" t="n">
        <v>1.25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0</v>
      </c>
      <c r="Y22" s="25" t="n"/>
      <c r="Z22" s="26" t="n">
        <v>108</v>
      </c>
      <c r="AA22" s="28" t="n">
        <v>0.48</v>
      </c>
      <c r="AB22" s="28" t="n">
        <v>-0.000769</v>
      </c>
      <c r="AC22" s="30" t="n">
        <v>1.35</v>
      </c>
      <c r="AD22" s="24" t="inlineStr">
        <is>
          <t>2026-09-01T13:47:36.863125Z</t>
        </is>
      </c>
      <c r="AE22" s="31" t="inlineStr">
        <is>
          <t>Tie-aware Elo baseline; executable ask 0.4800 (market_slug=aec-kbo-khi-sls-2026-09-01). Tie probability=0.0226.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SSG Landers</t>
        </is>
      </c>
      <c r="AQ22" s="24" t="inlineStr">
        <is>
          <t>SSG Landers</t>
        </is>
      </c>
      <c r="AR22" s="24" t="inlineStr">
        <is>
          <t>SSG Landers</t>
        </is>
      </c>
      <c r="AS22" s="24" t="inlineStr">
        <is>
          <t>Kiwoom Heroes</t>
        </is>
      </c>
      <c r="AT22" s="24" t="inlineStr">
        <is>
          <t>Kiwoom Heroes</t>
        </is>
      </c>
      <c r="AU22" s="24" t="inlineStr">
        <is>
          <t>Kiwoom Heroes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baf98f150fe2eec3c9656477333cbdd7ab9d7b1bd711eb8db0099bb6d390698b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baf98f150fe2eec3c9656477333cbdd7ab9d7b1bd711eb8db0099bb6d390698b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2026-09-01T04:43:15.190721Z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>
        <v>2.08</v>
      </c>
      <c r="BR22" s="28" t="n">
        <v>0.48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0a55df42de324290</t>
        </is>
      </c>
      <c r="B23" s="24" t="inlineStr">
        <is>
          <t>2026-09-01T04:43:17.019428Z</t>
        </is>
      </c>
      <c r="C23" s="24" t="inlineStr">
        <is>
          <t>2026-09-01T09:30:00Z</t>
        </is>
      </c>
      <c r="D23" s="24" t="inlineStr">
        <is>
          <t>95784</t>
        </is>
      </c>
      <c r="E23" s="24" t="inlineStr">
        <is>
          <t>KBO</t>
        </is>
      </c>
      <c r="F23" s="24" t="inlineStr">
        <is>
          <t>LG Twins</t>
        </is>
      </c>
      <c r="G23" s="24" t="inlineStr">
        <is>
          <t>Doosan Bears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0.519616</v>
      </c>
      <c r="P23" s="28" t="n"/>
      <c r="Q23" s="28" t="n">
        <v>0.058787</v>
      </c>
      <c r="R23" s="26" t="n">
        <v>49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3</v>
      </c>
      <c r="X23" s="26" t="n">
        <v>1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</v>
      </c>
      <c r="AD23" s="24" t="inlineStr">
        <is>
          <t>2026-09-01T13:47:36.971075Z</t>
        </is>
      </c>
      <c r="AE23" s="31" t="inlineStr">
        <is>
          <t>Tie-aware Elo baseline; executable ask 0.4600 (market_slug=aec-kbo-dbo-ltg-2026-09-01). Tie probability=0.0226.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LG Twins</t>
        </is>
      </c>
      <c r="AQ23" s="24" t="inlineStr">
        <is>
          <t>LG Twins</t>
        </is>
      </c>
      <c r="AR23" s="24" t="inlineStr">
        <is>
          <t>LG Twins</t>
        </is>
      </c>
      <c r="AS23" s="24" t="inlineStr">
        <is>
          <t>Doosan Bears</t>
        </is>
      </c>
      <c r="AT23" s="24" t="inlineStr">
        <is>
          <t>Doosan Bears</t>
        </is>
      </c>
      <c r="AU23" s="24" t="inlineStr">
        <is>
          <t>Doosan Bears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baf98f150fe2eec3c9656477333cbdd7ab9d7b1bd711eb8db0099bb6d390698b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baf98f150fe2eec3c9656477333cbdd7ab9d7b1bd711eb8db0099bb6d390698b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2026-09-01T04:43:15.920963Z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5f0cb0ebb381453e</t>
        </is>
      </c>
      <c r="B24" s="24" t="inlineStr">
        <is>
          <t>2026-09-01T04:43:17.019428Z</t>
        </is>
      </c>
      <c r="C24" s="24" t="inlineStr">
        <is>
          <t>2026-09-01T09:30:00Z</t>
        </is>
      </c>
      <c r="D24" s="24" t="inlineStr">
        <is>
          <t>95785</t>
        </is>
      </c>
      <c r="E24" s="24" t="inlineStr">
        <is>
          <t>KBO</t>
        </is>
      </c>
      <c r="F24" s="24" t="inlineStr">
        <is>
          <t>Lotte Giants</t>
        </is>
      </c>
      <c r="G24" s="24" t="inlineStr">
        <is>
          <t>Samsung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0.584661</v>
      </c>
      <c r="P24" s="28" t="n"/>
      <c r="Q24" s="28" t="n">
        <v>-0.015339</v>
      </c>
      <c r="R24" s="26" t="n">
        <v>12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3</v>
      </c>
      <c r="Y24" s="25" t="n"/>
      <c r="Z24" s="26" t="n">
        <v>-150</v>
      </c>
      <c r="AA24" s="28" t="n">
        <v>0.6</v>
      </c>
      <c r="AB24" s="28" t="n">
        <v>0</v>
      </c>
      <c r="AC24" s="30" t="n">
        <v>0.6667</v>
      </c>
      <c r="AD24" s="24" t="inlineStr">
        <is>
          <t>2026-09-01T13:47:37.036676Z</t>
        </is>
      </c>
      <c r="AE24" s="31" t="inlineStr">
        <is>
          <t>Tie-aware Elo baseline; executable ask 0.6000 (market_slug=aec-kbo-sla-lgo-2026-09-01). Tie probability=0.0226.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Lotte Giants</t>
        </is>
      </c>
      <c r="AQ24" s="24" t="inlineStr">
        <is>
          <t>Lotte Giants</t>
        </is>
      </c>
      <c r="AR24" s="24" t="inlineStr">
        <is>
          <t>Lotte Giants</t>
        </is>
      </c>
      <c r="AS24" s="24" t="inlineStr">
        <is>
          <t>Samsung Lions</t>
        </is>
      </c>
      <c r="AT24" s="24" t="inlineStr">
        <is>
          <t>Samsung Lions</t>
        </is>
      </c>
      <c r="AU24" s="24" t="inlineStr">
        <is>
          <t>Samsung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baf98f150fe2eec3c9656477333cbdd7ab9d7b1bd711eb8db0099bb6d390698b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baf98f150fe2eec3c9656477333cbdd7ab9d7b1bd711eb8db0099bb6d390698b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2026-09-01T04:43:16.681870Z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f7ef4233693a4748</t>
        </is>
      </c>
      <c r="B25" s="24" t="inlineStr">
        <is>
          <t>2026-09-01T04:43:17.019428Z</t>
        </is>
      </c>
      <c r="C25" s="24" t="inlineStr">
        <is>
          <t>2026-09-01T09:30:00Z</t>
        </is>
      </c>
      <c r="D25" s="24" t="inlineStr">
        <is>
          <t>95786</t>
        </is>
      </c>
      <c r="E25" s="24" t="inlineStr">
        <is>
          <t>KBO</t>
        </is>
      </c>
      <c r="F25" s="24" t="inlineStr">
        <is>
          <t>Kia Tigers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0.550081</v>
      </c>
      <c r="P25" s="28" t="n"/>
      <c r="Q25" s="28" t="n">
        <v>0.000531</v>
      </c>
      <c r="R25" s="26" t="n">
        <v>20</v>
      </c>
      <c r="S25" s="29" t="n">
        <v>1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2</v>
      </c>
      <c r="X25" s="26" t="n">
        <v>7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-1</v>
      </c>
      <c r="AD25" s="24" t="inlineStr">
        <is>
          <t>2026-09-01T13:47:37.103275Z</t>
        </is>
      </c>
      <c r="AE25" s="31" t="inlineStr">
        <is>
          <t>Tie-aware Elo baseline; executable ask 0.5500 (market_slug=aec-kbo-ndc-kti-2026-09-01). Tie probability=0.0226.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Kia Tigers</t>
        </is>
      </c>
      <c r="AQ25" s="24" t="inlineStr">
        <is>
          <t>Kia Tigers</t>
        </is>
      </c>
      <c r="AR25" s="24" t="inlineStr">
        <is>
          <t>Kia Tigers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baf98f150fe2eec3c9656477333cbdd7ab9d7b1bd711eb8db0099bb6d390698b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baf98f150fe2eec3c9656477333cbdd7ab9d7b1bd711eb8db0099bb6d390698b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2026-09-01T04:43:16.853074Z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da9cb0ba64914666</t>
        </is>
      </c>
      <c r="B26" s="24" t="inlineStr">
        <is>
          <t>2026-09-01T04:43:17.019428Z</t>
        </is>
      </c>
      <c r="C26" s="24" t="inlineStr">
        <is>
          <t>2026-09-01T09:30:00Z</t>
        </is>
      </c>
      <c r="D26" s="24" t="inlineStr">
        <is>
          <t>95787</t>
        </is>
      </c>
      <c r="E26" s="24" t="inlineStr">
        <is>
          <t>KBO</t>
        </is>
      </c>
      <c r="F26" s="24" t="inlineStr">
        <is>
          <t>Hanwha Eagles</t>
        </is>
      </c>
      <c r="G26" s="24" t="inlineStr">
        <is>
          <t>KT Wiz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0.615682</v>
      </c>
      <c r="P26" s="28" t="n"/>
      <c r="Q26" s="28" t="n">
        <v>0.056211</v>
      </c>
      <c r="R26" s="26" t="n">
        <v>48</v>
      </c>
      <c r="S26" s="29" t="n">
        <v>1</v>
      </c>
      <c r="T26" s="24" t="inlineStr">
        <is>
          <t>kbo-tie-aware-elo-v2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6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0.7874</v>
      </c>
      <c r="AD26" s="24" t="inlineStr">
        <is>
          <t>2026-09-01T13:47:37.170194Z</t>
        </is>
      </c>
      <c r="AE26" s="31" t="inlineStr">
        <is>
          <t>Tie-aware Elo baseline; executable ask 0.5600 (market_slug=aec-kbo-kwt-hea-2026-09-01). Tie probability=0.0226.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Hanwha Eagles</t>
        </is>
      </c>
      <c r="AQ26" s="24" t="inlineStr">
        <is>
          <t>Hanwha Eagles</t>
        </is>
      </c>
      <c r="AR26" s="24" t="inlineStr">
        <is>
          <t>Hanwha Eagles</t>
        </is>
      </c>
      <c r="AS26" s="24" t="inlineStr">
        <is>
          <t>KT Wiz</t>
        </is>
      </c>
      <c r="AT26" s="24" t="inlineStr">
        <is>
          <t>KT Wiz</t>
        </is>
      </c>
      <c r="AU26" s="24" t="inlineStr">
        <is>
          <t>KT Wiz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baf98f150fe2eec3c9656477333cbdd7ab9d7b1bd711eb8db0099bb6d390698b</t>
        </is>
      </c>
      <c r="BB26" s="24" t="inlineStr">
        <is>
          <t>tie_aware_elo</t>
        </is>
      </c>
      <c r="BC26" s="24" t="inlineStr">
        <is>
          <t>kbo-tie-aware-elo-v2</t>
        </is>
      </c>
      <c r="BD26" s="24" t="inlineStr">
        <is>
          <t>baf98f150fe2eec3c9656477333cbdd7ab9d7b1bd711eb8db0099bb6d390698b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kbo-tie-aware-elo-v2</t>
        </is>
      </c>
      <c r="BH26" s="24" t="inlineStr">
        <is>
          <t>2026-09-01T04:43:17.019378Z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0.559471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eef59ace995c4dd5</t>
        </is>
      </c>
      <c r="B27" s="24" t="inlineStr">
        <is>
          <t>2026-09-02T04:38:59.485677Z</t>
        </is>
      </c>
      <c r="C27" s="24" t="inlineStr">
        <is>
          <t>2026-09-02T09:30:00Z</t>
        </is>
      </c>
      <c r="D27" s="24" t="inlineStr">
        <is>
          <t>97097</t>
        </is>
      </c>
      <c r="E27" s="24" t="inlineStr">
        <is>
          <t>KBO</t>
        </is>
      </c>
      <c r="F27" s="24" t="inlineStr">
        <is>
          <t>LG Twins</t>
        </is>
      </c>
      <c r="G27" s="24" t="inlineStr">
        <is>
          <t>Doosan Bears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0.53665</v>
      </c>
      <c r="P27" s="28" t="n"/>
      <c r="Q27" s="28" t="n">
        <v>0.0862</v>
      </c>
      <c r="R27" s="26" t="n">
        <v>63</v>
      </c>
      <c r="S27" s="29" t="n">
        <v>1.25</v>
      </c>
      <c r="T27" s="24" t="inlineStr">
        <is>
          <t>kbo-tie-aware-elo-v2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5</v>
      </c>
      <c r="X27" s="26" t="n">
        <v>1</v>
      </c>
      <c r="Y27" s="25" t="n"/>
      <c r="Z27" s="26" t="n">
        <v>122</v>
      </c>
      <c r="AA27" s="28" t="n">
        <v>0.45</v>
      </c>
      <c r="AB27" s="28" t="n">
        <v>-0.00045</v>
      </c>
      <c r="AC27" s="30" t="n">
        <v>-1.25</v>
      </c>
      <c r="AD27" s="24" t="inlineStr">
        <is>
          <t>2026-09-02T16:06:03.588044Z</t>
        </is>
      </c>
      <c r="AE27" s="31" t="inlineStr">
        <is>
          <t>Tie-aware Elo baseline; executable ask 0.4500 (market_slug=aec-kbo-dbo-ltg-2026-09-02). Tie probability=0.0226.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LG Twins</t>
        </is>
      </c>
      <c r="AQ27" s="24" t="inlineStr">
        <is>
          <t>LG Twins</t>
        </is>
      </c>
      <c r="AR27" s="24" t="inlineStr">
        <is>
          <t>LG Twins</t>
        </is>
      </c>
      <c r="AS27" s="24" t="inlineStr">
        <is>
          <t>Doosan Bears</t>
        </is>
      </c>
      <c r="AT27" s="24" t="inlineStr">
        <is>
          <t>Doosan Bears</t>
        </is>
      </c>
      <c r="AU27" s="24" t="inlineStr">
        <is>
          <t>Doosan Bears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4ef76fee768b5735216c87e6784c9d2cedbcd785e26d5dc7cd1f5fb9b714137c</t>
        </is>
      </c>
      <c r="BB27" s="24" t="inlineStr">
        <is>
          <t>tie_aware_elo</t>
        </is>
      </c>
      <c r="BC27" s="24" t="inlineStr">
        <is>
          <t>kbo-tie-aware-elo-v2</t>
        </is>
      </c>
      <c r="BD27" s="24" t="inlineStr">
        <is>
          <t>4ef76fee768b5735216c87e6784c9d2cedbcd785e26d5dc7cd1f5fb9b714137c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kbo-tie-aware-elo-v2</t>
        </is>
      </c>
      <c r="BH27" s="24" t="inlineStr">
        <is>
          <t>2026-09-02T04:38:59.228216Z</t>
        </is>
      </c>
      <c r="BI27" s="24" t="inlineStr">
        <is>
          <t>["same_event","same_team_same_day","same_league_same_day"]</t>
        </is>
      </c>
      <c r="BJ27" s="25" t="n"/>
      <c r="BK27" s="26" t="n">
        <v>122</v>
      </c>
      <c r="BL27" s="27" t="n">
        <v>2.22</v>
      </c>
      <c r="BM27" s="28" t="n">
        <v>0.45045</v>
      </c>
      <c r="BN27" s="28" t="n"/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0.45045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feabe7b63bc948cf</t>
        </is>
      </c>
      <c r="B28" s="24" t="inlineStr">
        <is>
          <t>2026-09-02T04:38:59.485677Z</t>
        </is>
      </c>
      <c r="C28" s="24" t="inlineStr">
        <is>
          <t>2026-09-02T09:30:00Z</t>
        </is>
      </c>
      <c r="D28" s="24" t="inlineStr">
        <is>
          <t>97098</t>
        </is>
      </c>
      <c r="E28" s="24" t="inlineStr">
        <is>
          <t>KBO</t>
        </is>
      </c>
      <c r="F28" s="24" t="inlineStr">
        <is>
          <t>Lotte Giants</t>
        </is>
      </c>
      <c r="G28" s="24" t="inlineStr">
        <is>
          <t>Samsung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-163</v>
      </c>
      <c r="M28" s="27" t="n">
        <v>1.613497</v>
      </c>
      <c r="N28" s="28" t="n">
        <v>0.619772</v>
      </c>
      <c r="O28" s="28" t="n">
        <v>0.620367</v>
      </c>
      <c r="P28" s="28" t="n"/>
      <c r="Q28" s="28" t="n">
        <v>0.000595</v>
      </c>
      <c r="R28" s="26" t="n">
        <v>20</v>
      </c>
      <c r="S28" s="29" t="n">
        <v>1</v>
      </c>
      <c r="T28" s="24" t="inlineStr">
        <is>
          <t>kbo-tie-aware-elo-v2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5</v>
      </c>
      <c r="X28" s="26" t="n">
        <v>8</v>
      </c>
      <c r="Y28" s="25" t="n"/>
      <c r="Z28" s="26" t="n">
        <v>-163</v>
      </c>
      <c r="AA28" s="28" t="n">
        <v>0.62</v>
      </c>
      <c r="AB28" s="28" t="n">
        <v>0.000228</v>
      </c>
      <c r="AC28" s="30" t="n">
        <v>0.6135</v>
      </c>
      <c r="AD28" s="24" t="inlineStr">
        <is>
          <t>2026-09-02T16:06:03.921496Z</t>
        </is>
      </c>
      <c r="AE28" s="31" t="inlineStr">
        <is>
          <t>Tie-aware Elo baseline; executable ask 0.6200 (market_slug=aec-kbo-sla-lgo-2026-09-02). Tie probability=0.0226.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Lotte Giants</t>
        </is>
      </c>
      <c r="AQ28" s="24" t="inlineStr">
        <is>
          <t>Lotte Giants</t>
        </is>
      </c>
      <c r="AR28" s="24" t="inlineStr">
        <is>
          <t>Lotte Giants</t>
        </is>
      </c>
      <c r="AS28" s="24" t="inlineStr">
        <is>
          <t>Samsung Lions</t>
        </is>
      </c>
      <c r="AT28" s="24" t="inlineStr">
        <is>
          <t>Samsung Lions</t>
        </is>
      </c>
      <c r="AU28" s="24" t="inlineStr">
        <is>
          <t>Samsung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4ef76fee768b5735216c87e6784c9d2cedbcd785e26d5dc7cd1f5fb9b714137c</t>
        </is>
      </c>
      <c r="BB28" s="24" t="inlineStr">
        <is>
          <t>tie_aware_elo</t>
        </is>
      </c>
      <c r="BC28" s="24" t="inlineStr">
        <is>
          <t>kbo-tie-aware-elo-v2</t>
        </is>
      </c>
      <c r="BD28" s="24" t="inlineStr">
        <is>
          <t>4ef76fee768b5735216c87e6784c9d2cedbcd785e26d5dc7cd1f5fb9b714137c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kbo-tie-aware-elo-v2</t>
        </is>
      </c>
      <c r="BH28" s="24" t="inlineStr">
        <is>
          <t>2026-09-02T04:38:59.287548Z</t>
        </is>
      </c>
      <c r="BI28" s="24" t="inlineStr">
        <is>
          <t>["same_event","same_team_same_day","same_league_same_day"]</t>
        </is>
      </c>
      <c r="BJ28" s="25" t="n"/>
      <c r="BK28" s="26" t="n">
        <v>-163</v>
      </c>
      <c r="BL28" s="27" t="n">
        <v>1.613497</v>
      </c>
      <c r="BM28" s="28" t="n">
        <v>0.619772</v>
      </c>
      <c r="BN28" s="28" t="n"/>
      <c r="BO28" s="28" t="n"/>
      <c r="BP28" s="25" t="n"/>
      <c r="BQ28" s="27" t="n">
        <v>1.613497</v>
      </c>
      <c r="BR28" s="28" t="n">
        <v>0.62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0.619772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6e49f38629644e41</t>
        </is>
      </c>
      <c r="B29" s="24" t="inlineStr">
        <is>
          <t>2026-09-02T04:38:59.485677Z</t>
        </is>
      </c>
      <c r="C29" s="24" t="inlineStr">
        <is>
          <t>2026-09-02T09:30:00Z</t>
        </is>
      </c>
      <c r="D29" s="24" t="inlineStr">
        <is>
          <t>97099</t>
        </is>
      </c>
      <c r="E29" s="24" t="inlineStr">
        <is>
          <t>KBO</t>
        </is>
      </c>
      <c r="F29" s="24" t="inlineStr">
        <is>
          <t>Kia Tigers</t>
        </is>
      </c>
      <c r="G29" s="24" t="inlineStr">
        <is>
          <t>NC Dinos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0.511143</v>
      </c>
      <c r="P29" s="28" t="n"/>
      <c r="Q29" s="28" t="n">
        <v>-0.028028</v>
      </c>
      <c r="R29" s="26" t="n">
        <v>6</v>
      </c>
      <c r="S29" s="29" t="n">
        <v>1</v>
      </c>
      <c r="T29" s="24" t="inlineStr">
        <is>
          <t>kbo-tie-aware-elo-v2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3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2026-09-02T16:06:04.092114Z</t>
        </is>
      </c>
      <c r="AE29" s="31" t="inlineStr">
        <is>
          <t>Tie-aware Elo baseline; executable ask 0.5400 (market_slug=aec-kbo-ndc-kti-2026-09-02). Tie probability=0.0226.</t>
        </is>
      </c>
      <c r="AF29" s="31" t="inlineStr">
        <is>
          <t>Config-promoted international baseball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Kia Tigers</t>
        </is>
      </c>
      <c r="AQ29" s="24" t="inlineStr">
        <is>
          <t>Kia Tigers</t>
        </is>
      </c>
      <c r="AR29" s="24" t="inlineStr">
        <is>
          <t>Kia Tigers</t>
        </is>
      </c>
      <c r="AS29" s="24" t="inlineStr">
        <is>
          <t>NC Dinos</t>
        </is>
      </c>
      <c r="AT29" s="24" t="inlineStr">
        <is>
          <t>NC Dinos</t>
        </is>
      </c>
      <c r="AU29" s="24" t="inlineStr">
        <is>
          <t>NC Dinos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4ef76fee768b5735216c87e6784c9d2cedbcd785e26d5dc7cd1f5fb9b714137c</t>
        </is>
      </c>
      <c r="BB29" s="24" t="inlineStr">
        <is>
          <t>tie_aware_elo</t>
        </is>
      </c>
      <c r="BC29" s="24" t="inlineStr">
        <is>
          <t>kbo-tie-aware-elo-v2</t>
        </is>
      </c>
      <c r="BD29" s="24" t="inlineStr">
        <is>
          <t>4ef76fee768b5735216c87e6784c9d2cedbcd785e26d5dc7cd1f5fb9b714137c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kbo-tie-aware-elo-v2</t>
        </is>
      </c>
      <c r="BH29" s="24" t="inlineStr">
        <is>
          <t>2026-09-02T04:38:59.359760Z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0.539171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c7d63c961df847c2</t>
        </is>
      </c>
      <c r="B30" s="24" t="inlineStr">
        <is>
          <t>2026-09-02T04:38:59.485677Z</t>
        </is>
      </c>
      <c r="C30" s="24" t="inlineStr">
        <is>
          <t>2026-09-02T09:30:00Z</t>
        </is>
      </c>
      <c r="D30" s="24" t="inlineStr">
        <is>
          <t>97100</t>
        </is>
      </c>
      <c r="E30" s="24" t="inlineStr">
        <is>
          <t>KBO</t>
        </is>
      </c>
      <c r="F30" s="24" t="inlineStr">
        <is>
          <t>Hanwha Eagles</t>
        </is>
      </c>
      <c r="G30" s="24" t="inlineStr">
        <is>
          <t>KT Wiz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0.650105</v>
      </c>
      <c r="P30" s="28" t="n"/>
      <c r="Q30" s="28" t="n">
        <v>0.110934</v>
      </c>
      <c r="R30" s="26" t="n">
        <v>75</v>
      </c>
      <c r="S30" s="29" t="n">
        <v>1.5</v>
      </c>
      <c r="T30" s="24" t="inlineStr">
        <is>
          <t>kbo-tie-aware-elo-v2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9</v>
      </c>
      <c r="Y30" s="25" t="n"/>
      <c r="Z30" s="26" t="n">
        <v>-117</v>
      </c>
      <c r="AA30" s="28" t="n">
        <v>0.54</v>
      </c>
      <c r="AB30" s="28" t="n">
        <v>0.000829</v>
      </c>
      <c r="AC30" s="30" t="n">
        <v>1.282</v>
      </c>
      <c r="AD30" s="24" t="inlineStr">
        <is>
          <t>2026-09-02T16:06:04.251558Z</t>
        </is>
      </c>
      <c r="AE30" s="31" t="inlineStr">
        <is>
          <t>Tie-aware Elo baseline; executable ask 0.5400 (market_slug=aec-kbo-kwt-hea-2026-09-02). Tie probability=0.0226.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Hanwha Eagles</t>
        </is>
      </c>
      <c r="AQ30" s="24" t="inlineStr">
        <is>
          <t>Hanwha Eagles</t>
        </is>
      </c>
      <c r="AR30" s="24" t="inlineStr">
        <is>
          <t>Hanwha Eagles</t>
        </is>
      </c>
      <c r="AS30" s="24" t="inlineStr">
        <is>
          <t>KT Wiz</t>
        </is>
      </c>
      <c r="AT30" s="24" t="inlineStr">
        <is>
          <t>KT Wiz</t>
        </is>
      </c>
      <c r="AU30" s="24" t="inlineStr">
        <is>
          <t>KT Wiz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4ef76fee768b5735216c87e6784c9d2cedbcd785e26d5dc7cd1f5fb9b714137c</t>
        </is>
      </c>
      <c r="BB30" s="24" t="inlineStr">
        <is>
          <t>tie_aware_elo</t>
        </is>
      </c>
      <c r="BC30" s="24" t="inlineStr">
        <is>
          <t>kbo-tie-aware-elo-v2</t>
        </is>
      </c>
      <c r="BD30" s="24" t="inlineStr">
        <is>
          <t>4ef76fee768b5735216c87e6784c9d2cedbcd785e26d5dc7cd1f5fb9b714137c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kbo-tie-aware-elo-v2</t>
        </is>
      </c>
      <c r="BH30" s="24" t="inlineStr">
        <is>
          <t>2026-09-02T04:38:59.414124Z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>
        <v>1.854701</v>
      </c>
      <c r="BR30" s="28" t="n">
        <v>0.54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8b8559aff99a4861</t>
        </is>
      </c>
      <c r="B31" s="24" t="inlineStr">
        <is>
          <t>2026-09-02T04:38:59.485677Z</t>
        </is>
      </c>
      <c r="C31" s="24" t="inlineStr">
        <is>
          <t>2026-09-02T09:30:00Z</t>
        </is>
      </c>
      <c r="D31" s="24" t="inlineStr">
        <is>
          <t>97101</t>
        </is>
      </c>
      <c r="E31" s="24" t="inlineStr">
        <is>
          <t>KBO</t>
        </is>
      </c>
      <c r="F31" s="24" t="inlineStr">
        <is>
          <t>SSG Landers</t>
        </is>
      </c>
      <c r="G31" s="24" t="inlineStr">
        <is>
          <t>Kiwoom Heroes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0.53986</v>
      </c>
      <c r="P31" s="28" t="n"/>
      <c r="Q31" s="28" t="n">
        <v>0.009344</v>
      </c>
      <c r="R31" s="26" t="n">
        <v>25</v>
      </c>
      <c r="S31" s="29" t="n">
        <v>1</v>
      </c>
      <c r="T31" s="24" t="inlineStr">
        <is>
          <t>kbo-tie-aware-elo-v2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9</v>
      </c>
      <c r="X31" s="26" t="n">
        <v>6</v>
      </c>
      <c r="Y31" s="25" t="n"/>
      <c r="Z31" s="26" t="n">
        <v>-113</v>
      </c>
      <c r="AA31" s="28" t="n">
        <v>0.53</v>
      </c>
      <c r="AB31" s="28" t="n">
        <v>-0.000516</v>
      </c>
      <c r="AC31" s="30" t="n">
        <v>0.885</v>
      </c>
      <c r="AD31" s="24" t="inlineStr">
        <is>
          <t>2026-09-02T16:06:04.414797Z</t>
        </is>
      </c>
      <c r="AE31" s="31" t="inlineStr">
        <is>
          <t>Tie-aware Elo baseline; executable ask 0.5300 (market_slug=aec-kbo-khi-sls-2026-09-02). Tie probability=0.0226.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SSG Landers</t>
        </is>
      </c>
      <c r="AQ31" s="24" t="inlineStr">
        <is>
          <t>SSG Landers</t>
        </is>
      </c>
      <c r="AR31" s="24" t="inlineStr">
        <is>
          <t>SSG Landers</t>
        </is>
      </c>
      <c r="AS31" s="24" t="inlineStr">
        <is>
          <t>Kiwoom Heroes</t>
        </is>
      </c>
      <c r="AT31" s="24" t="inlineStr">
        <is>
          <t>Kiwoom Heroes</t>
        </is>
      </c>
      <c r="AU31" s="24" t="inlineStr">
        <is>
          <t>Kiwoom Heroes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4ef76fee768b5735216c87e6784c9d2cedbcd785e26d5dc7cd1f5fb9b714137c</t>
        </is>
      </c>
      <c r="BB31" s="24" t="inlineStr">
        <is>
          <t>tie_aware_elo</t>
        </is>
      </c>
      <c r="BC31" s="24" t="inlineStr">
        <is>
          <t>kbo-tie-aware-elo-v2</t>
        </is>
      </c>
      <c r="BD31" s="24" t="inlineStr">
        <is>
          <t>4ef76fee768b5735216c87e6784c9d2cedbcd785e26d5dc7cd1f5fb9b714137c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kbo-tie-aware-elo-v2</t>
        </is>
      </c>
      <c r="BH31" s="24" t="inlineStr">
        <is>
          <t>2026-09-02T04:38:59.485590Z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>
        <v>1.884956</v>
      </c>
      <c r="BR31" s="28" t="n">
        <v>0.53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0.530516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6271bb2be56846b0</t>
        </is>
      </c>
      <c r="B32" s="24" t="inlineStr">
        <is>
          <t>2026-09-03T04:35:48.822240Z</t>
        </is>
      </c>
      <c r="C32" s="24" t="inlineStr">
        <is>
          <t>2026-09-03T09:30:00Z</t>
        </is>
      </c>
      <c r="D32" s="24" t="inlineStr">
        <is>
          <t>98203</t>
        </is>
      </c>
      <c r="E32" s="24" t="inlineStr">
        <is>
          <t>KBO</t>
        </is>
      </c>
      <c r="F32" s="24" t="inlineStr">
        <is>
          <t>Lotte Giants</t>
        </is>
      </c>
      <c r="G32" s="24" t="inlineStr">
        <is>
          <t>Samsung Lions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-194</v>
      </c>
      <c r="M32" s="27" t="n">
        <v>1.515464</v>
      </c>
      <c r="N32" s="28" t="n">
        <v>0.659864</v>
      </c>
      <c r="O32" s="28" t="n">
        <v>0.627949</v>
      </c>
      <c r="P32" s="28" t="n"/>
      <c r="Q32" s="28" t="n">
        <v>-0.031915</v>
      </c>
      <c r="R32" s="26" t="n">
        <v>4</v>
      </c>
      <c r="S32" s="29" t="n">
        <v>1</v>
      </c>
      <c r="T32" s="24" t="inlineStr">
        <is>
          <t>kbo-tie-aware-elo-v2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2</v>
      </c>
      <c r="Y32" s="25" t="n"/>
      <c r="Z32" s="26" t="n">
        <v>-194</v>
      </c>
      <c r="AA32" s="28" t="n">
        <v>0.66</v>
      </c>
      <c r="AB32" s="28" t="n">
        <v>0.000136</v>
      </c>
      <c r="AC32" s="30" t="n">
        <v>-1</v>
      </c>
      <c r="AD32" s="24" t="inlineStr">
        <is>
          <t>2026-09-03T16:09:22.657734Z</t>
        </is>
      </c>
      <c r="AE32" s="31" t="inlineStr">
        <is>
          <t>Tie-aware Elo baseline; executable ask 0.6600 (market_slug=aec-kbo-sla-lgo-2026-09-03). Tie probability=0.0226.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Lotte Giants</t>
        </is>
      </c>
      <c r="AQ32" s="24" t="inlineStr">
        <is>
          <t>Lotte Giants</t>
        </is>
      </c>
      <c r="AR32" s="24" t="inlineStr">
        <is>
          <t>Lotte Giants</t>
        </is>
      </c>
      <c r="AS32" s="24" t="inlineStr">
        <is>
          <t>Samsung Lions</t>
        </is>
      </c>
      <c r="AT32" s="24" t="inlineStr">
        <is>
          <t>Samsung Lions</t>
        </is>
      </c>
      <c r="AU32" s="24" t="inlineStr">
        <is>
          <t>Samsung Lions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9fb8d89ebdc680d8de08c6afd0d0849e822d63ce40fcf3bd358c742e35d7bcc9</t>
        </is>
      </c>
      <c r="BB32" s="24" t="inlineStr">
        <is>
          <t>tie_aware_elo</t>
        </is>
      </c>
      <c r="BC32" s="24" t="inlineStr">
        <is>
          <t>kbo-tie-aware-elo-v2</t>
        </is>
      </c>
      <c r="BD32" s="24" t="inlineStr">
        <is>
          <t>9fb8d89ebdc680d8de08c6afd0d0849e822d63ce40fcf3bd358c742e35d7bcc9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kbo-tie-aware-elo-v2</t>
        </is>
      </c>
      <c r="BH32" s="24" t="inlineStr">
        <is>
          <t>2026-09-03T04:35:48.657330Z</t>
        </is>
      </c>
      <c r="BI32" s="24" t="inlineStr">
        <is>
          <t>["same_event","same_team_same_day","same_league_same_day"]</t>
        </is>
      </c>
      <c r="BJ32" s="25" t="n"/>
      <c r="BK32" s="26" t="n">
        <v>-194</v>
      </c>
      <c r="BL32" s="27" t="n">
        <v>1.515464</v>
      </c>
      <c r="BM32" s="28" t="n">
        <v>0.659864</v>
      </c>
      <c r="BN32" s="28" t="n"/>
      <c r="BO32" s="28" t="n"/>
      <c r="BP32" s="25" t="n"/>
      <c r="BQ32" s="27" t="n">
        <v>1.515464</v>
      </c>
      <c r="BR32" s="28" t="n">
        <v>0.66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0.659864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abe02676fbd4488c</t>
        </is>
      </c>
      <c r="B33" s="24" t="inlineStr">
        <is>
          <t>2026-09-03T04:35:48.822240Z</t>
        </is>
      </c>
      <c r="C33" s="24" t="inlineStr">
        <is>
          <t>2026-09-03T09:30:00Z</t>
        </is>
      </c>
      <c r="D33" s="24" t="inlineStr">
        <is>
          <t>98200</t>
        </is>
      </c>
      <c r="E33" s="24" t="inlineStr">
        <is>
          <t>KBO</t>
        </is>
      </c>
      <c r="F33" s="24" t="inlineStr">
        <is>
          <t>Hanwha Eagles</t>
        </is>
      </c>
      <c r="G33" s="24" t="inlineStr">
        <is>
          <t>KT Wiz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-163</v>
      </c>
      <c r="M33" s="27" t="n">
        <v>1.613497</v>
      </c>
      <c r="N33" s="28" t="n">
        <v>0.619772</v>
      </c>
      <c r="O33" s="28" t="n">
        <v>0.65702</v>
      </c>
      <c r="P33" s="28" t="n"/>
      <c r="Q33" s="28" t="n">
        <v>0.037248</v>
      </c>
      <c r="R33" s="26" t="n">
        <v>39</v>
      </c>
      <c r="S33" s="29" t="n">
        <v>1</v>
      </c>
      <c r="T33" s="24" t="inlineStr">
        <is>
          <t>kbo-tie-aware-elo-v2</t>
        </is>
      </c>
      <c r="U33" s="24" t="inlineStr">
        <is>
          <t>settled</t>
        </is>
      </c>
      <c r="V33" s="24" t="inlineStr">
        <is>
          <t>win</t>
        </is>
      </c>
      <c r="W33" s="26" t="n">
        <v>11</v>
      </c>
      <c r="X33" s="26" t="n">
        <v>13</v>
      </c>
      <c r="Y33" s="25" t="n"/>
      <c r="Z33" s="26" t="n">
        <v>-163</v>
      </c>
      <c r="AA33" s="28" t="n">
        <v>0.62</v>
      </c>
      <c r="AB33" s="28" t="n">
        <v>0.000228</v>
      </c>
      <c r="AC33" s="30" t="n">
        <v>0.6135</v>
      </c>
      <c r="AD33" s="24" t="inlineStr">
        <is>
          <t>2026-09-03T16:09:22.915776Z</t>
        </is>
      </c>
      <c r="AE33" s="31" t="inlineStr">
        <is>
          <t>Tie-aware Elo baseline; executable ask 0.6200 (market_slug=aec-kbo-kwt-hea-2026-09-03). Tie probability=0.0226.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Hanwha Eagles</t>
        </is>
      </c>
      <c r="AQ33" s="24" t="inlineStr">
        <is>
          <t>Hanwha Eagles</t>
        </is>
      </c>
      <c r="AR33" s="24" t="inlineStr">
        <is>
          <t>Hanwha Eagles</t>
        </is>
      </c>
      <c r="AS33" s="24" t="inlineStr">
        <is>
          <t>KT Wiz</t>
        </is>
      </c>
      <c r="AT33" s="24" t="inlineStr">
        <is>
          <t>KT Wiz</t>
        </is>
      </c>
      <c r="AU33" s="24" t="inlineStr">
        <is>
          <t>KT Wiz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9fb8d89ebdc680d8de08c6afd0d0849e822d63ce40fcf3bd358c742e35d7bcc9</t>
        </is>
      </c>
      <c r="BB33" s="24" t="inlineStr">
        <is>
          <t>tie_aware_elo</t>
        </is>
      </c>
      <c r="BC33" s="24" t="inlineStr">
        <is>
          <t>kbo-tie-aware-elo-v2</t>
        </is>
      </c>
      <c r="BD33" s="24" t="inlineStr">
        <is>
          <t>9fb8d89ebdc680d8de08c6afd0d0849e822d63ce40fcf3bd358c742e35d7bcc9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kbo-tie-aware-elo-v2</t>
        </is>
      </c>
      <c r="BH33" s="24" t="inlineStr">
        <is>
          <t>2026-09-03T04:35:48.709963Z</t>
        </is>
      </c>
      <c r="BI33" s="24" t="inlineStr">
        <is>
          <t>["same_event","same_team_same_day","same_league_same_day"]</t>
        </is>
      </c>
      <c r="BJ33" s="25" t="n"/>
      <c r="BK33" s="26" t="n">
        <v>-163</v>
      </c>
      <c r="BL33" s="27" t="n">
        <v>1.613497</v>
      </c>
      <c r="BM33" s="28" t="n">
        <v>0.619772</v>
      </c>
      <c r="BN33" s="28" t="n"/>
      <c r="BO33" s="28" t="n"/>
      <c r="BP33" s="25" t="n"/>
      <c r="BQ33" s="27" t="n">
        <v>1.613497</v>
      </c>
      <c r="BR33" s="28" t="n">
        <v>0.62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0.619772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b1c41880bbdf4fa3</t>
        </is>
      </c>
      <c r="B34" s="24" t="inlineStr">
        <is>
          <t>2026-09-03T04:35:48.822240Z</t>
        </is>
      </c>
      <c r="C34" s="24" t="inlineStr">
        <is>
          <t>2026-09-03T09:30:00Z</t>
        </is>
      </c>
      <c r="D34" s="24" t="inlineStr">
        <is>
          <t>98201</t>
        </is>
      </c>
      <c r="E34" s="24" t="inlineStr">
        <is>
          <t>KBO</t>
        </is>
      </c>
      <c r="F34" s="24" t="inlineStr">
        <is>
          <t>SSG Landers</t>
        </is>
      </c>
      <c r="G34" s="24" t="inlineStr">
        <is>
          <t>Kiwoom Heroes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-133</v>
      </c>
      <c r="M34" s="27" t="n">
        <v>1.75188</v>
      </c>
      <c r="N34" s="28" t="n">
        <v>0.570815</v>
      </c>
      <c r="O34" s="28" t="n">
        <v>0.549772</v>
      </c>
      <c r="P34" s="28" t="n"/>
      <c r="Q34" s="28" t="n">
        <v>-0.021043</v>
      </c>
      <c r="R34" s="26" t="n">
        <v>9</v>
      </c>
      <c r="S34" s="29" t="n">
        <v>1</v>
      </c>
      <c r="T34" s="24" t="inlineStr">
        <is>
          <t>kbo-tie-aware-elo-v2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2</v>
      </c>
      <c r="X34" s="26" t="n">
        <v>3</v>
      </c>
      <c r="Y34" s="25" t="n"/>
      <c r="Z34" s="26" t="n">
        <v>-133</v>
      </c>
      <c r="AA34" s="28" t="n">
        <v>0.57</v>
      </c>
      <c r="AB34" s="28" t="n">
        <v>-0.000815</v>
      </c>
      <c r="AC34" s="30" t="n">
        <v>-1</v>
      </c>
      <c r="AD34" s="24" t="inlineStr">
        <is>
          <t>2026-09-03T16:09:23.076994Z</t>
        </is>
      </c>
      <c r="AE34" s="31" t="inlineStr">
        <is>
          <t>Tie-aware Elo baseline; executable ask 0.5700 (market_slug=aec-kbo-khi-sls-2026-09-03). Tie probability=0.0226.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SSG Landers</t>
        </is>
      </c>
      <c r="AQ34" s="24" t="inlineStr">
        <is>
          <t>SSG Landers</t>
        </is>
      </c>
      <c r="AR34" s="24" t="inlineStr">
        <is>
          <t>SSG Landers</t>
        </is>
      </c>
      <c r="AS34" s="24" t="inlineStr">
        <is>
          <t>Kiwoom Heroes</t>
        </is>
      </c>
      <c r="AT34" s="24" t="inlineStr">
        <is>
          <t>Kiwoom Heroes</t>
        </is>
      </c>
      <c r="AU34" s="24" t="inlineStr">
        <is>
          <t>Kiwoom Heroes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9fb8d89ebdc680d8de08c6afd0d0849e822d63ce40fcf3bd358c742e35d7bcc9</t>
        </is>
      </c>
      <c r="BB34" s="24" t="inlineStr">
        <is>
          <t>tie_aware_elo</t>
        </is>
      </c>
      <c r="BC34" s="24" t="inlineStr">
        <is>
          <t>kbo-tie-aware-elo-v2</t>
        </is>
      </c>
      <c r="BD34" s="24" t="inlineStr">
        <is>
          <t>9fb8d89ebdc680d8de08c6afd0d0849e822d63ce40fcf3bd358c742e35d7bcc9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kbo-tie-aware-elo-v2</t>
        </is>
      </c>
      <c r="BH34" s="24" t="inlineStr">
        <is>
          <t>2026-09-03T04:35:48.765846Z</t>
        </is>
      </c>
      <c r="BI34" s="24" t="inlineStr">
        <is>
          <t>["same_event","same_team_same_day","same_league_same_day"]</t>
        </is>
      </c>
      <c r="BJ34" s="25" t="n"/>
      <c r="BK34" s="26" t="n">
        <v>-133</v>
      </c>
      <c r="BL34" s="27" t="n">
        <v>1.75188</v>
      </c>
      <c r="BM34" s="28" t="n">
        <v>0.570815</v>
      </c>
      <c r="BN34" s="28" t="n"/>
      <c r="BO34" s="28" t="n"/>
      <c r="BP34" s="25" t="n"/>
      <c r="BQ34" s="27" t="n">
        <v>1.75188</v>
      </c>
      <c r="BR34" s="28" t="n">
        <v>0.57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0.570815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74ba00e31cbb473e</t>
        </is>
      </c>
      <c r="B35" s="24" t="inlineStr">
        <is>
          <t>2026-09-03T04:35:48.822240Z</t>
        </is>
      </c>
      <c r="C35" s="24" t="inlineStr">
        <is>
          <t>2026-09-03T09:30:00Z</t>
        </is>
      </c>
      <c r="D35" s="24" t="inlineStr">
        <is>
          <t>98202</t>
        </is>
      </c>
      <c r="E35" s="24" t="inlineStr">
        <is>
          <t>KBO</t>
        </is>
      </c>
      <c r="F35" s="24" t="inlineStr">
        <is>
          <t>LG Twins</t>
        </is>
      </c>
      <c r="G35" s="24" t="inlineStr">
        <is>
          <t>Doosan Bears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0.524576</v>
      </c>
      <c r="P35" s="28" t="n"/>
      <c r="Q35" s="28" t="n">
        <v>-0.115712</v>
      </c>
      <c r="R35" s="26" t="n">
        <v>0</v>
      </c>
      <c r="S35" s="29" t="n">
        <v>1</v>
      </c>
      <c r="T35" s="24" t="inlineStr">
        <is>
          <t>kbo-tie-aware-elo-v2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-178</v>
      </c>
      <c r="AA35" s="28" t="n">
        <v>0.64</v>
      </c>
      <c r="AB35" s="28" t="n">
        <v>-0.000288</v>
      </c>
      <c r="AC35" s="30" t="n">
        <v>-1</v>
      </c>
      <c r="AD35" s="24" t="inlineStr">
        <is>
          <t>2026-09-03T16:09:23.234394Z</t>
        </is>
      </c>
      <c r="AE35" s="31" t="inlineStr">
        <is>
          <t>Tie-aware Elo baseline; executable ask 0.6400 (market_slug=aec-kbo-dbo-ltg-2026-09-03). Tie probability=0.0226.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LG Twins</t>
        </is>
      </c>
      <c r="AQ35" s="24" t="inlineStr">
        <is>
          <t>LG Twins</t>
        </is>
      </c>
      <c r="AR35" s="24" t="inlineStr">
        <is>
          <t>LG Twins</t>
        </is>
      </c>
      <c r="AS35" s="24" t="inlineStr">
        <is>
          <t>Doosan Bears</t>
        </is>
      </c>
      <c r="AT35" s="24" t="inlineStr">
        <is>
          <t>Doosan Bears</t>
        </is>
      </c>
      <c r="AU35" s="24" t="inlineStr">
        <is>
          <t>Doosan Bears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9fb8d89ebdc680d8de08c6afd0d0849e822d63ce40fcf3bd358c742e35d7bcc9</t>
        </is>
      </c>
      <c r="BB35" s="24" t="inlineStr">
        <is>
          <t>tie_aware_elo</t>
        </is>
      </c>
      <c r="BC35" s="24" t="inlineStr">
        <is>
          <t>kbo-tie-aware-elo-v2</t>
        </is>
      </c>
      <c r="BD35" s="24" t="inlineStr">
        <is>
          <t>9fb8d89ebdc680d8de08c6afd0d0849e822d63ce40fcf3bd358c742e35d7bcc9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kbo-tie-aware-elo-v2</t>
        </is>
      </c>
      <c r="BH35" s="24" t="inlineStr">
        <is>
          <t>2026-09-03T04:35:48.822205Z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>
        <v>1.561798</v>
      </c>
      <c r="BR35" s="28" t="n">
        <v>0.64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0.640288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67c2784fc50d4b92</t>
        </is>
      </c>
      <c r="B36" s="24" t="inlineStr">
        <is>
          <t>2026-09-04T04:36:43.917497Z</t>
        </is>
      </c>
      <c r="C36" s="24" t="inlineStr">
        <is>
          <t>2026-09-04T09:30:00Z</t>
        </is>
      </c>
      <c r="D36" s="24" t="inlineStr">
        <is>
          <t>99152</t>
        </is>
      </c>
      <c r="E36" s="24" t="inlineStr">
        <is>
          <t>KBO</t>
        </is>
      </c>
      <c r="F36" s="24" t="inlineStr">
        <is>
          <t>NC Dinos</t>
        </is>
      </c>
      <c r="G36" s="24" t="inlineStr">
        <is>
          <t>Kiwoom Heroes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0.55976</v>
      </c>
      <c r="P36" s="28" t="n"/>
      <c r="Q36" s="28" t="n">
        <v>-0.049615</v>
      </c>
      <c r="R36" s="26" t="n">
        <v>0</v>
      </c>
      <c r="S36" s="29" t="n">
        <v>1</v>
      </c>
      <c r="T36" s="24" t="inlineStr">
        <is>
          <t>kbo-tie-aware-elo-v2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1</v>
      </c>
      <c r="Y36" s="25" t="n"/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2026-09-04T16:01:52.613096Z</t>
        </is>
      </c>
      <c r="AE36" s="31" t="inlineStr">
        <is>
          <t>Tie-aware Elo baseline; executable ask 0.6100 (market_slug=aec-kbo-khi-ndc-2026-09-04). Tie probability=0.0226.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NC Dinos</t>
        </is>
      </c>
      <c r="AQ36" s="24" t="inlineStr">
        <is>
          <t>NC Dinos</t>
        </is>
      </c>
      <c r="AR36" s="24" t="inlineStr">
        <is>
          <t>NC Dinos</t>
        </is>
      </c>
      <c r="AS36" s="24" t="inlineStr">
        <is>
          <t>Kiwoom Heroes</t>
        </is>
      </c>
      <c r="AT36" s="24" t="inlineStr">
        <is>
          <t>Kiwoom Heroes</t>
        </is>
      </c>
      <c r="AU36" s="24" t="inlineStr">
        <is>
          <t>Kiwoom Heroes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17acbaf385e0e55e390968d14bd373856f56f7066d077c40e740f4a45b7d43db</t>
        </is>
      </c>
      <c r="BB36" s="24" t="inlineStr">
        <is>
          <t>tie_aware_elo</t>
        </is>
      </c>
      <c r="BC36" s="24" t="inlineStr">
        <is>
          <t>kbo-tie-aware-elo-v2</t>
        </is>
      </c>
      <c r="BD36" s="24" t="inlineStr">
        <is>
          <t>17acbaf385e0e55e390968d14bd373856f56f7066d077c40e740f4a45b7d43db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kbo-tie-aware-elo-v2</t>
        </is>
      </c>
      <c r="BH36" s="24" t="inlineStr">
        <is>
          <t>2026-09-04T04:36:43.548277Z</t>
        </is>
      </c>
      <c r="BI36" s="24" t="inlineStr">
        <is>
          <t>["same_event","same_team_same_day","same_league_same_day"]</t>
        </is>
      </c>
      <c r="BJ36" s="25" t="n"/>
      <c r="BK36" s="26" t="n">
        <v>-156</v>
      </c>
      <c r="BL36" s="27" t="n">
        <v>1.641026</v>
      </c>
      <c r="BM36" s="28" t="n">
        <v>0.609375</v>
      </c>
      <c r="BN36" s="28" t="n"/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0.609375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adf266f5ee704e5a</t>
        </is>
      </c>
      <c r="B37" s="24" t="inlineStr">
        <is>
          <t>2026-09-04T04:36:43.917497Z</t>
        </is>
      </c>
      <c r="C37" s="24" t="inlineStr">
        <is>
          <t>2026-09-04T09:30:00Z</t>
        </is>
      </c>
      <c r="D37" s="24" t="inlineStr">
        <is>
          <t>99149</t>
        </is>
      </c>
      <c r="E37" s="24" t="inlineStr">
        <is>
          <t>KBO</t>
        </is>
      </c>
      <c r="F37" s="24" t="inlineStr">
        <is>
          <t>Doosan Bears</t>
        </is>
      </c>
      <c r="G37" s="24" t="inlineStr">
        <is>
          <t>SSG Landers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144</v>
      </c>
      <c r="M37" s="27" t="n">
        <v>2.44</v>
      </c>
      <c r="N37" s="28" t="n">
        <v>0.409836</v>
      </c>
      <c r="O37" s="28" t="n">
        <v>0.513158</v>
      </c>
      <c r="P37" s="28" t="n"/>
      <c r="Q37" s="28" t="n">
        <v>0.103322</v>
      </c>
      <c r="R37" s="26" t="n">
        <v>72</v>
      </c>
      <c r="S37" s="29" t="n">
        <v>1.25</v>
      </c>
      <c r="T37" s="24" t="inlineStr">
        <is>
          <t>kbo-tie-aware-elo-v2</t>
        </is>
      </c>
      <c r="U37" s="24" t="inlineStr">
        <is>
          <t>settled</t>
        </is>
      </c>
      <c r="V37" s="24" t="inlineStr">
        <is>
          <t>loss</t>
        </is>
      </c>
      <c r="W37" s="26" t="n">
        <v>0</v>
      </c>
      <c r="X37" s="26" t="n">
        <v>4</v>
      </c>
      <c r="Y37" s="25" t="n"/>
      <c r="Z37" s="26" t="n">
        <v>144</v>
      </c>
      <c r="AA37" s="28" t="n">
        <v>0.41</v>
      </c>
      <c r="AB37" s="28" t="n">
        <v>0.000164</v>
      </c>
      <c r="AC37" s="30" t="n">
        <v>-1.25</v>
      </c>
      <c r="AD37" s="24" t="inlineStr">
        <is>
          <t>2026-09-04T16:01:52.755327Z</t>
        </is>
      </c>
      <c r="AE37" s="31" t="inlineStr">
        <is>
          <t>Tie-aware Elo baseline; executable ask 0.4100 (market_slug=aec-kbo-sls-dbo-2026-09-04). Tie probability=0.0226.</t>
        </is>
      </c>
      <c r="AF37" s="31" t="inlineStr">
        <is>
          <t>Config-promoted international baseball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Doosan Bears</t>
        </is>
      </c>
      <c r="AQ37" s="24" t="inlineStr">
        <is>
          <t>Doosan Bears</t>
        </is>
      </c>
      <c r="AR37" s="24" t="inlineStr">
        <is>
          <t>Doosan Bears</t>
        </is>
      </c>
      <c r="AS37" s="24" t="inlineStr">
        <is>
          <t>SSG Landers</t>
        </is>
      </c>
      <c r="AT37" s="24" t="inlineStr">
        <is>
          <t>SSG Landers</t>
        </is>
      </c>
      <c r="AU37" s="24" t="inlineStr">
        <is>
          <t>SSG Landers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17acbaf385e0e55e390968d14bd373856f56f7066d077c40e740f4a45b7d43db</t>
        </is>
      </c>
      <c r="BB37" s="24" t="inlineStr">
        <is>
          <t>tie_aware_elo</t>
        </is>
      </c>
      <c r="BC37" s="24" t="inlineStr">
        <is>
          <t>kbo-tie-aware-elo-v2</t>
        </is>
      </c>
      <c r="BD37" s="24" t="inlineStr">
        <is>
          <t>17acbaf385e0e55e390968d14bd373856f56f7066d077c40e740f4a45b7d43db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kbo-tie-aware-elo-v2</t>
        </is>
      </c>
      <c r="BH37" s="24" t="inlineStr">
        <is>
          <t>2026-09-04T04:36:43.667058Z</t>
        </is>
      </c>
      <c r="BI37" s="24" t="inlineStr">
        <is>
          <t>["same_event","same_team_same_day","same_league_same_day"]</t>
        </is>
      </c>
      <c r="BJ37" s="25" t="n"/>
      <c r="BK37" s="26" t="n">
        <v>144</v>
      </c>
      <c r="BL37" s="27" t="n">
        <v>2.44</v>
      </c>
      <c r="BM37" s="28" t="n">
        <v>0.409836</v>
      </c>
      <c r="BN37" s="28" t="n"/>
      <c r="BO37" s="28" t="n"/>
      <c r="BP37" s="25" t="n"/>
      <c r="BQ37" s="27" t="n">
        <v>2.44</v>
      </c>
      <c r="BR37" s="28" t="n">
        <v>0.41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0.409836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fca65a02b7394f77</t>
        </is>
      </c>
      <c r="B38" s="24" t="inlineStr">
        <is>
          <t>2026-09-04T04:36:43.917497Z</t>
        </is>
      </c>
      <c r="C38" s="24" t="inlineStr">
        <is>
          <t>2026-09-04T09:30:00Z</t>
        </is>
      </c>
      <c r="D38" s="24" t="inlineStr">
        <is>
          <t>99151</t>
        </is>
      </c>
      <c r="E38" s="24" t="inlineStr">
        <is>
          <t>KBO</t>
        </is>
      </c>
      <c r="F38" s="24" t="inlineStr">
        <is>
          <t>Hanwha Eagles</t>
        </is>
      </c>
      <c r="G38" s="24" t="inlineStr">
        <is>
          <t>Lotte Giants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-117</v>
      </c>
      <c r="M38" s="27" t="n">
        <v>1.854701</v>
      </c>
      <c r="N38" s="28" t="n">
        <v>0.539171</v>
      </c>
      <c r="O38" s="28" t="n">
        <v>0.570731</v>
      </c>
      <c r="P38" s="28" t="n"/>
      <c r="Q38" s="28" t="n">
        <v>0.03156</v>
      </c>
      <c r="R38" s="26" t="n">
        <v>36</v>
      </c>
      <c r="S38" s="29" t="n">
        <v>1</v>
      </c>
      <c r="T38" s="24" t="inlineStr">
        <is>
          <t>kbo-tie-aware-elo-v2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14</v>
      </c>
      <c r="X38" s="26" t="n">
        <v>4</v>
      </c>
      <c r="Y38" s="25" t="n"/>
      <c r="Z38" s="26" t="n">
        <v>-117</v>
      </c>
      <c r="AA38" s="28" t="n">
        <v>0.54</v>
      </c>
      <c r="AB38" s="28" t="n">
        <v>0.000829</v>
      </c>
      <c r="AC38" s="30" t="n">
        <v>-1</v>
      </c>
      <c r="AD38" s="24" t="inlineStr">
        <is>
          <t>2026-09-04T16:01:52.832039Z</t>
        </is>
      </c>
      <c r="AE38" s="31" t="inlineStr">
        <is>
          <t>Tie-aware Elo baseline; executable ask 0.5400 (market_slug=aec-kbo-lgo-hea-2026-09-04). Tie probability=0.0226.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Hanwha Eagles</t>
        </is>
      </c>
      <c r="AQ38" s="24" t="inlineStr">
        <is>
          <t>Hanwha Eagles</t>
        </is>
      </c>
      <c r="AR38" s="24" t="inlineStr">
        <is>
          <t>Hanwha Eagles</t>
        </is>
      </c>
      <c r="AS38" s="24" t="inlineStr">
        <is>
          <t>Lotte Giants</t>
        </is>
      </c>
      <c r="AT38" s="24" t="inlineStr">
        <is>
          <t>Lotte Giants</t>
        </is>
      </c>
      <c r="AU38" s="24" t="inlineStr">
        <is>
          <t>Lotte Giants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17acbaf385e0e55e390968d14bd373856f56f7066d077c40e740f4a45b7d43db</t>
        </is>
      </c>
      <c r="BB38" s="24" t="inlineStr">
        <is>
          <t>tie_aware_elo</t>
        </is>
      </c>
      <c r="BC38" s="24" t="inlineStr">
        <is>
          <t>kbo-tie-aware-elo-v2</t>
        </is>
      </c>
      <c r="BD38" s="24" t="inlineStr">
        <is>
          <t>17acbaf385e0e55e390968d14bd373856f56f7066d077c40e740f4a45b7d43db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kbo-tie-aware-elo-v2</t>
        </is>
      </c>
      <c r="BH38" s="24" t="inlineStr">
        <is>
          <t>2026-09-04T04:36:43.771039Z</t>
        </is>
      </c>
      <c r="BI38" s="24" t="inlineStr">
        <is>
          <t>["same_event","same_team_same_day","same_league_same_day"]</t>
        </is>
      </c>
      <c r="BJ38" s="25" t="n"/>
      <c r="BK38" s="26" t="n">
        <v>-117</v>
      </c>
      <c r="BL38" s="27" t="n">
        <v>1.854701</v>
      </c>
      <c r="BM38" s="28" t="n">
        <v>0.539171</v>
      </c>
      <c r="BN38" s="28" t="n"/>
      <c r="BO38" s="28" t="n"/>
      <c r="BP38" s="25" t="n"/>
      <c r="BQ38" s="27" t="n">
        <v>1.854701</v>
      </c>
      <c r="BR38" s="28" t="n">
        <v>0.54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0.539171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df09ce2cb3a84293</t>
        </is>
      </c>
      <c r="B39" s="24" t="inlineStr">
        <is>
          <t>2026-09-04T04:36:43.917497Z</t>
        </is>
      </c>
      <c r="C39" s="24" t="inlineStr">
        <is>
          <t>2026-09-04T09:30:00Z</t>
        </is>
      </c>
      <c r="D39" s="24" t="inlineStr">
        <is>
          <t>99150</t>
        </is>
      </c>
      <c r="E39" s="24" t="inlineStr">
        <is>
          <t>KBO</t>
        </is>
      </c>
      <c r="F39" s="24" t="inlineStr">
        <is>
          <t>Samsung Lions</t>
        </is>
      </c>
      <c r="G39" s="24" t="inlineStr">
        <is>
          <t>LG Twins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0.50101</v>
      </c>
      <c r="P39" s="28" t="n"/>
      <c r="Q39" s="28" t="n">
        <v>-0.029506</v>
      </c>
      <c r="R39" s="26" t="n">
        <v>5</v>
      </c>
      <c r="S39" s="29" t="n">
        <v>1</v>
      </c>
      <c r="T39" s="24" t="inlineStr">
        <is>
          <t>kbo-tie-aware-elo-v2</t>
        </is>
      </c>
      <c r="U39" s="24" t="inlineStr">
        <is>
          <t>settled</t>
        </is>
      </c>
      <c r="V39" s="24" t="inlineStr">
        <is>
          <t>loss</t>
        </is>
      </c>
      <c r="W39" s="26" t="n">
        <v>3</v>
      </c>
      <c r="X39" s="26" t="n">
        <v>4</v>
      </c>
      <c r="Y39" s="25" t="n"/>
      <c r="Z39" s="26" t="n">
        <v>-113</v>
      </c>
      <c r="AA39" s="28" t="n">
        <v>0.53</v>
      </c>
      <c r="AB39" s="28" t="n">
        <v>-0.000516</v>
      </c>
      <c r="AC39" s="30" t="n">
        <v>-1</v>
      </c>
      <c r="AD39" s="24" t="inlineStr">
        <is>
          <t>2026-09-04T16:01:52.923657Z</t>
        </is>
      </c>
      <c r="AE39" s="31" t="inlineStr">
        <is>
          <t>Tie-aware Elo baseline; executable ask 0.5300 (market_slug=aec-kbo-ltg-sla-2026-09-04). Tie probability=0.0226.</t>
        </is>
      </c>
      <c r="AF39" s="31" t="inlineStr">
        <is>
          <t>Config-promoted international baseball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Samsung Lions</t>
        </is>
      </c>
      <c r="AQ39" s="24" t="inlineStr">
        <is>
          <t>Samsung Lions</t>
        </is>
      </c>
      <c r="AR39" s="24" t="inlineStr">
        <is>
          <t>Samsung Lions</t>
        </is>
      </c>
      <c r="AS39" s="24" t="inlineStr">
        <is>
          <t>LG Twins</t>
        </is>
      </c>
      <c r="AT39" s="24" t="inlineStr">
        <is>
          <t>LG Twins</t>
        </is>
      </c>
      <c r="AU39" s="24" t="inlineStr">
        <is>
          <t>LG Twins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17acbaf385e0e55e390968d14bd373856f56f7066d077c40e740f4a45b7d43db</t>
        </is>
      </c>
      <c r="BB39" s="24" t="inlineStr">
        <is>
          <t>tie_aware_elo</t>
        </is>
      </c>
      <c r="BC39" s="24" t="inlineStr">
        <is>
          <t>kbo-tie-aware-elo-v2</t>
        </is>
      </c>
      <c r="BD39" s="24" t="inlineStr">
        <is>
          <t>17acbaf385e0e55e390968d14bd373856f56f7066d077c40e740f4a45b7d43db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kbo-tie-aware-elo-v2</t>
        </is>
      </c>
      <c r="BH39" s="24" t="inlineStr">
        <is>
          <t>2026-09-04T04:36:43.857262Z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>
        <v>1.884956</v>
      </c>
      <c r="BR39" s="28" t="n">
        <v>0.53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0470159122184442</t>
        </is>
      </c>
      <c r="B40" s="24" t="inlineStr">
        <is>
          <t>2026-09-04T04:36:43.917497Z</t>
        </is>
      </c>
      <c r="C40" s="24" t="inlineStr">
        <is>
          <t>2026-09-04T09:30:00Z</t>
        </is>
      </c>
      <c r="D40" s="24" t="inlineStr">
        <is>
          <t>99153</t>
        </is>
      </c>
      <c r="E40" s="24" t="inlineStr">
        <is>
          <t>KBO</t>
        </is>
      </c>
      <c r="F40" s="24" t="inlineStr">
        <is>
          <t>KT Wiz</t>
        </is>
      </c>
      <c r="G40" s="24" t="inlineStr">
        <is>
          <t>Kia Tigers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0.517936</v>
      </c>
      <c r="P40" s="28" t="n"/>
      <c r="Q40" s="28" t="n">
        <v>0.117936</v>
      </c>
      <c r="R40" s="26" t="n">
        <v>79</v>
      </c>
      <c r="S40" s="29" t="n">
        <v>1.5</v>
      </c>
      <c r="T40" s="24" t="inlineStr">
        <is>
          <t>kbo-tie-aware-elo-v2</t>
        </is>
      </c>
      <c r="U40" s="24" t="inlineStr">
        <is>
          <t>settled</t>
        </is>
      </c>
      <c r="V40" s="24" t="inlineStr">
        <is>
          <t>loss</t>
        </is>
      </c>
      <c r="W40" s="26" t="n">
        <v>3</v>
      </c>
      <c r="X40" s="26" t="n">
        <v>4</v>
      </c>
      <c r="Y40" s="25" t="n"/>
      <c r="Z40" s="26" t="n">
        <v>150</v>
      </c>
      <c r="AA40" s="28" t="n">
        <v>0.4</v>
      </c>
      <c r="AB40" s="28" t="n">
        <v>0</v>
      </c>
      <c r="AC40" s="30" t="n">
        <v>-1.5</v>
      </c>
      <c r="AD40" s="24" t="inlineStr">
        <is>
          <t>2026-09-04T16:01:52.998628Z</t>
        </is>
      </c>
      <c r="AE40" s="31" t="inlineStr">
        <is>
          <t>Tie-aware Elo baseline; executable ask 0.4000 (market_slug=aec-kbo-kti-kwt-2026-09-04). Tie probability=0.0226.</t>
        </is>
      </c>
      <c r="AF40" s="31" t="inlineStr">
        <is>
          <t>Config-promoted international baseball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KT Wiz</t>
        </is>
      </c>
      <c r="AQ40" s="24" t="inlineStr">
        <is>
          <t>KT Wiz</t>
        </is>
      </c>
      <c r="AR40" s="24" t="inlineStr">
        <is>
          <t>KT Wiz</t>
        </is>
      </c>
      <c r="AS40" s="24" t="inlineStr">
        <is>
          <t>Kia Tigers</t>
        </is>
      </c>
      <c r="AT40" s="24" t="inlineStr">
        <is>
          <t>Kia Tigers</t>
        </is>
      </c>
      <c r="AU40" s="24" t="inlineStr">
        <is>
          <t>Kia Tigers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17acbaf385e0e55e390968d14bd373856f56f7066d077c40e740f4a45b7d43db</t>
        </is>
      </c>
      <c r="BB40" s="24" t="inlineStr">
        <is>
          <t>tie_aware_elo</t>
        </is>
      </c>
      <c r="BC40" s="24" t="inlineStr">
        <is>
          <t>kbo-tie-aware-elo-v2</t>
        </is>
      </c>
      <c r="BD40" s="24" t="inlineStr">
        <is>
          <t>17acbaf385e0e55e390968d14bd373856f56f7066d077c40e740f4a45b7d43db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kbo-tie-aware-elo-v2</t>
        </is>
      </c>
      <c r="BH40" s="24" t="inlineStr">
        <is>
          <t>2026-09-04T04:36:43.917463Z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52c12e5998b943ac</t>
        </is>
      </c>
      <c r="B41" s="24" t="inlineStr">
        <is>
          <t>2026-09-05T04:43:51.862362Z</t>
        </is>
      </c>
      <c r="C41" s="24" t="inlineStr">
        <is>
          <t>2026-09-05T08:00:00Z</t>
        </is>
      </c>
      <c r="D41" s="24" t="inlineStr">
        <is>
          <t>100190</t>
        </is>
      </c>
      <c r="E41" s="24" t="inlineStr">
        <is>
          <t>KBO</t>
        </is>
      </c>
      <c r="F41" s="24" t="inlineStr">
        <is>
          <t>NC Dinos</t>
        </is>
      </c>
      <c r="G41" s="24" t="inlineStr">
        <is>
          <t>Kiwoom Heroes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0.569203</v>
      </c>
      <c r="P41" s="28" t="n"/>
      <c r="Q41" s="28" t="n">
        <v>-0.060427</v>
      </c>
      <c r="R41" s="26" t="n">
        <v>0</v>
      </c>
      <c r="S41" s="29" t="n">
        <v>1</v>
      </c>
      <c r="T41" s="24" t="inlineStr">
        <is>
          <t>kbo-tie-aware-elo-v2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0.5881999999999999</v>
      </c>
      <c r="AD41" s="24" t="inlineStr">
        <is>
          <t>2026-09-05T16:01:58.141885Z</t>
        </is>
      </c>
      <c r="AE41" s="31" t="inlineStr">
        <is>
          <t>Tie-aware Elo baseline; executable ask 0.6300 (market_slug=aec-kbo-khi-ndc-2026-09-05). Tie probability=0.0226.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NC Dinos</t>
        </is>
      </c>
      <c r="AQ41" s="24" t="inlineStr">
        <is>
          <t>NC Dinos</t>
        </is>
      </c>
      <c r="AR41" s="24" t="inlineStr">
        <is>
          <t>NC Dinos</t>
        </is>
      </c>
      <c r="AS41" s="24" t="inlineStr">
        <is>
          <t>Kiwoom Heroes</t>
        </is>
      </c>
      <c r="AT41" s="24" t="inlineStr">
        <is>
          <t>Kiwoom Heroes</t>
        </is>
      </c>
      <c r="AU41" s="24" t="inlineStr">
        <is>
          <t>Kiwoom Heroes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fc7fef5b62c266b937a83234c510fac8d80973e95cb72ac025cc404694eb0bd3</t>
        </is>
      </c>
      <c r="BB41" s="24" t="inlineStr">
        <is>
          <t>tie_aware_elo</t>
        </is>
      </c>
      <c r="BC41" s="24" t="inlineStr">
        <is>
          <t>kbo-tie-aware-elo-v2</t>
        </is>
      </c>
      <c r="BD41" s="24" t="inlineStr">
        <is>
          <t>fc7fef5b62c266b937a83234c510fac8d80973e95cb72ac025cc404694eb0bd3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kbo-tie-aware-elo-v2</t>
        </is>
      </c>
      <c r="BH41" s="24" t="inlineStr">
        <is>
          <t>2026-09-05T04:43:51.531717Z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16ca3b1a8a614df1</t>
        </is>
      </c>
      <c r="B42" s="24" t="inlineStr">
        <is>
          <t>2026-09-05T04:43:51.862362Z</t>
        </is>
      </c>
      <c r="C42" s="24" t="inlineStr">
        <is>
          <t>2026-09-05T08:00:00Z</t>
        </is>
      </c>
      <c r="D42" s="24" t="inlineStr">
        <is>
          <t>100186</t>
        </is>
      </c>
      <c r="E42" s="24" t="inlineStr">
        <is>
          <t>KBO</t>
        </is>
      </c>
      <c r="F42" s="24" t="inlineStr">
        <is>
          <t>Doosan Bears</t>
        </is>
      </c>
      <c r="G42" s="24" t="inlineStr">
        <is>
          <t>SSG Landers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-122</v>
      </c>
      <c r="M42" s="27" t="n">
        <v>1.819672</v>
      </c>
      <c r="N42" s="28" t="n">
        <v>0.54955</v>
      </c>
      <c r="O42" s="28" t="n">
        <v>0.50144</v>
      </c>
      <c r="P42" s="28" t="n"/>
      <c r="Q42" s="28" t="n">
        <v>-0.04811</v>
      </c>
      <c r="R42" s="26" t="n">
        <v>0</v>
      </c>
      <c r="S42" s="29" t="n">
        <v>1</v>
      </c>
      <c r="T42" s="24" t="inlineStr">
        <is>
          <t>kbo-tie-aware-elo-v2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3</v>
      </c>
      <c r="Y42" s="25" t="n"/>
      <c r="Z42" s="26" t="n">
        <v>-122</v>
      </c>
      <c r="AA42" s="28" t="n">
        <v>0.55</v>
      </c>
      <c r="AB42" s="28" t="n">
        <v>0.00045</v>
      </c>
      <c r="AC42" s="30" t="n">
        <v>-1</v>
      </c>
      <c r="AD42" s="24" t="inlineStr">
        <is>
          <t>2026-09-05T16:01:58.227937Z</t>
        </is>
      </c>
      <c r="AE42" s="31" t="inlineStr">
        <is>
          <t>Tie-aware Elo baseline; executable ask 0.5500 (market_slug=aec-kbo-sls-dbo-2026-09-05). Tie probability=0.0226.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Doosan Bears</t>
        </is>
      </c>
      <c r="AQ42" s="24" t="inlineStr">
        <is>
          <t>Doosan Bears</t>
        </is>
      </c>
      <c r="AR42" s="24" t="inlineStr">
        <is>
          <t>Doosan Bears</t>
        </is>
      </c>
      <c r="AS42" s="24" t="inlineStr">
        <is>
          <t>SSG Landers</t>
        </is>
      </c>
      <c r="AT42" s="24" t="inlineStr">
        <is>
          <t>SSG Landers</t>
        </is>
      </c>
      <c r="AU42" s="24" t="inlineStr">
        <is>
          <t>SSG Landers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fc7fef5b62c266b937a83234c510fac8d80973e95cb72ac025cc404694eb0bd3</t>
        </is>
      </c>
      <c r="BB42" s="24" t="inlineStr">
        <is>
          <t>tie_aware_elo</t>
        </is>
      </c>
      <c r="BC42" s="24" t="inlineStr">
        <is>
          <t>kbo-tie-aware-elo-v2</t>
        </is>
      </c>
      <c r="BD42" s="24" t="inlineStr">
        <is>
          <t>fc7fef5b62c266b937a83234c510fac8d80973e95cb72ac025cc404694eb0bd3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kbo-tie-aware-elo-v2</t>
        </is>
      </c>
      <c r="BH42" s="24" t="inlineStr">
        <is>
          <t>2026-09-05T04:43:51.673958Z</t>
        </is>
      </c>
      <c r="BI42" s="24" t="inlineStr">
        <is>
          <t>["same_event","same_team_same_day","same_league_same_day"]</t>
        </is>
      </c>
      <c r="BJ42" s="25" t="n"/>
      <c r="BK42" s="26" t="n">
        <v>-122</v>
      </c>
      <c r="BL42" s="27" t="n">
        <v>1.819672</v>
      </c>
      <c r="BM42" s="28" t="n">
        <v>0.54955</v>
      </c>
      <c r="BN42" s="28" t="n"/>
      <c r="BO42" s="28" t="n"/>
      <c r="BP42" s="25" t="n"/>
      <c r="BQ42" s="27" t="n">
        <v>1.819672</v>
      </c>
      <c r="BR42" s="28" t="n">
        <v>0.55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0.54955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87fa78895fa541e8</t>
        </is>
      </c>
      <c r="B43" s="24" t="inlineStr">
        <is>
          <t>2026-09-05T04:43:51.862362Z</t>
        </is>
      </c>
      <c r="C43" s="24" t="inlineStr">
        <is>
          <t>2026-09-05T08:00:00Z</t>
        </is>
      </c>
      <c r="D43" s="24" t="inlineStr">
        <is>
          <t>100188</t>
        </is>
      </c>
      <c r="E43" s="24" t="inlineStr">
        <is>
          <t>KBO</t>
        </is>
      </c>
      <c r="F43" s="24" t="inlineStr">
        <is>
          <t>Hanwha Eagles</t>
        </is>
      </c>
      <c r="G43" s="24" t="inlineStr">
        <is>
          <t>Lotte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0.558032</v>
      </c>
      <c r="P43" s="28" t="n"/>
      <c r="Q43" s="28" t="n">
        <v>0.027516</v>
      </c>
      <c r="R43" s="26" t="n">
        <v>34</v>
      </c>
      <c r="S43" s="29" t="n">
        <v>1</v>
      </c>
      <c r="T43" s="24" t="inlineStr">
        <is>
          <t>kbo-tie-aware-elo-v2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11</v>
      </c>
      <c r="X43" s="26" t="n">
        <v>6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-1</v>
      </c>
      <c r="AD43" s="24" t="inlineStr">
        <is>
          <t>2026-09-05T16:01:58.299647Z</t>
        </is>
      </c>
      <c r="AE43" s="31" t="inlineStr">
        <is>
          <t>Tie-aware Elo baseline; executable ask 0.5300 (market_slug=aec-kbo-lgo-hea-2026-09-05). Tie probability=0.0226.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Hanwha Eagles</t>
        </is>
      </c>
      <c r="AQ43" s="24" t="inlineStr">
        <is>
          <t>Hanwha Eagles</t>
        </is>
      </c>
      <c r="AR43" s="24" t="inlineStr">
        <is>
          <t>Hanwha Eagles</t>
        </is>
      </c>
      <c r="AS43" s="24" t="inlineStr">
        <is>
          <t>Lotte Giants</t>
        </is>
      </c>
      <c r="AT43" s="24" t="inlineStr">
        <is>
          <t>Lotte Giants</t>
        </is>
      </c>
      <c r="AU43" s="24" t="inlineStr">
        <is>
          <t>Lotte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fc7fef5b62c266b937a83234c510fac8d80973e95cb72ac025cc404694eb0bd3</t>
        </is>
      </c>
      <c r="BB43" s="24" t="inlineStr">
        <is>
          <t>tie_aware_elo</t>
        </is>
      </c>
      <c r="BC43" s="24" t="inlineStr">
        <is>
          <t>kbo-tie-aware-elo-v2</t>
        </is>
      </c>
      <c r="BD43" s="24" t="inlineStr">
        <is>
          <t>fc7fef5b62c266b937a83234c510fac8d80973e95cb72ac025cc404694eb0bd3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kbo-tie-aware-elo-v2</t>
        </is>
      </c>
      <c r="BH43" s="24" t="inlineStr">
        <is>
          <t>2026-09-05T04:43:51.742312Z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0.530516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c53aecc63f48425f</t>
        </is>
      </c>
      <c r="B44" s="24" t="inlineStr">
        <is>
          <t>2026-09-05T04:43:51.862362Z</t>
        </is>
      </c>
      <c r="C44" s="24" t="inlineStr">
        <is>
          <t>2026-09-05T08:00:00Z</t>
        </is>
      </c>
      <c r="D44" s="24" t="inlineStr">
        <is>
          <t>100189</t>
        </is>
      </c>
      <c r="E44" s="24" t="inlineStr">
        <is>
          <t>KBO</t>
        </is>
      </c>
      <c r="F44" s="24" t="inlineStr">
        <is>
          <t>KT Wiz</t>
        </is>
      </c>
      <c r="G44" s="24" t="inlineStr">
        <is>
          <t>Kia Tigers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-122</v>
      </c>
      <c r="M44" s="27" t="n">
        <v>1.819672</v>
      </c>
      <c r="N44" s="28" t="n">
        <v>0.54955</v>
      </c>
      <c r="O44" s="28" t="n">
        <v>0.506243</v>
      </c>
      <c r="P44" s="28" t="n"/>
      <c r="Q44" s="28" t="n">
        <v>-0.043307</v>
      </c>
      <c r="R44" s="26" t="n">
        <v>0</v>
      </c>
      <c r="S44" s="29" t="n">
        <v>1</v>
      </c>
      <c r="T44" s="24" t="inlineStr">
        <is>
          <t>kbo-tie-aware-elo-v2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3</v>
      </c>
      <c r="X44" s="26" t="n">
        <v>6</v>
      </c>
      <c r="Y44" s="25" t="n"/>
      <c r="Z44" s="26" t="n">
        <v>-122</v>
      </c>
      <c r="AA44" s="28" t="n">
        <v>0.55</v>
      </c>
      <c r="AB44" s="28" t="n">
        <v>0.00045</v>
      </c>
      <c r="AC44" s="30" t="n">
        <v>-1</v>
      </c>
      <c r="AD44" s="24" t="inlineStr">
        <is>
          <t>2026-09-05T16:01:58.370567Z</t>
        </is>
      </c>
      <c r="AE44" s="31" t="inlineStr">
        <is>
          <t>Tie-aware Elo baseline; executable ask 0.5500 (market_slug=aec-kbo-kti-kwt-2026-09-05). Tie probability=0.0226.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KT Wiz</t>
        </is>
      </c>
      <c r="AQ44" s="24" t="inlineStr">
        <is>
          <t>KT Wiz</t>
        </is>
      </c>
      <c r="AR44" s="24" t="inlineStr">
        <is>
          <t>KT Wiz</t>
        </is>
      </c>
      <c r="AS44" s="24" t="inlineStr">
        <is>
          <t>Kia Tigers</t>
        </is>
      </c>
      <c r="AT44" s="24" t="inlineStr">
        <is>
          <t>Kia Tigers</t>
        </is>
      </c>
      <c r="AU44" s="24" t="inlineStr">
        <is>
          <t>Kia Tigers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fc7fef5b62c266b937a83234c510fac8d80973e95cb72ac025cc404694eb0bd3</t>
        </is>
      </c>
      <c r="BB44" s="24" t="inlineStr">
        <is>
          <t>tie_aware_elo</t>
        </is>
      </c>
      <c r="BC44" s="24" t="inlineStr">
        <is>
          <t>kbo-tie-aware-elo-v2</t>
        </is>
      </c>
      <c r="BD44" s="24" t="inlineStr">
        <is>
          <t>fc7fef5b62c266b937a83234c510fac8d80973e95cb72ac025cc404694eb0bd3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kbo-tie-aware-elo-v2</t>
        </is>
      </c>
      <c r="BH44" s="24" t="inlineStr">
        <is>
          <t>2026-09-05T04:43:51.801657Z</t>
        </is>
      </c>
      <c r="BI44" s="24" t="inlineStr">
        <is>
          <t>["same_event","same_team_same_day","same_league_same_day"]</t>
        </is>
      </c>
      <c r="BJ44" s="25" t="n"/>
      <c r="BK44" s="26" t="n">
        <v>-122</v>
      </c>
      <c r="BL44" s="27" t="n">
        <v>1.819672</v>
      </c>
      <c r="BM44" s="28" t="n">
        <v>0.54955</v>
      </c>
      <c r="BN44" s="28" t="n"/>
      <c r="BO44" s="28" t="n"/>
      <c r="BP44" s="25" t="n"/>
      <c r="BQ44" s="27" t="n">
        <v>1.819672</v>
      </c>
      <c r="BR44" s="28" t="n">
        <v>0.55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0.54955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ef9a5aa86bcb4b16</t>
        </is>
      </c>
      <c r="B45" s="24" t="inlineStr">
        <is>
          <t>2026-09-05T04:43:51.862362Z</t>
        </is>
      </c>
      <c r="C45" s="24" t="inlineStr">
        <is>
          <t>2026-09-05T08:00:00Z</t>
        </is>
      </c>
      <c r="D45" s="24" t="inlineStr">
        <is>
          <t>100187</t>
        </is>
      </c>
      <c r="E45" s="24" t="inlineStr">
        <is>
          <t>KBO</t>
        </is>
      </c>
      <c r="F45" s="24" t="inlineStr">
        <is>
          <t>Samsung Lions</t>
        </is>
      </c>
      <c r="G45" s="24" t="inlineStr">
        <is>
          <t>LG Twins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-144</v>
      </c>
      <c r="M45" s="27" t="n">
        <v>1.694444</v>
      </c>
      <c r="N45" s="28" t="n">
        <v>0.590164</v>
      </c>
      <c r="O45" s="28" t="n">
        <v>0.51041</v>
      </c>
      <c r="P45" s="28" t="n"/>
      <c r="Q45" s="28" t="n">
        <v>-0.07975400000000001</v>
      </c>
      <c r="R45" s="26" t="n">
        <v>0</v>
      </c>
      <c r="S45" s="29" t="n">
        <v>1</v>
      </c>
      <c r="T45" s="24" t="inlineStr">
        <is>
          <t>kbo-tie-aware-elo-v2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>
        <v>-144</v>
      </c>
      <c r="AA45" s="28" t="n">
        <v>0.59</v>
      </c>
      <c r="AB45" s="28" t="n">
        <v>-0.000164</v>
      </c>
      <c r="AC45" s="30" t="n">
        <v>-1</v>
      </c>
      <c r="AD45" s="24" t="inlineStr">
        <is>
          <t>2026-09-05T16:01:58.442221Z</t>
        </is>
      </c>
      <c r="AE45" s="31" t="inlineStr">
        <is>
          <t>Tie-aware Elo baseline; executable ask 0.5900 (market_slug=aec-kbo-ltg-sla-2026-09-05). Tie probability=0.0226.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Samsung Lions</t>
        </is>
      </c>
      <c r="AQ45" s="24" t="inlineStr">
        <is>
          <t>Samsung Lions</t>
        </is>
      </c>
      <c r="AR45" s="24" t="inlineStr">
        <is>
          <t>Samsung Lions</t>
        </is>
      </c>
      <c r="AS45" s="24" t="inlineStr">
        <is>
          <t>LG Twins</t>
        </is>
      </c>
      <c r="AT45" s="24" t="inlineStr">
        <is>
          <t>LG Twins</t>
        </is>
      </c>
      <c r="AU45" s="24" t="inlineStr">
        <is>
          <t>LG Twins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fc7fef5b62c266b937a83234c510fac8d80973e95cb72ac025cc404694eb0bd3</t>
        </is>
      </c>
      <c r="BB45" s="24" t="inlineStr">
        <is>
          <t>tie_aware_elo</t>
        </is>
      </c>
      <c r="BC45" s="24" t="inlineStr">
        <is>
          <t>kbo-tie-aware-elo-v2</t>
        </is>
      </c>
      <c r="BD45" s="24" t="inlineStr">
        <is>
          <t>fc7fef5b62c266b937a83234c510fac8d80973e95cb72ac025cc404694eb0bd3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kbo-tie-aware-elo-v2</t>
        </is>
      </c>
      <c r="BH45" s="24" t="inlineStr">
        <is>
          <t>2026-09-05T04:43:51.862311Z</t>
        </is>
      </c>
      <c r="BI45" s="24" t="inlineStr">
        <is>
          <t>["same_event","same_team_same_day","same_league_same_day"]</t>
        </is>
      </c>
      <c r="BJ45" s="25" t="n"/>
      <c r="BK45" s="26" t="n">
        <v>-144</v>
      </c>
      <c r="BL45" s="27" t="n">
        <v>1.694444</v>
      </c>
      <c r="BM45" s="28" t="n">
        <v>0.590164</v>
      </c>
      <c r="BN45" s="28" t="n"/>
      <c r="BO45" s="28" t="n"/>
      <c r="BP45" s="25" t="n"/>
      <c r="BQ45" s="27" t="n">
        <v>1.694444</v>
      </c>
      <c r="BR45" s="28" t="n">
        <v>0.59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0.590164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290872b2fb9f474c</t>
        </is>
      </c>
      <c r="B46" s="24" t="inlineStr">
        <is>
          <t>2026-09-06T04:35:54.512086Z</t>
        </is>
      </c>
      <c r="C46" s="24" t="inlineStr">
        <is>
          <t>2026-09-06T08:00:00Z</t>
        </is>
      </c>
      <c r="D46" s="24" t="inlineStr">
        <is>
          <t>101510</t>
        </is>
      </c>
      <c r="E46" s="24" t="inlineStr">
        <is>
          <t>KBO</t>
        </is>
      </c>
      <c r="F46" s="24" t="inlineStr">
        <is>
          <t>Doosan Bears</t>
        </is>
      </c>
      <c r="G46" s="24" t="inlineStr">
        <is>
          <t>SSG Landers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138</v>
      </c>
      <c r="M46" s="27" t="n">
        <v>2.38</v>
      </c>
      <c r="N46" s="28" t="n">
        <v>0.420168</v>
      </c>
      <c r="O46" s="28" t="n">
        <v>0.5099630000000001</v>
      </c>
      <c r="P46" s="28" t="n"/>
      <c r="Q46" s="28" t="n">
        <v>0.089795</v>
      </c>
      <c r="R46" s="26" t="n">
        <v>65</v>
      </c>
      <c r="S46" s="29" t="n">
        <v>1.25</v>
      </c>
      <c r="T46" s="24" t="inlineStr">
        <is>
          <t>kbo-tie-aware-elo-v2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16</v>
      </c>
      <c r="X46" s="26" t="n">
        <v>9</v>
      </c>
      <c r="Y46" s="25" t="n"/>
      <c r="Z46" s="26" t="n">
        <v>138</v>
      </c>
      <c r="AA46" s="28" t="n">
        <v>0.42</v>
      </c>
      <c r="AB46" s="28" t="n">
        <v>-0.000168</v>
      </c>
      <c r="AC46" s="30" t="n">
        <v>-1.25</v>
      </c>
      <c r="AD46" s="24" t="inlineStr">
        <is>
          <t>2026-09-06T16:01:48.807110Z</t>
        </is>
      </c>
      <c r="AE46" s="31" t="inlineStr">
        <is>
          <t>Tie-aware Elo baseline; executable ask 0.4200 (market_slug=aec-kbo-sls-dbo-2026-09-06). Tie probability=0.0225.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Doosan Bears</t>
        </is>
      </c>
      <c r="AQ46" s="24" t="inlineStr">
        <is>
          <t>Doosan Bears</t>
        </is>
      </c>
      <c r="AR46" s="24" t="inlineStr">
        <is>
          <t>Doosan Bears</t>
        </is>
      </c>
      <c r="AS46" s="24" t="inlineStr">
        <is>
          <t>SSG Landers</t>
        </is>
      </c>
      <c r="AT46" s="24" t="inlineStr">
        <is>
          <t>SSG Landers</t>
        </is>
      </c>
      <c r="AU46" s="24" t="inlineStr">
        <is>
          <t>SSG Landers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1b1f04ad3351d6a016b1956441fde9c2400edd329870c1fc3373a017a8818681</t>
        </is>
      </c>
      <c r="BB46" s="24" t="inlineStr">
        <is>
          <t>tie_aware_elo</t>
        </is>
      </c>
      <c r="BC46" s="24" t="inlineStr">
        <is>
          <t>kbo-tie-aware-elo-v2</t>
        </is>
      </c>
      <c r="BD46" s="24" t="inlineStr">
        <is>
          <t>1b1f04ad3351d6a016b1956441fde9c2400edd329870c1fc3373a017a8818681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kbo-tie-aware-elo-v2</t>
        </is>
      </c>
      <c r="BH46" s="24" t="inlineStr">
        <is>
          <t>2026-09-06T04:35:54.114060Z</t>
        </is>
      </c>
      <c r="BI46" s="24" t="inlineStr">
        <is>
          <t>["same_event","same_team_same_day","same_league_same_day"]</t>
        </is>
      </c>
      <c r="BJ46" s="25" t="n"/>
      <c r="BK46" s="26" t="n">
        <v>138</v>
      </c>
      <c r="BL46" s="27" t="n">
        <v>2.38</v>
      </c>
      <c r="BM46" s="28" t="n">
        <v>0.420168</v>
      </c>
      <c r="BN46" s="28" t="n"/>
      <c r="BO46" s="28" t="n"/>
      <c r="BP46" s="25" t="n"/>
      <c r="BQ46" s="27" t="n">
        <v>2.38</v>
      </c>
      <c r="BR46" s="28" t="n">
        <v>0.42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0.420168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23364d8f14524dc1</t>
        </is>
      </c>
      <c r="B47" s="24" t="inlineStr">
        <is>
          <t>2026-09-06T04:35:54.512086Z</t>
        </is>
      </c>
      <c r="C47" s="24" t="inlineStr">
        <is>
          <t>2026-09-06T08:00:00Z</t>
        </is>
      </c>
      <c r="D47" s="24" t="inlineStr">
        <is>
          <t>101509</t>
        </is>
      </c>
      <c r="E47" s="24" t="inlineStr">
        <is>
          <t>KBO</t>
        </is>
      </c>
      <c r="F47" s="24" t="inlineStr">
        <is>
          <t>Samsung Lions</t>
        </is>
      </c>
      <c r="G47" s="24" t="inlineStr">
        <is>
          <t>LG Twins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0.500993</v>
      </c>
      <c r="P47" s="28" t="n"/>
      <c r="Q47" s="28" t="n">
        <v>-0.069822</v>
      </c>
      <c r="R47" s="26" t="n">
        <v>0</v>
      </c>
      <c r="S47" s="29" t="n">
        <v>1</v>
      </c>
      <c r="T47" s="24" t="inlineStr">
        <is>
          <t>kbo-tie-aware-elo-v2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10</v>
      </c>
      <c r="X47" s="26" t="n">
        <v>4</v>
      </c>
      <c r="Y47" s="25" t="n"/>
      <c r="Z47" s="26" t="n">
        <v>-133</v>
      </c>
      <c r="AA47" s="28" t="n">
        <v>0.57</v>
      </c>
      <c r="AB47" s="28" t="n">
        <v>-0.000815</v>
      </c>
      <c r="AC47" s="30" t="n">
        <v>0.7519</v>
      </c>
      <c r="AD47" s="24" t="inlineStr">
        <is>
          <t>2026-09-06T16:01:48.927727Z</t>
        </is>
      </c>
      <c r="AE47" s="31" t="inlineStr">
        <is>
          <t>Tie-aware Elo baseline; executable ask 0.5700 (market_slug=aec-kbo-ltg-sla-2026-09-06). Tie probability=0.0225.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Samsung Lions</t>
        </is>
      </c>
      <c r="AQ47" s="24" t="inlineStr">
        <is>
          <t>Samsung Lions</t>
        </is>
      </c>
      <c r="AR47" s="24" t="inlineStr">
        <is>
          <t>Samsung Lions</t>
        </is>
      </c>
      <c r="AS47" s="24" t="inlineStr">
        <is>
          <t>LG Twins</t>
        </is>
      </c>
      <c r="AT47" s="24" t="inlineStr">
        <is>
          <t>LG Twins</t>
        </is>
      </c>
      <c r="AU47" s="24" t="inlineStr">
        <is>
          <t>LG Twins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1b1f04ad3351d6a016b1956441fde9c2400edd329870c1fc3373a017a8818681</t>
        </is>
      </c>
      <c r="BB47" s="24" t="inlineStr">
        <is>
          <t>tie_aware_elo</t>
        </is>
      </c>
      <c r="BC47" s="24" t="inlineStr">
        <is>
          <t>kbo-tie-aware-elo-v2</t>
        </is>
      </c>
      <c r="BD47" s="24" t="inlineStr">
        <is>
          <t>1b1f04ad3351d6a016b1956441fde9c2400edd329870c1fc3373a017a8818681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kbo-tie-aware-elo-v2</t>
        </is>
      </c>
      <c r="BH47" s="24" t="inlineStr">
        <is>
          <t>2026-09-06T04:35:54.256721Z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1.75188</v>
      </c>
      <c r="BR47" s="28" t="n">
        <v>0.57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29a3ca1576c94205</t>
        </is>
      </c>
      <c r="B48" s="24" t="inlineStr">
        <is>
          <t>2026-09-06T04:35:54.512086Z</t>
        </is>
      </c>
      <c r="C48" s="24" t="inlineStr">
        <is>
          <t>2026-09-06T08:00:00Z</t>
        </is>
      </c>
      <c r="D48" s="24" t="inlineStr">
        <is>
          <t>101511</t>
        </is>
      </c>
      <c r="E48" s="24" t="inlineStr">
        <is>
          <t>KBO</t>
        </is>
      </c>
      <c r="F48" s="24" t="inlineStr">
        <is>
          <t>Hanwha Eagles</t>
        </is>
      </c>
      <c r="G48" s="24" t="inlineStr">
        <is>
          <t>Lotte Giants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100</v>
      </c>
      <c r="M48" s="27" t="n">
        <v>2</v>
      </c>
      <c r="N48" s="28" t="n">
        <v>0.5</v>
      </c>
      <c r="O48" s="28" t="n">
        <v>0.545556</v>
      </c>
      <c r="P48" s="28" t="n"/>
      <c r="Q48" s="28" t="n">
        <v>0.045556</v>
      </c>
      <c r="R48" s="26" t="n">
        <v>43</v>
      </c>
      <c r="S48" s="29" t="n">
        <v>1</v>
      </c>
      <c r="T48" s="24" t="inlineStr">
        <is>
          <t>kbo-tie-aware-elo-v2</t>
        </is>
      </c>
      <c r="U48" s="24" t="inlineStr">
        <is>
          <t>settled</t>
        </is>
      </c>
      <c r="V48" s="24" t="inlineStr">
        <is>
          <t>loss</t>
        </is>
      </c>
      <c r="W48" s="26" t="n">
        <v>8</v>
      </c>
      <c r="X48" s="26" t="n">
        <v>2</v>
      </c>
      <c r="Y48" s="25" t="n"/>
      <c r="Z48" s="26" t="n">
        <v>100</v>
      </c>
      <c r="AA48" s="28" t="n">
        <v>0.5</v>
      </c>
      <c r="AB48" s="28" t="n">
        <v>0</v>
      </c>
      <c r="AC48" s="30" t="n">
        <v>-1</v>
      </c>
      <c r="AD48" s="24" t="inlineStr">
        <is>
          <t>2026-09-06T16:01:49.001776Z</t>
        </is>
      </c>
      <c r="AE48" s="31" t="inlineStr">
        <is>
          <t>Tie-aware Elo baseline; executable ask 0.5000 (market_slug=aec-kbo-lgo-hea-2026-09-06). Tie probability=0.0225.</t>
        </is>
      </c>
      <c r="AF48" s="31" t="inlineStr">
        <is>
          <t>Config-promoted international baseball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Hanwha Eagles</t>
        </is>
      </c>
      <c r="AQ48" s="24" t="inlineStr">
        <is>
          <t>Hanwha Eagles</t>
        </is>
      </c>
      <c r="AR48" s="24" t="inlineStr">
        <is>
          <t>Hanwha Eagles</t>
        </is>
      </c>
      <c r="AS48" s="24" t="inlineStr">
        <is>
          <t>Lotte Giants</t>
        </is>
      </c>
      <c r="AT48" s="24" t="inlineStr">
        <is>
          <t>Lotte Giants</t>
        </is>
      </c>
      <c r="AU48" s="24" t="inlineStr">
        <is>
          <t>Lotte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1b1f04ad3351d6a016b1956441fde9c2400edd329870c1fc3373a017a8818681</t>
        </is>
      </c>
      <c r="BB48" s="24" t="inlineStr">
        <is>
          <t>tie_aware_elo</t>
        </is>
      </c>
      <c r="BC48" s="24" t="inlineStr">
        <is>
          <t>kbo-tie-aware-elo-v2</t>
        </is>
      </c>
      <c r="BD48" s="24" t="inlineStr">
        <is>
          <t>1b1f04ad3351d6a016b1956441fde9c2400edd329870c1fc3373a017a8818681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kbo-tie-aware-elo-v2</t>
        </is>
      </c>
      <c r="BH48" s="24" t="inlineStr">
        <is>
          <t>2026-09-06T04:35:54.445251Z</t>
        </is>
      </c>
      <c r="BI48" s="24" t="inlineStr">
        <is>
          <t>["same_event","same_team_same_day","same_league_same_day"]</t>
        </is>
      </c>
      <c r="BJ48" s="25" t="n"/>
      <c r="BK48" s="26" t="n">
        <v>100</v>
      </c>
      <c r="BL48" s="27" t="n">
        <v>2</v>
      </c>
      <c r="BM48" s="28" t="n">
        <v>0.5</v>
      </c>
      <c r="BN48" s="28" t="n"/>
      <c r="BO48" s="28" t="n"/>
      <c r="BP48" s="25" t="n"/>
      <c r="BQ48" s="27" t="n">
        <v>2</v>
      </c>
      <c r="BR48" s="28" t="n">
        <v>0.5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18a632cc30d54c9f</t>
        </is>
      </c>
      <c r="B49" s="24" t="inlineStr">
        <is>
          <t>2026-09-06T04:35:54.512086Z</t>
        </is>
      </c>
      <c r="C49" s="24" t="inlineStr">
        <is>
          <t>2026-09-06T10:00:00Z</t>
        </is>
      </c>
      <c r="D49" s="24" t="inlineStr">
        <is>
          <t>101545</t>
        </is>
      </c>
      <c r="E49" s="24" t="inlineStr">
        <is>
          <t>KBO</t>
        </is>
      </c>
      <c r="F49" s="24" t="inlineStr">
        <is>
          <t>NC Dinos</t>
        </is>
      </c>
      <c r="G49" s="24" t="inlineStr">
        <is>
          <t>Kiwoom Heroes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-138</v>
      </c>
      <c r="M49" s="27" t="n">
        <v>1.724638</v>
      </c>
      <c r="N49" s="28" t="n">
        <v>0.579832</v>
      </c>
      <c r="O49" s="28" t="n">
        <v>0.578358</v>
      </c>
      <c r="P49" s="28" t="n"/>
      <c r="Q49" s="28" t="n">
        <v>-0.001474</v>
      </c>
      <c r="R49" s="26" t="n">
        <v>19</v>
      </c>
      <c r="S49" s="29" t="n">
        <v>1</v>
      </c>
      <c r="T49" s="24" t="inlineStr">
        <is>
          <t>kbo-tie-aware-elo-v2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4</v>
      </c>
      <c r="Y49" s="25" t="n"/>
      <c r="Z49" s="26" t="n">
        <v>-138</v>
      </c>
      <c r="AA49" s="28" t="n">
        <v>0.58</v>
      </c>
      <c r="AB49" s="28" t="n">
        <v>0.000168</v>
      </c>
      <c r="AC49" s="30" t="n">
        <v>-1</v>
      </c>
      <c r="AD49" s="24" t="inlineStr">
        <is>
          <t>2026-09-06T16:01:49.127214Z</t>
        </is>
      </c>
      <c r="AE49" s="31" t="inlineStr">
        <is>
          <t>Tie-aware Elo baseline; executable ask 0.5800 (market_slug=aec-kbo-khi-ndc-2026-09-06). Tie probability=0.0225.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NC Dinos</t>
        </is>
      </c>
      <c r="AQ49" s="24" t="inlineStr">
        <is>
          <t>NC Dinos</t>
        </is>
      </c>
      <c r="AR49" s="24" t="inlineStr">
        <is>
          <t>NC Dinos</t>
        </is>
      </c>
      <c r="AS49" s="24" t="inlineStr">
        <is>
          <t>Kiwoom Heroes</t>
        </is>
      </c>
      <c r="AT49" s="24" t="inlineStr">
        <is>
          <t>Kiwoom Heroes</t>
        </is>
      </c>
      <c r="AU49" s="24" t="inlineStr">
        <is>
          <t>Kiwoom Heroes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1b1f04ad3351d6a016b1956441fde9c2400edd329870c1fc3373a017a8818681</t>
        </is>
      </c>
      <c r="BB49" s="24" t="inlineStr">
        <is>
          <t>tie_aware_elo</t>
        </is>
      </c>
      <c r="BC49" s="24" t="inlineStr">
        <is>
          <t>kbo-tie-aware-elo-v2</t>
        </is>
      </c>
      <c r="BD49" s="24" t="inlineStr">
        <is>
          <t>1b1f04ad3351d6a016b1956441fde9c2400edd329870c1fc3373a017a8818681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kbo-tie-aware-elo-v2</t>
        </is>
      </c>
      <c r="BH49" s="24" t="inlineStr">
        <is>
          <t>2026-09-06T04:35:54.512052Z</t>
        </is>
      </c>
      <c r="BI49" s="24" t="inlineStr">
        <is>
          <t>["same_event","same_team_same_day","same_league_same_day"]</t>
        </is>
      </c>
      <c r="BJ49" s="25" t="n"/>
      <c r="BK49" s="26" t="n">
        <v>-138</v>
      </c>
      <c r="BL49" s="27" t="n">
        <v>1.724638</v>
      </c>
      <c r="BM49" s="28" t="n">
        <v>0.579832</v>
      </c>
      <c r="BN49" s="28" t="n"/>
      <c r="BO49" s="28" t="n"/>
      <c r="BP49" s="25" t="n"/>
      <c r="BQ49" s="27" t="n">
        <v>1.724638</v>
      </c>
      <c r="BR49" s="28" t="n">
        <v>0.58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0.579832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82cbfd92ec9d4dde</t>
        </is>
      </c>
      <c r="B50" s="24" t="inlineStr">
        <is>
          <t>2026-09-08T04:35:36.336043Z</t>
        </is>
      </c>
      <c r="C50" s="24" t="inlineStr">
        <is>
          <t>2026-09-08T09:30:00Z</t>
        </is>
      </c>
      <c r="D50" s="24" t="inlineStr">
        <is>
          <t>104531</t>
        </is>
      </c>
      <c r="E50" s="24" t="inlineStr">
        <is>
          <t>KBO</t>
        </is>
      </c>
      <c r="F50" s="24" t="inlineStr">
        <is>
          <t>SSG Landers</t>
        </is>
      </c>
      <c r="G50" s="24" t="inlineStr">
        <is>
          <t>KT Wiz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-186</v>
      </c>
      <c r="M50" s="27" t="n">
        <v>1.537634</v>
      </c>
      <c r="N50" s="28" t="n">
        <v>0.65035</v>
      </c>
      <c r="O50" s="28" t="n">
        <v>0.599815</v>
      </c>
      <c r="P50" s="28" t="n"/>
      <c r="Q50" s="28" t="n">
        <v>-0.050535</v>
      </c>
      <c r="R50" s="26" t="n">
        <v>0</v>
      </c>
      <c r="S50" s="29" t="n">
        <v>1</v>
      </c>
      <c r="T50" s="24" t="inlineStr">
        <is>
          <t>kbo-tie-aware-elo-v2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3</v>
      </c>
      <c r="Y50" s="25" t="n"/>
      <c r="Z50" s="26" t="n">
        <v>-186</v>
      </c>
      <c r="AA50" s="28" t="n">
        <v>0.65</v>
      </c>
      <c r="AB50" s="28" t="n">
        <v>-0.00035</v>
      </c>
      <c r="AC50" s="30" t="n">
        <v>0.5376</v>
      </c>
      <c r="AD50" s="24" t="inlineStr">
        <is>
          <t>2026-09-08T16:03:26.081243Z</t>
        </is>
      </c>
      <c r="AE50" s="31" t="inlineStr">
        <is>
          <t>Tie-aware Elo baseline; executable ask 0.6500 (market_slug=aec-kbo-kwt-sls-2026-09-08). Tie probability=0.0225.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SSG Landers</t>
        </is>
      </c>
      <c r="AQ50" s="24" t="inlineStr">
        <is>
          <t>SSG Landers</t>
        </is>
      </c>
      <c r="AR50" s="24" t="inlineStr">
        <is>
          <t>SSG Landers</t>
        </is>
      </c>
      <c r="AS50" s="24" t="inlineStr">
        <is>
          <t>KT Wiz</t>
        </is>
      </c>
      <c r="AT50" s="24" t="inlineStr">
        <is>
          <t>KT Wiz</t>
        </is>
      </c>
      <c r="AU50" s="24" t="inlineStr">
        <is>
          <t>KT Wiz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3b8a0b4ad0c1fbf26128570e8243c557c9534d1b4e14f55ce9cd86d200b4e0b1</t>
        </is>
      </c>
      <c r="BB50" s="24" t="inlineStr">
        <is>
          <t>tie_aware_elo</t>
        </is>
      </c>
      <c r="BC50" s="24" t="inlineStr">
        <is>
          <t>kbo-tie-aware-elo-v2</t>
        </is>
      </c>
      <c r="BD50" s="24" t="inlineStr">
        <is>
          <t>3b8a0b4ad0c1fbf26128570e8243c557c9534d1b4e14f55ce9cd86d200b4e0b1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kbo-tie-aware-elo-v2</t>
        </is>
      </c>
      <c r="BH50" s="24" t="inlineStr">
        <is>
          <t>2026-09-08T04:35:36.061936Z</t>
        </is>
      </c>
      <c r="BI50" s="24" t="inlineStr">
        <is>
          <t>["same_event","same_team_same_day","same_league_same_day"]</t>
        </is>
      </c>
      <c r="BJ50" s="25" t="n"/>
      <c r="BK50" s="26" t="n">
        <v>-186</v>
      </c>
      <c r="BL50" s="27" t="n">
        <v>1.537634</v>
      </c>
      <c r="BM50" s="28" t="n">
        <v>0.65035</v>
      </c>
      <c r="BN50" s="28" t="n"/>
      <c r="BO50" s="28" t="n"/>
      <c r="BP50" s="25" t="n"/>
      <c r="BQ50" s="27" t="n">
        <v>1.537634</v>
      </c>
      <c r="BR50" s="28" t="n">
        <v>0.65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0.65035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f270977257b14215</t>
        </is>
      </c>
      <c r="B51" s="24" t="inlineStr">
        <is>
          <t>2026-09-08T04:35:36.336043Z</t>
        </is>
      </c>
      <c r="C51" s="24" t="inlineStr">
        <is>
          <t>2026-09-08T09:30:00Z</t>
        </is>
      </c>
      <c r="D51" s="24" t="inlineStr">
        <is>
          <t>104534</t>
        </is>
      </c>
      <c r="E51" s="24" t="inlineStr">
        <is>
          <t>KBO</t>
        </is>
      </c>
      <c r="F51" s="24" t="inlineStr">
        <is>
          <t>Kiwoom Heroes</t>
        </is>
      </c>
      <c r="G51" s="24" t="inlineStr">
        <is>
          <t>LG Twins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0.642075</v>
      </c>
      <c r="P51" s="28" t="n"/>
      <c r="Q51" s="28" t="n">
        <v>0.042075</v>
      </c>
      <c r="R51" s="26" t="n">
        <v>41</v>
      </c>
      <c r="S51" s="29" t="n">
        <v>1</v>
      </c>
      <c r="T51" s="24" t="inlineStr">
        <is>
          <t>kbo-tie-aware-elo-v2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8</v>
      </c>
      <c r="X51" s="26" t="n">
        <v>3</v>
      </c>
      <c r="Y51" s="25" t="n"/>
      <c r="Z51" s="26" t="n">
        <v>-150</v>
      </c>
      <c r="AA51" s="28" t="n">
        <v>0.6</v>
      </c>
      <c r="AB51" s="28" t="n">
        <v>0</v>
      </c>
      <c r="AC51" s="30" t="n">
        <v>-1</v>
      </c>
      <c r="AD51" s="24" t="inlineStr">
        <is>
          <t>2026-09-08T16:03:26.394898Z</t>
        </is>
      </c>
      <c r="AE51" s="31" t="inlineStr">
        <is>
          <t>Tie-aware Elo baseline; executable ask 0.6000 (market_slug=aec-kbo-ltg-khi-2026-09-08). Tie probability=0.0225.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Kiwoom Heroes</t>
        </is>
      </c>
      <c r="AQ51" s="24" t="inlineStr">
        <is>
          <t>Kiwoom Heroes</t>
        </is>
      </c>
      <c r="AR51" s="24" t="inlineStr">
        <is>
          <t>Kiwoom Heroes</t>
        </is>
      </c>
      <c r="AS51" s="24" t="inlineStr">
        <is>
          <t>LG Twins</t>
        </is>
      </c>
      <c r="AT51" s="24" t="inlineStr">
        <is>
          <t>LG Twins</t>
        </is>
      </c>
      <c r="AU51" s="24" t="inlineStr">
        <is>
          <t>LG Twins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3b8a0b4ad0c1fbf26128570e8243c557c9534d1b4e14f55ce9cd86d200b4e0b1</t>
        </is>
      </c>
      <c r="BB51" s="24" t="inlineStr">
        <is>
          <t>tie_aware_elo</t>
        </is>
      </c>
      <c r="BC51" s="24" t="inlineStr">
        <is>
          <t>kbo-tie-aware-elo-v2</t>
        </is>
      </c>
      <c r="BD51" s="24" t="inlineStr">
        <is>
          <t>3b8a0b4ad0c1fbf26128570e8243c557c9534d1b4e14f55ce9cd86d200b4e0b1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kbo-tie-aware-elo-v2</t>
        </is>
      </c>
      <c r="BH51" s="24" t="inlineStr">
        <is>
          <t>2026-09-08T04:35:36.114615Z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e0f243f4df164f7d</t>
        </is>
      </c>
      <c r="B52" s="24" t="inlineStr">
        <is>
          <t>2026-09-08T04:35:36.336043Z</t>
        </is>
      </c>
      <c r="C52" s="24" t="inlineStr">
        <is>
          <t>2026-09-08T09:30:00Z</t>
        </is>
      </c>
      <c r="D52" s="24" t="inlineStr">
        <is>
          <t>104530</t>
        </is>
      </c>
      <c r="E52" s="24" t="inlineStr">
        <is>
          <t>KBO</t>
        </is>
      </c>
      <c r="F52" s="24" t="inlineStr">
        <is>
          <t>Lotte Giants</t>
        </is>
      </c>
      <c r="G52" s="24" t="inlineStr">
        <is>
          <t>NC Dinos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0.574921</v>
      </c>
      <c r="P52" s="28" t="n"/>
      <c r="Q52" s="28" t="n">
        <v>0.025371</v>
      </c>
      <c r="R52" s="26" t="n">
        <v>33</v>
      </c>
      <c r="S52" s="29" t="n">
        <v>1</v>
      </c>
      <c r="T52" s="24" t="inlineStr">
        <is>
          <t>kbo-tie-aware-elo-v2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6</v>
      </c>
      <c r="X52" s="26" t="n">
        <v>3</v>
      </c>
      <c r="Y52" s="25" t="n"/>
      <c r="Z52" s="26" t="n">
        <v>-122</v>
      </c>
      <c r="AA52" s="28" t="n">
        <v>0.55</v>
      </c>
      <c r="AB52" s="28" t="n">
        <v>0.00045</v>
      </c>
      <c r="AC52" s="30" t="n">
        <v>-1</v>
      </c>
      <c r="AD52" s="24" t="inlineStr">
        <is>
          <t>2026-09-08T16:03:26.579046Z</t>
        </is>
      </c>
      <c r="AE52" s="31" t="inlineStr">
        <is>
          <t>Tie-aware Elo baseline; executable ask 0.5500 (market_slug=aec-kbo-ndc-lgo-2026-09-08). Tie probability=0.0225.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Lotte Giants</t>
        </is>
      </c>
      <c r="AQ52" s="24" t="inlineStr">
        <is>
          <t>Lotte Giants</t>
        </is>
      </c>
      <c r="AR52" s="24" t="inlineStr">
        <is>
          <t>Lotte Giants</t>
        </is>
      </c>
      <c r="AS52" s="24" t="inlineStr">
        <is>
          <t>NC Dinos</t>
        </is>
      </c>
      <c r="AT52" s="24" t="inlineStr">
        <is>
          <t>NC Dinos</t>
        </is>
      </c>
      <c r="AU52" s="24" t="inlineStr">
        <is>
          <t>NC Dinos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3b8a0b4ad0c1fbf26128570e8243c557c9534d1b4e14f55ce9cd86d200b4e0b1</t>
        </is>
      </c>
      <c r="BB52" s="24" t="inlineStr">
        <is>
          <t>tie_aware_elo</t>
        </is>
      </c>
      <c r="BC52" s="24" t="inlineStr">
        <is>
          <t>kbo-tie-aware-elo-v2</t>
        </is>
      </c>
      <c r="BD52" s="24" t="inlineStr">
        <is>
          <t>3b8a0b4ad0c1fbf26128570e8243c557c9534d1b4e14f55ce9cd86d200b4e0b1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kbo-tie-aware-elo-v2</t>
        </is>
      </c>
      <c r="BH52" s="24" t="inlineStr">
        <is>
          <t>2026-09-08T04:35:36.190576Z</t>
        </is>
      </c>
      <c r="BI52" s="24" t="inlineStr">
        <is>
          <t>["same_event","same_team_same_day","same_league_same_day"]</t>
        </is>
      </c>
      <c r="BJ52" s="25" t="n"/>
      <c r="BK52" s="26" t="n">
        <v>-122</v>
      </c>
      <c r="BL52" s="27" t="n">
        <v>1.819672</v>
      </c>
      <c r="BM52" s="28" t="n">
        <v>0.54955</v>
      </c>
      <c r="BN52" s="28" t="n"/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0.54955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82405dc214134e98</t>
        </is>
      </c>
      <c r="B53" s="24" t="inlineStr">
        <is>
          <t>2026-09-08T04:35:36.336043Z</t>
        </is>
      </c>
      <c r="C53" s="24" t="inlineStr">
        <is>
          <t>2026-09-08T09:30:00Z</t>
        </is>
      </c>
      <c r="D53" s="24" t="inlineStr">
        <is>
          <t>103044</t>
        </is>
      </c>
      <c r="E53" s="24" t="inlineStr">
        <is>
          <t>KBO</t>
        </is>
      </c>
      <c r="F53" s="24" t="inlineStr">
        <is>
          <t>Samsung Lions</t>
        </is>
      </c>
      <c r="G53" s="24" t="inlineStr">
        <is>
          <t>Kia Tigers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0.504792</v>
      </c>
      <c r="P53" s="28" t="n"/>
      <c r="Q53" s="28" t="n">
        <v>0.035308</v>
      </c>
      <c r="R53" s="26" t="n">
        <v>38</v>
      </c>
      <c r="S53" s="29" t="n">
        <v>1</v>
      </c>
      <c r="T53" s="24" t="inlineStr">
        <is>
          <t>kbo-tie-aware-elo-v2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Tie-aware Elo baseline; executable ask 0.4700 (market_slug=aec-kbo-kti-sla-2026-09-08). Tie probability=0.0225.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Samsung Lions</t>
        </is>
      </c>
      <c r="AQ53" s="24" t="inlineStr">
        <is>
          <t>Samsung Lions</t>
        </is>
      </c>
      <c r="AR53" s="24" t="inlineStr">
        <is>
          <t>Samsung Lions</t>
        </is>
      </c>
      <c r="AS53" s="24" t="inlineStr">
        <is>
          <t>Kia Tigers</t>
        </is>
      </c>
      <c r="AT53" s="24" t="inlineStr">
        <is>
          <t>Kia Tigers</t>
        </is>
      </c>
      <c r="AU53" s="24" t="inlineStr">
        <is>
          <t>Kia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3b8a0b4ad0c1fbf26128570e8243c557c9534d1b4e14f55ce9cd86d200b4e0b1</t>
        </is>
      </c>
      <c r="BB53" s="24" t="inlineStr">
        <is>
          <t>tie_aware_elo</t>
        </is>
      </c>
      <c r="BC53" s="24" t="inlineStr">
        <is>
          <t>kbo-tie-aware-elo-v2</t>
        </is>
      </c>
      <c r="BD53" s="24" t="inlineStr">
        <is>
          <t>3b8a0b4ad0c1fbf26128570e8243c557c9534d1b4e14f55ce9cd86d200b4e0b1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kbo-tie-aware-elo-v2</t>
        </is>
      </c>
      <c r="BH53" s="24" t="inlineStr">
        <is>
          <t>2026-09-08T04:35:36.259573Z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0.469484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334a18f338ef4034</t>
        </is>
      </c>
      <c r="B54" s="24" t="inlineStr">
        <is>
          <t>2026-09-08T04:35:36.336043Z</t>
        </is>
      </c>
      <c r="C54" s="24" t="inlineStr">
        <is>
          <t>2026-09-08T09:30:00Z</t>
        </is>
      </c>
      <c r="D54" s="24" t="inlineStr">
        <is>
          <t>104532</t>
        </is>
      </c>
      <c r="E54" s="24" t="inlineStr">
        <is>
          <t>KBO</t>
        </is>
      </c>
      <c r="F54" s="24" t="inlineStr">
        <is>
          <t>Doosan Bears</t>
        </is>
      </c>
      <c r="G54" s="24" t="inlineStr">
        <is>
          <t>Hanwha Eagles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150</v>
      </c>
      <c r="M54" s="27" t="n">
        <v>2.5</v>
      </c>
      <c r="N54" s="28" t="n">
        <v>0.4</v>
      </c>
      <c r="O54" s="28" t="n">
        <v>0.533869</v>
      </c>
      <c r="P54" s="28" t="n"/>
      <c r="Q54" s="28" t="n">
        <v>0.133869</v>
      </c>
      <c r="R54" s="26" t="n">
        <v>87</v>
      </c>
      <c r="S54" s="29" t="n">
        <v>1.5</v>
      </c>
      <c r="T54" s="24" t="inlineStr">
        <is>
          <t>kbo-tie-aware-elo-v2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6</v>
      </c>
      <c r="Y54" s="25" t="n"/>
      <c r="Z54" s="26" t="n">
        <v>150</v>
      </c>
      <c r="AA54" s="28" t="n">
        <v>0.4</v>
      </c>
      <c r="AB54" s="28" t="n">
        <v>0</v>
      </c>
      <c r="AC54" s="30" t="n">
        <v>-1.5</v>
      </c>
      <c r="AD54" s="24" t="inlineStr">
        <is>
          <t>2026-09-08T16:03:30.711711Z</t>
        </is>
      </c>
      <c r="AE54" s="31" t="inlineStr">
        <is>
          <t>Tie-aware Elo baseline; executable ask 0.4000 (market_slug=aec-kbo-hea-dbo-2026-09-08). Tie probability=0.0225.</t>
        </is>
      </c>
      <c r="AF54" s="31" t="inlineStr">
        <is>
          <t>Config-promoted international baseball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Doosan Bears</t>
        </is>
      </c>
      <c r="AQ54" s="24" t="inlineStr">
        <is>
          <t>Doosan Bears</t>
        </is>
      </c>
      <c r="AR54" s="24" t="inlineStr">
        <is>
          <t>Doosan Bears</t>
        </is>
      </c>
      <c r="AS54" s="24" t="inlineStr">
        <is>
          <t>Hanwha Eagles</t>
        </is>
      </c>
      <c r="AT54" s="24" t="inlineStr">
        <is>
          <t>Hanwha Eagles</t>
        </is>
      </c>
      <c r="AU54" s="24" t="inlineStr">
        <is>
          <t>Hanwha Eagles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3b8a0b4ad0c1fbf26128570e8243c557c9534d1b4e14f55ce9cd86d200b4e0b1</t>
        </is>
      </c>
      <c r="BB54" s="24" t="inlineStr">
        <is>
          <t>tie_aware_elo</t>
        </is>
      </c>
      <c r="BC54" s="24" t="inlineStr">
        <is>
          <t>kbo-tie-aware-elo-v2</t>
        </is>
      </c>
      <c r="BD54" s="24" t="inlineStr">
        <is>
          <t>3b8a0b4ad0c1fbf26128570e8243c557c9534d1b4e14f55ce9cd86d200b4e0b1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kbo-tie-aware-elo-v2</t>
        </is>
      </c>
      <c r="BH54" s="24" t="inlineStr">
        <is>
          <t>2026-09-08T04:35:36.335971Z</t>
        </is>
      </c>
      <c r="BI54" s="24" t="inlineStr">
        <is>
          <t>["same_event","same_team_same_day","same_league_same_day"]</t>
        </is>
      </c>
      <c r="BJ54" s="25" t="n"/>
      <c r="BK54" s="26" t="n">
        <v>150</v>
      </c>
      <c r="BL54" s="27" t="n">
        <v>2.5</v>
      </c>
      <c r="BM54" s="28" t="n">
        <v>0.4</v>
      </c>
      <c r="BN54" s="28" t="n"/>
      <c r="BO54" s="28" t="n"/>
      <c r="BP54" s="25" t="n"/>
      <c r="BQ54" s="27" t="n">
        <v>2.5</v>
      </c>
      <c r="BR54" s="28" t="n">
        <v>0.4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731ce98cf5384242</t>
        </is>
      </c>
      <c r="B55" s="24" t="inlineStr">
        <is>
          <t>2026-09-09T04:34:49.868555Z</t>
        </is>
      </c>
      <c r="C55" s="24" t="inlineStr">
        <is>
          <t>2026-09-09T09:30:00Z</t>
        </is>
      </c>
      <c r="D55" s="24" t="inlineStr">
        <is>
          <t>104559</t>
        </is>
      </c>
      <c r="E55" s="24" t="inlineStr">
        <is>
          <t>KBO</t>
        </is>
      </c>
      <c r="F55" s="24" t="inlineStr">
        <is>
          <t>SSG Landers</t>
        </is>
      </c>
      <c r="G55" s="24" t="inlineStr">
        <is>
          <t>Doosan Bears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-213</v>
      </c>
      <c r="M55" s="27" t="n">
        <v>1.469484</v>
      </c>
      <c r="N55" s="28" t="n">
        <v>0.680511</v>
      </c>
      <c r="O55" s="28" t="n">
        <v>0.555724</v>
      </c>
      <c r="P55" s="28" t="n"/>
      <c r="Q55" s="28" t="n">
        <v>-0.124787</v>
      </c>
      <c r="R55" s="26" t="n">
        <v>0</v>
      </c>
      <c r="S55" s="29" t="n">
        <v>1</v>
      </c>
      <c r="T55" s="24" t="inlineStr">
        <is>
          <t>kbo-tie-aware-elo-v2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-213</v>
      </c>
      <c r="AA55" s="28" t="n">
        <v>0.68</v>
      </c>
      <c r="AB55" s="28" t="n">
        <v>-0.000511</v>
      </c>
      <c r="AC55" s="30" t="n">
        <v>-1</v>
      </c>
      <c r="AD55" s="24" t="inlineStr">
        <is>
          <t>2026-09-09T16:02:30.876176Z</t>
        </is>
      </c>
      <c r="AE55" s="31" t="inlineStr">
        <is>
          <t>Tie-aware Elo baseline; executable ask 0.6800 (market_slug=aec-kbo-dbo-sls-2026-09-09). Tie probability=0.0225.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SSG Landers</t>
        </is>
      </c>
      <c r="AQ55" s="24" t="inlineStr">
        <is>
          <t>SSG Landers</t>
        </is>
      </c>
      <c r="AR55" s="24" t="inlineStr">
        <is>
          <t>SSG Landers</t>
        </is>
      </c>
      <c r="AS55" s="24" t="inlineStr">
        <is>
          <t>Doosan Bears</t>
        </is>
      </c>
      <c r="AT55" s="24" t="inlineStr">
        <is>
          <t>Doosan Bears</t>
        </is>
      </c>
      <c r="AU55" s="24" t="inlineStr">
        <is>
          <t>Doosan Bears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5b67a0656a67d4d386704613caed745305c74be8b88301b6963a8af87222cb34</t>
        </is>
      </c>
      <c r="BB55" s="24" t="inlineStr">
        <is>
          <t>tie_aware_elo</t>
        </is>
      </c>
      <c r="BC55" s="24" t="inlineStr">
        <is>
          <t>kbo-tie-aware-elo-v2</t>
        </is>
      </c>
      <c r="BD55" s="24" t="inlineStr">
        <is>
          <t>5b67a0656a67d4d386704613caed745305c74be8b88301b6963a8af87222cb34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kbo-tie-aware-elo-v2</t>
        </is>
      </c>
      <c r="BH55" s="24" t="inlineStr">
        <is>
          <t>2026-09-09T04:34:49.868521Z</t>
        </is>
      </c>
      <c r="BI55" s="24" t="inlineStr">
        <is>
          <t>["same_event","same_team_same_day","same_league_same_day"]</t>
        </is>
      </c>
      <c r="BJ55" s="25" t="n"/>
      <c r="BK55" s="26" t="n">
        <v>-213</v>
      </c>
      <c r="BL55" s="27" t="n">
        <v>1.469484</v>
      </c>
      <c r="BM55" s="28" t="n">
        <v>0.680511</v>
      </c>
      <c r="BN55" s="28" t="n"/>
      <c r="BO55" s="28" t="n"/>
      <c r="BP55" s="25" t="n"/>
      <c r="BQ55" s="27" t="n">
        <v>1.469484</v>
      </c>
      <c r="BR55" s="28" t="n">
        <v>0.68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0.680511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b814dcdc54e64427</t>
        </is>
      </c>
      <c r="B56" s="24" t="inlineStr">
        <is>
          <t>2026-09-10T04:35:57.414881Z</t>
        </is>
      </c>
      <c r="C56" s="24" t="inlineStr">
        <is>
          <t>2026-09-10T09:30:00Z</t>
        </is>
      </c>
      <c r="D56" s="24" t="inlineStr">
        <is>
          <t>105505</t>
        </is>
      </c>
      <c r="E56" s="24" t="inlineStr">
        <is>
          <t>KBO</t>
        </is>
      </c>
      <c r="F56" s="24" t="inlineStr">
        <is>
          <t>Kiwoom Heroes</t>
        </is>
      </c>
      <c r="G56" s="24" t="inlineStr">
        <is>
          <t>Doosan Bears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-223</v>
      </c>
      <c r="M56" s="27" t="n">
        <v>1.44843</v>
      </c>
      <c r="N56" s="28" t="n">
        <v>0.690402</v>
      </c>
      <c r="O56" s="28" t="n">
        <v>0.608652</v>
      </c>
      <c r="P56" s="28" t="n"/>
      <c r="Q56" s="28" t="n">
        <v>-0.08175</v>
      </c>
      <c r="R56" s="26" t="n">
        <v>0</v>
      </c>
      <c r="S56" s="29" t="n">
        <v>1</v>
      </c>
      <c r="T56" s="24" t="inlineStr">
        <is>
          <t>kbo-tie-aware-elo-v2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5</v>
      </c>
      <c r="Y56" s="25" t="n"/>
      <c r="Z56" s="26" t="n">
        <v>-223</v>
      </c>
      <c r="AA56" s="28" t="n">
        <v>0.6899999999999999</v>
      </c>
      <c r="AB56" s="28" t="n">
        <v>-0.000402</v>
      </c>
      <c r="AC56" s="30" t="n">
        <v>0.4484</v>
      </c>
      <c r="AD56" s="24" t="inlineStr">
        <is>
          <t>2026-09-10T22:03:13.942196Z</t>
        </is>
      </c>
      <c r="AE56" s="31" t="inlineStr">
        <is>
          <t>Tie-aware Elo baseline; executable ask 0.6900 (market_slug=aec-kbo-dbo-khi-2026-09-10). Tie probability=0.0225.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Kiwoom Heroes</t>
        </is>
      </c>
      <c r="AQ56" s="24" t="inlineStr">
        <is>
          <t>Kiwoom Heroes</t>
        </is>
      </c>
      <c r="AR56" s="24" t="inlineStr">
        <is>
          <t>Kiwoom Heroes</t>
        </is>
      </c>
      <c r="AS56" s="24" t="inlineStr">
        <is>
          <t>Doosan Bears</t>
        </is>
      </c>
      <c r="AT56" s="24" t="inlineStr">
        <is>
          <t>Doosan Bears</t>
        </is>
      </c>
      <c r="AU56" s="24" t="inlineStr">
        <is>
          <t>Doosan Bears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004b9415c98048ebe7e282ad4dcb4187767b04817d2c64ae94aa1d4a4b045aff</t>
        </is>
      </c>
      <c r="BB56" s="24" t="inlineStr">
        <is>
          <t>tie_aware_elo</t>
        </is>
      </c>
      <c r="BC56" s="24" t="inlineStr">
        <is>
          <t>kbo-tie-aware-elo-v2</t>
        </is>
      </c>
      <c r="BD56" s="24" t="inlineStr">
        <is>
          <t>004b9415c98048ebe7e282ad4dcb4187767b04817d2c64ae94aa1d4a4b045aff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kbo-tie-aware-elo-v2</t>
        </is>
      </c>
      <c r="BH56" s="24" t="inlineStr">
        <is>
          <t>2026-09-10T04:35:57.010618Z</t>
        </is>
      </c>
      <c r="BI56" s="24" t="inlineStr">
        <is>
          <t>["same_event","same_team_same_day","same_league_same_day"]</t>
        </is>
      </c>
      <c r="BJ56" s="25" t="n"/>
      <c r="BK56" s="26" t="n">
        <v>-223</v>
      </c>
      <c r="BL56" s="27" t="n">
        <v>1.44843</v>
      </c>
      <c r="BM56" s="28" t="n">
        <v>0.690402</v>
      </c>
      <c r="BN56" s="28" t="n"/>
      <c r="BO56" s="28" t="n"/>
      <c r="BP56" s="25" t="n"/>
      <c r="BQ56" s="27" t="n">
        <v>1.44843</v>
      </c>
      <c r="BR56" s="28" t="n">
        <v>0.6899999999999999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0.690402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"004b9415c98048ebe7e282ad4dcb4187767b04817d2c64ae94aa1d4a4b045aff", "away_team": "Kiwoom Heroes", "draw_settlement_value": 0.5, "event_id": "105505", "event_start_utc": "2026-09-10T09:30:00Z", "features": {"away_elo": 1442.352878, "base_tie_rate": 0.02249232, "home_advantage": 20.0, "home_elo": 1500.900732}, "historical_source_observation_times_verified": false, "home_team": "Doosan Bears", "inference_inputs": {"away_id": "KIWOOM", "base_tie_rate": 0.02249232, "book_state": {"_games_played": null, "_last_active": null, "decay_rate": 0.001, "home_advantage": 20.0, "k": 8.0, "margin_weight": 0.0, "ratings": {"DOOSAN": 1500.900732, "KIWOOM": 1442.352878}},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"2026-09-10T04:35:56.936251+00:00", "outcome_probabilities": {"away": 0.38010176342145746, "draw": 0.02249232, "home": 0.5974059165785426}, "replay_scope": "Exact Elo and tie model; logged value is expected contract settlement, not outright win probability.", "schema": "international-elo-replay-v1", "settlement_values": {"away": 0.391348, "home": 0.608652}, "snapshot_hash": "2f25ddc7c074bcdb39efefe3a153009528aa1ee52a7d3c87389bdb2ad1011db2", "sport": "KBO"}</t>
        </is>
      </c>
    </row>
    <row r="57" ht="36" customHeight="1">
      <c r="A57" s="24" t="inlineStr">
        <is>
          <t>9bc08bb8e00f4ccc</t>
        </is>
      </c>
      <c r="B57" s="24" t="inlineStr">
        <is>
          <t>2026-09-10T04:35:57.414881Z</t>
        </is>
      </c>
      <c r="C57" s="24" t="inlineStr">
        <is>
          <t>2026-09-10T09:30:00Z</t>
        </is>
      </c>
      <c r="D57" s="24" t="inlineStr">
        <is>
          <t>105506</t>
        </is>
      </c>
      <c r="E57" s="24" t="inlineStr">
        <is>
          <t>KBO</t>
        </is>
      </c>
      <c r="F57" s="24" t="inlineStr">
        <is>
          <t>Hanwha Eagles</t>
        </is>
      </c>
      <c r="G57" s="24" t="inlineStr">
        <is>
          <t>SSG Landers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0.5500159999999999</v>
      </c>
      <c r="P57" s="28" t="n"/>
      <c r="Q57" s="28" t="n">
        <v>-0.059359</v>
      </c>
      <c r="R57" s="26" t="n">
        <v>0</v>
      </c>
      <c r="S57" s="29" t="n">
        <v>1</v>
      </c>
      <c r="T57" s="24" t="inlineStr">
        <is>
          <t>kbo-tie-aware-elo-v2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4</v>
      </c>
      <c r="Y57" s="25" t="n"/>
      <c r="Z57" s="26" t="n">
        <v>-156</v>
      </c>
      <c r="AA57" s="28" t="n">
        <v>0.61</v>
      </c>
      <c r="AB57" s="28" t="n">
        <v>0.000625</v>
      </c>
      <c r="AC57" s="30" t="n">
        <v>0.641</v>
      </c>
      <c r="AD57" s="24" t="inlineStr">
        <is>
          <t>2026-09-10T22:03:14.130138Z</t>
        </is>
      </c>
      <c r="AE57" s="31" t="inlineStr">
        <is>
          <t>Tie-aware Elo baseline; executable ask 0.6100 (market_slug=aec-kbo-sls-hea-2026-09-10). Tie probability=0.0225.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Hanwha Eagles</t>
        </is>
      </c>
      <c r="AQ57" s="24" t="inlineStr">
        <is>
          <t>Hanwha Eagles</t>
        </is>
      </c>
      <c r="AR57" s="24" t="inlineStr">
        <is>
          <t>Hanwha Eagles</t>
        </is>
      </c>
      <c r="AS57" s="24" t="inlineStr">
        <is>
          <t>SSG Landers</t>
        </is>
      </c>
      <c r="AT57" s="24" t="inlineStr">
        <is>
          <t>SSG Landers</t>
        </is>
      </c>
      <c r="AU57" s="24" t="inlineStr">
        <is>
          <t>SSG Landers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004b9415c98048ebe7e282ad4dcb4187767b04817d2c64ae94aa1d4a4b045aff</t>
        </is>
      </c>
      <c r="BB57" s="24" t="inlineStr">
        <is>
          <t>tie_aware_elo</t>
        </is>
      </c>
      <c r="BC57" s="24" t="inlineStr">
        <is>
          <t>kbo-tie-aware-elo-v2</t>
        </is>
      </c>
      <c r="BD57" s="24" t="inlineStr">
        <is>
          <t>004b9415c98048ebe7e282ad4dcb4187767b04817d2c64ae94aa1d4a4b045aff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kbo-tie-aware-elo-v2</t>
        </is>
      </c>
      <c r="BH57" s="24" t="inlineStr">
        <is>
          <t>2026-09-10T04:35:57.100279Z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1.641026</v>
      </c>
      <c r="BR57" s="28" t="n">
        <v>0.61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"004b9415c98048ebe7e282ad4dcb4187767b04817d2c64ae94aa1d4a4b045aff", "away_team": "Hanwha Eagles", "draw_settlement_value": 0.5, "event_id": "105506", "event_start_utc": "2026-09-10T09:30:00Z", "features": {"away_elo": 1474.427172, "base_tie_rate": 0.02249232, "home_advantage": 20.0, "home_elo": 1490.106727}, "historical_source_observation_times_verified": false, "home_team": "SSG Landers", "inference_inputs": {"away_id": "HANWHA", "base_tie_rate": 0.02249232, "book_state": {"_games_played": null, "_last_active": null, "decay_rate": 0.001, "home_advantage": 20.0, "k": 8.0, "margin_weight": 0.0, "ratings": {"HANWHA": 1474.427172, "SSG": 1490.106727}},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"2026-09-10T04:35:56.936251+00:00", "outcome_probabilities": {"away": 0.43873744795553893, "draw": 0.02249232, "home": 0.5387702320444611}, "replay_scope": "Exact Elo and tie model; logged value is expected contract settlement, not outright win probability.", "schema": "international-elo-replay-v1", "settlement_values": {"away": 0.449984, "home": 0.550016}, "snapshot_hash": "929b7ec1be5d29782b4776b00d33f8d8097b2cb67357318e49efc88fe3de2a3e", "sport": "KBO"}</t>
        </is>
      </c>
    </row>
    <row r="58" ht="36" customHeight="1">
      <c r="A58" s="24" t="inlineStr">
        <is>
          <t>3b6d61addad14a06</t>
        </is>
      </c>
      <c r="B58" s="24" t="inlineStr">
        <is>
          <t>2026-09-10T04:35:57.414881Z</t>
        </is>
      </c>
      <c r="C58" s="24" t="inlineStr">
        <is>
          <t>2026-09-10T09:30:00Z</t>
        </is>
      </c>
      <c r="D58" s="24" t="inlineStr">
        <is>
          <t>105507</t>
        </is>
      </c>
      <c r="E58" s="24" t="inlineStr">
        <is>
          <t>KBO</t>
        </is>
      </c>
      <c r="F58" s="24" t="inlineStr">
        <is>
          <t>KT Wiz</t>
        </is>
      </c>
      <c r="G58" s="24" t="inlineStr">
        <is>
          <t>Lotte Giants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0.574868</v>
      </c>
      <c r="P58" s="28" t="n"/>
      <c r="Q58" s="28" t="n">
        <v>0.035697</v>
      </c>
      <c r="R58" s="26" t="n">
        <v>38</v>
      </c>
      <c r="S58" s="29" t="n">
        <v>1</v>
      </c>
      <c r="T58" s="24" t="inlineStr">
        <is>
          <t>kbo-tie-aware-elo-v2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16</v>
      </c>
      <c r="X58" s="26" t="n">
        <v>3</v>
      </c>
      <c r="Y58" s="25" t="n"/>
      <c r="Z58" s="26" t="n">
        <v>-117</v>
      </c>
      <c r="AA58" s="28" t="n">
        <v>0.54</v>
      </c>
      <c r="AB58" s="28" t="n">
        <v>0.000829</v>
      </c>
      <c r="AC58" s="30" t="n">
        <v>0.8547</v>
      </c>
      <c r="AD58" s="24" t="inlineStr">
        <is>
          <t>2026-09-10T22:03:14.218824Z</t>
        </is>
      </c>
      <c r="AE58" s="31" t="inlineStr">
        <is>
          <t>Tie-aware Elo baseline; executable ask 0.5400 (market_slug=aec-kbo-lgo-kwt-2026-09-10). Tie probability=0.0225.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KT Wiz</t>
        </is>
      </c>
      <c r="AQ58" s="24" t="inlineStr">
        <is>
          <t>KT Wiz</t>
        </is>
      </c>
      <c r="AR58" s="24" t="inlineStr">
        <is>
          <t>KT Wiz</t>
        </is>
      </c>
      <c r="AS58" s="24" t="inlineStr">
        <is>
          <t>Lotte Giants</t>
        </is>
      </c>
      <c r="AT58" s="24" t="inlineStr">
        <is>
          <t>Lotte Giants</t>
        </is>
      </c>
      <c r="AU58" s="24" t="inlineStr">
        <is>
          <t>Lotte Giants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004b9415c98048ebe7e282ad4dcb4187767b04817d2c64ae94aa1d4a4b045aff</t>
        </is>
      </c>
      <c r="BB58" s="24" t="inlineStr">
        <is>
          <t>tie_aware_elo</t>
        </is>
      </c>
      <c r="BC58" s="24" t="inlineStr">
        <is>
          <t>kbo-tie-aware-elo-v2</t>
        </is>
      </c>
      <c r="BD58" s="24" t="inlineStr">
        <is>
          <t>004b9415c98048ebe7e282ad4dcb4187767b04817d2c64ae94aa1d4a4b045aff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kbo-tie-aware-elo-v2</t>
        </is>
      </c>
      <c r="BH58" s="24" t="inlineStr">
        <is>
          <t>2026-09-10T04:35:57.299434Z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>
        <v>1.854701</v>
      </c>
      <c r="BR58" s="28" t="n">
        <v>0.54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"004b9415c98048ebe7e282ad4dcb4187767b04817d2c64ae94aa1d4a4b045aff", "away_team": "KT Wiz", "draw_settlement_value": 0.5, "event_id": "105507", "event_start_utc": "2026-09-10T09:30:00Z", "features": {"away_elo": 1547.801799, "base_tie_rate": 0.02249232, "home_advantage": 20.0, "home_elo": 1474.158878}, "historical_source_observation_times_verified": false, "home_team": "Lotte Giants", "inference_inputs": {"away_id": "KT", "base_tie_rate": 0.02249232, "book_state": {"_games_played": null, "_last_active": null, "decay_rate": 0.001, "home_advantage": 20.0, "k": 8.0, "margin_weight": 0.0, "ratings": {"KT": 1547.801799, "LOTTE": 1474.158878}},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"2026-09-10T04:35:56.936251+00:00", "outcome_probabilities": {"away": 0.563621871606944, "draw": 0.02249232, "home": 0.413885808393056}, "replay_scope": "Exact Elo and tie model; logged value is expected contract settlement, not outright win probability.", "schema": "international-elo-replay-v1", "settlement_values": {"away": 0.574868, "home": 0.425132}, "snapshot_hash": "90429dd244ed8819d635d9c336612319e3b6b511d4999461abe77db2d8fd2ad6", "sport": "KBO"}</t>
        </is>
      </c>
    </row>
    <row r="59" ht="36" customHeight="1">
      <c r="A59" s="24" t="inlineStr">
        <is>
          <t>118be54b63744ff8</t>
        </is>
      </c>
      <c r="B59" s="24" t="inlineStr">
        <is>
          <t>2026-09-10T04:35:57.414881Z</t>
        </is>
      </c>
      <c r="C59" s="24" t="inlineStr">
        <is>
          <t>2026-09-10T09:30:00Z</t>
        </is>
      </c>
      <c r="D59" s="24" t="inlineStr">
        <is>
          <t>105509</t>
        </is>
      </c>
      <c r="E59" s="24" t="inlineStr">
        <is>
          <t>KBO</t>
        </is>
      </c>
      <c r="F59" s="24" t="inlineStr">
        <is>
          <t>NC Dinos</t>
        </is>
      </c>
      <c r="G59" s="24" t="inlineStr">
        <is>
          <t>Kia Tigers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-113</v>
      </c>
      <c r="M59" s="27" t="n">
        <v>1.884956</v>
      </c>
      <c r="N59" s="28" t="n">
        <v>0.530516</v>
      </c>
      <c r="O59" s="28" t="n">
        <v>0.557482</v>
      </c>
      <c r="P59" s="28" t="n"/>
      <c r="Q59" s="28" t="n">
        <v>0.026966</v>
      </c>
      <c r="R59" s="26" t="n">
        <v>33</v>
      </c>
      <c r="S59" s="29" t="n">
        <v>1</v>
      </c>
      <c r="T59" s="24" t="inlineStr">
        <is>
          <t>kbo-tie-aware-elo-v2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1</v>
      </c>
      <c r="Y59" s="25" t="n"/>
      <c r="Z59" s="26" t="n">
        <v>-113</v>
      </c>
      <c r="AA59" s="28" t="n">
        <v>0.53</v>
      </c>
      <c r="AB59" s="28" t="n">
        <v>-0.000516</v>
      </c>
      <c r="AC59" s="30" t="n">
        <v>-1</v>
      </c>
      <c r="AD59" s="24" t="inlineStr">
        <is>
          <t>2026-09-10T22:03:14.304394Z</t>
        </is>
      </c>
      <c r="AE59" s="31" t="inlineStr">
        <is>
          <t>Tie-aware Elo baseline; executable ask 0.5300 (market_slug=aec-kbo-kti-ndc-2026-09-10). Tie probability=0.0225.</t>
        </is>
      </c>
      <c r="AF59" s="31" t="inlineStr">
        <is>
          <t>Config-promoted international baseball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NC Dinos</t>
        </is>
      </c>
      <c r="AQ59" s="24" t="inlineStr">
        <is>
          <t>NC Dinos</t>
        </is>
      </c>
      <c r="AR59" s="24" t="inlineStr">
        <is>
          <t>NC Dinos</t>
        </is>
      </c>
      <c r="AS59" s="24" t="inlineStr">
        <is>
          <t>Kia Tigers</t>
        </is>
      </c>
      <c r="AT59" s="24" t="inlineStr">
        <is>
          <t>Kia Tigers</t>
        </is>
      </c>
      <c r="AU59" s="24" t="inlineStr">
        <is>
          <t>Kia Tigers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004b9415c98048ebe7e282ad4dcb4187767b04817d2c64ae94aa1d4a4b045aff</t>
        </is>
      </c>
      <c r="BB59" s="24" t="inlineStr">
        <is>
          <t>tie_aware_elo</t>
        </is>
      </c>
      <c r="BC59" s="24" t="inlineStr">
        <is>
          <t>kbo-tie-aware-elo-v2</t>
        </is>
      </c>
      <c r="BD59" s="24" t="inlineStr">
        <is>
          <t>004b9415c98048ebe7e282ad4dcb4187767b04817d2c64ae94aa1d4a4b045aff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kbo-tie-aware-elo-v2</t>
        </is>
      </c>
      <c r="BH59" s="24" t="inlineStr">
        <is>
          <t>2026-09-10T04:35:57.414805Z</t>
        </is>
      </c>
      <c r="BI59" s="24" t="inlineStr">
        <is>
          <t>["same_event","same_team_same_day","same_league_same_day"]</t>
        </is>
      </c>
      <c r="BJ59" s="25" t="n"/>
      <c r="BK59" s="26" t="n">
        <v>-113</v>
      </c>
      <c r="BL59" s="27" t="n">
        <v>1.884956</v>
      </c>
      <c r="BM59" s="28" t="n">
        <v>0.530516</v>
      </c>
      <c r="BN59" s="28" t="n"/>
      <c r="BO59" s="28" t="n"/>
      <c r="BP59" s="25" t="n"/>
      <c r="BQ59" s="27" t="n">
        <v>1.884956</v>
      </c>
      <c r="BR59" s="28" t="n">
        <v>0.53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0.530516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"004b9415c98048ebe7e282ad4dcb4187767b04817d2c64ae94aa1d4a4b045aff", "away_team": "NC Dinos", "draw_settlement_value": 0.5, "event_id": "105509", "event_start_utc": "2026-09-10T09:30:00Z", "features": {"away_elo": 1502.957417, "base_tie_rate": 0.02249232, "home_advantage": 20.0, "home_elo": 1524.008898}, "historical_source_observation_times_verified": false, "home_team": "Kia Tigers", "inference_inputs": {"away_id": "NC", "base_tie_rate": 0.02249232, "book_state": {"_games_played": null, "_last_active": null, "decay_rate": 0.001, "home_advantage": 20.0, "k": 8.0, "margin_weight": 0.0, "ratings": {"KIA": 1524.008898, "NC": 1502.957417}},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"2026-09-10T04:35:56.936251+00:00", "outcome_probabilities": {"away": 0.4312720551728894, "draw": 0.02249232, "home": 0.5462356248271106}, "replay_scope": "Exact Elo and tie model; logged value is expected contract settlement, not outright win probability.", "schema": "international-elo-replay-v1", "settlement_values": {"away": 0.442518, "home": 0.557482}, "snapshot_hash": "343a76453e8cc6e0daaf6499b6e9fc1e2e95dae53db4842acb69d75e8af65cfc", "sport": "KBO"}</t>
        </is>
      </c>
    </row>
    <row r="60" ht="36" customHeight="1">
      <c r="A60" s="24" t="inlineStr">
        <is>
          <t>ee0882b443944dd5</t>
        </is>
      </c>
      <c r="B60" s="24" t="inlineStr">
        <is>
          <t>2026-09-11T04:33:55.246571Z</t>
        </is>
      </c>
      <c r="C60" s="24" t="inlineStr">
        <is>
          <t>2026-09-11T09:30:00Z</t>
        </is>
      </c>
      <c r="D60" s="24" t="inlineStr">
        <is>
          <t>106735</t>
        </is>
      </c>
      <c r="E60" s="24" t="inlineStr">
        <is>
          <t>KBO</t>
        </is>
      </c>
      <c r="F60" s="24" t="inlineStr">
        <is>
          <t>Kiwoom Heroes</t>
        </is>
      </c>
      <c r="G60" s="24" t="inlineStr">
        <is>
          <t>Samsung Lions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-355</v>
      </c>
      <c r="M60" s="27" t="n">
        <v>1.28169</v>
      </c>
      <c r="N60" s="28" t="n">
        <v>0.78022</v>
      </c>
      <c r="O60" s="28" t="n">
        <v>0.672477</v>
      </c>
      <c r="P60" s="28" t="n"/>
      <c r="Q60" s="28" t="n">
        <v>-0.107743</v>
      </c>
      <c r="R60" s="26" t="n">
        <v>0</v>
      </c>
      <c r="S60" s="29" t="n">
        <v>1</v>
      </c>
      <c r="T60" s="24" t="inlineStr">
        <is>
          <t>kbo-tie-aware-elo-v2</t>
        </is>
      </c>
      <c r="U60" s="24" t="inlineStr">
        <is>
          <t>settled</t>
        </is>
      </c>
      <c r="V60" s="24" t="inlineStr">
        <is>
          <t>win</t>
        </is>
      </c>
      <c r="W60" s="26" t="n">
        <v>4</v>
      </c>
      <c r="X60" s="26" t="n">
        <v>6</v>
      </c>
      <c r="Y60" s="25" t="n"/>
      <c r="Z60" s="26" t="n">
        <v>-355</v>
      </c>
      <c r="AA60" s="28" t="n">
        <v>0.78</v>
      </c>
      <c r="AB60" s="28" t="n">
        <v>-0.00022</v>
      </c>
      <c r="AC60" s="30" t="n">
        <v>0.2817</v>
      </c>
      <c r="AD60" s="24" t="inlineStr">
        <is>
          <t>2026-09-11T16:02:36.885304Z</t>
        </is>
      </c>
      <c r="AE60" s="31" t="inlineStr">
        <is>
          <t>Tie-aware Elo baseline; executable ask 0.7800 (market_slug=aec-kbo-sla-khi-2026-09-11). Tie probability=0.0225.</t>
        </is>
      </c>
      <c r="AF60" s="31" t="inlineStr">
        <is>
          <t>Config-promoted international baseball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Kiwoom Heroes</t>
        </is>
      </c>
      <c r="AQ60" s="24" t="inlineStr">
        <is>
          <t>Kiwoom Heroes</t>
        </is>
      </c>
      <c r="AR60" s="24" t="inlineStr">
        <is>
          <t>Kiwoom Heroes</t>
        </is>
      </c>
      <c r="AS60" s="24" t="inlineStr">
        <is>
          <t>Samsung Lions</t>
        </is>
      </c>
      <c r="AT60" s="24" t="inlineStr">
        <is>
          <t>Samsung Lions</t>
        </is>
      </c>
      <c r="AU60" s="24" t="inlineStr">
        <is>
          <t>Samsung Lions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fc1bc79716bd2981eaa4121e9461ac18fb8c90c5d5c7b019cae168500c215b8f</t>
        </is>
      </c>
      <c r="BB60" s="24" t="inlineStr">
        <is>
          <t>tie_aware_elo</t>
        </is>
      </c>
      <c r="BC60" s="24" t="inlineStr">
        <is>
          <t>kbo-tie-aware-elo-v2</t>
        </is>
      </c>
      <c r="BD60" s="24" t="inlineStr">
        <is>
          <t>fc1bc79716bd2981eaa4121e9461ac18fb8c90c5d5c7b019cae168500c215b8f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kbo-tie-aware-elo-v2</t>
        </is>
      </c>
      <c r="BH60" s="24" t="inlineStr">
        <is>
          <t>2026-09-11T04:33:55.187831Z</t>
        </is>
      </c>
      <c r="BI60" s="24" t="inlineStr">
        <is>
          <t>["same_event","same_team_same_day","same_league_same_day"]</t>
        </is>
      </c>
      <c r="BJ60" s="25" t="n"/>
      <c r="BK60" s="26" t="n">
        <v>-355</v>
      </c>
      <c r="BL60" s="27" t="n">
        <v>1.28169</v>
      </c>
      <c r="BM60" s="28" t="n">
        <v>0.78022</v>
      </c>
      <c r="BN60" s="28" t="n"/>
      <c r="BO60" s="28" t="n"/>
      <c r="BP60" s="25" t="n"/>
      <c r="BQ60" s="27" t="n">
        <v>1.28169</v>
      </c>
      <c r="BR60" s="28" t="n">
        <v>0.78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0.78022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"fc1bc79716bd2981eaa4121e9461ac18fb8c90c5d5c7b019cae168500c215b8f", "away_team": "Kiwoom Heroes", "draw_settlement_value": 0.5, "event_id": "106735", "event_start_utc": "2026-09-11T09:30:00Z", "features": {"away_elo": 1439.701661, "base_tie_rate": 0.02247975, "home_advantage": 20.0, "home_elo": 1547.814538}, "historical_source_observation_times_verified": false, "home_team": "Samsung Lions", "inference_inputs": {"away_id": "KIWOOM", "base_tie_rate": 0.02247975, "book_state": {"_games_played": null, "_last_active": null, "decay_rate": 0.001, "home_advantage": 20.0, "k": 8.0, "margin_weight": 0.0, "ratings": {"KIWOOM": 1439.701661, "SAMSUNG": 1547.814538}},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"2026-09-11T04:33:54.904885+00:00", "outcome_probabilities": {"away": 0.3162826399043176, "draw": 0.02247975, "home": 0.6612376100956824}, "replay_scope": "Exact Elo and tie model; logged value is expected contract settlement, not outright win probability.", "schema": "international-elo-replay-v1", "settlement_values": {"away": 0.327523, "home": 0.672477}, "snapshot_hash": "b78f970714a0759e79e93d8b1af2ed43ddb7f4541b283a77df778a67dfa869d4", "sport": "KBO"}</t>
        </is>
      </c>
    </row>
    <row r="61" ht="36" customHeight="1">
      <c r="A61" s="24" t="inlineStr">
        <is>
          <t>59fe3e49fe4844d8</t>
        </is>
      </c>
      <c r="B61" s="24" t="inlineStr">
        <is>
          <t>2026-09-11T04:33:55.246571Z</t>
        </is>
      </c>
      <c r="C61" s="24" t="inlineStr">
        <is>
          <t>2026-09-11T09:30:00Z</t>
        </is>
      </c>
      <c r="D61" s="24" t="inlineStr">
        <is>
          <t>106736</t>
        </is>
      </c>
      <c r="E61" s="24" t="inlineStr">
        <is>
          <t>KBO</t>
        </is>
      </c>
      <c r="F61" s="24" t="inlineStr">
        <is>
          <t>KT Wiz</t>
        </is>
      </c>
      <c r="G61" s="24" t="inlineStr">
        <is>
          <t>Lotte Giants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-150</v>
      </c>
      <c r="M61" s="27" t="n">
        <v>1.666667</v>
      </c>
      <c r="N61" s="28" t="n">
        <v>0.6</v>
      </c>
      <c r="O61" s="28" t="n">
        <v>0.583875</v>
      </c>
      <c r="P61" s="28" t="n"/>
      <c r="Q61" s="28" t="n">
        <v>-0.016125</v>
      </c>
      <c r="R61" s="26" t="n">
        <v>12</v>
      </c>
      <c r="S61" s="29" t="n">
        <v>1</v>
      </c>
      <c r="T61" s="24" t="inlineStr">
        <is>
          <t>kbo-tie-aware-elo-v2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</v>
      </c>
      <c r="Y61" s="25" t="n"/>
      <c r="Z61" s="26" t="n">
        <v>-150</v>
      </c>
      <c r="AA61" s="28" t="n">
        <v>0.6</v>
      </c>
      <c r="AB61" s="28" t="n">
        <v>0</v>
      </c>
      <c r="AC61" s="30" t="n">
        <v>0.6667</v>
      </c>
      <c r="AD61" s="24" t="inlineStr">
        <is>
          <t>2026-09-11T16:02:37.080208Z</t>
        </is>
      </c>
      <c r="AE61" s="31" t="inlineStr">
        <is>
          <t>Tie-aware Elo baseline; executable ask 0.6000 (market_slug=aec-kbo-lgo-kwt-2026-09-11). Tie probability=0.0225.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KT Wiz</t>
        </is>
      </c>
      <c r="AQ61" s="24" t="inlineStr">
        <is>
          <t>KT Wiz</t>
        </is>
      </c>
      <c r="AR61" s="24" t="inlineStr">
        <is>
          <t>KT Wiz</t>
        </is>
      </c>
      <c r="AS61" s="24" t="inlineStr">
        <is>
          <t>Lotte Giants</t>
        </is>
      </c>
      <c r="AT61" s="24" t="inlineStr">
        <is>
          <t>Lotte Giants</t>
        </is>
      </c>
      <c r="AU61" s="24" t="inlineStr">
        <is>
          <t>Lotte Giants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fc1bc79716bd2981eaa4121e9461ac18fb8c90c5d5c7b019cae168500c215b8f</t>
        </is>
      </c>
      <c r="BB61" s="24" t="inlineStr">
        <is>
          <t>tie_aware_elo</t>
        </is>
      </c>
      <c r="BC61" s="24" t="inlineStr">
        <is>
          <t>kbo-tie-aware-elo-v2</t>
        </is>
      </c>
      <c r="BD61" s="24" t="inlineStr">
        <is>
          <t>fc1bc79716bd2981eaa4121e9461ac18fb8c90c5d5c7b019cae168500c215b8f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kbo-tie-aware-elo-v2</t>
        </is>
      </c>
      <c r="BH61" s="24" t="inlineStr">
        <is>
          <t>2026-09-11T04:33:55.246533Z</t>
        </is>
      </c>
      <c r="BI61" s="24" t="inlineStr">
        <is>
          <t>["same_event","same_team_same_day","same_league_same_day"]</t>
        </is>
      </c>
      <c r="BJ61" s="25" t="n"/>
      <c r="BK61" s="26" t="n">
        <v>-150</v>
      </c>
      <c r="BL61" s="27" t="n">
        <v>1.666667</v>
      </c>
      <c r="BM61" s="28" t="n">
        <v>0.6</v>
      </c>
      <c r="BN61" s="28" t="n"/>
      <c r="BO61" s="28" t="n"/>
      <c r="BP61" s="25" t="n"/>
      <c r="BQ61" s="27" t="n">
        <v>1.666667</v>
      </c>
      <c r="BR61" s="28" t="n">
        <v>0.6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"fc1bc79716bd2981eaa4121e9461ac18fb8c90c5d5c7b019cae168500c215b8f", "away_team": "KT Wiz", "draw_settlement_value": 0.5, "event_id": "106736", "event_start_utc": "2026-09-11T09:30:00Z", "features": {"away_elo": 1551.093517, "base_tie_rate": 0.02247975, "home_advantage": 20.0, "home_elo": 1470.874814}, "historical_source_observation_times_verified": false, "home_team": "Lotte Giants", "inference_inputs": {"away_id": "KT", "base_tie_rate": 0.02247975, "book_state": {"_games_played": null, "_last_active": null, "decay_rate": 0.001, "home_advantage": 20.0, "k": 8.0, "margin_weight": 0.0, "ratings": {"KT": 1551.093517, "LOTTE": 1470.874814}},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"2026-09-11T04:33:54.904885+00:00", "outcome_probabilities": {"away": 0.572635450115568, "draw": 0.02247975, "home": 0.4048847998844319}, "replay_scope": "Exact Elo and tie model; logged value is expected contract settlement, not outright win probability.", "schema": "international-elo-replay-v1", "settlement_values": {"away": 0.583875, "home": 0.416125}, "snapshot_hash": "6fce285ddf192410082a13e9315eb6d06dcc470964f341cfbbe8a5b48a04218b", "sport": "KBO"}</t>
        </is>
      </c>
    </row>
    <row r="62" ht="36" customHeight="1">
      <c r="A62" s="24" t="inlineStr">
        <is>
          <t>faa2ce65cc6949a0</t>
        </is>
      </c>
      <c r="B62" s="24" t="inlineStr">
        <is>
          <t>2026-09-12T04:37:57.065538Z</t>
        </is>
      </c>
      <c r="C62" s="24" t="inlineStr">
        <is>
          <t>2026-09-12T08:00:00Z</t>
        </is>
      </c>
      <c r="D62" s="24" t="inlineStr">
        <is>
          <t>107851</t>
        </is>
      </c>
      <c r="E62" s="24" t="inlineStr">
        <is>
          <t>KBO</t>
        </is>
      </c>
      <c r="F62" s="24" t="inlineStr">
        <is>
          <t>Kia Tigers</t>
        </is>
      </c>
      <c r="G62" s="24" t="inlineStr">
        <is>
          <t>KT Wiz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0.5718839999999999</v>
      </c>
      <c r="P62" s="28" t="n"/>
      <c r="Q62" s="28" t="n">
        <v>0.032713</v>
      </c>
      <c r="R62" s="26" t="n">
        <v>36</v>
      </c>
      <c r="S62" s="29" t="n">
        <v>1</v>
      </c>
      <c r="T62" s="24" t="inlineStr">
        <is>
          <t>kbo-tie-aware-elo-v2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/>
      <c r="Z62" s="26" t="n">
        <v>-117</v>
      </c>
      <c r="AA62" s="28" t="n">
        <v>0.54</v>
      </c>
      <c r="AB62" s="28" t="n">
        <v>0.000829</v>
      </c>
      <c r="AC62" s="30" t="n">
        <v>0.8547</v>
      </c>
      <c r="AD62" s="24" t="inlineStr">
        <is>
          <t>2026-09-12T16:02:47.062037Z</t>
        </is>
      </c>
      <c r="AE62" s="31" t="inlineStr">
        <is>
          <t>Tie-aware Elo baseline; executable ask 0.5400 (market_slug=aec-kbo-kwt-kti-2026-09-12). Tie probability=0.0225.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Kia Tigers</t>
        </is>
      </c>
      <c r="AQ62" s="24" t="inlineStr">
        <is>
          <t>Kia Tigers</t>
        </is>
      </c>
      <c r="AR62" s="24" t="inlineStr">
        <is>
          <t>Kia Tigers</t>
        </is>
      </c>
      <c r="AS62" s="24" t="inlineStr">
        <is>
          <t>KT Wiz</t>
        </is>
      </c>
      <c r="AT62" s="24" t="inlineStr">
        <is>
          <t>KT Wiz</t>
        </is>
      </c>
      <c r="AU62" s="24" t="inlineStr">
        <is>
          <t>KT Wiz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652b47b2d1161d2b09e6f4440549ae1e4b0184982177fa816b0fc311905d9dbf</t>
        </is>
      </c>
      <c r="BB62" s="24" t="inlineStr">
        <is>
          <t>tie_aware_elo</t>
        </is>
      </c>
      <c r="BC62" s="24" t="inlineStr">
        <is>
          <t>kbo-tie-aware-elo-v2</t>
        </is>
      </c>
      <c r="BD62" s="24" t="inlineStr">
        <is>
          <t>652b47b2d1161d2b09e6f4440549ae1e4b0184982177fa816b0fc311905d9dbf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kbo-tie-aware-elo-v2</t>
        </is>
      </c>
      <c r="BH62" s="24" t="inlineStr">
        <is>
          <t>2026-09-12T04:37:56.945135Z</t>
        </is>
      </c>
      <c r="BI62" s="24" t="inlineStr">
        <is>
          <t>["same_event","same_team_same_day","same_league_same_day"]</t>
        </is>
      </c>
      <c r="BJ62" s="25" t="n"/>
      <c r="BK62" s="26" t="n">
        <v>-117</v>
      </c>
      <c r="BL62" s="27" t="n">
        <v>1.854701</v>
      </c>
      <c r="BM62" s="28" t="n">
        <v>0.539171</v>
      </c>
      <c r="BN62" s="28" t="n"/>
      <c r="BO62" s="28" t="n"/>
      <c r="BP62" s="25" t="n"/>
      <c r="BQ62" s="27" t="n">
        <v>1.854701</v>
      </c>
      <c r="BR62" s="28" t="n">
        <v>0.54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0.539171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"652b47b2d1161d2b09e6f4440549ae1e4b0184982177fa816b0fc311905d9dbf", "away_team": "Kia Tigers", "draw_settlement_value": 0.5, "event_id": "107851", "event_start_utc": "2026-09-12T08:00:00Z", "features": {"away_elo": 1522.884369, "base_tie_rate": 0.02246721, "home_advantage": 20.0, "home_elo": 1554.355991}, "historical_source_observation_times_verified": false, "home_team": "KT Wiz", "inference_inputs": {"away_id": "KIA", "base_tie_rate": 0.02246721, "book_state": {"_games_played": null, "_last_active": null, "decay_rate": 0.001, "home_advantage": 20.0, "k": 8.0, "margin_weight": 0.0, "ratings": {"KIA": 1522.884369, "KT": 1554.355991}},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"2026-09-12T04:37:56.818555+00:00", "outcome_probabilities": {"away": 0.41688213198827523, "draw": 0.02246721, "home": 0.5606506580117248}, "replay_scope": "Exact Elo and tie model; logged value is expected contract settlement, not outright win probability.", "schema": "international-elo-replay-v1", "settlement_values": {"away": 0.428116, "home": 0.571884}, "snapshot_hash": "2d48aace15cb21814920bbaa3a5b59d1502cfa80f2a6e421ea48a6833d320106", "sport": "KBO"}</t>
        </is>
      </c>
    </row>
    <row r="63" ht="36" customHeight="1">
      <c r="A63" s="24" t="inlineStr">
        <is>
          <t>b69a9b8f79f74718</t>
        </is>
      </c>
      <c r="B63" s="24" t="inlineStr">
        <is>
          <t>2026-09-12T04:37:57.065538Z</t>
        </is>
      </c>
      <c r="C63" s="24" t="inlineStr">
        <is>
          <t>2026-09-12T08:00:00Z</t>
        </is>
      </c>
      <c r="D63" s="24" t="inlineStr">
        <is>
          <t>107855</t>
        </is>
      </c>
      <c r="E63" s="24" t="inlineStr">
        <is>
          <t>KBO</t>
        </is>
      </c>
      <c r="F63" s="24" t="inlineStr">
        <is>
          <t>Lotte Giants</t>
        </is>
      </c>
      <c r="G63" s="24" t="inlineStr">
        <is>
          <t>Kiwoom Heroes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0.514396</v>
      </c>
      <c r="P63" s="28" t="n"/>
      <c r="Q63" s="28" t="n">
        <v>-0.024775</v>
      </c>
      <c r="R63" s="26" t="n">
        <v>8</v>
      </c>
      <c r="S63" s="29" t="n">
        <v>1</v>
      </c>
      <c r="T63" s="24" t="inlineStr">
        <is>
          <t>kbo-tie-aware-elo-v2</t>
        </is>
      </c>
      <c r="U63" s="24" t="inlineStr">
        <is>
          <t>settled</t>
        </is>
      </c>
      <c r="V63" s="24" t="inlineStr">
        <is>
          <t>win</t>
        </is>
      </c>
      <c r="W63" s="26" t="n">
        <v>8</v>
      </c>
      <c r="X63" s="26" t="n">
        <v>0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2026-09-12T16:02:47.178887Z</t>
        </is>
      </c>
      <c r="AE63" s="31" t="inlineStr">
        <is>
          <t>Tie-aware Elo baseline; executable ask 0.5400 (market_slug=aec-kbo-khi-lgo-2026-09-12). Tie probability=0.0225.</t>
        </is>
      </c>
      <c r="AF63" s="31" t="inlineStr">
        <is>
          <t>Config-promoted international baseball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Lotte Giants</t>
        </is>
      </c>
      <c r="AQ63" s="24" t="inlineStr">
        <is>
          <t>Lotte Giants</t>
        </is>
      </c>
      <c r="AR63" s="24" t="inlineStr">
        <is>
          <t>Lotte Giants</t>
        </is>
      </c>
      <c r="AS63" s="24" t="inlineStr">
        <is>
          <t>Kiwoom Heroes</t>
        </is>
      </c>
      <c r="AT63" s="24" t="inlineStr">
        <is>
          <t>Kiwoom Heroes</t>
        </is>
      </c>
      <c r="AU63" s="24" t="inlineStr">
        <is>
          <t>Kiwoom Heroes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652b47b2d1161d2b09e6f4440549ae1e4b0184982177fa816b0fc311905d9dbf</t>
        </is>
      </c>
      <c r="BB63" s="24" t="inlineStr">
        <is>
          <t>tie_aware_elo</t>
        </is>
      </c>
      <c r="BC63" s="24" t="inlineStr">
        <is>
          <t>kbo-tie-aware-elo-v2</t>
        </is>
      </c>
      <c r="BD63" s="24" t="inlineStr">
        <is>
          <t>652b47b2d1161d2b09e6f4440549ae1e4b0184982177fa816b0fc311905d9dbf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kbo-tie-aware-elo-v2</t>
        </is>
      </c>
      <c r="BH63" s="24" t="inlineStr">
        <is>
          <t>2026-09-12T04:37:57.003668Z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"652b47b2d1161d2b09e6f4440549ae1e4b0184982177fa816b0fc311905d9dbf", "away_team": "Lotte Giants", "draw_settlement_value": 0.5, "event_id": "107855", "event_start_utc": "2026-09-12T08:00:00Z", "features": {"away_elo": 1467.590372, "base_tie_rate": 0.02246721, "home_advantage": 20.0, "home_elo": 1437.354044}, "historical_source_observation_times_verified": false, "home_team": "Kiwoom Heroes", "inference_inputs": {"away_id": "LOTTE", "base_tie_rate": 0.02246721, "book_state": {"_games_played": null, "_last_active": null, "decay_rate": 0.001, "home_advantage": 20.0, "k": 8.0, "margin_weight": 0.0, "ratings": {"KIWOOM": 1437.354044, "LOTTE": 1467.590372}},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"2026-09-12T04:37:56.818555+00:00", "outcome_probabilities": {"away": 0.5031625196166047, "draw": 0.02246721, "home": 0.4743702703833953}, "replay_scope": "Exact Elo and tie model; logged value is expected contract settlement, not outright win probability.", "schema": "international-elo-replay-v1", "settlement_values": {"away": 0.514396, "home": 0.485604}, "snapshot_hash": "2c42a804ed00653a5623ddc39e57db0d7c293db635e6e51c797aa006532cf26e", "sport": "KBO"}</t>
        </is>
      </c>
    </row>
    <row r="64" ht="36" customHeight="1">
      <c r="A64" s="24" t="inlineStr">
        <is>
          <t>d56fbccec67648d3</t>
        </is>
      </c>
      <c r="B64" s="24" t="inlineStr">
        <is>
          <t>2026-09-12T04:37:57.065538Z</t>
        </is>
      </c>
      <c r="C64" s="24" t="inlineStr">
        <is>
          <t>2026-09-12T08:00:00Z</t>
        </is>
      </c>
      <c r="D64" s="24" t="inlineStr">
        <is>
          <t>107856</t>
        </is>
      </c>
      <c r="E64" s="24" t="inlineStr">
        <is>
          <t>KBO</t>
        </is>
      </c>
      <c r="F64" s="24" t="inlineStr">
        <is>
          <t>LG Twins</t>
        </is>
      </c>
      <c r="G64" s="24" t="inlineStr">
        <is>
          <t>Samsung Lions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-138</v>
      </c>
      <c r="M64" s="27" t="n">
        <v>1.724638</v>
      </c>
      <c r="N64" s="28" t="n">
        <v>0.579832</v>
      </c>
      <c r="O64" s="28" t="n">
        <v>0.582906</v>
      </c>
      <c r="P64" s="28" t="n"/>
      <c r="Q64" s="28" t="n">
        <v>0.003074</v>
      </c>
      <c r="R64" s="26" t="n">
        <v>22</v>
      </c>
      <c r="S64" s="29" t="n">
        <v>1</v>
      </c>
      <c r="T64" s="24" t="inlineStr">
        <is>
          <t>kbo-tie-aware-elo-v2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3</v>
      </c>
      <c r="Y64" s="25" t="n"/>
      <c r="Z64" s="26" t="n">
        <v>-138</v>
      </c>
      <c r="AA64" s="28" t="n">
        <v>0.58</v>
      </c>
      <c r="AB64" s="28" t="n">
        <v>0.000168</v>
      </c>
      <c r="AC64" s="30" t="n">
        <v>-1</v>
      </c>
      <c r="AD64" s="24" t="inlineStr">
        <is>
          <t>2026-09-12T16:02:47.263280Z</t>
        </is>
      </c>
      <c r="AE64" s="31" t="inlineStr">
        <is>
          <t>Tie-aware Elo baseline; executable ask 0.5800 (market_slug=aec-kbo-sla-ltg-2026-09-12). Tie probability=0.0225.</t>
        </is>
      </c>
      <c r="AF64" s="31" t="inlineStr">
        <is>
          <t>Config-promoted international baseball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LG Twins</t>
        </is>
      </c>
      <c r="AQ64" s="24" t="inlineStr">
        <is>
          <t>LG Twins</t>
        </is>
      </c>
      <c r="AR64" s="24" t="inlineStr">
        <is>
          <t>LG Twins</t>
        </is>
      </c>
      <c r="AS64" s="24" t="inlineStr">
        <is>
          <t>Samsung Lions</t>
        </is>
      </c>
      <c r="AT64" s="24" t="inlineStr">
        <is>
          <t>Samsung Lions</t>
        </is>
      </c>
      <c r="AU64" s="24" t="inlineStr">
        <is>
          <t>Samsung Lions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652b47b2d1161d2b09e6f4440549ae1e4b0184982177fa816b0fc311905d9dbf</t>
        </is>
      </c>
      <c r="BB64" s="24" t="inlineStr">
        <is>
          <t>tie_aware_elo</t>
        </is>
      </c>
      <c r="BC64" s="24" t="inlineStr">
        <is>
          <t>kbo-tie-aware-elo-v2</t>
        </is>
      </c>
      <c r="BD64" s="24" t="inlineStr">
        <is>
          <t>652b47b2d1161d2b09e6f4440549ae1e4b0184982177fa816b0fc311905d9dbf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kbo-tie-aware-elo-v2</t>
        </is>
      </c>
      <c r="BH64" s="24" t="inlineStr">
        <is>
          <t>2026-09-12T04:37:57.065501Z</t>
        </is>
      </c>
      <c r="BI64" s="24" t="inlineStr">
        <is>
          <t>["same_event","same_team_same_day","same_league_same_day"]</t>
        </is>
      </c>
      <c r="BJ64" s="25" t="n"/>
      <c r="BK64" s="26" t="n">
        <v>-138</v>
      </c>
      <c r="BL64" s="27" t="n">
        <v>1.724638</v>
      </c>
      <c r="BM64" s="28" t="n">
        <v>0.579832</v>
      </c>
      <c r="BN64" s="28" t="n"/>
      <c r="BO64" s="28" t="n"/>
      <c r="BP64" s="25" t="n"/>
      <c r="BQ64" s="27" t="n">
        <v>1.724638</v>
      </c>
      <c r="BR64" s="28" t="n">
        <v>0.58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0.579832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"652b47b2d1161d2b09e6f4440549ae1e4b0184982177fa816b0fc311905d9dbf", "away_team": "LG Twins", "draw_settlement_value": 0.5, "event_id": "107856", "event_start_utc": "2026-09-12T08:00:00Z", "features": {"away_elo": 1510.513877, "base_tie_rate": 0.02246721, "home_advantage": 20.0, "home_elo": 1550.021806}, "historical_source_observation_times_verified": false, "home_team": "Samsung Lions", "inference_inputs": {"away_id": "LG", "base_tie_rate": 0.02246721, "book_state": {"_games_played": null, "_last_active": null, "decay_rate": 0.001, "home_advantage": 20.0, "k": 8.0, "margin_weight": 0.0, "ratings": {"LG": 1510.513877, "SAMSUNG": 1550.021806}},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"2026-09-12T04:37:56.818555+00:00", "outcome_probabilities": {"away": 0.40586079135947295, "draw": 0.02246721, "home": 0.5716719986405271}, "replay_scope": "Exact Elo and tie model; logged value is expected contract settlement, not outright win probability.", "schema": "international-elo-replay-v1", "settlement_values": {"away": 0.417094, "home": 0.582906}, "snapshot_hash": "08029d9b3c53da3fec650b7b8d12ef42d27666f5026cc06618de93492058a0d0", "sport": "KBO"}</t>
        </is>
      </c>
    </row>
    <row r="65" ht="36" customHeight="1">
      <c r="A65" s="24" t="inlineStr">
        <is>
          <t>121487a3a47d4fa7</t>
        </is>
      </c>
      <c r="B65" s="24" t="inlineStr">
        <is>
          <t>2026-09-13T05:00:47.380864Z</t>
        </is>
      </c>
      <c r="C65" s="24" t="inlineStr">
        <is>
          <t>2026-09-13T08:00:00Z</t>
        </is>
      </c>
      <c r="D65" s="24" t="inlineStr">
        <is>
          <t>108700</t>
        </is>
      </c>
      <c r="E65" s="24" t="inlineStr">
        <is>
          <t>KBO</t>
        </is>
      </c>
      <c r="F65" s="24" t="inlineStr">
        <is>
          <t>Lotte Giants</t>
        </is>
      </c>
      <c r="G65" s="24" t="inlineStr">
        <is>
          <t>KT Wiz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-213</v>
      </c>
      <c r="M65" s="27" t="n">
        <v>1.469484</v>
      </c>
      <c r="N65" s="28" t="n">
        <v>0.680511</v>
      </c>
      <c r="O65" s="28" t="n">
        <v>0.644844</v>
      </c>
      <c r="P65" s="28" t="n"/>
      <c r="Q65" s="28" t="n">
        <v>-0.035667</v>
      </c>
      <c r="R65" s="26" t="n">
        <v>2</v>
      </c>
      <c r="S65" s="29" t="n">
        <v>1</v>
      </c>
      <c r="T65" s="24" t="inlineStr">
        <is>
          <t>kbo-tie-aware-elo-v2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/>
      <c r="AA65" s="28" t="n"/>
      <c r="AB65" s="28" t="n"/>
      <c r="AC65" s="30" t="n">
        <v>0.4695</v>
      </c>
      <c r="AD65" s="24" t="inlineStr">
        <is>
          <t>2026-09-13T16:02:31.450076Z</t>
        </is>
      </c>
      <c r="AE65" s="31" t="inlineStr">
        <is>
          <t>Tie-aware Elo baseline; executable ask 0.6800 (market_slug=aec-kbo-kwt-lgo-2026-09-13). Tie probability=0.0225.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Lotte Giants</t>
        </is>
      </c>
      <c r="AQ65" s="24" t="inlineStr">
        <is>
          <t>Lotte Giants</t>
        </is>
      </c>
      <c r="AR65" s="24" t="inlineStr">
        <is>
          <t>Lotte Giants</t>
        </is>
      </c>
      <c r="AS65" s="24" t="inlineStr">
        <is>
          <t>KT Wiz</t>
        </is>
      </c>
      <c r="AT65" s="24" t="inlineStr">
        <is>
          <t>KT Wiz</t>
        </is>
      </c>
      <c r="AU65" s="24" t="inlineStr">
        <is>
          <t>KT Wiz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e99d6364c6000ce2543ca9d173835c8949fa6c48e2a788d6f99857d1a36094f6</t>
        </is>
      </c>
      <c r="BB65" s="24" t="inlineStr">
        <is>
          <t>tie_aware_elo</t>
        </is>
      </c>
      <c r="BC65" s="24" t="inlineStr">
        <is>
          <t>kbo-tie-aware-elo-v2</t>
        </is>
      </c>
      <c r="BD65" s="24" t="inlineStr">
        <is>
          <t>e99d6364c6000ce2543ca9d173835c8949fa6c48e2a788d6f99857d1a36094f6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kbo-tie-aware-elo-v2</t>
        </is>
      </c>
      <c r="BH65" s="24" t="inlineStr">
        <is>
          <t>2026-09-13T05:00:47.380822Z</t>
        </is>
      </c>
      <c r="BI65" s="24" t="inlineStr">
        <is>
          <t>["same_event","same_team_same_day","same_league_same_day"]</t>
        </is>
      </c>
      <c r="BJ65" s="25" t="n"/>
      <c r="BK65" s="26" t="n">
        <v>-213</v>
      </c>
      <c r="BL65" s="27" t="n">
        <v>1.469484</v>
      </c>
      <c r="BM65" s="28" t="n">
        <v>0.680511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0.680511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"e99d6364c6000ce2543ca9d173835c8949fa6c48e2a788d6f99857d1a36094f6", "away_team": "Lotte Giants", "draw_settlement_value": 0.5, "event_id": "108700", "event_start_utc": "2026-09-13T08:00:00Z", "features": {"away_elo": 1471.569688, "base_tie_rate": 0.02245467, "home_advantage": 20.0, "home_elo": 1557.713343}, "historical_source_observation_times_verified": false, "home_team": "KT Wiz", "inference_inputs": {"away_id": "LOTTE", "base_tie_rate": 0.02245467, "book_state": {"_games_played": null, "_last_active": null, "decay_rate": 0.001, "home_advantage": 20.0, "k": 8.0, "margin_weight": 0.0, "ratings": {"KT": 1557.713343, "LOTTE": 1471.569688}},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"2026-09-13T05:00:37.147239+00:00", "outcome_probabilities": {"away": 0.34392819268014524, "draw": 0.02245467, "home": 0.6336171373198548}, "replay_scope": "Exact Elo and tie model; logged value is expected contract settlement, not outright win probability.", "schema": "international-elo-replay-v1", "settlement_values": {"away": 0.355156, "home": 0.644844}, "snapshot_hash": "9efd7e22138dbc320dd1b44b40b35245f5510a218e6d82ce85270b2d5ccb31ad", "sport": "KBO"}</t>
        </is>
      </c>
    </row>
    <row r="66" ht="36" customHeight="1">
      <c r="A66" s="24" t="inlineStr">
        <is>
          <t>43353678840d440b</t>
        </is>
      </c>
      <c r="B66" s="24" t="inlineStr">
        <is>
          <t>2026-09-15T04:39:55.296063Z</t>
        </is>
      </c>
      <c r="C66" s="24" t="inlineStr">
        <is>
          <t>2026-09-15T09:30:00Z</t>
        </is>
      </c>
      <c r="D66" s="24" t="inlineStr">
        <is>
          <t>110199</t>
        </is>
      </c>
      <c r="E66" s="24" t="inlineStr">
        <is>
          <t>KBO</t>
        </is>
      </c>
      <c r="F66" s="24" t="inlineStr">
        <is>
          <t>Kia Tigers</t>
        </is>
      </c>
      <c r="G66" s="24" t="inlineStr">
        <is>
          <t>SSG Landers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0.517045</v>
      </c>
      <c r="P66" s="28" t="n"/>
      <c r="Q66" s="28" t="n">
        <v>-0.022126</v>
      </c>
      <c r="R66" s="26" t="n">
        <v>9</v>
      </c>
      <c r="S66" s="29" t="n">
        <v>1</v>
      </c>
      <c r="T66" s="24" t="inlineStr">
        <is>
          <t>kbo-tie-aware-elo-v2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6</v>
      </c>
      <c r="Y66" s="25" t="n"/>
      <c r="Z66" s="26" t="n"/>
      <c r="AA66" s="28" t="n"/>
      <c r="AB66" s="28" t="n"/>
      <c r="AC66" s="30" t="n">
        <v>-1</v>
      </c>
      <c r="AD66" s="24" t="inlineStr">
        <is>
          <t>2026-09-15T16:06:20.850581Z</t>
        </is>
      </c>
      <c r="AE66" s="31" t="inlineStr">
        <is>
          <t>Tie-aware Elo baseline; executable ask 0.5400 (market_slug=aec-kbo-sls-kti-2026-09-15). Tie probability=0.0323.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Kia Tigers</t>
        </is>
      </c>
      <c r="AQ66" s="24" t="inlineStr">
        <is>
          <t>Kia Tigers</t>
        </is>
      </c>
      <c r="AR66" s="24" t="inlineStr">
        <is>
          <t>Kia Tigers</t>
        </is>
      </c>
      <c r="AS66" s="24" t="inlineStr">
        <is>
          <t>SSG Landers</t>
        </is>
      </c>
      <c r="AT66" s="24" t="inlineStr">
        <is>
          <t>SSG Landers</t>
        </is>
      </c>
      <c r="AU66" s="24" t="inlineStr">
        <is>
          <t>SSG Landers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784f6c2c2c8a2c8259ace2558d46888fc11aa074755a1fba98afd0bf80e2a5ae</t>
        </is>
      </c>
      <c r="BB66" s="24" t="inlineStr">
        <is>
          <t>tie_aware_elo</t>
        </is>
      </c>
      <c r="BC66" s="24" t="inlineStr">
        <is>
          <t>kbo-tie-aware-elo-v2</t>
        </is>
      </c>
      <c r="BD66" s="24" t="inlineStr">
        <is>
          <t>784f6c2c2c8a2c8259ace2558d46888fc11aa074755a1fba98afd0bf80e2a5ae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kbo-tie-aware-elo-v2</t>
        </is>
      </c>
      <c r="BH66" s="24" t="inlineStr">
        <is>
          <t>2026-09-15T04:39:55.240197Z</t>
        </is>
      </c>
      <c r="BI66" s="24" t="inlineStr">
        <is>
          <t>["same_event","same_team_same_day","same_league_same_day"]</t>
        </is>
      </c>
      <c r="BJ66" s="25" t="n"/>
      <c r="BK66" s="26" t="n">
        <v>-117</v>
      </c>
      <c r="BL66" s="27" t="n">
        <v>1.854701</v>
      </c>
      <c r="BM66" s="28" t="n">
        <v>0.539171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0.539171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"784f6c2c2c8a2c8259ace2558d46888fc11aa074755a1fba98afd0bf80e2a5ae", "away_team": "Kia Tigers", "draw_settlement_value": 0.5, "event_id": "110199", "event_start_utc": "2026-09-15T09:30:00Z", "features": {"away_elo": 1522.610772, "base_tie_rate": 0.02244215, "home_advantage": 20.0, "home_elo": 1490.366298}, "historical_source_observation_times_verified": false, "home_team": "SSG Landers", "inference_inputs": {"away_id": "KIA", "base_tie_rate": 0.02244215, "book_state": {"_games_played": null, "_last_active": null, "decay_rate": 0.001, "home_advantage": 20.0, "k": 8.0, "margin_weight": 0.0, "ratings": {"KIA": 1522.610772, "SSG": 1490.366298}}, "code_sha256": {"features/elo_ratings.py": "8525faf022a6343c452286dbfeb17dbb043744c6bdabbe448b6b371216da439b", "international_baseball.py": "f345eb917316d2e897f62c1cdd0f73153115c65da54c30c6137ad76bb7b27869"}, "home_id": "SSG", "tie_method": "elo_gap"}, "market_type": "moneyline", "model_version": "kbo-tie-aware-elo-v2", "observed_at_utc": "2026-09-15T04:39:53.494436+00:00", "outcome_probabilities": {"away": 0.5009005505472034, "draw": 0.0322892633891045, "home": 0.4668101860636921}, "replay_scope": "Exact Elo and tie model; logged value is expected contract settlement, not outright win probability.", "schema": "international-elo-replay-v1", "settlement_values": {"away": 0.517045, "home": 0.482955}, "snapshot_hash": "49d527cfb62fc147421df1fde121584a1a9acc12ee403656dbe9db044479719c", "sport": "KBO"}</t>
        </is>
      </c>
    </row>
    <row r="67" ht="36" customHeight="1">
      <c r="A67" s="24" t="inlineStr">
        <is>
          <t>03c646dc9c9e46a2</t>
        </is>
      </c>
      <c r="B67" s="24" t="inlineStr">
        <is>
          <t>2026-09-15T04:39:55.296063Z</t>
        </is>
      </c>
      <c r="C67" s="24" t="inlineStr">
        <is>
          <t>2026-09-15T09:30:00Z</t>
        </is>
      </c>
      <c r="D67" s="24" t="inlineStr">
        <is>
          <t>110198</t>
        </is>
      </c>
      <c r="E67" s="24" t="inlineStr">
        <is>
          <t>KBO</t>
        </is>
      </c>
      <c r="F67" s="24" t="inlineStr">
        <is>
          <t>LG Twins</t>
        </is>
      </c>
      <c r="G67" s="24" t="inlineStr">
        <is>
          <t>NC Dinos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156</v>
      </c>
      <c r="M67" s="27" t="n">
        <v>2.56</v>
      </c>
      <c r="N67" s="28" t="n">
        <v>0.390625</v>
      </c>
      <c r="O67" s="28" t="n">
        <v>0.516195</v>
      </c>
      <c r="P67" s="28" t="n"/>
      <c r="Q67" s="28" t="n">
        <v>0.12557</v>
      </c>
      <c r="R67" s="26" t="n">
        <v>83</v>
      </c>
      <c r="S67" s="29" t="n">
        <v>1.5</v>
      </c>
      <c r="T67" s="24" t="inlineStr">
        <is>
          <t>kbo-tie-aware-elo-v2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2</v>
      </c>
      <c r="Y67" s="25" t="n"/>
      <c r="Z67" s="26" t="n"/>
      <c r="AA67" s="28" t="n"/>
      <c r="AB67" s="28" t="n"/>
      <c r="AC67" s="30" t="n">
        <v>-1.5</v>
      </c>
      <c r="AD67" s="24" t="inlineStr">
        <is>
          <t>2026-09-15T16:06:21.264060Z</t>
        </is>
      </c>
      <c r="AE67" s="31" t="inlineStr">
        <is>
          <t>Tie-aware Elo baseline; executable ask 0.3900 (market_slug=aec-kbo-ndc-ltg-2026-09-15). Tie probability=0.0324.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LG Twins</t>
        </is>
      </c>
      <c r="AQ67" s="24" t="inlineStr">
        <is>
          <t>LG Twins</t>
        </is>
      </c>
      <c r="AR67" s="24" t="inlineStr">
        <is>
          <t>LG Twins</t>
        </is>
      </c>
      <c r="AS67" s="24" t="inlineStr">
        <is>
          <t>NC Dinos</t>
        </is>
      </c>
      <c r="AT67" s="24" t="inlineStr">
        <is>
          <t>NC Dinos</t>
        </is>
      </c>
      <c r="AU67" s="24" t="inlineStr">
        <is>
          <t>NC Dinos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784f6c2c2c8a2c8259ace2558d46888fc11aa074755a1fba98afd0bf80e2a5ae</t>
        </is>
      </c>
      <c r="BB67" s="24" t="inlineStr">
        <is>
          <t>tie_aware_elo</t>
        </is>
      </c>
      <c r="BC67" s="24" t="inlineStr">
        <is>
          <t>kbo-tie-aware-elo-v2</t>
        </is>
      </c>
      <c r="BD67" s="24" t="inlineStr">
        <is>
          <t>784f6c2c2c8a2c8259ace2558d46888fc11aa074755a1fba98afd0bf80e2a5ae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kbo-tie-aware-elo-v2</t>
        </is>
      </c>
      <c r="BH67" s="24" t="inlineStr">
        <is>
          <t>2026-09-15T04:39:55.295773Z</t>
        </is>
      </c>
      <c r="BI67" s="24" t="inlineStr">
        <is>
          <t>["same_event","same_team_same_day","same_league_same_day"]</t>
        </is>
      </c>
      <c r="BJ67" s="25" t="n"/>
      <c r="BK67" s="26" t="n">
        <v>156</v>
      </c>
      <c r="BL67" s="27" t="n">
        <v>2.56</v>
      </c>
      <c r="BM67" s="28" t="n">
        <v>0.390625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0.390625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"784f6c2c2c8a2c8259ace2558d46888fc11aa074755a1fba98afd0bf80e2a5ae", "away_team": "LG Twins", "draw_settlement_value": 0.5, "event_id": "110198", "event_start_utc": "2026-09-15T09:30:00Z", "features": {"away_elo": 1519.672186, "base_tie_rate": 0.02244215, "home_advantage": 20.0, "home_elo": 1511.306545}, "historical_source_observation_times_verified": false, "home_team": "NC Dinos", "inference_inputs": {"away_id": "LG", "base_tie_rate": 0.02244215, "book_state": {"_games_played": null, "_last_active": null, "decay_rate": 0.001, "home_advantage": 20.0, "k": 8.0, "margin_weight": 0.0, "ratings": {"LG": 1519.672186, "NC": 1511.306545}},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"2026-09-15T04:39:53.494436+00:00", "outcome_probabilities": {"away": 0.4676257735980906, "draw": 0.03235772485084076, "home": 0.5000165015510686}, "replay_scope": "Exact Elo and tie model; logged value is expected contract settlement, not outright win probability.", "schema": "international-elo-replay-v1", "settlement_values": {"away": 0.483805, "home": 0.516195}, "snapshot_hash": "58d6d37123c35f6200ce25d813e8775ac29ec722c105c66ab23bd98564af7838", "sport": "KBO"}</t>
        </is>
      </c>
    </row>
    <row r="68" ht="36" customHeight="1">
      <c r="A68" s="24" t="inlineStr">
        <is>
          <t>4d029225bb704071</t>
        </is>
      </c>
      <c r="B68" s="24" t="inlineStr">
        <is>
          <t>2026-09-16T06:45:52.592652Z</t>
        </is>
      </c>
      <c r="C68" s="24" t="inlineStr">
        <is>
          <t>2026-09-16T09:30:00Z</t>
        </is>
      </c>
      <c r="D68" s="24" t="inlineStr">
        <is>
          <t>111427</t>
        </is>
      </c>
      <c r="E68" s="24" t="inlineStr">
        <is>
          <t>KBO</t>
        </is>
      </c>
      <c r="F68" s="24" t="inlineStr">
        <is>
          <t>LG Twins</t>
        </is>
      </c>
      <c r="G68" s="24" t="inlineStr">
        <is>
          <t>NC Dinos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108</v>
      </c>
      <c r="M68" s="27" t="n">
        <v>2.08</v>
      </c>
      <c r="N68" s="28" t="n">
        <v>0.480769</v>
      </c>
      <c r="O68" s="28" t="n">
        <v>0.504753</v>
      </c>
      <c r="P68" s="28" t="n"/>
      <c r="Q68" s="28" t="n">
        <v>0.023984</v>
      </c>
      <c r="R68" s="26" t="n">
        <v>32</v>
      </c>
      <c r="S68" s="29" t="n">
        <v>1</v>
      </c>
      <c r="T68" s="24" t="inlineStr">
        <is>
          <t>kbo-tie-aware-elo-v2</t>
        </is>
      </c>
      <c r="U68" s="24" t="inlineStr">
        <is>
          <t>settled</t>
        </is>
      </c>
      <c r="V68" s="24" t="inlineStr">
        <is>
          <t>loss</t>
        </is>
      </c>
      <c r="W68" s="26" t="n">
        <v>9</v>
      </c>
      <c r="X68" s="26" t="n">
        <v>2</v>
      </c>
      <c r="Y68" s="25" t="n"/>
      <c r="Z68" s="26" t="n"/>
      <c r="AA68" s="28" t="n"/>
      <c r="AB68" s="28" t="n"/>
      <c r="AC68" s="30" t="n">
        <v>-1</v>
      </c>
      <c r="AD68" s="24" t="inlineStr">
        <is>
          <t>2026-09-16T16:08:39.152967Z</t>
        </is>
      </c>
      <c r="AE68" s="31" t="inlineStr">
        <is>
          <t>Tie-aware Elo baseline; executable ask 0.4800 (market_slug=aec-kbo-ndc-ltg-2026-09-16). Tie probability=0.0333.</t>
        </is>
      </c>
      <c r="AF68" s="31" t="inlineStr">
        <is>
          <t>Config-promoted international baseball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LG Twins</t>
        </is>
      </c>
      <c r="AQ68" s="24" t="inlineStr">
        <is>
          <t>LG Twins</t>
        </is>
      </c>
      <c r="AR68" s="24" t="inlineStr">
        <is>
          <t>LG Twins</t>
        </is>
      </c>
      <c r="AS68" s="24" t="inlineStr">
        <is>
          <t>NC Dinos</t>
        </is>
      </c>
      <c r="AT68" s="24" t="inlineStr">
        <is>
          <t>NC Dinos</t>
        </is>
      </c>
      <c r="AU68" s="24" t="inlineStr">
        <is>
          <t>NC Dinos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0a836e08ec3d7c60321a9701322faf28944d7e3eb3df5060298723d5e3e1ff17</t>
        </is>
      </c>
      <c r="BB68" s="24" t="inlineStr">
        <is>
          <t>tie_aware_elo</t>
        </is>
      </c>
      <c r="BC68" s="24" t="inlineStr">
        <is>
          <t>kbo-tie-aware-elo-v2</t>
        </is>
      </c>
      <c r="BD68" s="24" t="inlineStr">
        <is>
          <t>0a836e08ec3d7c60321a9701322faf28944d7e3eb3df5060298723d5e3e1ff17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kbo-tie-aware-elo-v2</t>
        </is>
      </c>
      <c r="BH68" s="24" t="inlineStr">
        <is>
          <t>2026-09-16T06:45:52.503886Z</t>
        </is>
      </c>
      <c r="BI68" s="24" t="inlineStr">
        <is>
          <t>["same_event","same_team_same_day","same_league_same_day"]</t>
        </is>
      </c>
      <c r="BJ68" s="25" t="n"/>
      <c r="BK68" s="26" t="n">
        <v>108</v>
      </c>
      <c r="BL68" s="27" t="n">
        <v>2.08</v>
      </c>
      <c r="BM68" s="28" t="n">
        <v>0.480769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0.480769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"0a836e08ec3d7c60321a9701322faf28944d7e3eb3df5060298723d5e3e1ff17", "away_team": "LG Twins", "draw_settlement_value": 0.5, "event_id": "111427", "event_start_utc": "2026-09-16T09:30:00Z", "features": {"away_elo": 1523.688343, "base_tie_rate": 0.02242965, "home_advantage": 20.0, "home_elo": 1507.10498}, "historical_source_observation_times_verified": false, "home_team": "NC Dinos", "inference_inputs": {"away_id": "LG", "base_tie_rate": 0.02242965, "book_state": {"_games_played": null, "_last_active": null, "decay_rate": 0.001, "home_advantage": 20.0, "k": 8.0, "margin_weight": 0.0, "ratings": {"LG": 1523.688343, "NC": 1507.10498}},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"2026-09-16T06:45:42.021994+00:00", "outcome_probabilities": {"away": 0.4786161084647063, "draw": 0.03326130513956475, "home": 0.488122586395729}, "replay_scope": "Exact Elo and tie model; logged value is expected contract settlement, not outright win probability.", "schema": "international-elo-replay-v1", "settlement_values": {"away": 0.495247, "home": 0.504753}, "snapshot_hash": "bebf0bb35d5f37c0cebddfa4b4071e99db95bf5daaa535ada7ed901b2b676109", "sport": "KBO"}</t>
        </is>
      </c>
    </row>
    <row r="69" ht="36" customHeight="1">
      <c r="A69" s="24" t="inlineStr">
        <is>
          <t>f9d40e809c9c4147</t>
        </is>
      </c>
      <c r="B69" s="24" t="inlineStr">
        <is>
          <t>2026-09-16T06:45:52.592652Z</t>
        </is>
      </c>
      <c r="C69" s="24" t="inlineStr">
        <is>
          <t>2026-09-16T09:30:00Z</t>
        </is>
      </c>
      <c r="D69" s="24" t="inlineStr">
        <is>
          <t>111393</t>
        </is>
      </c>
      <c r="E69" s="24" t="inlineStr">
        <is>
          <t>KBO</t>
        </is>
      </c>
      <c r="F69" s="24" t="inlineStr">
        <is>
          <t>Samsung Lions</t>
        </is>
      </c>
      <c r="G69" s="24" t="inlineStr">
        <is>
          <t>Doosan Bears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0.5271400000000001</v>
      </c>
      <c r="P69" s="28" t="n"/>
      <c r="Q69" s="28" t="n">
        <v>-0.063024</v>
      </c>
      <c r="R69" s="26" t="n">
        <v>0</v>
      </c>
      <c r="S69" s="29" t="n">
        <v>1</v>
      </c>
      <c r="T69" s="24" t="inlineStr">
        <is>
          <t>kbo-tie-aware-elo-v2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3</v>
      </c>
      <c r="Y69" s="25" t="n"/>
      <c r="Z69" s="26" t="n">
        <v>-144</v>
      </c>
      <c r="AA69" s="28" t="n">
        <v>0.59</v>
      </c>
      <c r="AB69" s="28" t="n">
        <v>-0.000164</v>
      </c>
      <c r="AC69" s="30" t="n">
        <v>-1</v>
      </c>
      <c r="AD69" s="24" t="inlineStr">
        <is>
          <t>2026-09-16T16:08:39.575182Z</t>
        </is>
      </c>
      <c r="AE69" s="31" t="inlineStr">
        <is>
          <t>Tie-aware Elo baseline; executable ask 0.5900 (market_slug=aec-kbo-dbo-sla-2026-09-16). Tie probability=0.0315.</t>
        </is>
      </c>
      <c r="AF69" s="31" t="inlineStr">
        <is>
          <t>Config-promoted international baseball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Samsung Lions</t>
        </is>
      </c>
      <c r="AQ69" s="24" t="inlineStr">
        <is>
          <t>Samsung Lions</t>
        </is>
      </c>
      <c r="AR69" s="24" t="inlineStr">
        <is>
          <t>Samsung Lions</t>
        </is>
      </c>
      <c r="AS69" s="24" t="inlineStr">
        <is>
          <t>Doosan Bears</t>
        </is>
      </c>
      <c r="AT69" s="24" t="inlineStr">
        <is>
          <t>Doosan Bears</t>
        </is>
      </c>
      <c r="AU69" s="24" t="inlineStr">
        <is>
          <t>Doosan Bears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0a836e08ec3d7c60321a9701322faf28944d7e3eb3df5060298723d5e3e1ff17</t>
        </is>
      </c>
      <c r="BB69" s="24" t="inlineStr">
        <is>
          <t>tie_aware_elo</t>
        </is>
      </c>
      <c r="BC69" s="24" t="inlineStr">
        <is>
          <t>kbo-tie-aware-elo-v2</t>
        </is>
      </c>
      <c r="BD69" s="24" t="inlineStr">
        <is>
          <t>0a836e08ec3d7c60321a9701322faf28944d7e3eb3df5060298723d5e3e1ff17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kbo-tie-aware-elo-v2</t>
        </is>
      </c>
      <c r="BH69" s="24" t="inlineStr">
        <is>
          <t>2026-09-16T06:45:52.592591Z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1.694444</v>
      </c>
      <c r="BR69" s="28" t="n">
        <v>0.59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"0a836e08ec3d7c60321a9701322faf28944d7e3eb3df5060298723d5e3e1ff17", "away_team": "Samsung Lions", "draw_settlement_value": 0.5, "event_id": "111393", "event_start_utc": "2026-09-16T09:30:00Z", "features": {"away_elo": 1543.224078, "base_tie_rate": 0.02242965, "home_advantage": 20.0, "home_elo": 1503.732022}, "historical_source_observation_times_verified": false, "home_team": "Doosan Bears", "inference_inputs": {"away_id": "SAMSUNG", "base_tie_rate": 0.02242965, "book_state": {"_games_played": null, "_last_active": null, "decay_rate": 0.001, "home_advantage": 20.0, "k": 8.0, "margin_weight": 0.0, "ratings": {"DOOSAN": 1503.732022, "SAMSUNG": 1543.224078}}, "code_sha256": {"features/elo_ratings.py": "8525faf022a6343c452286dbfeb17dbb043744c6bdabbe448b6b371216da439b", "international_baseball.py": "f345eb917316d2e897f62c1cdd0f73153115c65da54c30c6137ad76bb7b27869"}, "home_id": "DOOSAN", "tie_method": "elo_gap"}, "market_type": "moneyline", "model_version": "kbo-tie-aware-elo-v2", "observed_at_utc": "2026-09-16T06:45:42.021994+00:00", "outcome_probabilities": {"away": 0.5114111652151029, "draw": 0.03145847503069799, "home": 0.45713035975419913}, "replay_scope": "Exact Elo and tie model; logged value is expected contract settlement, not outright win probability.", "schema": "international-elo-replay-v1", "settlement_values": {"away": 0.52714, "home": 0.47286}, "snapshot_hash": "7b0ada7357ad2773239fb706e605be4e2010751b3ed1a30b5c8aec0407869466", "sport": "KBO"}</t>
        </is>
      </c>
    </row>
    <row r="70" ht="36" customHeight="1">
      <c r="A70" s="24" t="inlineStr">
        <is>
          <t>6ace701e4f354d29</t>
        </is>
      </c>
      <c r="B70" s="24" t="inlineStr">
        <is>
          <t>2026-09-18T07:43:22.898108Z</t>
        </is>
      </c>
      <c r="C70" s="24" t="inlineStr">
        <is>
          <t>2026-09-18T09:30:00Z</t>
        </is>
      </c>
      <c r="D70" s="24" t="inlineStr">
        <is>
          <t>113385</t>
        </is>
      </c>
      <c r="E70" s="24" t="inlineStr">
        <is>
          <t>KBO</t>
        </is>
      </c>
      <c r="F70" s="24" t="inlineStr">
        <is>
          <t>LG Twins</t>
        </is>
      </c>
      <c r="G70" s="24" t="inlineStr">
        <is>
          <t>KT Wiz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-127</v>
      </c>
      <c r="M70" s="27" t="n">
        <v>1.787402</v>
      </c>
      <c r="N70" s="28" t="n">
        <v>0.5594710000000001</v>
      </c>
      <c r="O70" s="28" t="n">
        <v>0.576053</v>
      </c>
      <c r="P70" s="28" t="n"/>
      <c r="Q70" s="28" t="n">
        <v>0.016582</v>
      </c>
      <c r="R70" s="26" t="n">
        <v>28</v>
      </c>
      <c r="S70" s="29" t="n">
        <v>1</v>
      </c>
      <c r="T70" s="24" t="inlineStr">
        <is>
          <t>kbo-tie-aware-elo-v2</t>
        </is>
      </c>
      <c r="U70" s="24" t="inlineStr">
        <is>
          <t>settled</t>
        </is>
      </c>
      <c r="V70" s="24" t="inlineStr">
        <is>
          <t>loss</t>
        </is>
      </c>
      <c r="W70" s="26" t="n">
        <v>12</v>
      </c>
      <c r="X70" s="26" t="n">
        <v>1</v>
      </c>
      <c r="Y70" s="25" t="n"/>
      <c r="Z70" s="26" t="n"/>
      <c r="AA70" s="28" t="n"/>
      <c r="AB70" s="28" t="n"/>
      <c r="AC70" s="30" t="n">
        <v>-1</v>
      </c>
      <c r="AD70" s="24" t="inlineStr">
        <is>
          <t>2026-09-18T16:30:00.555973Z</t>
        </is>
      </c>
      <c r="AE70" s="31" t="inlineStr">
        <is>
          <t>Tie-aware Elo baseline; executable ask 0.5600 (market_slug=aec-kbo-kwt-ltg-2026-09-18). Tie probability=0.0226.</t>
        </is>
      </c>
      <c r="AF70" s="31" t="inlineStr">
        <is>
          <t>Config-promoted international baseball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LG Twins</t>
        </is>
      </c>
      <c r="AQ70" s="24" t="inlineStr">
        <is>
          <t>LG Twins</t>
        </is>
      </c>
      <c r="AR70" s="24" t="inlineStr">
        <is>
          <t>LG Twins</t>
        </is>
      </c>
      <c r="AS70" s="24" t="inlineStr">
        <is>
          <t>KT Wiz</t>
        </is>
      </c>
      <c r="AT70" s="24" t="inlineStr">
        <is>
          <t>KT Wiz</t>
        </is>
      </c>
      <c r="AU70" s="24" t="inlineStr">
        <is>
          <t>KT Wiz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8105ec70052dc622aefdb59e09332b0a939c2a3ac09dfd38148d717910f0aed1</t>
        </is>
      </c>
      <c r="BB70" s="24" t="inlineStr">
        <is>
          <t>tie_aware_elo</t>
        </is>
      </c>
      <c r="BC70" s="24" t="inlineStr">
        <is>
          <t>kbo-tie-aware-elo-v2</t>
        </is>
      </c>
      <c r="BD70" s="24" t="inlineStr">
        <is>
          <t>8105ec70052dc622aefdb59e09332b0a939c2a3ac09dfd38148d717910f0aed1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kbo-tie-aware-elo-v2</t>
        </is>
      </c>
      <c r="BH70" s="24" t="inlineStr">
        <is>
          <t>2026-09-18T07:43:22.752230Z</t>
        </is>
      </c>
      <c r="BI70" s="24" t="inlineStr">
        <is>
          <t>["same_event","same_team_same_day","same_league_same_day"]</t>
        </is>
      </c>
      <c r="BJ70" s="25" t="n"/>
      <c r="BK70" s="26" t="n">
        <v>-127</v>
      </c>
      <c r="BL70" s="27" t="n">
        <v>1.787402</v>
      </c>
      <c r="BM70" s="28" t="n">
        <v>0.5594710000000001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0.559471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"8105ec70052dc622aefdb59e09332b0a939c2a3ac09dfd38148d717910f0aed1", "away_team": "LG Twins", "draw_settlement_value": 0.5, "event_id": "113385", "event_start_utc": "2026-09-18T09:30:00Z", "features": {"away_elo": 1527.624991, "base_tie_rate": 0.02255011, "home_advantage": 20.0, "home_elo": 1562.134275}, "historical_source_observation_times_verified": false, "home_team": "KT Wiz", "inference_inputs": {"away_id": "LG", "base_tie_rate": 0.02255011, "book_state": {"_games_played": null, "_last_active": null, "decay_rate": 0.001, "home_advantage": 20.0, "k": 8.0, "margin_weight": 0.0, "ratings": {"KT": 1562.134275, "LG": 1527.624991}},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"2026-09-18T07:43:22.625229+00:00", "outcome_probabilities": {"away": 0.4126717110828646, "draw": 0.02255011, "home": 0.5647781789171354}, "replay_scope": "Exact Elo and tie model; logged value is expected contract settlement, not outright win probability.", "schema": "international-elo-replay-v1", "settlement_values": {"away": 0.423947, "home": 0.576053}, "snapshot_hash": "91cf2d6a41b1f7c44ed9db2c1a8547ca35625b3e1d19ca7ac51eeb341662d6c8", "sport": "KBO"}</t>
        </is>
      </c>
    </row>
    <row r="71" ht="36" customHeight="1">
      <c r="A71" s="24" t="inlineStr">
        <is>
          <t>8cecde4dd9d6478c</t>
        </is>
      </c>
      <c r="B71" s="24" t="inlineStr">
        <is>
          <t>2026-09-18T07:43:22.898108Z</t>
        </is>
      </c>
      <c r="C71" s="24" t="inlineStr">
        <is>
          <t>2026-09-18T09:30:00Z</t>
        </is>
      </c>
      <c r="D71" s="24" t="inlineStr">
        <is>
          <t>113386</t>
        </is>
      </c>
      <c r="E71" s="24" t="inlineStr">
        <is>
          <t>KBO</t>
        </is>
      </c>
      <c r="F71" s="24" t="inlineStr">
        <is>
          <t>Samsung Lions</t>
        </is>
      </c>
      <c r="G71" s="24" t="inlineStr">
        <is>
          <t>Hanwha Eagles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-257</v>
      </c>
      <c r="M71" s="27" t="n">
        <v>1.389105</v>
      </c>
      <c r="N71" s="28" t="n">
        <v>0.719888</v>
      </c>
      <c r="O71" s="28" t="n">
        <v>0.578883</v>
      </c>
      <c r="P71" s="28" t="n"/>
      <c r="Q71" s="28" t="n">
        <v>-0.141005</v>
      </c>
      <c r="R71" s="26" t="n">
        <v>0</v>
      </c>
      <c r="S71" s="29" t="n">
        <v>1</v>
      </c>
      <c r="T71" s="24" t="inlineStr">
        <is>
          <t>kbo-tie-aware-elo-v2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10</v>
      </c>
      <c r="X71" s="26" t="n">
        <v>4</v>
      </c>
      <c r="Y71" s="25" t="n"/>
      <c r="Z71" s="26" t="n"/>
      <c r="AA71" s="28" t="n"/>
      <c r="AB71" s="28" t="n"/>
      <c r="AC71" s="30" t="n">
        <v>0.3891</v>
      </c>
      <c r="AD71" s="24" t="inlineStr">
        <is>
          <t>2026-09-18T16:30:00.934691Z</t>
        </is>
      </c>
      <c r="AE71" s="31" t="inlineStr">
        <is>
          <t>Tie-aware Elo baseline; executable ask 0.7200 (market_slug=aec-kbo-hea-sla-2026-09-18). Tie probability=0.0226.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Samsung Lions</t>
        </is>
      </c>
      <c r="AQ71" s="24" t="inlineStr">
        <is>
          <t>Samsung Lions</t>
        </is>
      </c>
      <c r="AR71" s="24" t="inlineStr">
        <is>
          <t>Samsung Lions</t>
        </is>
      </c>
      <c r="AS71" s="24" t="inlineStr">
        <is>
          <t>Hanwha Eagles</t>
        </is>
      </c>
      <c r="AT71" s="24" t="inlineStr">
        <is>
          <t>Hanwha Eagles</t>
        </is>
      </c>
      <c r="AU71" s="24" t="inlineStr">
        <is>
          <t>Hanwha Eagles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8105ec70052dc622aefdb59e09332b0a939c2a3ac09dfd38148d717910f0aed1</t>
        </is>
      </c>
      <c r="BB71" s="24" t="inlineStr">
        <is>
          <t>tie_aware_elo</t>
        </is>
      </c>
      <c r="BC71" s="24" t="inlineStr">
        <is>
          <t>kbo-tie-aware-elo-v2</t>
        </is>
      </c>
      <c r="BD71" s="24" t="inlineStr">
        <is>
          <t>8105ec70052dc622aefdb59e09332b0a939c2a3ac09dfd38148d717910f0aed1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kbo-tie-aware-elo-v2</t>
        </is>
      </c>
      <c r="BH71" s="24" t="inlineStr">
        <is>
          <t>2026-09-18T07:43:22.898024Z</t>
        </is>
      </c>
      <c r="BI71" s="24" t="inlineStr">
        <is>
          <t>["same_event","same_team_same_day","same_league_same_day"]</t>
        </is>
      </c>
      <c r="BJ71" s="25" t="n"/>
      <c r="BK71" s="26" t="n">
        <v>-257</v>
      </c>
      <c r="BL71" s="27" t="n">
        <v>1.389105</v>
      </c>
      <c r="BM71" s="28" t="n">
        <v>0.719888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0.719888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"8105ec70052dc622aefdb59e09332b0a939c2a3ac09dfd38148d717910f0aed1", "away_team": "Samsung Lions", "draw_settlement_value": 0.5, "event_id": "113386", "event_start_utc": "2026-09-18T09:30:00Z", "features": {"away_elo": 1538.749649, "base_tie_rate": 0.02255011, "home_advantage": 20.0, "home_elo": 1462.177067}, "historical_source_observation_times_verified": false, "home_team": "Hanwha Eagles", "inference_inputs": {"away_id": "SAMSUNG", "base_tie_rate": 0.02255011, "book_state": {"_games_played": null, "_last_active": null, "decay_rate": 0.001, "home_advantage": 20.0, "k": 8.0, "margin_weight": 0.0, "ratings": {"HANWHA": 1462.177067, "SAMSUNG": 1538.749649}},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"2026-09-18T07:43:22.625229+00:00", "outcome_probabilities": {"away": 0.5676076124276612, "draw": 0.02255011, "home": 0.4098422775723388}, "replay_scope": "Exact Elo and tie model; logged value is expected contract settlement, not outright win probability.", "schema": "international-elo-replay-v1", "settlement_values": {"away": 0.578883, "home": 0.421117}, "snapshot_hash": "0d813fba77afec20d6d28ba948b47686aa422cc61c6e048695e577008feac8ab", "sport": "KBO"}</t>
        </is>
      </c>
    </row>
    <row r="72" ht="36" customHeight="1">
      <c r="A72" s="24" t="inlineStr">
        <is>
          <t>c669c60d43114663</t>
        </is>
      </c>
      <c r="B72" s="24" t="inlineStr">
        <is>
          <t>2026-09-19T22:46:58.058416Z</t>
        </is>
      </c>
      <c r="C72" s="24" t="inlineStr">
        <is>
          <t>2026-09-20T05:00:00Z</t>
        </is>
      </c>
      <c r="D72" s="24" t="inlineStr">
        <is>
          <t>118327</t>
        </is>
      </c>
      <c r="E72" s="24" t="inlineStr">
        <is>
          <t>KBO</t>
        </is>
      </c>
      <c r="F72" s="24" t="inlineStr">
        <is>
          <t>Kia Tigers</t>
        </is>
      </c>
      <c r="G72" s="24" t="inlineStr">
        <is>
          <t>NC Dinos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100</v>
      </c>
      <c r="M72" s="27" t="n">
        <v>2</v>
      </c>
      <c r="N72" s="28" t="n">
        <v>0.5</v>
      </c>
      <c r="O72" s="28" t="n">
        <v>0.5170129999999999</v>
      </c>
      <c r="P72" s="28" t="n"/>
      <c r="Q72" s="28" t="n">
        <v>0.017013</v>
      </c>
      <c r="R72" s="26" t="n">
        <v>29</v>
      </c>
      <c r="S72" s="29" t="n">
        <v>1</v>
      </c>
      <c r="T72" s="24" t="inlineStr">
        <is>
          <t>kbo-tie-aware-elo-v2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8</v>
      </c>
      <c r="X72" s="26" t="n">
        <v>6</v>
      </c>
      <c r="Y72" s="25" t="n"/>
      <c r="Z72" s="26" t="n"/>
      <c r="AA72" s="28" t="n"/>
      <c r="AB72" s="28" t="n"/>
      <c r="AC72" s="30" t="n">
        <v>1</v>
      </c>
      <c r="AD72" s="24" t="inlineStr">
        <is>
          <t>2026-09-20T10:02:42.325359Z</t>
        </is>
      </c>
      <c r="AE72" s="31" t="inlineStr">
        <is>
          <t>Tie-aware Elo baseline; executable ask 0.5000 (market_slug=aec-kbo-ndc-kti-2026-09-20). Tie probability=0.0227.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Kia Tigers</t>
        </is>
      </c>
      <c r="AQ72" s="24" t="inlineStr">
        <is>
          <t>Kia Tigers</t>
        </is>
      </c>
      <c r="AR72" s="24" t="inlineStr">
        <is>
          <t>Kia Tigers</t>
        </is>
      </c>
      <c r="AS72" s="24" t="inlineStr">
        <is>
          <t>NC Dinos</t>
        </is>
      </c>
      <c r="AT72" s="24" t="inlineStr">
        <is>
          <t>NC Dinos</t>
        </is>
      </c>
      <c r="AU72" s="24" t="inlineStr">
        <is>
          <t>NC Dinos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ff336b03d5670366f5349f8375bf4bd020a5ee86914ddf891c0dc3031b970ce2</t>
        </is>
      </c>
      <c r="BB72" s="24" t="inlineStr">
        <is>
          <t>tie_aware_elo</t>
        </is>
      </c>
      <c r="BC72" s="24" t="inlineStr">
        <is>
          <t>kbo-tie-aware-elo-v2</t>
        </is>
      </c>
      <c r="BD72" s="24" t="inlineStr">
        <is>
          <t>ff336b03d5670366f5349f8375bf4bd020a5ee86914ddf891c0dc3031b970ce2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kbo-tie-aware-elo-v2</t>
        </is>
      </c>
      <c r="BH72" s="24" t="inlineStr">
        <is>
          <t>2026-09-19T22:46:58.058372Z</t>
        </is>
      </c>
      <c r="BI72" s="24" t="inlineStr">
        <is>
          <t>["same_event","same_team_same_day","same_league_same_day"]</t>
        </is>
      </c>
      <c r="BJ72" s="25" t="n"/>
      <c r="BK72" s="26" t="n">
        <v>100</v>
      </c>
      <c r="BL72" s="27" t="n">
        <v>2</v>
      </c>
      <c r="BM72" s="28" t="n">
        <v>0.5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"ff336b03d5670366f5349f8375bf4bd020a5ee86914ddf891c0dc3031b970ce2", "away_team": "Kia Tigers", "draw_settlement_value": 0.5, "event_id": "118327", "event_start_utc": "2026-09-20T05:00:00Z", "features": {"away_elo": 1522.919329, "base_tie_rate": 0.02266407, "home_advantage": 20.0, "home_elo": 1490.818715}, "historical_source_observation_times_verified": false, "home_team": "NC Dinos", "inference_inputs": {"away_id": "KIA", "base_tie_rate": 0.02266407, "book_state": {"_games_played": null, "_last_active": null, "decay_rate": 0.002, "home_advantage": 20.0, "k": 8.0, "margin_weight": 0.0, "ratings": {"KIA": 1522.919329, "NC": 1490.818715}},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"2026-09-19T22:46:49.404629+00:00", "outcome_probabilities": {"away": 0.5056805938091049, "draw": 0.02266407, "home": 0.471655336190895}, "replay_scope": "Exact Elo and tie model; logged value is expected contract settlement, not outright win probability.", "schema": "international-elo-replay-v1", "settlement_values": {"away": 0.517013, "home": 0.482987}, "snapshot_hash": "6201dc5a8484fbd81b2c3f7aa70a267d65a44e73397318af34d9f27e153de419", "sport": "KBO"}</t>
        </is>
      </c>
    </row>
    <row r="73" ht="36" customHeight="1">
      <c r="A73" s="24" t="inlineStr">
        <is>
          <t>c08bc2e772cd44b0</t>
        </is>
      </c>
      <c r="B73" s="24" t="inlineStr">
        <is>
          <t>2026-09-23T04:43:27.682585Z</t>
        </is>
      </c>
      <c r="C73" s="24" t="inlineStr">
        <is>
          <t>2026-09-23T09:30:00Z</t>
        </is>
      </c>
      <c r="D73" s="24" t="inlineStr">
        <is>
          <t>119092</t>
        </is>
      </c>
      <c r="E73" s="24" t="inlineStr">
        <is>
          <t>KBO</t>
        </is>
      </c>
      <c r="F73" s="24" t="inlineStr">
        <is>
          <t>Lotte Giants</t>
        </is>
      </c>
      <c r="G73" s="24" t="inlineStr">
        <is>
          <t>Hanwha Eagles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0.521312</v>
      </c>
      <c r="P73" s="28" t="n"/>
      <c r="Q73" s="28" t="n">
        <v>-0.05852</v>
      </c>
      <c r="R73" s="26" t="n">
        <v>0</v>
      </c>
      <c r="S73" s="29" t="n">
        <v>1</v>
      </c>
      <c r="T73" s="24" t="inlineStr">
        <is>
          <t>kbo-tie-aware-elo-v2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9</v>
      </c>
      <c r="X73" s="26" t="n">
        <v>5</v>
      </c>
      <c r="Y73" s="25" t="n"/>
      <c r="Z73" s="26" t="n"/>
      <c r="AA73" s="28" t="n"/>
      <c r="AB73" s="28" t="n"/>
      <c r="AC73" s="30" t="n">
        <v>0.7246</v>
      </c>
      <c r="AD73" s="24" t="inlineStr">
        <is>
          <t>2026-09-23T16:09:11.199239Z</t>
        </is>
      </c>
      <c r="AE73" s="31" t="inlineStr">
        <is>
          <t>Tie-aware Elo baseline; executable ask 0.5800 (market_slug=aec-kbo-hea-lgo-2026-09-23). Tie probability=0.0226.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Lotte Giants</t>
        </is>
      </c>
      <c r="AQ73" s="24" t="inlineStr">
        <is>
          <t>Lotte Giants</t>
        </is>
      </c>
      <c r="AR73" s="24" t="inlineStr">
        <is>
          <t>Lotte Giants</t>
        </is>
      </c>
      <c r="AS73" s="24" t="inlineStr">
        <is>
          <t>Hanwha Eagles</t>
        </is>
      </c>
      <c r="AT73" s="24" t="inlineStr">
        <is>
          <t>Hanwha Eagles</t>
        </is>
      </c>
      <c r="AU73" s="24" t="inlineStr">
        <is>
          <t>Hanwha Eagles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8a06c32a7937dff4d20df2975069d7ae198f869bd3ac64498741bdb20e2bd429</t>
        </is>
      </c>
      <c r="BB73" s="24" t="inlineStr">
        <is>
          <t>tie_aware_elo</t>
        </is>
      </c>
      <c r="BC73" s="24" t="inlineStr">
        <is>
          <t>kbo-tie-aware-elo-v2</t>
        </is>
      </c>
      <c r="BD73" s="24" t="inlineStr">
        <is>
          <t>8a06c32a7937dff4d20df2975069d7ae198f869bd3ac64498741bdb20e2bd429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kbo-tie-aware-elo-v2</t>
        </is>
      </c>
      <c r="BH73" s="24" t="inlineStr">
        <is>
          <t>2026-09-23T04:43:27.594931Z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"8a06c32a7937dff4d20df2975069d7ae198f869bd3ac64498741bdb20e2bd429", "away_team": "Lotte Giants", "draw_settlement_value": 0.5, "event_id": "119092", "event_start_utc": "2026-09-23T09:30:00Z", "features": {"away_elo": 1484.420907, "base_tie_rate": 0.02263575, "home_advantage": 20.0, "home_elo": 1449.259356}, "historical_source_observation_times_verified": false, "home_team": "Hanwha Eagles", "inference_inputs": {"away_id": "LOTTE", "base_tie_rate": 0.02263575, "book_state": {"_games_played": null, "_last_active": null, "decay_rate": 0.002, "home_advantage": 20.0, "k": 8.0, "margin_weight": 0.0, "ratings": {"HANWHA": 1449.259356, "LOTTE": 1484.420907}},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"2026-09-23T04:43:19.256480+00:00", "outcome_probabilities": {"away": 0.5099939298746471, "draw": 0.02263575, "home": 0.467370320125353}, "replay_scope": "Exact Elo and tie model; logged value is expected contract settlement, not outright win probability.", "schema": "international-elo-replay-v1", "settlement_values": {"away": 0.521312, "home": 0.478688}, "snapshot_hash": "e8691c425fe4b89b111609e68c44154c61cecfb86690bf48bff8fcd8b55b16db", "sport": "KBO"}</t>
        </is>
      </c>
    </row>
    <row r="74" ht="36" customHeight="1">
      <c r="A74" s="24" t="inlineStr">
        <is>
          <t>18248976b29e4f43</t>
        </is>
      </c>
      <c r="B74" s="24" t="inlineStr">
        <is>
          <t>2026-09-23T04:43:27.682585Z</t>
        </is>
      </c>
      <c r="C74" s="24" t="inlineStr">
        <is>
          <t>2026-09-23T09:30:00Z</t>
        </is>
      </c>
      <c r="D74" s="24" t="inlineStr">
        <is>
          <t>119093</t>
        </is>
      </c>
      <c r="E74" s="24" t="inlineStr">
        <is>
          <t>KBO</t>
        </is>
      </c>
      <c r="F74" s="24" t="inlineStr">
        <is>
          <t>Kia Tigers</t>
        </is>
      </c>
      <c r="G74" s="24" t="inlineStr">
        <is>
          <t>Doosan Bears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0.505977</v>
      </c>
      <c r="P74" s="28" t="n"/>
      <c r="Q74" s="28" t="n">
        <v>-0.073855</v>
      </c>
      <c r="R74" s="26" t="n">
        <v>0</v>
      </c>
      <c r="S74" s="29" t="n">
        <v>1</v>
      </c>
      <c r="T74" s="24" t="inlineStr">
        <is>
          <t>kbo-tie-aware-elo-v2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3</v>
      </c>
      <c r="Y74" s="25" t="n"/>
      <c r="Z74" s="26" t="n"/>
      <c r="AA74" s="28" t="n"/>
      <c r="AB74" s="28" t="n"/>
      <c r="AC74" s="30" t="n">
        <v>-1</v>
      </c>
      <c r="AD74" s="24" t="inlineStr">
        <is>
          <t>2026-09-23T16:09:11.831762Z</t>
        </is>
      </c>
      <c r="AE74" s="31" t="inlineStr">
        <is>
          <t>Tie-aware Elo baseline; executable ask 0.5800 (market_slug=aec-kbo-dbo-kti-2026-09-23). Tie probability=0.0226.</t>
        </is>
      </c>
      <c r="AF74" s="31" t="inlineStr">
        <is>
          <t>Config-promoted international baseball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Kia Tigers</t>
        </is>
      </c>
      <c r="AQ74" s="24" t="inlineStr">
        <is>
          <t>Kia Tigers</t>
        </is>
      </c>
      <c r="AR74" s="24" t="inlineStr">
        <is>
          <t>Kia Tigers</t>
        </is>
      </c>
      <c r="AS74" s="24" t="inlineStr">
        <is>
          <t>Doosan Bears</t>
        </is>
      </c>
      <c r="AT74" s="24" t="inlineStr">
        <is>
          <t>Doosan Bears</t>
        </is>
      </c>
      <c r="AU74" s="24" t="inlineStr">
        <is>
          <t>Doosan Bears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8a06c32a7937dff4d20df2975069d7ae198f869bd3ac64498741bdb20e2bd429</t>
        </is>
      </c>
      <c r="BB74" s="24" t="inlineStr">
        <is>
          <t>tie_aware_elo</t>
        </is>
      </c>
      <c r="BC74" s="24" t="inlineStr">
        <is>
          <t>kbo-tie-aware-elo-v2</t>
        </is>
      </c>
      <c r="BD74" s="24" t="inlineStr">
        <is>
          <t>8a06c32a7937dff4d20df2975069d7ae198f869bd3ac64498741bdb20e2bd429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kbo-tie-aware-elo-v2</t>
        </is>
      </c>
      <c r="BH74" s="24" t="inlineStr">
        <is>
          <t>2026-09-23T04:43:27.682523Z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"8a06c32a7937dff4d20df2975069d7ae198f869bd3ac64498741bdb20e2bd429", "away_team": "Kia Tigers", "draw_settlement_value": 0.5, "event_id": "119093", "event_start_utc": "2026-09-23T09:30:00Z", "features": {"away_elo": 1526.264448, "base_tie_rate": 0.02263575, "home_advantage": 20.0, "home_elo": 1502.014738}, "historical_source_observation_times_verified": false, "home_team": "Doosan Bears", "inference_inputs": {"away_id": "KIA", "base_tie_rate": 0.02263575, "book_state": {"_games_played": null, "_last_active": null, "decay_rate": 0.002, "home_advantage": 20.0, "k": 8.0, "margin_weight": 0.0, "ratings": {"DOOSAN": 1502.014738, "KIA": 1526.264448}},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"2026-09-23T04:43:19.256480+00:00", "outcome_probabilities": {"away": 0.4946592149586641, "draw": 0.02263575, "home": 0.48270503504133594}, "replay_scope": "Exact Elo and tie model; logged value is expected contract settlement, not outright win probability.", "schema": "international-elo-replay-v1", "settlement_values": {"away": 0.505977, "home": 0.494023}, "snapshot_hash": "e0d3a2426df0daced4f3eef7e4d7c2249a5b7c0d9a3959d4bfa7edc7dcb93d47", "sport": "KBO"}</t>
        </is>
      </c>
    </row>
    <row r="75" ht="36" customHeight="1">
      <c r="A75" s="24" t="inlineStr">
        <is>
          <t>6d6111a5f4844444</t>
        </is>
      </c>
      <c r="B75" s="24" t="inlineStr">
        <is>
          <t>2026-09-25T04:42:56.370452Z</t>
        </is>
      </c>
      <c r="C75" s="24" t="inlineStr">
        <is>
          <t>2026-09-25T08:00:00Z</t>
        </is>
      </c>
      <c r="D75" s="24" t="inlineStr">
        <is>
          <t>121719</t>
        </is>
      </c>
      <c r="E75" s="24" t="inlineStr">
        <is>
          <t>KBO</t>
        </is>
      </c>
      <c r="F75" s="24" t="inlineStr">
        <is>
          <t>Hanwha Eagles</t>
        </is>
      </c>
      <c r="G75" s="24" t="inlineStr">
        <is>
          <t>NC Dinos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108</v>
      </c>
      <c r="M75" s="27" t="n">
        <v>2.08</v>
      </c>
      <c r="N75" s="28" t="n">
        <v>0.480769</v>
      </c>
      <c r="O75" s="28" t="n">
        <v>0.583572</v>
      </c>
      <c r="P75" s="28" t="n"/>
      <c r="Q75" s="28" t="n">
        <v>0.102803</v>
      </c>
      <c r="R75" s="26" t="n">
        <v>71</v>
      </c>
      <c r="S75" s="29" t="n">
        <v>1.25</v>
      </c>
      <c r="T75" s="24" t="inlineStr">
        <is>
          <t>kbo-tie-aware-elo-v2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1.35</v>
      </c>
      <c r="AD75" s="24" t="inlineStr">
        <is>
          <t>2026-09-25T16:03:12.059774Z</t>
        </is>
      </c>
      <c r="AE75" s="31" t="inlineStr">
        <is>
          <t>Tie-aware Elo baseline; executable ask 0.4800 (market_slug=aec-kbo-ndc-hea-2026-09-25). Tie probability=0.0226.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Hanwha Eagles</t>
        </is>
      </c>
      <c r="AQ75" s="24" t="inlineStr">
        <is>
          <t>Hanwha Eagles</t>
        </is>
      </c>
      <c r="AR75" s="24" t="inlineStr">
        <is>
          <t>Hanwha Eagles</t>
        </is>
      </c>
      <c r="AS75" s="24" t="inlineStr">
        <is>
          <t>NC Dinos</t>
        </is>
      </c>
      <c r="AT75" s="24" t="inlineStr">
        <is>
          <t>NC Dinos</t>
        </is>
      </c>
      <c r="AU75" s="24" t="inlineStr">
        <is>
          <t>NC Dinos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ed896bd0cac9789cca8e66ff1469e947be6a7e941c829e61082441478c77bbb3</t>
        </is>
      </c>
      <c r="BB75" s="24" t="inlineStr">
        <is>
          <t>tie_aware_elo</t>
        </is>
      </c>
      <c r="BC75" s="24" t="inlineStr">
        <is>
          <t>kbo-tie-aware-elo-v2</t>
        </is>
      </c>
      <c r="BD75" s="24" t="inlineStr">
        <is>
          <t>ed896bd0cac9789cca8e66ff1469e947be6a7e941c829e61082441478c77bbb3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kbo-tie-aware-elo-v2</t>
        </is>
      </c>
      <c r="BH75" s="24" t="inlineStr">
        <is>
          <t>2026-09-25T04:42:56.370310Z</t>
        </is>
      </c>
      <c r="BI75" s="24" t="inlineStr">
        <is>
          <t>["same_event","same_team_same_day","same_league_same_day"]</t>
        </is>
      </c>
      <c r="BJ75" s="25" t="n"/>
      <c r="BK75" s="26" t="n">
        <v>108</v>
      </c>
      <c r="BL75" s="27" t="n">
        <v>2.08</v>
      </c>
      <c r="BM75" s="28" t="n">
        <v>0.480769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0.480769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"ed896bd0cac9789cca8e66ff1469e947be6a7e941c829e61082441478c77bbb3", "away_team": "Hanwha Eagles", "draw_settlement_value": 0.5, "event_id": "121719", "event_start_utc": "2026-09-25T08:00:00Z", "features": {"away_elo": 1445.962088, "base_tie_rate": 0.0226169, "home_advantage": 20.0, "home_elo": 1485.967398}, "historical_source_observation_times_verified": false, "home_team": "NC Dinos", "inference_inputs": {"away_id": "HANWHA", "base_tie_rate": 0.0226169, "book_state": {"_games_played": null, "_last_active": null, "decay_rate": 0.002, "home_advantage": 20.0, "k": 8.0, "margin_weight": 0.0, "ratings": {"HANWHA": 1445.962088, "NC": 1485.967398}},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"2026-09-25T04:42:50.772771+00:00", "outcome_probabilities": {"away": 0.40511933593073, "draw": 0.0226169, "home": 0.5722637640692699}, "replay_scope": "Exact Elo and tie model; logged value is expected contract settlement, not outright win probability.", "schema": "international-elo-replay-v1", "settlement_values": {"away": 0.416428, "home": 0.583572}, "snapshot_hash": "63ea825411e665d85b3e60cddf65f4ba469bde03609d040765c3d7026fa4e086", "sport": "KBO"}</t>
        </is>
      </c>
    </row>
    <row r="76" ht="36" customHeight="1">
      <c r="A76" s="24" t="inlineStr">
        <is>
          <t>08a5db7eee0c468a</t>
        </is>
      </c>
      <c r="B76" s="24" t="inlineStr">
        <is>
          <t>2026-09-25T22:09:08.415448Z</t>
        </is>
      </c>
      <c r="C76" s="24" t="inlineStr">
        <is>
          <t>2026-09-26T08:00:00Z</t>
        </is>
      </c>
      <c r="D76" s="24" t="inlineStr">
        <is>
          <t>123326</t>
        </is>
      </c>
      <c r="E76" s="24" t="inlineStr">
        <is>
          <t>KBO</t>
        </is>
      </c>
      <c r="F76" s="24" t="inlineStr">
        <is>
          <t>Hanwha Eagles</t>
        </is>
      </c>
      <c r="G76" s="24" t="inlineStr">
        <is>
          <t>NC Dinos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0.592343</v>
      </c>
      <c r="P76" s="28" t="n"/>
      <c r="Q76" s="28" t="n">
        <v>0.061827</v>
      </c>
      <c r="R76" s="26" t="n">
        <v>51</v>
      </c>
      <c r="S76" s="29" t="n">
        <v>1</v>
      </c>
      <c r="T76" s="24" t="inlineStr">
        <is>
          <t>kbo-tie-aware-elo-v2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3</v>
      </c>
      <c r="Y76" s="25" t="n"/>
      <c r="Z76" s="26" t="n"/>
      <c r="AA76" s="28" t="n"/>
      <c r="AB76" s="28" t="n"/>
      <c r="AC76" s="30" t="n">
        <v>0.885</v>
      </c>
      <c r="AD76" s="24" t="inlineStr">
        <is>
          <t>2026-09-26T22:04:33.802103Z</t>
        </is>
      </c>
      <c r="AE76" s="31" t="inlineStr">
        <is>
          <t>Tie-aware Elo baseline; executable ask 0.5300 (market_slug=aec-kbo-ndc-hea-2026-09-26). Tie probability=0.0226.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Hanwha Eagles</t>
        </is>
      </c>
      <c r="AQ76" s="24" t="inlineStr">
        <is>
          <t>Hanwha Eagles</t>
        </is>
      </c>
      <c r="AR76" s="24" t="inlineStr">
        <is>
          <t>Hanwha Eagles</t>
        </is>
      </c>
      <c r="AS76" s="24" t="inlineStr">
        <is>
          <t>NC Dinos</t>
        </is>
      </c>
      <c r="AT76" s="24" t="inlineStr">
        <is>
          <t>NC Dinos</t>
        </is>
      </c>
      <c r="AU76" s="24" t="inlineStr">
        <is>
          <t>NC Dinos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2e48a576f1e89156d3fc2a7f15f66712bb818beff1ba4923f762423c36c7097e</t>
        </is>
      </c>
      <c r="BB76" s="24" t="inlineStr">
        <is>
          <t>tie_aware_elo</t>
        </is>
      </c>
      <c r="BC76" s="24" t="inlineStr">
        <is>
          <t>kbo-tie-aware-elo-v2</t>
        </is>
      </c>
      <c r="BD76" s="24" t="inlineStr">
        <is>
          <t>2e48a576f1e89156d3fc2a7f15f66712bb818beff1ba4923f762423c36c7097e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kbo-tie-aware-elo-v2</t>
        </is>
      </c>
      <c r="BH76" s="24" t="inlineStr">
        <is>
          <t>2026-09-25T22:09:04.541728Z</t>
        </is>
      </c>
      <c r="BI76" s="24" t="inlineStr">
        <is>
          <t>["same_event","same_team_same_day","same_league_same_day"]</t>
        </is>
      </c>
      <c r="BJ76" s="25" t="n"/>
      <c r="BK76" s="26" t="n">
        <v>-113</v>
      </c>
      <c r="BL76" s="27" t="n">
        <v>1.884956</v>
      </c>
      <c r="BM76" s="28" t="n">
        <v>0.530516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0.530516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"2e48a576f1e89156d3fc2a7f15f66712bb818beff1ba4923f762423c36c7097e", "away_team": "Hanwha Eagles", "draw_settlement_value": 0.5, "event_id": "123326", "event_start_utc": "2026-09-26T08:00:00Z", "features": {"away_elo": 1442.862072, "base_tie_rate": 0.02261376, "home_advantage": 20.0, "home_elo": 1489.311414}, "historical_source_observation_times_verified": false, "home_team": "NC Dinos", "inference_inputs": {"away_id": "HANWHA", "base_tie_rate": 0.02261376, "book_state": {"_games_played": null, "_last_active": null, "decay_rate": 0.002, "home_advantage": 20.0, "k": 8.0, "margin_weight": 0.0, "ratings": {"HANWHA": 1442.862072, "NC": 1489.311414}},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"2026-09-25T22:09:02.816063+00:00", "outcome_probabilities": {"away": 0.3963505442910887, "draw": 0.02261376, "home": 0.5810356957089113}, "replay_scope": "Exact Elo and tie model; logged value is expected contract settlement, not outright win probability.", "schema": "international-elo-replay-v1", "settlement_values": {"away": 0.407657, "home": 0.592343}, "snapshot_hash": "85ab49670f52038b6dc625dc548384426ead838e9ff783bb37f0ee5d9f39c39c", "sport": "KBO"}</t>
        </is>
      </c>
    </row>
    <row r="77" ht="36" customHeight="1">
      <c r="A77" s="24" t="inlineStr">
        <is>
          <t>1931afb84ead41a7</t>
        </is>
      </c>
      <c r="B77" s="24" t="inlineStr">
        <is>
          <t>2026-09-25T22:09:08.415448Z</t>
        </is>
      </c>
      <c r="C77" s="24" t="inlineStr">
        <is>
          <t>2026-09-26T08:00:00Z</t>
        </is>
      </c>
      <c r="D77" s="24" t="inlineStr">
        <is>
          <t>126006</t>
        </is>
      </c>
      <c r="E77" s="24" t="inlineStr">
        <is>
          <t>KBO</t>
        </is>
      </c>
      <c r="F77" s="24" t="inlineStr">
        <is>
          <t>Kiwoom Heroes</t>
        </is>
      </c>
      <c r="G77" s="24" t="inlineStr">
        <is>
          <t>KT Wiz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-163</v>
      </c>
      <c r="M77" s="27" t="n">
        <v>1.613497</v>
      </c>
      <c r="N77" s="28" t="n">
        <v>0.619772</v>
      </c>
      <c r="O77" s="28" t="n">
        <v>0.67675</v>
      </c>
      <c r="P77" s="28" t="n"/>
      <c r="Q77" s="28" t="n">
        <v>0.056978</v>
      </c>
      <c r="R77" s="26" t="n">
        <v>48</v>
      </c>
      <c r="S77" s="29" t="n">
        <v>1</v>
      </c>
      <c r="T77" s="24" t="inlineStr">
        <is>
          <t>kbo-tie-aware-elo-v2</t>
        </is>
      </c>
      <c r="U77" s="24" t="inlineStr">
        <is>
          <t>settled</t>
        </is>
      </c>
      <c r="V77" s="24" t="inlineStr">
        <is>
          <t>loss</t>
        </is>
      </c>
      <c r="W77" s="26" t="n">
        <v>10</v>
      </c>
      <c r="X77" s="26" t="n">
        <v>1</v>
      </c>
      <c r="Y77" s="25" t="n"/>
      <c r="Z77" s="26" t="n"/>
      <c r="AA77" s="28" t="n"/>
      <c r="AB77" s="28" t="n"/>
      <c r="AC77" s="30" t="n">
        <v>-1</v>
      </c>
      <c r="AD77" s="24" t="inlineStr">
        <is>
          <t>2026-09-26T22:04:34.069841Z</t>
        </is>
      </c>
      <c r="AE77" s="31" t="inlineStr">
        <is>
          <t>Tie-aware Elo baseline; executable ask 0.6200 (market_slug=aec-kbo-kwt-khi-2026-09-26). Tie probability=0.0226.</t>
        </is>
      </c>
      <c r="AF77" s="31" t="inlineStr">
        <is>
          <t>Config-promoted international baseball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Kiwoom Heroes</t>
        </is>
      </c>
      <c r="AQ77" s="24" t="inlineStr">
        <is>
          <t>Kiwoom Heroes</t>
        </is>
      </c>
      <c r="AR77" s="24" t="inlineStr">
        <is>
          <t>Kiwoom Heroes</t>
        </is>
      </c>
      <c r="AS77" s="24" t="inlineStr">
        <is>
          <t>KT Wiz</t>
        </is>
      </c>
      <c r="AT77" s="24" t="inlineStr">
        <is>
          <t>KT Wiz</t>
        </is>
      </c>
      <c r="AU77" s="24" t="inlineStr">
        <is>
          <t>KT Wiz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2e48a576f1e89156d3fc2a7f15f66712bb818beff1ba4923f762423c36c7097e</t>
        </is>
      </c>
      <c r="BB77" s="24" t="inlineStr">
        <is>
          <t>tie_aware_elo</t>
        </is>
      </c>
      <c r="BC77" s="24" t="inlineStr">
        <is>
          <t>kbo-tie-aware-elo-v2</t>
        </is>
      </c>
      <c r="BD77" s="24" t="inlineStr">
        <is>
          <t>2e48a576f1e89156d3fc2a7f15f66712bb818beff1ba4923f762423c36c7097e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kbo-tie-aware-elo-v2</t>
        </is>
      </c>
      <c r="BH77" s="24" t="inlineStr">
        <is>
          <t>2026-09-25T22:09:04.600714Z</t>
        </is>
      </c>
      <c r="BI77" s="24" t="inlineStr">
        <is>
          <t>["same_event","same_team_same_day","same_league_same_day"]</t>
        </is>
      </c>
      <c r="BJ77" s="25" t="n"/>
      <c r="BK77" s="26" t="n">
        <v>-163</v>
      </c>
      <c r="BL77" s="27" t="n">
        <v>1.613497</v>
      </c>
      <c r="BM77" s="28" t="n">
        <v>0.619772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0.619772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"2e48a576f1e89156d3fc2a7f15f66712bb818beff1ba4923f762423c36c7097e", "away_team": "Kiwoom Heroes", "draw_settlement_value": 0.5, "event_id": "126006", "event_start_utc": "2026-09-26T08:00:00Z", "features": {"away_elo": 1445.076679, "base_tie_rate": 0.02261376, "home_advantage": 20.0, "home_elo": 1556.69122}, "historical_source_observation_times_verified": false, "home_team": "KT Wiz", "inference_inputs": {"away_id": "KIWOOM", "base_tie_rate": 0.02261376, "book_state": {"_games_played": null, "_last_active": null, "decay_rate": 0.002, "home_advantage": 20.0, "k": 8.0, "margin_weight": 0.0, "ratings": {"KIWOOM": 1445.076679, "KT": 1556.69122}},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"2026-09-25T22:09:02.816063+00:00", "outcome_probabilities": {"away": 0.31194271664070644, "draw": 0.02261376, "home": 0.6654435233592936}, "replay_scope": "Exact Elo and tie model; logged value is expected contract settlement, not outright win probability.", "schema": "international-elo-replay-v1", "settlement_values": {"away": 0.32325, "home": 0.67675}, "snapshot_hash": "d1ce2641d511bb9639ddf58d6e854f963bf42e3a7e270f95e6eace2b4df788bc", "sport": "KBO"}</t>
        </is>
      </c>
    </row>
    <row r="78" ht="36" customHeight="1">
      <c r="A78" s="24" t="inlineStr">
        <is>
          <t>fe7cbd3707f84642</t>
        </is>
      </c>
      <c r="B78" s="24" t="inlineStr">
        <is>
          <t>2026-09-27T05:03:22.190232Z</t>
        </is>
      </c>
      <c r="C78" s="24" t="inlineStr">
        <is>
          <t>2026-09-27T08:00:00Z</t>
        </is>
      </c>
      <c r="D78" s="24" t="inlineStr">
        <is>
          <t>124832</t>
        </is>
      </c>
      <c r="E78" s="24" t="inlineStr">
        <is>
          <t>KBO</t>
        </is>
      </c>
      <c r="F78" s="24" t="inlineStr">
        <is>
          <t>LG Twins</t>
        </is>
      </c>
      <c r="G78" s="24" t="inlineStr">
        <is>
          <t>Kia Tigers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170</v>
      </c>
      <c r="M78" s="27" t="n">
        <v>2.7</v>
      </c>
      <c r="N78" s="28" t="n">
        <v>0.37037</v>
      </c>
      <c r="O78" s="28" t="n">
        <v>0.533154</v>
      </c>
      <c r="P78" s="28" t="n"/>
      <c r="Q78" s="28" t="n">
        <v>0.162784</v>
      </c>
      <c r="R78" s="26" t="n">
        <v>100</v>
      </c>
      <c r="S78" s="29" t="n">
        <v>1.75</v>
      </c>
      <c r="T78" s="24" t="inlineStr">
        <is>
          <t>kbo-tie-aware-elo-v2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Tie-aware Elo baseline; executable ask 0.3700 (market_slug=aec-kbo-kti-ltg-2026-09-27). Tie probability=0.0226.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LG Twins</t>
        </is>
      </c>
      <c r="AQ78" s="24" t="inlineStr">
        <is>
          <t>LG Twins</t>
        </is>
      </c>
      <c r="AR78" s="24" t="inlineStr">
        <is>
          <t>LG Twins</t>
        </is>
      </c>
      <c r="AS78" s="24" t="inlineStr">
        <is>
          <t>Kia Tigers</t>
        </is>
      </c>
      <c r="AT78" s="24" t="inlineStr">
        <is>
          <t>Kia Tigers</t>
        </is>
      </c>
      <c r="AU78" s="24" t="inlineStr">
        <is>
          <t>Kia Tigers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9cc339d022889dfc7e4c69ec7ca4020cf3f16e38e281698e2b8b1599c297f78e</t>
        </is>
      </c>
      <c r="BB78" s="24" t="inlineStr">
        <is>
          <t>tie_aware_elo</t>
        </is>
      </c>
      <c r="BC78" s="24" t="inlineStr">
        <is>
          <t>kbo-tie-aware-elo-v2</t>
        </is>
      </c>
      <c r="BD78" s="24" t="inlineStr">
        <is>
          <t>9cc339d022889dfc7e4c69ec7ca4020cf3f16e38e281698e2b8b1599c297f78e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kbo-tie-aware-elo-v2</t>
        </is>
      </c>
      <c r="BH78" s="24" t="inlineStr">
        <is>
          <t>2026-09-27T05:03:13.229860Z</t>
        </is>
      </c>
      <c r="BI78" s="24" t="inlineStr">
        <is>
          <t>["same_event","same_team_same_day","same_league_same_day"]</t>
        </is>
      </c>
      <c r="BJ78" s="25" t="n"/>
      <c r="BK78" s="26" t="n">
        <v>170</v>
      </c>
      <c r="BL78" s="27" t="n">
        <v>2.7</v>
      </c>
      <c r="BM78" s="28" t="n">
        <v>0.37037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0.37037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"9cc339d022889dfc7e4c69ec7ca4020cf3f16e38e281698e2b8b1599c297f78e", "away_team": "LG Twins", "draw_settlement_value": 0.5, "event_id": "124832", "event_start_utc": "2026-09-27T08:00:00Z", "features": {"away_elo": 1521.78621, "base_tie_rate": 0.02260435, "home_advantage": 20.0, "home_elo": 1525.393362}, "historical_source_observation_times_verified": false, "home_team": "Kia Tigers", "inference_inputs": {"away_id": "LG", "base_tie_rate": 0.02260435, "book_state": {"_games_played": null, "_last_active": null, "decay_rate": 0.002, "home_advantage": 20.0, "k": 8.0, "margin_weight": 0.0, "ratings": {"KIA": 1525.393362, "LG": 1521.78621}},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"2026-09-27T05:03:08.506998+00:00", "outcome_probabilities": {"away": 0.455543355990778, "draw": 0.02260435, "home": 0.521852294009222}, "replay_scope": "Exact Elo and tie model; logged value is expected contract settlement, not outright win probability.", "schema": "international-elo-replay-v1", "settlement_values": {"away": 0.466846, "home": 0.533154}, "snapshot_hash": "3154b03f9ecf61300677d2b66ea71d76554e10e7ca6c1bb5b2ec9bf3ed4e06b9", "sport": "KBO"}</t>
        </is>
      </c>
    </row>
    <row r="79" ht="36" customHeight="1">
      <c r="A79" s="24" t="inlineStr">
        <is>
          <t>2f2ba2f8a963479f</t>
        </is>
      </c>
      <c r="B79" s="24" t="inlineStr">
        <is>
          <t>2026-09-29T04:39:58.474955Z</t>
        </is>
      </c>
      <c r="C79" s="24" t="inlineStr">
        <is>
          <t>2026-09-29T09:30:00Z</t>
        </is>
      </c>
      <c r="D79" s="24" t="inlineStr">
        <is>
          <t>127960</t>
        </is>
      </c>
      <c r="E79" s="24" t="inlineStr">
        <is>
          <t>KBO</t>
        </is>
      </c>
      <c r="F79" s="24" t="inlineStr">
        <is>
          <t>LG Twins</t>
        </is>
      </c>
      <c r="G79" s="24" t="inlineStr">
        <is>
          <t>SSG Landers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117</v>
      </c>
      <c r="M79" s="27" t="n">
        <v>2.17</v>
      </c>
      <c r="N79" s="28" t="n">
        <v>0.460829</v>
      </c>
      <c r="O79" s="28" t="n">
        <v>0.500224</v>
      </c>
      <c r="P79" s="28" t="n"/>
      <c r="Q79" s="28" t="n">
        <v>0.039395</v>
      </c>
      <c r="R79" s="26" t="n">
        <v>40</v>
      </c>
      <c r="S79" s="29" t="n">
        <v>1</v>
      </c>
      <c r="T79" s="24" t="inlineStr">
        <is>
          <t>kbo-tie-aware-elo-v2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7</v>
      </c>
      <c r="Y79" s="25" t="n"/>
      <c r="Z79" s="26" t="n"/>
      <c r="AA79" s="28" t="n"/>
      <c r="AB79" s="28" t="n"/>
      <c r="AC79" s="30" t="n">
        <v>1.17</v>
      </c>
      <c r="AD79" s="24" t="inlineStr">
        <is>
          <t>2026-09-29T22:04:03.920165Z</t>
        </is>
      </c>
      <c r="AE79" s="31" t="inlineStr">
        <is>
          <t>Tie-aware Elo baseline; executable ask 0.4600 (market_slug=aec-kbo-sls-ltg-2026-09-29). Tie probability=0.0226.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LG Twins</t>
        </is>
      </c>
      <c r="AQ79" s="24" t="inlineStr">
        <is>
          <t>LG Twins</t>
        </is>
      </c>
      <c r="AR79" s="24" t="inlineStr">
        <is>
          <t>LG Twins</t>
        </is>
      </c>
      <c r="AS79" s="24" t="inlineStr">
        <is>
          <t>SSG Landers</t>
        </is>
      </c>
      <c r="AT79" s="24" t="inlineStr">
        <is>
          <t>SSG Landers</t>
        </is>
      </c>
      <c r="AU79" s="24" t="inlineStr">
        <is>
          <t>SSG Landers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714f3798d0f3563c8f0d3bd0f177802476b8266704d08a6b0933f31938092164</t>
        </is>
      </c>
      <c r="BB79" s="24" t="inlineStr">
        <is>
          <t>tie_aware_elo</t>
        </is>
      </c>
      <c r="BC79" s="24" t="inlineStr">
        <is>
          <t>kbo-tie-aware-elo-v2</t>
        </is>
      </c>
      <c r="BD79" s="24" t="inlineStr">
        <is>
          <t>714f3798d0f3563c8f0d3bd0f177802476b8266704d08a6b0933f31938092164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kbo-tie-aware-elo-v2</t>
        </is>
      </c>
      <c r="BH79" s="24" t="inlineStr">
        <is>
          <t>2026-09-29T04:39:50.200549Z</t>
        </is>
      </c>
      <c r="BI79" s="24" t="inlineStr">
        <is>
          <t>["same_event","same_team_same_day","same_league_same_day"]</t>
        </is>
      </c>
      <c r="BJ79" s="25" t="n"/>
      <c r="BK79" s="26" t="n">
        <v>117</v>
      </c>
      <c r="BL79" s="27" t="n">
        <v>2.17</v>
      </c>
      <c r="BM79" s="28" t="n">
        <v>0.460829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0.460829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"714f3798d0f3563c8f0d3bd0f177802476b8266704d08a6b0933f31938092164", "away_team": "LG Twins", "draw_settlement_value": 0.5, "event_id": "127960", "event_start_utc": "2026-09-29T09:30:00Z", "features": {"away_elo": 1521.655754, "base_tie_rate": 0.02259495, "home_advantage": 20.0, "home_elo": 1501.814763}, "historical_source_observation_times_verified": false, "home_team": "SSG Landers", "inference_inputs": {"away_id": "LG", "base_tie_rate": 0.02259495, "book_state": {"_games_played": null, "_last_active": null, "decay_rate": 0.002, "home_advantage": 20.0, "k": 8.0, "margin_weight": 0.0, "ratings": {"LG": 1521.655754, "SSG": 1501.814763}},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"2026-09-29T04:39:41.585157+00:00", "outcome_probabilities": {"away": 0.48847886312536665, "draw": 0.02259495, "home": 0.48892618687463335}, "replay_scope": "Exact Elo and tie model; logged value is expected contract settlement, not outright win probability.", "schema": "international-elo-replay-v1", "settlement_values": {"away": 0.499776, "home": 0.500224}, "snapshot_hash": "b2325d5ed805ee39c252c1dc4350f1adcac58ec19502b0ddc54ad902f6b7a2c1", "sport": "KBO"}</t>
        </is>
      </c>
    </row>
    <row r="80" ht="36" customHeight="1">
      <c r="A80" s="24" t="inlineStr">
        <is>
          <t>7ab9f20b14fa4d9b</t>
        </is>
      </c>
      <c r="B80" s="24" t="inlineStr">
        <is>
          <t>2026-09-29T04:39:58.474955Z</t>
        </is>
      </c>
      <c r="C80" s="24" t="inlineStr">
        <is>
          <t>2026-09-29T09:30:00Z</t>
        </is>
      </c>
      <c r="D80" s="24" t="inlineStr">
        <is>
          <t>127961</t>
        </is>
      </c>
      <c r="E80" s="24" t="inlineStr">
        <is>
          <t>KBO</t>
        </is>
      </c>
      <c r="F80" s="24" t="inlineStr">
        <is>
          <t>Kiwoom Heroes</t>
        </is>
      </c>
      <c r="G80" s="24" t="inlineStr">
        <is>
          <t>Lotte Giants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0.571971</v>
      </c>
      <c r="P80" s="28" t="n"/>
      <c r="Q80" s="28" t="n">
        <v>-0.087893</v>
      </c>
      <c r="R80" s="26" t="n">
        <v>0</v>
      </c>
      <c r="S80" s="29" t="n">
        <v>1</v>
      </c>
      <c r="T80" s="24" t="inlineStr">
        <is>
          <t>kbo-tie-aware-elo-v2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2</v>
      </c>
      <c r="X80" s="26" t="n">
        <v>4</v>
      </c>
      <c r="Y80" s="25" t="n"/>
      <c r="Z80" s="26" t="n"/>
      <c r="AA80" s="28" t="n"/>
      <c r="AB80" s="28" t="n"/>
      <c r="AC80" s="30" t="n">
        <v>0.5155</v>
      </c>
      <c r="AD80" s="24" t="inlineStr">
        <is>
          <t>2026-09-29T22:04:04.234504Z</t>
        </is>
      </c>
      <c r="AE80" s="31" t="inlineStr">
        <is>
          <t>Tie-aware Elo baseline; executable ask 0.6600 (market_slug=aec-kbo-lgo-khi-2026-09-29). Tie probability=0.0226.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Kiwoom Heroes</t>
        </is>
      </c>
      <c r="AQ80" s="24" t="inlineStr">
        <is>
          <t>Kiwoom Heroes</t>
        </is>
      </c>
      <c r="AR80" s="24" t="inlineStr">
        <is>
          <t>Kiwoom Heroes</t>
        </is>
      </c>
      <c r="AS80" s="24" t="inlineStr">
        <is>
          <t>Lotte Giants</t>
        </is>
      </c>
      <c r="AT80" s="24" t="inlineStr">
        <is>
          <t>Lotte Giants</t>
        </is>
      </c>
      <c r="AU80" s="24" t="inlineStr">
        <is>
          <t>Lotte Giants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714f3798d0f3563c8f0d3bd0f177802476b8266704d08a6b0933f31938092164</t>
        </is>
      </c>
      <c r="BB80" s="24" t="inlineStr">
        <is>
          <t>tie_aware_elo</t>
        </is>
      </c>
      <c r="BC80" s="24" t="inlineStr">
        <is>
          <t>kbo-tie-aware-elo-v2</t>
        </is>
      </c>
      <c r="BD80" s="24" t="inlineStr">
        <is>
          <t>714f3798d0f3563c8f0d3bd0f177802476b8266704d08a6b0933f31938092164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kbo-tie-aware-elo-v2</t>
        </is>
      </c>
      <c r="BH80" s="24" t="inlineStr">
        <is>
          <t>2026-09-29T04:39:50.294878Z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"714f3798d0f3563c8f0d3bd0f177802476b8266704d08a6b0933f31938092164", "away_team": "Kiwoom Heroes", "draw_settlement_value": 0.5, "event_id": "127961", "event_start_utc": "2026-09-29T09:30:00Z", "features": {"away_elo": 1456.80798, "base_tie_rate": 0.02259495, "home_advantage": 20.0, "home_elo": 1488.349169}, "historical_source_observation_times_verified": false, "home_team": "Lotte Giants", "inference_inputs": {"away_id": "KIWOOM", "base_tie_rate": 0.02259495, "book_state": {"_games_played": null, "_last_active": null, "decay_rate": 0.002, "home_advantage": 20.0, "k": 8.0, "margin_weight": 0.0, "ratings": {"KIWOOM": 1456.80798, "LOTTE": 1488.349169}},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"2026-09-29T04:39:41.585157+00:00", "outcome_probabilities": {"away": 0.41673192208173576, "draw": 0.02259495, "home": 0.5606731279182642}, "replay_scope": "Exact Elo and tie model; logged value is expected contract settlement, not outright win probability.", "schema": "international-elo-replay-v1", "settlement_values": {"away": 0.428029, "home": 0.571971}, "snapshot_hash": "1d5b89209b579f11b04e8b25fec4647aa362948c9ac122a408a4f185380a0eb9", "sport": "KBO"}</t>
        </is>
      </c>
    </row>
    <row r="81" ht="36" customHeight="1">
      <c r="A81" s="24" t="inlineStr">
        <is>
          <t>95a76398b7794179</t>
        </is>
      </c>
      <c r="B81" s="24" t="inlineStr">
        <is>
          <t>2026-09-30T04:39:30.211761Z</t>
        </is>
      </c>
      <c r="C81" s="24" t="inlineStr">
        <is>
          <t>2026-09-30T09:30:00Z</t>
        </is>
      </c>
      <c r="D81" s="24" t="inlineStr">
        <is>
          <t>129749</t>
        </is>
      </c>
      <c r="E81" s="24" t="inlineStr">
        <is>
          <t>KBO</t>
        </is>
      </c>
      <c r="F81" s="24" t="inlineStr">
        <is>
          <t>LG Twins</t>
        </is>
      </c>
      <c r="G81" s="24" t="inlineStr">
        <is>
          <t>SSG Landers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133</v>
      </c>
      <c r="M81" s="27" t="n">
        <v>2.33</v>
      </c>
      <c r="N81" s="28" t="n">
        <v>0.429185</v>
      </c>
      <c r="O81" s="28" t="n">
        <v>0.511938</v>
      </c>
      <c r="P81" s="28" t="n"/>
      <c r="Q81" s="28" t="n">
        <v>0.08275299999999999</v>
      </c>
      <c r="R81" s="26" t="n">
        <v>61</v>
      </c>
      <c r="S81" s="29" t="n">
        <v>1.25</v>
      </c>
      <c r="T81" s="24" t="inlineStr">
        <is>
          <t>kbo-tie-aware-elo-v2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1.6625</v>
      </c>
      <c r="AD81" s="24" t="inlineStr">
        <is>
          <t>2026-09-30T16:53:26.020258Z</t>
        </is>
      </c>
      <c r="AE81" s="31" t="inlineStr">
        <is>
          <t>Tie-aware Elo baseline; executable ask 0.4300 (market_slug=aec-kbo-sls-ltg-2026-09-30). Tie probability=0.0226.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LG Twins</t>
        </is>
      </c>
      <c r="AQ81" s="24" t="inlineStr">
        <is>
          <t>LG Twins</t>
        </is>
      </c>
      <c r="AR81" s="24" t="inlineStr">
        <is>
          <t>LG Twins</t>
        </is>
      </c>
      <c r="AS81" s="24" t="inlineStr">
        <is>
          <t>SSG Landers</t>
        </is>
      </c>
      <c r="AT81" s="24" t="inlineStr">
        <is>
          <t>SSG Landers</t>
        </is>
      </c>
      <c r="AU81" s="24" t="inlineStr">
        <is>
          <t>SSG Landers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7b6161b27ca40af134388f5bcb694a631aced6e475aa3c6356da17b37eed18a5</t>
        </is>
      </c>
      <c r="BB81" s="24" t="inlineStr">
        <is>
          <t>tie_aware_elo</t>
        </is>
      </c>
      <c r="BC81" s="24" t="inlineStr">
        <is>
          <t>kbo-tie-aware-elo-v2</t>
        </is>
      </c>
      <c r="BD81" s="24" t="inlineStr">
        <is>
          <t>7b6161b27ca40af134388f5bcb694a631aced6e475aa3c6356da17b37eed18a5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kbo-tie-aware-elo-v2</t>
        </is>
      </c>
      <c r="BH81" s="24" t="inlineStr">
        <is>
          <t>2026-09-30T04:39:21.995305Z</t>
        </is>
      </c>
      <c r="BI81" s="24" t="inlineStr">
        <is>
          <t>["same_event","same_team_same_day","same_league_same_day"]</t>
        </is>
      </c>
      <c r="BJ81" s="25" t="n"/>
      <c r="BK81" s="26" t="n">
        <v>133</v>
      </c>
      <c r="BL81" s="27" t="n">
        <v>2.33</v>
      </c>
      <c r="BM81" s="28" t="n">
        <v>0.429185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0.429185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"7b6161b27ca40af134388f5bcb694a631aced6e475aa3c6356da17b37eed18a5", "away_team": "LG Twins", "draw_settlement_value": 0.5, "event_id": "129749", "event_start_utc": "2026-09-30T09:30:00Z", "features": {"away_elo": 1517.270885, "base_tie_rate": 0.0225793, "home_advantage": 20.0, "home_elo": 1505.759245}, "historical_source_observation_times_verified": false, "home_team": "SSG Landers", "inference_inputs": {"away_id": "LG", "base_tie_rate": 0.0225793, "book_state": {"_games_played": null, "_last_active": null, "decay_rate": 0.002, "home_advantage": 20.0, "k": 8.0, "margin_weight": 0.0, "ratings": {"LG": 1517.270885, "SSG": 1505.759245}},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"2026-09-30T04:39:21.911980+00:00", "outcome_probabilities": {"away": 0.4767728157402651, "draw": 0.0225793, "home": 0.5006478842597349}, "replay_scope": "Exact Elo and tie model; logged value is expected contract settlement, not outright win probability.", "schema": "international-elo-replay-v1", "settlement_values": {"away": 0.488062, "home": 0.511938}, "snapshot_hash": "50547a2eb92eed62c0871bd008c525e44a9514eed066845266e73595ba869879", "sport": "KBO"}</t>
        </is>
      </c>
    </row>
    <row r="82" ht="36" customHeight="1">
      <c r="A82" s="24" t="inlineStr">
        <is>
          <t>219f17bd65ef4341</t>
        </is>
      </c>
      <c r="B82" s="24" t="inlineStr">
        <is>
          <t>2026-09-30T04:39:30.211761Z</t>
        </is>
      </c>
      <c r="C82" s="24" t="inlineStr">
        <is>
          <t>2026-09-30T09:30:00Z</t>
        </is>
      </c>
      <c r="D82" s="24" t="inlineStr">
        <is>
          <t>129750</t>
        </is>
      </c>
      <c r="E82" s="24" t="inlineStr">
        <is>
          <t>KBO</t>
        </is>
      </c>
      <c r="F82" s="24" t="inlineStr">
        <is>
          <t>Hanwha Eagles</t>
        </is>
      </c>
      <c r="G82" s="24" t="inlineStr">
        <is>
          <t>Samsung Lions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-178</v>
      </c>
      <c r="M82" s="27" t="n">
        <v>1.561798</v>
      </c>
      <c r="N82" s="28" t="n">
        <v>0.640288</v>
      </c>
      <c r="O82" s="28" t="n">
        <v>0.649049</v>
      </c>
      <c r="P82" s="28" t="n"/>
      <c r="Q82" s="28" t="n">
        <v>0.008761</v>
      </c>
      <c r="R82" s="26" t="n">
        <v>24</v>
      </c>
      <c r="S82" s="29" t="n">
        <v>1</v>
      </c>
      <c r="T82" s="24" t="inlineStr">
        <is>
          <t>kbo-tie-aware-elo-v2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6</v>
      </c>
      <c r="Y82" s="25" t="n"/>
      <c r="Z82" s="26" t="n">
        <v>-178</v>
      </c>
      <c r="AA82" s="28" t="n">
        <v>0.64</v>
      </c>
      <c r="AB82" s="28" t="n">
        <v>-0.000288</v>
      </c>
      <c r="AC82" s="30" t="n">
        <v>0.5618</v>
      </c>
      <c r="AD82" s="24" t="inlineStr">
        <is>
          <t>2026-09-30T16:53:26.534332Z</t>
        </is>
      </c>
      <c r="AE82" s="31" t="inlineStr">
        <is>
          <t>Tie-aware Elo baseline; executable ask 0.6400 (market_slug=aec-kbo-sla-hea-2026-09-30). Tie probability=0.0226.</t>
        </is>
      </c>
      <c r="AF82" s="31" t="inlineStr">
        <is>
          <t>Config-promoted international baseball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Hanwha Eagles</t>
        </is>
      </c>
      <c r="AQ82" s="24" t="inlineStr">
        <is>
          <t>Hanwha Eagles</t>
        </is>
      </c>
      <c r="AR82" s="24" t="inlineStr">
        <is>
          <t>Hanwha Eagles</t>
        </is>
      </c>
      <c r="AS82" s="24" t="inlineStr">
        <is>
          <t>Samsung Lions</t>
        </is>
      </c>
      <c r="AT82" s="24" t="inlineStr">
        <is>
          <t>Samsung Lions</t>
        </is>
      </c>
      <c r="AU82" s="24" t="inlineStr">
        <is>
          <t>Samsung Lions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7b6161b27ca40af134388f5bcb694a631aced6e475aa3c6356da17b37eed18a5</t>
        </is>
      </c>
      <c r="BB82" s="24" t="inlineStr">
        <is>
          <t>tie_aware_elo</t>
        </is>
      </c>
      <c r="BC82" s="24" t="inlineStr">
        <is>
          <t>kbo-tie-aware-elo-v2</t>
        </is>
      </c>
      <c r="BD82" s="24" t="inlineStr">
        <is>
          <t>7b6161b27ca40af134388f5bcb694a631aced6e475aa3c6356da17b37eed18a5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kbo-tie-aware-elo-v2</t>
        </is>
      </c>
      <c r="BH82" s="24" t="inlineStr">
        <is>
          <t>2026-09-30T04:39:22.067963Z</t>
        </is>
      </c>
      <c r="BI82" s="24" t="inlineStr">
        <is>
          <t>["same_event","same_team_same_day","same_league_same_day"]</t>
        </is>
      </c>
      <c r="BJ82" s="25" t="n"/>
      <c r="BK82" s="26" t="n">
        <v>-178</v>
      </c>
      <c r="BL82" s="27" t="n">
        <v>1.561798</v>
      </c>
      <c r="BM82" s="28" t="n">
        <v>0.640288</v>
      </c>
      <c r="BN82" s="28" t="n"/>
      <c r="BO82" s="28" t="n"/>
      <c r="BP82" s="25" t="n"/>
      <c r="BQ82" s="27" t="n">
        <v>1.561798</v>
      </c>
      <c r="BR82" s="28" t="n">
        <v>0.64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0.640288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"7b6161b27ca40af134388f5bcb694a631aced6e475aa3c6356da17b37eed18a5", "away_team": "Hanwha Eagles", "draw_settlement_value": 0.5, "event_id": "129750", "event_start_utc": "2026-09-30T09:30:00Z", "features": {"away_elo": 1442.072374, "base_tie_rate": 0.0225793, "home_advantage": 20.0, "home_elo": 1531.516576}, "historical_source_observation_times_verified": false, "home_team": "Samsung Lions", "inference_inputs": {"away_id": "HANWHA", "base_tie_rate": 0.0225793, "book_state": {"_games_played": null, "_last_active": null, "decay_rate": 0.002, "home_advantage": 20.0, "k": 8.0, "margin_weight": 0.0, "ratings": {"HANWHA": 1442.072374, "SAMSUNG": 1531.516576}},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"2026-09-30T04:39:21.911980+00:00", "outcome_probabilities": {"away": 0.3396614510396116, "draw": 0.0225793, "home": 0.6377592489603885}, "replay_scope": "Exact Elo and tie model; logged value is expected contract settlement, not outright win probability.", "schema": "international-elo-replay-v1", "settlement_values": {"away": 0.350951, "home": 0.649049}, "snapshot_hash": "811e1b4e16aad537b1d59b7b2bf588fb45e9369cece3c1e5332b7542d4b297b7", "sport": "KBO"}</t>
        </is>
      </c>
    </row>
    <row r="83" ht="36" customHeight="1">
      <c r="A83" s="24" t="inlineStr">
        <is>
          <t>b8c14be420984348</t>
        </is>
      </c>
      <c r="B83" s="24" t="inlineStr">
        <is>
          <t>2026-10-01T04:40:13.696249Z</t>
        </is>
      </c>
      <c r="C83" s="24" t="inlineStr">
        <is>
          <t>2026-10-01T09:30:00Z</t>
        </is>
      </c>
      <c r="D83" s="24" t="inlineStr">
        <is>
          <t>131359</t>
        </is>
      </c>
      <c r="E83" s="24" t="inlineStr">
        <is>
          <t>KBO</t>
        </is>
      </c>
      <c r="F83" s="24" t="inlineStr">
        <is>
          <t>KT Wiz</t>
        </is>
      </c>
      <c r="G83" s="24" t="inlineStr">
        <is>
          <t>Kia Tigers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-133</v>
      </c>
      <c r="M83" s="27" t="n">
        <v>1.75188</v>
      </c>
      <c r="N83" s="28" t="n">
        <v>0.570815</v>
      </c>
      <c r="O83" s="28" t="n">
        <v>0.53368</v>
      </c>
      <c r="P83" s="28" t="n"/>
      <c r="Q83" s="28" t="n">
        <v>-0.037135</v>
      </c>
      <c r="R83" s="26" t="n">
        <v>1</v>
      </c>
      <c r="S83" s="29" t="n">
        <v>1</v>
      </c>
      <c r="T83" s="24" t="inlineStr">
        <is>
          <t>kbo-tie-aware-elo-v2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5</v>
      </c>
      <c r="Y83" s="25" t="n"/>
      <c r="Z83" s="26" t="n"/>
      <c r="AA83" s="28" t="n"/>
      <c r="AB83" s="28" t="n"/>
      <c r="AC83" s="30" t="n">
        <v>0.7519</v>
      </c>
      <c r="AD83" s="24" t="inlineStr">
        <is>
          <t>2026-10-01T16:02:51.143578Z</t>
        </is>
      </c>
      <c r="AE83" s="31" t="inlineStr">
        <is>
          <t>Tie-aware Elo baseline; executable ask 0.5700 (market_slug=aec-kbo-kti-kwt-2026-10-01). Tie probability=0.0226.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KT Wiz</t>
        </is>
      </c>
      <c r="AQ83" s="24" t="inlineStr">
        <is>
          <t>KT Wiz</t>
        </is>
      </c>
      <c r="AR83" s="24" t="inlineStr">
        <is>
          <t>KT Wiz</t>
        </is>
      </c>
      <c r="AS83" s="24" t="inlineStr">
        <is>
          <t>Kia Tigers</t>
        </is>
      </c>
      <c r="AT83" s="24" t="inlineStr">
        <is>
          <t>Kia Tigers</t>
        </is>
      </c>
      <c r="AU83" s="24" t="inlineStr">
        <is>
          <t>Kia Tigers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fb7300b3c7441b1653f89c7808de01f4bdb84a0fd72f82d1d5730bf100e31f47</t>
        </is>
      </c>
      <c r="BB83" s="24" t="inlineStr">
        <is>
          <t>tie_aware_elo</t>
        </is>
      </c>
      <c r="BC83" s="24" t="inlineStr">
        <is>
          <t>kbo-tie-aware-elo-v2</t>
        </is>
      </c>
      <c r="BD83" s="24" t="inlineStr">
        <is>
          <t>fb7300b3c7441b1653f89c7808de01f4bdb84a0fd72f82d1d5730bf100e31f47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kbo-tie-aware-elo-v2</t>
        </is>
      </c>
      <c r="BH83" s="24" t="inlineStr">
        <is>
          <t>2026-10-01T04:40:09.422377Z</t>
        </is>
      </c>
      <c r="BI83" s="24" t="inlineStr">
        <is>
          <t>["same_event","same_team_same_day","same_league_same_day"]</t>
        </is>
      </c>
      <c r="BJ83" s="25" t="n"/>
      <c r="BK83" s="26" t="n">
        <v>-133</v>
      </c>
      <c r="BL83" s="27" t="n">
        <v>1.75188</v>
      </c>
      <c r="BM83" s="28" t="n">
        <v>0.570815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0.570815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"fb7300b3c7441b1653f89c7808de01f4bdb84a0fd72f82d1d5730bf100e31f47", "away_team": "KT Wiz", "draw_settlement_value": 0.5, "event_id": "131359", "event_start_utc": "2026-10-01T09:30:00Z", "features": {"away_elo": 1561.128934, "base_tie_rate": 0.02256368, "home_advantage": 20.0, "home_elo": 1517.147501}, "historical_source_observation_times_verified": false, "home_team": "Kia Tigers", "inference_inputs": {"away_id": "KT", "base_tie_rate": 0.02256368, "book_state": {"_games_played": null, "_last_active": null, "decay_rate": 0.002, "home_advantage": 20.0, "k": 8.0, "margin_weight": 0.0, "ratings": {"KIA": 1517.147501, "KT": 1561.128934}},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"2026-10-01T04:40:09.319998+00:00", "outcome_probabilities": {"away": 0.5223980270072005, "draw": 0.02256368, "home": 0.4550382929927995}, "replay_scope": "Exact Elo and tie model; logged value is expected contract settlement, not outright win probability.", "schema": "international-elo-replay-v1", "settlement_values": {"away": 0.53368, "home": 0.46632}, "snapshot_hash": "cbcaee39e4c93d8869c9a1e87bcd595e4095ec2354cebc7bd73c669c444f1dfd", "sport": "KBO"}</t>
        </is>
      </c>
    </row>
    <row r="84" ht="36" customHeight="1">
      <c r="A84" s="24" t="inlineStr">
        <is>
          <t>db892b9cba644516</t>
        </is>
      </c>
      <c r="B84" s="24" t="inlineStr">
        <is>
          <t>2026-10-01T04:40:13.696249Z</t>
        </is>
      </c>
      <c r="C84" s="24" t="inlineStr">
        <is>
          <t>2026-10-01T09:30:00Z</t>
        </is>
      </c>
      <c r="D84" s="24" t="inlineStr">
        <is>
          <t>131360</t>
        </is>
      </c>
      <c r="E84" s="24" t="inlineStr">
        <is>
          <t>KBO</t>
        </is>
      </c>
      <c r="F84" s="24" t="inlineStr">
        <is>
          <t>Hanwha Eagles</t>
        </is>
      </c>
      <c r="G84" s="24" t="inlineStr">
        <is>
          <t>Samsung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-213</v>
      </c>
      <c r="M84" s="27" t="n">
        <v>1.469484</v>
      </c>
      <c r="N84" s="28" t="n">
        <v>0.680511</v>
      </c>
      <c r="O84" s="28" t="n">
        <v>0.655884</v>
      </c>
      <c r="P84" s="28" t="n"/>
      <c r="Q84" s="28" t="n">
        <v>-0.024627</v>
      </c>
      <c r="R84" s="26" t="n">
        <v>8</v>
      </c>
      <c r="S84" s="29" t="n">
        <v>1</v>
      </c>
      <c r="T84" s="24" t="inlineStr">
        <is>
          <t>kbo-tie-aware-elo-v2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2</v>
      </c>
      <c r="X84" s="26" t="n">
        <v>3</v>
      </c>
      <c r="Y84" s="25" t="n"/>
      <c r="Z84" s="26" t="n"/>
      <c r="AA84" s="28" t="n"/>
      <c r="AB84" s="28" t="n"/>
      <c r="AC84" s="30" t="n">
        <v>0.4695</v>
      </c>
      <c r="AD84" s="24" t="inlineStr">
        <is>
          <t>2026-10-01T16:02:51.485079Z</t>
        </is>
      </c>
      <c r="AE84" s="31" t="inlineStr">
        <is>
          <t>Tie-aware Elo baseline; executable ask 0.6800 (market_slug=aec-kbo-sla-hea-2026-10-01). Tie probability=0.0226.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Hanwha Eagles</t>
        </is>
      </c>
      <c r="AQ84" s="24" t="inlineStr">
        <is>
          <t>Hanwha Eagles</t>
        </is>
      </c>
      <c r="AR84" s="24" t="inlineStr">
        <is>
          <t>Hanwha Eagles</t>
        </is>
      </c>
      <c r="AS84" s="24" t="inlineStr">
        <is>
          <t>Samsung Lions</t>
        </is>
      </c>
      <c r="AT84" s="24" t="inlineStr">
        <is>
          <t>Samsung Lions</t>
        </is>
      </c>
      <c r="AU84" s="24" t="inlineStr">
        <is>
          <t>Samsung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fb7300b3c7441b1653f89c7808de01f4bdb84a0fd72f82d1d5730bf100e31f47</t>
        </is>
      </c>
      <c r="BB84" s="24" t="inlineStr">
        <is>
          <t>tie_aware_elo</t>
        </is>
      </c>
      <c r="BC84" s="24" t="inlineStr">
        <is>
          <t>kbo-tie-aware-elo-v2</t>
        </is>
      </c>
      <c r="BD84" s="24" t="inlineStr">
        <is>
          <t>fb7300b3c7441b1653f89c7808de01f4bdb84a0fd72f82d1d5730bf100e31f47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kbo-tie-aware-elo-v2</t>
        </is>
      </c>
      <c r="BH84" s="24" t="inlineStr">
        <is>
          <t>2026-10-01T04:40:09.500649Z</t>
        </is>
      </c>
      <c r="BI84" s="24" t="inlineStr">
        <is>
          <t>["same_event","same_team_same_day","same_league_same_day"]</t>
        </is>
      </c>
      <c r="BJ84" s="25" t="n"/>
      <c r="BK84" s="26" t="n">
        <v>-213</v>
      </c>
      <c r="BL84" s="27" t="n">
        <v>1.469484</v>
      </c>
      <c r="BM84" s="28" t="n">
        <v>0.680511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0.680511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"fb7300b3c7441b1653f89c7808de01f4bdb84a0fd72f82d1d5730bf100e31f47", "away_team": "Hanwha Eagles", "draw_settlement_value": 0.5, "event_id": "131360", "event_start_utc": "2026-10-01T09:30:00Z", "features": {"away_elo": 1439.408166, "base_tie_rate": 0.02256368, "home_advantage": 20.0, "home_elo": 1534.233606}, "historical_source_observation_times_verified": false, "home_team": "Samsung Lions", "inference_inputs": {"away_id": "HANWHA", "base_tie_rate": 0.02256368, "book_state": {"_games_played": null, "_last_active": null, "decay_rate": 0.002, "home_advantage": 20.0, "k": 8.0, "margin_weight": 0.0, "ratings": {"HANWHA": 1439.408166, "SAMSUNG": 1534.233606}},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"2026-10-01T04:40:09.319998+00:00", "outcome_probabilities": {"away": 0.33283429307734813, "draw": 0.02256368, "home": 0.6446020269226519}, "replay_scope": "Exact Elo and tie model; logged value is expected contract settlement, not outright win probability.", "schema": "international-elo-replay-v1", "settlement_values": {"away": 0.344116, "home": 0.655884}, "snapshot_hash": "a26276669da9268e6ba1fda033cc8e83e303e9c606230fcbce9e442a739704c5", "sport": "KBO"}</t>
        </is>
      </c>
    </row>
    <row r="85" ht="36" customHeight="1">
      <c r="A85" s="24" t="inlineStr">
        <is>
          <t>4aae029dae3647da</t>
        </is>
      </c>
      <c r="B85" s="24" t="inlineStr">
        <is>
          <t>2026-10-01T04:40:13.696249Z</t>
        </is>
      </c>
      <c r="C85" s="24" t="inlineStr">
        <is>
          <t>2026-10-01T09:30:00Z</t>
        </is>
      </c>
      <c r="D85" s="24" t="inlineStr">
        <is>
          <t>131361</t>
        </is>
      </c>
      <c r="E85" s="24" t="inlineStr">
        <is>
          <t>KBO</t>
        </is>
      </c>
      <c r="F85" s="24" t="inlineStr">
        <is>
          <t>NC Dinos</t>
        </is>
      </c>
      <c r="G85" s="24" t="inlineStr">
        <is>
          <t>Doosan Bears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-156</v>
      </c>
      <c r="M85" s="27" t="n">
        <v>1.641026</v>
      </c>
      <c r="N85" s="28" t="n">
        <v>0.609375</v>
      </c>
      <c r="O85" s="28" t="n">
        <v>0.567138</v>
      </c>
      <c r="P85" s="28" t="n"/>
      <c r="Q85" s="28" t="n">
        <v>-0.042237</v>
      </c>
      <c r="R85" s="26" t="n">
        <v>0</v>
      </c>
      <c r="S85" s="29" t="n">
        <v>1</v>
      </c>
      <c r="T85" s="24" t="inlineStr">
        <is>
          <t>kbo-tie-aware-elo-v2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7</v>
      </c>
      <c r="X85" s="26" t="n">
        <v>9</v>
      </c>
      <c r="Y85" s="25" t="n"/>
      <c r="Z85" s="26" t="n"/>
      <c r="AA85" s="28" t="n"/>
      <c r="AB85" s="28" t="n"/>
      <c r="AC85" s="30" t="n">
        <v>0.641</v>
      </c>
      <c r="AD85" s="24" t="inlineStr">
        <is>
          <t>2026-10-01T16:02:51.594314Z</t>
        </is>
      </c>
      <c r="AE85" s="31" t="inlineStr">
        <is>
          <t>Tie-aware Elo baseline; executable ask 0.6100 (market_slug=aec-kbo-dbo-ndc-2026-10-01). Tie probability=0.0226.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NC Dinos</t>
        </is>
      </c>
      <c r="AQ85" s="24" t="inlineStr">
        <is>
          <t>NC Dinos</t>
        </is>
      </c>
      <c r="AR85" s="24" t="inlineStr">
        <is>
          <t>NC Dinos</t>
        </is>
      </c>
      <c r="AS85" s="24" t="inlineStr">
        <is>
          <t>Doosan Bears</t>
        </is>
      </c>
      <c r="AT85" s="24" t="inlineStr">
        <is>
          <t>Doosan Bears</t>
        </is>
      </c>
      <c r="AU85" s="24" t="inlineStr">
        <is>
          <t>Doosan Bears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fb7300b3c7441b1653f89c7808de01f4bdb84a0fd72f82d1d5730bf100e31f47</t>
        </is>
      </c>
      <c r="BB85" s="24" t="inlineStr">
        <is>
          <t>tie_aware_elo</t>
        </is>
      </c>
      <c r="BC85" s="24" t="inlineStr">
        <is>
          <t>kbo-tie-aware-elo-v2</t>
        </is>
      </c>
      <c r="BD85" s="24" t="inlineStr">
        <is>
          <t>fb7300b3c7441b1653f89c7808de01f4bdb84a0fd72f82d1d5730bf100e31f47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kbo-tie-aware-elo-v2</t>
        </is>
      </c>
      <c r="BH85" s="24" t="inlineStr">
        <is>
          <t>2026-10-01T04:40:09.545989Z</t>
        </is>
      </c>
      <c r="BI85" s="24" t="inlineStr">
        <is>
          <t>["same_event","same_team_same_day","same_league_same_day"]</t>
        </is>
      </c>
      <c r="BJ85" s="25" t="n"/>
      <c r="BK85" s="26" t="n">
        <v>-156</v>
      </c>
      <c r="BL85" s="27" t="n">
        <v>1.641026</v>
      </c>
      <c r="BM85" s="28" t="n">
        <v>0.609375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0.609375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"fb7300b3c7441b1653f89c7808de01f4bdb84a0fd72f82d1d5730bf100e31f47", "away_team": "NC Dinos", "draw_settlement_value": 0.5, "event_id": "131361", "event_start_utc": "2026-10-01T09:30:00Z", "features": {"away_elo": 1481.107787, "base_tie_rate": 0.02256368, "home_advantage": 20.0, "home_elo": 1509.14051}, "historical_source_observation_times_verified": false, "home_team": "Doosan Bears", "inference_inputs": {"away_id": "NC", "base_tie_rate": 0.02256368, "book_state": {"_games_played": null, "_last_active": null, "decay_rate": 0.002, "home_advantage": 20.0, "k": 8.0, "margin_weight": 0.0, "ratings": {"DOOSAN": 1509.14051, "NC": 1481.107787}},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"2026-10-01T04:40:09.319998+00:00", "outcome_probabilities": {"away": 0.4215804089919784, "draw": 0.02256368, "home": 0.5558559110080216}, "replay_scope": "Exact Elo and tie model; logged value is expected contract settlement, not outright win probability.", "schema": "international-elo-replay-v1", "settlement_values": {"away": 0.432862, "home": 0.567138}, "snapshot_hash": "a3a96fb46ab275062c717ea547eee89747cfeb02ec798d13bbe38fb2e0a54647", "sport": "KBO"}</t>
        </is>
      </c>
    </row>
    <row r="86" ht="36" customHeight="1">
      <c r="A86" s="24" t="inlineStr">
        <is>
          <t>a60f1f5d9fa94353</t>
        </is>
      </c>
      <c r="B86" s="24" t="inlineStr">
        <is>
          <t>2026-10-02T22:06:50.194375Z</t>
        </is>
      </c>
      <c r="C86" s="24" t="inlineStr">
        <is>
          <t>2026-10-03T05:00:00Z</t>
        </is>
      </c>
      <c r="D86" s="24" t="inlineStr">
        <is>
          <t>134374</t>
        </is>
      </c>
      <c r="E86" s="24" t="inlineStr">
        <is>
          <t>KBO</t>
        </is>
      </c>
      <c r="F86" s="24" t="inlineStr">
        <is>
          <t>Doosan Bears</t>
        </is>
      </c>
      <c r="G86" s="24" t="inlineStr">
        <is>
          <t>Samsung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-150</v>
      </c>
      <c r="M86" s="27" t="n">
        <v>1.666667</v>
      </c>
      <c r="N86" s="28" t="n">
        <v>0.6</v>
      </c>
      <c r="O86" s="28" t="n">
        <v>0.572116</v>
      </c>
      <c r="P86" s="28" t="n"/>
      <c r="Q86" s="28" t="n">
        <v>-0.027884</v>
      </c>
      <c r="R86" s="26" t="n">
        <v>6</v>
      </c>
      <c r="S86" s="29" t="n">
        <v>1</v>
      </c>
      <c r="T86" s="24" t="inlineStr">
        <is>
          <t>kbo-tie-aware-elo-v2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6</v>
      </c>
      <c r="Y86" s="25" t="n"/>
      <c r="Z86" s="26" t="n"/>
      <c r="AA86" s="28" t="n"/>
      <c r="AB86" s="28" t="n"/>
      <c r="AC86" s="30" t="n">
        <v>0.6667</v>
      </c>
      <c r="AD86" s="24" t="inlineStr">
        <is>
          <t>2026-10-03T10:02:20.990263Z</t>
        </is>
      </c>
      <c r="AE86" s="31" t="inlineStr">
        <is>
          <t>Tie-aware Elo baseline; executable ask 0.6000 (market_slug=aec-kbo-sla-dbo-2026-10-03). Tie probability=0.0226.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Doosan Bears</t>
        </is>
      </c>
      <c r="AQ86" s="24" t="inlineStr">
        <is>
          <t>Doosan Bears</t>
        </is>
      </c>
      <c r="AR86" s="24" t="inlineStr">
        <is>
          <t>Doosan Bears</t>
        </is>
      </c>
      <c r="AS86" s="24" t="inlineStr">
        <is>
          <t>Samsung Lions</t>
        </is>
      </c>
      <c r="AT86" s="24" t="inlineStr">
        <is>
          <t>Samsung Lions</t>
        </is>
      </c>
      <c r="AU86" s="24" t="inlineStr">
        <is>
          <t>Samsung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172b9e1c88305d2836582a3eac170c9801753f067305b80d8883461e7709b794</t>
        </is>
      </c>
      <c r="BB86" s="24" t="inlineStr">
        <is>
          <t>tie_aware_elo</t>
        </is>
      </c>
      <c r="BC86" s="24" t="inlineStr">
        <is>
          <t>kbo-tie-aware-elo-v2</t>
        </is>
      </c>
      <c r="BD86" s="24" t="inlineStr">
        <is>
          <t>172b9e1c88305d2836582a3eac170c9801753f067305b80d8883461e7709b794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kbo-tie-aware-elo-v2</t>
        </is>
      </c>
      <c r="BH86" s="24" t="inlineStr">
        <is>
          <t>2026-10-02T22:06:42.217821Z</t>
        </is>
      </c>
      <c r="BI86" s="24" t="inlineStr">
        <is>
          <t>["same_event","same_team_same_day","same_league_same_day"]</t>
        </is>
      </c>
      <c r="BJ86" s="25" t="n"/>
      <c r="BK86" s="26" t="n">
        <v>-150</v>
      </c>
      <c r="BL86" s="27" t="n">
        <v>1.666667</v>
      </c>
      <c r="BM86" s="28" t="n">
        <v>0.6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"172b9e1c88305d2836582a3eac170c9801753f067305b80d8883461e7709b794", "away_team": "Doosan Bears", "draw_settlement_value": 0.5, "event_id": "134374", "event_start_utc": "2026-10-03T05:00:00Z", "features": {"away_elo": 1514.492827, "base_tie_rate": 0.02255119, "home_advantage": 20.0, "home_elo": 1546.137206}, "historical_source_observation_times_verified": false, "home_team": "Samsung Lions", "inference_inputs": {"away_id": "DOOSAN", "base_tie_rate": 0.02255119, "book_state": {"_games_played": null, "_last_active": null, "decay_rate": 0.001, "home_advantage": 20.0, "k": 8.0, "margin_weight": 0.0, "ratings": {"DOOSAN": 1514.492827, "SAMSUNG": 1546.137206}},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"2026-10-02T22:06:42.162416+00:00", "outcome_probabilities": {"away": 0.4166085807138038, "draw": 0.02255119, "home": 0.5608402292861963}, "replay_scope": "Exact Elo and tie model; logged value is expected contract settlement, not outright win probability.", "schema": "international-elo-replay-v1", "settlement_values": {"away": 0.427884, "home": 0.572116}, "snapshot_hash": "8991822fb3a6c7d6f3bd2827807afe84a0db42000a6e045bbdd7ee305e5dd273", "sport": "KBO"}</t>
        </is>
      </c>
    </row>
    <row r="87" ht="36" customHeight="1">
      <c r="A87" s="24" t="inlineStr">
        <is>
          <t>d504a3843d304934</t>
        </is>
      </c>
      <c r="B87" s="24" t="inlineStr">
        <is>
          <t>2026-10-02T22:06:50.194375Z</t>
        </is>
      </c>
      <c r="C87" s="24" t="inlineStr">
        <is>
          <t>2026-10-03T05:00:00Z</t>
        </is>
      </c>
      <c r="D87" s="24" t="inlineStr">
        <is>
          <t>134375</t>
        </is>
      </c>
      <c r="E87" s="24" t="inlineStr">
        <is>
          <t>KBO</t>
        </is>
      </c>
      <c r="F87" s="24" t="inlineStr">
        <is>
          <t>Kia Tigers</t>
        </is>
      </c>
      <c r="G87" s="24" t="inlineStr">
        <is>
          <t>LG Twins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-117</v>
      </c>
      <c r="M87" s="27" t="n">
        <v>1.854701</v>
      </c>
      <c r="N87" s="28" t="n">
        <v>0.539171</v>
      </c>
      <c r="O87" s="28" t="n">
        <v>0.527392</v>
      </c>
      <c r="P87" s="28" t="n"/>
      <c r="Q87" s="28" t="n">
        <v>-0.011779</v>
      </c>
      <c r="R87" s="26" t="n">
        <v>14</v>
      </c>
      <c r="S87" s="29" t="n">
        <v>1</v>
      </c>
      <c r="T87" s="24" t="inlineStr">
        <is>
          <t>kbo-tie-aware-elo-v2</t>
        </is>
      </c>
      <c r="U87" s="24" t="inlineStr">
        <is>
          <t>settled</t>
        </is>
      </c>
      <c r="V87" s="24" t="inlineStr">
        <is>
          <t>loss</t>
        </is>
      </c>
      <c r="W87" s="26" t="n">
        <v>5</v>
      </c>
      <c r="X87" s="26" t="n">
        <v>4</v>
      </c>
      <c r="Y87" s="25" t="n"/>
      <c r="Z87" s="26" t="n"/>
      <c r="AA87" s="28" t="n"/>
      <c r="AB87" s="28" t="n"/>
      <c r="AC87" s="30" t="n">
        <v>-1</v>
      </c>
      <c r="AD87" s="24" t="inlineStr">
        <is>
          <t>2026-10-03T10:02:21.160383Z</t>
        </is>
      </c>
      <c r="AE87" s="31" t="inlineStr">
        <is>
          <t>Tie-aware Elo baseline; executable ask 0.5400 (market_slug=aec-kbo-ltg-kti-2026-10-03). Tie probability=0.0226.</t>
        </is>
      </c>
      <c r="AF87" s="31" t="inlineStr">
        <is>
          <t>Config-promoted international baseball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Kia Tigers</t>
        </is>
      </c>
      <c r="AQ87" s="24" t="inlineStr">
        <is>
          <t>Kia Tigers</t>
        </is>
      </c>
      <c r="AR87" s="24" t="inlineStr">
        <is>
          <t>Kia Tigers</t>
        </is>
      </c>
      <c r="AS87" s="24" t="inlineStr">
        <is>
          <t>LG Twins</t>
        </is>
      </c>
      <c r="AT87" s="24" t="inlineStr">
        <is>
          <t>LG Twins</t>
        </is>
      </c>
      <c r="AU87" s="24" t="inlineStr">
        <is>
          <t>LG Twins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172b9e1c88305d2836582a3eac170c9801753f067305b80d8883461e7709b794</t>
        </is>
      </c>
      <c r="BB87" s="24" t="inlineStr">
        <is>
          <t>tie_aware_elo</t>
        </is>
      </c>
      <c r="BC87" s="24" t="inlineStr">
        <is>
          <t>kbo-tie-aware-elo-v2</t>
        </is>
      </c>
      <c r="BD87" s="24" t="inlineStr">
        <is>
          <t>172b9e1c88305d2836582a3eac170c9801753f067305b80d8883461e7709b794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kbo-tie-aware-elo-v2</t>
        </is>
      </c>
      <c r="BH87" s="24" t="inlineStr">
        <is>
          <t>2026-10-02T22:06:42.279866Z</t>
        </is>
      </c>
      <c r="BI87" s="24" t="inlineStr">
        <is>
          <t>["same_event","same_team_same_day","same_league_same_day"]</t>
        </is>
      </c>
      <c r="BJ87" s="25" t="n"/>
      <c r="BK87" s="26" t="n">
        <v>-117</v>
      </c>
      <c r="BL87" s="27" t="n">
        <v>1.854701</v>
      </c>
      <c r="BM87" s="28" t="n">
        <v>0.539171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0.539171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"172b9e1c88305d2836582a3eac170c9801753f067305b80d8883461e7709b794", "away_team": "Kia Tigers", "draw_settlement_value": 0.5, "event_id": "134375", "event_start_utc": "2026-10-03T05:00:00Z", "features": {"away_elo": 1516.305542, "base_tie_rate": 0.02255119, "home_advantage": 20.0, "home_elo": 1515.799073}, "historical_source_observation_times_verified": false, "home_team": "LG Twins", "inference_inputs": {"away_id": "KIA", "base_tie_rate": 0.02255119, "book_state": {"_games_played": null, "_last_active": null, "decay_rate": 0.001, "home_advantage": 20.0, "k": 8.0, "margin_weight": 0.0, "ratings": {"KIA": 1516.305542, "LG": 1515.799073}},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"2026-10-02T22:06:42.162416+00:00", "outcome_probabilities": {"away": 0.46133233464372725, "draw": 0.02255119, "home": 0.5161164753562728}, "replay_scope": "Exact Elo and tie model; logged value is expected contract settlement, not outright win probability.", "schema": "international-elo-replay-v1", "settlement_values": {"away": 0.472608, "home": 0.527392}, "snapshot_hash": "34934833be314b8298a596284a811f0bf27c343af9b8007f25f4763f560ca99a", "sport": "KBO"}</t>
        </is>
      </c>
    </row>
    <row r="88" ht="36" customHeight="1">
      <c r="A88" s="24" t="inlineStr">
        <is>
          <t>c947ce9d6fab4102</t>
        </is>
      </c>
      <c r="B88" s="24" t="inlineStr">
        <is>
          <t>2026-10-02T22:06:50.194375Z</t>
        </is>
      </c>
      <c r="C88" s="24" t="inlineStr">
        <is>
          <t>2026-10-03T05:00:00Z</t>
        </is>
      </c>
      <c r="D88" s="24" t="inlineStr">
        <is>
          <t>134376</t>
        </is>
      </c>
      <c r="E88" s="24" t="inlineStr">
        <is>
          <t>KBO</t>
        </is>
      </c>
      <c r="F88" s="24" t="inlineStr">
        <is>
          <t>Lotte Giants</t>
        </is>
      </c>
      <c r="G88" s="24" t="inlineStr">
        <is>
          <t>KT Wiz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0.63873</v>
      </c>
      <c r="P88" s="28" t="n"/>
      <c r="Q88" s="28" t="n">
        <v>0.03873</v>
      </c>
      <c r="R88" s="26" t="n">
        <v>39</v>
      </c>
      <c r="S88" s="29" t="n">
        <v>1</v>
      </c>
      <c r="T88" s="24" t="inlineStr">
        <is>
          <t>kbo-tie-aware-elo-v2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5</v>
      </c>
      <c r="Y88" s="25" t="n"/>
      <c r="Z88" s="26" t="n"/>
      <c r="AA88" s="28" t="n"/>
      <c r="AB88" s="28" t="n"/>
      <c r="AC88" s="30" t="n">
        <v>0.6667</v>
      </c>
      <c r="AD88" s="24" t="inlineStr">
        <is>
          <t>2026-10-03T10:02:21.265367Z</t>
        </is>
      </c>
      <c r="AE88" s="31" t="inlineStr">
        <is>
          <t>Tie-aware Elo baseline; executable ask 0.6000 (market_slug=aec-kbo-kwt-lgo-2026-10-03). Tie probability=0.0226.</t>
        </is>
      </c>
      <c r="AF88" s="31" t="inlineStr">
        <is>
          <t>Config-promoted international baseball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Lotte Giants</t>
        </is>
      </c>
      <c r="AQ88" s="24" t="inlineStr">
        <is>
          <t>Lotte Giants</t>
        </is>
      </c>
      <c r="AR88" s="24" t="inlineStr">
        <is>
          <t>Lotte Giants</t>
        </is>
      </c>
      <c r="AS88" s="24" t="inlineStr">
        <is>
          <t>KT Wiz</t>
        </is>
      </c>
      <c r="AT88" s="24" t="inlineStr">
        <is>
          <t>KT Wiz</t>
        </is>
      </c>
      <c r="AU88" s="24" t="inlineStr">
        <is>
          <t>KT Wiz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172b9e1c88305d2836582a3eac170c9801753f067305b80d8883461e7709b794</t>
        </is>
      </c>
      <c r="BB88" s="24" t="inlineStr">
        <is>
          <t>tie_aware_elo</t>
        </is>
      </c>
      <c r="BC88" s="24" t="inlineStr">
        <is>
          <t>kbo-tie-aware-elo-v2</t>
        </is>
      </c>
      <c r="BD88" s="24" t="inlineStr">
        <is>
          <t>172b9e1c88305d2836582a3eac170c9801753f067305b80d8883461e7709b794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kbo-tie-aware-elo-v2</t>
        </is>
      </c>
      <c r="BH88" s="24" t="inlineStr">
        <is>
          <t>2026-10-02T22:06:42.366588Z</t>
        </is>
      </c>
      <c r="BI88" s="24" t="inlineStr">
        <is>
          <t>["same_event","same_team_same_day","same_league_same_day"]</t>
        </is>
      </c>
      <c r="BJ88" s="25" t="n"/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"172b9e1c88305d2836582a3eac170c9801753f067305b80d8883461e7709b794", "away_team": "Lotte Giants", "draw_settlement_value": 0.5, "event_id": "134376", "event_start_utc": "2026-10-03T05:00:00Z", "features": {"away_elo": 1491.048036, "base_tie_rate": 0.02255119, "home_advantage": 20.0, "home_elo": 1572.456635}, "historical_source_observation_times_verified": false, "home_team": "KT Wiz", "inference_inputs": {"away_id": "LOTTE", "base_tie_rate": 0.02255119, "book_state": {"_games_played": null, "_last_active": null, "decay_rate": 0.001, "home_advantage": 20.0, "k": 8.0, "margin_weight": 0.0, "ratings": {"KT": 1572.456635, "LOTTE": 1491.048036}},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"2026-10-02T22:06:42.162416+00:00", "outcome_probabilities": {"away": 0.3499941842535638, "draw": 0.02255119, "home": 0.6274546257464362}, "replay_scope": "Exact Elo and tie model; logged value is expected contract settlement, not outright win probability.", "schema": "international-elo-replay-v1", "settlement_values": {"away": 0.36127, "home": 0.63873}, "snapshot_hash": "4e15c4a5d12584be66c38a0f6bc524cf5c228be3e6fb5b09b93cdb9fa7d7dc81", "sport": "KBO"}</t>
        </is>
      </c>
    </row>
    <row r="89" ht="36" customHeight="1">
      <c r="A89" s="24" t="inlineStr">
        <is>
          <t>ebc1f2d7692b42a4</t>
        </is>
      </c>
      <c r="B89" s="24" t="inlineStr">
        <is>
          <t>2026-10-03T22:33:06.788480Z</t>
        </is>
      </c>
      <c r="C89" s="24" t="inlineStr">
        <is>
          <t>2026-10-04T05:00:00Z</t>
        </is>
      </c>
      <c r="D89" s="24" t="inlineStr">
        <is>
          <t>136243</t>
        </is>
      </c>
      <c r="E89" s="24" t="inlineStr">
        <is>
          <t>KBO</t>
        </is>
      </c>
      <c r="F89" s="24" t="inlineStr">
        <is>
          <t>Kia Tigers</t>
        </is>
      </c>
      <c r="G89" s="24" t="inlineStr">
        <is>
          <t>LG Twins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0.515533</v>
      </c>
      <c r="P89" s="28" t="n"/>
      <c r="Q89" s="28" t="n">
        <v>-0.034017</v>
      </c>
      <c r="R89" s="26" t="n">
        <v>3</v>
      </c>
      <c r="S89" s="29" t="n">
        <v>1</v>
      </c>
      <c r="T89" s="24" t="inlineStr">
        <is>
          <t>kbo-tie-aware-elo-v2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5</v>
      </c>
      <c r="Y89" s="25" t="n"/>
      <c r="Z89" s="26" t="n"/>
      <c r="AA89" s="28" t="n"/>
      <c r="AB89" s="28" t="n"/>
      <c r="AC89" s="30" t="n">
        <v>-1</v>
      </c>
      <c r="AD89" s="24" t="inlineStr">
        <is>
          <t>2026-10-04T21:06:16.331670Z</t>
        </is>
      </c>
      <c r="AE89" s="31" t="inlineStr">
        <is>
          <t>Tie-aware Elo baseline; executable ask 0.5500 (market_slug=aec-kbo-ltg-kti-2026-10-04). Tie probability=0.0225.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Kia Tigers</t>
        </is>
      </c>
      <c r="AQ89" s="24" t="inlineStr">
        <is>
          <t>Kia Tigers</t>
        </is>
      </c>
      <c r="AR89" s="24" t="inlineStr">
        <is>
          <t>Kia Tigers</t>
        </is>
      </c>
      <c r="AS89" s="24" t="inlineStr">
        <is>
          <t>LG Twins</t>
        </is>
      </c>
      <c r="AT89" s="24" t="inlineStr">
        <is>
          <t>LG Twins</t>
        </is>
      </c>
      <c r="AU89" s="24" t="inlineStr">
        <is>
          <t>LG Twins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9cf9d49bd3bc79a9b27f69674b9f0cb0bfae05157dc6188720aa0edd8524883f</t>
        </is>
      </c>
      <c r="BB89" s="24" t="inlineStr">
        <is>
          <t>tie_aware_elo</t>
        </is>
      </c>
      <c r="BC89" s="24" t="inlineStr">
        <is>
          <t>kbo-tie-aware-elo-v2</t>
        </is>
      </c>
      <c r="BD89" s="24" t="inlineStr">
        <is>
          <t>9cf9d49bd3bc79a9b27f69674b9f0cb0bfae05157dc6188720aa0edd8524883f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kbo-tie-aware-elo-v2</t>
        </is>
      </c>
      <c r="BH89" s="24" t="inlineStr">
        <is>
          <t>2026-10-03T22:32:58.638227Z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"9cf9d49bd3bc79a9b27f69674b9f0cb0bfae05157dc6188720aa0edd8524883f", "away_team": "Kia Tigers", "draw_settlement_value": 0.5, "event_id": "136243", "event_start_utc": "2026-10-04T05:00:00Z", "features": {"away_elo": 1520.49714, "base_tie_rate": 0.0225356, "home_advantage": 20.0, "home_elo": 1511.543298}, "historical_source_observation_times_verified": false, "home_team": "LG Twins", "inference_inputs": {"away_id": "KIA", "base_tie_rate": 0.0225356, "book_state": {"_games_played": null, "_last_active": null, "decay_rate": 0.001, "home_advantage": 20.0, "k": 8.0, "margin_weight": 0.0, "ratings": {"KIA": 1520.49714, "LG": 1511.543298}},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"2026-10-03T22:32:58.573331+00:00", "outcome_probabilities": {"away": 0.47319897585165466, "draw": 0.0225356, "home": 0.5042654241483454}, "replay_scope": "Exact Elo and tie model; logged value is expected contract settlement, not outright win probability.", "schema": "international-elo-replay-v1", "settlement_values": {"away": 0.484467, "home": 0.515533}, "snapshot_hash": "defadfc57745c6e217b42a53c5c412081fdcd27adcdaa55d072c1bbfcb3df5c3", "sport": "KBO"}</t>
        </is>
      </c>
    </row>
    <row r="90" ht="36" customHeight="1">
      <c r="A90" s="24" t="inlineStr">
        <is>
          <t>9ae953b2e7824212</t>
        </is>
      </c>
      <c r="B90" s="24" t="inlineStr">
        <is>
          <t>2026-10-03T22:33:06.788480Z</t>
        </is>
      </c>
      <c r="C90" s="24" t="inlineStr">
        <is>
          <t>2026-10-04T05:00:00Z</t>
        </is>
      </c>
      <c r="D90" s="24" t="inlineStr">
        <is>
          <t>136244</t>
        </is>
      </c>
      <c r="E90" s="24" t="inlineStr">
        <is>
          <t>KBO</t>
        </is>
      </c>
      <c r="F90" s="24" t="inlineStr">
        <is>
          <t>Kiwoom Heroes</t>
        </is>
      </c>
      <c r="G90" s="24" t="inlineStr">
        <is>
          <t>Hanwha Eagles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113</v>
      </c>
      <c r="M90" s="27" t="n">
        <v>2.13</v>
      </c>
      <c r="N90" s="28" t="n">
        <v>0.469484</v>
      </c>
      <c r="O90" s="28" t="n">
        <v>0.515418</v>
      </c>
      <c r="P90" s="28" t="n"/>
      <c r="Q90" s="28" t="n">
        <v>0.045934</v>
      </c>
      <c r="R90" s="26" t="n">
        <v>43</v>
      </c>
      <c r="S90" s="29" t="n">
        <v>1</v>
      </c>
      <c r="T90" s="24" t="inlineStr">
        <is>
          <t>kbo-tie-aware-elo-v2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9</v>
      </c>
      <c r="X90" s="26" t="n">
        <v>3</v>
      </c>
      <c r="Y90" s="25" t="n"/>
      <c r="Z90" s="26" t="n"/>
      <c r="AA90" s="28" t="n"/>
      <c r="AB90" s="28" t="n"/>
      <c r="AC90" s="30" t="n">
        <v>-1</v>
      </c>
      <c r="AD90" s="24" t="inlineStr">
        <is>
          <t>2026-10-04T21:06:17.672785Z</t>
        </is>
      </c>
      <c r="AE90" s="31" t="inlineStr">
        <is>
          <t>Tie-aware Elo baseline; executable ask 0.4700 (market_slug=aec-kbo-hea-khi-2026-10-04). Tie probability=0.0225.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Kiwoom Heroes</t>
        </is>
      </c>
      <c r="AQ90" s="24" t="inlineStr">
        <is>
          <t>Kiwoom Heroes</t>
        </is>
      </c>
      <c r="AR90" s="24" t="inlineStr">
        <is>
          <t>Kiwoom Heroes</t>
        </is>
      </c>
      <c r="AS90" s="24" t="inlineStr">
        <is>
          <t>Hanwha Eagles</t>
        </is>
      </c>
      <c r="AT90" s="24" t="inlineStr">
        <is>
          <t>Hanwha Eagles</t>
        </is>
      </c>
      <c r="AU90" s="24" t="inlineStr">
        <is>
          <t>Hanwha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9cf9d49bd3bc79a9b27f69674b9f0cb0bfae05157dc6188720aa0edd8524883f</t>
        </is>
      </c>
      <c r="BB90" s="24" t="inlineStr">
        <is>
          <t>tie_aware_elo</t>
        </is>
      </c>
      <c r="BC90" s="24" t="inlineStr">
        <is>
          <t>kbo-tie-aware-elo-v2</t>
        </is>
      </c>
      <c r="BD90" s="24" t="inlineStr">
        <is>
          <t>9cf9d49bd3bc79a9b27f69674b9f0cb0bfae05157dc6188720aa0edd8524883f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kbo-tie-aware-elo-v2</t>
        </is>
      </c>
      <c r="BH90" s="24" t="inlineStr">
        <is>
          <t>2026-10-03T22:32:58.890772Z</t>
        </is>
      </c>
      <c r="BI90" s="24" t="inlineStr">
        <is>
          <t>["same_event","same_team_same_day","same_league_same_day"]</t>
        </is>
      </c>
      <c r="BJ90" s="25" t="n"/>
      <c r="BK90" s="26" t="n">
        <v>113</v>
      </c>
      <c r="BL90" s="27" t="n">
        <v>2.13</v>
      </c>
      <c r="BM90" s="28" t="n">
        <v>0.469484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0.469484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"9cf9d49bd3bc79a9b27f69674b9f0cb0bfae05157dc6188720aa0edd8524883f", "away_team": "Kiwoom Heroes", "draw_settlement_value": 0.5, "event_id": "136244", "event_start_utc": "2026-10-04T05:00:00Z", "features": {"away_elo": 1441.987981, "base_tie_rate": 0.0225356, "home_advantage": 20.0, "home_elo": 1432.952241}, "historical_source_observation_times_verified": false, "home_team": "Hanwha Eagles", "inference_inputs": {"away_id": "KIWOOM", "base_tie_rate": 0.0225356, "book_state": {"_games_played": null, "_last_active": null, "decay_rate": 0.001, "home_advantage": 20.0, "k": 8.0, "margin_weight": 0.0, "ratings": {"HANWHA": 1432.952241, "KIWOOM": 1441.987981}},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"2026-10-03T22:32:58.573331+00:00", "outcome_probabilities": {"away": 0.47331406497372447, "draw": 0.0225356, "home": 0.5041503350262755}, "replay_scope": "Exact Elo and tie model; logged value is expected contract settlement, not outright win probability.", "schema": "international-elo-replay-v1", "settlement_values": {"away": 0.484582, "home": 0.515418}, "snapshot_hash": "28fb596a7c98b12e6e2327b71d273a62276afe1a491de41ac62b0760863a8211", "sport": "KBO"}</t>
        </is>
      </c>
    </row>
    <row r="91" ht="36" customHeight="1">
      <c r="A91" s="24" t="inlineStr">
        <is>
          <t>9d091061d90e4c73</t>
        </is>
      </c>
      <c r="B91" s="24" t="inlineStr">
        <is>
          <t>2026-10-03T22:33:06.788480Z</t>
        </is>
      </c>
      <c r="C91" s="24" t="inlineStr">
        <is>
          <t>2026-10-04T05:00:00Z</t>
        </is>
      </c>
      <c r="D91" s="24" t="inlineStr">
        <is>
          <t>136247</t>
        </is>
      </c>
      <c r="E91" s="24" t="inlineStr">
        <is>
          <t>KBO</t>
        </is>
      </c>
      <c r="F91" s="24" t="inlineStr">
        <is>
          <t>Doosan Bears</t>
        </is>
      </c>
      <c r="G91" s="24" t="inlineStr">
        <is>
          <t>Samsung Lions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0.581214</v>
      </c>
      <c r="P91" s="28" t="n"/>
      <c r="Q91" s="28" t="n">
        <v>0.031664</v>
      </c>
      <c r="R91" s="26" t="n">
        <v>36</v>
      </c>
      <c r="S91" s="29" t="n">
        <v>1</v>
      </c>
      <c r="T91" s="24" t="inlineStr">
        <is>
          <t>kbo-tie-aware-elo-v2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2026-10-04T21:06:18.917972Z</t>
        </is>
      </c>
      <c r="AE91" s="31" t="inlineStr">
        <is>
          <t>Tie-aware Elo baseline; executable ask 0.5500 (market_slug=aec-kbo-sla-dbo-2026-10-04). Tie probability=0.0225.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Doosan Bears</t>
        </is>
      </c>
      <c r="AQ91" s="24" t="inlineStr">
        <is>
          <t>Doosan Bears</t>
        </is>
      </c>
      <c r="AR91" s="24" t="inlineStr">
        <is>
          <t>Doosan Bears</t>
        </is>
      </c>
      <c r="AS91" s="24" t="inlineStr">
        <is>
          <t>Samsung Lions</t>
        </is>
      </c>
      <c r="AT91" s="24" t="inlineStr">
        <is>
          <t>Samsung Lions</t>
        </is>
      </c>
      <c r="AU91" s="24" t="inlineStr">
        <is>
          <t>Samsung Lions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9cf9d49bd3bc79a9b27f69674b9f0cb0bfae05157dc6188720aa0edd8524883f</t>
        </is>
      </c>
      <c r="BB91" s="24" t="inlineStr">
        <is>
          <t>tie_aware_elo</t>
        </is>
      </c>
      <c r="BC91" s="24" t="inlineStr">
        <is>
          <t>kbo-tie-aware-elo-v2</t>
        </is>
      </c>
      <c r="BD91" s="24" t="inlineStr">
        <is>
          <t>9cf9d49bd3bc79a9b27f69674b9f0cb0bfae05157dc6188720aa0edd8524883f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kbo-tie-aware-elo-v2</t>
        </is>
      </c>
      <c r="BH91" s="24" t="inlineStr">
        <is>
          <t>2026-10-03T22:32:58.948550Z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0.54955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"9cf9d49bd3bc79a9b27f69674b9f0cb0bfae05157dc6188720aa0edd8524883f", "away_team": "Doosan Bears", "draw_settlement_value": 0.5, "event_id": "136247", "event_start_utc": "2026-10-04T05:00:00Z", "features": {"away_elo": 1510.996325, "base_tie_rate": 0.0225356, "home_advantage": 20.0, "home_elo": 1549.270837}, "historical_source_observation_times_verified": false, "home_team": "Samsung Lions", "inference_inputs": {"away_id": "DOOSAN", "base_tie_rate": 0.0225356, "book_state": {"_games_played": null, "_last_active": null, "decay_rate": 0.001, "home_advantage": 20.0, "k": 8.0, "margin_weight": 0.0, "ratings": {"DOOSAN": 1510.996325, "SAMSUNG": 1549.270837}},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"2026-10-03T22:32:58.573331+00:00", "outcome_probabilities": {"away": 0.4075185135533365, "draw": 0.0225356, "home": 0.5699458864466634}, "replay_scope": "Exact Elo and tie model; logged value is expected contract settlement, not outright win probability.", "schema": "international-elo-replay-v1", "settlement_values": {"away": 0.418786, "home": 0.581214}, "snapshot_hash": "8e6d7abb110067698e40852c5238991ef2382f93933810c833abd636bae26c40", "sport": "KBO"}</t>
        </is>
      </c>
    </row>
    <row r="92" ht="36" customHeight="1">
      <c r="A92" s="24" t="inlineStr">
        <is>
          <t>65dc2ac115074d01</t>
        </is>
      </c>
      <c r="B92" s="24" t="inlineStr">
        <is>
          <t>2026-10-04T20:30:40.153482Z</t>
        </is>
      </c>
      <c r="C92" s="24" t="inlineStr">
        <is>
          <t>2026-10-05T05:00:00Z</t>
        </is>
      </c>
      <c r="D92" s="24" t="inlineStr">
        <is>
          <t>137787</t>
        </is>
      </c>
      <c r="E92" s="24" t="inlineStr">
        <is>
          <t>KBO</t>
        </is>
      </c>
      <c r="F92" s="24" t="inlineStr">
        <is>
          <t>SSG Landers</t>
        </is>
      </c>
      <c r="G92" s="24" t="inlineStr">
        <is>
          <t>NC Dinos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0.517082</v>
      </c>
      <c r="P92" s="28" t="n"/>
      <c r="Q92" s="28" t="n">
        <v>-0.092293</v>
      </c>
      <c r="R92" s="26" t="n">
        <v>0</v>
      </c>
      <c r="S92" s="29" t="n">
        <v>1</v>
      </c>
      <c r="T92" s="24" t="inlineStr">
        <is>
          <t>kbo-tie-aware-elo-v2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9</v>
      </c>
      <c r="X92" s="26" t="n">
        <v>0</v>
      </c>
      <c r="Y92" s="25" t="n"/>
      <c r="Z92" s="26" t="n"/>
      <c r="AA92" s="28" t="n"/>
      <c r="AB92" s="28" t="n"/>
      <c r="AC92" s="30" t="n">
        <v>0.641</v>
      </c>
      <c r="AD92" s="24" t="inlineStr">
        <is>
          <t>2026-10-05T10:02:19.279966Z</t>
        </is>
      </c>
      <c r="AE92" s="31" t="inlineStr">
        <is>
          <t>Tie-aware Elo baseline; executable ask 0.6100 (market_slug=aec-kbo-ndc-sls-2026-10-05). Tie probability=0.0227.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SSG Landers</t>
        </is>
      </c>
      <c r="AQ92" s="24" t="inlineStr">
        <is>
          <t>SSG Landers</t>
        </is>
      </c>
      <c r="AR92" s="24" t="inlineStr">
        <is>
          <t>SSG Landers</t>
        </is>
      </c>
      <c r="AS92" s="24" t="inlineStr">
        <is>
          <t>NC Dinos</t>
        </is>
      </c>
      <c r="AT92" s="24" t="inlineStr">
        <is>
          <t>NC Dinos</t>
        </is>
      </c>
      <c r="AU92" s="24" t="inlineStr">
        <is>
          <t>NC Dinos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4f30694ae025d565dffd33abbc5b33041c90a41c597f15fc839c4d6565ec740a</t>
        </is>
      </c>
      <c r="BB92" s="24" t="inlineStr">
        <is>
          <t>tie_aware_elo</t>
        </is>
      </c>
      <c r="BC92" s="24" t="inlineStr">
        <is>
          <t>kbo-tie-aware-elo-v2</t>
        </is>
      </c>
      <c r="BD92" s="24" t="inlineStr">
        <is>
          <t>4f30694ae025d565dffd33abbc5b33041c90a41c597f15fc839c4d6565ec740a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kbo-tie-aware-elo-v2</t>
        </is>
      </c>
      <c r="BH92" s="24" t="inlineStr">
        <is>
          <t>2026-10-04T20:30:32.744299Z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"4f30694ae025d565dffd33abbc5b33041c90a41c597f15fc839c4d6565ec740a", "away_team": "SSG Landers", "draw_settlement_value": 0.5, "event_id": "137787", "event_start_utc": "2026-10-05T05:00:00Z", "features": {"away_elo": 1510.019696, "base_tie_rate": 0.02265819, "home_advantage": 20.0, "home_elo": 1477.869714}, "historical_source_observation_times_verified": false, "home_team": "NC Dinos", "inference_inputs": {"away_id": "SSG", "base_tie_rate": 0.02265819, "book_state": {"_games_played": null, "_last_active": null, "decay_rate": 0.001, "home_advantage": 20.0, "k": 8.0, "margin_weight": 0.0, "ratings": {"NC": 1477.869714, "SSG": 1510.019696}},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"2026-10-04T20:30:32.653696+00:00", "outcome_probabilities": {"away": 0.5057529881434593, "draw": 0.02265819, "home": 0.47158882185654083}, "replay_scope": "Exact Elo and tie model; logged value is expected contract settlement, not outright win probability.", "schema": "international-elo-replay-v1", "settlement_values": {"away": 0.517082, "home": 0.482918}, "snapshot_hash": "0553cef399609000baeecc451eeda962aeffa940ec197f807264c9e30cca3fe9", "sport": "KBO"}</t>
        </is>
      </c>
    </row>
    <row r="93" ht="36" customHeight="1">
      <c r="A93" s="24" t="inlineStr">
        <is>
          <t>6aa2f34f60064d2b</t>
        </is>
      </c>
      <c r="B93" s="24" t="inlineStr">
        <is>
          <t>2026-10-04T20:30:40.153482Z</t>
        </is>
      </c>
      <c r="C93" s="24" t="inlineStr">
        <is>
          <t>2026-10-05T05:00:00Z</t>
        </is>
      </c>
      <c r="D93" s="24" t="inlineStr">
        <is>
          <t>137788</t>
        </is>
      </c>
      <c r="E93" s="24" t="inlineStr">
        <is>
          <t>KBO</t>
        </is>
      </c>
      <c r="F93" s="24" t="inlineStr">
        <is>
          <t>Kiwoom Heroes</t>
        </is>
      </c>
      <c r="G93" s="24" t="inlineStr">
        <is>
          <t>Hanwha Eagles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-170</v>
      </c>
      <c r="M93" s="27" t="n">
        <v>1.588235</v>
      </c>
      <c r="N93" s="28" t="n">
        <v>0.62963</v>
      </c>
      <c r="O93" s="28" t="n">
        <v>0.503878</v>
      </c>
      <c r="P93" s="28" t="n"/>
      <c r="Q93" s="28" t="n">
        <v>-0.125752</v>
      </c>
      <c r="R93" s="26" t="n">
        <v>0</v>
      </c>
      <c r="S93" s="29" t="n">
        <v>1</v>
      </c>
      <c r="T93" s="24" t="inlineStr">
        <is>
          <t>kbo-tie-aware-elo-v2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6</v>
      </c>
      <c r="X93" s="26" t="n">
        <v>13</v>
      </c>
      <c r="Y93" s="25" t="n"/>
      <c r="Z93" s="26" t="n"/>
      <c r="AA93" s="28" t="n"/>
      <c r="AB93" s="28" t="n"/>
      <c r="AC93" s="30" t="n">
        <v>0.5881999999999999</v>
      </c>
      <c r="AD93" s="24" t="inlineStr">
        <is>
          <t>2026-10-05T10:02:21.126908Z</t>
        </is>
      </c>
      <c r="AE93" s="31" t="inlineStr">
        <is>
          <t>Tie-aware Elo baseline; executable ask 0.6300 (market_slug=aec-kbo-hea-khi-2026-10-05). Tie probability=0.0227.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Kiwoom Heroes</t>
        </is>
      </c>
      <c r="AQ93" s="24" t="inlineStr">
        <is>
          <t>Kiwoom Heroes</t>
        </is>
      </c>
      <c r="AR93" s="24" t="inlineStr">
        <is>
          <t>Kiwoom Heroes</t>
        </is>
      </c>
      <c r="AS93" s="24" t="inlineStr">
        <is>
          <t>Hanwha Eagles</t>
        </is>
      </c>
      <c r="AT93" s="24" t="inlineStr">
        <is>
          <t>Hanwha Eagles</t>
        </is>
      </c>
      <c r="AU93" s="24" t="inlineStr">
        <is>
          <t>Hanwha Eagles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4f30694ae025d565dffd33abbc5b33041c90a41c597f15fc839c4d6565ec740a</t>
        </is>
      </c>
      <c r="BB93" s="24" t="inlineStr">
        <is>
          <t>tie_aware_elo</t>
        </is>
      </c>
      <c r="BC93" s="24" t="inlineStr">
        <is>
          <t>kbo-tie-aware-elo-v2</t>
        </is>
      </c>
      <c r="BD93" s="24" t="inlineStr">
        <is>
          <t>4f30694ae025d565dffd33abbc5b33041c90a41c597f15fc839c4d6565ec740a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kbo-tie-aware-elo-v2</t>
        </is>
      </c>
      <c r="BH93" s="24" t="inlineStr">
        <is>
          <t>2026-10-04T20:30:32.826532Z</t>
        </is>
      </c>
      <c r="BI93" s="24" t="inlineStr">
        <is>
          <t>["same_event","same_team_same_day","same_league_same_day"]</t>
        </is>
      </c>
      <c r="BJ93" s="25" t="n"/>
      <c r="BK93" s="26" t="n">
        <v>-170</v>
      </c>
      <c r="BL93" s="27" t="n">
        <v>1.588235</v>
      </c>
      <c r="BM93" s="28" t="n">
        <v>0.62963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"4f30694ae025d565dffd33abbc5b33041c90a41c597f15fc839c4d6565ec740a", "away_team": "Kiwoom Heroes", "draw_settlement_value": 0.5, "event_id": "137788", "event_start_utc": "2026-10-05T05:00:00Z", "features": {"away_elo": 1446.403651, "base_tie_rate": 0.02265819, "home_advantage": 20.0, "home_elo": 1429.160621}, "historical_source_observation_times_verified": false, "home_team": "Hanwha Eagles", "inference_inputs": {"away_id": "KIWOOM", "base_tie_rate": 0.02265819, "book_state": {"_games_played": null, "_last_active": null, "decay_rate": 0.001, "home_advantage": 20.0, "k": 8.0, "margin_weight": 0.0, "ratings": {"HANWHA": 1429.160621, "KIWOOM": 1446.403651}},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"2026-10-04T20:30:32.653696+00:00", "outcome_probabilities": {"away": 0.4847932862292278, "draw": 0.02265819, "home": 0.4925485237707722}, "replay_scope": "Exact Elo and tie model; logged value is expected contract settlement, not outright win probability.", "schema": "international-elo-replay-v1", "settlement_values": {"away": 0.496122, "home": 0.503878}, "snapshot_hash": "e7f0f93d2d371fb43f9f887f85478cadbc387eb09260efa55e20dc3f03be7bc6", "sport": "KBO"}</t>
        </is>
      </c>
    </row>
    <row r="94" ht="36" customHeight="1">
      <c r="A94" s="24" t="inlineStr">
        <is>
          <t>948a3642ecb14980</t>
        </is>
      </c>
      <c r="B94" s="24" t="inlineStr">
        <is>
          <t>2026-10-04T20:30:40.153482Z</t>
        </is>
      </c>
      <c r="C94" s="24" t="inlineStr">
        <is>
          <t>2026-10-05T05:00:00Z</t>
        </is>
      </c>
      <c r="D94" s="24" t="inlineStr">
        <is>
          <t>137790</t>
        </is>
      </c>
      <c r="E94" s="24" t="inlineStr">
        <is>
          <t>KBO</t>
        </is>
      </c>
      <c r="F94" s="24" t="inlineStr">
        <is>
          <t>Doosan Bears</t>
        </is>
      </c>
      <c r="G94" s="24" t="inlineStr">
        <is>
          <t>Samsung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-133</v>
      </c>
      <c r="M94" s="27" t="n">
        <v>1.75188</v>
      </c>
      <c r="N94" s="28" t="n">
        <v>0.570815</v>
      </c>
      <c r="O94" s="28" t="n">
        <v>0.568232</v>
      </c>
      <c r="P94" s="28" t="n"/>
      <c r="Q94" s="28" t="n">
        <v>-0.002583</v>
      </c>
      <c r="R94" s="26" t="n">
        <v>19</v>
      </c>
      <c r="S94" s="29" t="n">
        <v>1</v>
      </c>
      <c r="T94" s="24" t="inlineStr">
        <is>
          <t>kbo-tie-aware-elo-v2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7</v>
      </c>
      <c r="X94" s="26" t="n">
        <v>5</v>
      </c>
      <c r="Y94" s="25" t="n"/>
      <c r="Z94" s="26" t="n"/>
      <c r="AA94" s="28" t="n"/>
      <c r="AB94" s="28" t="n"/>
      <c r="AC94" s="30" t="n">
        <v>-1</v>
      </c>
      <c r="AD94" s="24" t="inlineStr">
        <is>
          <t>2026-10-05T10:02:22.949455Z</t>
        </is>
      </c>
      <c r="AE94" s="31" t="inlineStr">
        <is>
          <t>Tie-aware Elo baseline; executable ask 0.5700 (market_slug=aec-kbo-sla-dbo-2026-10-05).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Doosan Bears</t>
        </is>
      </c>
      <c r="AQ94" s="24" t="inlineStr">
        <is>
          <t>Doosan Bears</t>
        </is>
      </c>
      <c r="AR94" s="24" t="inlineStr">
        <is>
          <t>Doosan Bears</t>
        </is>
      </c>
      <c r="AS94" s="24" t="inlineStr">
        <is>
          <t>Samsung Lions</t>
        </is>
      </c>
      <c r="AT94" s="24" t="inlineStr">
        <is>
          <t>Samsung Lions</t>
        </is>
      </c>
      <c r="AU94" s="24" t="inlineStr">
        <is>
          <t>Samsung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4f30694ae025d565dffd33abbc5b33041c90a41c597f15fc839c4d6565ec740a</t>
        </is>
      </c>
      <c r="BB94" s="24" t="inlineStr">
        <is>
          <t>tie_aware_elo</t>
        </is>
      </c>
      <c r="BC94" s="24" t="inlineStr">
        <is>
          <t>kbo-tie-aware-elo-v2</t>
        </is>
      </c>
      <c r="BD94" s="24" t="inlineStr">
        <is>
          <t>4f30694ae025d565dffd33abbc5b33041c90a41c597f15fc839c4d6565ec740a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kbo-tie-aware-elo-v2</t>
        </is>
      </c>
      <c r="BH94" s="24" t="inlineStr">
        <is>
          <t>2026-10-04T20:30:32.893698Z</t>
        </is>
      </c>
      <c r="BI94" s="24" t="inlineStr">
        <is>
          <t>["same_event","same_team_same_day","same_league_same_day"]</t>
        </is>
      </c>
      <c r="BJ94" s="25" t="n"/>
      <c r="BK94" s="26" t="n">
        <v>-133</v>
      </c>
      <c r="BL94" s="27" t="n">
        <v>1.75188</v>
      </c>
      <c r="BM94" s="28" t="n">
        <v>0.570815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"4f30694ae025d565dffd33abbc5b33041c90a41c597f15fc839c4d6565ec740a", "away_team": "Doosan Bears", "draw_settlement_value": 0.5, "event_id": "137790", "event_start_utc": "2026-10-05T05:00:00Z", "features": {"away_elo": 1515.628057, "base_tie_rate": 0.02265819, "home_advantage": 20.0, "home_elo": 1544.458483}, "historical_source_observation_times_verified": false, "home_team": "Samsung Lions", "inference_inputs": {"away_id": "DOOSAN", "base_tie_rate": 0.02265819, "book_state": {"_games_played": null, "_last_active": null, "decay_rate": 0.001, "home_advantage": 20.0, "k": 8.0, "margin_weight": 0.0, "ratings": {"DOOSAN": 1515.628057, "SAMSUNG": 1544.458483}},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"2026-10-04T20:30:32.653696+00:00", "outcome_probabilities": {"away": 0.42043919295125176, "draw": 0.02265819, "home": 0.5569026170487482}, "replay_scope": "Exact Elo and tie model; logged value is expected contract settlement, not outright win probability.", "schema": "international-elo-replay-v1", "settlement_values": {"away": 0.431768, "home": 0.568232}, "snapshot_hash": "47f7481fce736d7182979fd2902d5f5a9cf30fdcf67996d9861b580e4969e539", "sport": "KBO"}</t>
        </is>
      </c>
    </row>
    <row r="95" ht="36" customHeight="1">
      <c r="A95" s="24" t="inlineStr">
        <is>
          <t>8185ff476e9b48b9</t>
        </is>
      </c>
      <c r="B95" s="24" t="inlineStr">
        <is>
          <t>2026-10-05T22:24:42.186342Z</t>
        </is>
      </c>
      <c r="C95" s="24" t="inlineStr">
        <is>
          <t>2026-10-06T09:30:00Z</t>
        </is>
      </c>
      <c r="D95" s="24" t="inlineStr">
        <is>
          <t>139678</t>
        </is>
      </c>
      <c r="E95" s="24" t="inlineStr">
        <is>
          <t>KBO</t>
        </is>
      </c>
      <c r="F95" s="24" t="inlineStr">
        <is>
          <t>NC Dinos</t>
        </is>
      </c>
      <c r="G95" s="24" t="inlineStr">
        <is>
          <t>LG Twins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0.568835</v>
      </c>
      <c r="P95" s="28" t="n"/>
      <c r="Q95" s="28" t="n">
        <v>-0.031165</v>
      </c>
      <c r="R95" s="26" t="n">
        <v>4</v>
      </c>
      <c r="S95" s="29" t="n">
        <v>1</v>
      </c>
      <c r="T95" s="24" t="inlineStr">
        <is>
          <t>kbo-tie-aware-elo-v2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Tie-aware Elo baseline; executable ask 0.6000 (market_slug=aec-kbo-ltg-ndc-2026-10-06). Tie probability=0.0226.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NC Dinos</t>
        </is>
      </c>
      <c r="AQ95" s="24" t="inlineStr">
        <is>
          <t>NC Dinos</t>
        </is>
      </c>
      <c r="AR95" s="24" t="inlineStr">
        <is>
          <t>NC Dinos</t>
        </is>
      </c>
      <c r="AS95" s="24" t="inlineStr">
        <is>
          <t>LG Twins</t>
        </is>
      </c>
      <c r="AT95" s="24" t="inlineStr">
        <is>
          <t>LG Twins</t>
        </is>
      </c>
      <c r="AU95" s="24" t="inlineStr">
        <is>
          <t>LG Twins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0dd792fffd961e45ddd63fd522512e2d0c1ffa39a64eb8426f75aabc4a5ca075</t>
        </is>
      </c>
      <c r="BB95" s="24" t="inlineStr">
        <is>
          <t>tie_aware_elo</t>
        </is>
      </c>
      <c r="BC95" s="24" t="inlineStr">
        <is>
          <t>kbo-tie-aware-elo-v2</t>
        </is>
      </c>
      <c r="BD95" s="24" t="inlineStr">
        <is>
          <t>0dd792fffd961e45ddd63fd522512e2d0c1ffa39a64eb8426f75aabc4a5ca075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kbo-tie-aware-elo-v2</t>
        </is>
      </c>
      <c r="BH95" s="24" t="inlineStr">
        <is>
          <t>2026-10-05T22:24:21.723591Z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"0dd792fffd961e45ddd63fd522512e2d0c1ffa39a64eb8426f75aabc4a5ca075", "away_team": "NC Dinos", "draw_settlement_value": 0.5, "event_id": "139678", "event_start_utc": "2026-10-06T09:30:00Z", "features": {"away_elo": 1474.097927, "base_tie_rate": 0.02264255, "home_advantage": 20.0, "home_elo": 1503.364974}, "historical_source_observation_times_verified": false, "home_team": "LG Twins", "inference_inputs": {"away_id": "NC", "base_tie_rate": 0.02264255, "book_state": {"_games_played": null, "_last_active": null, "decay_rate": 0.001, "home_advantage": 20.0, "k": 8.0, "margin_weight": 0.0, "ratings": {"LG": 1503.364974, "NC": 1474.097927}},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"2026-10-05T22:24:21.667230+00:00", "outcome_probabilities": {"away": 0.41984387903276704, "draw": 0.02264255, "home": 0.5575135709672329}, "replay_scope": "Exact Elo and tie model; logged value is expected contract settlement, not outright win probability.", "schema": "international-elo-replay-v1", "settlement_values": {"away": 0.431165, "home": 0.568835}, "snapshot_hash": "9bcaf068d5404d62c71fae1a5912a4bf886ff2fdad86a965b200d36f629d6d11", "sport": "KBO"}</t>
        </is>
      </c>
    </row>
    <row r="96" ht="36" customHeight="1">
      <c r="A96" s="24" t="inlineStr">
        <is>
          <t>75c6e32fba3e4f9d</t>
        </is>
      </c>
      <c r="B96" s="24" t="inlineStr">
        <is>
          <t>2026-10-05T22:24:42.186342Z</t>
        </is>
      </c>
      <c r="C96" s="24" t="inlineStr">
        <is>
          <t>2026-10-06T09:30:00Z</t>
        </is>
      </c>
      <c r="D96" s="24" t="inlineStr">
        <is>
          <t>139679</t>
        </is>
      </c>
      <c r="E96" s="24" t="inlineStr">
        <is>
          <t>KBO</t>
        </is>
      </c>
      <c r="F96" s="24" t="inlineStr">
        <is>
          <t>Doosan Bears</t>
        </is>
      </c>
      <c r="G96" s="24" t="inlineStr">
        <is>
          <t>Lotte Giants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-170</v>
      </c>
      <c r="M96" s="27" t="n">
        <v>1.588235</v>
      </c>
      <c r="N96" s="28" t="n">
        <v>0.62963</v>
      </c>
      <c r="O96" s="28" t="n">
        <v>0.518979</v>
      </c>
      <c r="P96" s="28" t="n"/>
      <c r="Q96" s="28" t="n">
        <v>-0.110651</v>
      </c>
      <c r="R96" s="26" t="n">
        <v>0</v>
      </c>
      <c r="S96" s="29" t="n">
        <v>1</v>
      </c>
      <c r="T96" s="24" t="inlineStr">
        <is>
          <t>kbo-tie-aware-elo-v2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Tie-aware Elo baseline; executable ask 0.6300 (market_slug=aec-kbo-lgo-dbo-2026-10-06). Tie probability=0.0226.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Doosan Bears</t>
        </is>
      </c>
      <c r="AQ96" s="24" t="inlineStr">
        <is>
          <t>Doosan Bears</t>
        </is>
      </c>
      <c r="AR96" s="24" t="inlineStr">
        <is>
          <t>Doosan Bears</t>
        </is>
      </c>
      <c r="AS96" s="24" t="inlineStr">
        <is>
          <t>Lotte Giants</t>
        </is>
      </c>
      <c r="AT96" s="24" t="inlineStr">
        <is>
          <t>Lotte Giants</t>
        </is>
      </c>
      <c r="AU96" s="24" t="inlineStr">
        <is>
          <t>Lotte Giants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0dd792fffd961e45ddd63fd522512e2d0c1ffa39a64eb8426f75aabc4a5ca075</t>
        </is>
      </c>
      <c r="BB96" s="24" t="inlineStr">
        <is>
          <t>tie_aware_elo</t>
        </is>
      </c>
      <c r="BC96" s="24" t="inlineStr">
        <is>
          <t>kbo-tie-aware-elo-v2</t>
        </is>
      </c>
      <c r="BD96" s="24" t="inlineStr">
        <is>
          <t>0dd792fffd961e45ddd63fd522512e2d0c1ffa39a64eb8426f75aabc4a5ca075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kbo-tie-aware-elo-v2</t>
        </is>
      </c>
      <c r="BH96" s="24" t="inlineStr">
        <is>
          <t>2026-10-05T22:24:21.781359Z</t>
        </is>
      </c>
      <c r="BI96" s="24" t="inlineStr">
        <is>
          <t>["same_event","same_team_same_day","same_league_same_day"]</t>
        </is>
      </c>
      <c r="BJ96" s="25" t="n"/>
      <c r="BK96" s="26" t="n">
        <v>-170</v>
      </c>
      <c r="BL96" s="27" t="n">
        <v>1.588235</v>
      </c>
      <c r="BM96" s="28" t="n">
        <v>0.62963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"0dd792fffd961e45ddd63fd522512e2d0c1ffa39a64eb8426f75aabc4a5ca075", "away_team": "Doosan Bears", "draw_settlement_value": 0.5, "event_id": "139679", "event_start_utc": "2026-10-06T09:30:00Z", "features": {"away_elo": 1520.139728, "base_tie_rate": 0.02264255, "home_advantage": 20.0, "home_elo": 1486.639181}, "historical_source_observation_times_verified": false, "home_team": "Lotte Giants", "inference_inputs": {"away_id": "DOOSAN", "base_tie_rate": 0.02264255, "book_state": {"_games_played": null, "_last_active": null, "decay_rate": 0.001, "home_advantage": 20.0, "k": 8.0, "margin_weight": 0.0, "ratings": {"DOOSAN": 1520.139728, "LOTTE": 1486.639181}},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"2026-10-05T22:24:21.667230+00:00", "outcome_probabilities": {"away": 0.5076581037446023, "draw": 0.02264255, "home": 0.46969934625539767}, "replay_scope": "Exact Elo and tie model; logged value is expected contract settlement, not outright win probability.", "schema": "international-elo-replay-v1", "settlement_values": {"away": 0.518979, "home": 0.481021}, "snapshot_hash": "7b4ba520f3a5f00a769d01500004eb1c80afe3e9a0988e7c962fd2267f8d0da9", "sport": "KBO"}</t>
        </is>
      </c>
    </row>
    <row r="97" ht="36" customHeight="1">
      <c r="A97" s="24" t="inlineStr">
        <is>
          <t>2cd973398caa4866</t>
        </is>
      </c>
      <c r="B97" s="24" t="inlineStr">
        <is>
          <t>2026-10-05T22:24:42.186342Z</t>
        </is>
      </c>
      <c r="C97" s="24" t="inlineStr">
        <is>
          <t>2026-10-06T09:30:00Z</t>
        </is>
      </c>
      <c r="D97" s="24" t="inlineStr">
        <is>
          <t>139680</t>
        </is>
      </c>
      <c r="E97" s="24" t="inlineStr">
        <is>
          <t>KBO</t>
        </is>
      </c>
      <c r="F97" s="24" t="inlineStr">
        <is>
          <t>Samsung Lions</t>
        </is>
      </c>
      <c r="G97" s="24" t="inlineStr">
        <is>
          <t>Kia Tigers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-133</v>
      </c>
      <c r="M97" s="27" t="n">
        <v>1.75188</v>
      </c>
      <c r="N97" s="28" t="n">
        <v>0.570815</v>
      </c>
      <c r="O97" s="28" t="n">
        <v>0.5124379999999999</v>
      </c>
      <c r="P97" s="28" t="n"/>
      <c r="Q97" s="28" t="n">
        <v>-0.058377</v>
      </c>
      <c r="R97" s="26" t="n">
        <v>0</v>
      </c>
      <c r="S97" s="29" t="n">
        <v>1</v>
      </c>
      <c r="T97" s="24" t="inlineStr">
        <is>
          <t>kbo-tie-aware-elo-v2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Tie-aware Elo baseline; executable ask 0.5700 (market_slug=aec-kbo-kti-sla-2026-10-06). Tie probability=0.0226.</t>
        </is>
      </c>
      <c r="AF97" s="31" t="inlineStr">
        <is>
          <t>Config-promoted international baseball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Samsung Lions</t>
        </is>
      </c>
      <c r="AQ97" s="24" t="inlineStr">
        <is>
          <t>Samsung Lions</t>
        </is>
      </c>
      <c r="AR97" s="24" t="inlineStr">
        <is>
          <t>Samsung Lions</t>
        </is>
      </c>
      <c r="AS97" s="24" t="inlineStr">
        <is>
          <t>Kia Tigers</t>
        </is>
      </c>
      <c r="AT97" s="24" t="inlineStr">
        <is>
          <t>Kia Tigers</t>
        </is>
      </c>
      <c r="AU97" s="24" t="inlineStr">
        <is>
          <t>Kia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0dd792fffd961e45ddd63fd522512e2d0c1ffa39a64eb8426f75aabc4a5ca075</t>
        </is>
      </c>
      <c r="BB97" s="24" t="inlineStr">
        <is>
          <t>tie_aware_elo</t>
        </is>
      </c>
      <c r="BC97" s="24" t="inlineStr">
        <is>
          <t>kbo-tie-aware-elo-v2</t>
        </is>
      </c>
      <c r="BD97" s="24" t="inlineStr">
        <is>
          <t>0dd792fffd961e45ddd63fd522512e2d0c1ffa39a64eb8426f75aabc4a5ca075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kbo-tie-aware-elo-v2</t>
        </is>
      </c>
      <c r="BH97" s="24" t="inlineStr">
        <is>
          <t>2026-10-05T22:24:21.848027Z</t>
        </is>
      </c>
      <c r="BI97" s="24" t="inlineStr">
        <is>
          <t>["same_event","same_team_same_day","same_league_same_day"]</t>
        </is>
      </c>
      <c r="BJ97" s="25" t="n"/>
      <c r="BK97" s="26" t="n">
        <v>-133</v>
      </c>
      <c r="BL97" s="27" t="n">
        <v>1.75188</v>
      </c>
      <c r="BM97" s="28" t="n">
        <v>0.570815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"0dd792fffd961e45ddd63fd522512e2d0c1ffa39a64eb8426f75aabc4a5ca075", "away_team": "Samsung Lions", "draw_settlement_value": 0.5, "event_id": "139680", "event_start_utc": "2026-10-06T09:30:00Z", "features": {"away_elo": 1539.766733, "base_tie_rate": 0.02264255, "home_advantage": 20.0, "home_elo": 1528.611415}, "historical_source_observation_times_verified": false, "home_team": "Kia Tigers", "inference_inputs": {"away_id": "SAMSUNG", "base_tie_rate": 0.02264255, "book_state": {"_games_played": null, "_last_active": null, "decay_rate": 0.001, "home_advantage": 20.0, "k": 8.0, "margin_weight": 0.0, "ratings": {"KIA": 1528.611415, "SAMSUNG": 1539.766733}},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"2026-10-05T22:24:21.667230+00:00", "outcome_probabilities": {"away": 0.47624109724939195, "draw": 0.02264255, "home": 0.5011163527506081}, "replay_scope": "Exact Elo and tie model; logged value is expected contract settlement, not outright win probability.", "schema": "international-elo-replay-v1", "settlement_values": {"away": 0.487562, "home": 0.512438}, "snapshot_hash": "ff223ce7e0680ef334905d2af08feb2571462f0f4a79bcc319f2bc1bc9486222", "sport": "KBO"}</t>
        </is>
      </c>
    </row>
    <row r="98" ht="36" customHeight="1">
      <c r="A98" s="24" t="inlineStr">
        <is>
          <t>78d8e31dc861488c</t>
        </is>
      </c>
      <c r="B98" s="24" t="inlineStr">
        <is>
          <t>2026-10-05T22:24:42.186342Z</t>
        </is>
      </c>
      <c r="C98" s="24" t="inlineStr">
        <is>
          <t>2026-10-06T09:30:00Z</t>
        </is>
      </c>
      <c r="D98" s="24" t="inlineStr">
        <is>
          <t>139681</t>
        </is>
      </c>
      <c r="E98" s="24" t="inlineStr">
        <is>
          <t>KBO</t>
        </is>
      </c>
      <c r="F98" s="24" t="inlineStr">
        <is>
          <t>SSG Landers</t>
        </is>
      </c>
      <c r="G98" s="24" t="inlineStr">
        <is>
          <t>Hanwha Eagles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163</v>
      </c>
      <c r="M98" s="27" t="n">
        <v>2.63</v>
      </c>
      <c r="N98" s="28" t="n">
        <v>0.380228</v>
      </c>
      <c r="O98" s="28" t="n">
        <v>0.584051</v>
      </c>
      <c r="P98" s="28" t="n"/>
      <c r="Q98" s="28" t="n">
        <v>0.203823</v>
      </c>
      <c r="R98" s="26" t="n">
        <v>100</v>
      </c>
      <c r="S98" s="29" t="n">
        <v>2</v>
      </c>
      <c r="T98" s="24" t="inlineStr">
        <is>
          <t>kbo-tie-aware-elo-v2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Tie-aware Elo baseline; executable ask 0.3800 (market_slug=aec-kbo-hea-sls-2026-10-06). Tie probability=0.0226.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SSG Landers</t>
        </is>
      </c>
      <c r="AQ98" s="24" t="inlineStr">
        <is>
          <t>SSG Landers</t>
        </is>
      </c>
      <c r="AR98" s="24" t="inlineStr">
        <is>
          <t>SSG Landers</t>
        </is>
      </c>
      <c r="AS98" s="24" t="inlineStr">
        <is>
          <t>Hanwha Eagles</t>
        </is>
      </c>
      <c r="AT98" s="24" t="inlineStr">
        <is>
          <t>Hanwha Eagles</t>
        </is>
      </c>
      <c r="AU98" s="24" t="inlineStr">
        <is>
          <t>Hanwha Eagles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0dd792fffd961e45ddd63fd522512e2d0c1ffa39a64eb8426f75aabc4a5ca075</t>
        </is>
      </c>
      <c r="BB98" s="24" t="inlineStr">
        <is>
          <t>tie_aware_elo</t>
        </is>
      </c>
      <c r="BC98" s="24" t="inlineStr">
        <is>
          <t>kbo-tie-aware-elo-v2</t>
        </is>
      </c>
      <c r="BD98" s="24" t="inlineStr">
        <is>
          <t>0dd792fffd961e45ddd63fd522512e2d0c1ffa39a64eb8426f75aabc4a5ca075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kbo-tie-aware-elo-v2</t>
        </is>
      </c>
      <c r="BH98" s="24" t="inlineStr">
        <is>
          <t>2026-10-05T22:24:31.965697Z</t>
        </is>
      </c>
      <c r="BI98" s="24" t="inlineStr">
        <is>
          <t>["same_event","same_team_same_day","same_league_same_day"]</t>
        </is>
      </c>
      <c r="BJ98" s="25" t="n"/>
      <c r="BK98" s="26" t="n">
        <v>163</v>
      </c>
      <c r="BL98" s="27" t="n">
        <v>2.63</v>
      </c>
      <c r="BM98" s="28" t="n">
        <v>0.380228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"0dd792fffd961e45ddd63fd522512e2d0c1ffa39a64eb8426f75aabc4a5ca075", "away_team": "SSG Landers", "draw_settlement_value": 0.5, "event_id": "139681", "event_start_utc": "2026-10-06T09:30:00Z", "features": {"away_elo": 1513.839852, "base_tie_rate": 0.02264255, "home_advantage": 20.0, "home_elo": 1433.48237}, "historical_source_observation_times_verified": false, "home_team": "Hanwha Eagles", "inference_inputs": {"away_id": "SSG", "base_tie_rate": 0.02264255, "book_state": {"_games_played": null, "_last_active": null, "decay_rate": 0.001, "home_advantage": 20.0, "k": 8.0, "margin_weight": 0.0, "ratings": {"HANWHA": 1433.48237, "SSG": 1513.839852}},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"2026-10-05T22:24:21.667230+00:00", "outcome_probabilities": {"away": 0.5727295166495094, "draw": 0.02264255, "home": 0.4046279333504906}, "replay_scope": "Exact Elo and tie model; logged value is expected contract settlement, not outright win probability.", "schema": "international-elo-replay-v1", "settlement_values": {"away": 0.584051, "home": 0.415949}, "snapshot_hash": "adbb3b49eb68b86951f61b6e2aabde1c428afb53a23b167795e3ad6fd8ec9269", "sport": "KBO"}</t>
        </is>
      </c>
    </row>
    <row r="99" ht="36" customHeight="1">
      <c r="A99" s="24" t="inlineStr">
        <is>
          <t>8694f64aa2a04be7</t>
        </is>
      </c>
      <c r="B99" s="24" t="inlineStr">
        <is>
          <t>2026-10-05T22:24:42.186342Z</t>
        </is>
      </c>
      <c r="C99" s="24" t="inlineStr">
        <is>
          <t>2026-10-06T09:30:00Z</t>
        </is>
      </c>
      <c r="D99" s="24" t="inlineStr">
        <is>
          <t>139682</t>
        </is>
      </c>
      <c r="E99" s="24" t="inlineStr">
        <is>
          <t>KBO</t>
        </is>
      </c>
      <c r="F99" s="24" t="inlineStr">
        <is>
          <t>KT Wiz</t>
        </is>
      </c>
      <c r="G99" s="24" t="inlineStr">
        <is>
          <t>Kiwoom Heroes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-233</v>
      </c>
      <c r="M99" s="27" t="n">
        <v>1.429185</v>
      </c>
      <c r="N99" s="28" t="n">
        <v>0.6997</v>
      </c>
      <c r="O99" s="28" t="n">
        <v>0.654415</v>
      </c>
      <c r="P99" s="28" t="n"/>
      <c r="Q99" s="28" t="n">
        <v>-0.045285</v>
      </c>
      <c r="R99" s="26" t="n">
        <v>0</v>
      </c>
      <c r="S99" s="29" t="n">
        <v>1</v>
      </c>
      <c r="T99" s="24" t="inlineStr">
        <is>
          <t>kbo-tie-aware-elo-v2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Tie-aware Elo baseline; executable ask 0.7000 (market_slug=aec-kbo-khi-kwt-2026-10-06). Tie probability=0.0226.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KT Wiz</t>
        </is>
      </c>
      <c r="AQ99" s="24" t="inlineStr">
        <is>
          <t>KT Wiz</t>
        </is>
      </c>
      <c r="AR99" s="24" t="inlineStr">
        <is>
          <t>KT Wiz</t>
        </is>
      </c>
      <c r="AS99" s="24" t="inlineStr">
        <is>
          <t>Kiwoom Heroes</t>
        </is>
      </c>
      <c r="AT99" s="24" t="inlineStr">
        <is>
          <t>Kiwoom Heroes</t>
        </is>
      </c>
      <c r="AU99" s="24" t="inlineStr">
        <is>
          <t>Kiwoom Heroes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0dd792fffd961e45ddd63fd522512e2d0c1ffa39a64eb8426f75aabc4a5ca075</t>
        </is>
      </c>
      <c r="BB99" s="24" t="inlineStr">
        <is>
          <t>tie_aware_elo</t>
        </is>
      </c>
      <c r="BC99" s="24" t="inlineStr">
        <is>
          <t>kbo-tie-aware-elo-v2</t>
        </is>
      </c>
      <c r="BD99" s="24" t="inlineStr">
        <is>
          <t>0dd792fffd961e45ddd63fd522512e2d0c1ffa39a64eb8426f75aabc4a5ca075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kbo-tie-aware-elo-v2</t>
        </is>
      </c>
      <c r="BH99" s="24" t="inlineStr">
        <is>
          <t>2026-10-05T22:24:42.186342Z</t>
        </is>
      </c>
      <c r="BI99" s="24" t="inlineStr">
        <is>
          <t>["same_event","same_team_same_day","same_league_same_day"]</t>
        </is>
      </c>
      <c r="BJ99" s="25" t="n"/>
      <c r="BK99" s="26" t="n">
        <v>-233</v>
      </c>
      <c r="BL99" s="27" t="n">
        <v>1.429185</v>
      </c>
      <c r="BM99" s="28" t="n">
        <v>0.6997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"0dd792fffd961e45ddd63fd522512e2d0c1ffa39a64eb8426f75aabc4a5ca075", "away_team": "KT Wiz", "draw_settlement_value": 0.5, "event_id": "139682", "event_start_utc": "2026-10-06T09:30:00Z", "features": {"away_elo": 1576.376979, "base_tie_rate": 0.02264255, "home_advantage": 20.0, "home_elo": 1442.702837}, "historical_source_observation_times_verified": false, "home_team": "Kiwoom Heroes", "inference_inputs": {"away_id": "KT", "base_tie_rate": 0.02264255, "book_state": {"_games_played": null, "_last_active": null, "decay_rate": 0.001, "home_advantage": 20.0, "k": 8.0, "margin_weight": 0.0, "ratings": {"KIWOOM": 1442.702837, "KT": 1576.376979}},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"2026-10-05T22:24:21.667230+00:00", "outcome_probabilities": {"away": 0.643093892952897, "draw": 0.02264255, "home": 0.3342635570471029}, "replay_scope": "Exact Elo and tie model; logged value is expected contract settlement, not outright win probability.", "schema": "international-elo-replay-v1", "settlement_values": {"away": 0.654415, "home": 0.345585}, "snapshot_hash": "a8ea999f753f34ceca22df92024b93b194a3f67a130fda6968ea22ac8d9f8281", "sport": "KBO"}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2026-10-05T22:28:02Z</dcterms:created>
  <dcterms:modified xmlns:dcterms="http://purl.org/dc/terms/" xmlns:xsi="http://www.w3.org/2001/XMLSchema-instance" xsi:type="dcterms:W3CDTF">2026-10-05T22:28:02Z</dcterms:modified>
</cp:coreProperties>
</file>