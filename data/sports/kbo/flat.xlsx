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_FilterDatabase" localSheetId="1" hidden="1">'Picks'!$A$1:$DQ$1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COUNTA('Picks'!$A$2:$A$2)</f>
        <v/>
      </c>
      <c r="C4" s="6">
        <f>COUNTIF('Picks'!$U$2:$U$2,"open")</f>
        <v/>
      </c>
      <c r="E4" s="6">
        <f>COUNTIF('Picks'!$U$2:$U$2,"settled")</f>
        <v/>
      </c>
      <c r="G4" s="6">
        <f>IF(COUNTIFS('Picks'!$U$2:$U$2,"settled",'Picks'!$V$2:$V$2,"win")+COUNTIFS('Picks'!$U$2:$U$2,"settled",'Picks'!$V$2:$V$2,"loss")&gt;=$L$2,"Ready","Insufficient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COUNTIF('Picks'!$BX$2:$BX$2,"&gt;0")</f>
        <v/>
      </c>
      <c r="C7" s="6">
        <f>COUNTIFS('Picks'!$BX$2:$BX$2,"&gt;0",'Picks'!$V$2:$V$2,"win")&amp;"-"&amp;COUNTIFS('Picks'!$BX$2:$BX$2,"&gt;0",'Picks'!$V$2:$V$2,"loss")</f>
        <v/>
      </c>
      <c r="E7" s="7">
        <f>IFERROR(COUNTIFS('Picks'!$BX$2:$BX$2,"&gt;0",'Picks'!$V$2:$V$2,"win")/(COUNTIFS('Picks'!$BX$2:$BX$2,"&gt;0",'Picks'!$V$2:$V$2,"win")+COUNTIFS('Picks'!$BX$2:$BX$2,"&gt;0",'Picks'!$V$2:$V$2,"loss")),0)</f>
        <v/>
      </c>
      <c r="G7" s="7">
        <f>IFERROR(SUM('Picks'!$BY$2:$BY$2)/SUM('Picks'!$BX$2:$BX$2),0)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SUM('Picks'!$BY$2:$BY$2)</f>
        <v/>
      </c>
      <c r="C10" s="9">
        <f>IFERROR(AVERAGEIF('Picks'!$AB$2:$AB$2,"&lt;&gt;",'Picks'!$AB$2:$AB$2),0)</f>
        <v/>
      </c>
      <c r="E10" s="6">
        <f>COUNTIFS('Picks'!$AM$2:$AM$2,"QUALIFIED_SHADOW_CALL",'Picks'!$U$2:$U$2,"settled")</f>
        <v/>
      </c>
      <c r="G10" s="8">
        <f>SUMIFS('Picks'!$AC$2:$AC$2,'Picks'!$AM$2:$AM$2,"QUALIFIED_SHADOW_CALL")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COUNTIFS('Picks'!$H$2:$H$2,$A14,'Picks'!$U$2:$U$2,"settled")</f>
        <v/>
      </c>
      <c r="C14" s="13">
        <f>COUNTIFS('Picks'!$H$2:$H$2,$A14,'Picks'!$U$2:$U$2,"settled",'Picks'!$V$2:$V$2,"win")</f>
        <v/>
      </c>
      <c r="D14" s="13">
        <f>COUNTIFS('Picks'!$H$2:$H$2,$A14,'Picks'!$U$2:$U$2,"settled",'Picks'!$V$2:$V$2,"loss")</f>
        <v/>
      </c>
      <c r="E14" s="14">
        <f>IFERROR(C14/(C14+D14),0)</f>
        <v/>
      </c>
      <c r="F14" s="15">
        <f>SUMIFS('Picks'!$BY$2:$BY$2,'Picks'!$H$2:$H$2,$A14)</f>
        <v/>
      </c>
      <c r="G14" s="16">
        <f>IFERROR(AVERAGEIFS('Picks'!$AB$2:$AB$2,'Picks'!$H$2:$H$2,$A14,'Picks'!$U$2:$U$2,"settled"),0)</f>
        <v/>
      </c>
    </row>
    <row r="15">
      <c r="A15" s="17" t="inlineStr">
        <is>
          <t>spread</t>
        </is>
      </c>
      <c r="B15" s="18">
        <f>COUNTIFS('Picks'!$H$2:$H$2,$A15,'Picks'!$U$2:$U$2,"settled")</f>
        <v/>
      </c>
      <c r="C15" s="18">
        <f>COUNTIFS('Picks'!$H$2:$H$2,$A15,'Picks'!$U$2:$U$2,"settled",'Picks'!$V$2:$V$2,"win")</f>
        <v/>
      </c>
      <c r="D15" s="18">
        <f>COUNTIFS('Picks'!$H$2:$H$2,$A15,'Picks'!$U$2:$U$2,"settled",'Picks'!$V$2:$V$2,"loss")</f>
        <v/>
      </c>
      <c r="E15" s="19">
        <f>IFERROR(C15/(C15+D15),0)</f>
        <v/>
      </c>
      <c r="F15" s="20">
        <f>SUMIFS('Picks'!$BY$2:$BY$2,'Picks'!$H$2:$H$2,$A15)</f>
        <v/>
      </c>
      <c r="G15" s="21">
        <f>IFERROR(AVERAGEIFS('Picks'!$AB$2:$AB$2,'Picks'!$H$2:$H$2,$A15,'Picks'!$U$2:$U$2,"settled"),0)</f>
        <v/>
      </c>
    </row>
    <row r="16">
      <c r="A16" s="12" t="inlineStr">
        <is>
          <t>total</t>
        </is>
      </c>
      <c r="B16" s="13">
        <f>COUNTIFS('Picks'!$H$2:$H$2,$A16,'Picks'!$U$2:$U$2,"settled")</f>
        <v/>
      </c>
      <c r="C16" s="13">
        <f>COUNTIFS('Picks'!$H$2:$H$2,$A16,'Picks'!$U$2:$U$2,"settled",'Picks'!$V$2:$V$2,"win")</f>
        <v/>
      </c>
      <c r="D16" s="13">
        <f>COUNTIFS('Picks'!$H$2:$H$2,$A16,'Picks'!$U$2:$U$2,"settled",'Picks'!$V$2:$V$2,"loss")</f>
        <v/>
      </c>
      <c r="E16" s="14">
        <f>IFERROR(C16/(C16+D16),0)</f>
        <v/>
      </c>
      <c r="F16" s="15">
        <f>SUMIFS('Picks'!$BY$2:$BY$2,'Picks'!$H$2:$H$2,$A16)</f>
        <v/>
      </c>
      <c r="G16" s="16">
        <f>IFERROR(AVERAGEIFS('Picks'!$AB$2:$AB$2,'Picks'!$H$2:$H$2,$A16,'Picks'!$U$2:$U$2,"settled"),0)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</sheetData>
  <autoFilter ref="A1:DQ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2026-10-06T06:41:07Z</dcterms:created>
  <dcterms:modified xmlns:dcterms="http://purl.org/dc/terms/" xmlns:xsi="http://www.w3.org/2001/XMLSchema-instance" xsi:type="dcterms:W3CDTF">2026-10-06T06:41:07Z</dcterms:modified>
</cp:coreProperties>
</file>