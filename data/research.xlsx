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M67" headerRowCount="1">
  <autoFilter ref="A1:CM67"/>
  <tableColumns count="9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defensive_trend_gap"/>
    <tableColumn id="87" name="neutral_elo_rating_difference"/>
    <tableColumn id="88" name="rest_disparity"/>
    <tableColumn id="89" name="back_to_back_gap"/>
    <tableColumn id="90" name="games_last_7_gap"/>
    <tableColumn id="91" name="schedule_missing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COUNTA('Picks'!$A$2:$A$67)</f>
        <v/>
      </c>
      <c r="C4" s="6">
        <f>COUNTIF('Picks'!$U$2:$U$67,"open")</f>
        <v/>
      </c>
      <c r="E4" s="6">
        <f>COUNTIF('Picks'!$U$2:$U$67,"settled")</f>
        <v/>
      </c>
      <c r="G4" s="6">
        <f>IF(COUNTIFS('Picks'!$U$2:$U$67,"settled",'Picks'!$V$2:$V$67,"win")+COUNTIFS('Picks'!$U$2:$U$67,"settled",'Picks'!$V$2:$V$67,"loss")&gt;=$L$2,"Ready","Insufficient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COUNTIF('Picks'!$BX$2:$BX$67,"&gt;0")</f>
        <v/>
      </c>
      <c r="C7" s="6">
        <f>COUNTIFS('Picks'!$BX$2:$BX$67,"&gt;0",'Picks'!$V$2:$V$67,"win")&amp;"-"&amp;COUNTIFS('Picks'!$BX$2:$BX$67,"&gt;0",'Picks'!$V$2:$V$67,"loss")</f>
        <v/>
      </c>
      <c r="E7" s="7">
        <f>IFERROR(COUNTIFS('Picks'!$BX$2:$BX$67,"&gt;0",'Picks'!$V$2:$V$67,"win")/(COUNTIFS('Picks'!$BX$2:$BX$67,"&gt;0",'Picks'!$V$2:$V$67,"win")+COUNTIFS('Picks'!$BX$2:$BX$67,"&gt;0",'Picks'!$V$2:$V$67,"loss")),0)</f>
        <v/>
      </c>
      <c r="G7" s="7">
        <f>IFERROR(SUM('Picks'!$BY$2:$BY$67)/SUM('Picks'!$BX$2:$BX$67),0)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SUM('Picks'!$BY$2:$BY$67)</f>
        <v/>
      </c>
      <c r="C10" s="9">
        <f>IFERROR(AVERAGEIF('Picks'!$AB$2:$AB$67,"&lt;&gt;",'Picks'!$AB$2:$AB$67),0)</f>
        <v/>
      </c>
      <c r="E10" s="6">
        <f>COUNTIFS('Picks'!$AM$2:$AM$67,"QUALIFIED_SHADOW_CALL",'Picks'!$U$2:$U$67,"settled")</f>
        <v/>
      </c>
      <c r="G10" s="8">
        <f>SUMIFS('Picks'!$AC$2:$AC$67,'Picks'!$AM$2:$AM$67,"QUALIFIED_SHADOW_CALL")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COUNTIFS('Picks'!$H$2:$H$67,$A14,'Picks'!$U$2:$U$67,"settled")</f>
        <v/>
      </c>
      <c r="C14" s="13">
        <f>COUNTIFS('Picks'!$H$2:$H$67,$A14,'Picks'!$U$2:$U$67,"settled",'Picks'!$V$2:$V$67,"win")</f>
        <v/>
      </c>
      <c r="D14" s="13">
        <f>COUNTIFS('Picks'!$H$2:$H$67,$A14,'Picks'!$U$2:$U$67,"settled",'Picks'!$V$2:$V$67,"loss")</f>
        <v/>
      </c>
      <c r="E14" s="14">
        <f>IFERROR(C14/(C14+D14),0)</f>
        <v/>
      </c>
      <c r="F14" s="15">
        <f>SUMIFS('Picks'!$BY$2:$BY$67,'Picks'!$H$2:$H$67,$A14)</f>
        <v/>
      </c>
      <c r="G14" s="16">
        <f>IFERROR(AVERAGEIFS('Picks'!$AB$2:$AB$67,'Picks'!$H$2:$H$67,$A14,'Picks'!$U$2:$U$67,"settled"),0)</f>
        <v/>
      </c>
    </row>
    <row r="15">
      <c r="A15" s="17" t="inlineStr">
        <is>
          <t>spread</t>
        </is>
      </c>
      <c r="B15" s="18">
        <f>COUNTIFS('Picks'!$H$2:$H$67,$A15,'Picks'!$U$2:$U$67,"settled")</f>
        <v/>
      </c>
      <c r="C15" s="18">
        <f>COUNTIFS('Picks'!$H$2:$H$67,$A15,'Picks'!$U$2:$U$67,"settled",'Picks'!$V$2:$V$67,"win")</f>
        <v/>
      </c>
      <c r="D15" s="18">
        <f>COUNTIFS('Picks'!$H$2:$H$67,$A15,'Picks'!$U$2:$U$67,"settled",'Picks'!$V$2:$V$67,"loss")</f>
        <v/>
      </c>
      <c r="E15" s="19">
        <f>IFERROR(C15/(C15+D15),0)</f>
        <v/>
      </c>
      <c r="F15" s="20">
        <f>SUMIFS('Picks'!$BY$2:$BY$67,'Picks'!$H$2:$H$67,$A15)</f>
        <v/>
      </c>
      <c r="G15" s="21">
        <f>IFERROR(AVERAGEIFS('Picks'!$AB$2:$AB$67,'Picks'!$H$2:$H$67,$A15,'Picks'!$U$2:$U$67,"settled"),0)</f>
        <v/>
      </c>
    </row>
    <row r="16">
      <c r="A16" s="12" t="inlineStr">
        <is>
          <t>total</t>
        </is>
      </c>
      <c r="B16" s="13">
        <f>COUNTIFS('Picks'!$H$2:$H$67,$A16,'Picks'!$U$2:$U$67,"settled")</f>
        <v/>
      </c>
      <c r="C16" s="13">
        <f>COUNTIFS('Picks'!$H$2:$H$67,$A16,'Picks'!$U$2:$U$67,"settled",'Picks'!$V$2:$V$67,"win")</f>
        <v/>
      </c>
      <c r="D16" s="13">
        <f>COUNTIFS('Picks'!$H$2:$H$67,$A16,'Picks'!$U$2:$U$67,"settled",'Picks'!$V$2:$V$67,"loss")</f>
        <v/>
      </c>
      <c r="E16" s="14">
        <f>IFERROR(C16/(C16+D16),0)</f>
        <v/>
      </c>
      <c r="F16" s="15">
        <f>SUMIFS('Picks'!$BY$2:$BY$67,'Picks'!$H$2:$H$67,$A16)</f>
        <v/>
      </c>
      <c r="G16" s="16">
        <f>IFERROR(AVERAGEIFS('Picks'!$AB$2:$AB$67,'Picks'!$H$2:$H$67,$A16,'Picks'!$U$2:$U$67,"settled"),0)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M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1" customWidth="1" min="86" max="86"/>
    <col width="22" customWidth="1" min="87" max="87"/>
    <col width="16" customWidth="1" min="88" max="88"/>
    <col width="18" customWidth="1" min="89" max="89"/>
    <col width="18" customWidth="1" min="90" max="90"/>
    <col width="22" customWidth="1" min="91" max="9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defensive_trend_gap</t>
        </is>
      </c>
      <c r="CI1" s="23" t="inlineStr">
        <is>
          <t>neutral_elo_rating_difference</t>
        </is>
      </c>
      <c r="CJ1" s="23" t="inlineStr">
        <is>
          <t>rest_disparity</t>
        </is>
      </c>
      <c r="CK1" s="23" t="inlineStr">
        <is>
          <t>back_to_back_gap</t>
        </is>
      </c>
      <c r="CL1" s="23" t="inlineStr">
        <is>
          <t>games_last_7_gap</t>
        </is>
      </c>
      <c r="CM1" s="23" t="inlineStr">
        <is>
          <t>schedule_missingness</t>
        </is>
      </c>
    </row>
    <row r="2" ht="36" customHeight="1">
      <c r="A2" s="24" t="inlineStr">
        <is>
          <t>44151cf5c911413f</t>
        </is>
      </c>
      <c r="B2" s="24" t="inlineStr">
        <is>
          <t>2026-07-23T07:19:40.966816Z</t>
        </is>
      </c>
      <c r="C2" s="24" t="inlineStr">
        <is>
          <t>2026-07-23T09:00:00Z</t>
        </is>
      </c>
      <c r="D2" s="24" t="inlineStr">
        <is>
          <t>56810</t>
        </is>
      </c>
      <c r="E2" s="24" t="inlineStr">
        <is>
          <t>LOL</t>
        </is>
      </c>
      <c r="F2" s="24" t="inlineStr">
        <is>
          <t>Anyone's Legend</t>
        </is>
      </c>
      <c r="G2" s="24" t="inlineStr">
        <is>
          <t>JD Gaming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104</v>
      </c>
      <c r="M2" s="27" t="n">
        <v>2.04</v>
      </c>
      <c r="N2" s="28" t="n">
        <v>0.490196</v>
      </c>
      <c r="O2" s="28" t="n">
        <v>0.529047</v>
      </c>
      <c r="P2" s="28" t="n">
        <v>0.05</v>
      </c>
      <c r="Q2" s="28" t="n">
        <v>0.038851</v>
      </c>
      <c r="R2" s="26" t="n">
        <v>39</v>
      </c>
      <c r="S2" s="29" t="n">
        <v>0</v>
      </c>
      <c r="T2" s="24" t="inlineStr">
        <is>
          <t>lol-tiered-elo-v3</t>
        </is>
      </c>
      <c r="U2" s="24" t="inlineStr">
        <is>
          <t>open</t>
        </is>
      </c>
      <c r="V2" s="24" t="n"/>
      <c r="W2" s="26" t="n"/>
      <c r="X2" s="26" t="n"/>
      <c r="Y2" s="25" t="n"/>
      <c r="Z2" s="26" t="n"/>
      <c r="AA2" s="28" t="n"/>
      <c r="AB2" s="28" t="n"/>
      <c r="AC2" s="30" t="n"/>
      <c r="AD2" s="24" t="n"/>
      <c r="AE2" s="31" t="inlineStr">
        <is>
          <t>Neutral Elo baseline; executable ask 0.4900 (market_slug=aec-lol-jdg-al-2026-07-23).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NO_CALL_LOW_EDGE</t>
        </is>
      </c>
      <c r="AP2" s="24" t="inlineStr">
        <is>
          <t>Anyone's Legend</t>
        </is>
      </c>
      <c r="AQ2" s="24" t="inlineStr">
        <is>
          <t>Anyone's Legend</t>
        </is>
      </c>
      <c r="AR2" s="24" t="inlineStr">
        <is>
          <t>Anyone's Legend</t>
        </is>
      </c>
      <c r="AS2" s="24" t="inlineStr">
        <is>
          <t>JD Gaming</t>
        </is>
      </c>
      <c r="AT2" s="24" t="inlineStr">
        <is>
          <t>JD Gaming</t>
        </is>
      </c>
      <c r="AU2" s="24" t="inlineStr">
        <is>
          <t>JD Gaming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dbc38ecdb090b63690db810d40eb29d0a69435c83dfbf24eb00d22aa42c177ae</t>
        </is>
      </c>
      <c r="BB2" s="24" t="inlineStr">
        <is>
          <t>neutral_elo</t>
        </is>
      </c>
      <c r="BC2" s="24" t="inlineStr">
        <is>
          <t>lol-tiered-elo-v3</t>
        </is>
      </c>
      <c r="BD2" s="24" t="inlineStr">
        <is>
          <t>dbc38ecdb090b63690db810d40eb29d0a69435c83dfbf24eb00d22aa42c177ae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lol-tiered-elo-v3</t>
        </is>
      </c>
      <c r="BH2" s="24" t="inlineStr">
        <is>
          <t>2026-07-23T07:19:09.188062Z</t>
        </is>
      </c>
      <c r="BI2" s="24" t="inlineStr">
        <is>
          <t>["same_event","same_team_same_day","same_league_same_day"]</t>
        </is>
      </c>
      <c r="BJ2" s="25" t="n"/>
      <c r="BK2" s="26" t="n">
        <v>104</v>
      </c>
      <c r="BL2" s="27" t="n">
        <v>2.04</v>
      </c>
      <c r="BM2" s="28" t="n">
        <v>0.490196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</row>
    <row r="3" ht="36" customHeight="1">
      <c r="A3" s="24" t="inlineStr">
        <is>
          <t>d6b9048395ba4f70</t>
        </is>
      </c>
      <c r="B3" s="24" t="inlineStr">
        <is>
          <t>2026-07-23T07:19:40.966816Z</t>
        </is>
      </c>
      <c r="C3" s="24" t="inlineStr">
        <is>
          <t>2026-07-23T16:00:00Z</t>
        </is>
      </c>
      <c r="D3" s="24" t="inlineStr">
        <is>
          <t>57023</t>
        </is>
      </c>
      <c r="E3" s="24" t="inlineStr">
        <is>
          <t>LOL</t>
        </is>
      </c>
      <c r="F3" s="24" t="inlineStr">
        <is>
          <t>Esprit Shōnen</t>
        </is>
      </c>
      <c r="G3" s="24" t="inlineStr">
        <is>
          <t>Skillcamp Esport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144</v>
      </c>
      <c r="M3" s="27" t="n">
        <v>2.44</v>
      </c>
      <c r="N3" s="28" t="n">
        <v>0.409836</v>
      </c>
      <c r="O3" s="28" t="n">
        <v>0.598228</v>
      </c>
      <c r="P3" s="28" t="n">
        <v>0.05</v>
      </c>
      <c r="Q3" s="28" t="n">
        <v>0.188392</v>
      </c>
      <c r="R3" s="26" t="n">
        <v>100</v>
      </c>
      <c r="S3" s="29" t="n">
        <v>0</v>
      </c>
      <c r="T3" s="24" t="inlineStr">
        <is>
          <t>lol-tiered-elo-v3</t>
        </is>
      </c>
      <c r="U3" s="24" t="inlineStr">
        <is>
          <t>open</t>
        </is>
      </c>
      <c r="V3" s="24" t="n"/>
      <c r="W3" s="26" t="n"/>
      <c r="X3" s="26" t="n"/>
      <c r="Y3" s="25" t="n"/>
      <c r="Z3" s="26" t="n"/>
      <c r="AA3" s="28" t="n"/>
      <c r="AB3" s="28" t="n"/>
      <c r="AC3" s="30" t="n"/>
      <c r="AD3" s="24" t="n"/>
      <c r="AE3" s="31" t="inlineStr">
        <is>
          <t>Neutral Elo baseline; executable ask 0.4100 (market_slug=aec-lol-sc-ess-2026-07-23).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NO_CALL</t>
        </is>
      </c>
      <c r="AO3" s="24" t="inlineStr">
        <is>
          <t>NO_CALL_LARGE_DISAGREEMENT_REVIEW</t>
        </is>
      </c>
      <c r="AP3" s="24" t="inlineStr">
        <is>
          <t>Esprit Shōnen</t>
        </is>
      </c>
      <c r="AQ3" s="24" t="inlineStr">
        <is>
          <t>Esprit Shōnen</t>
        </is>
      </c>
      <c r="AR3" s="24" t="inlineStr">
        <is>
          <t>Esprit Shōnen</t>
        </is>
      </c>
      <c r="AS3" s="24" t="inlineStr">
        <is>
          <t>Skillcamp Esport</t>
        </is>
      </c>
      <c r="AT3" s="24" t="inlineStr">
        <is>
          <t>Skillcamp Esport</t>
        </is>
      </c>
      <c r="AU3" s="24" t="inlineStr">
        <is>
          <t>Skillcamp Esport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dbc38ecdb090b63690db810d40eb29d0a69435c83dfbf24eb00d22aa42c177ae</t>
        </is>
      </c>
      <c r="BB3" s="24" t="inlineStr">
        <is>
          <t>neutral_elo</t>
        </is>
      </c>
      <c r="BC3" s="24" t="inlineStr">
        <is>
          <t>lol-tiered-elo-v3</t>
        </is>
      </c>
      <c r="BD3" s="24" t="inlineStr">
        <is>
          <t>dbc38ecdb090b63690db810d40eb29d0a69435c83dfbf24eb00d22aa42c177ae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lol-tiered-elo-v3</t>
        </is>
      </c>
      <c r="BH3" s="24" t="inlineStr">
        <is>
          <t>2026-07-23T07:19:11.879111Z</t>
        </is>
      </c>
      <c r="BI3" s="24" t="inlineStr">
        <is>
          <t>["same_event","same_team_same_day","same_league_same_day"]</t>
        </is>
      </c>
      <c r="BJ3" s="25" t="n"/>
      <c r="BK3" s="26" t="n">
        <v>144</v>
      </c>
      <c r="BL3" s="27" t="n">
        <v>2.44</v>
      </c>
      <c r="BM3" s="28" t="n">
        <v>0.409836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</row>
    <row r="4" ht="36" customHeight="1">
      <c r="A4" s="24" t="inlineStr">
        <is>
          <t>1d45f066aa5e4ee0</t>
        </is>
      </c>
      <c r="B4" s="24" t="inlineStr">
        <is>
          <t>2026-07-23T07:19:40.966816Z</t>
        </is>
      </c>
      <c r="C4" s="24" t="inlineStr">
        <is>
          <t>2026-07-23T17:00:00Z</t>
        </is>
      </c>
      <c r="D4" s="24" t="inlineStr">
        <is>
          <t>57086</t>
        </is>
      </c>
      <c r="E4" s="24" t="inlineStr">
        <is>
          <t>LOL</t>
        </is>
      </c>
      <c r="F4" s="24" t="inlineStr">
        <is>
          <t>Ici Japon Corp. Esport</t>
        </is>
      </c>
      <c r="G4" s="24" t="inlineStr">
        <is>
          <t>Joblife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186</v>
      </c>
      <c r="M4" s="27" t="n">
        <v>2.86</v>
      </c>
      <c r="N4" s="28" t="n">
        <v>0.34965</v>
      </c>
      <c r="O4" s="28" t="n">
        <v>0.549847</v>
      </c>
      <c r="P4" s="28" t="n">
        <v>0.05</v>
      </c>
      <c r="Q4" s="28" t="n">
        <v>0.200197</v>
      </c>
      <c r="R4" s="26" t="n">
        <v>100</v>
      </c>
      <c r="S4" s="29" t="n">
        <v>0</v>
      </c>
      <c r="T4" s="24" t="inlineStr">
        <is>
          <t>lol-tiered-elo-v3</t>
        </is>
      </c>
      <c r="U4" s="24" t="inlineStr">
        <is>
          <t>open</t>
        </is>
      </c>
      <c r="V4" s="24" t="n"/>
      <c r="W4" s="26" t="n"/>
      <c r="X4" s="26" t="n"/>
      <c r="Y4" s="25" t="n"/>
      <c r="Z4" s="26" t="n"/>
      <c r="AA4" s="28" t="n"/>
      <c r="AB4" s="28" t="n"/>
      <c r="AC4" s="30" t="n"/>
      <c r="AD4" s="24" t="n"/>
      <c r="AE4" s="31" t="inlineStr">
        <is>
          <t>Neutral Elo baseline; executable ask 0.3500 (market_slug=aec-lol-jl-ijc-2026-07-23).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NO_CALL_LARGE_DISAGREEMENT_REVIEW</t>
        </is>
      </c>
      <c r="AP4" s="24" t="inlineStr">
        <is>
          <t>Ici Japon Corp. Esport</t>
        </is>
      </c>
      <c r="AQ4" s="24" t="inlineStr">
        <is>
          <t>Ici Japon Corp. Esport</t>
        </is>
      </c>
      <c r="AR4" s="24" t="inlineStr">
        <is>
          <t>Ici Japon Corp. Esport</t>
        </is>
      </c>
      <c r="AS4" s="24" t="inlineStr">
        <is>
          <t>Joblife</t>
        </is>
      </c>
      <c r="AT4" s="24" t="inlineStr">
        <is>
          <t>Joblife</t>
        </is>
      </c>
      <c r="AU4" s="24" t="inlineStr">
        <is>
          <t>Joblife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dbc38ecdb090b63690db810d40eb29d0a69435c83dfbf24eb00d22aa42c177ae</t>
        </is>
      </c>
      <c r="BB4" s="24" t="inlineStr">
        <is>
          <t>neutral_elo</t>
        </is>
      </c>
      <c r="BC4" s="24" t="inlineStr">
        <is>
          <t>lol-tiered-elo-v3</t>
        </is>
      </c>
      <c r="BD4" s="24" t="inlineStr">
        <is>
          <t>dbc38ecdb090b63690db810d40eb29d0a69435c83dfbf24eb00d22aa42c177ae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lol-tiered-elo-v3</t>
        </is>
      </c>
      <c r="BH4" s="24" t="inlineStr">
        <is>
          <t>2026-07-23T07:19:15.348357Z</t>
        </is>
      </c>
      <c r="BI4" s="24" t="inlineStr">
        <is>
          <t>["same_event","same_team_same_day","same_league_same_day"]</t>
        </is>
      </c>
      <c r="BJ4" s="25" t="n"/>
      <c r="BK4" s="26" t="n">
        <v>186</v>
      </c>
      <c r="BL4" s="27" t="n">
        <v>2.86</v>
      </c>
      <c r="BM4" s="28" t="n">
        <v>0.34965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</row>
    <row r="5" ht="36" customHeight="1">
      <c r="A5" s="24" t="inlineStr">
        <is>
          <t>9775e1763adf4911</t>
        </is>
      </c>
      <c r="B5" s="24" t="inlineStr">
        <is>
          <t>2026-07-23T07:19:40.966816Z</t>
        </is>
      </c>
      <c r="C5" s="24" t="inlineStr">
        <is>
          <t>2026-07-23T17:00:00Z</t>
        </is>
      </c>
      <c r="D5" s="24" t="inlineStr">
        <is>
          <t>57088</t>
        </is>
      </c>
      <c r="E5" s="24" t="inlineStr">
        <is>
          <t>LOL</t>
        </is>
      </c>
      <c r="F5" s="24" t="inlineStr">
        <is>
          <t>Dynasty</t>
        </is>
      </c>
      <c r="G5" s="24" t="inlineStr">
        <is>
          <t>Myth Esports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203</v>
      </c>
      <c r="M5" s="27" t="n">
        <v>3.03</v>
      </c>
      <c r="N5" s="28" t="n">
        <v>0.330033</v>
      </c>
      <c r="O5" s="28" t="n">
        <v>0.501096</v>
      </c>
      <c r="P5" s="28" t="n">
        <v>0.05</v>
      </c>
      <c r="Q5" s="28" t="n">
        <v>0.171063</v>
      </c>
      <c r="R5" s="26" t="n">
        <v>100</v>
      </c>
      <c r="S5" s="29" t="n">
        <v>0</v>
      </c>
      <c r="T5" s="24" t="inlineStr">
        <is>
          <t>lol-tiered-elo-v3</t>
        </is>
      </c>
      <c r="U5" s="24" t="inlineStr">
        <is>
          <t>open</t>
        </is>
      </c>
      <c r="V5" s="24" t="n"/>
      <c r="W5" s="26" t="n"/>
      <c r="X5" s="26" t="n"/>
      <c r="Y5" s="25" t="n"/>
      <c r="Z5" s="26" t="n"/>
      <c r="AA5" s="28" t="n"/>
      <c r="AB5" s="28" t="n"/>
      <c r="AC5" s="30" t="n"/>
      <c r="AD5" s="24" t="n"/>
      <c r="AE5" s="31" t="inlineStr">
        <is>
          <t>Neutral Elo baseline; executable ask 0.3300 (market_slug=aec-lol-myth-dyn-2026-07-23).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NO_CALL_LARGE_DISAGREEMENT_REVIEW</t>
        </is>
      </c>
      <c r="AP5" s="24" t="inlineStr">
        <is>
          <t>Dynasty</t>
        </is>
      </c>
      <c r="AQ5" s="24" t="inlineStr">
        <is>
          <t>Dynasty</t>
        </is>
      </c>
      <c r="AR5" s="24" t="inlineStr">
        <is>
          <t>Dynasty</t>
        </is>
      </c>
      <c r="AS5" s="24" t="inlineStr">
        <is>
          <t>Myth Esports</t>
        </is>
      </c>
      <c r="AT5" s="24" t="inlineStr">
        <is>
          <t>Myth Esports</t>
        </is>
      </c>
      <c r="AU5" s="24" t="inlineStr">
        <is>
          <t>Myth Esports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dbc38ecdb090b63690db810d40eb29d0a69435c83dfbf24eb00d22aa42c177ae</t>
        </is>
      </c>
      <c r="BB5" s="24" t="inlineStr">
        <is>
          <t>neutral_elo</t>
        </is>
      </c>
      <c r="BC5" s="24" t="inlineStr">
        <is>
          <t>lol-tiered-elo-v3</t>
        </is>
      </c>
      <c r="BD5" s="24" t="inlineStr">
        <is>
          <t>dbc38ecdb090b63690db810d40eb29d0a69435c83dfbf24eb00d22aa42c177ae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lol-tiered-elo-v3</t>
        </is>
      </c>
      <c r="BH5" s="24" t="inlineStr">
        <is>
          <t>2026-07-23T07:19:17.018506Z</t>
        </is>
      </c>
      <c r="BI5" s="24" t="inlineStr">
        <is>
          <t>["same_event","same_team_same_day","same_league_same_day"]</t>
        </is>
      </c>
      <c r="BJ5" s="25" t="n"/>
      <c r="BK5" s="26" t="n">
        <v>203</v>
      </c>
      <c r="BL5" s="27" t="n">
        <v>3.03</v>
      </c>
      <c r="BM5" s="28" t="n">
        <v>0.330033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</row>
    <row r="6" ht="36" customHeight="1">
      <c r="A6" s="24" t="inlineStr">
        <is>
          <t>4abf5cf067fa41ac</t>
        </is>
      </c>
      <c r="B6" s="24" t="inlineStr">
        <is>
          <t>2026-07-23T07:20:39.530092Z</t>
        </is>
      </c>
      <c r="C6" s="24" t="inlineStr">
        <is>
          <t>2026-07-23T08:00:00Z</t>
        </is>
      </c>
      <c r="D6" s="24" t="inlineStr">
        <is>
          <t>59672</t>
        </is>
      </c>
      <c r="E6" s="24" t="inlineStr">
        <is>
          <t>CS2</t>
        </is>
      </c>
      <c r="F6" s="24" t="inlineStr">
        <is>
          <t>Entropy</t>
        </is>
      </c>
      <c r="G6" s="24" t="inlineStr">
        <is>
          <t>Rune Eaters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117</v>
      </c>
      <c r="M6" s="27" t="n">
        <v>2.17</v>
      </c>
      <c r="N6" s="28" t="n">
        <v>0.460829</v>
      </c>
      <c r="O6" s="28" t="n">
        <v>0.517948</v>
      </c>
      <c r="P6" s="28" t="n">
        <v>0.05</v>
      </c>
      <c r="Q6" s="28" t="n">
        <v>0.057119</v>
      </c>
      <c r="R6" s="26" t="n">
        <v>49</v>
      </c>
      <c r="S6" s="29" t="n">
        <v>0</v>
      </c>
      <c r="T6" s="24" t="inlineStr">
        <is>
          <t>cs2-tiered-elo-v3</t>
        </is>
      </c>
      <c r="U6" s="24" t="inlineStr">
        <is>
          <t>open</t>
        </is>
      </c>
      <c r="V6" s="24" t="n"/>
      <c r="W6" s="26" t="n"/>
      <c r="X6" s="26" t="n"/>
      <c r="Y6" s="25" t="n"/>
      <c r="Z6" s="26" t="n"/>
      <c r="AA6" s="28" t="n"/>
      <c r="AB6" s="28" t="n"/>
      <c r="AC6" s="30" t="n"/>
      <c r="AD6" s="24" t="n"/>
      <c r="AE6" s="31" t="inlineStr">
        <is>
          <t>Neutral Elo baseline; executable ask 0.4600 (market_slug=aec-cs2-re-ent-2026-07-23).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RESEARCH_OBSERVATION</t>
        </is>
      </c>
      <c r="AN6" s="24" t="inlineStr">
        <is>
          <t>NO_CALL</t>
        </is>
      </c>
      <c r="AO6" s="24" t="inlineStr">
        <is>
          <t>NO_CALL_LOW_EDGE</t>
        </is>
      </c>
      <c r="AP6" s="24" t="inlineStr">
        <is>
          <t>Entropy</t>
        </is>
      </c>
      <c r="AQ6" s="24" t="inlineStr">
        <is>
          <t>Entropy</t>
        </is>
      </c>
      <c r="AR6" s="24" t="inlineStr">
        <is>
          <t>Entropy</t>
        </is>
      </c>
      <c r="AS6" s="24" t="inlineStr">
        <is>
          <t>Rune Eaters</t>
        </is>
      </c>
      <c r="AT6" s="24" t="inlineStr">
        <is>
          <t>Rune Eaters</t>
        </is>
      </c>
      <c r="AU6" s="24" t="inlineStr">
        <is>
          <t>Rune Eaters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48424b79d75fc1173c9c465d95feb6fc041a2ccfbc64455058b3f74905ce28d5</t>
        </is>
      </c>
      <c r="BB6" s="24" t="inlineStr">
        <is>
          <t>neutral_elo</t>
        </is>
      </c>
      <c r="BC6" s="24" t="inlineStr">
        <is>
          <t>cs2-tiered-elo-v3</t>
        </is>
      </c>
      <c r="BD6" s="24" t="inlineStr">
        <is>
          <t>48424b79d75fc1173c9c465d95feb6fc041a2ccfbc64455058b3f74905ce28d5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cs2-tiered-elo-v3</t>
        </is>
      </c>
      <c r="BH6" s="24" t="inlineStr">
        <is>
          <t>2026-07-23T07:19:53.300087Z</t>
        </is>
      </c>
      <c r="BI6" s="24" t="inlineStr">
        <is>
          <t>["same_event","same_team_same_day","same_league_same_day"]</t>
        </is>
      </c>
      <c r="BJ6" s="25" t="n"/>
      <c r="BK6" s="26" t="n">
        <v>117</v>
      </c>
      <c r="BL6" s="27" t="n">
        <v>2.17</v>
      </c>
      <c r="BM6" s="28" t="n">
        <v>0.460829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</row>
    <row r="7" ht="36" customHeight="1">
      <c r="A7" s="24" t="inlineStr">
        <is>
          <t>c06a28256d0a4a72</t>
        </is>
      </c>
      <c r="B7" s="24" t="inlineStr">
        <is>
          <t>2026-07-23T07:20:39.530092Z</t>
        </is>
      </c>
      <c r="C7" s="24" t="inlineStr">
        <is>
          <t>2026-07-23T11:00:00Z</t>
        </is>
      </c>
      <c r="D7" s="24" t="inlineStr">
        <is>
          <t>56870</t>
        </is>
      </c>
      <c r="E7" s="24" t="inlineStr">
        <is>
          <t>CS2</t>
        </is>
      </c>
      <c r="F7" s="24" t="inlineStr">
        <is>
          <t>Benched gods</t>
        </is>
      </c>
      <c r="G7" s="24" t="inlineStr">
        <is>
          <t>NEW VISION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-122</v>
      </c>
      <c r="M7" s="27" t="n">
        <v>1.819672</v>
      </c>
      <c r="N7" s="28" t="n">
        <v>0.54955</v>
      </c>
      <c r="O7" s="28" t="n">
        <v>0.682691</v>
      </c>
      <c r="P7" s="28" t="n">
        <v>0.05</v>
      </c>
      <c r="Q7" s="28" t="n">
        <v>0.133141</v>
      </c>
      <c r="R7" s="26" t="n">
        <v>100</v>
      </c>
      <c r="S7" s="29" t="n">
        <v>0</v>
      </c>
      <c r="T7" s="24" t="inlineStr">
        <is>
          <t>cs2-tiered-elo-v3</t>
        </is>
      </c>
      <c r="U7" s="24" t="inlineStr">
        <is>
          <t>open</t>
        </is>
      </c>
      <c r="V7" s="24" t="n"/>
      <c r="W7" s="26" t="n"/>
      <c r="X7" s="26" t="n"/>
      <c r="Y7" s="25" t="n"/>
      <c r="Z7" s="26" t="n"/>
      <c r="AA7" s="28" t="n"/>
      <c r="AB7" s="28" t="n"/>
      <c r="AC7" s="30" t="n"/>
      <c r="AD7" s="24" t="n"/>
      <c r="AE7" s="31" t="inlineStr">
        <is>
          <t>Neutral Elo baseline; executable ask 0.5500 (market_slug=aec-cs2-nve-bge-2026-07-23).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NO_CALL_LARGE_DISAGREEMENT_REVIEW</t>
        </is>
      </c>
      <c r="AP7" s="24" t="inlineStr">
        <is>
          <t>Benched gods</t>
        </is>
      </c>
      <c r="AQ7" s="24" t="inlineStr">
        <is>
          <t>Benched gods</t>
        </is>
      </c>
      <c r="AR7" s="24" t="inlineStr">
        <is>
          <t>Benched gods</t>
        </is>
      </c>
      <c r="AS7" s="24" t="inlineStr">
        <is>
          <t>NEW VISION</t>
        </is>
      </c>
      <c r="AT7" s="24" t="inlineStr">
        <is>
          <t>NEW VISION</t>
        </is>
      </c>
      <c r="AU7" s="24" t="inlineStr">
        <is>
          <t>NEW VISION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48424b79d75fc1173c9c465d95feb6fc041a2ccfbc64455058b3f74905ce28d5</t>
        </is>
      </c>
      <c r="BB7" s="24" t="inlineStr">
        <is>
          <t>neutral_elo</t>
        </is>
      </c>
      <c r="BC7" s="24" t="inlineStr">
        <is>
          <t>cs2-tiered-elo-v3</t>
        </is>
      </c>
      <c r="BD7" s="24" t="inlineStr">
        <is>
          <t>48424b79d75fc1173c9c465d95feb6fc041a2ccfbc64455058b3f74905ce28d5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cs2-tiered-elo-v3</t>
        </is>
      </c>
      <c r="BH7" s="24" t="inlineStr">
        <is>
          <t>2026-07-23T07:19:56.117565Z</t>
        </is>
      </c>
      <c r="BI7" s="24" t="inlineStr">
        <is>
          <t>["same_event","same_team_same_day","same_league_same_day"]</t>
        </is>
      </c>
      <c r="BJ7" s="25" t="n"/>
      <c r="BK7" s="26" t="n">
        <v>-122</v>
      </c>
      <c r="BL7" s="27" t="n">
        <v>1.819672</v>
      </c>
      <c r="BM7" s="28" t="n">
        <v>0.54955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</row>
    <row r="8" ht="36" customHeight="1">
      <c r="A8" s="24" t="inlineStr">
        <is>
          <t>48b186b9b9b44f05</t>
        </is>
      </c>
      <c r="B8" s="24" t="inlineStr">
        <is>
          <t>2026-07-23T07:20:39.530092Z</t>
        </is>
      </c>
      <c r="C8" s="24" t="inlineStr">
        <is>
          <t>2026-07-23T11:00:00Z</t>
        </is>
      </c>
      <c r="D8" s="24" t="inlineStr">
        <is>
          <t>59036</t>
        </is>
      </c>
      <c r="E8" s="24" t="inlineStr">
        <is>
          <t>CS2</t>
        </is>
      </c>
      <c r="F8" s="24" t="inlineStr">
        <is>
          <t>ex-RUSTEC</t>
        </is>
      </c>
      <c r="G8" s="24" t="inlineStr">
        <is>
          <t>Lavked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113</v>
      </c>
      <c r="M8" s="27" t="n">
        <v>2.13</v>
      </c>
      <c r="N8" s="28" t="n">
        <v>0.469484</v>
      </c>
      <c r="O8" s="28" t="n">
        <v>0.692685</v>
      </c>
      <c r="P8" s="28" t="n">
        <v>0.05</v>
      </c>
      <c r="Q8" s="28" t="n">
        <v>0.223201</v>
      </c>
      <c r="R8" s="26" t="n">
        <v>100</v>
      </c>
      <c r="S8" s="29" t="n">
        <v>0</v>
      </c>
      <c r="T8" s="24" t="inlineStr">
        <is>
          <t>cs2-tiered-elo-v3</t>
        </is>
      </c>
      <c r="U8" s="24" t="inlineStr">
        <is>
          <t>open</t>
        </is>
      </c>
      <c r="V8" s="24" t="n"/>
      <c r="W8" s="26" t="n"/>
      <c r="X8" s="26" t="n"/>
      <c r="Y8" s="25" t="n"/>
      <c r="Z8" s="26" t="n"/>
      <c r="AA8" s="28" t="n"/>
      <c r="AB8" s="28" t="n"/>
      <c r="AC8" s="30" t="n"/>
      <c r="AD8" s="24" t="n"/>
      <c r="AE8" s="31" t="inlineStr">
        <is>
          <t>Neutral Elo baseline; executable ask 0.4700 (market_slug=aec-cs2-lav-erx-2026-07-23).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NO_CALL_LARGE_DISAGREEMENT_REVIEW</t>
        </is>
      </c>
      <c r="AP8" s="24" t="inlineStr">
        <is>
          <t>ex-RUSTEC</t>
        </is>
      </c>
      <c r="AQ8" s="24" t="inlineStr">
        <is>
          <t>ex-RUSTEC</t>
        </is>
      </c>
      <c r="AR8" s="24" t="inlineStr">
        <is>
          <t>ex-RUSTEC</t>
        </is>
      </c>
      <c r="AS8" s="24" t="inlineStr">
        <is>
          <t>Lavked</t>
        </is>
      </c>
      <c r="AT8" s="24" t="inlineStr">
        <is>
          <t>Lavked</t>
        </is>
      </c>
      <c r="AU8" s="24" t="inlineStr">
        <is>
          <t>Lavked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48424b79d75fc1173c9c465d95feb6fc041a2ccfbc64455058b3f74905ce28d5</t>
        </is>
      </c>
      <c r="BB8" s="24" t="inlineStr">
        <is>
          <t>neutral_elo</t>
        </is>
      </c>
      <c r="BC8" s="24" t="inlineStr">
        <is>
          <t>cs2-tiered-elo-v3</t>
        </is>
      </c>
      <c r="BD8" s="24" t="inlineStr">
        <is>
          <t>48424b79d75fc1173c9c465d95feb6fc041a2ccfbc64455058b3f74905ce28d5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cs2-tiered-elo-v3</t>
        </is>
      </c>
      <c r="BH8" s="24" t="inlineStr">
        <is>
          <t>2026-07-23T07:19:56.934670Z</t>
        </is>
      </c>
      <c r="BI8" s="24" t="inlineStr">
        <is>
          <t>["same_event","same_team_same_day","same_league_same_day"]</t>
        </is>
      </c>
      <c r="BJ8" s="25" t="n"/>
      <c r="BK8" s="26" t="n">
        <v>113</v>
      </c>
      <c r="BL8" s="27" t="n">
        <v>2.13</v>
      </c>
      <c r="BM8" s="28" t="n">
        <v>0.469484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</row>
    <row r="9" ht="36" customHeight="1">
      <c r="A9" s="24" t="inlineStr">
        <is>
          <t>450565bf55b1476b</t>
        </is>
      </c>
      <c r="B9" s="24" t="inlineStr">
        <is>
          <t>2026-07-23T07:20:39.530092Z</t>
        </is>
      </c>
      <c r="C9" s="24" t="inlineStr">
        <is>
          <t>2026-07-23T13:00:00Z</t>
        </is>
      </c>
      <c r="D9" s="24" t="inlineStr">
        <is>
          <t>59442</t>
        </is>
      </c>
      <c r="E9" s="24" t="inlineStr">
        <is>
          <t>CS2</t>
        </is>
      </c>
      <c r="F9" s="24" t="inlineStr">
        <is>
          <t>Nuclear TigeRES</t>
        </is>
      </c>
      <c r="G9" s="24" t="inlineStr">
        <is>
          <t>100 Thieves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150</v>
      </c>
      <c r="M9" s="27" t="n">
        <v>2.5</v>
      </c>
      <c r="N9" s="28" t="n">
        <v>0.4</v>
      </c>
      <c r="O9" s="28" t="n">
        <v>0.5681389999999999</v>
      </c>
      <c r="P9" s="28" t="n">
        <v>0.05</v>
      </c>
      <c r="Q9" s="28" t="n">
        <v>0.168139</v>
      </c>
      <c r="R9" s="26" t="n">
        <v>100</v>
      </c>
      <c r="S9" s="29" t="n">
        <v>0</v>
      </c>
      <c r="T9" s="24" t="inlineStr">
        <is>
          <t>cs2-tiered-elo-v3</t>
        </is>
      </c>
      <c r="U9" s="24" t="inlineStr">
        <is>
          <t>open</t>
        </is>
      </c>
      <c r="V9" s="24" t="n"/>
      <c r="W9" s="26" t="n"/>
      <c r="X9" s="26" t="n"/>
      <c r="Y9" s="25" t="n"/>
      <c r="Z9" s="26" t="n"/>
      <c r="AA9" s="28" t="n"/>
      <c r="AB9" s="28" t="n"/>
      <c r="AC9" s="30" t="n"/>
      <c r="AD9" s="24" t="n"/>
      <c r="AE9" s="31" t="inlineStr">
        <is>
          <t>Neutral Elo baseline; executable ask 0.4000 (market_slug=aec-cs2-100t-ntr-2026-07-23).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NO_CALL_LARGE_DISAGREEMENT_REVIEW</t>
        </is>
      </c>
      <c r="AP9" s="24" t="inlineStr">
        <is>
          <t>Nuclear TigeRES</t>
        </is>
      </c>
      <c r="AQ9" s="24" t="inlineStr">
        <is>
          <t>Nuclear TigeRES</t>
        </is>
      </c>
      <c r="AR9" s="24" t="inlineStr">
        <is>
          <t>Nuclear TigeRES</t>
        </is>
      </c>
      <c r="AS9" s="24" t="inlineStr">
        <is>
          <t>100 Thieves</t>
        </is>
      </c>
      <c r="AT9" s="24" t="inlineStr">
        <is>
          <t>100 Thieves</t>
        </is>
      </c>
      <c r="AU9" s="24" t="inlineStr">
        <is>
          <t>100 Thieves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48424b79d75fc1173c9c465d95feb6fc041a2ccfbc64455058b3f74905ce28d5</t>
        </is>
      </c>
      <c r="BB9" s="24" t="inlineStr">
        <is>
          <t>neutral_elo</t>
        </is>
      </c>
      <c r="BC9" s="24" t="inlineStr">
        <is>
          <t>cs2-tiered-elo-v3</t>
        </is>
      </c>
      <c r="BD9" s="24" t="inlineStr">
        <is>
          <t>48424b79d75fc1173c9c465d95feb6fc041a2ccfbc64455058b3f74905ce28d5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cs2-tiered-elo-v3</t>
        </is>
      </c>
      <c r="BH9" s="24" t="inlineStr">
        <is>
          <t>2026-07-23T07:20:01.184225Z</t>
        </is>
      </c>
      <c r="BI9" s="24" t="inlineStr">
        <is>
          <t>["same_event","same_team_same_day","same_league_same_day"]</t>
        </is>
      </c>
      <c r="BJ9" s="25" t="n"/>
      <c r="BK9" s="26" t="n">
        <v>150</v>
      </c>
      <c r="BL9" s="27" t="n">
        <v>2.5</v>
      </c>
      <c r="BM9" s="28" t="n">
        <v>0.4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</row>
    <row r="10" ht="36" customHeight="1">
      <c r="A10" s="24" t="inlineStr">
        <is>
          <t>61731992c1874734</t>
        </is>
      </c>
      <c r="B10" s="24" t="inlineStr">
        <is>
          <t>2026-07-23T07:20:39.530092Z</t>
        </is>
      </c>
      <c r="C10" s="24" t="inlineStr">
        <is>
          <t>2026-07-23T14:00:00Z</t>
        </is>
      </c>
      <c r="D10" s="24" t="inlineStr">
        <is>
          <t>59038</t>
        </is>
      </c>
      <c r="E10" s="24" t="inlineStr">
        <is>
          <t>CS2</t>
        </is>
      </c>
      <c r="F10" s="24" t="inlineStr">
        <is>
          <t>SPARTA</t>
        </is>
      </c>
      <c r="G10" s="24" t="inlineStr">
        <is>
          <t>BET-M 33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108</v>
      </c>
      <c r="M10" s="27" t="n">
        <v>2.08</v>
      </c>
      <c r="N10" s="28" t="n">
        <v>0.480769</v>
      </c>
      <c r="O10" s="28" t="n">
        <v>0.524292</v>
      </c>
      <c r="P10" s="28" t="n">
        <v>0.05</v>
      </c>
      <c r="Q10" s="28" t="n">
        <v>0.043523</v>
      </c>
      <c r="R10" s="26" t="n">
        <v>42</v>
      </c>
      <c r="S10" s="29" t="n">
        <v>0</v>
      </c>
      <c r="T10" s="24" t="inlineStr">
        <is>
          <t>cs2-tiered-elo-v3</t>
        </is>
      </c>
      <c r="U10" s="24" t="inlineStr">
        <is>
          <t>open</t>
        </is>
      </c>
      <c r="V10" s="24" t="n"/>
      <c r="W10" s="26" t="n"/>
      <c r="X10" s="26" t="n"/>
      <c r="Y10" s="25" t="n"/>
      <c r="Z10" s="26" t="n"/>
      <c r="AA10" s="28" t="n"/>
      <c r="AB10" s="28" t="n"/>
      <c r="AC10" s="30" t="n"/>
      <c r="AD10" s="24" t="n"/>
      <c r="AE10" s="31" t="inlineStr">
        <is>
          <t>Neutral Elo baseline; executable ask 0.4800 (market_slug=aec-cs2-33-sparta-2026-07-23).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NO_CALL_LOW_EDGE</t>
        </is>
      </c>
      <c r="AP10" s="24" t="inlineStr">
        <is>
          <t>SPARTA</t>
        </is>
      </c>
      <c r="AQ10" s="24" t="inlineStr">
        <is>
          <t>SPARTA</t>
        </is>
      </c>
      <c r="AR10" s="24" t="inlineStr">
        <is>
          <t>SPARTA</t>
        </is>
      </c>
      <c r="AS10" s="24" t="inlineStr">
        <is>
          <t>BET-M 33</t>
        </is>
      </c>
      <c r="AT10" s="24" t="inlineStr">
        <is>
          <t>BET-M 33</t>
        </is>
      </c>
      <c r="AU10" s="24" t="inlineStr">
        <is>
          <t>BET-M 33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48424b79d75fc1173c9c465d95feb6fc041a2ccfbc64455058b3f74905ce28d5</t>
        </is>
      </c>
      <c r="BB10" s="24" t="inlineStr">
        <is>
          <t>neutral_elo</t>
        </is>
      </c>
      <c r="BC10" s="24" t="inlineStr">
        <is>
          <t>cs2-tiered-elo-v3</t>
        </is>
      </c>
      <c r="BD10" s="24" t="inlineStr">
        <is>
          <t>48424b79d75fc1173c9c465d95feb6fc041a2ccfbc64455058b3f74905ce28d5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cs2-tiered-elo-v3</t>
        </is>
      </c>
      <c r="BH10" s="24" t="inlineStr">
        <is>
          <t>2026-07-23T07:20:05.735307Z</t>
        </is>
      </c>
      <c r="BI10" s="24" t="inlineStr">
        <is>
          <t>["same_event","same_team_same_day","same_league_same_day"]</t>
        </is>
      </c>
      <c r="BJ10" s="25" t="n"/>
      <c r="BK10" s="26" t="n">
        <v>108</v>
      </c>
      <c r="BL10" s="27" t="n">
        <v>2.08</v>
      </c>
      <c r="BM10" s="28" t="n">
        <v>0.480769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</row>
    <row r="11" ht="36" customHeight="1">
      <c r="A11" s="24" t="inlineStr">
        <is>
          <t>4b1175c03baa474d</t>
        </is>
      </c>
      <c r="B11" s="24" t="inlineStr">
        <is>
          <t>2026-07-23T07:20:39.530092Z</t>
        </is>
      </c>
      <c r="C11" s="24" t="inlineStr">
        <is>
          <t>2026-07-23T14:00:00Z</t>
        </is>
      </c>
      <c r="D11" s="24" t="inlineStr">
        <is>
          <t>56895</t>
        </is>
      </c>
      <c r="E11" s="24" t="inlineStr">
        <is>
          <t>CS2</t>
        </is>
      </c>
      <c r="F11" s="24" t="inlineStr">
        <is>
          <t>Privateer Gaming</t>
        </is>
      </c>
      <c r="G11" s="24" t="inlineStr">
        <is>
          <t>megoshort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127</v>
      </c>
      <c r="M11" s="27" t="n">
        <v>2.27</v>
      </c>
      <c r="N11" s="28" t="n">
        <v>0.440529</v>
      </c>
      <c r="O11" s="28" t="n">
        <v>0.586941</v>
      </c>
      <c r="P11" s="28" t="n">
        <v>0.05</v>
      </c>
      <c r="Q11" s="28" t="n">
        <v>0.146412</v>
      </c>
      <c r="R11" s="26" t="n">
        <v>100</v>
      </c>
      <c r="S11" s="29" t="n">
        <v>0</v>
      </c>
      <c r="T11" s="24" t="inlineStr">
        <is>
          <t>cs2-tiered-elo-v3</t>
        </is>
      </c>
      <c r="U11" s="24" t="inlineStr">
        <is>
          <t>open</t>
        </is>
      </c>
      <c r="V11" s="24" t="n"/>
      <c r="W11" s="26" t="n"/>
      <c r="X11" s="26" t="n"/>
      <c r="Y11" s="25" t="n"/>
      <c r="Z11" s="26" t="n"/>
      <c r="AA11" s="28" t="n"/>
      <c r="AB11" s="28" t="n"/>
      <c r="AC11" s="30" t="n"/>
      <c r="AD11" s="24" t="n"/>
      <c r="AE11" s="31" t="inlineStr">
        <is>
          <t>Neutral Elo baseline; executable ask 0.4400 (market_slug=aec-cs2-mego-pg-2026-07-23).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NO_CALL_LARGE_DISAGREEMENT_REVIEW</t>
        </is>
      </c>
      <c r="AP11" s="24" t="inlineStr">
        <is>
          <t>Privateer Gaming</t>
        </is>
      </c>
      <c r="AQ11" s="24" t="inlineStr">
        <is>
          <t>Privateer Gaming</t>
        </is>
      </c>
      <c r="AR11" s="24" t="inlineStr">
        <is>
          <t>Privateer Gaming</t>
        </is>
      </c>
      <c r="AS11" s="24" t="inlineStr">
        <is>
          <t>megoshort</t>
        </is>
      </c>
      <c r="AT11" s="24" t="inlineStr">
        <is>
          <t>megoshort</t>
        </is>
      </c>
      <c r="AU11" s="24" t="inlineStr">
        <is>
          <t>megoshort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48424b79d75fc1173c9c465d95feb6fc041a2ccfbc64455058b3f74905ce28d5</t>
        </is>
      </c>
      <c r="BB11" s="24" t="inlineStr">
        <is>
          <t>neutral_elo</t>
        </is>
      </c>
      <c r="BC11" s="24" t="inlineStr">
        <is>
          <t>cs2-tiered-elo-v3</t>
        </is>
      </c>
      <c r="BD11" s="24" t="inlineStr">
        <is>
          <t>48424b79d75fc1173c9c465d95feb6fc041a2ccfbc64455058b3f74905ce28d5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cs2-tiered-elo-v3</t>
        </is>
      </c>
      <c r="BH11" s="24" t="inlineStr">
        <is>
          <t>2026-07-23T07:20:06.778014Z</t>
        </is>
      </c>
      <c r="BI11" s="24" t="inlineStr">
        <is>
          <t>["same_event","same_team_same_day","same_league_same_day"]</t>
        </is>
      </c>
      <c r="BJ11" s="25" t="n"/>
      <c r="BK11" s="26" t="n">
        <v>127</v>
      </c>
      <c r="BL11" s="27" t="n">
        <v>2.27</v>
      </c>
      <c r="BM11" s="28" t="n">
        <v>0.440529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</row>
    <row r="12" ht="36" customHeight="1">
      <c r="A12" s="24" t="inlineStr">
        <is>
          <t>7e331e3092b54f39</t>
        </is>
      </c>
      <c r="B12" s="24" t="inlineStr">
        <is>
          <t>2026-07-23T07:20:39.530092Z</t>
        </is>
      </c>
      <c r="C12" s="24" t="inlineStr">
        <is>
          <t>2026-07-23T15:00:00Z</t>
        </is>
      </c>
      <c r="D12" s="24" t="inlineStr">
        <is>
          <t>56958</t>
        </is>
      </c>
      <c r="E12" s="24" t="inlineStr">
        <is>
          <t>CS2</t>
        </is>
      </c>
      <c r="F12" s="24" t="inlineStr">
        <is>
          <t>paiN</t>
        </is>
      </c>
      <c r="G12" s="24" t="inlineStr">
        <is>
          <t>Gentle Mates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133</v>
      </c>
      <c r="M12" s="27" t="n">
        <v>2.33</v>
      </c>
      <c r="N12" s="28" t="n">
        <v>0.429185</v>
      </c>
      <c r="O12" s="28" t="n">
        <v>0.524605</v>
      </c>
      <c r="P12" s="28" t="n">
        <v>0.05</v>
      </c>
      <c r="Q12" s="28" t="n">
        <v>0.09542</v>
      </c>
      <c r="R12" s="26" t="n">
        <v>68</v>
      </c>
      <c r="S12" s="29" t="n">
        <v>0.75</v>
      </c>
      <c r="T12" s="24" t="inlineStr">
        <is>
          <t>cs2-tiered-elo-v3</t>
        </is>
      </c>
      <c r="U12" s="24" t="inlineStr">
        <is>
          <t>open</t>
        </is>
      </c>
      <c r="V12" s="24" t="n"/>
      <c r="W12" s="26" t="n"/>
      <c r="X12" s="26" t="n"/>
      <c r="Y12" s="25" t="n"/>
      <c r="Z12" s="26" t="n"/>
      <c r="AA12" s="28" t="n"/>
      <c r="AB12" s="28" t="n"/>
      <c r="AC12" s="30" t="n"/>
      <c r="AD12" s="24" t="n"/>
      <c r="AE12" s="31" t="inlineStr">
        <is>
          <t>Neutral Elo baseline; executable ask 0.4300 (market_slug=aec-cs2-m8-pain-2026-07-23).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paiN</t>
        </is>
      </c>
      <c r="AQ12" s="24" t="inlineStr">
        <is>
          <t>paiN</t>
        </is>
      </c>
      <c r="AR12" s="24" t="inlineStr">
        <is>
          <t>paiN</t>
        </is>
      </c>
      <c r="AS12" s="24" t="inlineStr">
        <is>
          <t>Gentle Mates</t>
        </is>
      </c>
      <c r="AT12" s="24" t="inlineStr">
        <is>
          <t>Gentle Mates</t>
        </is>
      </c>
      <c r="AU12" s="24" t="inlineStr">
        <is>
          <t>Gentle Mates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48424b79d75fc1173c9c465d95feb6fc041a2ccfbc64455058b3f74905ce28d5</t>
        </is>
      </c>
      <c r="BB12" s="24" t="inlineStr">
        <is>
          <t>neutral_elo</t>
        </is>
      </c>
      <c r="BC12" s="24" t="inlineStr">
        <is>
          <t>cs2-tiered-elo-v3</t>
        </is>
      </c>
      <c r="BD12" s="24" t="inlineStr">
        <is>
          <t>48424b79d75fc1173c9c465d95feb6fc041a2ccfbc64455058b3f74905ce28d5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cs2-tiered-elo-v3</t>
        </is>
      </c>
      <c r="BH12" s="24" t="inlineStr">
        <is>
          <t>2026-07-23T07:20:08.563260Z</t>
        </is>
      </c>
      <c r="BI12" s="24" t="inlineStr">
        <is>
          <t>["same_event","same_team_same_day","same_league_same_day"]</t>
        </is>
      </c>
      <c r="BJ12" s="25" t="n"/>
      <c r="BK12" s="26" t="n">
        <v>133</v>
      </c>
      <c r="BL12" s="27" t="n">
        <v>2.33</v>
      </c>
      <c r="BM12" s="28" t="n">
        <v>0.429185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</row>
    <row r="13" ht="36" customHeight="1">
      <c r="A13" s="24" t="inlineStr">
        <is>
          <t>785b91cd35224c25</t>
        </is>
      </c>
      <c r="B13" s="24" t="inlineStr">
        <is>
          <t>2026-07-23T07:20:39.530092Z</t>
        </is>
      </c>
      <c r="C13" s="24" t="inlineStr">
        <is>
          <t>2026-07-23T17:00:00Z</t>
        </is>
      </c>
      <c r="D13" s="24" t="inlineStr">
        <is>
          <t>59678</t>
        </is>
      </c>
      <c r="E13" s="24" t="inlineStr">
        <is>
          <t>CS2</t>
        </is>
      </c>
      <c r="F13" s="24" t="inlineStr">
        <is>
          <t>Benched gods</t>
        </is>
      </c>
      <c r="G13" s="24" t="inlineStr">
        <is>
          <t>CYBERSHOKE Prospects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-144</v>
      </c>
      <c r="M13" s="27" t="n">
        <v>1.694444</v>
      </c>
      <c r="N13" s="28" t="n">
        <v>0.590164</v>
      </c>
      <c r="O13" s="28" t="n">
        <v>0.63774</v>
      </c>
      <c r="P13" s="28" t="n">
        <v>0.05</v>
      </c>
      <c r="Q13" s="28" t="n">
        <v>0.047576</v>
      </c>
      <c r="R13" s="26" t="n">
        <v>44</v>
      </c>
      <c r="S13" s="29" t="n">
        <v>0</v>
      </c>
      <c r="T13" s="24" t="inlineStr">
        <is>
          <t>cs2-tiered-elo-v3</t>
        </is>
      </c>
      <c r="U13" s="24" t="inlineStr">
        <is>
          <t>open</t>
        </is>
      </c>
      <c r="V13" s="24" t="n"/>
      <c r="W13" s="26" t="n"/>
      <c r="X13" s="26" t="n"/>
      <c r="Y13" s="25" t="n"/>
      <c r="Z13" s="26" t="n"/>
      <c r="AA13" s="28" t="n"/>
      <c r="AB13" s="28" t="n"/>
      <c r="AC13" s="30" t="n"/>
      <c r="AD13" s="24" t="n"/>
      <c r="AE13" s="31" t="inlineStr">
        <is>
          <t>Neutral Elo baseline; executable ask 0.5900 (market_slug=aec-cs2-cshp-bge-2026-07-23).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NO_CALL_LOW_EDGE</t>
        </is>
      </c>
      <c r="AP13" s="24" t="inlineStr">
        <is>
          <t>Benched gods</t>
        </is>
      </c>
      <c r="AQ13" s="24" t="inlineStr">
        <is>
          <t>Benched gods</t>
        </is>
      </c>
      <c r="AR13" s="24" t="inlineStr">
        <is>
          <t>Benched gods</t>
        </is>
      </c>
      <c r="AS13" s="24" t="inlineStr">
        <is>
          <t>CYBERSHOKE Prospects</t>
        </is>
      </c>
      <c r="AT13" s="24" t="inlineStr">
        <is>
          <t>CYBERSHOKE Prospects</t>
        </is>
      </c>
      <c r="AU13" s="24" t="inlineStr">
        <is>
          <t>CYBERSHOKE Prospects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48424b79d75fc1173c9c465d95feb6fc041a2ccfbc64455058b3f74905ce28d5</t>
        </is>
      </c>
      <c r="BB13" s="24" t="inlineStr">
        <is>
          <t>neutral_elo</t>
        </is>
      </c>
      <c r="BC13" s="24" t="inlineStr">
        <is>
          <t>cs2-tiered-elo-v3</t>
        </is>
      </c>
      <c r="BD13" s="24" t="inlineStr">
        <is>
          <t>48424b79d75fc1173c9c465d95feb6fc041a2ccfbc64455058b3f74905ce28d5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cs2-tiered-elo-v3</t>
        </is>
      </c>
      <c r="BH13" s="24" t="inlineStr">
        <is>
          <t>2026-07-23T07:20:13.459542Z</t>
        </is>
      </c>
      <c r="BI13" s="24" t="inlineStr">
        <is>
          <t>["same_event","same_team_same_day","same_league_same_day"]</t>
        </is>
      </c>
      <c r="BJ13" s="25" t="n"/>
      <c r="BK13" s="26" t="n">
        <v>-144</v>
      </c>
      <c r="BL13" s="27" t="n">
        <v>1.694444</v>
      </c>
      <c r="BM13" s="28" t="n">
        <v>0.590164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</row>
    <row r="14" ht="36" customHeight="1">
      <c r="A14" s="24" t="inlineStr">
        <is>
          <t>7af09bb274ab4660</t>
        </is>
      </c>
      <c r="B14" s="24" t="inlineStr">
        <is>
          <t>2026-07-23T07:20:39.530092Z</t>
        </is>
      </c>
      <c r="C14" s="24" t="inlineStr">
        <is>
          <t>2026-07-23T17:00:00Z</t>
        </is>
      </c>
      <c r="D14" s="24" t="inlineStr">
        <is>
          <t>59039</t>
        </is>
      </c>
      <c r="E14" s="24" t="inlineStr">
        <is>
          <t>CS2</t>
        </is>
      </c>
      <c r="F14" s="24" t="inlineStr">
        <is>
          <t>Just Players</t>
        </is>
      </c>
      <c r="G14" s="24" t="inlineStr">
        <is>
          <t>Butterfly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-144</v>
      </c>
      <c r="M14" s="27" t="n">
        <v>1.694444</v>
      </c>
      <c r="N14" s="28" t="n">
        <v>0.590164</v>
      </c>
      <c r="O14" s="28" t="n">
        <v>0.685765</v>
      </c>
      <c r="P14" s="28" t="n">
        <v>0.05</v>
      </c>
      <c r="Q14" s="28" t="n">
        <v>0.09560100000000001</v>
      </c>
      <c r="R14" s="26" t="n">
        <v>68</v>
      </c>
      <c r="S14" s="29" t="n">
        <v>2</v>
      </c>
      <c r="T14" s="24" t="inlineStr">
        <is>
          <t>cs2-tiered-elo-v3</t>
        </is>
      </c>
      <c r="U14" s="24" t="inlineStr">
        <is>
          <t>open</t>
        </is>
      </c>
      <c r="V14" s="24" t="n"/>
      <c r="W14" s="26" t="n"/>
      <c r="X14" s="26" t="n"/>
      <c r="Y14" s="25" t="n"/>
      <c r="Z14" s="26" t="n"/>
      <c r="AA14" s="28" t="n"/>
      <c r="AB14" s="28" t="n"/>
      <c r="AC14" s="30" t="n"/>
      <c r="AD14" s="24" t="n"/>
      <c r="AE14" s="31" t="inlineStr">
        <is>
          <t>Neutral Elo baseline; executable ask 0.5900 (market_slug=aec-cs2-btf-jpu-2026-07-23).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Just Players</t>
        </is>
      </c>
      <c r="AQ14" s="24" t="inlineStr">
        <is>
          <t>Just Players</t>
        </is>
      </c>
      <c r="AR14" s="24" t="inlineStr">
        <is>
          <t>Just Players</t>
        </is>
      </c>
      <c r="AS14" s="24" t="inlineStr">
        <is>
          <t>Butterfly</t>
        </is>
      </c>
      <c r="AT14" s="24" t="inlineStr">
        <is>
          <t>Butterfly</t>
        </is>
      </c>
      <c r="AU14" s="24" t="inlineStr">
        <is>
          <t>Butterfly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48424b79d75fc1173c9c465d95feb6fc041a2ccfbc64455058b3f74905ce28d5</t>
        </is>
      </c>
      <c r="BB14" s="24" t="inlineStr">
        <is>
          <t>neutral_elo</t>
        </is>
      </c>
      <c r="BC14" s="24" t="inlineStr">
        <is>
          <t>cs2-tiered-elo-v3</t>
        </is>
      </c>
      <c r="BD14" s="24" t="inlineStr">
        <is>
          <t>48424b79d75fc1173c9c465d95feb6fc041a2ccfbc64455058b3f74905ce28d5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cs2-tiered-elo-v3</t>
        </is>
      </c>
      <c r="BH14" s="24" t="inlineStr">
        <is>
          <t>2026-07-23T07:20:15.985178Z</t>
        </is>
      </c>
      <c r="BI14" s="24" t="inlineStr">
        <is>
          <t>["same_event","same_team_same_day","same_league_same_day"]</t>
        </is>
      </c>
      <c r="BJ14" s="25" t="n"/>
      <c r="BK14" s="26" t="n">
        <v>-144</v>
      </c>
      <c r="BL14" s="27" t="n">
        <v>1.694444</v>
      </c>
      <c r="BM14" s="28" t="n">
        <v>0.590164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</row>
    <row r="15" ht="36" customHeight="1">
      <c r="A15" s="24" t="inlineStr">
        <is>
          <t>59cf95be24aa4f71</t>
        </is>
      </c>
      <c r="B15" s="24" t="inlineStr">
        <is>
          <t>2026-07-23T07:20:39.530092Z</t>
        </is>
      </c>
      <c r="C15" s="24" t="inlineStr">
        <is>
          <t>2026-07-23T22:00:00Z</t>
        </is>
      </c>
      <c r="D15" s="24" t="inlineStr">
        <is>
          <t>59964</t>
        </is>
      </c>
      <c r="E15" s="24" t="inlineStr">
        <is>
          <t>CS2</t>
        </is>
      </c>
      <c r="F15" s="24" t="inlineStr">
        <is>
          <t>Patins da Ferrari</t>
        </is>
      </c>
      <c r="G15" s="24" t="inlineStr">
        <is>
          <t>Isurus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133</v>
      </c>
      <c r="M15" s="27" t="n">
        <v>2.33</v>
      </c>
      <c r="N15" s="28" t="n">
        <v>0.429185</v>
      </c>
      <c r="O15" s="28" t="n">
        <v>0.502768</v>
      </c>
      <c r="P15" s="28" t="n">
        <v>0.05</v>
      </c>
      <c r="Q15" s="28" t="n">
        <v>0.073583</v>
      </c>
      <c r="R15" s="26" t="n">
        <v>57</v>
      </c>
      <c r="S15" s="29" t="n">
        <v>0</v>
      </c>
      <c r="T15" s="24" t="inlineStr">
        <is>
          <t>cs2-tiered-elo-v3</t>
        </is>
      </c>
      <c r="U15" s="24" t="inlineStr">
        <is>
          <t>open</t>
        </is>
      </c>
      <c r="V15" s="24" t="n"/>
      <c r="W15" s="26" t="n"/>
      <c r="X15" s="26" t="n"/>
      <c r="Y15" s="25" t="n"/>
      <c r="Z15" s="26" t="n"/>
      <c r="AA15" s="28" t="n"/>
      <c r="AB15" s="28" t="n"/>
      <c r="AC15" s="30" t="n"/>
      <c r="AD15" s="24" t="n"/>
      <c r="AE15" s="31" t="inlineStr">
        <is>
          <t>Neutral Elo baseline; executable ask 0.4300 (market_slug=aec-cs2-isg-pdaf-2026-07-23).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NO_CALL_EXPOSURE_LIMIT</t>
        </is>
      </c>
      <c r="AP15" s="24" t="inlineStr">
        <is>
          <t>Patins da Ferrari</t>
        </is>
      </c>
      <c r="AQ15" s="24" t="inlineStr">
        <is>
          <t>Patins da Ferrari</t>
        </is>
      </c>
      <c r="AR15" s="24" t="inlineStr">
        <is>
          <t>Patins da Ferrari</t>
        </is>
      </c>
      <c r="AS15" s="24" t="inlineStr">
        <is>
          <t>Isurus</t>
        </is>
      </c>
      <c r="AT15" s="24" t="inlineStr">
        <is>
          <t>Isurus</t>
        </is>
      </c>
      <c r="AU15" s="24" t="inlineStr">
        <is>
          <t>Isurus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48424b79d75fc1173c9c465d95feb6fc041a2ccfbc64455058b3f74905ce28d5</t>
        </is>
      </c>
      <c r="BB15" s="24" t="inlineStr">
        <is>
          <t>neutral_elo</t>
        </is>
      </c>
      <c r="BC15" s="24" t="inlineStr">
        <is>
          <t>cs2-tiered-elo-v3</t>
        </is>
      </c>
      <c r="BD15" s="24" t="inlineStr">
        <is>
          <t>48424b79d75fc1173c9c465d95feb6fc041a2ccfbc64455058b3f74905ce28d5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cs2-tiered-elo-v3</t>
        </is>
      </c>
      <c r="BH15" s="24" t="inlineStr">
        <is>
          <t>2026-07-23T07:20:26.998884Z</t>
        </is>
      </c>
      <c r="BI15" s="24" t="inlineStr">
        <is>
          <t>["same_event","same_team_same_day","same_league_same_day"]</t>
        </is>
      </c>
      <c r="BJ15" s="25" t="n"/>
      <c r="BK15" s="26" t="n">
        <v>133</v>
      </c>
      <c r="BL15" s="27" t="n">
        <v>2.33</v>
      </c>
      <c r="BM15" s="28" t="n">
        <v>0.429185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</row>
    <row r="16" ht="36" customHeight="1">
      <c r="A16" s="24" t="inlineStr">
        <is>
          <t>81a328b8d84a4505</t>
        </is>
      </c>
      <c r="B16" s="24" t="inlineStr">
        <is>
          <t>2026-07-23T07:20:39.530092Z</t>
        </is>
      </c>
      <c r="C16" s="24" t="inlineStr">
        <is>
          <t>2026-07-24T08:00:00Z</t>
        </is>
      </c>
      <c r="D16" s="24" t="inlineStr">
        <is>
          <t>59681</t>
        </is>
      </c>
      <c r="E16" s="24" t="inlineStr">
        <is>
          <t>CS2</t>
        </is>
      </c>
      <c r="F16" s="24" t="inlineStr">
        <is>
          <t>ex-RUSTEC</t>
        </is>
      </c>
      <c r="G16" s="24" t="inlineStr">
        <is>
          <t>INOX Division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-178</v>
      </c>
      <c r="M16" s="27" t="n">
        <v>1.561798</v>
      </c>
      <c r="N16" s="28" t="n">
        <v>0.640288</v>
      </c>
      <c r="O16" s="28" t="n">
        <v>0.677314</v>
      </c>
      <c r="P16" s="28" t="n">
        <v>0.05</v>
      </c>
      <c r="Q16" s="28" t="n">
        <v>0.037026</v>
      </c>
      <c r="R16" s="26" t="n">
        <v>39</v>
      </c>
      <c r="S16" s="29" t="n">
        <v>0</v>
      </c>
      <c r="T16" s="24" t="inlineStr">
        <is>
          <t>cs2-tiered-elo-v3</t>
        </is>
      </c>
      <c r="U16" s="24" t="inlineStr">
        <is>
          <t>open</t>
        </is>
      </c>
      <c r="V16" s="24" t="n"/>
      <c r="W16" s="26" t="n"/>
      <c r="X16" s="26" t="n"/>
      <c r="Y16" s="25" t="n"/>
      <c r="Z16" s="26" t="n"/>
      <c r="AA16" s="28" t="n"/>
      <c r="AB16" s="28" t="n"/>
      <c r="AC16" s="30" t="n"/>
      <c r="AD16" s="24" t="n"/>
      <c r="AE16" s="31" t="inlineStr">
        <is>
          <t>Neutral Elo baseline; executable ask 0.6400 (market_slug=aec-cs2-inox-erx-2026-07-24).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ex-RUSTEC</t>
        </is>
      </c>
      <c r="AQ16" s="24" t="inlineStr">
        <is>
          <t>ex-RUSTEC</t>
        </is>
      </c>
      <c r="AR16" s="24" t="inlineStr">
        <is>
          <t>ex-RUSTEC</t>
        </is>
      </c>
      <c r="AS16" s="24" t="inlineStr">
        <is>
          <t>INOX Division</t>
        </is>
      </c>
      <c r="AT16" s="24" t="inlineStr">
        <is>
          <t>INOX Division</t>
        </is>
      </c>
      <c r="AU16" s="24" t="inlineStr">
        <is>
          <t>INOX Division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48424b79d75fc1173c9c465d95feb6fc041a2ccfbc64455058b3f74905ce28d5</t>
        </is>
      </c>
      <c r="BB16" s="24" t="inlineStr">
        <is>
          <t>neutral_elo</t>
        </is>
      </c>
      <c r="BC16" s="24" t="inlineStr">
        <is>
          <t>cs2-tiered-elo-v3</t>
        </is>
      </c>
      <c r="BD16" s="24" t="inlineStr">
        <is>
          <t>48424b79d75fc1173c9c465d95feb6fc041a2ccfbc64455058b3f74905ce28d5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cs2-tiered-elo-v3</t>
        </is>
      </c>
      <c r="BH16" s="24" t="inlineStr">
        <is>
          <t>2026-07-23T07:20:27.867010Z</t>
        </is>
      </c>
      <c r="BI16" s="24" t="inlineStr">
        <is>
          <t>["same_event","same_team_same_day","same_league_same_day"]</t>
        </is>
      </c>
      <c r="BJ16" s="25" t="n"/>
      <c r="BK16" s="26" t="n">
        <v>-178</v>
      </c>
      <c r="BL16" s="27" t="n">
        <v>1.561798</v>
      </c>
      <c r="BM16" s="28" t="n">
        <v>0.640288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</row>
    <row r="17" ht="36" customHeight="1">
      <c r="A17" s="24" t="inlineStr">
        <is>
          <t>a232e14d96984007</t>
        </is>
      </c>
      <c r="B17" s="24" t="inlineStr">
        <is>
          <t>2026-07-23T07:20:39.530092Z</t>
        </is>
      </c>
      <c r="C17" s="24" t="inlineStr">
        <is>
          <t>2026-07-24T08:00:00Z</t>
        </is>
      </c>
      <c r="D17" s="24" t="inlineStr">
        <is>
          <t>59323</t>
        </is>
      </c>
      <c r="E17" s="24" t="inlineStr">
        <is>
          <t>CS2</t>
        </is>
      </c>
      <c r="F17" s="24" t="inlineStr">
        <is>
          <t>Eternal Fire</t>
        </is>
      </c>
      <c r="G17" s="24" t="inlineStr">
        <is>
          <t>1WIN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117</v>
      </c>
      <c r="M17" s="27" t="n">
        <v>2.17</v>
      </c>
      <c r="N17" s="28" t="n">
        <v>0.460829</v>
      </c>
      <c r="O17" s="28" t="n">
        <v>0.5965279999999999</v>
      </c>
      <c r="P17" s="28" t="n">
        <v>0.05</v>
      </c>
      <c r="Q17" s="28" t="n">
        <v>0.135699</v>
      </c>
      <c r="R17" s="26" t="n">
        <v>100</v>
      </c>
      <c r="S17" s="29" t="n">
        <v>0</v>
      </c>
      <c r="T17" s="24" t="inlineStr">
        <is>
          <t>cs2-tiered-elo-v3</t>
        </is>
      </c>
      <c r="U17" s="24" t="inlineStr">
        <is>
          <t>open</t>
        </is>
      </c>
      <c r="V17" s="24" t="n"/>
      <c r="W17" s="26" t="n"/>
      <c r="X17" s="26" t="n"/>
      <c r="Y17" s="25" t="n"/>
      <c r="Z17" s="26" t="n"/>
      <c r="AA17" s="28" t="n"/>
      <c r="AB17" s="28" t="n"/>
      <c r="AC17" s="30" t="n"/>
      <c r="AD17" s="24" t="n"/>
      <c r="AE17" s="31" t="inlineStr">
        <is>
          <t>Neutral Elo baseline; executable ask 0.4600 (market_slug=aec-cs2-1win-ef-2026-07-24).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NO_CALL_LARGE_DISAGREEMENT_REVIEW</t>
        </is>
      </c>
      <c r="AP17" s="24" t="inlineStr">
        <is>
          <t>Eternal Fire</t>
        </is>
      </c>
      <c r="AQ17" s="24" t="inlineStr">
        <is>
          <t>Eternal Fire</t>
        </is>
      </c>
      <c r="AR17" s="24" t="inlineStr">
        <is>
          <t>Eternal Fire</t>
        </is>
      </c>
      <c r="AS17" s="24" t="inlineStr">
        <is>
          <t>1WIN</t>
        </is>
      </c>
      <c r="AT17" s="24" t="inlineStr">
        <is>
          <t>1WIN</t>
        </is>
      </c>
      <c r="AU17" s="24" t="inlineStr">
        <is>
          <t>1WIN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48424b79d75fc1173c9c465d95feb6fc041a2ccfbc64455058b3f74905ce28d5</t>
        </is>
      </c>
      <c r="BB17" s="24" t="inlineStr">
        <is>
          <t>neutral_elo</t>
        </is>
      </c>
      <c r="BC17" s="24" t="inlineStr">
        <is>
          <t>cs2-tiered-elo-v3</t>
        </is>
      </c>
      <c r="BD17" s="24" t="inlineStr">
        <is>
          <t>48424b79d75fc1173c9c465d95feb6fc041a2ccfbc64455058b3f74905ce28d5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cs2-tiered-elo-v3</t>
        </is>
      </c>
      <c r="BH17" s="24" t="inlineStr">
        <is>
          <t>2026-07-23T07:20:28.828828Z</t>
        </is>
      </c>
      <c r="BI17" s="24" t="inlineStr">
        <is>
          <t>["same_event","same_team_same_day","same_league_same_day"]</t>
        </is>
      </c>
      <c r="BJ17" s="25" t="n"/>
      <c r="BK17" s="26" t="n">
        <v>117</v>
      </c>
      <c r="BL17" s="27" t="n">
        <v>2.17</v>
      </c>
      <c r="BM17" s="28" t="n">
        <v>0.460829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</row>
    <row r="18" ht="36" customHeight="1">
      <c r="A18" s="24" t="inlineStr">
        <is>
          <t>d90d48e1a8cc4623</t>
        </is>
      </c>
      <c r="B18" s="24" t="inlineStr">
        <is>
          <t>2026-07-23T07:20:39.530092Z</t>
        </is>
      </c>
      <c r="C18" s="24" t="inlineStr">
        <is>
          <t>2026-07-24T10:00:00Z</t>
        </is>
      </c>
      <c r="D18" s="24" t="inlineStr">
        <is>
          <t>58248</t>
        </is>
      </c>
      <c r="E18" s="24" t="inlineStr">
        <is>
          <t>CS2</t>
        </is>
      </c>
      <c r="F18" s="24" t="inlineStr">
        <is>
          <t>3DMAX</t>
        </is>
      </c>
      <c r="G18" s="24" t="inlineStr">
        <is>
          <t>magic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-138</v>
      </c>
      <c r="M18" s="27" t="n">
        <v>1.724638</v>
      </c>
      <c r="N18" s="28" t="n">
        <v>0.579832</v>
      </c>
      <c r="O18" s="28" t="n">
        <v>0.624985</v>
      </c>
      <c r="P18" s="28" t="n">
        <v>0.05</v>
      </c>
      <c r="Q18" s="28" t="n">
        <v>0.045153</v>
      </c>
      <c r="R18" s="26" t="n">
        <v>43</v>
      </c>
      <c r="S18" s="29" t="n">
        <v>0</v>
      </c>
      <c r="T18" s="24" t="inlineStr">
        <is>
          <t>cs2-tiered-elo-v3</t>
        </is>
      </c>
      <c r="U18" s="24" t="inlineStr">
        <is>
          <t>open</t>
        </is>
      </c>
      <c r="V18" s="24" t="n"/>
      <c r="W18" s="26" t="n"/>
      <c r="X18" s="26" t="n"/>
      <c r="Y18" s="25" t="n"/>
      <c r="Z18" s="26" t="n"/>
      <c r="AA18" s="28" t="n"/>
      <c r="AB18" s="28" t="n"/>
      <c r="AC18" s="30" t="n"/>
      <c r="AD18" s="24" t="n"/>
      <c r="AE18" s="31" t="inlineStr">
        <is>
          <t>Neutral Elo baseline; executable ask 0.5800 (market_slug=aec-cs2-mgc-3dmax-2026-07-24).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NO_CALL_LOW_EDGE</t>
        </is>
      </c>
      <c r="AP18" s="24" t="inlineStr">
        <is>
          <t>3DMAX</t>
        </is>
      </c>
      <c r="AQ18" s="24" t="inlineStr">
        <is>
          <t>3DMAX</t>
        </is>
      </c>
      <c r="AR18" s="24" t="inlineStr">
        <is>
          <t>3DMAX</t>
        </is>
      </c>
      <c r="AS18" s="24" t="inlineStr">
        <is>
          <t>magic</t>
        </is>
      </c>
      <c r="AT18" s="24" t="inlineStr">
        <is>
          <t>magic</t>
        </is>
      </c>
      <c r="AU18" s="24" t="inlineStr">
        <is>
          <t>magic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48424b79d75fc1173c9c465d95feb6fc041a2ccfbc64455058b3f74905ce28d5</t>
        </is>
      </c>
      <c r="BB18" s="24" t="inlineStr">
        <is>
          <t>neutral_elo</t>
        </is>
      </c>
      <c r="BC18" s="24" t="inlineStr">
        <is>
          <t>cs2-tiered-elo-v3</t>
        </is>
      </c>
      <c r="BD18" s="24" t="inlineStr">
        <is>
          <t>48424b79d75fc1173c9c465d95feb6fc041a2ccfbc64455058b3f74905ce28d5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cs2-tiered-elo-v3</t>
        </is>
      </c>
      <c r="BH18" s="24" t="inlineStr">
        <is>
          <t>2026-07-23T07:20:31.167816Z</t>
        </is>
      </c>
      <c r="BI18" s="24" t="inlineStr">
        <is>
          <t>["same_event","same_team_same_day","same_league_same_day"]</t>
        </is>
      </c>
      <c r="BJ18" s="25" t="n"/>
      <c r="BK18" s="26" t="n">
        <v>-138</v>
      </c>
      <c r="BL18" s="27" t="n">
        <v>1.724638</v>
      </c>
      <c r="BM18" s="28" t="n">
        <v>0.579832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</row>
    <row r="19" ht="36" customHeight="1">
      <c r="A19" s="24" t="inlineStr">
        <is>
          <t>3b498ded64774a56</t>
        </is>
      </c>
      <c r="B19" s="24" t="inlineStr">
        <is>
          <t>2026-07-23T07:20:39.530092Z</t>
        </is>
      </c>
      <c r="C19" s="24" t="inlineStr">
        <is>
          <t>2026-07-24T12:30:00Z</t>
        </is>
      </c>
      <c r="D19" s="24" t="inlineStr">
        <is>
          <t>58309</t>
        </is>
      </c>
      <c r="E19" s="24" t="inlineStr">
        <is>
          <t>CS2</t>
        </is>
      </c>
      <c r="F19" s="24" t="inlineStr">
        <is>
          <t>TheMongolz</t>
        </is>
      </c>
      <c r="G19" s="24" t="inlineStr">
        <is>
          <t>Heroic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144</v>
      </c>
      <c r="M19" s="27" t="n">
        <v>2.44</v>
      </c>
      <c r="N19" s="28" t="n">
        <v>0.409836</v>
      </c>
      <c r="O19" s="28" t="n">
        <v>0.633024</v>
      </c>
      <c r="P19" s="28" t="n">
        <v>0.05</v>
      </c>
      <c r="Q19" s="28" t="n">
        <v>0.223188</v>
      </c>
      <c r="R19" s="26" t="n">
        <v>100</v>
      </c>
      <c r="S19" s="29" t="n">
        <v>0</v>
      </c>
      <c r="T19" s="24" t="inlineStr">
        <is>
          <t>cs2-tiered-elo-v3</t>
        </is>
      </c>
      <c r="U19" s="24" t="inlineStr">
        <is>
          <t>open</t>
        </is>
      </c>
      <c r="V19" s="24" t="n"/>
      <c r="W19" s="26" t="n"/>
      <c r="X19" s="26" t="n"/>
      <c r="Y19" s="25" t="n"/>
      <c r="Z19" s="26" t="n"/>
      <c r="AA19" s="28" t="n"/>
      <c r="AB19" s="28" t="n"/>
      <c r="AC19" s="30" t="n"/>
      <c r="AD19" s="24" t="n"/>
      <c r="AE19" s="31" t="inlineStr">
        <is>
          <t>Neutral Elo baseline; executable ask 0.4100 (market_slug=aec-cs2-hero-mglz-2026-07-24).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NO_CALL_LARGE_DISAGREEMENT_REVIEW</t>
        </is>
      </c>
      <c r="AP19" s="24" t="inlineStr">
        <is>
          <t>TheMongolz</t>
        </is>
      </c>
      <c r="AQ19" s="24" t="inlineStr">
        <is>
          <t>TheMongolz</t>
        </is>
      </c>
      <c r="AR19" s="24" t="inlineStr">
        <is>
          <t>TheMongolz</t>
        </is>
      </c>
      <c r="AS19" s="24" t="inlineStr">
        <is>
          <t>Heroic</t>
        </is>
      </c>
      <c r="AT19" s="24" t="inlineStr">
        <is>
          <t>Heroic</t>
        </is>
      </c>
      <c r="AU19" s="24" t="inlineStr">
        <is>
          <t>Heroic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48424b79d75fc1173c9c465d95feb6fc041a2ccfbc64455058b3f74905ce28d5</t>
        </is>
      </c>
      <c r="BB19" s="24" t="inlineStr">
        <is>
          <t>neutral_elo</t>
        </is>
      </c>
      <c r="BC19" s="24" t="inlineStr">
        <is>
          <t>cs2-tiered-elo-v3</t>
        </is>
      </c>
      <c r="BD19" s="24" t="inlineStr">
        <is>
          <t>48424b79d75fc1173c9c465d95feb6fc041a2ccfbc64455058b3f74905ce28d5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cs2-tiered-elo-v3</t>
        </is>
      </c>
      <c r="BH19" s="24" t="inlineStr">
        <is>
          <t>2026-07-23T07:20:34.856171Z</t>
        </is>
      </c>
      <c r="BI19" s="24" t="inlineStr">
        <is>
          <t>["same_event","same_team_same_day","same_league_same_day"]</t>
        </is>
      </c>
      <c r="BJ19" s="25" t="n"/>
      <c r="BK19" s="26" t="n">
        <v>144</v>
      </c>
      <c r="BL19" s="27" t="n">
        <v>2.44</v>
      </c>
      <c r="BM19" s="28" t="n">
        <v>0.409836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</row>
    <row r="20" ht="36" customHeight="1">
      <c r="A20" s="24" t="inlineStr">
        <is>
          <t>a2ecee09f466426a</t>
        </is>
      </c>
      <c r="B20" s="24" t="inlineStr">
        <is>
          <t>2026-07-23T07:21:10.371129Z</t>
        </is>
      </c>
      <c r="C20" s="24" t="inlineStr">
        <is>
          <t>2026-07-23T13:00:00Z</t>
        </is>
      </c>
      <c r="D20" s="24" t="inlineStr">
        <is>
          <t>56888</t>
        </is>
      </c>
      <c r="E20" s="24" t="inlineStr">
        <is>
          <t>DOTA2</t>
        </is>
      </c>
      <c r="F20" s="24" t="inlineStr">
        <is>
          <t>Inner Circle x Insanity</t>
        </is>
      </c>
      <c r="G20" s="24" t="inlineStr">
        <is>
          <t>Team Jenz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212</v>
      </c>
      <c r="M20" s="27" t="n">
        <v>3.12</v>
      </c>
      <c r="N20" s="28" t="n">
        <v>0.320513</v>
      </c>
      <c r="O20" s="28" t="n">
        <v>0.5</v>
      </c>
      <c r="P20" s="28" t="n">
        <v>0.05</v>
      </c>
      <c r="Q20" s="28" t="n">
        <v>0.179487</v>
      </c>
      <c r="R20" s="26" t="n">
        <v>100</v>
      </c>
      <c r="S20" s="29" t="n">
        <v>0</v>
      </c>
      <c r="T20" s="24" t="inlineStr">
        <is>
          <t>dota2-tiered-elo-v3</t>
        </is>
      </c>
      <c r="U20" s="24" t="inlineStr">
        <is>
          <t>open</t>
        </is>
      </c>
      <c r="V20" s="24" t="n"/>
      <c r="W20" s="26" t="n"/>
      <c r="X20" s="26" t="n"/>
      <c r="Y20" s="25" t="n"/>
      <c r="Z20" s="26" t="n"/>
      <c r="AA20" s="28" t="n"/>
      <c r="AB20" s="28" t="n"/>
      <c r="AC20" s="30" t="n"/>
      <c r="AD20" s="24" t="n"/>
      <c r="AE20" s="31" t="inlineStr">
        <is>
          <t>Neutral Elo baseline; executable ask 0.3200 (market_slug=aec-dota2-tje-icxi-2026-07-23).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NO_CALL_LARGE_DISAGREEMENT_REVIEW</t>
        </is>
      </c>
      <c r="AP20" s="24" t="inlineStr">
        <is>
          <t>Inner Circle x Insanity</t>
        </is>
      </c>
      <c r="AQ20" s="24" t="inlineStr">
        <is>
          <t>Inner Circle x Insanity</t>
        </is>
      </c>
      <c r="AR20" s="24" t="inlineStr">
        <is>
          <t>Inner Circle x Insanity</t>
        </is>
      </c>
      <c r="AS20" s="24" t="inlineStr">
        <is>
          <t>Team Jenz</t>
        </is>
      </c>
      <c r="AT20" s="24" t="inlineStr">
        <is>
          <t>Team Jenz</t>
        </is>
      </c>
      <c r="AU20" s="24" t="inlineStr">
        <is>
          <t>Team Jenz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a799fd6b531f6a50433d392237bace95036714f80bb3516384271ef275ed7763</t>
        </is>
      </c>
      <c r="BB20" s="24" t="inlineStr">
        <is>
          <t>neutral_elo</t>
        </is>
      </c>
      <c r="BC20" s="24" t="inlineStr">
        <is>
          <t>dota2-tiered-elo-v3</t>
        </is>
      </c>
      <c r="BD20" s="24" t="inlineStr">
        <is>
          <t>a799fd6b531f6a50433d392237bace95036714f80bb3516384271ef275ed7763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dota2-tiered-elo-v3</t>
        </is>
      </c>
      <c r="BH20" s="24" t="inlineStr">
        <is>
          <t>2026-07-23T07:21:04.162632Z</t>
        </is>
      </c>
      <c r="BI20" s="24" t="inlineStr">
        <is>
          <t>["same_event","same_team_same_day","same_league_same_day"]</t>
        </is>
      </c>
      <c r="BJ20" s="25" t="n"/>
      <c r="BK20" s="26" t="n">
        <v>212</v>
      </c>
      <c r="BL20" s="27" t="n">
        <v>3.12</v>
      </c>
      <c r="BM20" s="28" t="n">
        <v>0.320513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</row>
    <row r="21" ht="36" customHeight="1">
      <c r="A21" s="24" t="inlineStr">
        <is>
          <t>4a643321b24f4278</t>
        </is>
      </c>
      <c r="B21" s="24" t="inlineStr">
        <is>
          <t>2026-07-23T07:21:34.143456Z</t>
        </is>
      </c>
      <c r="C21" s="24" t="inlineStr">
        <is>
          <t>2026-07-23T08:00:00Z</t>
        </is>
      </c>
      <c r="D21" s="24" t="inlineStr">
        <is>
          <t>56787</t>
        </is>
      </c>
      <c r="E21" s="24" t="inlineStr">
        <is>
          <t>VALORANT</t>
        </is>
      </c>
      <c r="F21" s="24" t="inlineStr">
        <is>
          <t>FULL SENSE</t>
        </is>
      </c>
      <c r="G21" s="24" t="inlineStr">
        <is>
          <t>Global Esports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117</v>
      </c>
      <c r="M21" s="27" t="n">
        <v>2.17</v>
      </c>
      <c r="N21" s="28" t="n">
        <v>0.460829</v>
      </c>
      <c r="O21" s="28" t="n">
        <v>0.5</v>
      </c>
      <c r="P21" s="28" t="n">
        <v>0.05</v>
      </c>
      <c r="Q21" s="28" t="n">
        <v>0.039171</v>
      </c>
      <c r="R21" s="26" t="n">
        <v>40</v>
      </c>
      <c r="S21" s="29" t="n">
        <v>0</v>
      </c>
      <c r="T21" s="24" t="inlineStr">
        <is>
          <t>valorant-tiered-elo-v3</t>
        </is>
      </c>
      <c r="U21" s="24" t="inlineStr">
        <is>
          <t>open</t>
        </is>
      </c>
      <c r="V21" s="24" t="n"/>
      <c r="W21" s="26" t="n"/>
      <c r="X21" s="26" t="n"/>
      <c r="Y21" s="25" t="n"/>
      <c r="Z21" s="26" t="n"/>
      <c r="AA21" s="28" t="n"/>
      <c r="AB21" s="28" t="n"/>
      <c r="AC21" s="30" t="n"/>
      <c r="AD21" s="24" t="n"/>
      <c r="AE21" s="31" t="inlineStr">
        <is>
          <t>Neutral Elo baseline; executable ask 0.4600 (market_slug=aec-valorant-ge-fs-2026-07-23).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NO_CALL_LOW_EDGE</t>
        </is>
      </c>
      <c r="AP21" s="24" t="inlineStr">
        <is>
          <t>FULL SENSE</t>
        </is>
      </c>
      <c r="AQ21" s="24" t="inlineStr">
        <is>
          <t>FULL SENSE</t>
        </is>
      </c>
      <c r="AR21" s="24" t="inlineStr">
        <is>
          <t>FULL SENSE</t>
        </is>
      </c>
      <c r="AS21" s="24" t="inlineStr">
        <is>
          <t>Global Esports</t>
        </is>
      </c>
      <c r="AT21" s="24" t="inlineStr">
        <is>
          <t>Global Esports</t>
        </is>
      </c>
      <c r="AU21" s="24" t="inlineStr">
        <is>
          <t>Global Esports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df5a226c64918a54c70b8af3e0cd4abb6c4f42b67acb5547da319458502b0ed4</t>
        </is>
      </c>
      <c r="BB21" s="24" t="inlineStr">
        <is>
          <t>neutral_elo</t>
        </is>
      </c>
      <c r="BC21" s="24" t="inlineStr">
        <is>
          <t>valorant-tiered-elo-v3</t>
        </is>
      </c>
      <c r="BD21" s="24" t="inlineStr">
        <is>
          <t>df5a226c64918a54c70b8af3e0cd4abb6c4f42b67acb5547da319458502b0ed4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valorant-tiered-elo-v3</t>
        </is>
      </c>
      <c r="BH21" s="24" t="inlineStr">
        <is>
          <t>2026-07-23T07:21:16.291113Z</t>
        </is>
      </c>
      <c r="BI21" s="24" t="inlineStr">
        <is>
          <t>["same_event","same_team_same_day","same_league_same_day"]</t>
        </is>
      </c>
      <c r="BJ21" s="25" t="n"/>
      <c r="BK21" s="26" t="n">
        <v>117</v>
      </c>
      <c r="BL21" s="27" t="n">
        <v>2.17</v>
      </c>
      <c r="BM21" s="28" t="n">
        <v>0.460829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</row>
    <row r="22" ht="36" customHeight="1">
      <c r="A22" s="24" t="inlineStr">
        <is>
          <t>e0b7f3e51a944d45</t>
        </is>
      </c>
      <c r="B22" s="24" t="inlineStr">
        <is>
          <t>2026-07-23T07:21:34.143456Z</t>
        </is>
      </c>
      <c r="C22" s="24" t="inlineStr">
        <is>
          <t>2026-07-23T15:00:00Z</t>
        </is>
      </c>
      <c r="D22" s="24" t="inlineStr">
        <is>
          <t>56966</t>
        </is>
      </c>
      <c r="E22" s="24" t="inlineStr">
        <is>
          <t>VALORANT</t>
        </is>
      </c>
      <c r="F22" s="24" t="inlineStr">
        <is>
          <t>Team Heretics</t>
        </is>
      </c>
      <c r="G22" s="24" t="inlineStr">
        <is>
          <t>Eternal Fire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144</v>
      </c>
      <c r="M22" s="27" t="n">
        <v>2.44</v>
      </c>
      <c r="N22" s="28" t="n">
        <v>0.409836</v>
      </c>
      <c r="O22" s="28" t="n">
        <v>0.5</v>
      </c>
      <c r="P22" s="28" t="n">
        <v>0.05</v>
      </c>
      <c r="Q22" s="28" t="n">
        <v>0.09016399999999999</v>
      </c>
      <c r="R22" s="26" t="n">
        <v>65</v>
      </c>
      <c r="S22" s="29" t="n">
        <v>0.5</v>
      </c>
      <c r="T22" s="24" t="inlineStr">
        <is>
          <t>valorant-tiered-elo-v3</t>
        </is>
      </c>
      <c r="U22" s="24" t="inlineStr">
        <is>
          <t>open</t>
        </is>
      </c>
      <c r="V22" s="24" t="n"/>
      <c r="W22" s="26" t="n"/>
      <c r="X22" s="26" t="n"/>
      <c r="Y22" s="25" t="n"/>
      <c r="Z22" s="26" t="n"/>
      <c r="AA22" s="28" t="n"/>
      <c r="AB22" s="28" t="n"/>
      <c r="AC22" s="30" t="n"/>
      <c r="AD22" s="24" t="n"/>
      <c r="AE22" s="31" t="inlineStr">
        <is>
          <t>Neutral Elo baseline; executable ask 0.4100 (market_slug=aec-valorant-ef-th-2026-07-23).</t>
        </is>
      </c>
      <c r="AF22" s="31" t="inlineStr">
        <is>
          <t>Config-promoted esports baseline; gates enforced at log time.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Team Heretics</t>
        </is>
      </c>
      <c r="AQ22" s="24" t="inlineStr">
        <is>
          <t>Team Heretics</t>
        </is>
      </c>
      <c r="AR22" s="24" t="inlineStr">
        <is>
          <t>Team Heretics</t>
        </is>
      </c>
      <c r="AS22" s="24" t="inlineStr">
        <is>
          <t>Eternal Fire</t>
        </is>
      </c>
      <c r="AT22" s="24" t="inlineStr">
        <is>
          <t>Eternal Fire</t>
        </is>
      </c>
      <c r="AU22" s="24" t="inlineStr">
        <is>
          <t>Eternal Fire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df5a226c64918a54c70b8af3e0cd4abb6c4f42b67acb5547da319458502b0ed4</t>
        </is>
      </c>
      <c r="BB22" s="24" t="inlineStr">
        <is>
          <t>neutral_elo</t>
        </is>
      </c>
      <c r="BC22" s="24" t="inlineStr">
        <is>
          <t>valorant-tiered-elo-v3</t>
        </is>
      </c>
      <c r="BD22" s="24" t="inlineStr">
        <is>
          <t>df5a226c64918a54c70b8af3e0cd4abb6c4f42b67acb5547da319458502b0ed4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valorant-tiered-elo-v3</t>
        </is>
      </c>
      <c r="BH22" s="24" t="inlineStr">
        <is>
          <t>2026-07-23T07:21:21.528202Z</t>
        </is>
      </c>
      <c r="BI22" s="24" t="inlineStr">
        <is>
          <t>["same_event","same_team_same_day","same_league_same_day"]</t>
        </is>
      </c>
      <c r="BJ22" s="25" t="n"/>
      <c r="BK22" s="26" t="n">
        <v>144</v>
      </c>
      <c r="BL22" s="27" t="n">
        <v>2.44</v>
      </c>
      <c r="BM22" s="28" t="n">
        <v>0.409836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</row>
    <row r="23" ht="36" customHeight="1">
      <c r="A23" s="24" t="inlineStr">
        <is>
          <t>2a13950c7f3c4575</t>
        </is>
      </c>
      <c r="B23" s="24" t="inlineStr">
        <is>
          <t>2026-07-23T07:21:34.143456Z</t>
        </is>
      </c>
      <c r="C23" s="24" t="inlineStr">
        <is>
          <t>2026-07-23T18:00:00Z</t>
        </is>
      </c>
      <c r="D23" s="24" t="inlineStr">
        <is>
          <t>57151</t>
        </is>
      </c>
      <c r="E23" s="24" t="inlineStr">
        <is>
          <t>VALORANT</t>
        </is>
      </c>
      <c r="F23" s="24" t="inlineStr">
        <is>
          <t>Twisted Minds Orchid</t>
        </is>
      </c>
      <c r="G23" s="24" t="inlineStr">
        <is>
          <t>GIANTX GC</t>
        </is>
      </c>
      <c r="H23" s="24" t="inlineStr">
        <is>
          <t>moneyline</t>
        </is>
      </c>
      <c r="I23" s="24" t="inlineStr">
        <is>
          <t>away</t>
        </is>
      </c>
      <c r="J23" s="25" t="n"/>
      <c r="K23" s="24" t="inlineStr">
        <is>
          <t>polymarket_us</t>
        </is>
      </c>
      <c r="L23" s="26" t="n">
        <v>144</v>
      </c>
      <c r="M23" s="27" t="n">
        <v>2.44</v>
      </c>
      <c r="N23" s="28" t="n">
        <v>0.409836</v>
      </c>
      <c r="O23" s="28" t="n">
        <v>0.5043260000000001</v>
      </c>
      <c r="P23" s="28" t="n">
        <v>0.05</v>
      </c>
      <c r="Q23" s="28" t="n">
        <v>0.09449</v>
      </c>
      <c r="R23" s="26" t="n">
        <v>67</v>
      </c>
      <c r="S23" s="29" t="n">
        <v>0.5</v>
      </c>
      <c r="T23" s="24" t="inlineStr">
        <is>
          <t>valorant-tiered-elo-v3</t>
        </is>
      </c>
      <c r="U23" s="24" t="inlineStr">
        <is>
          <t>open</t>
        </is>
      </c>
      <c r="V23" s="24" t="n"/>
      <c r="W23" s="26" t="n"/>
      <c r="X23" s="26" t="n"/>
      <c r="Y23" s="25" t="n"/>
      <c r="Z23" s="26" t="n"/>
      <c r="AA23" s="28" t="n"/>
      <c r="AB23" s="28" t="n"/>
      <c r="AC23" s="30" t="n"/>
      <c r="AD23" s="24" t="n"/>
      <c r="AE23" s="31" t="inlineStr">
        <is>
          <t>Neutral Elo baseline; executable ask 0.4100 (market_slug=aec-valorant-gxgc-tmo-2026-07-23).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Twisted Minds Orchid</t>
        </is>
      </c>
      <c r="AQ23" s="24" t="inlineStr">
        <is>
          <t>Twisted Minds Orchid</t>
        </is>
      </c>
      <c r="AR23" s="24" t="inlineStr">
        <is>
          <t>Twisted Minds Orchid</t>
        </is>
      </c>
      <c r="AS23" s="24" t="inlineStr">
        <is>
          <t>GIANTX GC</t>
        </is>
      </c>
      <c r="AT23" s="24" t="inlineStr">
        <is>
          <t>GIANTX GC</t>
        </is>
      </c>
      <c r="AU23" s="24" t="inlineStr">
        <is>
          <t>GIANTX GC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df5a226c64918a54c70b8af3e0cd4abb6c4f42b67acb5547da319458502b0ed4</t>
        </is>
      </c>
      <c r="BB23" s="24" t="inlineStr">
        <is>
          <t>neutral_elo</t>
        </is>
      </c>
      <c r="BC23" s="24" t="inlineStr">
        <is>
          <t>valorant-tiered-elo-v3</t>
        </is>
      </c>
      <c r="BD23" s="24" t="inlineStr">
        <is>
          <t>df5a226c64918a54c70b8af3e0cd4abb6c4f42b67acb5547da319458502b0ed4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valorant-tiered-elo-v3</t>
        </is>
      </c>
      <c r="BH23" s="24" t="inlineStr">
        <is>
          <t>2026-07-23T07:21:22.385691Z</t>
        </is>
      </c>
      <c r="BI23" s="24" t="inlineStr">
        <is>
          <t>["same_event","same_team_same_day","same_league_same_day"]</t>
        </is>
      </c>
      <c r="BJ23" s="25" t="n"/>
      <c r="BK23" s="26" t="n">
        <v>144</v>
      </c>
      <c r="BL23" s="27" t="n">
        <v>2.44</v>
      </c>
      <c r="BM23" s="28" t="n">
        <v>0.409836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</row>
    <row r="24" ht="36" customHeight="1">
      <c r="A24" s="24" t="inlineStr">
        <is>
          <t>5d0f3f7a2dcb4750</t>
        </is>
      </c>
      <c r="B24" s="24" t="inlineStr">
        <is>
          <t>2026-07-23T07:21:34.143456Z</t>
        </is>
      </c>
      <c r="C24" s="24" t="inlineStr">
        <is>
          <t>2026-07-23T18:00:00Z</t>
        </is>
      </c>
      <c r="D24" s="24" t="inlineStr">
        <is>
          <t>57153</t>
        </is>
      </c>
      <c r="E24" s="24" t="inlineStr">
        <is>
          <t>VALORANT</t>
        </is>
      </c>
      <c r="F24" s="24" t="inlineStr">
        <is>
          <t>Natus Vincere</t>
        </is>
      </c>
      <c r="G24" s="24" t="inlineStr">
        <is>
          <t>Gentle Mates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polymarket_us</t>
        </is>
      </c>
      <c r="L24" s="26" t="n">
        <v>-113</v>
      </c>
      <c r="M24" s="27" t="n">
        <v>1.884956</v>
      </c>
      <c r="N24" s="28" t="n">
        <v>0.530516</v>
      </c>
      <c r="O24" s="28" t="n">
        <v>0.681625</v>
      </c>
      <c r="P24" s="28" t="n">
        <v>0.05</v>
      </c>
      <c r="Q24" s="28" t="n">
        <v>0.151109</v>
      </c>
      <c r="R24" s="26" t="n">
        <v>100</v>
      </c>
      <c r="S24" s="29" t="n">
        <v>0</v>
      </c>
      <c r="T24" s="24" t="inlineStr">
        <is>
          <t>valorant-tiered-elo-v3</t>
        </is>
      </c>
      <c r="U24" s="24" t="inlineStr">
        <is>
          <t>open</t>
        </is>
      </c>
      <c r="V24" s="24" t="n"/>
      <c r="W24" s="26" t="n"/>
      <c r="X24" s="26" t="n"/>
      <c r="Y24" s="25" t="n"/>
      <c r="Z24" s="26" t="n"/>
      <c r="AA24" s="28" t="n"/>
      <c r="AB24" s="28" t="n"/>
      <c r="AC24" s="30" t="n"/>
      <c r="AD24" s="24" t="n"/>
      <c r="AE24" s="31" t="inlineStr">
        <is>
          <t>Neutral Elo baseline; executable ask 0.5300 (market_slug=aec-valorant-gm-navi-2026-07-23).</t>
        </is>
      </c>
      <c r="AF24" s="31" t="inlineStr">
        <is>
          <t>Config-promoted esports baseline; gates enforced at log time.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NO_CALL_LARGE_DISAGREEMENT_REVIEW</t>
        </is>
      </c>
      <c r="AP24" s="24" t="inlineStr">
        <is>
          <t>Natus Vincere</t>
        </is>
      </c>
      <c r="AQ24" s="24" t="inlineStr">
        <is>
          <t>Natus Vincere</t>
        </is>
      </c>
      <c r="AR24" s="24" t="inlineStr">
        <is>
          <t>Natus Vincere</t>
        </is>
      </c>
      <c r="AS24" s="24" t="inlineStr">
        <is>
          <t>Gentle Mates</t>
        </is>
      </c>
      <c r="AT24" s="24" t="inlineStr">
        <is>
          <t>Gentle Mates</t>
        </is>
      </c>
      <c r="AU24" s="24" t="inlineStr">
        <is>
          <t>Gentle Mates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df5a226c64918a54c70b8af3e0cd4abb6c4f42b67acb5547da319458502b0ed4</t>
        </is>
      </c>
      <c r="BB24" s="24" t="inlineStr">
        <is>
          <t>neutral_elo</t>
        </is>
      </c>
      <c r="BC24" s="24" t="inlineStr">
        <is>
          <t>valorant-tiered-elo-v3</t>
        </is>
      </c>
      <c r="BD24" s="24" t="inlineStr">
        <is>
          <t>df5a226c64918a54c70b8af3e0cd4abb6c4f42b67acb5547da319458502b0ed4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valorant-tiered-elo-v3</t>
        </is>
      </c>
      <c r="BH24" s="24" t="inlineStr">
        <is>
          <t>2026-07-23T07:21:24.447106Z</t>
        </is>
      </c>
      <c r="BI24" s="24" t="inlineStr">
        <is>
          <t>["same_event","same_team_same_day","same_league_same_day"]</t>
        </is>
      </c>
      <c r="BJ24" s="25" t="n"/>
      <c r="BK24" s="26" t="n">
        <v>-113</v>
      </c>
      <c r="BL24" s="27" t="n">
        <v>1.884956</v>
      </c>
      <c r="BM24" s="28" t="n">
        <v>0.530516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</row>
    <row r="25" ht="36" customHeight="1">
      <c r="A25" s="24" t="inlineStr">
        <is>
          <t>ed8294a6bbd4411f</t>
        </is>
      </c>
      <c r="B25" s="24" t="inlineStr">
        <is>
          <t>2026-07-23T07:21:34.143456Z</t>
        </is>
      </c>
      <c r="C25" s="24" t="inlineStr">
        <is>
          <t>2026-07-24T09:00:00Z</t>
        </is>
      </c>
      <c r="D25" s="24" t="inlineStr">
        <is>
          <t>58553</t>
        </is>
      </c>
      <c r="E25" s="24" t="inlineStr">
        <is>
          <t>VALORANT</t>
        </is>
      </c>
      <c r="F25" s="24" t="inlineStr">
        <is>
          <t>TEC Esports</t>
        </is>
      </c>
      <c r="G25" s="24" t="inlineStr">
        <is>
          <t>Trace Esports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117</v>
      </c>
      <c r="M25" s="27" t="n">
        <v>2.17</v>
      </c>
      <c r="N25" s="28" t="n">
        <v>0.460829</v>
      </c>
      <c r="O25" s="28" t="n">
        <v>0.5</v>
      </c>
      <c r="P25" s="28" t="n">
        <v>0.05</v>
      </c>
      <c r="Q25" s="28" t="n">
        <v>0.039171</v>
      </c>
      <c r="R25" s="26" t="n">
        <v>40</v>
      </c>
      <c r="S25" s="29" t="n">
        <v>0</v>
      </c>
      <c r="T25" s="24" t="inlineStr">
        <is>
          <t>valorant-tiered-elo-v3</t>
        </is>
      </c>
      <c r="U25" s="24" t="inlineStr">
        <is>
          <t>open</t>
        </is>
      </c>
      <c r="V25" s="24" t="n"/>
      <c r="W25" s="26" t="n"/>
      <c r="X25" s="26" t="n"/>
      <c r="Y25" s="25" t="n"/>
      <c r="Z25" s="26" t="n"/>
      <c r="AA25" s="28" t="n"/>
      <c r="AB25" s="28" t="n"/>
      <c r="AC25" s="30" t="n"/>
      <c r="AD25" s="24" t="n"/>
      <c r="AE25" s="31" t="inlineStr">
        <is>
          <t>Neutral Elo baseline; executable ask 0.4600 (market_slug=aec-valorant-te-tec-2026-07-24).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NO_CALL_LOW_EDGE</t>
        </is>
      </c>
      <c r="AP25" s="24" t="inlineStr">
        <is>
          <t>TEC Esports</t>
        </is>
      </c>
      <c r="AQ25" s="24" t="inlineStr">
        <is>
          <t>TEC Esports</t>
        </is>
      </c>
      <c r="AR25" s="24" t="inlineStr">
        <is>
          <t>TEC Esports</t>
        </is>
      </c>
      <c r="AS25" s="24" t="inlineStr">
        <is>
          <t>Trace Esports</t>
        </is>
      </c>
      <c r="AT25" s="24" t="inlineStr">
        <is>
          <t>Trace Esports</t>
        </is>
      </c>
      <c r="AU25" s="24" t="inlineStr">
        <is>
          <t>Trace Esports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df5a226c64918a54c70b8af3e0cd4abb6c4f42b67acb5547da319458502b0ed4</t>
        </is>
      </c>
      <c r="BB25" s="24" t="inlineStr">
        <is>
          <t>neutral_elo</t>
        </is>
      </c>
      <c r="BC25" s="24" t="inlineStr">
        <is>
          <t>valorant-tiered-elo-v3</t>
        </is>
      </c>
      <c r="BD25" s="24" t="inlineStr">
        <is>
          <t>df5a226c64918a54c70b8af3e0cd4abb6c4f42b67acb5547da319458502b0ed4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valorant-tiered-elo-v3</t>
        </is>
      </c>
      <c r="BH25" s="24" t="inlineStr">
        <is>
          <t>2026-07-23T07:21:28.500430Z</t>
        </is>
      </c>
      <c r="BI25" s="24" t="inlineStr">
        <is>
          <t>["same_event","same_team_same_day","same_league_same_day"]</t>
        </is>
      </c>
      <c r="BJ25" s="25" t="n"/>
      <c r="BK25" s="26" t="n">
        <v>117</v>
      </c>
      <c r="BL25" s="27" t="n">
        <v>2.17</v>
      </c>
      <c r="BM25" s="28" t="n">
        <v>0.460829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</row>
    <row r="26" ht="36" customHeight="1">
      <c r="A26" s="24" t="inlineStr">
        <is>
          <t>536cf218b26447d6</t>
        </is>
      </c>
      <c r="B26" s="24" t="inlineStr">
        <is>
          <t>2026-07-23T07:21:34.143456Z</t>
        </is>
      </c>
      <c r="C26" s="24" t="inlineStr">
        <is>
          <t>2026-07-24T15:00:00Z</t>
        </is>
      </c>
      <c r="D26" s="24" t="inlineStr">
        <is>
          <t>58399</t>
        </is>
      </c>
      <c r="E26" s="24" t="inlineStr">
        <is>
          <t>VALORANT</t>
        </is>
      </c>
      <c r="F26" s="24" t="inlineStr">
        <is>
          <t>BBL Esports</t>
        </is>
      </c>
      <c r="G26" s="24" t="inlineStr">
        <is>
          <t>FUT Esports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144</v>
      </c>
      <c r="M26" s="27" t="n">
        <v>2.44</v>
      </c>
      <c r="N26" s="28" t="n">
        <v>0.409836</v>
      </c>
      <c r="O26" s="28" t="n">
        <v>0.5</v>
      </c>
      <c r="P26" s="28" t="n">
        <v>0.05</v>
      </c>
      <c r="Q26" s="28" t="n">
        <v>0.09016399999999999</v>
      </c>
      <c r="R26" s="26" t="n">
        <v>65</v>
      </c>
      <c r="S26" s="29" t="n">
        <v>0.5</v>
      </c>
      <c r="T26" s="24" t="inlineStr">
        <is>
          <t>valorant-tiered-elo-v3</t>
        </is>
      </c>
      <c r="U26" s="24" t="inlineStr">
        <is>
          <t>open</t>
        </is>
      </c>
      <c r="V26" s="24" t="n"/>
      <c r="W26" s="26" t="n"/>
      <c r="X26" s="26" t="n"/>
      <c r="Y26" s="25" t="n"/>
      <c r="Z26" s="26" t="n"/>
      <c r="AA26" s="28" t="n"/>
      <c r="AB26" s="28" t="n"/>
      <c r="AC26" s="30" t="n"/>
      <c r="AD26" s="24" t="n"/>
      <c r="AE26" s="31" t="inlineStr">
        <is>
          <t>Neutral Elo baseline; executable ask 0.4100 (market_slug=aec-valorant-fut-bbl-2026-07-24).</t>
        </is>
      </c>
      <c r="AF26" s="31" t="inlineStr">
        <is>
          <t>Config-promoted esports baseline; gates enforced at log time.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BBL Esports</t>
        </is>
      </c>
      <c r="AQ26" s="24" t="inlineStr">
        <is>
          <t>BBL Esports</t>
        </is>
      </c>
      <c r="AR26" s="24" t="inlineStr">
        <is>
          <t>BBL Esports</t>
        </is>
      </c>
      <c r="AS26" s="24" t="inlineStr">
        <is>
          <t>FUT Esports</t>
        </is>
      </c>
      <c r="AT26" s="24" t="inlineStr">
        <is>
          <t>FUT Esports</t>
        </is>
      </c>
      <c r="AU26" s="24" t="inlineStr">
        <is>
          <t>FUT Esports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df5a226c64918a54c70b8af3e0cd4abb6c4f42b67acb5547da319458502b0ed4</t>
        </is>
      </c>
      <c r="BB26" s="24" t="inlineStr">
        <is>
          <t>neutral_elo</t>
        </is>
      </c>
      <c r="BC26" s="24" t="inlineStr">
        <is>
          <t>valorant-tiered-elo-v3</t>
        </is>
      </c>
      <c r="BD26" s="24" t="inlineStr">
        <is>
          <t>df5a226c64918a54c70b8af3e0cd4abb6c4f42b67acb5547da319458502b0ed4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valorant-tiered-elo-v3</t>
        </is>
      </c>
      <c r="BH26" s="24" t="inlineStr">
        <is>
          <t>2026-07-23T07:21:30.221057Z</t>
        </is>
      </c>
      <c r="BI26" s="24" t="inlineStr">
        <is>
          <t>["same_event","same_team_same_day","same_league_same_day"]</t>
        </is>
      </c>
      <c r="BJ26" s="25" t="n"/>
      <c r="BK26" s="26" t="n">
        <v>144</v>
      </c>
      <c r="BL26" s="27" t="n">
        <v>2.44</v>
      </c>
      <c r="BM26" s="28" t="n">
        <v>0.409836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</row>
    <row r="27" ht="36" customHeight="1">
      <c r="A27" s="24" t="inlineStr">
        <is>
          <t>e1960e2ad8944a67</t>
        </is>
      </c>
      <c r="B27" s="24" t="inlineStr">
        <is>
          <t>2026-07-23T07:21:34.143456Z</t>
        </is>
      </c>
      <c r="C27" s="24" t="inlineStr">
        <is>
          <t>2026-07-24T18:00:00Z</t>
        </is>
      </c>
      <c r="D27" s="24" t="inlineStr">
        <is>
          <t>58554</t>
        </is>
      </c>
      <c r="E27" s="24" t="inlineStr">
        <is>
          <t>VALORANT</t>
        </is>
      </c>
      <c r="F27" s="24" t="inlineStr">
        <is>
          <t>Fnatic</t>
        </is>
      </c>
      <c r="G27" s="24" t="inlineStr">
        <is>
          <t>Team Liquid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138</v>
      </c>
      <c r="M27" s="27" t="n">
        <v>2.38</v>
      </c>
      <c r="N27" s="28" t="n">
        <v>0.420168</v>
      </c>
      <c r="O27" s="28" t="n">
        <v>0.696373</v>
      </c>
      <c r="P27" s="28" t="n">
        <v>0.05</v>
      </c>
      <c r="Q27" s="28" t="n">
        <v>0.276205</v>
      </c>
      <c r="R27" s="26" t="n">
        <v>100</v>
      </c>
      <c r="S27" s="29" t="n">
        <v>0</v>
      </c>
      <c r="T27" s="24" t="inlineStr">
        <is>
          <t>valorant-tiered-elo-v3</t>
        </is>
      </c>
      <c r="U27" s="24" t="inlineStr">
        <is>
          <t>open</t>
        </is>
      </c>
      <c r="V27" s="24" t="n"/>
      <c r="W27" s="26" t="n"/>
      <c r="X27" s="26" t="n"/>
      <c r="Y27" s="25" t="n"/>
      <c r="Z27" s="26" t="n"/>
      <c r="AA27" s="28" t="n"/>
      <c r="AB27" s="28" t="n"/>
      <c r="AC27" s="30" t="n"/>
      <c r="AD27" s="24" t="n"/>
      <c r="AE27" s="31" t="inlineStr">
        <is>
          <t>Neutral Elo baseline; executable ask 0.4200 (market_slug=aec-valorant-tl-fnc-2026-07-24).</t>
        </is>
      </c>
      <c r="AF27" s="31" t="inlineStr">
        <is>
          <t>Config-promoted esports baseline; gates enforced at log time.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NO_CALL_LARGE_DISAGREEMENT_REVIEW</t>
        </is>
      </c>
      <c r="AP27" s="24" t="inlineStr">
        <is>
          <t>Fnatic</t>
        </is>
      </c>
      <c r="AQ27" s="24" t="inlineStr">
        <is>
          <t>Fnatic</t>
        </is>
      </c>
      <c r="AR27" s="24" t="inlineStr">
        <is>
          <t>Fnatic</t>
        </is>
      </c>
      <c r="AS27" s="24" t="inlineStr">
        <is>
          <t>Team Liquid</t>
        </is>
      </c>
      <c r="AT27" s="24" t="inlineStr">
        <is>
          <t>Team Liquid</t>
        </is>
      </c>
      <c r="AU27" s="24" t="inlineStr">
        <is>
          <t>Team Liquid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df5a226c64918a54c70b8af3e0cd4abb6c4f42b67acb5547da319458502b0ed4</t>
        </is>
      </c>
      <c r="BB27" s="24" t="inlineStr">
        <is>
          <t>neutral_elo</t>
        </is>
      </c>
      <c r="BC27" s="24" t="inlineStr">
        <is>
          <t>valorant-tiered-elo-v3</t>
        </is>
      </c>
      <c r="BD27" s="24" t="inlineStr">
        <is>
          <t>df5a226c64918a54c70b8af3e0cd4abb6c4f42b67acb5547da319458502b0ed4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valorant-tiered-elo-v3</t>
        </is>
      </c>
      <c r="BH27" s="24" t="inlineStr">
        <is>
          <t>2026-07-23T07:21:31.220238Z</t>
        </is>
      </c>
      <c r="BI27" s="24" t="inlineStr">
        <is>
          <t>["same_event","same_team_same_day","same_league_same_day"]</t>
        </is>
      </c>
      <c r="BJ27" s="25" t="n"/>
      <c r="BK27" s="26" t="n">
        <v>138</v>
      </c>
      <c r="BL27" s="27" t="n">
        <v>2.38</v>
      </c>
      <c r="BM27" s="28" t="n">
        <v>0.420168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</row>
    <row r="28" ht="36" customHeight="1">
      <c r="A28" s="24" t="inlineStr">
        <is>
          <t>a8c0022f56dd4d20</t>
        </is>
      </c>
      <c r="B28" s="24" t="inlineStr">
        <is>
          <t>2026-07-23T04:41:27.795424Z</t>
        </is>
      </c>
      <c r="C28" s="24" t="inlineStr">
        <is>
          <t>2026-07-23T14:00:00Z</t>
        </is>
      </c>
      <c r="D28" s="24" t="inlineStr">
        <is>
          <t>59038</t>
        </is>
      </c>
      <c r="E28" s="24" t="inlineStr">
        <is>
          <t>CS2</t>
        </is>
      </c>
      <c r="F28" s="24" t="inlineStr">
        <is>
          <t>SPARTA</t>
        </is>
      </c>
      <c r="G28" s="24" t="inlineStr">
        <is>
          <t>BET-M 33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127</v>
      </c>
      <c r="M28" s="27" t="n">
        <v>2.27</v>
      </c>
      <c r="N28" s="28" t="n">
        <v>0.440529</v>
      </c>
      <c r="O28" s="28" t="n">
        <v>0.524292</v>
      </c>
      <c r="P28" s="28" t="n">
        <v>0.05</v>
      </c>
      <c r="Q28" s="28" t="n">
        <v>0.083763</v>
      </c>
      <c r="R28" s="26" t="n">
        <v>62</v>
      </c>
      <c r="S28" s="29" t="n">
        <v>0.75</v>
      </c>
      <c r="T28" s="24" t="inlineStr">
        <is>
          <t>cs2-tiered-elo-v3</t>
        </is>
      </c>
      <c r="U28" s="24" t="inlineStr">
        <is>
          <t>open</t>
        </is>
      </c>
      <c r="V28" s="24" t="n"/>
      <c r="W28" s="26" t="n"/>
      <c r="X28" s="26" t="n"/>
      <c r="Y28" s="25" t="n"/>
      <c r="Z28" s="26" t="n"/>
      <c r="AA28" s="28" t="n"/>
      <c r="AB28" s="28" t="n"/>
      <c r="AC28" s="30" t="n"/>
      <c r="AD28" s="24" t="n"/>
      <c r="AE28" s="31" t="inlineStr">
        <is>
          <t>Neutral Elo baseline; executable ask 0.4400 (market_slug=aec-cs2-33-sparta-2026-07-23).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SPARTA</t>
        </is>
      </c>
      <c r="AQ28" s="24" t="inlineStr">
        <is>
          <t>SPARTA</t>
        </is>
      </c>
      <c r="AR28" s="24" t="inlineStr">
        <is>
          <t>SPARTA</t>
        </is>
      </c>
      <c r="AS28" s="24" t="inlineStr">
        <is>
          <t>BET-M 33</t>
        </is>
      </c>
      <c r="AT28" s="24" t="inlineStr">
        <is>
          <t>BET-M 33</t>
        </is>
      </c>
      <c r="AU28" s="24" t="inlineStr">
        <is>
          <t>BET-M 33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48424b79d75fc1173c9c465d95feb6fc041a2ccfbc64455058b3f74905ce28d5</t>
        </is>
      </c>
      <c r="BB28" s="24" t="inlineStr">
        <is>
          <t>neutral_elo</t>
        </is>
      </c>
      <c r="BC28" s="24" t="inlineStr">
        <is>
          <t>cs2-tiered-elo-v3</t>
        </is>
      </c>
      <c r="BD28" s="24" t="inlineStr">
        <is>
          <t>48424b79d75fc1173c9c465d95feb6fc041a2ccfbc64455058b3f74905ce28d5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cs2-tiered-elo-v3</t>
        </is>
      </c>
      <c r="BH28" s="24" t="inlineStr">
        <is>
          <t>2026-07-23T04:40:51.634148Z</t>
        </is>
      </c>
      <c r="BI28" s="24" t="inlineStr">
        <is>
          <t>["same_event","same_team_same_day","same_league_same_day"]</t>
        </is>
      </c>
      <c r="BJ28" s="25" t="n"/>
      <c r="BK28" s="26" t="n">
        <v>127</v>
      </c>
      <c r="BL28" s="27" t="n">
        <v>2.27</v>
      </c>
      <c r="BM28" s="28" t="n">
        <v>0.440529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</row>
    <row r="29" ht="36" customHeight="1">
      <c r="A29" s="24" t="inlineStr">
        <is>
          <t>5d28c87374ab4e12</t>
        </is>
      </c>
      <c r="B29" s="24" t="inlineStr">
        <is>
          <t>2026-07-23T04:41:27.795424Z</t>
        </is>
      </c>
      <c r="C29" s="24" t="inlineStr">
        <is>
          <t>2026-07-23T15:00:00Z</t>
        </is>
      </c>
      <c r="D29" s="24" t="inlineStr">
        <is>
          <t>56958</t>
        </is>
      </c>
      <c r="E29" s="24" t="inlineStr">
        <is>
          <t>CS2</t>
        </is>
      </c>
      <c r="F29" s="24" t="inlineStr">
        <is>
          <t>paiN</t>
        </is>
      </c>
      <c r="G29" s="24" t="inlineStr">
        <is>
          <t>Gentle Mates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133</v>
      </c>
      <c r="M29" s="27" t="n">
        <v>2.33</v>
      </c>
      <c r="N29" s="28" t="n">
        <v>0.429185</v>
      </c>
      <c r="O29" s="28" t="n">
        <v>0.524605</v>
      </c>
      <c r="P29" s="28" t="n">
        <v>0.05</v>
      </c>
      <c r="Q29" s="28" t="n">
        <v>0.09542</v>
      </c>
      <c r="R29" s="26" t="n">
        <v>68</v>
      </c>
      <c r="S29" s="29" t="n">
        <v>0.75</v>
      </c>
      <c r="T29" s="24" t="inlineStr">
        <is>
          <t>cs2-tiered-elo-v3</t>
        </is>
      </c>
      <c r="U29" s="24" t="inlineStr">
        <is>
          <t>open</t>
        </is>
      </c>
      <c r="V29" s="24" t="n"/>
      <c r="W29" s="26" t="n"/>
      <c r="X29" s="26" t="n"/>
      <c r="Y29" s="25" t="n"/>
      <c r="Z29" s="26" t="n"/>
      <c r="AA29" s="28" t="n"/>
      <c r="AB29" s="28" t="n"/>
      <c r="AC29" s="30" t="n"/>
      <c r="AD29" s="24" t="n"/>
      <c r="AE29" s="31" t="inlineStr">
        <is>
          <t>Neutral Elo baseline; executable ask 0.4300 (market_slug=aec-cs2-m8-pain-2026-07-23).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paiN</t>
        </is>
      </c>
      <c r="AQ29" s="24" t="inlineStr">
        <is>
          <t>paiN</t>
        </is>
      </c>
      <c r="AR29" s="24" t="inlineStr">
        <is>
          <t>paiN</t>
        </is>
      </c>
      <c r="AS29" s="24" t="inlineStr">
        <is>
          <t>Gentle Mates</t>
        </is>
      </c>
      <c r="AT29" s="24" t="inlineStr">
        <is>
          <t>Gentle Mates</t>
        </is>
      </c>
      <c r="AU29" s="24" t="inlineStr">
        <is>
          <t>Gentle Mates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48424b79d75fc1173c9c465d95feb6fc041a2ccfbc64455058b3f74905ce28d5</t>
        </is>
      </c>
      <c r="BB29" s="24" t="inlineStr">
        <is>
          <t>neutral_elo</t>
        </is>
      </c>
      <c r="BC29" s="24" t="inlineStr">
        <is>
          <t>cs2-tiered-elo-v3</t>
        </is>
      </c>
      <c r="BD29" s="24" t="inlineStr">
        <is>
          <t>48424b79d75fc1173c9c465d95feb6fc041a2ccfbc64455058b3f74905ce28d5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cs2-tiered-elo-v3</t>
        </is>
      </c>
      <c r="BH29" s="24" t="inlineStr">
        <is>
          <t>2026-07-23T04:40:54.019025Z</t>
        </is>
      </c>
      <c r="BI29" s="24" t="inlineStr">
        <is>
          <t>["same_event","same_team_same_day","same_league_same_day"]</t>
        </is>
      </c>
      <c r="BJ29" s="25" t="n"/>
      <c r="BK29" s="26" t="n">
        <v>133</v>
      </c>
      <c r="BL29" s="27" t="n">
        <v>2.33</v>
      </c>
      <c r="BM29" s="28" t="n">
        <v>0.429185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</row>
    <row r="30" ht="36" customHeight="1">
      <c r="A30" s="24" t="inlineStr">
        <is>
          <t>cc943aff3ae2463e</t>
        </is>
      </c>
      <c r="B30" s="24" t="inlineStr">
        <is>
          <t>2026-07-23T04:42:58.125023Z</t>
        </is>
      </c>
      <c r="C30" s="24" t="inlineStr">
        <is>
          <t>2026-07-23T15:00:00Z</t>
        </is>
      </c>
      <c r="D30" s="24" t="inlineStr">
        <is>
          <t>56966</t>
        </is>
      </c>
      <c r="E30" s="24" t="inlineStr">
        <is>
          <t>VALORANT</t>
        </is>
      </c>
      <c r="F30" s="24" t="inlineStr">
        <is>
          <t>Team Heretics</t>
        </is>
      </c>
      <c r="G30" s="24" t="inlineStr">
        <is>
          <t>Eternal Fire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144</v>
      </c>
      <c r="M30" s="27" t="n">
        <v>2.44</v>
      </c>
      <c r="N30" s="28" t="n">
        <v>0.409836</v>
      </c>
      <c r="O30" s="28" t="n">
        <v>0.5</v>
      </c>
      <c r="P30" s="28" t="n">
        <v>0.05</v>
      </c>
      <c r="Q30" s="28" t="n">
        <v>0.09016399999999999</v>
      </c>
      <c r="R30" s="26" t="n">
        <v>65</v>
      </c>
      <c r="S30" s="29" t="n">
        <v>0.5</v>
      </c>
      <c r="T30" s="24" t="inlineStr">
        <is>
          <t>valorant-tiered-elo-v3</t>
        </is>
      </c>
      <c r="U30" s="24" t="inlineStr">
        <is>
          <t>open</t>
        </is>
      </c>
      <c r="V30" s="24" t="n"/>
      <c r="W30" s="26" t="n"/>
      <c r="X30" s="26" t="n"/>
      <c r="Y30" s="25" t="n"/>
      <c r="Z30" s="26" t="n"/>
      <c r="AA30" s="28" t="n"/>
      <c r="AB30" s="28" t="n"/>
      <c r="AC30" s="30" t="n"/>
      <c r="AD30" s="24" t="n"/>
      <c r="AE30" s="31" t="inlineStr">
        <is>
          <t>Neutral Elo baseline; executable ask 0.4100 (market_slug=aec-valorant-ef-th-2026-07-23).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Team Heretics</t>
        </is>
      </c>
      <c r="AQ30" s="24" t="inlineStr">
        <is>
          <t>Team Heretics</t>
        </is>
      </c>
      <c r="AR30" s="24" t="inlineStr">
        <is>
          <t>Team Heretics</t>
        </is>
      </c>
      <c r="AS30" s="24" t="inlineStr">
        <is>
          <t>Eternal Fire</t>
        </is>
      </c>
      <c r="AT30" s="24" t="inlineStr">
        <is>
          <t>Eternal Fire</t>
        </is>
      </c>
      <c r="AU30" s="24" t="inlineStr">
        <is>
          <t>Eternal Fire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df5a226c64918a54c70b8af3e0cd4abb6c4f42b67acb5547da319458502b0ed4</t>
        </is>
      </c>
      <c r="BB30" s="24" t="inlineStr">
        <is>
          <t>neutral_elo</t>
        </is>
      </c>
      <c r="BC30" s="24" t="inlineStr">
        <is>
          <t>valorant-tiered-elo-v3</t>
        </is>
      </c>
      <c r="BD30" s="24" t="inlineStr">
        <is>
          <t>df5a226c64918a54c70b8af3e0cd4abb6c4f42b67acb5547da319458502b0ed4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valorant-tiered-elo-v3</t>
        </is>
      </c>
      <c r="BH30" s="24" t="inlineStr">
        <is>
          <t>2026-07-23T04:42:44.870279Z</t>
        </is>
      </c>
      <c r="BI30" s="24" t="inlineStr">
        <is>
          <t>["same_event","same_team_same_day","same_league_same_day"]</t>
        </is>
      </c>
      <c r="BJ30" s="25" t="n"/>
      <c r="BK30" s="26" t="n">
        <v>144</v>
      </c>
      <c r="BL30" s="27" t="n">
        <v>2.44</v>
      </c>
      <c r="BM30" s="28" t="n">
        <v>0.409836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</row>
    <row r="31" ht="36" customHeight="1">
      <c r="A31" s="24" t="inlineStr">
        <is>
          <t>4fdd43d0ca324413</t>
        </is>
      </c>
      <c r="B31" s="24" t="inlineStr">
        <is>
          <t>2026-07-23T04:42:58.125023Z</t>
        </is>
      </c>
      <c r="C31" s="24" t="inlineStr">
        <is>
          <t>2026-07-24T15:00:00Z</t>
        </is>
      </c>
      <c r="D31" s="24" t="inlineStr">
        <is>
          <t>58399</t>
        </is>
      </c>
      <c r="E31" s="24" t="inlineStr">
        <is>
          <t>VALORANT</t>
        </is>
      </c>
      <c r="F31" s="24" t="inlineStr">
        <is>
          <t>BBL Esports</t>
        </is>
      </c>
      <c r="G31" s="24" t="inlineStr">
        <is>
          <t>FUT Esports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144</v>
      </c>
      <c r="M31" s="27" t="n">
        <v>2.44</v>
      </c>
      <c r="N31" s="28" t="n">
        <v>0.409836</v>
      </c>
      <c r="O31" s="28" t="n">
        <v>0.5</v>
      </c>
      <c r="P31" s="28" t="n">
        <v>0.05</v>
      </c>
      <c r="Q31" s="28" t="n">
        <v>0.09016399999999999</v>
      </c>
      <c r="R31" s="26" t="n">
        <v>65</v>
      </c>
      <c r="S31" s="29" t="n">
        <v>0.5</v>
      </c>
      <c r="T31" s="24" t="inlineStr">
        <is>
          <t>valorant-tiered-elo-v3</t>
        </is>
      </c>
      <c r="U31" s="24" t="inlineStr">
        <is>
          <t>open</t>
        </is>
      </c>
      <c r="V31" s="24" t="n"/>
      <c r="W31" s="26" t="n"/>
      <c r="X31" s="26" t="n"/>
      <c r="Y31" s="25" t="n"/>
      <c r="Z31" s="26" t="n"/>
      <c r="AA31" s="28" t="n"/>
      <c r="AB31" s="28" t="n"/>
      <c r="AC31" s="30" t="n"/>
      <c r="AD31" s="24" t="n"/>
      <c r="AE31" s="31" t="inlineStr">
        <is>
          <t>Neutral Elo baseline; executable ask 0.4100 (market_slug=aec-valorant-fut-bbl-2026-07-24).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BBL Esports</t>
        </is>
      </c>
      <c r="AQ31" s="24" t="inlineStr">
        <is>
          <t>BBL Esports</t>
        </is>
      </c>
      <c r="AR31" s="24" t="inlineStr">
        <is>
          <t>BBL Esports</t>
        </is>
      </c>
      <c r="AS31" s="24" t="inlineStr">
        <is>
          <t>FUT Esports</t>
        </is>
      </c>
      <c r="AT31" s="24" t="inlineStr">
        <is>
          <t>FUT Esports</t>
        </is>
      </c>
      <c r="AU31" s="24" t="inlineStr">
        <is>
          <t>FUT Esports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df5a226c64918a54c70b8af3e0cd4abb6c4f42b67acb5547da319458502b0ed4</t>
        </is>
      </c>
      <c r="BB31" s="24" t="inlineStr">
        <is>
          <t>neutral_elo</t>
        </is>
      </c>
      <c r="BC31" s="24" t="inlineStr">
        <is>
          <t>valorant-tiered-elo-v3</t>
        </is>
      </c>
      <c r="BD31" s="24" t="inlineStr">
        <is>
          <t>df5a226c64918a54c70b8af3e0cd4abb6c4f42b67acb5547da319458502b0ed4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valorant-tiered-elo-v3</t>
        </is>
      </c>
      <c r="BH31" s="24" t="inlineStr">
        <is>
          <t>2026-07-23T04:42:52.160851Z</t>
        </is>
      </c>
      <c r="BI31" s="24" t="inlineStr">
        <is>
          <t>["same_event","same_team_same_day","same_league_same_day"]</t>
        </is>
      </c>
      <c r="BJ31" s="25" t="n"/>
      <c r="BK31" s="26" t="n">
        <v>144</v>
      </c>
      <c r="BL31" s="27" t="n">
        <v>2.44</v>
      </c>
      <c r="BM31" s="28" t="n">
        <v>0.409836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</row>
    <row r="32" ht="36" customHeight="1">
      <c r="A32" s="24" t="inlineStr">
        <is>
          <t>17d349cf61e54815</t>
        </is>
      </c>
      <c r="B32" s="24" t="inlineStr">
        <is>
          <t>2026-07-23T07:19:42.077429Z</t>
        </is>
      </c>
      <c r="C32" s="24" t="inlineStr">
        <is>
          <t>2026-07-23T09:00:00Z</t>
        </is>
      </c>
      <c r="D32" s="24" t="inlineStr">
        <is>
          <t>56810</t>
        </is>
      </c>
      <c r="E32" s="24" t="inlineStr">
        <is>
          <t>LOL</t>
        </is>
      </c>
      <c r="F32" s="24" t="inlineStr">
        <is>
          <t>Anyone's Legend</t>
        </is>
      </c>
      <c r="G32" s="24" t="inlineStr">
        <is>
          <t>JD Gaming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104</v>
      </c>
      <c r="M32" s="27" t="n">
        <v>2.04</v>
      </c>
      <c r="N32" s="28" t="n">
        <v>0.490196</v>
      </c>
      <c r="O32" s="28" t="n">
        <v>0.529047</v>
      </c>
      <c r="P32" s="28" t="n">
        <v>0.05</v>
      </c>
      <c r="Q32" s="28" t="n">
        <v>0.038851</v>
      </c>
      <c r="R32" s="26" t="n">
        <v>39</v>
      </c>
      <c r="S32" s="29" t="n">
        <v>0.75</v>
      </c>
      <c r="T32" s="24" t="inlineStr">
        <is>
          <t>lol-tiered-elo-v3</t>
        </is>
      </c>
      <c r="U32" s="24" t="inlineStr">
        <is>
          <t>open</t>
        </is>
      </c>
      <c r="V32" s="24" t="n"/>
      <c r="W32" s="26" t="n"/>
      <c r="X32" s="26" t="n"/>
      <c r="Y32" s="25" t="n"/>
      <c r="Z32" s="26" t="n"/>
      <c r="AA32" s="28" t="n"/>
      <c r="AB32" s="28" t="n"/>
      <c r="AC32" s="30" t="n"/>
      <c r="AD32" s="24" t="n"/>
      <c r="AE32" s="31" t="inlineStr">
        <is>
          <t>Neutral Elo baseline; executable ask 0.4900 (market_slug=aec-lol-jdg-al-2026-07-23).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research_observation</t>
        </is>
      </c>
      <c r="AL32" s="26" t="n">
        <v>3</v>
      </c>
      <c r="AM32" s="24" t="inlineStr">
        <is>
          <t>RESEARCH_OBSERVATION</t>
        </is>
      </c>
      <c r="AN32" s="24" t="inlineStr">
        <is>
          <t>NO_CALL</t>
        </is>
      </c>
      <c r="AO32" s="24" t="inlineStr">
        <is>
          <t>NO_CALL_LOW_EDGE</t>
        </is>
      </c>
      <c r="AP32" s="24" t="inlineStr">
        <is>
          <t>Anyone's Legend</t>
        </is>
      </c>
      <c r="AQ32" s="24" t="inlineStr">
        <is>
          <t>Anyone's Legend</t>
        </is>
      </c>
      <c r="AR32" s="24" t="inlineStr">
        <is>
          <t>Anyone's Legend</t>
        </is>
      </c>
      <c r="AS32" s="24" t="inlineStr">
        <is>
          <t>JD Gaming</t>
        </is>
      </c>
      <c r="AT32" s="24" t="inlineStr">
        <is>
          <t>JD Gaming</t>
        </is>
      </c>
      <c r="AU32" s="24" t="inlineStr">
        <is>
          <t>JD Gaming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dbc38ecdb090b63690db810d40eb29d0a69435c83dfbf24eb00d22aa42c177ae</t>
        </is>
      </c>
      <c r="BB32" s="24" t="inlineStr">
        <is>
          <t>neutral_elo</t>
        </is>
      </c>
      <c r="BC32" s="24" t="inlineStr">
        <is>
          <t>lol-tiered-elo-v3</t>
        </is>
      </c>
      <c r="BD32" s="24" t="inlineStr">
        <is>
          <t>dbc38ecdb090b63690db810d40eb29d0a69435c83dfbf24eb00d22aa42c177ae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lol-tiered-elo-v3</t>
        </is>
      </c>
      <c r="BH32" s="24" t="inlineStr">
        <is>
          <t>2026-07-23T07:19:09.188062Z</t>
        </is>
      </c>
      <c r="BI32" s="24" t="inlineStr">
        <is>
          <t>["same_event","same_team_same_day","same_league_same_day"]</t>
        </is>
      </c>
      <c r="BJ32" s="25" t="n"/>
      <c r="BK32" s="26" t="n">
        <v>104</v>
      </c>
      <c r="BL32" s="27" t="n">
        <v>2.04</v>
      </c>
      <c r="BM32" s="28" t="n">
        <v>0.490196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</row>
    <row r="33" ht="36" customHeight="1">
      <c r="A33" s="24" t="inlineStr">
        <is>
          <t>e29dbaa3f7f84a2d</t>
        </is>
      </c>
      <c r="B33" s="24" t="inlineStr">
        <is>
          <t>2026-07-23T07:19:42.077429Z</t>
        </is>
      </c>
      <c r="C33" s="24" t="inlineStr">
        <is>
          <t>2026-07-23T16:00:00Z</t>
        </is>
      </c>
      <c r="D33" s="24" t="inlineStr">
        <is>
          <t>57023</t>
        </is>
      </c>
      <c r="E33" s="24" t="inlineStr">
        <is>
          <t>LOL</t>
        </is>
      </c>
      <c r="F33" s="24" t="inlineStr">
        <is>
          <t>Esprit Shōnen</t>
        </is>
      </c>
      <c r="G33" s="24" t="inlineStr">
        <is>
          <t>Skillcamp Esport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144</v>
      </c>
      <c r="M33" s="27" t="n">
        <v>2.44</v>
      </c>
      <c r="N33" s="28" t="n">
        <v>0.409836</v>
      </c>
      <c r="O33" s="28" t="n">
        <v>0.598228</v>
      </c>
      <c r="P33" s="28" t="n">
        <v>0.05</v>
      </c>
      <c r="Q33" s="28" t="n">
        <v>0.188392</v>
      </c>
      <c r="R33" s="26" t="n">
        <v>100</v>
      </c>
      <c r="S33" s="29" t="n">
        <v>1.5</v>
      </c>
      <c r="T33" s="24" t="inlineStr">
        <is>
          <t>lol-tiered-elo-v3</t>
        </is>
      </c>
      <c r="U33" s="24" t="inlineStr">
        <is>
          <t>open</t>
        </is>
      </c>
      <c r="V33" s="24" t="n"/>
      <c r="W33" s="26" t="n"/>
      <c r="X33" s="26" t="n"/>
      <c r="Y33" s="25" t="n"/>
      <c r="Z33" s="26" t="n"/>
      <c r="AA33" s="28" t="n"/>
      <c r="AB33" s="28" t="n"/>
      <c r="AC33" s="30" t="n"/>
      <c r="AD33" s="24" t="n"/>
      <c r="AE33" s="31" t="inlineStr">
        <is>
          <t>Neutral Elo baseline; executable ask 0.4100 (market_slug=aec-lol-sc-ess-2026-07-23).</t>
        </is>
      </c>
      <c r="AF33" s="31" t="inlineStr">
        <is>
          <t>Config-promoted esports baseline; gates enforced at log time.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research_observation</t>
        </is>
      </c>
      <c r="AL33" s="26" t="n">
        <v>3</v>
      </c>
      <c r="AM33" s="24" t="inlineStr">
        <is>
          <t>RESEARCH_OBSERVATION</t>
        </is>
      </c>
      <c r="AN33" s="24" t="inlineStr">
        <is>
          <t>NO_CALL</t>
        </is>
      </c>
      <c r="AO33" s="24" t="inlineStr">
        <is>
          <t>NO_CALL_LARGE_DISAGREEMENT_REVIEW</t>
        </is>
      </c>
      <c r="AP33" s="24" t="inlineStr">
        <is>
          <t>Esprit Shōnen</t>
        </is>
      </c>
      <c r="AQ33" s="24" t="inlineStr">
        <is>
          <t>Esprit Shōnen</t>
        </is>
      </c>
      <c r="AR33" s="24" t="inlineStr">
        <is>
          <t>Esprit Shōnen</t>
        </is>
      </c>
      <c r="AS33" s="24" t="inlineStr">
        <is>
          <t>Skillcamp Esport</t>
        </is>
      </c>
      <c r="AT33" s="24" t="inlineStr">
        <is>
          <t>Skillcamp Esport</t>
        </is>
      </c>
      <c r="AU33" s="24" t="inlineStr">
        <is>
          <t>Skillcamp Esport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dbc38ecdb090b63690db810d40eb29d0a69435c83dfbf24eb00d22aa42c177ae</t>
        </is>
      </c>
      <c r="BB33" s="24" t="inlineStr">
        <is>
          <t>neutral_elo</t>
        </is>
      </c>
      <c r="BC33" s="24" t="inlineStr">
        <is>
          <t>lol-tiered-elo-v3</t>
        </is>
      </c>
      <c r="BD33" s="24" t="inlineStr">
        <is>
          <t>dbc38ecdb090b63690db810d40eb29d0a69435c83dfbf24eb00d22aa42c177ae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lol-tiered-elo-v3</t>
        </is>
      </c>
      <c r="BH33" s="24" t="inlineStr">
        <is>
          <t>2026-07-23T07:19:11.879111Z</t>
        </is>
      </c>
      <c r="BI33" s="24" t="inlineStr">
        <is>
          <t>["same_event","same_team_same_day","same_league_same_day"]</t>
        </is>
      </c>
      <c r="BJ33" s="25" t="n"/>
      <c r="BK33" s="26" t="n">
        <v>144</v>
      </c>
      <c r="BL33" s="27" t="n">
        <v>2.44</v>
      </c>
      <c r="BM33" s="28" t="n">
        <v>0.409836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</row>
    <row r="34" ht="36" customHeight="1">
      <c r="A34" s="24" t="inlineStr">
        <is>
          <t>a264f6f1360541ce</t>
        </is>
      </c>
      <c r="B34" s="24" t="inlineStr">
        <is>
          <t>2026-07-23T07:19:42.077429Z</t>
        </is>
      </c>
      <c r="C34" s="24" t="inlineStr">
        <is>
          <t>2026-07-23T17:00:00Z</t>
        </is>
      </c>
      <c r="D34" s="24" t="inlineStr">
        <is>
          <t>58174</t>
        </is>
      </c>
      <c r="E34" s="24" t="inlineStr">
        <is>
          <t>LOL</t>
        </is>
      </c>
      <c r="F34" s="24" t="inlineStr">
        <is>
          <t>E WIE EINFACH E-SPORTS</t>
        </is>
      </c>
      <c r="G34" s="24" t="inlineStr">
        <is>
          <t>ROSSMANN Centaurs</t>
        </is>
      </c>
      <c r="H34" s="24" t="inlineStr">
        <is>
          <t>moneyline</t>
        </is>
      </c>
      <c r="I34" s="24" t="inlineStr">
        <is>
          <t>away</t>
        </is>
      </c>
      <c r="J34" s="25" t="n"/>
      <c r="K34" s="24" t="inlineStr">
        <is>
          <t>polymarket_us</t>
        </is>
      </c>
      <c r="L34" s="26" t="n">
        <v>-223</v>
      </c>
      <c r="M34" s="27" t="n">
        <v>1.44843</v>
      </c>
      <c r="N34" s="28" t="n">
        <v>0.690402</v>
      </c>
      <c r="O34" s="28" t="n">
        <v>0.626995</v>
      </c>
      <c r="P34" s="28" t="n">
        <v>0.05</v>
      </c>
      <c r="Q34" s="28" t="n">
        <v>-0.06340700000000001</v>
      </c>
      <c r="R34" s="26" t="n">
        <v>0</v>
      </c>
      <c r="S34" s="29" t="n">
        <v>1.75</v>
      </c>
      <c r="T34" s="24" t="inlineStr">
        <is>
          <t>lol-tiered-elo-v3</t>
        </is>
      </c>
      <c r="U34" s="24" t="inlineStr">
        <is>
          <t>open</t>
        </is>
      </c>
      <c r="V34" s="24" t="n"/>
      <c r="W34" s="26" t="n"/>
      <c r="X34" s="26" t="n"/>
      <c r="Y34" s="25" t="n"/>
      <c r="Z34" s="26" t="n"/>
      <c r="AA34" s="28" t="n"/>
      <c r="AB34" s="28" t="n"/>
      <c r="AC34" s="30" t="n"/>
      <c r="AD34" s="24" t="n"/>
      <c r="AE34" s="31" t="inlineStr">
        <is>
          <t>Neutral Elo baseline; executable ask 0.6900 (market_slug=aec-lol-ross-ewi-2026-07-23).</t>
        </is>
      </c>
      <c r="AF34" s="31" t="inlineStr">
        <is>
          <t>Config-promoted esports baseline; gates enforced at log time.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NO_CALL_LOW_EDGE</t>
        </is>
      </c>
      <c r="AP34" s="24" t="inlineStr">
        <is>
          <t>E WIE EINFACH E-SPORTS</t>
        </is>
      </c>
      <c r="AQ34" s="24" t="inlineStr">
        <is>
          <t>E WIE EINFACH E-SPORTS</t>
        </is>
      </c>
      <c r="AR34" s="24" t="inlineStr">
        <is>
          <t>E WIE EINFACH E-SPORTS</t>
        </is>
      </c>
      <c r="AS34" s="24" t="inlineStr">
        <is>
          <t>ROSSMANN Centaurs</t>
        </is>
      </c>
      <c r="AT34" s="24" t="inlineStr">
        <is>
          <t>ROSSMANN Centaurs</t>
        </is>
      </c>
      <c r="AU34" s="24" t="inlineStr">
        <is>
          <t>ROSSMANN Centaurs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dbc38ecdb090b63690db810d40eb29d0a69435c83dfbf24eb00d22aa42c177ae</t>
        </is>
      </c>
      <c r="BB34" s="24" t="inlineStr">
        <is>
          <t>neutral_elo</t>
        </is>
      </c>
      <c r="BC34" s="24" t="inlineStr">
        <is>
          <t>lol-tiered-elo-v3</t>
        </is>
      </c>
      <c r="BD34" s="24" t="inlineStr">
        <is>
          <t>dbc38ecdb090b63690db810d40eb29d0a69435c83dfbf24eb00d22aa42c177ae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lol-tiered-elo-v3</t>
        </is>
      </c>
      <c r="BH34" s="24" t="inlineStr">
        <is>
          <t>2026-07-23T07:19:14.470472Z</t>
        </is>
      </c>
      <c r="BI34" s="24" t="inlineStr">
        <is>
          <t>["same_event","same_team_same_day","same_league_same_day"]</t>
        </is>
      </c>
      <c r="BJ34" s="25" t="n"/>
      <c r="BK34" s="26" t="n">
        <v>-223</v>
      </c>
      <c r="BL34" s="27" t="n">
        <v>1.44843</v>
      </c>
      <c r="BM34" s="28" t="n">
        <v>0.690402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</row>
    <row r="35" ht="36" customHeight="1">
      <c r="A35" s="24" t="inlineStr">
        <is>
          <t>f57c248727f549ec</t>
        </is>
      </c>
      <c r="B35" s="24" t="inlineStr">
        <is>
          <t>2026-07-23T07:19:42.077429Z</t>
        </is>
      </c>
      <c r="C35" s="24" t="inlineStr">
        <is>
          <t>2026-07-23T17:00:00Z</t>
        </is>
      </c>
      <c r="D35" s="24" t="inlineStr">
        <is>
          <t>57086</t>
        </is>
      </c>
      <c r="E35" s="24" t="inlineStr">
        <is>
          <t>LOL</t>
        </is>
      </c>
      <c r="F35" s="24" t="inlineStr">
        <is>
          <t>Ici Japon Corp. Esport</t>
        </is>
      </c>
      <c r="G35" s="24" t="inlineStr">
        <is>
          <t>Joblife</t>
        </is>
      </c>
      <c r="H35" s="24" t="inlineStr">
        <is>
          <t>moneyline</t>
        </is>
      </c>
      <c r="I35" s="24" t="inlineStr">
        <is>
          <t>away</t>
        </is>
      </c>
      <c r="J35" s="25" t="n"/>
      <c r="K35" s="24" t="inlineStr">
        <is>
          <t>polymarket_us</t>
        </is>
      </c>
      <c r="L35" s="26" t="n">
        <v>186</v>
      </c>
      <c r="M35" s="27" t="n">
        <v>2.86</v>
      </c>
      <c r="N35" s="28" t="n">
        <v>0.34965</v>
      </c>
      <c r="O35" s="28" t="n">
        <v>0.549847</v>
      </c>
      <c r="P35" s="28" t="n">
        <v>0.05</v>
      </c>
      <c r="Q35" s="28" t="n">
        <v>0.200197</v>
      </c>
      <c r="R35" s="26" t="n">
        <v>100</v>
      </c>
      <c r="S35" s="29" t="n">
        <v>1</v>
      </c>
      <c r="T35" s="24" t="inlineStr">
        <is>
          <t>lol-tiered-elo-v3</t>
        </is>
      </c>
      <c r="U35" s="24" t="inlineStr">
        <is>
          <t>open</t>
        </is>
      </c>
      <c r="V35" s="24" t="n"/>
      <c r="W35" s="26" t="n"/>
      <c r="X35" s="26" t="n"/>
      <c r="Y35" s="25" t="n"/>
      <c r="Z35" s="26" t="n"/>
      <c r="AA35" s="28" t="n"/>
      <c r="AB35" s="28" t="n"/>
      <c r="AC35" s="30" t="n"/>
      <c r="AD35" s="24" t="n"/>
      <c r="AE35" s="31" t="inlineStr">
        <is>
          <t>Neutral Elo baseline; executable ask 0.3500 (market_slug=aec-lol-jl-ijc-2026-07-23).</t>
        </is>
      </c>
      <c r="AF35" s="31" t="inlineStr">
        <is>
          <t>Config-promoted esports baseline; gates enforced at log time.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NO_CALL_LARGE_DISAGREEMENT_REVIEW</t>
        </is>
      </c>
      <c r="AP35" s="24" t="inlineStr">
        <is>
          <t>Ici Japon Corp. Esport</t>
        </is>
      </c>
      <c r="AQ35" s="24" t="inlineStr">
        <is>
          <t>Ici Japon Corp. Esport</t>
        </is>
      </c>
      <c r="AR35" s="24" t="inlineStr">
        <is>
          <t>Ici Japon Corp. Esport</t>
        </is>
      </c>
      <c r="AS35" s="24" t="inlineStr">
        <is>
          <t>Joblife</t>
        </is>
      </c>
      <c r="AT35" s="24" t="inlineStr">
        <is>
          <t>Joblife</t>
        </is>
      </c>
      <c r="AU35" s="24" t="inlineStr">
        <is>
          <t>Joblife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dbc38ecdb090b63690db810d40eb29d0a69435c83dfbf24eb00d22aa42c177ae</t>
        </is>
      </c>
      <c r="BB35" s="24" t="inlineStr">
        <is>
          <t>neutral_elo</t>
        </is>
      </c>
      <c r="BC35" s="24" t="inlineStr">
        <is>
          <t>lol-tiered-elo-v3</t>
        </is>
      </c>
      <c r="BD35" s="24" t="inlineStr">
        <is>
          <t>dbc38ecdb090b63690db810d40eb29d0a69435c83dfbf24eb00d22aa42c177ae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lol-tiered-elo-v3</t>
        </is>
      </c>
      <c r="BH35" s="24" t="inlineStr">
        <is>
          <t>2026-07-23T07:19:15.348357Z</t>
        </is>
      </c>
      <c r="BI35" s="24" t="inlineStr">
        <is>
          <t>["same_event","same_team_same_day","same_league_same_day"]</t>
        </is>
      </c>
      <c r="BJ35" s="25" t="n"/>
      <c r="BK35" s="26" t="n">
        <v>186</v>
      </c>
      <c r="BL35" s="27" t="n">
        <v>2.86</v>
      </c>
      <c r="BM35" s="28" t="n">
        <v>0.34965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</row>
    <row r="36" ht="36" customHeight="1">
      <c r="A36" s="24" t="inlineStr">
        <is>
          <t>45ee1b6b006b4ddf</t>
        </is>
      </c>
      <c r="B36" s="24" t="inlineStr">
        <is>
          <t>2026-07-23T07:19:42.077429Z</t>
        </is>
      </c>
      <c r="C36" s="24" t="inlineStr">
        <is>
          <t>2026-07-23T17:00:00Z</t>
        </is>
      </c>
      <c r="D36" s="24" t="inlineStr">
        <is>
          <t>57088</t>
        </is>
      </c>
      <c r="E36" s="24" t="inlineStr">
        <is>
          <t>LOL</t>
        </is>
      </c>
      <c r="F36" s="24" t="inlineStr">
        <is>
          <t>Dynasty</t>
        </is>
      </c>
      <c r="G36" s="24" t="inlineStr">
        <is>
          <t>Myth Esports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203</v>
      </c>
      <c r="M36" s="27" t="n">
        <v>3.03</v>
      </c>
      <c r="N36" s="28" t="n">
        <v>0.330033</v>
      </c>
      <c r="O36" s="28" t="n">
        <v>0.501096</v>
      </c>
      <c r="P36" s="28" t="n">
        <v>0.05</v>
      </c>
      <c r="Q36" s="28" t="n">
        <v>0.171063</v>
      </c>
      <c r="R36" s="26" t="n">
        <v>100</v>
      </c>
      <c r="S36" s="29" t="n">
        <v>0.5</v>
      </c>
      <c r="T36" s="24" t="inlineStr">
        <is>
          <t>lol-tiered-elo-v3</t>
        </is>
      </c>
      <c r="U36" s="24" t="inlineStr">
        <is>
          <t>open</t>
        </is>
      </c>
      <c r="V36" s="24" t="n"/>
      <c r="W36" s="26" t="n"/>
      <c r="X36" s="26" t="n"/>
      <c r="Y36" s="25" t="n"/>
      <c r="Z36" s="26" t="n"/>
      <c r="AA36" s="28" t="n"/>
      <c r="AB36" s="28" t="n"/>
      <c r="AC36" s="30" t="n"/>
      <c r="AD36" s="24" t="n"/>
      <c r="AE36" s="31" t="inlineStr">
        <is>
          <t>Neutral Elo baseline; executable ask 0.3300 (market_slug=aec-lol-myth-dyn-2026-07-23).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NO_CALL_LARGE_DISAGREEMENT_REVIEW</t>
        </is>
      </c>
      <c r="AP36" s="24" t="inlineStr">
        <is>
          <t>Dynasty</t>
        </is>
      </c>
      <c r="AQ36" s="24" t="inlineStr">
        <is>
          <t>Dynasty</t>
        </is>
      </c>
      <c r="AR36" s="24" t="inlineStr">
        <is>
          <t>Dynasty</t>
        </is>
      </c>
      <c r="AS36" s="24" t="inlineStr">
        <is>
          <t>Myth Esports</t>
        </is>
      </c>
      <c r="AT36" s="24" t="inlineStr">
        <is>
          <t>Myth Esports</t>
        </is>
      </c>
      <c r="AU36" s="24" t="inlineStr">
        <is>
          <t>Myth Esports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dbc38ecdb090b63690db810d40eb29d0a69435c83dfbf24eb00d22aa42c177ae</t>
        </is>
      </c>
      <c r="BB36" s="24" t="inlineStr">
        <is>
          <t>neutral_elo</t>
        </is>
      </c>
      <c r="BC36" s="24" t="inlineStr">
        <is>
          <t>lol-tiered-elo-v3</t>
        </is>
      </c>
      <c r="BD36" s="24" t="inlineStr">
        <is>
          <t>dbc38ecdb090b63690db810d40eb29d0a69435c83dfbf24eb00d22aa42c177ae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lol-tiered-elo-v3</t>
        </is>
      </c>
      <c r="BH36" s="24" t="inlineStr">
        <is>
          <t>2026-07-23T07:19:17.018506Z</t>
        </is>
      </c>
      <c r="BI36" s="24" t="inlineStr">
        <is>
          <t>["same_event","same_team_same_day","same_league_same_day"]</t>
        </is>
      </c>
      <c r="BJ36" s="25" t="n"/>
      <c r="BK36" s="26" t="n">
        <v>203</v>
      </c>
      <c r="BL36" s="27" t="n">
        <v>3.03</v>
      </c>
      <c r="BM36" s="28" t="n">
        <v>0.330033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</row>
    <row r="37" ht="36" customHeight="1">
      <c r="A37" s="24" t="inlineStr">
        <is>
          <t>f29c993a4f4b4df2</t>
        </is>
      </c>
      <c r="B37" s="24" t="inlineStr">
        <is>
          <t>2026-07-23T07:19:42.077429Z</t>
        </is>
      </c>
      <c r="C37" s="24" t="inlineStr">
        <is>
          <t>2026-07-23T20:00:00Z</t>
        </is>
      </c>
      <c r="D37" s="24" t="inlineStr">
        <is>
          <t>57411</t>
        </is>
      </c>
      <c r="E37" s="24" t="inlineStr">
        <is>
          <t>LOL</t>
        </is>
      </c>
      <c r="F37" s="24" t="inlineStr">
        <is>
          <t>TLN Pirates</t>
        </is>
      </c>
      <c r="G37" s="24" t="inlineStr">
        <is>
          <t>Karmine Corp Blue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-156</v>
      </c>
      <c r="M37" s="27" t="n">
        <v>1.641026</v>
      </c>
      <c r="N37" s="28" t="n">
        <v>0.609375</v>
      </c>
      <c r="O37" s="28" t="n">
        <v>0.555132</v>
      </c>
      <c r="P37" s="28" t="n">
        <v>0.05</v>
      </c>
      <c r="Q37" s="28" t="n">
        <v>-0.054243</v>
      </c>
      <c r="R37" s="26" t="n">
        <v>0</v>
      </c>
      <c r="S37" s="29" t="n">
        <v>1</v>
      </c>
      <c r="T37" s="24" t="inlineStr">
        <is>
          <t>lol-tiered-elo-v3</t>
        </is>
      </c>
      <c r="U37" s="24" t="inlineStr">
        <is>
          <t>open</t>
        </is>
      </c>
      <c r="V37" s="24" t="n"/>
      <c r="W37" s="26" t="n"/>
      <c r="X37" s="26" t="n"/>
      <c r="Y37" s="25" t="n"/>
      <c r="Z37" s="26" t="n"/>
      <c r="AA37" s="28" t="n"/>
      <c r="AB37" s="28" t="n"/>
      <c r="AC37" s="30" t="n"/>
      <c r="AD37" s="24" t="n"/>
      <c r="AE37" s="31" t="inlineStr">
        <is>
          <t>Neutral Elo baseline; executable ask 0.6100 (market_slug=aec-lol-kcb-tlnp-2026-07-23).</t>
        </is>
      </c>
      <c r="AF37" s="31" t="inlineStr">
        <is>
          <t>Config-promoted esports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research_observation</t>
        </is>
      </c>
      <c r="AL37" s="26" t="n">
        <v>3</v>
      </c>
      <c r="AM37" s="24" t="inlineStr">
        <is>
          <t>RESEARCH_OBSERVATION</t>
        </is>
      </c>
      <c r="AN37" s="24" t="inlineStr">
        <is>
          <t>NO_CALL</t>
        </is>
      </c>
      <c r="AO37" s="24" t="inlineStr">
        <is>
          <t>NO_CALL_LOW_EDGE</t>
        </is>
      </c>
      <c r="AP37" s="24" t="inlineStr">
        <is>
          <t>TLN Pirates</t>
        </is>
      </c>
      <c r="AQ37" s="24" t="inlineStr">
        <is>
          <t>TLN Pirates</t>
        </is>
      </c>
      <c r="AR37" s="24" t="inlineStr">
        <is>
          <t>TLN Pirates</t>
        </is>
      </c>
      <c r="AS37" s="24" t="inlineStr">
        <is>
          <t>Karmine Corp Blue</t>
        </is>
      </c>
      <c r="AT37" s="24" t="inlineStr">
        <is>
          <t>Karmine Corp Blue</t>
        </is>
      </c>
      <c r="AU37" s="24" t="inlineStr">
        <is>
          <t>Karmine Corp Blue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dbc38ecdb090b63690db810d40eb29d0a69435c83dfbf24eb00d22aa42c177ae</t>
        </is>
      </c>
      <c r="BB37" s="24" t="inlineStr">
        <is>
          <t>neutral_elo</t>
        </is>
      </c>
      <c r="BC37" s="24" t="inlineStr">
        <is>
          <t>lol-tiered-elo-v3</t>
        </is>
      </c>
      <c r="BD37" s="24" t="inlineStr">
        <is>
          <t>dbc38ecdb090b63690db810d40eb29d0a69435c83dfbf24eb00d22aa42c177ae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lol-tiered-elo-v3</t>
        </is>
      </c>
      <c r="BH37" s="24" t="inlineStr">
        <is>
          <t>2026-07-23T07:19:27.618692Z</t>
        </is>
      </c>
      <c r="BI37" s="24" t="inlineStr">
        <is>
          <t>["same_event","same_team_same_day","same_league_same_day"]</t>
        </is>
      </c>
      <c r="BJ37" s="25" t="n"/>
      <c r="BK37" s="26" t="n">
        <v>-156</v>
      </c>
      <c r="BL37" s="27" t="n">
        <v>1.641026</v>
      </c>
      <c r="BM37" s="28" t="n">
        <v>0.609375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</row>
    <row r="38" ht="36" customHeight="1">
      <c r="A38" s="24" t="inlineStr">
        <is>
          <t>39626d9d58e943ed</t>
        </is>
      </c>
      <c r="B38" s="24" t="inlineStr">
        <is>
          <t>2026-07-23T07:19:42.077429Z</t>
        </is>
      </c>
      <c r="C38" s="24" t="inlineStr">
        <is>
          <t>2026-07-24T14:00:00Z</t>
        </is>
      </c>
      <c r="D38" s="24" t="inlineStr">
        <is>
          <t>58364</t>
        </is>
      </c>
      <c r="E38" s="24" t="inlineStr">
        <is>
          <t>LOL</t>
        </is>
      </c>
      <c r="F38" s="24" t="inlineStr">
        <is>
          <t>Movistar KOI</t>
        </is>
      </c>
      <c r="G38" s="24" t="inlineStr">
        <is>
          <t>G2 Esports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-223</v>
      </c>
      <c r="M38" s="27" t="n">
        <v>1.44843</v>
      </c>
      <c r="N38" s="28" t="n">
        <v>0.690402</v>
      </c>
      <c r="O38" s="28" t="n">
        <v>0.601644</v>
      </c>
      <c r="P38" s="28" t="n">
        <v>0.05</v>
      </c>
      <c r="Q38" s="28" t="n">
        <v>-0.088758</v>
      </c>
      <c r="R38" s="26" t="n">
        <v>0</v>
      </c>
      <c r="S38" s="29" t="n">
        <v>1.5</v>
      </c>
      <c r="T38" s="24" t="inlineStr">
        <is>
          <t>lol-tiered-elo-v3</t>
        </is>
      </c>
      <c r="U38" s="24" t="inlineStr">
        <is>
          <t>open</t>
        </is>
      </c>
      <c r="V38" s="24" t="n"/>
      <c r="W38" s="26" t="n"/>
      <c r="X38" s="26" t="n"/>
      <c r="Y38" s="25" t="n"/>
      <c r="Z38" s="26" t="n"/>
      <c r="AA38" s="28" t="n"/>
      <c r="AB38" s="28" t="n"/>
      <c r="AC38" s="30" t="n"/>
      <c r="AD38" s="24" t="n"/>
      <c r="AE38" s="31" t="inlineStr">
        <is>
          <t>Neutral Elo baseline; executable ask 0.6900 (market_slug=aec-lol-g2-mkoi-2026-07-24).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research_observation</t>
        </is>
      </c>
      <c r="AL38" s="26" t="n">
        <v>3</v>
      </c>
      <c r="AM38" s="24" t="inlineStr">
        <is>
          <t>RESEARCH_OBSERVATION</t>
        </is>
      </c>
      <c r="AN38" s="24" t="inlineStr">
        <is>
          <t>NO_CALL</t>
        </is>
      </c>
      <c r="AO38" s="24" t="inlineStr">
        <is>
          <t>NO_CALL_LOW_EDGE</t>
        </is>
      </c>
      <c r="AP38" s="24" t="inlineStr">
        <is>
          <t>Movistar KOI</t>
        </is>
      </c>
      <c r="AQ38" s="24" t="inlineStr">
        <is>
          <t>Movistar KOI</t>
        </is>
      </c>
      <c r="AR38" s="24" t="inlineStr">
        <is>
          <t>Movistar KOI</t>
        </is>
      </c>
      <c r="AS38" s="24" t="inlineStr">
        <is>
          <t>G2 Esports</t>
        </is>
      </c>
      <c r="AT38" s="24" t="inlineStr">
        <is>
          <t>G2 Esports</t>
        </is>
      </c>
      <c r="AU38" s="24" t="inlineStr">
        <is>
          <t>G2 Esports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dbc38ecdb090b63690db810d40eb29d0a69435c83dfbf24eb00d22aa42c177ae</t>
        </is>
      </c>
      <c r="BB38" s="24" t="inlineStr">
        <is>
          <t>neutral_elo</t>
        </is>
      </c>
      <c r="BC38" s="24" t="inlineStr">
        <is>
          <t>lol-tiered-elo-v3</t>
        </is>
      </c>
      <c r="BD38" s="24" t="inlineStr">
        <is>
          <t>dbc38ecdb090b63690db810d40eb29d0a69435c83dfbf24eb00d22aa42c177ae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lol-tiered-elo-v3</t>
        </is>
      </c>
      <c r="BH38" s="24" t="inlineStr">
        <is>
          <t>2026-07-23T07:19:36.355707Z</t>
        </is>
      </c>
      <c r="BI38" s="24" t="inlineStr">
        <is>
          <t>["same_event","same_team_same_day","same_league_same_day"]</t>
        </is>
      </c>
      <c r="BJ38" s="25" t="n"/>
      <c r="BK38" s="26" t="n">
        <v>-223</v>
      </c>
      <c r="BL38" s="27" t="n">
        <v>1.44843</v>
      </c>
      <c r="BM38" s="28" t="n">
        <v>0.690402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</row>
    <row r="39" ht="36" customHeight="1">
      <c r="A39" s="24" t="inlineStr">
        <is>
          <t>152863293a864456</t>
        </is>
      </c>
      <c r="B39" s="24" t="inlineStr">
        <is>
          <t>2026-07-23T07:20:44.252809Z</t>
        </is>
      </c>
      <c r="C39" s="24" t="inlineStr">
        <is>
          <t>2026-07-23T08:00:00Z</t>
        </is>
      </c>
      <c r="D39" s="24" t="inlineStr">
        <is>
          <t>59672</t>
        </is>
      </c>
      <c r="E39" s="24" t="inlineStr">
        <is>
          <t>CS2</t>
        </is>
      </c>
      <c r="F39" s="24" t="inlineStr">
        <is>
          <t>Entropy</t>
        </is>
      </c>
      <c r="G39" s="24" t="inlineStr">
        <is>
          <t>Rune Eaters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117</v>
      </c>
      <c r="M39" s="27" t="n">
        <v>2.17</v>
      </c>
      <c r="N39" s="28" t="n">
        <v>0.460829</v>
      </c>
      <c r="O39" s="28" t="n">
        <v>0.517948</v>
      </c>
      <c r="P39" s="28" t="n">
        <v>0.05</v>
      </c>
      <c r="Q39" s="28" t="n">
        <v>0.057119</v>
      </c>
      <c r="R39" s="26" t="n">
        <v>49</v>
      </c>
      <c r="S39" s="29" t="n">
        <v>0.75</v>
      </c>
      <c r="T39" s="24" t="inlineStr">
        <is>
          <t>cs2-tiered-elo-v3</t>
        </is>
      </c>
      <c r="U39" s="24" t="inlineStr">
        <is>
          <t>open</t>
        </is>
      </c>
      <c r="V39" s="24" t="n"/>
      <c r="W39" s="26" t="n"/>
      <c r="X39" s="26" t="n"/>
      <c r="Y39" s="25" t="n"/>
      <c r="Z39" s="26" t="n"/>
      <c r="AA39" s="28" t="n"/>
      <c r="AB39" s="28" t="n"/>
      <c r="AC39" s="30" t="n"/>
      <c r="AD39" s="24" t="n"/>
      <c r="AE39" s="31" t="inlineStr">
        <is>
          <t>Neutral Elo baseline; executable ask 0.4600 (market_slug=aec-cs2-re-ent-2026-07-23).</t>
        </is>
      </c>
      <c r="AF39" s="31" t="inlineStr">
        <is>
          <t>Config-promoted esports baseline; gates enforced at log time.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research_observation</t>
        </is>
      </c>
      <c r="AL39" s="26" t="n">
        <v>3</v>
      </c>
      <c r="AM39" s="24" t="inlineStr">
        <is>
          <t>RESEARCH_OBSERVATION</t>
        </is>
      </c>
      <c r="AN39" s="24" t="inlineStr">
        <is>
          <t>NO_CALL</t>
        </is>
      </c>
      <c r="AO39" s="24" t="inlineStr">
        <is>
          <t>NO_CALL_LOW_EDGE</t>
        </is>
      </c>
      <c r="AP39" s="24" t="inlineStr">
        <is>
          <t>Entropy</t>
        </is>
      </c>
      <c r="AQ39" s="24" t="inlineStr">
        <is>
          <t>Entropy</t>
        </is>
      </c>
      <c r="AR39" s="24" t="inlineStr">
        <is>
          <t>Entropy</t>
        </is>
      </c>
      <c r="AS39" s="24" t="inlineStr">
        <is>
          <t>Rune Eaters</t>
        </is>
      </c>
      <c r="AT39" s="24" t="inlineStr">
        <is>
          <t>Rune Eaters</t>
        </is>
      </c>
      <c r="AU39" s="24" t="inlineStr">
        <is>
          <t>Rune Eaters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48424b79d75fc1173c9c465d95feb6fc041a2ccfbc64455058b3f74905ce28d5</t>
        </is>
      </c>
      <c r="BB39" s="24" t="inlineStr">
        <is>
          <t>neutral_elo</t>
        </is>
      </c>
      <c r="BC39" s="24" t="inlineStr">
        <is>
          <t>cs2-tiered-elo-v3</t>
        </is>
      </c>
      <c r="BD39" s="24" t="inlineStr">
        <is>
          <t>48424b79d75fc1173c9c465d95feb6fc041a2ccfbc64455058b3f74905ce28d5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cs2-tiered-elo-v3</t>
        </is>
      </c>
      <c r="BH39" s="24" t="inlineStr">
        <is>
          <t>2026-07-23T07:19:53.300087Z</t>
        </is>
      </c>
      <c r="BI39" s="24" t="inlineStr">
        <is>
          <t>["same_event","same_team_same_day","same_league_same_day"]</t>
        </is>
      </c>
      <c r="BJ39" s="25" t="n"/>
      <c r="BK39" s="26" t="n">
        <v>117</v>
      </c>
      <c r="BL39" s="27" t="n">
        <v>2.17</v>
      </c>
      <c r="BM39" s="28" t="n">
        <v>0.460829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</row>
    <row r="40" ht="36" customHeight="1">
      <c r="A40" s="24" t="inlineStr">
        <is>
          <t>63072f08d75d4c5f</t>
        </is>
      </c>
      <c r="B40" s="24" t="inlineStr">
        <is>
          <t>2026-07-23T07:20:44.252809Z</t>
        </is>
      </c>
      <c r="C40" s="24" t="inlineStr">
        <is>
          <t>2026-07-23T11:00:00Z</t>
        </is>
      </c>
      <c r="D40" s="24" t="inlineStr">
        <is>
          <t>59673</t>
        </is>
      </c>
      <c r="E40" s="24" t="inlineStr">
        <is>
          <t>CS2</t>
        </is>
      </c>
      <c r="F40" s="24" t="inlineStr">
        <is>
          <t>SAW Youngsters</t>
        </is>
      </c>
      <c r="G40" s="24" t="inlineStr">
        <is>
          <t>los kogutos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-122</v>
      </c>
      <c r="M40" s="27" t="n">
        <v>1.819672</v>
      </c>
      <c r="N40" s="28" t="n">
        <v>0.54955</v>
      </c>
      <c r="O40" s="28" t="n">
        <v>0.5020829999999999</v>
      </c>
      <c r="P40" s="28" t="n">
        <v>0.05</v>
      </c>
      <c r="Q40" s="28" t="n">
        <v>-0.047467</v>
      </c>
      <c r="R40" s="26" t="n">
        <v>0</v>
      </c>
      <c r="S40" s="29" t="n">
        <v>0.5</v>
      </c>
      <c r="T40" s="24" t="inlineStr">
        <is>
          <t>cs2-tiered-elo-v3</t>
        </is>
      </c>
      <c r="U40" s="24" t="inlineStr">
        <is>
          <t>open</t>
        </is>
      </c>
      <c r="V40" s="24" t="n"/>
      <c r="W40" s="26" t="n"/>
      <c r="X40" s="26" t="n"/>
      <c r="Y40" s="25" t="n"/>
      <c r="Z40" s="26" t="n"/>
      <c r="AA40" s="28" t="n"/>
      <c r="AB40" s="28" t="n"/>
      <c r="AC40" s="30" t="n"/>
      <c r="AD40" s="24" t="n"/>
      <c r="AE40" s="31" t="inlineStr">
        <is>
          <t>Neutral Elo baseline; executable ask 0.5500 (market_slug=aec-cs2-lk-sawy-2026-07-23).</t>
        </is>
      </c>
      <c r="AF40" s="31" t="inlineStr">
        <is>
          <t>Config-promoted esports baseline; gates enforced at log time.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research_observation</t>
        </is>
      </c>
      <c r="AL40" s="26" t="n">
        <v>3</v>
      </c>
      <c r="AM40" s="24" t="inlineStr">
        <is>
          <t>RESEARCH_OBSERVATION</t>
        </is>
      </c>
      <c r="AN40" s="24" t="inlineStr">
        <is>
          <t>NO_CALL</t>
        </is>
      </c>
      <c r="AO40" s="24" t="inlineStr">
        <is>
          <t>NO_CALL_LOW_EDGE</t>
        </is>
      </c>
      <c r="AP40" s="24" t="inlineStr">
        <is>
          <t>SAW Youngsters</t>
        </is>
      </c>
      <c r="AQ40" s="24" t="inlineStr">
        <is>
          <t>SAW Youngsters</t>
        </is>
      </c>
      <c r="AR40" s="24" t="inlineStr">
        <is>
          <t>SAW Youngsters</t>
        </is>
      </c>
      <c r="AS40" s="24" t="inlineStr">
        <is>
          <t>los kogutos</t>
        </is>
      </c>
      <c r="AT40" s="24" t="inlineStr">
        <is>
          <t>los kogutos</t>
        </is>
      </c>
      <c r="AU40" s="24" t="inlineStr">
        <is>
          <t>los kogutos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48424b79d75fc1173c9c465d95feb6fc041a2ccfbc64455058b3f74905ce28d5</t>
        </is>
      </c>
      <c r="BB40" s="24" t="inlineStr">
        <is>
          <t>neutral_elo</t>
        </is>
      </c>
      <c r="BC40" s="24" t="inlineStr">
        <is>
          <t>cs2-tiered-elo-v3</t>
        </is>
      </c>
      <c r="BD40" s="24" t="inlineStr">
        <is>
          <t>48424b79d75fc1173c9c465d95feb6fc041a2ccfbc64455058b3f74905ce28d5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cs2-tiered-elo-v3</t>
        </is>
      </c>
      <c r="BH40" s="24" t="inlineStr">
        <is>
          <t>2026-07-23T07:19:55.187494Z</t>
        </is>
      </c>
      <c r="BI40" s="24" t="inlineStr">
        <is>
          <t>["same_event","same_team_same_day","same_league_same_day"]</t>
        </is>
      </c>
      <c r="BJ40" s="25" t="n"/>
      <c r="BK40" s="26" t="n">
        <v>-122</v>
      </c>
      <c r="BL40" s="27" t="n">
        <v>1.819672</v>
      </c>
      <c r="BM40" s="28" t="n">
        <v>0.54955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</row>
    <row r="41" ht="36" customHeight="1">
      <c r="A41" s="24" t="inlineStr">
        <is>
          <t>28d5e036000044f2</t>
        </is>
      </c>
      <c r="B41" s="24" t="inlineStr">
        <is>
          <t>2026-07-23T07:20:44.252809Z</t>
        </is>
      </c>
      <c r="C41" s="24" t="inlineStr">
        <is>
          <t>2026-07-23T11:00:00Z</t>
        </is>
      </c>
      <c r="D41" s="24" t="inlineStr">
        <is>
          <t>56870</t>
        </is>
      </c>
      <c r="E41" s="24" t="inlineStr">
        <is>
          <t>CS2</t>
        </is>
      </c>
      <c r="F41" s="24" t="inlineStr">
        <is>
          <t>Benched gods</t>
        </is>
      </c>
      <c r="G41" s="24" t="inlineStr">
        <is>
          <t>NEW VISION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-122</v>
      </c>
      <c r="M41" s="27" t="n">
        <v>1.819672</v>
      </c>
      <c r="N41" s="28" t="n">
        <v>0.54955</v>
      </c>
      <c r="O41" s="28" t="n">
        <v>0.682691</v>
      </c>
      <c r="P41" s="28" t="n">
        <v>0.05</v>
      </c>
      <c r="Q41" s="28" t="n">
        <v>0.133141</v>
      </c>
      <c r="R41" s="26" t="n">
        <v>100</v>
      </c>
      <c r="S41" s="29" t="n">
        <v>2</v>
      </c>
      <c r="T41" s="24" t="inlineStr">
        <is>
          <t>cs2-tiered-elo-v3</t>
        </is>
      </c>
      <c r="U41" s="24" t="inlineStr">
        <is>
          <t>open</t>
        </is>
      </c>
      <c r="V41" s="24" t="n"/>
      <c r="W41" s="26" t="n"/>
      <c r="X41" s="26" t="n"/>
      <c r="Y41" s="25" t="n"/>
      <c r="Z41" s="26" t="n"/>
      <c r="AA41" s="28" t="n"/>
      <c r="AB41" s="28" t="n"/>
      <c r="AC41" s="30" t="n"/>
      <c r="AD41" s="24" t="n"/>
      <c r="AE41" s="31" t="inlineStr">
        <is>
          <t>Neutral Elo baseline; executable ask 0.5500 (market_slug=aec-cs2-nve-bge-2026-07-23).</t>
        </is>
      </c>
      <c r="AF41" s="31" t="inlineStr">
        <is>
          <t>Config-promoted esports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research_observation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NO_CALL_LARGE_DISAGREEMENT_REVIEW</t>
        </is>
      </c>
      <c r="AP41" s="24" t="inlineStr">
        <is>
          <t>Benched gods</t>
        </is>
      </c>
      <c r="AQ41" s="24" t="inlineStr">
        <is>
          <t>Benched gods</t>
        </is>
      </c>
      <c r="AR41" s="24" t="inlineStr">
        <is>
          <t>Benched gods</t>
        </is>
      </c>
      <c r="AS41" s="24" t="inlineStr">
        <is>
          <t>NEW VISION</t>
        </is>
      </c>
      <c r="AT41" s="24" t="inlineStr">
        <is>
          <t>NEW VISION</t>
        </is>
      </c>
      <c r="AU41" s="24" t="inlineStr">
        <is>
          <t>NEW VISION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48424b79d75fc1173c9c465d95feb6fc041a2ccfbc64455058b3f74905ce28d5</t>
        </is>
      </c>
      <c r="BB41" s="24" t="inlineStr">
        <is>
          <t>neutral_elo</t>
        </is>
      </c>
      <c r="BC41" s="24" t="inlineStr">
        <is>
          <t>cs2-tiered-elo-v3</t>
        </is>
      </c>
      <c r="BD41" s="24" t="inlineStr">
        <is>
          <t>48424b79d75fc1173c9c465d95feb6fc041a2ccfbc64455058b3f74905ce28d5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cs2-tiered-elo-v3</t>
        </is>
      </c>
      <c r="BH41" s="24" t="inlineStr">
        <is>
          <t>2026-07-23T07:19:56.117565Z</t>
        </is>
      </c>
      <c r="BI41" s="24" t="inlineStr">
        <is>
          <t>["same_event","same_team_same_day","same_league_same_day"]</t>
        </is>
      </c>
      <c r="BJ41" s="25" t="n"/>
      <c r="BK41" s="26" t="n">
        <v>-122</v>
      </c>
      <c r="BL41" s="27" t="n">
        <v>1.819672</v>
      </c>
      <c r="BM41" s="28" t="n">
        <v>0.54955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</row>
    <row r="42" ht="36" customHeight="1">
      <c r="A42" s="24" t="inlineStr">
        <is>
          <t>b48cdc5f8ae34be1</t>
        </is>
      </c>
      <c r="B42" s="24" t="inlineStr">
        <is>
          <t>2026-07-23T07:20:44.252809Z</t>
        </is>
      </c>
      <c r="C42" s="24" t="inlineStr">
        <is>
          <t>2026-07-23T11:00:00Z</t>
        </is>
      </c>
      <c r="D42" s="24" t="inlineStr">
        <is>
          <t>59036</t>
        </is>
      </c>
      <c r="E42" s="24" t="inlineStr">
        <is>
          <t>CS2</t>
        </is>
      </c>
      <c r="F42" s="24" t="inlineStr">
        <is>
          <t>ex-RUSTEC</t>
        </is>
      </c>
      <c r="G42" s="24" t="inlineStr">
        <is>
          <t>Lavked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113</v>
      </c>
      <c r="M42" s="27" t="n">
        <v>2.13</v>
      </c>
      <c r="N42" s="28" t="n">
        <v>0.469484</v>
      </c>
      <c r="O42" s="28" t="n">
        <v>0.692685</v>
      </c>
      <c r="P42" s="28" t="n">
        <v>0.05</v>
      </c>
      <c r="Q42" s="28" t="n">
        <v>0.223201</v>
      </c>
      <c r="R42" s="26" t="n">
        <v>100</v>
      </c>
      <c r="S42" s="29" t="n">
        <v>2</v>
      </c>
      <c r="T42" s="24" t="inlineStr">
        <is>
          <t>cs2-tiered-elo-v3</t>
        </is>
      </c>
      <c r="U42" s="24" t="inlineStr">
        <is>
          <t>open</t>
        </is>
      </c>
      <c r="V42" s="24" t="n"/>
      <c r="W42" s="26" t="n"/>
      <c r="X42" s="26" t="n"/>
      <c r="Y42" s="25" t="n"/>
      <c r="Z42" s="26" t="n"/>
      <c r="AA42" s="28" t="n"/>
      <c r="AB42" s="28" t="n"/>
      <c r="AC42" s="30" t="n"/>
      <c r="AD42" s="24" t="n"/>
      <c r="AE42" s="31" t="inlineStr">
        <is>
          <t>Neutral Elo baseline; executable ask 0.4700 (market_slug=aec-cs2-lav-erx-2026-07-23).</t>
        </is>
      </c>
      <c r="AF42" s="31" t="inlineStr">
        <is>
          <t>Config-promoted esports baseline; gates enforced at log time.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research_observation</t>
        </is>
      </c>
      <c r="AL42" s="26" t="n">
        <v>3</v>
      </c>
      <c r="AM42" s="24" t="inlineStr">
        <is>
          <t>RESEARCH_OBSERVATION</t>
        </is>
      </c>
      <c r="AN42" s="24" t="inlineStr">
        <is>
          <t>NO_CALL</t>
        </is>
      </c>
      <c r="AO42" s="24" t="inlineStr">
        <is>
          <t>NO_CALL_LARGE_DISAGREEMENT_REVIEW</t>
        </is>
      </c>
      <c r="AP42" s="24" t="inlineStr">
        <is>
          <t>ex-RUSTEC</t>
        </is>
      </c>
      <c r="AQ42" s="24" t="inlineStr">
        <is>
          <t>ex-RUSTEC</t>
        </is>
      </c>
      <c r="AR42" s="24" t="inlineStr">
        <is>
          <t>ex-RUSTEC</t>
        </is>
      </c>
      <c r="AS42" s="24" t="inlineStr">
        <is>
          <t>Lavked</t>
        </is>
      </c>
      <c r="AT42" s="24" t="inlineStr">
        <is>
          <t>Lavked</t>
        </is>
      </c>
      <c r="AU42" s="24" t="inlineStr">
        <is>
          <t>Lavked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48424b79d75fc1173c9c465d95feb6fc041a2ccfbc64455058b3f74905ce28d5</t>
        </is>
      </c>
      <c r="BB42" s="24" t="inlineStr">
        <is>
          <t>neutral_elo</t>
        </is>
      </c>
      <c r="BC42" s="24" t="inlineStr">
        <is>
          <t>cs2-tiered-elo-v3</t>
        </is>
      </c>
      <c r="BD42" s="24" t="inlineStr">
        <is>
          <t>48424b79d75fc1173c9c465d95feb6fc041a2ccfbc64455058b3f74905ce28d5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cs2-tiered-elo-v3</t>
        </is>
      </c>
      <c r="BH42" s="24" t="inlineStr">
        <is>
          <t>2026-07-23T07:19:56.934670Z</t>
        </is>
      </c>
      <c r="BI42" s="24" t="inlineStr">
        <is>
          <t>["same_event","same_team_same_day","same_league_same_day"]</t>
        </is>
      </c>
      <c r="BJ42" s="25" t="n"/>
      <c r="BK42" s="26" t="n">
        <v>113</v>
      </c>
      <c r="BL42" s="27" t="n">
        <v>2.13</v>
      </c>
      <c r="BM42" s="28" t="n">
        <v>0.469484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</row>
    <row r="43" ht="36" customHeight="1">
      <c r="A43" s="24" t="inlineStr">
        <is>
          <t>5f0d529477c24e41</t>
        </is>
      </c>
      <c r="B43" s="24" t="inlineStr">
        <is>
          <t>2026-07-23T07:20:44.252809Z</t>
        </is>
      </c>
      <c r="C43" s="24" t="inlineStr">
        <is>
          <t>2026-07-23T11:00:00Z</t>
        </is>
      </c>
      <c r="D43" s="24" t="inlineStr">
        <is>
          <t>58451</t>
        </is>
      </c>
      <c r="E43" s="24" t="inlineStr">
        <is>
          <t>CS2</t>
        </is>
      </c>
      <c r="F43" s="24" t="inlineStr">
        <is>
          <t>3DMAX</t>
        </is>
      </c>
      <c r="G43" s="24" t="inlineStr">
        <is>
          <t>Walczaki</t>
        </is>
      </c>
      <c r="H43" s="24" t="inlineStr">
        <is>
          <t>moneyline</t>
        </is>
      </c>
      <c r="I43" s="24" t="inlineStr">
        <is>
          <t>away</t>
        </is>
      </c>
      <c r="J43" s="25" t="n"/>
      <c r="K43" s="24" t="inlineStr">
        <is>
          <t>polymarket_us</t>
        </is>
      </c>
      <c r="L43" s="26" t="n">
        <v>-203</v>
      </c>
      <c r="M43" s="27" t="n">
        <v>1.492611</v>
      </c>
      <c r="N43" s="28" t="n">
        <v>0.669967</v>
      </c>
      <c r="O43" s="28" t="n">
        <v>0.5245030000000001</v>
      </c>
      <c r="P43" s="28" t="n">
        <v>0.05</v>
      </c>
      <c r="Q43" s="28" t="n">
        <v>-0.145464</v>
      </c>
      <c r="R43" s="26" t="n">
        <v>0</v>
      </c>
      <c r="S43" s="29" t="n">
        <v>0.75</v>
      </c>
      <c r="T43" s="24" t="inlineStr">
        <is>
          <t>cs2-tiered-elo-v3</t>
        </is>
      </c>
      <c r="U43" s="24" t="inlineStr">
        <is>
          <t>open</t>
        </is>
      </c>
      <c r="V43" s="24" t="n"/>
      <c r="W43" s="26" t="n"/>
      <c r="X43" s="26" t="n"/>
      <c r="Y43" s="25" t="n"/>
      <c r="Z43" s="26" t="n"/>
      <c r="AA43" s="28" t="n"/>
      <c r="AB43" s="28" t="n"/>
      <c r="AC43" s="30" t="n"/>
      <c r="AD43" s="24" t="n"/>
      <c r="AE43" s="31" t="inlineStr">
        <is>
          <t>Neutral Elo baseline; executable ask 0.6700 (market_slug=aec-cs2-wal-3dmax-2026-07-23).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research_observation</t>
        </is>
      </c>
      <c r="AL43" s="26" t="n">
        <v>3</v>
      </c>
      <c r="AM43" s="24" t="inlineStr">
        <is>
          <t>RESEARCH_OBSERVATION</t>
        </is>
      </c>
      <c r="AN43" s="24" t="inlineStr">
        <is>
          <t>NO_CALL</t>
        </is>
      </c>
      <c r="AO43" s="24" t="inlineStr">
        <is>
          <t>NO_CALL_LARGE_DISAGREEMENT_REVIEW</t>
        </is>
      </c>
      <c r="AP43" s="24" t="inlineStr">
        <is>
          <t>3DMAX</t>
        </is>
      </c>
      <c r="AQ43" s="24" t="inlineStr">
        <is>
          <t>3DMAX</t>
        </is>
      </c>
      <c r="AR43" s="24" t="inlineStr">
        <is>
          <t>3DMAX</t>
        </is>
      </c>
      <c r="AS43" s="24" t="inlineStr">
        <is>
          <t>Walczaki</t>
        </is>
      </c>
      <c r="AT43" s="24" t="inlineStr">
        <is>
          <t>Walczaki</t>
        </is>
      </c>
      <c r="AU43" s="24" t="inlineStr">
        <is>
          <t>Walczaki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48424b79d75fc1173c9c465d95feb6fc041a2ccfbc64455058b3f74905ce28d5</t>
        </is>
      </c>
      <c r="BB43" s="24" t="inlineStr">
        <is>
          <t>neutral_elo</t>
        </is>
      </c>
      <c r="BC43" s="24" t="inlineStr">
        <is>
          <t>cs2-tiered-elo-v3</t>
        </is>
      </c>
      <c r="BD43" s="24" t="inlineStr">
        <is>
          <t>48424b79d75fc1173c9c465d95feb6fc041a2ccfbc64455058b3f74905ce28d5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cs2-tiered-elo-v3</t>
        </is>
      </c>
      <c r="BH43" s="24" t="inlineStr">
        <is>
          <t>2026-07-23T07:19:57.808618Z</t>
        </is>
      </c>
      <c r="BI43" s="24" t="inlineStr">
        <is>
          <t>["same_event","same_team_same_day","same_league_same_day"]</t>
        </is>
      </c>
      <c r="BJ43" s="25" t="n"/>
      <c r="BK43" s="26" t="n">
        <v>-203</v>
      </c>
      <c r="BL43" s="27" t="n">
        <v>1.492611</v>
      </c>
      <c r="BM43" s="28" t="n">
        <v>0.669967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</row>
    <row r="44" ht="36" customHeight="1">
      <c r="A44" s="24" t="inlineStr">
        <is>
          <t>4a0ca969805e42a5</t>
        </is>
      </c>
      <c r="B44" s="24" t="inlineStr">
        <is>
          <t>2026-07-23T07:20:44.252809Z</t>
        </is>
      </c>
      <c r="C44" s="24" t="inlineStr">
        <is>
          <t>2026-07-23T13:00:00Z</t>
        </is>
      </c>
      <c r="D44" s="24" t="inlineStr">
        <is>
          <t>59442</t>
        </is>
      </c>
      <c r="E44" s="24" t="inlineStr">
        <is>
          <t>CS2</t>
        </is>
      </c>
      <c r="F44" s="24" t="inlineStr">
        <is>
          <t>Nuclear TigeRES</t>
        </is>
      </c>
      <c r="G44" s="24" t="inlineStr">
        <is>
          <t>100 Thieves</t>
        </is>
      </c>
      <c r="H44" s="24" t="inlineStr">
        <is>
          <t>moneyline</t>
        </is>
      </c>
      <c r="I44" s="24" t="inlineStr">
        <is>
          <t>away</t>
        </is>
      </c>
      <c r="J44" s="25" t="n"/>
      <c r="K44" s="24" t="inlineStr">
        <is>
          <t>polymarket_us</t>
        </is>
      </c>
      <c r="L44" s="26" t="n">
        <v>150</v>
      </c>
      <c r="M44" s="27" t="n">
        <v>2.5</v>
      </c>
      <c r="N44" s="28" t="n">
        <v>0.4</v>
      </c>
      <c r="O44" s="28" t="n">
        <v>0.5681389999999999</v>
      </c>
      <c r="P44" s="28" t="n">
        <v>0.05</v>
      </c>
      <c r="Q44" s="28" t="n">
        <v>0.168139</v>
      </c>
      <c r="R44" s="26" t="n">
        <v>100</v>
      </c>
      <c r="S44" s="29" t="n">
        <v>1.25</v>
      </c>
      <c r="T44" s="24" t="inlineStr">
        <is>
          <t>cs2-tiered-elo-v3</t>
        </is>
      </c>
      <c r="U44" s="24" t="inlineStr">
        <is>
          <t>open</t>
        </is>
      </c>
      <c r="V44" s="24" t="n"/>
      <c r="W44" s="26" t="n"/>
      <c r="X44" s="26" t="n"/>
      <c r="Y44" s="25" t="n"/>
      <c r="Z44" s="26" t="n"/>
      <c r="AA44" s="28" t="n"/>
      <c r="AB44" s="28" t="n"/>
      <c r="AC44" s="30" t="n"/>
      <c r="AD44" s="24" t="n"/>
      <c r="AE44" s="31" t="inlineStr">
        <is>
          <t>Neutral Elo baseline; executable ask 0.4000 (market_slug=aec-cs2-100t-ntr-2026-07-23).</t>
        </is>
      </c>
      <c r="AF44" s="31" t="inlineStr">
        <is>
          <t>Config-promoted esports baseline; gates enforced at log time.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research_observation</t>
        </is>
      </c>
      <c r="AL44" s="26" t="n">
        <v>3</v>
      </c>
      <c r="AM44" s="24" t="inlineStr">
        <is>
          <t>RESEARCH_OBSERVATION</t>
        </is>
      </c>
      <c r="AN44" s="24" t="inlineStr">
        <is>
          <t>NO_CALL</t>
        </is>
      </c>
      <c r="AO44" s="24" t="inlineStr">
        <is>
          <t>NO_CALL_LARGE_DISAGREEMENT_REVIEW</t>
        </is>
      </c>
      <c r="AP44" s="24" t="inlineStr">
        <is>
          <t>Nuclear TigeRES</t>
        </is>
      </c>
      <c r="AQ44" s="24" t="inlineStr">
        <is>
          <t>Nuclear TigeRES</t>
        </is>
      </c>
      <c r="AR44" s="24" t="inlineStr">
        <is>
          <t>Nuclear TigeRES</t>
        </is>
      </c>
      <c r="AS44" s="24" t="inlineStr">
        <is>
          <t>100 Thieves</t>
        </is>
      </c>
      <c r="AT44" s="24" t="inlineStr">
        <is>
          <t>100 Thieves</t>
        </is>
      </c>
      <c r="AU44" s="24" t="inlineStr">
        <is>
          <t>100 Thieves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48424b79d75fc1173c9c465d95feb6fc041a2ccfbc64455058b3f74905ce28d5</t>
        </is>
      </c>
      <c r="BB44" s="24" t="inlineStr">
        <is>
          <t>neutral_elo</t>
        </is>
      </c>
      <c r="BC44" s="24" t="inlineStr">
        <is>
          <t>cs2-tiered-elo-v3</t>
        </is>
      </c>
      <c r="BD44" s="24" t="inlineStr">
        <is>
          <t>48424b79d75fc1173c9c465d95feb6fc041a2ccfbc64455058b3f74905ce28d5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cs2-tiered-elo-v3</t>
        </is>
      </c>
      <c r="BH44" s="24" t="inlineStr">
        <is>
          <t>2026-07-23T07:20:01.184225Z</t>
        </is>
      </c>
      <c r="BI44" s="24" t="inlineStr">
        <is>
          <t>["same_event","same_team_same_day","same_league_same_day"]</t>
        </is>
      </c>
      <c r="BJ44" s="25" t="n"/>
      <c r="BK44" s="26" t="n">
        <v>150</v>
      </c>
      <c r="BL44" s="27" t="n">
        <v>2.5</v>
      </c>
      <c r="BM44" s="28" t="n">
        <v>0.4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</row>
    <row r="45" ht="36" customHeight="1">
      <c r="A45" s="24" t="inlineStr">
        <is>
          <t>c1998fbe00914895</t>
        </is>
      </c>
      <c r="B45" s="24" t="inlineStr">
        <is>
          <t>2026-07-23T07:20:44.252809Z</t>
        </is>
      </c>
      <c r="C45" s="24" t="inlineStr">
        <is>
          <t>2026-07-23T13:00:00Z</t>
        </is>
      </c>
      <c r="D45" s="24" t="inlineStr">
        <is>
          <t>59961</t>
        </is>
      </c>
      <c r="E45" s="24" t="inlineStr">
        <is>
          <t>CS2</t>
        </is>
      </c>
      <c r="F45" s="24" t="inlineStr">
        <is>
          <t>Game Hunters</t>
        </is>
      </c>
      <c r="G45" s="24" t="inlineStr">
        <is>
          <t>UNO MILLE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-223</v>
      </c>
      <c r="M45" s="27" t="n">
        <v>1.44843</v>
      </c>
      <c r="N45" s="28" t="n">
        <v>0.690402</v>
      </c>
      <c r="O45" s="28" t="n">
        <v>0.518052</v>
      </c>
      <c r="P45" s="28" t="n">
        <v>0.05</v>
      </c>
      <c r="Q45" s="28" t="n">
        <v>-0.17235</v>
      </c>
      <c r="R45" s="26" t="n">
        <v>0</v>
      </c>
      <c r="S45" s="29" t="n">
        <v>0.75</v>
      </c>
      <c r="T45" s="24" t="inlineStr">
        <is>
          <t>cs2-tiered-elo-v3</t>
        </is>
      </c>
      <c r="U45" s="24" t="inlineStr">
        <is>
          <t>open</t>
        </is>
      </c>
      <c r="V45" s="24" t="n"/>
      <c r="W45" s="26" t="n"/>
      <c r="X45" s="26" t="n"/>
      <c r="Y45" s="25" t="n"/>
      <c r="Z45" s="26" t="n"/>
      <c r="AA45" s="28" t="n"/>
      <c r="AB45" s="28" t="n"/>
      <c r="AC45" s="30" t="n"/>
      <c r="AD45" s="24" t="n"/>
      <c r="AE45" s="31" t="inlineStr">
        <is>
          <t>Neutral Elo baseline; executable ask 0.6900 (market_slug=aec-cs2-uno-gh-2026-07-23).</t>
        </is>
      </c>
      <c r="AF45" s="31" t="inlineStr">
        <is>
          <t>Config-promoted esports baseline; gates enforced at log time.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research_observation</t>
        </is>
      </c>
      <c r="AL45" s="26" t="n">
        <v>3</v>
      </c>
      <c r="AM45" s="24" t="inlineStr">
        <is>
          <t>RESEARCH_OBSERVATION</t>
        </is>
      </c>
      <c r="AN45" s="24" t="inlineStr">
        <is>
          <t>NO_CALL</t>
        </is>
      </c>
      <c r="AO45" s="24" t="inlineStr">
        <is>
          <t>NO_CALL_LARGE_DISAGREEMENT_REVIEW</t>
        </is>
      </c>
      <c r="AP45" s="24" t="inlineStr">
        <is>
          <t>Game Hunters</t>
        </is>
      </c>
      <c r="AQ45" s="24" t="inlineStr">
        <is>
          <t>Game Hunters</t>
        </is>
      </c>
      <c r="AR45" s="24" t="inlineStr">
        <is>
          <t>Game Hunters</t>
        </is>
      </c>
      <c r="AS45" s="24" t="inlineStr">
        <is>
          <t>UNO MILLE</t>
        </is>
      </c>
      <c r="AT45" s="24" t="inlineStr">
        <is>
          <t>UNO MILLE</t>
        </is>
      </c>
      <c r="AU45" s="24" t="inlineStr">
        <is>
          <t>UNO MILLE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48424b79d75fc1173c9c465d95feb6fc041a2ccfbc64455058b3f74905ce28d5</t>
        </is>
      </c>
      <c r="BB45" s="24" t="inlineStr">
        <is>
          <t>neutral_elo</t>
        </is>
      </c>
      <c r="BC45" s="24" t="inlineStr">
        <is>
          <t>cs2-tiered-elo-v3</t>
        </is>
      </c>
      <c r="BD45" s="24" t="inlineStr">
        <is>
          <t>48424b79d75fc1173c9c465d95feb6fc041a2ccfbc64455058b3f74905ce28d5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cs2-tiered-elo-v3</t>
        </is>
      </c>
      <c r="BH45" s="24" t="inlineStr">
        <is>
          <t>2026-07-23T07:20:04.431176Z</t>
        </is>
      </c>
      <c r="BI45" s="24" t="inlineStr">
        <is>
          <t>["same_event","same_team_same_day","same_league_same_day"]</t>
        </is>
      </c>
      <c r="BJ45" s="25" t="n"/>
      <c r="BK45" s="26" t="n">
        <v>-223</v>
      </c>
      <c r="BL45" s="27" t="n">
        <v>1.44843</v>
      </c>
      <c r="BM45" s="28" t="n">
        <v>0.690402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</row>
    <row r="46" ht="36" customHeight="1">
      <c r="A46" s="24" t="inlineStr">
        <is>
          <t>19fc1a9f546241f4</t>
        </is>
      </c>
      <c r="B46" s="24" t="inlineStr">
        <is>
          <t>2026-07-23T07:20:44.252809Z</t>
        </is>
      </c>
      <c r="C46" s="24" t="inlineStr">
        <is>
          <t>2026-07-23T14:00:00Z</t>
        </is>
      </c>
      <c r="D46" s="24" t="inlineStr">
        <is>
          <t>56895</t>
        </is>
      </c>
      <c r="E46" s="24" t="inlineStr">
        <is>
          <t>CS2</t>
        </is>
      </c>
      <c r="F46" s="24" t="inlineStr">
        <is>
          <t>Privateer Gaming</t>
        </is>
      </c>
      <c r="G46" s="24" t="inlineStr">
        <is>
          <t>megoshort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127</v>
      </c>
      <c r="M46" s="27" t="n">
        <v>2.27</v>
      </c>
      <c r="N46" s="28" t="n">
        <v>0.440529</v>
      </c>
      <c r="O46" s="28" t="n">
        <v>0.586941</v>
      </c>
      <c r="P46" s="28" t="n">
        <v>0.05</v>
      </c>
      <c r="Q46" s="28" t="n">
        <v>0.146412</v>
      </c>
      <c r="R46" s="26" t="n">
        <v>100</v>
      </c>
      <c r="S46" s="29" t="n">
        <v>1.25</v>
      </c>
      <c r="T46" s="24" t="inlineStr">
        <is>
          <t>cs2-tiered-elo-v3</t>
        </is>
      </c>
      <c r="U46" s="24" t="inlineStr">
        <is>
          <t>open</t>
        </is>
      </c>
      <c r="V46" s="24" t="n"/>
      <c r="W46" s="26" t="n"/>
      <c r="X46" s="26" t="n"/>
      <c r="Y46" s="25" t="n"/>
      <c r="Z46" s="26" t="n"/>
      <c r="AA46" s="28" t="n"/>
      <c r="AB46" s="28" t="n"/>
      <c r="AC46" s="30" t="n"/>
      <c r="AD46" s="24" t="n"/>
      <c r="AE46" s="31" t="inlineStr">
        <is>
          <t>Neutral Elo baseline; executable ask 0.4400 (market_slug=aec-cs2-mego-pg-2026-07-23).</t>
        </is>
      </c>
      <c r="AF46" s="31" t="inlineStr">
        <is>
          <t>Config-promoted esports baseline; gates enforced at log time.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research_observation</t>
        </is>
      </c>
      <c r="AL46" s="26" t="n">
        <v>3</v>
      </c>
      <c r="AM46" s="24" t="inlineStr">
        <is>
          <t>RESEARCH_OBSERVATION</t>
        </is>
      </c>
      <c r="AN46" s="24" t="inlineStr">
        <is>
          <t>NO_CALL</t>
        </is>
      </c>
      <c r="AO46" s="24" t="inlineStr">
        <is>
          <t>NO_CALL_LARGE_DISAGREEMENT_REVIEW</t>
        </is>
      </c>
      <c r="AP46" s="24" t="inlineStr">
        <is>
          <t>Privateer Gaming</t>
        </is>
      </c>
      <c r="AQ46" s="24" t="inlineStr">
        <is>
          <t>Privateer Gaming</t>
        </is>
      </c>
      <c r="AR46" s="24" t="inlineStr">
        <is>
          <t>Privateer Gaming</t>
        </is>
      </c>
      <c r="AS46" s="24" t="inlineStr">
        <is>
          <t>megoshort</t>
        </is>
      </c>
      <c r="AT46" s="24" t="inlineStr">
        <is>
          <t>megoshort</t>
        </is>
      </c>
      <c r="AU46" s="24" t="inlineStr">
        <is>
          <t>megoshort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48424b79d75fc1173c9c465d95feb6fc041a2ccfbc64455058b3f74905ce28d5</t>
        </is>
      </c>
      <c r="BB46" s="24" t="inlineStr">
        <is>
          <t>neutral_elo</t>
        </is>
      </c>
      <c r="BC46" s="24" t="inlineStr">
        <is>
          <t>cs2-tiered-elo-v3</t>
        </is>
      </c>
      <c r="BD46" s="24" t="inlineStr">
        <is>
          <t>48424b79d75fc1173c9c465d95feb6fc041a2ccfbc64455058b3f74905ce28d5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cs2-tiered-elo-v3</t>
        </is>
      </c>
      <c r="BH46" s="24" t="inlineStr">
        <is>
          <t>2026-07-23T07:20:06.778014Z</t>
        </is>
      </c>
      <c r="BI46" s="24" t="inlineStr">
        <is>
          <t>["same_event","same_team_same_day","same_league_same_day"]</t>
        </is>
      </c>
      <c r="BJ46" s="25" t="n"/>
      <c r="BK46" s="26" t="n">
        <v>127</v>
      </c>
      <c r="BL46" s="27" t="n">
        <v>2.27</v>
      </c>
      <c r="BM46" s="28" t="n">
        <v>0.440529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</row>
    <row r="47" ht="36" customHeight="1">
      <c r="A47" s="24" t="inlineStr">
        <is>
          <t>c8f3de8e2e074baa</t>
        </is>
      </c>
      <c r="B47" s="24" t="inlineStr">
        <is>
          <t>2026-07-23T07:20:44.252809Z</t>
        </is>
      </c>
      <c r="C47" s="24" t="inlineStr">
        <is>
          <t>2026-07-23T16:00:00Z</t>
        </is>
      </c>
      <c r="D47" s="24" t="inlineStr">
        <is>
          <t>59391</t>
        </is>
      </c>
      <c r="E47" s="24" t="inlineStr">
        <is>
          <t>CS2</t>
        </is>
      </c>
      <c r="F47" s="24" t="inlineStr">
        <is>
          <t>Infinite</t>
        </is>
      </c>
      <c r="G47" s="24" t="inlineStr">
        <is>
          <t>K27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-203</v>
      </c>
      <c r="M47" s="27" t="n">
        <v>1.492611</v>
      </c>
      <c r="N47" s="28" t="n">
        <v>0.669967</v>
      </c>
      <c r="O47" s="28" t="n">
        <v>0.6760890000000001</v>
      </c>
      <c r="P47" s="28" t="n">
        <v>0.05</v>
      </c>
      <c r="Q47" s="28" t="n">
        <v>0.006122</v>
      </c>
      <c r="R47" s="26" t="n">
        <v>23</v>
      </c>
      <c r="S47" s="29" t="n">
        <v>2</v>
      </c>
      <c r="T47" s="24" t="inlineStr">
        <is>
          <t>cs2-tiered-elo-v3</t>
        </is>
      </c>
      <c r="U47" s="24" t="inlineStr">
        <is>
          <t>open</t>
        </is>
      </c>
      <c r="V47" s="24" t="n"/>
      <c r="W47" s="26" t="n"/>
      <c r="X47" s="26" t="n"/>
      <c r="Y47" s="25" t="n"/>
      <c r="Z47" s="26" t="n"/>
      <c r="AA47" s="28" t="n"/>
      <c r="AB47" s="28" t="n"/>
      <c r="AC47" s="30" t="n"/>
      <c r="AD47" s="24" t="n"/>
      <c r="AE47" s="31" t="inlineStr">
        <is>
          <t>Neutral Elo baseline; executable ask 0.6700 (market_slug=aec-cs2-k27-inf-2026-07-23).</t>
        </is>
      </c>
      <c r="AF47" s="31" t="inlineStr">
        <is>
          <t>Config-promoted esports baseline; gates enforced at log time.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research_observation</t>
        </is>
      </c>
      <c r="AL47" s="26" t="n">
        <v>3</v>
      </c>
      <c r="AM47" s="24" t="inlineStr">
        <is>
          <t>RESEARCH_OBSERVATION</t>
        </is>
      </c>
      <c r="AN47" s="24" t="inlineStr">
        <is>
          <t>NO_CALL</t>
        </is>
      </c>
      <c r="AO47" s="24" t="inlineStr">
        <is>
          <t>NO_CALL_LOW_EDGE</t>
        </is>
      </c>
      <c r="AP47" s="24" t="inlineStr">
        <is>
          <t>Infinite</t>
        </is>
      </c>
      <c r="AQ47" s="24" t="inlineStr">
        <is>
          <t>Infinite</t>
        </is>
      </c>
      <c r="AR47" s="24" t="inlineStr">
        <is>
          <t>Infinite</t>
        </is>
      </c>
      <c r="AS47" s="24" t="inlineStr">
        <is>
          <t>K27</t>
        </is>
      </c>
      <c r="AT47" s="24" t="inlineStr">
        <is>
          <t>K27</t>
        </is>
      </c>
      <c r="AU47" s="24" t="inlineStr">
        <is>
          <t>K27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48424b79d75fc1173c9c465d95feb6fc041a2ccfbc64455058b3f74905ce28d5</t>
        </is>
      </c>
      <c r="BB47" s="24" t="inlineStr">
        <is>
          <t>neutral_elo</t>
        </is>
      </c>
      <c r="BC47" s="24" t="inlineStr">
        <is>
          <t>cs2-tiered-elo-v3</t>
        </is>
      </c>
      <c r="BD47" s="24" t="inlineStr">
        <is>
          <t>48424b79d75fc1173c9c465d95feb6fc041a2ccfbc64455058b3f74905ce28d5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cs2-tiered-elo-v3</t>
        </is>
      </c>
      <c r="BH47" s="24" t="inlineStr">
        <is>
          <t>2026-07-23T07:20:09.399465Z</t>
        </is>
      </c>
      <c r="BI47" s="24" t="inlineStr">
        <is>
          <t>["same_event","same_team_same_day","same_league_same_day"]</t>
        </is>
      </c>
      <c r="BJ47" s="25" t="n"/>
      <c r="BK47" s="26" t="n">
        <v>-203</v>
      </c>
      <c r="BL47" s="27" t="n">
        <v>1.492611</v>
      </c>
      <c r="BM47" s="28" t="n">
        <v>0.669967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</row>
    <row r="48" ht="36" customHeight="1">
      <c r="A48" s="24" t="inlineStr">
        <is>
          <t>cfead7f5c23f47ef</t>
        </is>
      </c>
      <c r="B48" s="24" t="inlineStr">
        <is>
          <t>2026-07-23T07:20:44.252809Z</t>
        </is>
      </c>
      <c r="C48" s="24" t="inlineStr">
        <is>
          <t>2026-07-23T16:00:00Z</t>
        </is>
      </c>
      <c r="D48" s="24" t="inlineStr">
        <is>
          <t>58826</t>
        </is>
      </c>
      <c r="E48" s="24" t="inlineStr">
        <is>
          <t>CS2</t>
        </is>
      </c>
      <c r="F48" s="24" t="inlineStr">
        <is>
          <t>FOKUS</t>
        </is>
      </c>
      <c r="G48" s="24" t="inlineStr">
        <is>
          <t>Heroic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-203</v>
      </c>
      <c r="M48" s="27" t="n">
        <v>1.492611</v>
      </c>
      <c r="N48" s="28" t="n">
        <v>0.669967</v>
      </c>
      <c r="O48" s="28" t="n">
        <v>0.638115</v>
      </c>
      <c r="P48" s="28" t="n">
        <v>0.05</v>
      </c>
      <c r="Q48" s="28" t="n">
        <v>-0.031852</v>
      </c>
      <c r="R48" s="26" t="n">
        <v>4</v>
      </c>
      <c r="S48" s="29" t="n">
        <v>2</v>
      </c>
      <c r="T48" s="24" t="inlineStr">
        <is>
          <t>cs2-tiered-elo-v3</t>
        </is>
      </c>
      <c r="U48" s="24" t="inlineStr">
        <is>
          <t>open</t>
        </is>
      </c>
      <c r="V48" s="24" t="n"/>
      <c r="W48" s="26" t="n"/>
      <c r="X48" s="26" t="n"/>
      <c r="Y48" s="25" t="n"/>
      <c r="Z48" s="26" t="n"/>
      <c r="AA48" s="28" t="n"/>
      <c r="AB48" s="28" t="n"/>
      <c r="AC48" s="30" t="n"/>
      <c r="AD48" s="24" t="n"/>
      <c r="AE48" s="31" t="inlineStr">
        <is>
          <t>Neutral Elo baseline; executable ask 0.6700 (market_slug=aec-cs2-hero-fokus-2026-07-23).</t>
        </is>
      </c>
      <c r="AF48" s="31" t="inlineStr">
        <is>
          <t>Config-promoted esports baseline; gates enforced at log time.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research_observation</t>
        </is>
      </c>
      <c r="AL48" s="26" t="n">
        <v>3</v>
      </c>
      <c r="AM48" s="24" t="inlineStr">
        <is>
          <t>RESEARCH_OBSERVATION</t>
        </is>
      </c>
      <c r="AN48" s="24" t="inlineStr">
        <is>
          <t>NO_CALL</t>
        </is>
      </c>
      <c r="AO48" s="24" t="inlineStr">
        <is>
          <t>NO_CALL_LOW_EDGE</t>
        </is>
      </c>
      <c r="AP48" s="24" t="inlineStr">
        <is>
          <t>FOKUS</t>
        </is>
      </c>
      <c r="AQ48" s="24" t="inlineStr">
        <is>
          <t>FOKUS</t>
        </is>
      </c>
      <c r="AR48" s="24" t="inlineStr">
        <is>
          <t>FOKUS</t>
        </is>
      </c>
      <c r="AS48" s="24" t="inlineStr">
        <is>
          <t>Heroic</t>
        </is>
      </c>
      <c r="AT48" s="24" t="inlineStr">
        <is>
          <t>Heroic</t>
        </is>
      </c>
      <c r="AU48" s="24" t="inlineStr">
        <is>
          <t>Heroic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48424b79d75fc1173c9c465d95feb6fc041a2ccfbc64455058b3f74905ce28d5</t>
        </is>
      </c>
      <c r="BB48" s="24" t="inlineStr">
        <is>
          <t>neutral_elo</t>
        </is>
      </c>
      <c r="BC48" s="24" t="inlineStr">
        <is>
          <t>cs2-tiered-elo-v3</t>
        </is>
      </c>
      <c r="BD48" s="24" t="inlineStr">
        <is>
          <t>48424b79d75fc1173c9c465d95feb6fc041a2ccfbc64455058b3f74905ce28d5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cs2-tiered-elo-v3</t>
        </is>
      </c>
      <c r="BH48" s="24" t="inlineStr">
        <is>
          <t>2026-07-23T07:20:10.237996Z</t>
        </is>
      </c>
      <c r="BI48" s="24" t="inlineStr">
        <is>
          <t>["same_event","same_team_same_day","same_league_same_day"]</t>
        </is>
      </c>
      <c r="BJ48" s="25" t="n"/>
      <c r="BK48" s="26" t="n">
        <v>-203</v>
      </c>
      <c r="BL48" s="27" t="n">
        <v>1.492611</v>
      </c>
      <c r="BM48" s="28" t="n">
        <v>0.669967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</row>
    <row r="49" ht="36" customHeight="1">
      <c r="A49" s="24" t="inlineStr">
        <is>
          <t>c823faea4b0d4f1c</t>
        </is>
      </c>
      <c r="B49" s="24" t="inlineStr">
        <is>
          <t>2026-07-23T07:20:44.252809Z</t>
        </is>
      </c>
      <c r="C49" s="24" t="inlineStr">
        <is>
          <t>2026-07-23T17:00:00Z</t>
        </is>
      </c>
      <c r="D49" s="24" t="inlineStr">
        <is>
          <t>59678</t>
        </is>
      </c>
      <c r="E49" s="24" t="inlineStr">
        <is>
          <t>CS2</t>
        </is>
      </c>
      <c r="F49" s="24" t="inlineStr">
        <is>
          <t>Benched gods</t>
        </is>
      </c>
      <c r="G49" s="24" t="inlineStr">
        <is>
          <t>CYBERSHOKE Prospects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-144</v>
      </c>
      <c r="M49" s="27" t="n">
        <v>1.694444</v>
      </c>
      <c r="N49" s="28" t="n">
        <v>0.590164</v>
      </c>
      <c r="O49" s="28" t="n">
        <v>0.63774</v>
      </c>
      <c r="P49" s="28" t="n">
        <v>0.05</v>
      </c>
      <c r="Q49" s="28" t="n">
        <v>0.047576</v>
      </c>
      <c r="R49" s="26" t="n">
        <v>44</v>
      </c>
      <c r="S49" s="29" t="n">
        <v>2</v>
      </c>
      <c r="T49" s="24" t="inlineStr">
        <is>
          <t>cs2-tiered-elo-v3</t>
        </is>
      </c>
      <c r="U49" s="24" t="inlineStr">
        <is>
          <t>open</t>
        </is>
      </c>
      <c r="V49" s="24" t="n"/>
      <c r="W49" s="26" t="n"/>
      <c r="X49" s="26" t="n"/>
      <c r="Y49" s="25" t="n"/>
      <c r="Z49" s="26" t="n"/>
      <c r="AA49" s="28" t="n"/>
      <c r="AB49" s="28" t="n"/>
      <c r="AC49" s="30" t="n"/>
      <c r="AD49" s="24" t="n"/>
      <c r="AE49" s="31" t="inlineStr">
        <is>
          <t>Neutral Elo baseline; executable ask 0.5900 (market_slug=aec-cs2-cshp-bge-2026-07-23).</t>
        </is>
      </c>
      <c r="AF49" s="31" t="inlineStr">
        <is>
          <t>Config-promoted esports baseline; gates enforced at log time.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research_observation</t>
        </is>
      </c>
      <c r="AL49" s="26" t="n">
        <v>3</v>
      </c>
      <c r="AM49" s="24" t="inlineStr">
        <is>
          <t>RESEARCH_OBSERVATION</t>
        </is>
      </c>
      <c r="AN49" s="24" t="inlineStr">
        <is>
          <t>NO_CALL</t>
        </is>
      </c>
      <c r="AO49" s="24" t="inlineStr">
        <is>
          <t>NO_CALL_LOW_EDGE</t>
        </is>
      </c>
      <c r="AP49" s="24" t="inlineStr">
        <is>
          <t>Benched gods</t>
        </is>
      </c>
      <c r="AQ49" s="24" t="inlineStr">
        <is>
          <t>Benched gods</t>
        </is>
      </c>
      <c r="AR49" s="24" t="inlineStr">
        <is>
          <t>Benched gods</t>
        </is>
      </c>
      <c r="AS49" s="24" t="inlineStr">
        <is>
          <t>CYBERSHOKE Prospects</t>
        </is>
      </c>
      <c r="AT49" s="24" t="inlineStr">
        <is>
          <t>CYBERSHOKE Prospects</t>
        </is>
      </c>
      <c r="AU49" s="24" t="inlineStr">
        <is>
          <t>CYBERSHOKE Prospects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48424b79d75fc1173c9c465d95feb6fc041a2ccfbc64455058b3f74905ce28d5</t>
        </is>
      </c>
      <c r="BB49" s="24" t="inlineStr">
        <is>
          <t>neutral_elo</t>
        </is>
      </c>
      <c r="BC49" s="24" t="inlineStr">
        <is>
          <t>cs2-tiered-elo-v3</t>
        </is>
      </c>
      <c r="BD49" s="24" t="inlineStr">
        <is>
          <t>48424b79d75fc1173c9c465d95feb6fc041a2ccfbc64455058b3f74905ce28d5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cs2-tiered-elo-v3</t>
        </is>
      </c>
      <c r="BH49" s="24" t="inlineStr">
        <is>
          <t>2026-07-23T07:20:13.459542Z</t>
        </is>
      </c>
      <c r="BI49" s="24" t="inlineStr">
        <is>
          <t>["same_event","same_team_same_day","same_league_same_day"]</t>
        </is>
      </c>
      <c r="BJ49" s="25" t="n"/>
      <c r="BK49" s="26" t="n">
        <v>-144</v>
      </c>
      <c r="BL49" s="27" t="n">
        <v>1.694444</v>
      </c>
      <c r="BM49" s="28" t="n">
        <v>0.590164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</row>
    <row r="50" ht="36" customHeight="1">
      <c r="A50" s="24" t="inlineStr">
        <is>
          <t>4044211ad4a44f0f</t>
        </is>
      </c>
      <c r="B50" s="24" t="inlineStr">
        <is>
          <t>2026-07-23T07:20:44.252809Z</t>
        </is>
      </c>
      <c r="C50" s="24" t="inlineStr">
        <is>
          <t>2026-07-23T17:00:00Z</t>
        </is>
      </c>
      <c r="D50" s="24" t="inlineStr">
        <is>
          <t>59039</t>
        </is>
      </c>
      <c r="E50" s="24" t="inlineStr">
        <is>
          <t>CS2</t>
        </is>
      </c>
      <c r="F50" s="24" t="inlineStr">
        <is>
          <t>Just Players</t>
        </is>
      </c>
      <c r="G50" s="24" t="inlineStr">
        <is>
          <t>Butterfly</t>
        </is>
      </c>
      <c r="H50" s="24" t="inlineStr">
        <is>
          <t>moneyline</t>
        </is>
      </c>
      <c r="I50" s="24" t="inlineStr">
        <is>
          <t>away</t>
        </is>
      </c>
      <c r="J50" s="25" t="n"/>
      <c r="K50" s="24" t="inlineStr">
        <is>
          <t>polymarket_us</t>
        </is>
      </c>
      <c r="L50" s="26" t="n">
        <v>-144</v>
      </c>
      <c r="M50" s="27" t="n">
        <v>1.694444</v>
      </c>
      <c r="N50" s="28" t="n">
        <v>0.590164</v>
      </c>
      <c r="O50" s="28" t="n">
        <v>0.685765</v>
      </c>
      <c r="P50" s="28" t="n">
        <v>0.05</v>
      </c>
      <c r="Q50" s="28" t="n">
        <v>0.09560100000000001</v>
      </c>
      <c r="R50" s="26" t="n">
        <v>68</v>
      </c>
      <c r="S50" s="29" t="n">
        <v>1.5</v>
      </c>
      <c r="T50" s="24" t="inlineStr">
        <is>
          <t>cs2-tiered-elo-v3</t>
        </is>
      </c>
      <c r="U50" s="24" t="inlineStr">
        <is>
          <t>open</t>
        </is>
      </c>
      <c r="V50" s="24" t="n"/>
      <c r="W50" s="26" t="n"/>
      <c r="X50" s="26" t="n"/>
      <c r="Y50" s="25" t="n"/>
      <c r="Z50" s="26" t="n"/>
      <c r="AA50" s="28" t="n"/>
      <c r="AB50" s="28" t="n"/>
      <c r="AC50" s="30" t="n"/>
      <c r="AD50" s="24" t="n"/>
      <c r="AE50" s="31" t="inlineStr">
        <is>
          <t>Neutral Elo baseline; executable ask 0.5900 (market_slug=aec-cs2-btf-jpu-2026-07-23).</t>
        </is>
      </c>
      <c r="AF50" s="31" t="inlineStr">
        <is>
          <t>Config-promoted esports baseline; gates enforced at log time.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3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Just Players</t>
        </is>
      </c>
      <c r="AQ50" s="24" t="inlineStr">
        <is>
          <t>Just Players</t>
        </is>
      </c>
      <c r="AR50" s="24" t="inlineStr">
        <is>
          <t>Just Players</t>
        </is>
      </c>
      <c r="AS50" s="24" t="inlineStr">
        <is>
          <t>Butterfly</t>
        </is>
      </c>
      <c r="AT50" s="24" t="inlineStr">
        <is>
          <t>Butterfly</t>
        </is>
      </c>
      <c r="AU50" s="24" t="inlineStr">
        <is>
          <t>Butterfly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48424b79d75fc1173c9c465d95feb6fc041a2ccfbc64455058b3f74905ce28d5</t>
        </is>
      </c>
      <c r="BB50" s="24" t="inlineStr">
        <is>
          <t>neutral_elo</t>
        </is>
      </c>
      <c r="BC50" s="24" t="inlineStr">
        <is>
          <t>cs2-tiered-elo-v3</t>
        </is>
      </c>
      <c r="BD50" s="24" t="inlineStr">
        <is>
          <t>48424b79d75fc1173c9c465d95feb6fc041a2ccfbc64455058b3f74905ce28d5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cs2-tiered-elo-v3</t>
        </is>
      </c>
      <c r="BH50" s="24" t="inlineStr">
        <is>
          <t>2026-07-23T07:20:15.985178Z</t>
        </is>
      </c>
      <c r="BI50" s="24" t="inlineStr">
        <is>
          <t>["same_event","same_team_same_day","same_league_same_day"]</t>
        </is>
      </c>
      <c r="BJ50" s="25" t="n"/>
      <c r="BK50" s="26" t="n">
        <v>-144</v>
      </c>
      <c r="BL50" s="27" t="n">
        <v>1.694444</v>
      </c>
      <c r="BM50" s="28" t="n">
        <v>0.590164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</row>
    <row r="51" ht="36" customHeight="1">
      <c r="A51" s="24" t="inlineStr">
        <is>
          <t>a55b6e466af74ef3</t>
        </is>
      </c>
      <c r="B51" s="24" t="inlineStr">
        <is>
          <t>2026-07-23T07:20:44.252809Z</t>
        </is>
      </c>
      <c r="C51" s="24" t="inlineStr">
        <is>
          <t>2026-07-23T22:00:00Z</t>
        </is>
      </c>
      <c r="D51" s="24" t="inlineStr">
        <is>
          <t>59964</t>
        </is>
      </c>
      <c r="E51" s="24" t="inlineStr">
        <is>
          <t>CS2</t>
        </is>
      </c>
      <c r="F51" s="24" t="inlineStr">
        <is>
          <t>Patins da Ferrari</t>
        </is>
      </c>
      <c r="G51" s="24" t="inlineStr">
        <is>
          <t>Isurus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133</v>
      </c>
      <c r="M51" s="27" t="n">
        <v>2.33</v>
      </c>
      <c r="N51" s="28" t="n">
        <v>0.429185</v>
      </c>
      <c r="O51" s="28" t="n">
        <v>0.502768</v>
      </c>
      <c r="P51" s="28" t="n">
        <v>0.05</v>
      </c>
      <c r="Q51" s="28" t="n">
        <v>0.073583</v>
      </c>
      <c r="R51" s="26" t="n">
        <v>57</v>
      </c>
      <c r="S51" s="29" t="n">
        <v>0.5</v>
      </c>
      <c r="T51" s="24" t="inlineStr">
        <is>
          <t>cs2-tiered-elo-v3</t>
        </is>
      </c>
      <c r="U51" s="24" t="inlineStr">
        <is>
          <t>open</t>
        </is>
      </c>
      <c r="V51" s="24" t="n"/>
      <c r="W51" s="26" t="n"/>
      <c r="X51" s="26" t="n"/>
      <c r="Y51" s="25" t="n"/>
      <c r="Z51" s="26" t="n"/>
      <c r="AA51" s="28" t="n"/>
      <c r="AB51" s="28" t="n"/>
      <c r="AC51" s="30" t="n"/>
      <c r="AD51" s="24" t="n"/>
      <c r="AE51" s="31" t="inlineStr">
        <is>
          <t>Neutral Elo baseline; executable ask 0.4300 (market_slug=aec-cs2-isg-pdaf-2026-07-23).</t>
        </is>
      </c>
      <c r="AF51" s="31" t="inlineStr">
        <is>
          <t>Config-promoted esports baseline; gates enforced at log time.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research_observation</t>
        </is>
      </c>
      <c r="AL51" s="26" t="n">
        <v>3</v>
      </c>
      <c r="AM51" s="24" t="inlineStr">
        <is>
          <t>RESEARCH_OBSERVATION</t>
        </is>
      </c>
      <c r="AN51" s="24" t="inlineStr">
        <is>
          <t>NO_CALL</t>
        </is>
      </c>
      <c r="AO51" s="24" t="inlineStr">
        <is>
          <t>NO_CALL_EXPOSURE_LIMIT</t>
        </is>
      </c>
      <c r="AP51" s="24" t="inlineStr">
        <is>
          <t>Patins da Ferrari</t>
        </is>
      </c>
      <c r="AQ51" s="24" t="inlineStr">
        <is>
          <t>Patins da Ferrari</t>
        </is>
      </c>
      <c r="AR51" s="24" t="inlineStr">
        <is>
          <t>Patins da Ferrari</t>
        </is>
      </c>
      <c r="AS51" s="24" t="inlineStr">
        <is>
          <t>Isurus</t>
        </is>
      </c>
      <c r="AT51" s="24" t="inlineStr">
        <is>
          <t>Isurus</t>
        </is>
      </c>
      <c r="AU51" s="24" t="inlineStr">
        <is>
          <t>Isurus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48424b79d75fc1173c9c465d95feb6fc041a2ccfbc64455058b3f74905ce28d5</t>
        </is>
      </c>
      <c r="BB51" s="24" t="inlineStr">
        <is>
          <t>neutral_elo</t>
        </is>
      </c>
      <c r="BC51" s="24" t="inlineStr">
        <is>
          <t>cs2-tiered-elo-v3</t>
        </is>
      </c>
      <c r="BD51" s="24" t="inlineStr">
        <is>
          <t>48424b79d75fc1173c9c465d95feb6fc041a2ccfbc64455058b3f74905ce28d5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cs2-tiered-elo-v3</t>
        </is>
      </c>
      <c r="BH51" s="24" t="inlineStr">
        <is>
          <t>2026-07-23T07:20:26.998884Z</t>
        </is>
      </c>
      <c r="BI51" s="24" t="inlineStr">
        <is>
          <t>["same_event","same_team_same_day","same_league_same_day"]</t>
        </is>
      </c>
      <c r="BJ51" s="25" t="n"/>
      <c r="BK51" s="26" t="n">
        <v>133</v>
      </c>
      <c r="BL51" s="27" t="n">
        <v>2.33</v>
      </c>
      <c r="BM51" s="28" t="n">
        <v>0.429185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</row>
    <row r="52" ht="36" customHeight="1">
      <c r="A52" s="24" t="inlineStr">
        <is>
          <t>d4b5fb122195468c</t>
        </is>
      </c>
      <c r="B52" s="24" t="inlineStr">
        <is>
          <t>2026-07-23T07:20:44.252809Z</t>
        </is>
      </c>
      <c r="C52" s="24" t="inlineStr">
        <is>
          <t>2026-07-24T08:00:00Z</t>
        </is>
      </c>
      <c r="D52" s="24" t="inlineStr">
        <is>
          <t>59681</t>
        </is>
      </c>
      <c r="E52" s="24" t="inlineStr">
        <is>
          <t>CS2</t>
        </is>
      </c>
      <c r="F52" s="24" t="inlineStr">
        <is>
          <t>ex-RUSTEC</t>
        </is>
      </c>
      <c r="G52" s="24" t="inlineStr">
        <is>
          <t>INOX Division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-178</v>
      </c>
      <c r="M52" s="27" t="n">
        <v>1.561798</v>
      </c>
      <c r="N52" s="28" t="n">
        <v>0.640288</v>
      </c>
      <c r="O52" s="28" t="n">
        <v>0.677314</v>
      </c>
      <c r="P52" s="28" t="n">
        <v>0.05</v>
      </c>
      <c r="Q52" s="28" t="n">
        <v>0.037026</v>
      </c>
      <c r="R52" s="26" t="n">
        <v>39</v>
      </c>
      <c r="S52" s="29" t="n">
        <v>2</v>
      </c>
      <c r="T52" s="24" t="inlineStr">
        <is>
          <t>cs2-tiered-elo-v3</t>
        </is>
      </c>
      <c r="U52" s="24" t="inlineStr">
        <is>
          <t>open</t>
        </is>
      </c>
      <c r="V52" s="24" t="n"/>
      <c r="W52" s="26" t="n"/>
      <c r="X52" s="26" t="n"/>
      <c r="Y52" s="25" t="n"/>
      <c r="Z52" s="26" t="n"/>
      <c r="AA52" s="28" t="n"/>
      <c r="AB52" s="28" t="n"/>
      <c r="AC52" s="30" t="n"/>
      <c r="AD52" s="24" t="n"/>
      <c r="AE52" s="31" t="inlineStr">
        <is>
          <t>Neutral Elo baseline; executable ask 0.6400 (market_slug=aec-cs2-inox-erx-2026-07-24).</t>
        </is>
      </c>
      <c r="AF52" s="31" t="inlineStr">
        <is>
          <t>Config-promoted esports baseline; gates enforced at log time.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research_observation</t>
        </is>
      </c>
      <c r="AL52" s="26" t="n">
        <v>3</v>
      </c>
      <c r="AM52" s="24" t="inlineStr">
        <is>
          <t>RESEARCH_OBSERVATION</t>
        </is>
      </c>
      <c r="AN52" s="24" t="inlineStr">
        <is>
          <t>NO_CALL</t>
        </is>
      </c>
      <c r="AO52" s="24" t="inlineStr">
        <is>
          <t>NO_CALL_LOW_EDGE</t>
        </is>
      </c>
      <c r="AP52" s="24" t="inlineStr">
        <is>
          <t>ex-RUSTEC</t>
        </is>
      </c>
      <c r="AQ52" s="24" t="inlineStr">
        <is>
          <t>ex-RUSTEC</t>
        </is>
      </c>
      <c r="AR52" s="24" t="inlineStr">
        <is>
          <t>ex-RUSTEC</t>
        </is>
      </c>
      <c r="AS52" s="24" t="inlineStr">
        <is>
          <t>INOX Division</t>
        </is>
      </c>
      <c r="AT52" s="24" t="inlineStr">
        <is>
          <t>INOX Division</t>
        </is>
      </c>
      <c r="AU52" s="24" t="inlineStr">
        <is>
          <t>INOX Division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48424b79d75fc1173c9c465d95feb6fc041a2ccfbc64455058b3f74905ce28d5</t>
        </is>
      </c>
      <c r="BB52" s="24" t="inlineStr">
        <is>
          <t>neutral_elo</t>
        </is>
      </c>
      <c r="BC52" s="24" t="inlineStr">
        <is>
          <t>cs2-tiered-elo-v3</t>
        </is>
      </c>
      <c r="BD52" s="24" t="inlineStr">
        <is>
          <t>48424b79d75fc1173c9c465d95feb6fc041a2ccfbc64455058b3f74905ce28d5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cs2-tiered-elo-v3</t>
        </is>
      </c>
      <c r="BH52" s="24" t="inlineStr">
        <is>
          <t>2026-07-23T07:20:27.867010Z</t>
        </is>
      </c>
      <c r="BI52" s="24" t="inlineStr">
        <is>
          <t>["same_event","same_team_same_day","same_league_same_day"]</t>
        </is>
      </c>
      <c r="BJ52" s="25" t="n"/>
      <c r="BK52" s="26" t="n">
        <v>-178</v>
      </c>
      <c r="BL52" s="27" t="n">
        <v>1.561798</v>
      </c>
      <c r="BM52" s="28" t="n">
        <v>0.640288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</row>
    <row r="53" ht="36" customHeight="1">
      <c r="A53" s="24" t="inlineStr">
        <is>
          <t>63741d63a6744f52</t>
        </is>
      </c>
      <c r="B53" s="24" t="inlineStr">
        <is>
          <t>2026-07-23T07:20:44.252809Z</t>
        </is>
      </c>
      <c r="C53" s="24" t="inlineStr">
        <is>
          <t>2026-07-24T08:00:00Z</t>
        </is>
      </c>
      <c r="D53" s="24" t="inlineStr">
        <is>
          <t>59323</t>
        </is>
      </c>
      <c r="E53" s="24" t="inlineStr">
        <is>
          <t>CS2</t>
        </is>
      </c>
      <c r="F53" s="24" t="inlineStr">
        <is>
          <t>Eternal Fire</t>
        </is>
      </c>
      <c r="G53" s="24" t="inlineStr">
        <is>
          <t>1WIN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117</v>
      </c>
      <c r="M53" s="27" t="n">
        <v>2.17</v>
      </c>
      <c r="N53" s="28" t="n">
        <v>0.460829</v>
      </c>
      <c r="O53" s="28" t="n">
        <v>0.5965279999999999</v>
      </c>
      <c r="P53" s="28" t="n">
        <v>0.05</v>
      </c>
      <c r="Q53" s="28" t="n">
        <v>0.135699</v>
      </c>
      <c r="R53" s="26" t="n">
        <v>100</v>
      </c>
      <c r="S53" s="29" t="n">
        <v>1.5</v>
      </c>
      <c r="T53" s="24" t="inlineStr">
        <is>
          <t>cs2-tiered-elo-v3</t>
        </is>
      </c>
      <c r="U53" s="24" t="inlineStr">
        <is>
          <t>open</t>
        </is>
      </c>
      <c r="V53" s="24" t="n"/>
      <c r="W53" s="26" t="n"/>
      <c r="X53" s="26" t="n"/>
      <c r="Y53" s="25" t="n"/>
      <c r="Z53" s="26" t="n"/>
      <c r="AA53" s="28" t="n"/>
      <c r="AB53" s="28" t="n"/>
      <c r="AC53" s="30" t="n"/>
      <c r="AD53" s="24" t="n"/>
      <c r="AE53" s="31" t="inlineStr">
        <is>
          <t>Neutral Elo baseline; executable ask 0.4600 (market_slug=aec-cs2-1win-ef-2026-07-24).</t>
        </is>
      </c>
      <c r="AF53" s="31" t="inlineStr">
        <is>
          <t>Config-promoted esports baseline; gates enforced at log time.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research_observation</t>
        </is>
      </c>
      <c r="AL53" s="26" t="n">
        <v>3</v>
      </c>
      <c r="AM53" s="24" t="inlineStr">
        <is>
          <t>RESEARCH_OBSERVATION</t>
        </is>
      </c>
      <c r="AN53" s="24" t="inlineStr">
        <is>
          <t>NO_CALL</t>
        </is>
      </c>
      <c r="AO53" s="24" t="inlineStr">
        <is>
          <t>NO_CALL_LARGE_DISAGREEMENT_REVIEW</t>
        </is>
      </c>
      <c r="AP53" s="24" t="inlineStr">
        <is>
          <t>Eternal Fire</t>
        </is>
      </c>
      <c r="AQ53" s="24" t="inlineStr">
        <is>
          <t>Eternal Fire</t>
        </is>
      </c>
      <c r="AR53" s="24" t="inlineStr">
        <is>
          <t>Eternal Fire</t>
        </is>
      </c>
      <c r="AS53" s="24" t="inlineStr">
        <is>
          <t>1WIN</t>
        </is>
      </c>
      <c r="AT53" s="24" t="inlineStr">
        <is>
          <t>1WIN</t>
        </is>
      </c>
      <c r="AU53" s="24" t="inlineStr">
        <is>
          <t>1WIN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48424b79d75fc1173c9c465d95feb6fc041a2ccfbc64455058b3f74905ce28d5</t>
        </is>
      </c>
      <c r="BB53" s="24" t="inlineStr">
        <is>
          <t>neutral_elo</t>
        </is>
      </c>
      <c r="BC53" s="24" t="inlineStr">
        <is>
          <t>cs2-tiered-elo-v3</t>
        </is>
      </c>
      <c r="BD53" s="24" t="inlineStr">
        <is>
          <t>48424b79d75fc1173c9c465d95feb6fc041a2ccfbc64455058b3f74905ce28d5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cs2-tiered-elo-v3</t>
        </is>
      </c>
      <c r="BH53" s="24" t="inlineStr">
        <is>
          <t>2026-07-23T07:20:28.828828Z</t>
        </is>
      </c>
      <c r="BI53" s="24" t="inlineStr">
        <is>
          <t>["same_event","same_team_same_day","same_league_same_day"]</t>
        </is>
      </c>
      <c r="BJ53" s="25" t="n"/>
      <c r="BK53" s="26" t="n">
        <v>117</v>
      </c>
      <c r="BL53" s="27" t="n">
        <v>2.17</v>
      </c>
      <c r="BM53" s="28" t="n">
        <v>0.460829</v>
      </c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</row>
    <row r="54" ht="36" customHeight="1">
      <c r="A54" s="24" t="inlineStr">
        <is>
          <t>adcd4bd2a83e43ab</t>
        </is>
      </c>
      <c r="B54" s="24" t="inlineStr">
        <is>
          <t>2026-07-23T07:20:44.252809Z</t>
        </is>
      </c>
      <c r="C54" s="24" t="inlineStr">
        <is>
          <t>2026-07-24T10:00:00Z</t>
        </is>
      </c>
      <c r="D54" s="24" t="inlineStr">
        <is>
          <t>58248</t>
        </is>
      </c>
      <c r="E54" s="24" t="inlineStr">
        <is>
          <t>CS2</t>
        </is>
      </c>
      <c r="F54" s="24" t="inlineStr">
        <is>
          <t>3DMAX</t>
        </is>
      </c>
      <c r="G54" s="24" t="inlineStr">
        <is>
          <t>magic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-138</v>
      </c>
      <c r="M54" s="27" t="n">
        <v>1.724638</v>
      </c>
      <c r="N54" s="28" t="n">
        <v>0.579832</v>
      </c>
      <c r="O54" s="28" t="n">
        <v>0.624985</v>
      </c>
      <c r="P54" s="28" t="n">
        <v>0.05</v>
      </c>
      <c r="Q54" s="28" t="n">
        <v>0.045153</v>
      </c>
      <c r="R54" s="26" t="n">
        <v>43</v>
      </c>
      <c r="S54" s="29" t="n">
        <v>1.75</v>
      </c>
      <c r="T54" s="24" t="inlineStr">
        <is>
          <t>cs2-tiered-elo-v3</t>
        </is>
      </c>
      <c r="U54" s="24" t="inlineStr">
        <is>
          <t>open</t>
        </is>
      </c>
      <c r="V54" s="24" t="n"/>
      <c r="W54" s="26" t="n"/>
      <c r="X54" s="26" t="n"/>
      <c r="Y54" s="25" t="n"/>
      <c r="Z54" s="26" t="n"/>
      <c r="AA54" s="28" t="n"/>
      <c r="AB54" s="28" t="n"/>
      <c r="AC54" s="30" t="n"/>
      <c r="AD54" s="24" t="n"/>
      <c r="AE54" s="31" t="inlineStr">
        <is>
          <t>Neutral Elo baseline; executable ask 0.5800 (market_slug=aec-cs2-mgc-3dmax-2026-07-24).</t>
        </is>
      </c>
      <c r="AF54" s="31" t="inlineStr">
        <is>
          <t>Config-promoted esports baseline; gates enforced at log time.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research_observation</t>
        </is>
      </c>
      <c r="AL54" s="26" t="n">
        <v>3</v>
      </c>
      <c r="AM54" s="24" t="inlineStr">
        <is>
          <t>RESEARCH_OBSERVATION</t>
        </is>
      </c>
      <c r="AN54" s="24" t="inlineStr">
        <is>
          <t>NO_CALL</t>
        </is>
      </c>
      <c r="AO54" s="24" t="inlineStr">
        <is>
          <t>NO_CALL_LOW_EDGE</t>
        </is>
      </c>
      <c r="AP54" s="24" t="inlineStr">
        <is>
          <t>3DMAX</t>
        </is>
      </c>
      <c r="AQ54" s="24" t="inlineStr">
        <is>
          <t>3DMAX</t>
        </is>
      </c>
      <c r="AR54" s="24" t="inlineStr">
        <is>
          <t>3DMAX</t>
        </is>
      </c>
      <c r="AS54" s="24" t="inlineStr">
        <is>
          <t>magic</t>
        </is>
      </c>
      <c r="AT54" s="24" t="inlineStr">
        <is>
          <t>magic</t>
        </is>
      </c>
      <c r="AU54" s="24" t="inlineStr">
        <is>
          <t>magic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48424b79d75fc1173c9c465d95feb6fc041a2ccfbc64455058b3f74905ce28d5</t>
        </is>
      </c>
      <c r="BB54" s="24" t="inlineStr">
        <is>
          <t>neutral_elo</t>
        </is>
      </c>
      <c r="BC54" s="24" t="inlineStr">
        <is>
          <t>cs2-tiered-elo-v3</t>
        </is>
      </c>
      <c r="BD54" s="24" t="inlineStr">
        <is>
          <t>48424b79d75fc1173c9c465d95feb6fc041a2ccfbc64455058b3f74905ce28d5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cs2-tiered-elo-v3</t>
        </is>
      </c>
      <c r="BH54" s="24" t="inlineStr">
        <is>
          <t>2026-07-23T07:20:31.167816Z</t>
        </is>
      </c>
      <c r="BI54" s="24" t="inlineStr">
        <is>
          <t>["same_event","same_team_same_day","same_league_same_day"]</t>
        </is>
      </c>
      <c r="BJ54" s="25" t="n"/>
      <c r="BK54" s="26" t="n">
        <v>-138</v>
      </c>
      <c r="BL54" s="27" t="n">
        <v>1.724638</v>
      </c>
      <c r="BM54" s="28" t="n">
        <v>0.579832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</row>
    <row r="55" ht="36" customHeight="1">
      <c r="A55" s="24" t="inlineStr">
        <is>
          <t>8d55c6bb844b4c40</t>
        </is>
      </c>
      <c r="B55" s="24" t="inlineStr">
        <is>
          <t>2026-07-23T07:20:44.252809Z</t>
        </is>
      </c>
      <c r="C55" s="24" t="inlineStr">
        <is>
          <t>2026-07-24T11:00:00Z</t>
        </is>
      </c>
      <c r="D55" s="24" t="inlineStr">
        <is>
          <t>59041</t>
        </is>
      </c>
      <c r="E55" s="24" t="inlineStr">
        <is>
          <t>CS2</t>
        </is>
      </c>
      <c r="F55" s="24" t="inlineStr">
        <is>
          <t>G2 Ares</t>
        </is>
      </c>
      <c r="G55" s="24" t="inlineStr">
        <is>
          <t>Phantom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-223</v>
      </c>
      <c r="M55" s="27" t="n">
        <v>1.44843</v>
      </c>
      <c r="N55" s="28" t="n">
        <v>0.690402</v>
      </c>
      <c r="O55" s="28" t="n">
        <v>0.682484</v>
      </c>
      <c r="P55" s="28" t="n">
        <v>0.05</v>
      </c>
      <c r="Q55" s="28" t="n">
        <v>-0.007918</v>
      </c>
      <c r="R55" s="26" t="n">
        <v>16</v>
      </c>
      <c r="S55" s="29" t="n">
        <v>2</v>
      </c>
      <c r="T55" s="24" t="inlineStr">
        <is>
          <t>cs2-tiered-elo-v3</t>
        </is>
      </c>
      <c r="U55" s="24" t="inlineStr">
        <is>
          <t>open</t>
        </is>
      </c>
      <c r="V55" s="24" t="n"/>
      <c r="W55" s="26" t="n"/>
      <c r="X55" s="26" t="n"/>
      <c r="Y55" s="25" t="n"/>
      <c r="Z55" s="26" t="n"/>
      <c r="AA55" s="28" t="n"/>
      <c r="AB55" s="28" t="n"/>
      <c r="AC55" s="30" t="n"/>
      <c r="AD55" s="24" t="n"/>
      <c r="AE55" s="31" t="inlineStr">
        <is>
          <t>Neutral Elo baseline; executable ask 0.6900 (market_slug=aec-cs2-pha-g2a-2026-07-24).</t>
        </is>
      </c>
      <c r="AF55" s="31" t="inlineStr">
        <is>
          <t>Config-promoted esports baseline; gates enforced at log time.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research_observation</t>
        </is>
      </c>
      <c r="AL55" s="26" t="n">
        <v>3</v>
      </c>
      <c r="AM55" s="24" t="inlineStr">
        <is>
          <t>RESEARCH_OBSERVATION</t>
        </is>
      </c>
      <c r="AN55" s="24" t="inlineStr">
        <is>
          <t>NO_CALL</t>
        </is>
      </c>
      <c r="AO55" s="24" t="inlineStr">
        <is>
          <t>NO_CALL_LOW_EDGE</t>
        </is>
      </c>
      <c r="AP55" s="24" t="inlineStr">
        <is>
          <t>G2 Ares</t>
        </is>
      </c>
      <c r="AQ55" s="24" t="inlineStr">
        <is>
          <t>G2 Ares</t>
        </is>
      </c>
      <c r="AR55" s="24" t="inlineStr">
        <is>
          <t>G2 Ares</t>
        </is>
      </c>
      <c r="AS55" s="24" t="inlineStr">
        <is>
          <t>Phantom</t>
        </is>
      </c>
      <c r="AT55" s="24" t="inlineStr">
        <is>
          <t>Phantom</t>
        </is>
      </c>
      <c r="AU55" s="24" t="inlineStr">
        <is>
          <t>Phantom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48424b79d75fc1173c9c465d95feb6fc041a2ccfbc64455058b3f74905ce28d5</t>
        </is>
      </c>
      <c r="BB55" s="24" t="inlineStr">
        <is>
          <t>neutral_elo</t>
        </is>
      </c>
      <c r="BC55" s="24" t="inlineStr">
        <is>
          <t>cs2-tiered-elo-v3</t>
        </is>
      </c>
      <c r="BD55" s="24" t="inlineStr">
        <is>
          <t>48424b79d75fc1173c9c465d95feb6fc041a2ccfbc64455058b3f74905ce28d5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cs2-tiered-elo-v3</t>
        </is>
      </c>
      <c r="BH55" s="24" t="inlineStr">
        <is>
          <t>2026-07-23T07:20:32.036205Z</t>
        </is>
      </c>
      <c r="BI55" s="24" t="inlineStr">
        <is>
          <t>["same_event","same_team_same_day","same_league_same_day"]</t>
        </is>
      </c>
      <c r="BJ55" s="25" t="n"/>
      <c r="BK55" s="26" t="n">
        <v>-223</v>
      </c>
      <c r="BL55" s="27" t="n">
        <v>1.44843</v>
      </c>
      <c r="BM55" s="28" t="n">
        <v>0.690402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</row>
    <row r="56" ht="36" customHeight="1">
      <c r="A56" s="24" t="inlineStr">
        <is>
          <t>ad66e5d4a4d84176</t>
        </is>
      </c>
      <c r="B56" s="24" t="inlineStr">
        <is>
          <t>2026-07-23T07:20:44.252809Z</t>
        </is>
      </c>
      <c r="C56" s="24" t="inlineStr">
        <is>
          <t>2026-07-24T11:00:00Z</t>
        </is>
      </c>
      <c r="D56" s="24" t="inlineStr">
        <is>
          <t>59687</t>
        </is>
      </c>
      <c r="E56" s="24" t="inlineStr">
        <is>
          <t>CS2</t>
        </is>
      </c>
      <c r="F56" s="24" t="inlineStr">
        <is>
          <t>Atreides</t>
        </is>
      </c>
      <c r="G56" s="24" t="inlineStr">
        <is>
          <t>SPARTA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-138</v>
      </c>
      <c r="M56" s="27" t="n">
        <v>1.724638</v>
      </c>
      <c r="N56" s="28" t="n">
        <v>0.579832</v>
      </c>
      <c r="O56" s="28" t="n">
        <v>0.5045230000000001</v>
      </c>
      <c r="P56" s="28" t="n">
        <v>0.05</v>
      </c>
      <c r="Q56" s="28" t="n">
        <v>-0.075309</v>
      </c>
      <c r="R56" s="26" t="n">
        <v>0</v>
      </c>
      <c r="S56" s="29" t="n">
        <v>0.5</v>
      </c>
      <c r="T56" s="24" t="inlineStr">
        <is>
          <t>cs2-tiered-elo-v3</t>
        </is>
      </c>
      <c r="U56" s="24" t="inlineStr">
        <is>
          <t>open</t>
        </is>
      </c>
      <c r="V56" s="24" t="n"/>
      <c r="W56" s="26" t="n"/>
      <c r="X56" s="26" t="n"/>
      <c r="Y56" s="25" t="n"/>
      <c r="Z56" s="26" t="n"/>
      <c r="AA56" s="28" t="n"/>
      <c r="AB56" s="28" t="n"/>
      <c r="AC56" s="30" t="n"/>
      <c r="AD56" s="24" t="n"/>
      <c r="AE56" s="31" t="inlineStr">
        <is>
          <t>Neutral Elo baseline; executable ask 0.5800 (market_slug=aec-cs2-sparta-atr-2026-07-24).</t>
        </is>
      </c>
      <c r="AF56" s="31" t="inlineStr">
        <is>
          <t>Config-promoted esports baseline; gates enforced at log time.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research_observation</t>
        </is>
      </c>
      <c r="AL56" s="26" t="n">
        <v>3</v>
      </c>
      <c r="AM56" s="24" t="inlineStr">
        <is>
          <t>RESEARCH_OBSERVATION</t>
        </is>
      </c>
      <c r="AN56" s="24" t="inlineStr">
        <is>
          <t>NO_CALL</t>
        </is>
      </c>
      <c r="AO56" s="24" t="inlineStr">
        <is>
          <t>NO_CALL_LOW_EDGE</t>
        </is>
      </c>
      <c r="AP56" s="24" t="inlineStr">
        <is>
          <t>Atreides</t>
        </is>
      </c>
      <c r="AQ56" s="24" t="inlineStr">
        <is>
          <t>Atreides</t>
        </is>
      </c>
      <c r="AR56" s="24" t="inlineStr">
        <is>
          <t>Atreides</t>
        </is>
      </c>
      <c r="AS56" s="24" t="inlineStr">
        <is>
          <t>SPARTA</t>
        </is>
      </c>
      <c r="AT56" s="24" t="inlineStr">
        <is>
          <t>SPARTA</t>
        </is>
      </c>
      <c r="AU56" s="24" t="inlineStr">
        <is>
          <t>SPARTA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48424b79d75fc1173c9c465d95feb6fc041a2ccfbc64455058b3f74905ce28d5</t>
        </is>
      </c>
      <c r="BB56" s="24" t="inlineStr">
        <is>
          <t>neutral_elo</t>
        </is>
      </c>
      <c r="BC56" s="24" t="inlineStr">
        <is>
          <t>cs2-tiered-elo-v3</t>
        </is>
      </c>
      <c r="BD56" s="24" t="inlineStr">
        <is>
          <t>48424b79d75fc1173c9c465d95feb6fc041a2ccfbc64455058b3f74905ce28d5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cs2-tiered-elo-v3</t>
        </is>
      </c>
      <c r="BH56" s="24" t="inlineStr">
        <is>
          <t>2026-07-23T07:20:32.900033Z</t>
        </is>
      </c>
      <c r="BI56" s="24" t="inlineStr">
        <is>
          <t>["same_event","same_team_same_day","same_league_same_day"]</t>
        </is>
      </c>
      <c r="BJ56" s="25" t="n"/>
      <c r="BK56" s="26" t="n">
        <v>-138</v>
      </c>
      <c r="BL56" s="27" t="n">
        <v>1.724638</v>
      </c>
      <c r="BM56" s="28" t="n">
        <v>0.579832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</row>
    <row r="57" ht="36" customHeight="1">
      <c r="A57" s="24" t="inlineStr">
        <is>
          <t>b4f1cdd6e52f4510</t>
        </is>
      </c>
      <c r="B57" s="24" t="inlineStr">
        <is>
          <t>2026-07-23T07:20:44.252809Z</t>
        </is>
      </c>
      <c r="C57" s="24" t="inlineStr">
        <is>
          <t>2026-07-24T12:30:00Z</t>
        </is>
      </c>
      <c r="D57" s="24" t="inlineStr">
        <is>
          <t>58309</t>
        </is>
      </c>
      <c r="E57" s="24" t="inlineStr">
        <is>
          <t>CS2</t>
        </is>
      </c>
      <c r="F57" s="24" t="inlineStr">
        <is>
          <t>TheMongolz</t>
        </is>
      </c>
      <c r="G57" s="24" t="inlineStr">
        <is>
          <t>Heroic</t>
        </is>
      </c>
      <c r="H57" s="24" t="inlineStr">
        <is>
          <t>moneyline</t>
        </is>
      </c>
      <c r="I57" s="24" t="inlineStr">
        <is>
          <t>away</t>
        </is>
      </c>
      <c r="J57" s="25" t="n"/>
      <c r="K57" s="24" t="inlineStr">
        <is>
          <t>polymarket_us</t>
        </is>
      </c>
      <c r="L57" s="26" t="n">
        <v>144</v>
      </c>
      <c r="M57" s="27" t="n">
        <v>2.44</v>
      </c>
      <c r="N57" s="28" t="n">
        <v>0.409836</v>
      </c>
      <c r="O57" s="28" t="n">
        <v>0.633024</v>
      </c>
      <c r="P57" s="28" t="n">
        <v>0.05</v>
      </c>
      <c r="Q57" s="28" t="n">
        <v>0.223188</v>
      </c>
      <c r="R57" s="26" t="n">
        <v>100</v>
      </c>
      <c r="S57" s="29" t="n">
        <v>1.75</v>
      </c>
      <c r="T57" s="24" t="inlineStr">
        <is>
          <t>cs2-tiered-elo-v3</t>
        </is>
      </c>
      <c r="U57" s="24" t="inlineStr">
        <is>
          <t>open</t>
        </is>
      </c>
      <c r="V57" s="24" t="n"/>
      <c r="W57" s="26" t="n"/>
      <c r="X57" s="26" t="n"/>
      <c r="Y57" s="25" t="n"/>
      <c r="Z57" s="26" t="n"/>
      <c r="AA57" s="28" t="n"/>
      <c r="AB57" s="28" t="n"/>
      <c r="AC57" s="30" t="n"/>
      <c r="AD57" s="24" t="n"/>
      <c r="AE57" s="31" t="inlineStr">
        <is>
          <t>Neutral Elo baseline; executable ask 0.4100 (market_slug=aec-cs2-hero-mglz-2026-07-24).</t>
        </is>
      </c>
      <c r="AF57" s="31" t="inlineStr">
        <is>
          <t>Config-promoted esports baseline; gates enforced at log time.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research_observation</t>
        </is>
      </c>
      <c r="AL57" s="26" t="n">
        <v>3</v>
      </c>
      <c r="AM57" s="24" t="inlineStr">
        <is>
          <t>RESEARCH_OBSERVATION</t>
        </is>
      </c>
      <c r="AN57" s="24" t="inlineStr">
        <is>
          <t>NO_CALL</t>
        </is>
      </c>
      <c r="AO57" s="24" t="inlineStr">
        <is>
          <t>NO_CALL_LARGE_DISAGREEMENT_REVIEW</t>
        </is>
      </c>
      <c r="AP57" s="24" t="inlineStr">
        <is>
          <t>TheMongolz</t>
        </is>
      </c>
      <c r="AQ57" s="24" t="inlineStr">
        <is>
          <t>TheMongolz</t>
        </is>
      </c>
      <c r="AR57" s="24" t="inlineStr">
        <is>
          <t>TheMongolz</t>
        </is>
      </c>
      <c r="AS57" s="24" t="inlineStr">
        <is>
          <t>Heroic</t>
        </is>
      </c>
      <c r="AT57" s="24" t="inlineStr">
        <is>
          <t>Heroic</t>
        </is>
      </c>
      <c r="AU57" s="24" t="inlineStr">
        <is>
          <t>Heroic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48424b79d75fc1173c9c465d95feb6fc041a2ccfbc64455058b3f74905ce28d5</t>
        </is>
      </c>
      <c r="BB57" s="24" t="inlineStr">
        <is>
          <t>neutral_elo</t>
        </is>
      </c>
      <c r="BC57" s="24" t="inlineStr">
        <is>
          <t>cs2-tiered-elo-v3</t>
        </is>
      </c>
      <c r="BD57" s="24" t="inlineStr">
        <is>
          <t>48424b79d75fc1173c9c465d95feb6fc041a2ccfbc64455058b3f74905ce28d5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cs2-tiered-elo-v3</t>
        </is>
      </c>
      <c r="BH57" s="24" t="inlineStr">
        <is>
          <t>2026-07-23T07:20:34.856171Z</t>
        </is>
      </c>
      <c r="BI57" s="24" t="inlineStr">
        <is>
          <t>["same_event","same_team_same_day","same_league_same_day"]</t>
        </is>
      </c>
      <c r="BJ57" s="25" t="n"/>
      <c r="BK57" s="26" t="n">
        <v>144</v>
      </c>
      <c r="BL57" s="27" t="n">
        <v>2.44</v>
      </c>
      <c r="BM57" s="28" t="n">
        <v>0.409836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</row>
    <row r="58" ht="36" customHeight="1">
      <c r="A58" s="24" t="inlineStr">
        <is>
          <t>0b3bcbc1b3064a88</t>
        </is>
      </c>
      <c r="B58" s="24" t="inlineStr">
        <is>
          <t>2026-07-23T07:21:10.755031Z</t>
        </is>
      </c>
      <c r="C58" s="24" t="inlineStr">
        <is>
          <t>2026-07-23T10:00:00Z</t>
        </is>
      </c>
      <c r="D58" s="24" t="inlineStr">
        <is>
          <t>56839</t>
        </is>
      </c>
      <c r="E58" s="24" t="inlineStr">
        <is>
          <t>DOTA2</t>
        </is>
      </c>
      <c r="F58" s="24" t="inlineStr">
        <is>
          <t>PuckChamp</t>
        </is>
      </c>
      <c r="G58" s="24" t="inlineStr">
        <is>
          <t>Spirit Academy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-127</v>
      </c>
      <c r="M58" s="27" t="n">
        <v>1.787402</v>
      </c>
      <c r="N58" s="28" t="n">
        <v>0.5594710000000001</v>
      </c>
      <c r="O58" s="28" t="n">
        <v>0.5259779999999999</v>
      </c>
      <c r="P58" s="28" t="n">
        <v>0.05</v>
      </c>
      <c r="Q58" s="28" t="n">
        <v>-0.033493</v>
      </c>
      <c r="R58" s="26" t="n">
        <v>3</v>
      </c>
      <c r="S58" s="29" t="n">
        <v>0.75</v>
      </c>
      <c r="T58" s="24" t="inlineStr">
        <is>
          <t>dota2-tiered-elo-v3</t>
        </is>
      </c>
      <c r="U58" s="24" t="inlineStr">
        <is>
          <t>open</t>
        </is>
      </c>
      <c r="V58" s="24" t="n"/>
      <c r="W58" s="26" t="n"/>
      <c r="X58" s="26" t="n"/>
      <c r="Y58" s="25" t="n"/>
      <c r="Z58" s="26" t="n"/>
      <c r="AA58" s="28" t="n"/>
      <c r="AB58" s="28" t="n"/>
      <c r="AC58" s="30" t="n"/>
      <c r="AD58" s="24" t="n"/>
      <c r="AE58" s="31" t="inlineStr">
        <is>
          <t>Neutral Elo baseline; executable ask 0.5600 (market_slug=aec-dota2-tsa-pckcp-2026-07-23).</t>
        </is>
      </c>
      <c r="AF58" s="31" t="inlineStr">
        <is>
          <t>Config-promoted esports baseline; gates enforced at log time.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research_observation</t>
        </is>
      </c>
      <c r="AL58" s="26" t="n">
        <v>3</v>
      </c>
      <c r="AM58" s="24" t="inlineStr">
        <is>
          <t>RESEARCH_OBSERVATION</t>
        </is>
      </c>
      <c r="AN58" s="24" t="inlineStr">
        <is>
          <t>NO_CALL</t>
        </is>
      </c>
      <c r="AO58" s="24" t="inlineStr">
        <is>
          <t>NO_CALL_LOW_EDGE</t>
        </is>
      </c>
      <c r="AP58" s="24" t="inlineStr">
        <is>
          <t>PuckChamp</t>
        </is>
      </c>
      <c r="AQ58" s="24" t="inlineStr">
        <is>
          <t>PuckChamp</t>
        </is>
      </c>
      <c r="AR58" s="24" t="inlineStr">
        <is>
          <t>PuckChamp</t>
        </is>
      </c>
      <c r="AS58" s="24" t="inlineStr">
        <is>
          <t>Spirit Academy</t>
        </is>
      </c>
      <c r="AT58" s="24" t="inlineStr">
        <is>
          <t>Spirit Academy</t>
        </is>
      </c>
      <c r="AU58" s="24" t="inlineStr">
        <is>
          <t>Spirit Academy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a799fd6b531f6a50433d392237bace95036714f80bb3516384271ef275ed7763</t>
        </is>
      </c>
      <c r="BB58" s="24" t="inlineStr">
        <is>
          <t>neutral_elo</t>
        </is>
      </c>
      <c r="BC58" s="24" t="inlineStr">
        <is>
          <t>dota2-tiered-elo-v3</t>
        </is>
      </c>
      <c r="BD58" s="24" t="inlineStr">
        <is>
          <t>a799fd6b531f6a50433d392237bace95036714f80bb3516384271ef275ed7763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dota2-tiered-elo-v3</t>
        </is>
      </c>
      <c r="BH58" s="24" t="inlineStr">
        <is>
          <t>2026-07-23T07:21:03.348283Z</t>
        </is>
      </c>
      <c r="BI58" s="24" t="inlineStr">
        <is>
          <t>["same_event","same_team_same_day","same_league_same_day"]</t>
        </is>
      </c>
      <c r="BJ58" s="25" t="n"/>
      <c r="BK58" s="26" t="n">
        <v>-127</v>
      </c>
      <c r="BL58" s="27" t="n">
        <v>1.787402</v>
      </c>
      <c r="BM58" s="28" t="n">
        <v>0.5594710000000001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</row>
    <row r="59" ht="36" customHeight="1">
      <c r="A59" s="24" t="inlineStr">
        <is>
          <t>480434722e244b4a</t>
        </is>
      </c>
      <c r="B59" s="24" t="inlineStr">
        <is>
          <t>2026-07-23T07:21:10.755031Z</t>
        </is>
      </c>
      <c r="C59" s="24" t="inlineStr">
        <is>
          <t>2026-07-23T13:00:00Z</t>
        </is>
      </c>
      <c r="D59" s="24" t="inlineStr">
        <is>
          <t>56888</t>
        </is>
      </c>
      <c r="E59" s="24" t="inlineStr">
        <is>
          <t>DOTA2</t>
        </is>
      </c>
      <c r="F59" s="24" t="inlineStr">
        <is>
          <t>Inner Circle x Insanity</t>
        </is>
      </c>
      <c r="G59" s="24" t="inlineStr">
        <is>
          <t>Team Jenz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212</v>
      </c>
      <c r="M59" s="27" t="n">
        <v>3.12</v>
      </c>
      <c r="N59" s="28" t="n">
        <v>0.320513</v>
      </c>
      <c r="O59" s="28" t="n">
        <v>0.5</v>
      </c>
      <c r="P59" s="28" t="n">
        <v>0.05</v>
      </c>
      <c r="Q59" s="28" t="n">
        <v>0.179487</v>
      </c>
      <c r="R59" s="26" t="n">
        <v>100</v>
      </c>
      <c r="S59" s="29" t="n">
        <v>0.5</v>
      </c>
      <c r="T59" s="24" t="inlineStr">
        <is>
          <t>dota2-tiered-elo-v3</t>
        </is>
      </c>
      <c r="U59" s="24" t="inlineStr">
        <is>
          <t>open</t>
        </is>
      </c>
      <c r="V59" s="24" t="n"/>
      <c r="W59" s="26" t="n"/>
      <c r="X59" s="26" t="n"/>
      <c r="Y59" s="25" t="n"/>
      <c r="Z59" s="26" t="n"/>
      <c r="AA59" s="28" t="n"/>
      <c r="AB59" s="28" t="n"/>
      <c r="AC59" s="30" t="n"/>
      <c r="AD59" s="24" t="n"/>
      <c r="AE59" s="31" t="inlineStr">
        <is>
          <t>Neutral Elo baseline; executable ask 0.3200 (market_slug=aec-dota2-tje-icxi-2026-07-23).</t>
        </is>
      </c>
      <c r="AF59" s="31" t="inlineStr">
        <is>
          <t>Config-promoted esports baseline; gates enforced at log time.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research_observation</t>
        </is>
      </c>
      <c r="AL59" s="26" t="n">
        <v>3</v>
      </c>
      <c r="AM59" s="24" t="inlineStr">
        <is>
          <t>RESEARCH_OBSERVATION</t>
        </is>
      </c>
      <c r="AN59" s="24" t="inlineStr">
        <is>
          <t>NO_CALL</t>
        </is>
      </c>
      <c r="AO59" s="24" t="inlineStr">
        <is>
          <t>NO_CALL_LARGE_DISAGREEMENT_REVIEW</t>
        </is>
      </c>
      <c r="AP59" s="24" t="inlineStr">
        <is>
          <t>Inner Circle x Insanity</t>
        </is>
      </c>
      <c r="AQ59" s="24" t="inlineStr">
        <is>
          <t>Inner Circle x Insanity</t>
        </is>
      </c>
      <c r="AR59" s="24" t="inlineStr">
        <is>
          <t>Inner Circle x Insanity</t>
        </is>
      </c>
      <c r="AS59" s="24" t="inlineStr">
        <is>
          <t>Team Jenz</t>
        </is>
      </c>
      <c r="AT59" s="24" t="inlineStr">
        <is>
          <t>Team Jenz</t>
        </is>
      </c>
      <c r="AU59" s="24" t="inlineStr">
        <is>
          <t>Team Jenz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a799fd6b531f6a50433d392237bace95036714f80bb3516384271ef275ed7763</t>
        </is>
      </c>
      <c r="BB59" s="24" t="inlineStr">
        <is>
          <t>neutral_elo</t>
        </is>
      </c>
      <c r="BC59" s="24" t="inlineStr">
        <is>
          <t>dota2-tiered-elo-v3</t>
        </is>
      </c>
      <c r="BD59" s="24" t="inlineStr">
        <is>
          <t>a799fd6b531f6a50433d392237bace95036714f80bb3516384271ef275ed7763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dota2-tiered-elo-v3</t>
        </is>
      </c>
      <c r="BH59" s="24" t="inlineStr">
        <is>
          <t>2026-07-23T07:21:04.162632Z</t>
        </is>
      </c>
      <c r="BI59" s="24" t="inlineStr">
        <is>
          <t>["same_event","same_team_same_day","same_league_same_day"]</t>
        </is>
      </c>
      <c r="BJ59" s="25" t="n"/>
      <c r="BK59" s="26" t="n">
        <v>212</v>
      </c>
      <c r="BL59" s="27" t="n">
        <v>3.12</v>
      </c>
      <c r="BM59" s="28" t="n">
        <v>0.320513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</row>
    <row r="60" ht="36" customHeight="1">
      <c r="A60" s="24" t="inlineStr">
        <is>
          <t>60fb2d1d151146a9</t>
        </is>
      </c>
      <c r="B60" s="24" t="inlineStr">
        <is>
          <t>2026-07-23T07:21:10.755031Z</t>
        </is>
      </c>
      <c r="C60" s="24" t="inlineStr">
        <is>
          <t>2026-07-23T19:00:00Z</t>
        </is>
      </c>
      <c r="D60" s="24" t="inlineStr">
        <is>
          <t>57215</t>
        </is>
      </c>
      <c r="E60" s="24" t="inlineStr">
        <is>
          <t>DOTA2</t>
        </is>
      </c>
      <c r="F60" s="24" t="inlineStr">
        <is>
          <t>Ilbirs eSports</t>
        </is>
      </c>
      <c r="G60" s="24" t="inlineStr">
        <is>
          <t>Nemiga Gaming</t>
        </is>
      </c>
      <c r="H60" s="24" t="inlineStr">
        <is>
          <t>moneyline</t>
        </is>
      </c>
      <c r="I60" s="24" t="inlineStr">
        <is>
          <t>home</t>
        </is>
      </c>
      <c r="J60" s="25" t="n"/>
      <c r="K60" s="24" t="inlineStr">
        <is>
          <t>polymarket_us</t>
        </is>
      </c>
      <c r="L60" s="26" t="n">
        <v>-122</v>
      </c>
      <c r="M60" s="27" t="n">
        <v>1.819672</v>
      </c>
      <c r="N60" s="28" t="n">
        <v>0.54955</v>
      </c>
      <c r="O60" s="28" t="n">
        <v>0.5</v>
      </c>
      <c r="P60" s="28" t="n">
        <v>0.05</v>
      </c>
      <c r="Q60" s="28" t="n">
        <v>-0.04955</v>
      </c>
      <c r="R60" s="26" t="n">
        <v>0</v>
      </c>
      <c r="S60" s="29" t="n">
        <v>0.5</v>
      </c>
      <c r="T60" s="24" t="inlineStr">
        <is>
          <t>dota2-tiered-elo-v3</t>
        </is>
      </c>
      <c r="U60" s="24" t="inlineStr">
        <is>
          <t>open</t>
        </is>
      </c>
      <c r="V60" s="24" t="n"/>
      <c r="W60" s="26" t="n"/>
      <c r="X60" s="26" t="n"/>
      <c r="Y60" s="25" t="n"/>
      <c r="Z60" s="26" t="n"/>
      <c r="AA60" s="28" t="n"/>
      <c r="AB60" s="28" t="n"/>
      <c r="AC60" s="30" t="n"/>
      <c r="AD60" s="24" t="n"/>
      <c r="AE60" s="31" t="inlineStr">
        <is>
          <t>Neutral Elo baseline; executable ask 0.5500 (market_slug=aec-dota2-nemiga-ill-2026-07-23).</t>
        </is>
      </c>
      <c r="AF60" s="31" t="inlineStr">
        <is>
          <t>Config-promoted esports baseline; gates enforced at log time.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research_observation</t>
        </is>
      </c>
      <c r="AL60" s="26" t="n">
        <v>3</v>
      </c>
      <c r="AM60" s="24" t="inlineStr">
        <is>
          <t>RESEARCH_OBSERVATION</t>
        </is>
      </c>
      <c r="AN60" s="24" t="inlineStr">
        <is>
          <t>NO_CALL</t>
        </is>
      </c>
      <c r="AO60" s="24" t="inlineStr">
        <is>
          <t>NO_CALL_LOW_EDGE</t>
        </is>
      </c>
      <c r="AP60" s="24" t="inlineStr">
        <is>
          <t>Ilbirs eSports</t>
        </is>
      </c>
      <c r="AQ60" s="24" t="inlineStr">
        <is>
          <t>Ilbirs eSports</t>
        </is>
      </c>
      <c r="AR60" s="24" t="inlineStr">
        <is>
          <t>Ilbirs eSports</t>
        </is>
      </c>
      <c r="AS60" s="24" t="inlineStr">
        <is>
          <t>Nemiga Gaming</t>
        </is>
      </c>
      <c r="AT60" s="24" t="inlineStr">
        <is>
          <t>Nemiga Gaming</t>
        </is>
      </c>
      <c r="AU60" s="24" t="inlineStr">
        <is>
          <t>Nemiga Gaming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a799fd6b531f6a50433d392237bace95036714f80bb3516384271ef275ed7763</t>
        </is>
      </c>
      <c r="BB60" s="24" t="inlineStr">
        <is>
          <t>neutral_elo</t>
        </is>
      </c>
      <c r="BC60" s="24" t="inlineStr">
        <is>
          <t>dota2-tiered-elo-v3</t>
        </is>
      </c>
      <c r="BD60" s="24" t="inlineStr">
        <is>
          <t>a799fd6b531f6a50433d392237bace95036714f80bb3516384271ef275ed7763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dota2-tiered-elo-v3</t>
        </is>
      </c>
      <c r="BH60" s="24" t="inlineStr">
        <is>
          <t>2026-07-23T07:21:05.846238Z</t>
        </is>
      </c>
      <c r="BI60" s="24" t="inlineStr">
        <is>
          <t>["same_event","same_team_same_day","same_league_same_day"]</t>
        </is>
      </c>
      <c r="BJ60" s="25" t="n"/>
      <c r="BK60" s="26" t="n">
        <v>-122</v>
      </c>
      <c r="BL60" s="27" t="n">
        <v>1.819672</v>
      </c>
      <c r="BM60" s="28" t="n">
        <v>0.54955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</row>
    <row r="61" ht="36" customHeight="1">
      <c r="A61" s="24" t="inlineStr">
        <is>
          <t>e0be3289e82741b0</t>
        </is>
      </c>
      <c r="B61" s="24" t="inlineStr">
        <is>
          <t>2026-07-23T07:21:36.945370Z</t>
        </is>
      </c>
      <c r="C61" s="24" t="inlineStr">
        <is>
          <t>2026-07-23T08:00:00Z</t>
        </is>
      </c>
      <c r="D61" s="24" t="inlineStr">
        <is>
          <t>56787</t>
        </is>
      </c>
      <c r="E61" s="24" t="inlineStr">
        <is>
          <t>VALORANT</t>
        </is>
      </c>
      <c r="F61" s="24" t="inlineStr">
        <is>
          <t>FULL SENSE</t>
        </is>
      </c>
      <c r="G61" s="24" t="inlineStr">
        <is>
          <t>Global Esports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117</v>
      </c>
      <c r="M61" s="27" t="n">
        <v>2.17</v>
      </c>
      <c r="N61" s="28" t="n">
        <v>0.460829</v>
      </c>
      <c r="O61" s="28" t="n">
        <v>0.5</v>
      </c>
      <c r="P61" s="28" t="n">
        <v>0.05</v>
      </c>
      <c r="Q61" s="28" t="n">
        <v>0.039171</v>
      </c>
      <c r="R61" s="26" t="n">
        <v>40</v>
      </c>
      <c r="S61" s="29" t="n">
        <v>0.5</v>
      </c>
      <c r="T61" s="24" t="inlineStr">
        <is>
          <t>valorant-tiered-elo-v3</t>
        </is>
      </c>
      <c r="U61" s="24" t="inlineStr">
        <is>
          <t>open</t>
        </is>
      </c>
      <c r="V61" s="24" t="n"/>
      <c r="W61" s="26" t="n"/>
      <c r="X61" s="26" t="n"/>
      <c r="Y61" s="25" t="n"/>
      <c r="Z61" s="26" t="n"/>
      <c r="AA61" s="28" t="n"/>
      <c r="AB61" s="28" t="n"/>
      <c r="AC61" s="30" t="n"/>
      <c r="AD61" s="24" t="n"/>
      <c r="AE61" s="31" t="inlineStr">
        <is>
          <t>Neutral Elo baseline; executable ask 0.4600 (market_slug=aec-valorant-ge-fs-2026-07-23).</t>
        </is>
      </c>
      <c r="AF61" s="31" t="inlineStr">
        <is>
          <t>Config-promoted esports baseline; gates enforced at log time.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NO_CALL_LOW_EDGE</t>
        </is>
      </c>
      <c r="AP61" s="24" t="inlineStr">
        <is>
          <t>FULL SENSE</t>
        </is>
      </c>
      <c r="AQ61" s="24" t="inlineStr">
        <is>
          <t>FULL SENSE</t>
        </is>
      </c>
      <c r="AR61" s="24" t="inlineStr">
        <is>
          <t>FULL SENSE</t>
        </is>
      </c>
      <c r="AS61" s="24" t="inlineStr">
        <is>
          <t>Global Esports</t>
        </is>
      </c>
      <c r="AT61" s="24" t="inlineStr">
        <is>
          <t>Global Esports</t>
        </is>
      </c>
      <c r="AU61" s="24" t="inlineStr">
        <is>
          <t>Global Esports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df5a226c64918a54c70b8af3e0cd4abb6c4f42b67acb5547da319458502b0ed4</t>
        </is>
      </c>
      <c r="BB61" s="24" t="inlineStr">
        <is>
          <t>neutral_elo</t>
        </is>
      </c>
      <c r="BC61" s="24" t="inlineStr">
        <is>
          <t>valorant-tiered-elo-v3</t>
        </is>
      </c>
      <c r="BD61" s="24" t="inlineStr">
        <is>
          <t>df5a226c64918a54c70b8af3e0cd4abb6c4f42b67acb5547da319458502b0ed4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valorant-tiered-elo-v3</t>
        </is>
      </c>
      <c r="BH61" s="24" t="inlineStr">
        <is>
          <t>2026-07-23T07:21:16.291113Z</t>
        </is>
      </c>
      <c r="BI61" s="24" t="inlineStr">
        <is>
          <t>["same_event","same_team_same_day","same_league_same_day"]</t>
        </is>
      </c>
      <c r="BJ61" s="25" t="n"/>
      <c r="BK61" s="26" t="n">
        <v>117</v>
      </c>
      <c r="BL61" s="27" t="n">
        <v>2.17</v>
      </c>
      <c r="BM61" s="28" t="n">
        <v>0.460829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</row>
    <row r="62" ht="36" customHeight="1">
      <c r="A62" s="24" t="inlineStr">
        <is>
          <t>b8fe21d565a048a1</t>
        </is>
      </c>
      <c r="B62" s="24" t="inlineStr">
        <is>
          <t>2026-07-23T07:21:36.945370Z</t>
        </is>
      </c>
      <c r="C62" s="24" t="inlineStr">
        <is>
          <t>2026-07-23T09:00:00Z</t>
        </is>
      </c>
      <c r="D62" s="24" t="inlineStr">
        <is>
          <t>56811</t>
        </is>
      </c>
      <c r="E62" s="24" t="inlineStr">
        <is>
          <t>VALORANT</t>
        </is>
      </c>
      <c r="F62" s="24" t="inlineStr">
        <is>
          <t>Nova Esports</t>
        </is>
      </c>
      <c r="G62" s="24" t="inlineStr">
        <is>
          <t>TYLOO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-108</v>
      </c>
      <c r="M62" s="27" t="n">
        <v>1.925926</v>
      </c>
      <c r="N62" s="28" t="n">
        <v>0.519231</v>
      </c>
      <c r="O62" s="28" t="n">
        <v>0.5</v>
      </c>
      <c r="P62" s="28" t="n">
        <v>0.05</v>
      </c>
      <c r="Q62" s="28" t="n">
        <v>-0.019231</v>
      </c>
      <c r="R62" s="26" t="n">
        <v>10</v>
      </c>
      <c r="S62" s="29" t="n">
        <v>0.5</v>
      </c>
      <c r="T62" s="24" t="inlineStr">
        <is>
          <t>valorant-tiered-elo-v3</t>
        </is>
      </c>
      <c r="U62" s="24" t="inlineStr">
        <is>
          <t>open</t>
        </is>
      </c>
      <c r="V62" s="24" t="n"/>
      <c r="W62" s="26" t="n"/>
      <c r="X62" s="26" t="n"/>
      <c r="Y62" s="25" t="n"/>
      <c r="Z62" s="26" t="n"/>
      <c r="AA62" s="28" t="n"/>
      <c r="AB62" s="28" t="n"/>
      <c r="AC62" s="30" t="n"/>
      <c r="AD62" s="24" t="n"/>
      <c r="AE62" s="31" t="inlineStr">
        <is>
          <t>Neutral Elo baseline; executable ask 0.5200 (market_slug=aec-valorant-tyloo-nova-2026-07-23).</t>
        </is>
      </c>
      <c r="AF62" s="31" t="inlineStr">
        <is>
          <t>Config-promoted esports baseline; gates enforced at log time.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research_observation</t>
        </is>
      </c>
      <c r="AL62" s="26" t="n">
        <v>3</v>
      </c>
      <c r="AM62" s="24" t="inlineStr">
        <is>
          <t>RESEARCH_OBSERVATION</t>
        </is>
      </c>
      <c r="AN62" s="24" t="inlineStr">
        <is>
          <t>NO_CALL</t>
        </is>
      </c>
      <c r="AO62" s="24" t="inlineStr">
        <is>
          <t>NO_CALL_LOW_EDGE</t>
        </is>
      </c>
      <c r="AP62" s="24" t="inlineStr">
        <is>
          <t>Nova Esports</t>
        </is>
      </c>
      <c r="AQ62" s="24" t="inlineStr">
        <is>
          <t>Nova Esports</t>
        </is>
      </c>
      <c r="AR62" s="24" t="inlineStr">
        <is>
          <t>Nova Esports</t>
        </is>
      </c>
      <c r="AS62" s="24" t="inlineStr">
        <is>
          <t>TYLOO</t>
        </is>
      </c>
      <c r="AT62" s="24" t="inlineStr">
        <is>
          <t>TYLOO</t>
        </is>
      </c>
      <c r="AU62" s="24" t="inlineStr">
        <is>
          <t>TYLOO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df5a226c64918a54c70b8af3e0cd4abb6c4f42b67acb5547da319458502b0ed4</t>
        </is>
      </c>
      <c r="BB62" s="24" t="inlineStr">
        <is>
          <t>neutral_elo</t>
        </is>
      </c>
      <c r="BC62" s="24" t="inlineStr">
        <is>
          <t>valorant-tiered-elo-v3</t>
        </is>
      </c>
      <c r="BD62" s="24" t="inlineStr">
        <is>
          <t>df5a226c64918a54c70b8af3e0cd4abb6c4f42b67acb5547da319458502b0ed4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valorant-tiered-elo-v3</t>
        </is>
      </c>
      <c r="BH62" s="24" t="inlineStr">
        <is>
          <t>2026-07-23T07:21:17.130753Z</t>
        </is>
      </c>
      <c r="BI62" s="24" t="inlineStr">
        <is>
          <t>["same_event","same_team_same_day","same_league_same_day"]</t>
        </is>
      </c>
      <c r="BJ62" s="25" t="n"/>
      <c r="BK62" s="26" t="n">
        <v>-108</v>
      </c>
      <c r="BL62" s="27" t="n">
        <v>1.925926</v>
      </c>
      <c r="BM62" s="28" t="n">
        <v>0.519231</v>
      </c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</row>
    <row r="63" ht="36" customHeight="1">
      <c r="A63" s="24" t="inlineStr">
        <is>
          <t>e24d61ab2f504b16</t>
        </is>
      </c>
      <c r="B63" s="24" t="inlineStr">
        <is>
          <t>2026-07-23T07:21:36.945370Z</t>
        </is>
      </c>
      <c r="C63" s="24" t="inlineStr">
        <is>
          <t>2026-07-23T18:00:00Z</t>
        </is>
      </c>
      <c r="D63" s="24" t="inlineStr">
        <is>
          <t>57151</t>
        </is>
      </c>
      <c r="E63" s="24" t="inlineStr">
        <is>
          <t>VALORANT</t>
        </is>
      </c>
      <c r="F63" s="24" t="inlineStr">
        <is>
          <t>Twisted Minds Orchid</t>
        </is>
      </c>
      <c r="G63" s="24" t="inlineStr">
        <is>
          <t>GIANTX GC</t>
        </is>
      </c>
      <c r="H63" s="24" t="inlineStr">
        <is>
          <t>moneyline</t>
        </is>
      </c>
      <c r="I63" s="24" t="inlineStr">
        <is>
          <t>away</t>
        </is>
      </c>
      <c r="J63" s="25" t="n"/>
      <c r="K63" s="24" t="inlineStr">
        <is>
          <t>polymarket_us</t>
        </is>
      </c>
      <c r="L63" s="26" t="n">
        <v>144</v>
      </c>
      <c r="M63" s="27" t="n">
        <v>2.44</v>
      </c>
      <c r="N63" s="28" t="n">
        <v>0.409836</v>
      </c>
      <c r="O63" s="28" t="n">
        <v>0.5043260000000001</v>
      </c>
      <c r="P63" s="28" t="n">
        <v>0.05</v>
      </c>
      <c r="Q63" s="28" t="n">
        <v>0.09449</v>
      </c>
      <c r="R63" s="26" t="n">
        <v>67</v>
      </c>
      <c r="S63" s="29" t="n">
        <v>0.5</v>
      </c>
      <c r="T63" s="24" t="inlineStr">
        <is>
          <t>valorant-tiered-elo-v3</t>
        </is>
      </c>
      <c r="U63" s="24" t="inlineStr">
        <is>
          <t>open</t>
        </is>
      </c>
      <c r="V63" s="24" t="n"/>
      <c r="W63" s="26" t="n"/>
      <c r="X63" s="26" t="n"/>
      <c r="Y63" s="25" t="n"/>
      <c r="Z63" s="26" t="n"/>
      <c r="AA63" s="28" t="n"/>
      <c r="AB63" s="28" t="n"/>
      <c r="AC63" s="30" t="n"/>
      <c r="AD63" s="24" t="n"/>
      <c r="AE63" s="31" t="inlineStr">
        <is>
          <t>Neutral Elo baseline; executable ask 0.4100 (market_slug=aec-valorant-gxgc-tmo-2026-07-23).</t>
        </is>
      </c>
      <c r="AF63" s="31" t="inlineStr">
        <is>
          <t>Config-promoted esports baseline; gates enforced at log time.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3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Twisted Minds Orchid</t>
        </is>
      </c>
      <c r="AQ63" s="24" t="inlineStr">
        <is>
          <t>Twisted Minds Orchid</t>
        </is>
      </c>
      <c r="AR63" s="24" t="inlineStr">
        <is>
          <t>Twisted Minds Orchid</t>
        </is>
      </c>
      <c r="AS63" s="24" t="inlineStr">
        <is>
          <t>GIANTX GC</t>
        </is>
      </c>
      <c r="AT63" s="24" t="inlineStr">
        <is>
          <t>GIANTX GC</t>
        </is>
      </c>
      <c r="AU63" s="24" t="inlineStr">
        <is>
          <t>GIANTX GC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df5a226c64918a54c70b8af3e0cd4abb6c4f42b67acb5547da319458502b0ed4</t>
        </is>
      </c>
      <c r="BB63" s="24" t="inlineStr">
        <is>
          <t>neutral_elo</t>
        </is>
      </c>
      <c r="BC63" s="24" t="inlineStr">
        <is>
          <t>valorant-tiered-elo-v3</t>
        </is>
      </c>
      <c r="BD63" s="24" t="inlineStr">
        <is>
          <t>df5a226c64918a54c70b8af3e0cd4abb6c4f42b67acb5547da319458502b0ed4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valorant-tiered-elo-v3</t>
        </is>
      </c>
      <c r="BH63" s="24" t="inlineStr">
        <is>
          <t>2026-07-23T07:21:22.385691Z</t>
        </is>
      </c>
      <c r="BI63" s="24" t="inlineStr">
        <is>
          <t>["same_event","same_team_same_day","same_league_same_day"]</t>
        </is>
      </c>
      <c r="BJ63" s="25" t="n"/>
      <c r="BK63" s="26" t="n">
        <v>144</v>
      </c>
      <c r="BL63" s="27" t="n">
        <v>2.44</v>
      </c>
      <c r="BM63" s="28" t="n">
        <v>0.409836</v>
      </c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</row>
    <row r="64" ht="36" customHeight="1">
      <c r="A64" s="24" t="inlineStr">
        <is>
          <t>091d76b6f4c34fe9</t>
        </is>
      </c>
      <c r="B64" s="24" t="inlineStr">
        <is>
          <t>2026-07-23T07:21:36.945370Z</t>
        </is>
      </c>
      <c r="C64" s="24" t="inlineStr">
        <is>
          <t>2026-07-23T18:00:00Z</t>
        </is>
      </c>
      <c r="D64" s="24" t="inlineStr">
        <is>
          <t>57153</t>
        </is>
      </c>
      <c r="E64" s="24" t="inlineStr">
        <is>
          <t>VALORANT</t>
        </is>
      </c>
      <c r="F64" s="24" t="inlineStr">
        <is>
          <t>Natus Vincere</t>
        </is>
      </c>
      <c r="G64" s="24" t="inlineStr">
        <is>
          <t>Gentle Mates</t>
        </is>
      </c>
      <c r="H64" s="24" t="inlineStr">
        <is>
          <t>moneyline</t>
        </is>
      </c>
      <c r="I64" s="24" t="inlineStr">
        <is>
          <t>away</t>
        </is>
      </c>
      <c r="J64" s="25" t="n"/>
      <c r="K64" s="24" t="inlineStr">
        <is>
          <t>polymarket_us</t>
        </is>
      </c>
      <c r="L64" s="26" t="n">
        <v>-113</v>
      </c>
      <c r="M64" s="27" t="n">
        <v>1.884956</v>
      </c>
      <c r="N64" s="28" t="n">
        <v>0.530516</v>
      </c>
      <c r="O64" s="28" t="n">
        <v>0.681625</v>
      </c>
      <c r="P64" s="28" t="n">
        <v>0.05</v>
      </c>
      <c r="Q64" s="28" t="n">
        <v>0.151109</v>
      </c>
      <c r="R64" s="26" t="n">
        <v>100</v>
      </c>
      <c r="S64" s="29" t="n">
        <v>2</v>
      </c>
      <c r="T64" s="24" t="inlineStr">
        <is>
          <t>valorant-tiered-elo-v3</t>
        </is>
      </c>
      <c r="U64" s="24" t="inlineStr">
        <is>
          <t>open</t>
        </is>
      </c>
      <c r="V64" s="24" t="n"/>
      <c r="W64" s="26" t="n"/>
      <c r="X64" s="26" t="n"/>
      <c r="Y64" s="25" t="n"/>
      <c r="Z64" s="26" t="n"/>
      <c r="AA64" s="28" t="n"/>
      <c r="AB64" s="28" t="n"/>
      <c r="AC64" s="30" t="n"/>
      <c r="AD64" s="24" t="n"/>
      <c r="AE64" s="31" t="inlineStr">
        <is>
          <t>Neutral Elo baseline; executable ask 0.5300 (market_slug=aec-valorant-gm-navi-2026-07-23).</t>
        </is>
      </c>
      <c r="AF64" s="31" t="inlineStr">
        <is>
          <t>Config-promoted esports baseline; gates enforced at log time.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research_observation</t>
        </is>
      </c>
      <c r="AL64" s="26" t="n">
        <v>3</v>
      </c>
      <c r="AM64" s="24" t="inlineStr">
        <is>
          <t>RESEARCH_OBSERVATION</t>
        </is>
      </c>
      <c r="AN64" s="24" t="inlineStr">
        <is>
          <t>NO_CALL</t>
        </is>
      </c>
      <c r="AO64" s="24" t="inlineStr">
        <is>
          <t>NO_CALL_LARGE_DISAGREEMENT_REVIEW</t>
        </is>
      </c>
      <c r="AP64" s="24" t="inlineStr">
        <is>
          <t>Natus Vincere</t>
        </is>
      </c>
      <c r="AQ64" s="24" t="inlineStr">
        <is>
          <t>Natus Vincere</t>
        </is>
      </c>
      <c r="AR64" s="24" t="inlineStr">
        <is>
          <t>Natus Vincere</t>
        </is>
      </c>
      <c r="AS64" s="24" t="inlineStr">
        <is>
          <t>Gentle Mates</t>
        </is>
      </c>
      <c r="AT64" s="24" t="inlineStr">
        <is>
          <t>Gentle Mates</t>
        </is>
      </c>
      <c r="AU64" s="24" t="inlineStr">
        <is>
          <t>Gentle Mates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df5a226c64918a54c70b8af3e0cd4abb6c4f42b67acb5547da319458502b0ed4</t>
        </is>
      </c>
      <c r="BB64" s="24" t="inlineStr">
        <is>
          <t>neutral_elo</t>
        </is>
      </c>
      <c r="BC64" s="24" t="inlineStr">
        <is>
          <t>valorant-tiered-elo-v3</t>
        </is>
      </c>
      <c r="BD64" s="24" t="inlineStr">
        <is>
          <t>df5a226c64918a54c70b8af3e0cd4abb6c4f42b67acb5547da319458502b0ed4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valorant-tiered-elo-v3</t>
        </is>
      </c>
      <c r="BH64" s="24" t="inlineStr">
        <is>
          <t>2026-07-23T07:21:24.447106Z</t>
        </is>
      </c>
      <c r="BI64" s="24" t="inlineStr">
        <is>
          <t>["same_event","same_team_same_day","same_league_same_day"]</t>
        </is>
      </c>
      <c r="BJ64" s="25" t="n"/>
      <c r="BK64" s="26" t="n">
        <v>-113</v>
      </c>
      <c r="BL64" s="27" t="n">
        <v>1.884956</v>
      </c>
      <c r="BM64" s="28" t="n">
        <v>0.530516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</row>
    <row r="65" ht="36" customHeight="1">
      <c r="A65" s="24" t="inlineStr">
        <is>
          <t>9f4fbbffaf4f4ab1</t>
        </is>
      </c>
      <c r="B65" s="24" t="inlineStr">
        <is>
          <t>2026-07-23T07:21:36.945370Z</t>
        </is>
      </c>
      <c r="C65" s="24" t="inlineStr">
        <is>
          <t>2026-07-24T09:00:00Z</t>
        </is>
      </c>
      <c r="D65" s="24" t="inlineStr">
        <is>
          <t>58553</t>
        </is>
      </c>
      <c r="E65" s="24" t="inlineStr">
        <is>
          <t>VALORANT</t>
        </is>
      </c>
      <c r="F65" s="24" t="inlineStr">
        <is>
          <t>TEC Esports</t>
        </is>
      </c>
      <c r="G65" s="24" t="inlineStr">
        <is>
          <t>Trace Esports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117</v>
      </c>
      <c r="M65" s="27" t="n">
        <v>2.17</v>
      </c>
      <c r="N65" s="28" t="n">
        <v>0.460829</v>
      </c>
      <c r="O65" s="28" t="n">
        <v>0.5</v>
      </c>
      <c r="P65" s="28" t="n">
        <v>0.05</v>
      </c>
      <c r="Q65" s="28" t="n">
        <v>0.039171</v>
      </c>
      <c r="R65" s="26" t="n">
        <v>40</v>
      </c>
      <c r="S65" s="29" t="n">
        <v>0.5</v>
      </c>
      <c r="T65" s="24" t="inlineStr">
        <is>
          <t>valorant-tiered-elo-v3</t>
        </is>
      </c>
      <c r="U65" s="24" t="inlineStr">
        <is>
          <t>open</t>
        </is>
      </c>
      <c r="V65" s="24" t="n"/>
      <c r="W65" s="26" t="n"/>
      <c r="X65" s="26" t="n"/>
      <c r="Y65" s="25" t="n"/>
      <c r="Z65" s="26" t="n"/>
      <c r="AA65" s="28" t="n"/>
      <c r="AB65" s="28" t="n"/>
      <c r="AC65" s="30" t="n"/>
      <c r="AD65" s="24" t="n"/>
      <c r="AE65" s="31" t="inlineStr">
        <is>
          <t>Neutral Elo baseline; executable ask 0.4600 (market_slug=aec-valorant-te-tec-2026-07-24).</t>
        </is>
      </c>
      <c r="AF65" s="31" t="inlineStr">
        <is>
          <t>Config-promoted esports baseline; gates enforced at log time.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research_observation</t>
        </is>
      </c>
      <c r="AL65" s="26" t="n">
        <v>3</v>
      </c>
      <c r="AM65" s="24" t="inlineStr">
        <is>
          <t>RESEARCH_OBSERVATION</t>
        </is>
      </c>
      <c r="AN65" s="24" t="inlineStr">
        <is>
          <t>NO_CALL</t>
        </is>
      </c>
      <c r="AO65" s="24" t="inlineStr">
        <is>
          <t>NO_CALL_LOW_EDGE</t>
        </is>
      </c>
      <c r="AP65" s="24" t="inlineStr">
        <is>
          <t>TEC Esports</t>
        </is>
      </c>
      <c r="AQ65" s="24" t="inlineStr">
        <is>
          <t>TEC Esports</t>
        </is>
      </c>
      <c r="AR65" s="24" t="inlineStr">
        <is>
          <t>TEC Esports</t>
        </is>
      </c>
      <c r="AS65" s="24" t="inlineStr">
        <is>
          <t>Trace Esports</t>
        </is>
      </c>
      <c r="AT65" s="24" t="inlineStr">
        <is>
          <t>Trace Esports</t>
        </is>
      </c>
      <c r="AU65" s="24" t="inlineStr">
        <is>
          <t>Trace Esports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df5a226c64918a54c70b8af3e0cd4abb6c4f42b67acb5547da319458502b0ed4</t>
        </is>
      </c>
      <c r="BB65" s="24" t="inlineStr">
        <is>
          <t>neutral_elo</t>
        </is>
      </c>
      <c r="BC65" s="24" t="inlineStr">
        <is>
          <t>valorant-tiered-elo-v3</t>
        </is>
      </c>
      <c r="BD65" s="24" t="inlineStr">
        <is>
          <t>df5a226c64918a54c70b8af3e0cd4abb6c4f42b67acb5547da319458502b0ed4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valorant-tiered-elo-v3</t>
        </is>
      </c>
      <c r="BH65" s="24" t="inlineStr">
        <is>
          <t>2026-07-23T07:21:28.500430Z</t>
        </is>
      </c>
      <c r="BI65" s="24" t="inlineStr">
        <is>
          <t>["same_event","same_team_same_day","same_league_same_day"]</t>
        </is>
      </c>
      <c r="BJ65" s="25" t="n"/>
      <c r="BK65" s="26" t="n">
        <v>117</v>
      </c>
      <c r="BL65" s="27" t="n">
        <v>2.17</v>
      </c>
      <c r="BM65" s="28" t="n">
        <v>0.460829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</row>
    <row r="66" ht="36" customHeight="1">
      <c r="A66" s="24" t="inlineStr">
        <is>
          <t>61cf5d2603504bda</t>
        </is>
      </c>
      <c r="B66" s="24" t="inlineStr">
        <is>
          <t>2026-07-23T07:21:36.945370Z</t>
        </is>
      </c>
      <c r="C66" s="24" t="inlineStr">
        <is>
          <t>2026-07-24T18:00:00Z</t>
        </is>
      </c>
      <c r="D66" s="24" t="inlineStr">
        <is>
          <t>58554</t>
        </is>
      </c>
      <c r="E66" s="24" t="inlineStr">
        <is>
          <t>VALORANT</t>
        </is>
      </c>
      <c r="F66" s="24" t="inlineStr">
        <is>
          <t>Fnatic</t>
        </is>
      </c>
      <c r="G66" s="24" t="inlineStr">
        <is>
          <t>Team Liquid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138</v>
      </c>
      <c r="M66" s="27" t="n">
        <v>2.38</v>
      </c>
      <c r="N66" s="28" t="n">
        <v>0.420168</v>
      </c>
      <c r="O66" s="28" t="n">
        <v>0.696373</v>
      </c>
      <c r="P66" s="28" t="n">
        <v>0.05</v>
      </c>
      <c r="Q66" s="28" t="n">
        <v>0.276205</v>
      </c>
      <c r="R66" s="26" t="n">
        <v>100</v>
      </c>
      <c r="S66" s="29" t="n">
        <v>2</v>
      </c>
      <c r="T66" s="24" t="inlineStr">
        <is>
          <t>valorant-tiered-elo-v3</t>
        </is>
      </c>
      <c r="U66" s="24" t="inlineStr">
        <is>
          <t>open</t>
        </is>
      </c>
      <c r="V66" s="24" t="n"/>
      <c r="W66" s="26" t="n"/>
      <c r="X66" s="26" t="n"/>
      <c r="Y66" s="25" t="n"/>
      <c r="Z66" s="26" t="n"/>
      <c r="AA66" s="28" t="n"/>
      <c r="AB66" s="28" t="n"/>
      <c r="AC66" s="30" t="n"/>
      <c r="AD66" s="24" t="n"/>
      <c r="AE66" s="31" t="inlineStr">
        <is>
          <t>Neutral Elo baseline; executable ask 0.4200 (market_slug=aec-valorant-tl-fnc-2026-07-24).</t>
        </is>
      </c>
      <c r="AF66" s="31" t="inlineStr">
        <is>
          <t>Config-promoted esports baseline; gates enforced at log time.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research_observation</t>
        </is>
      </c>
      <c r="AL66" s="26" t="n">
        <v>3</v>
      </c>
      <c r="AM66" s="24" t="inlineStr">
        <is>
          <t>RESEARCH_OBSERVATION</t>
        </is>
      </c>
      <c r="AN66" s="24" t="inlineStr">
        <is>
          <t>NO_CALL</t>
        </is>
      </c>
      <c r="AO66" s="24" t="inlineStr">
        <is>
          <t>NO_CALL_LARGE_DISAGREEMENT_REVIEW</t>
        </is>
      </c>
      <c r="AP66" s="24" t="inlineStr">
        <is>
          <t>Fnatic</t>
        </is>
      </c>
      <c r="AQ66" s="24" t="inlineStr">
        <is>
          <t>Fnatic</t>
        </is>
      </c>
      <c r="AR66" s="24" t="inlineStr">
        <is>
          <t>Fnatic</t>
        </is>
      </c>
      <c r="AS66" s="24" t="inlineStr">
        <is>
          <t>Team Liquid</t>
        </is>
      </c>
      <c r="AT66" s="24" t="inlineStr">
        <is>
          <t>Team Liquid</t>
        </is>
      </c>
      <c r="AU66" s="24" t="inlineStr">
        <is>
          <t>Team Liquid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df5a226c64918a54c70b8af3e0cd4abb6c4f42b67acb5547da319458502b0ed4</t>
        </is>
      </c>
      <c r="BB66" s="24" t="inlineStr">
        <is>
          <t>neutral_elo</t>
        </is>
      </c>
      <c r="BC66" s="24" t="inlineStr">
        <is>
          <t>valorant-tiered-elo-v3</t>
        </is>
      </c>
      <c r="BD66" s="24" t="inlineStr">
        <is>
          <t>df5a226c64918a54c70b8af3e0cd4abb6c4f42b67acb5547da319458502b0ed4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valorant-tiered-elo-v3</t>
        </is>
      </c>
      <c r="BH66" s="24" t="inlineStr">
        <is>
          <t>2026-07-23T07:21:31.220238Z</t>
        </is>
      </c>
      <c r="BI66" s="24" t="inlineStr">
        <is>
          <t>["same_event","same_team_same_day","same_league_same_day"]</t>
        </is>
      </c>
      <c r="BJ66" s="25" t="n"/>
      <c r="BK66" s="26" t="n">
        <v>138</v>
      </c>
      <c r="BL66" s="27" t="n">
        <v>2.38</v>
      </c>
      <c r="BM66" s="28" t="n">
        <v>0.420168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</row>
    <row r="67" ht="36" customHeight="1">
      <c r="A67" s="24" t="inlineStr">
        <is>
          <t>b64037d71c394cbb</t>
        </is>
      </c>
      <c r="B67" s="24" t="inlineStr">
        <is>
          <t>2026-07-23T07:21:36.945370Z</t>
        </is>
      </c>
      <c r="C67" s="24" t="inlineStr">
        <is>
          <t>2026-07-25T00:00:00Z</t>
        </is>
      </c>
      <c r="D67" s="24" t="inlineStr">
        <is>
          <t>59138</t>
        </is>
      </c>
      <c r="E67" s="24" t="inlineStr">
        <is>
          <t>VALORANT</t>
        </is>
      </c>
      <c r="F67" s="24" t="inlineStr">
        <is>
          <t>KRÜ Esports</t>
        </is>
      </c>
      <c r="G67" s="24" t="inlineStr">
        <is>
          <t>100 Thieves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-213</v>
      </c>
      <c r="M67" s="27" t="n">
        <v>1.469484</v>
      </c>
      <c r="N67" s="28" t="n">
        <v>0.680511</v>
      </c>
      <c r="O67" s="28" t="n">
        <v>0.5</v>
      </c>
      <c r="P67" s="28" t="n">
        <v>0.05</v>
      </c>
      <c r="Q67" s="28" t="n">
        <v>-0.180511</v>
      </c>
      <c r="R67" s="26" t="n">
        <v>0</v>
      </c>
      <c r="S67" s="29" t="n">
        <v>0.5</v>
      </c>
      <c r="T67" s="24" t="inlineStr">
        <is>
          <t>valorant-tiered-elo-v3</t>
        </is>
      </c>
      <c r="U67" s="24" t="inlineStr">
        <is>
          <t>open</t>
        </is>
      </c>
      <c r="V67" s="24" t="n"/>
      <c r="W67" s="26" t="n"/>
      <c r="X67" s="26" t="n"/>
      <c r="Y67" s="25" t="n"/>
      <c r="Z67" s="26" t="n"/>
      <c r="AA67" s="28" t="n"/>
      <c r="AB67" s="28" t="n"/>
      <c r="AC67" s="30" t="n"/>
      <c r="AD67" s="24" t="n"/>
      <c r="AE67" s="31" t="inlineStr">
        <is>
          <t>Neutral Elo baseline; executable ask 0.6800 (market_slug=aec-valorant-100t-kr-2026-07-25).</t>
        </is>
      </c>
      <c r="AF67" s="31" t="inlineStr">
        <is>
          <t>Config-promoted esports baseline; gates enforced at log time.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research_observation</t>
        </is>
      </c>
      <c r="AL67" s="26" t="n">
        <v>3</v>
      </c>
      <c r="AM67" s="24" t="inlineStr">
        <is>
          <t>RESEARCH_OBSERVATION</t>
        </is>
      </c>
      <c r="AN67" s="24" t="inlineStr">
        <is>
          <t>NO_CALL</t>
        </is>
      </c>
      <c r="AO67" s="24" t="inlineStr">
        <is>
          <t>NO_CALL_LARGE_DISAGREEMENT_REVIEW</t>
        </is>
      </c>
      <c r="AP67" s="24" t="inlineStr">
        <is>
          <t>KRÜ Esports</t>
        </is>
      </c>
      <c r="AQ67" s="24" t="inlineStr">
        <is>
          <t>KRÜ Esports</t>
        </is>
      </c>
      <c r="AR67" s="24" t="inlineStr">
        <is>
          <t>KRÜ Esports</t>
        </is>
      </c>
      <c r="AS67" s="24" t="inlineStr">
        <is>
          <t>100 Thieves</t>
        </is>
      </c>
      <c r="AT67" s="24" t="inlineStr">
        <is>
          <t>100 Thieves</t>
        </is>
      </c>
      <c r="AU67" s="24" t="inlineStr">
        <is>
          <t>100 Thieves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df5a226c64918a54c70b8af3e0cd4abb6c4f42b67acb5547da319458502b0ed4</t>
        </is>
      </c>
      <c r="BB67" s="24" t="inlineStr">
        <is>
          <t>neutral_elo</t>
        </is>
      </c>
      <c r="BC67" s="24" t="inlineStr">
        <is>
          <t>valorant-tiered-elo-v3</t>
        </is>
      </c>
      <c r="BD67" s="24" t="inlineStr">
        <is>
          <t>df5a226c64918a54c70b8af3e0cd4abb6c4f42b67acb5547da319458502b0ed4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valorant-tiered-elo-v3</t>
        </is>
      </c>
      <c r="BH67" s="24" t="inlineStr">
        <is>
          <t>2026-07-23T07:21:33.005166Z</t>
        </is>
      </c>
      <c r="BI67" s="24" t="inlineStr">
        <is>
          <t>["same_event","same_team_same_day","same_league_same_day"]</t>
        </is>
      </c>
      <c r="BJ67" s="25" t="n"/>
      <c r="BK67" s="26" t="n">
        <v>-213</v>
      </c>
      <c r="BL67" s="27" t="n">
        <v>1.469484</v>
      </c>
      <c r="BM67" s="28" t="n">
        <v>0.680511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2026-07-23T13:42:16Z</dcterms:created>
  <dcterms:modified xsi:type="dcterms:W3CDTF">2026-07-23T13:42:16Z</dcterms:modified>
</cp:coreProperties>
</file>