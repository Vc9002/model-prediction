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A36" headerRowCount="1">
  <autoFilter ref="A1:CA36"/>
  <tableColumns count="79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COUNTA('Picks'!$A$2:$A$36)</f>
        <v/>
      </c>
      <c r="C4" s="6">
        <f>COUNTIF('Picks'!$U$2:$U$36,"open")</f>
        <v/>
      </c>
      <c r="E4" s="6">
        <f>COUNTIF('Picks'!$U$2:$U$36,"settled")</f>
        <v/>
      </c>
      <c r="G4" s="6">
        <f>IF(COUNTIFS('Picks'!$U$2:$U$36,"settled",'Picks'!$V$2:$V$36,"win")+COUNTIFS('Picks'!$U$2:$U$36,"settled",'Picks'!$V$2:$V$36,"loss")&gt;=$L$2,"Ready","Insufficient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COUNTIF('Picks'!$BX$2:$BX$36,"&gt;0")</f>
        <v/>
      </c>
      <c r="C7" s="6">
        <f>COUNTIFS('Picks'!$BX$2:$BX$36,"&gt;0",'Picks'!$V$2:$V$36,"win")&amp;"-"&amp;COUNTIFS('Picks'!$BX$2:$BX$36,"&gt;0",'Picks'!$V$2:$V$36,"loss")</f>
        <v/>
      </c>
      <c r="E7" s="7">
        <f>IFERROR(COUNTIFS('Picks'!$BX$2:$BX$36,"&gt;0",'Picks'!$V$2:$V$36,"win")/(COUNTIFS('Picks'!$BX$2:$BX$36,"&gt;0",'Picks'!$V$2:$V$36,"win")+COUNTIFS('Picks'!$BX$2:$BX$36,"&gt;0",'Picks'!$V$2:$V$36,"loss")),0)</f>
        <v/>
      </c>
      <c r="G7" s="7">
        <f>IFERROR(SUM('Picks'!$BY$2:$BY$36)/SUM('Picks'!$BX$2:$BX$36),0)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SUM('Picks'!$BY$2:$BY$36)</f>
        <v/>
      </c>
      <c r="C10" s="9">
        <f>IFERROR(AVERAGEIF('Picks'!$AB$2:$AB$36,"&lt;&gt;",'Picks'!$AB$2:$AB$36),0)</f>
        <v/>
      </c>
      <c r="E10" s="6">
        <f>COUNTIFS('Picks'!$AM$2:$AM$36,"QUALIFIED_SHADOW_CALL",'Picks'!$U$2:$U$36,"settled")</f>
        <v/>
      </c>
      <c r="G10" s="8">
        <f>SUMIFS('Picks'!$AC$2:$AC$36,'Picks'!$AM$2:$AM$36,"QUALIFIED_SHADOW_CALL")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COUNTIFS('Picks'!$H$2:$H$36,$A14,'Picks'!$U$2:$U$36,"settled")</f>
        <v/>
      </c>
      <c r="C14" s="13">
        <f>COUNTIFS('Picks'!$H$2:$H$36,$A14,'Picks'!$U$2:$U$36,"settled",'Picks'!$V$2:$V$36,"win")</f>
        <v/>
      </c>
      <c r="D14" s="13">
        <f>COUNTIFS('Picks'!$H$2:$H$36,$A14,'Picks'!$U$2:$U$36,"settled",'Picks'!$V$2:$V$36,"loss")</f>
        <v/>
      </c>
      <c r="E14" s="14">
        <f>IFERROR(C14/(C14+D14),0)</f>
        <v/>
      </c>
      <c r="F14" s="15">
        <f>SUMIFS('Picks'!$BY$2:$BY$36,'Picks'!$H$2:$H$36,$A14)</f>
        <v/>
      </c>
      <c r="G14" s="16">
        <f>IFERROR(AVERAGEIFS('Picks'!$AB$2:$AB$36,'Picks'!$H$2:$H$36,$A14,'Picks'!$U$2:$U$36,"settled"),0)</f>
        <v/>
      </c>
    </row>
    <row r="15">
      <c r="A15" s="17" t="inlineStr">
        <is>
          <t>spread</t>
        </is>
      </c>
      <c r="B15" s="18">
        <f>COUNTIFS('Picks'!$H$2:$H$36,$A15,'Picks'!$U$2:$U$36,"settled")</f>
        <v/>
      </c>
      <c r="C15" s="18">
        <f>COUNTIFS('Picks'!$H$2:$H$36,$A15,'Picks'!$U$2:$U$36,"settled",'Picks'!$V$2:$V$36,"win")</f>
        <v/>
      </c>
      <c r="D15" s="18">
        <f>COUNTIFS('Picks'!$H$2:$H$36,$A15,'Picks'!$U$2:$U$36,"settled",'Picks'!$V$2:$V$36,"loss")</f>
        <v/>
      </c>
      <c r="E15" s="19">
        <f>IFERROR(C15/(C15+D15),0)</f>
        <v/>
      </c>
      <c r="F15" s="20">
        <f>SUMIFS('Picks'!$BY$2:$BY$36,'Picks'!$H$2:$H$36,$A15)</f>
        <v/>
      </c>
      <c r="G15" s="21">
        <f>IFERROR(AVERAGEIFS('Picks'!$AB$2:$AB$36,'Picks'!$H$2:$H$36,$A15,'Picks'!$U$2:$U$36,"settled"),0)</f>
        <v/>
      </c>
    </row>
    <row r="16">
      <c r="A16" s="12" t="inlineStr">
        <is>
          <t>total</t>
        </is>
      </c>
      <c r="B16" s="13">
        <f>COUNTIFS('Picks'!$H$2:$H$36,$A16,'Picks'!$U$2:$U$36,"settled")</f>
        <v/>
      </c>
      <c r="C16" s="13">
        <f>COUNTIFS('Picks'!$H$2:$H$36,$A16,'Picks'!$U$2:$U$36,"settled",'Picks'!$V$2:$V$36,"win")</f>
        <v/>
      </c>
      <c r="D16" s="13">
        <f>COUNTIFS('Picks'!$H$2:$H$36,$A16,'Picks'!$U$2:$U$36,"settled",'Picks'!$V$2:$V$36,"loss")</f>
        <v/>
      </c>
      <c r="E16" s="14">
        <f>IFERROR(C16/(C16+D16),0)</f>
        <v/>
      </c>
      <c r="F16" s="15">
        <f>SUMIFS('Picks'!$BY$2:$BY$36,'Picks'!$H$2:$H$36,$A16)</f>
        <v/>
      </c>
      <c r="G16" s="16">
        <f>IFERROR(AVERAGEIFS('Picks'!$AB$2:$AB$36,'Picks'!$H$2:$H$36,$A16,'Picks'!$U$2:$U$36,"settled"),0)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A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</row>
    <row r="2" ht="36" customHeight="1">
      <c r="A2" s="24" t="inlineStr">
        <is>
          <t>74597b6b55be447e</t>
        </is>
      </c>
      <c r="B2" s="24" t="inlineStr">
        <is>
          <t>2026-07-12T18:00:09.692808Z</t>
        </is>
      </c>
      <c r="C2" s="24" t="inlineStr">
        <is>
          <t>2026-07-12T18:10:00Z</t>
        </is>
      </c>
      <c r="D2" s="24" t="inlineStr">
        <is>
          <t>824574</t>
        </is>
      </c>
      <c r="E2" s="24" t="inlineStr">
        <is>
          <t>MLB</t>
        </is>
      </c>
      <c r="F2" s="24" t="inlineStr">
        <is>
          <t>ATH</t>
        </is>
      </c>
      <c r="G2" s="24" t="inlineStr">
        <is>
          <t>CWS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Screenshot exchange (unverified)</t>
        </is>
      </c>
      <c r="L2" s="26" t="n">
        <v>138</v>
      </c>
      <c r="M2" s="27" t="n">
        <v>2.38</v>
      </c>
      <c r="N2" s="28" t="n">
        <v>0.420168</v>
      </c>
      <c r="O2" s="28" t="n">
        <v>0.4311</v>
      </c>
      <c r="P2" s="28" t="n">
        <v>0.06</v>
      </c>
      <c r="Q2" s="28" t="n">
        <v>0.010932</v>
      </c>
      <c r="R2" s="26" t="n">
        <v>19</v>
      </c>
      <c r="S2" s="29" t="n">
        <v>0</v>
      </c>
      <c r="T2" s="24" t="inlineStr">
        <is>
          <t>mlb-analyst-poisson-trend-v0.1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9</v>
      </c>
      <c r="Y2" s="25" t="n"/>
      <c r="Z2" s="26" t="n">
        <v>129</v>
      </c>
      <c r="AA2" s="28" t="n">
        <v>0.436681</v>
      </c>
      <c r="AB2" s="28" t="n">
        <v>0.016513</v>
      </c>
      <c r="AC2" s="30" t="n">
        <v>0</v>
      </c>
      <c r="AD2" s="24" t="inlineStr">
        <is>
          <t>2026-07-13T00:12:47.398150Z</t>
        </is>
      </c>
      <c r="AE2" s="31" t="inlineStr">
        <is>
          <t>ATH ML: model gives ATH 43.11%; Ginn starter advantage is offset by ATH poor opponent-adjusted recent offense/defense and CWS home field.</t>
        </is>
      </c>
      <c r="AF2" s="31" t="inlineStr">
        <is>
          <t>Only 1.11-point raw edge; untrained baseline; Schultz small-sample uncertainty; platform and resolution rules unverified.</t>
        </is>
      </c>
      <c r="AG2" s="24" t="inlineStr">
        <is>
          <t>complete</t>
        </is>
      </c>
      <c r="AH2" s="24" t="inlineStr">
        <is>
          <t>bad_luck</t>
        </is>
      </c>
      <c r="AI2" s="31" t="inlineStr">
        <is>
          <t>The Athletics were only a 43.11% model side. J.T. Ginn, the matchup advantage behind the value thesis, allowed 8 earned runs and 2 home runs in 4.1 innings, including a six-run first; Noah Schultz allowed only 1 run in 5 innings. The realized starter-performance reversal was inside the model uncertainty rather than evidence from one game of a systematic defect.</t>
        </is>
      </c>
      <c r="AJ2" s="31" t="inlineStr">
        <is>
          <t>Do not change parameters from one loss. Keep this below-threshold analyst line as zero-unit research and test starter-ERA shrinkage, first-inning blowup frequency, and small-sample opposing-starter regression over a predeclared MLB cohort.</t>
        </is>
      </c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RESEARCH_OBSERVATION</t>
        </is>
      </c>
      <c r="AO2" s="24" t="inlineStr">
        <is>
          <t>NO_CALL_MODEL_UNVALIDATED</t>
        </is>
      </c>
      <c r="AP2" s="24" t="n"/>
      <c r="AQ2" s="24" t="n"/>
      <c r="AR2" s="24" t="inlineStr">
        <is>
          <t>ATH</t>
        </is>
      </c>
      <c r="AS2" s="24" t="n"/>
      <c r="AT2" s="24" t="n"/>
      <c r="AU2" s="24" t="inlineStr">
        <is>
          <t>CWS</t>
        </is>
      </c>
      <c r="AV2" s="24" t="n"/>
      <c r="AW2" s="24" t="n"/>
      <c r="AX2" s="24" t="inlineStr">
        <is>
          <t>analyst_estimate</t>
        </is>
      </c>
      <c r="AY2" s="24" t="n"/>
      <c r="AZ2" s="24" t="inlineStr">
        <is>
          <t>research</t>
        </is>
      </c>
      <c r="BA2" s="24" t="n"/>
      <c r="BB2" s="24" t="inlineStr">
        <is>
          <t>identity</t>
        </is>
      </c>
      <c r="BC2" s="24" t="inlineStr">
        <is>
          <t>identity-v1</t>
        </is>
      </c>
      <c r="BD2" s="24" t="n"/>
      <c r="BE2" s="24" t="inlineStr">
        <is>
          <t>legacy-1</t>
        </is>
      </c>
      <c r="BF2" s="24" t="inlineStr">
        <is>
          <t>legacy-unresolved</t>
        </is>
      </c>
      <c r="BG2" s="24" t="inlineStr">
        <is>
          <t>legacy</t>
        </is>
      </c>
      <c r="BH2" s="24" t="n"/>
      <c r="BI2" s="24" t="n"/>
      <c r="BJ2" s="25" t="n"/>
      <c r="BK2" s="26" t="n">
        <v>138</v>
      </c>
      <c r="BL2" s="27" t="n">
        <v>2.38</v>
      </c>
      <c r="BM2" s="28" t="n">
        <v>0.420168</v>
      </c>
      <c r="BN2" s="28" t="n"/>
      <c r="BO2" s="28" t="n"/>
      <c r="BP2" s="25" t="n"/>
      <c r="BQ2" s="27" t="n">
        <v>2.29</v>
      </c>
      <c r="BR2" s="28" t="n">
        <v>0.436681</v>
      </c>
      <c r="BS2" s="28" t="n"/>
      <c r="BT2" s="28" t="n"/>
      <c r="BU2" s="25" t="n"/>
      <c r="BV2" s="29" t="n">
        <v>0.25</v>
      </c>
      <c r="BW2" s="24" t="n"/>
      <c r="BX2" s="30" t="n">
        <v>1</v>
      </c>
      <c r="BY2" s="27" t="n">
        <v>-1</v>
      </c>
      <c r="BZ2" s="24" t="inlineStr">
        <is>
          <t>2026-07-13T00:19:12.371035Z</t>
        </is>
      </c>
      <c r="CA2" s="31" t="inlineStr">
        <is>
          <t>Retrospective flat 1.0-unit research scoring; no real wager was placed.</t>
        </is>
      </c>
    </row>
    <row r="3" ht="36" customHeight="1">
      <c r="A3" s="24" t="inlineStr">
        <is>
          <t>8d602ca91bef4f2a</t>
        </is>
      </c>
      <c r="B3" s="24" t="inlineStr">
        <is>
          <t>2026-07-12T18:00:09.693147Z</t>
        </is>
      </c>
      <c r="C3" s="24" t="inlineStr">
        <is>
          <t>2026-07-12T18:10:00Z</t>
        </is>
      </c>
      <c r="D3" s="24" t="inlineStr">
        <is>
          <t>824574</t>
        </is>
      </c>
      <c r="E3" s="24" t="inlineStr">
        <is>
          <t>MLB</t>
        </is>
      </c>
      <c r="F3" s="24" t="inlineStr">
        <is>
          <t>ATH</t>
        </is>
      </c>
      <c r="G3" s="24" t="inlineStr">
        <is>
          <t>CWS</t>
        </is>
      </c>
      <c r="H3" s="24" t="inlineStr">
        <is>
          <t>total</t>
        </is>
      </c>
      <c r="I3" s="24" t="inlineStr">
        <is>
          <t>over</t>
        </is>
      </c>
      <c r="J3" s="25" t="n">
        <v>8.5</v>
      </c>
      <c r="K3" s="24" t="inlineStr">
        <is>
          <t>Screenshot exchange (unverified)</t>
        </is>
      </c>
      <c r="L3" s="26" t="n">
        <v>-117</v>
      </c>
      <c r="M3" s="27" t="n">
        <v>1.854701</v>
      </c>
      <c r="N3" s="28" t="n">
        <v>0.539171</v>
      </c>
      <c r="O3" s="28" t="n">
        <v>0.5495</v>
      </c>
      <c r="P3" s="28" t="n">
        <v>0.06</v>
      </c>
      <c r="Q3" s="28" t="n">
        <v>0.010329</v>
      </c>
      <c r="R3" s="26" t="n">
        <v>19</v>
      </c>
      <c r="S3" s="29" t="n">
        <v>0</v>
      </c>
      <c r="T3" s="24" t="inlineStr">
        <is>
          <t>mlb-analyst-poisson-trend-v0.1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9</v>
      </c>
      <c r="Y3" s="25" t="n">
        <v>9</v>
      </c>
      <c r="Z3" s="26" t="n">
        <v>-108</v>
      </c>
      <c r="AA3" s="28" t="n">
        <v>0.519231</v>
      </c>
      <c r="AB3" s="28" t="n">
        <v>-0.01994</v>
      </c>
      <c r="AC3" s="30" t="n">
        <v>0</v>
      </c>
      <c r="AD3" s="24" t="inlineStr">
        <is>
          <t>2026-07-13T00:12:47.602689Z</t>
        </is>
      </c>
      <c r="AE3" s="31" t="inlineStr">
        <is>
          <t>Over 8.5: projected total 9.04; weak ATH trend is countered by Schultz 6.00 ERA and both season scoring/allowance baselines.</t>
        </is>
      </c>
      <c r="AF3" s="31" t="inlineStr">
        <is>
          <t>Raw edge below one point; untrained baseline; wind in from left; platform and resolution rules unverified.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research_observation</t>
        </is>
      </c>
      <c r="AL3" s="26" t="n">
        <v>3</v>
      </c>
      <c r="AM3" s="24" t="inlineStr">
        <is>
          <t>RESEARCH_OBSERVATION</t>
        </is>
      </c>
      <c r="AN3" s="24" t="inlineStr">
        <is>
          <t>RESEARCH_OBSERVATION</t>
        </is>
      </c>
      <c r="AO3" s="24" t="inlineStr">
        <is>
          <t>NO_CALL_MODEL_UNVALIDATED</t>
        </is>
      </c>
      <c r="AP3" s="24" t="n"/>
      <c r="AQ3" s="24" t="n"/>
      <c r="AR3" s="24" t="inlineStr">
        <is>
          <t>ATH</t>
        </is>
      </c>
      <c r="AS3" s="24" t="n"/>
      <c r="AT3" s="24" t="n"/>
      <c r="AU3" s="24" t="inlineStr">
        <is>
          <t>CWS</t>
        </is>
      </c>
      <c r="AV3" s="24" t="n"/>
      <c r="AW3" s="24" t="n"/>
      <c r="AX3" s="24" t="inlineStr">
        <is>
          <t>analyst_estimate</t>
        </is>
      </c>
      <c r="AY3" s="24" t="n"/>
      <c r="AZ3" s="24" t="inlineStr">
        <is>
          <t>research</t>
        </is>
      </c>
      <c r="BA3" s="24" t="n"/>
      <c r="BB3" s="24" t="inlineStr">
        <is>
          <t>identity</t>
        </is>
      </c>
      <c r="BC3" s="24" t="inlineStr">
        <is>
          <t>identity-v1</t>
        </is>
      </c>
      <c r="BD3" s="24" t="n"/>
      <c r="BE3" s="24" t="inlineStr">
        <is>
          <t>legacy-1</t>
        </is>
      </c>
      <c r="BF3" s="24" t="inlineStr">
        <is>
          <t>legacy-unresolved</t>
        </is>
      </c>
      <c r="BG3" s="24" t="inlineStr">
        <is>
          <t>legacy</t>
        </is>
      </c>
      <c r="BH3" s="24" t="n"/>
      <c r="BI3" s="24" t="n"/>
      <c r="BJ3" s="25" t="n">
        <v>8.5</v>
      </c>
      <c r="BK3" s="26" t="n">
        <v>-117</v>
      </c>
      <c r="BL3" s="27" t="n">
        <v>1.854701</v>
      </c>
      <c r="BM3" s="28" t="n">
        <v>0.539171</v>
      </c>
      <c r="BN3" s="28" t="n"/>
      <c r="BO3" s="28" t="n"/>
      <c r="BP3" s="25" t="n"/>
      <c r="BQ3" s="27" t="n">
        <v>1.925926</v>
      </c>
      <c r="BR3" s="28" t="n">
        <v>0.519231</v>
      </c>
      <c r="BS3" s="28" t="n"/>
      <c r="BT3" s="28" t="n"/>
      <c r="BU3" s="25" t="n"/>
      <c r="BV3" s="29" t="n">
        <v>0.25</v>
      </c>
      <c r="BW3" s="24" t="n"/>
      <c r="BX3" s="30" t="n">
        <v>1</v>
      </c>
      <c r="BY3" s="27" t="n">
        <v>0.854701</v>
      </c>
      <c r="BZ3" s="24" t="inlineStr">
        <is>
          <t>2026-07-13T00:19:12.371035Z</t>
        </is>
      </c>
      <c r="CA3" s="31" t="inlineStr">
        <is>
          <t>Retrospective flat 1.0-unit research scoring; no real wager was placed.</t>
        </is>
      </c>
    </row>
    <row r="4" ht="36" customHeight="1">
      <c r="A4" s="24" t="inlineStr">
        <is>
          <t>a376dfdb6b094a72</t>
        </is>
      </c>
      <c r="B4" s="24" t="inlineStr">
        <is>
          <t>2026-07-12T18:00:09.694259Z</t>
        </is>
      </c>
      <c r="C4" s="24" t="inlineStr">
        <is>
          <t>2026-07-12T18:10:00Z</t>
        </is>
      </c>
      <c r="D4" s="24" t="inlineStr">
        <is>
          <t>823681</t>
        </is>
      </c>
      <c r="E4" s="24" t="inlineStr">
        <is>
          <t>MLB</t>
        </is>
      </c>
      <c r="F4" s="24" t="inlineStr">
        <is>
          <t>LAA</t>
        </is>
      </c>
      <c r="G4" s="24" t="inlineStr">
        <is>
          <t>MIN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Screenshot exchange (unverified)</t>
        </is>
      </c>
      <c r="L4" s="26" t="n">
        <v>-122</v>
      </c>
      <c r="M4" s="27" t="n">
        <v>1.819672</v>
      </c>
      <c r="N4" s="28" t="n">
        <v>0.54955</v>
      </c>
      <c r="O4" s="28" t="n">
        <v>0.5862000000000001</v>
      </c>
      <c r="P4" s="28" t="n">
        <v>0.06</v>
      </c>
      <c r="Q4" s="28" t="n">
        <v>0.03665</v>
      </c>
      <c r="R4" s="26" t="n">
        <v>32</v>
      </c>
      <c r="S4" s="29" t="n">
        <v>0</v>
      </c>
      <c r="T4" s="24" t="inlineStr">
        <is>
          <t>mlb-analyst-poisson-trend-v0.1</t>
        </is>
      </c>
      <c r="U4" s="24" t="inlineStr">
        <is>
          <t>settled</t>
        </is>
      </c>
      <c r="V4" s="24" t="inlineStr">
        <is>
          <t>win</t>
        </is>
      </c>
      <c r="W4" s="26" t="n">
        <v>2</v>
      </c>
      <c r="X4" s="26" t="n">
        <v>4</v>
      </c>
      <c r="Y4" s="25" t="n"/>
      <c r="Z4" s="26" t="n">
        <v>-126</v>
      </c>
      <c r="AA4" s="28" t="n">
        <v>0.557522</v>
      </c>
      <c r="AB4" s="28" t="n">
        <v>0.007972</v>
      </c>
      <c r="AC4" s="30" t="n">
        <v>0</v>
      </c>
      <c r="AD4" s="24" t="inlineStr">
        <is>
          <t>2026-07-13T00:12:47.002665Z</t>
        </is>
      </c>
      <c r="AE4" s="31" t="inlineStr">
        <is>
          <t>MIN ML: 4.86 projected runs vs LAA 4.20; confirmed Soriano-Bradley matchup, lineups, home field, and opponent-adjusted EWM trends.</t>
        </is>
      </c>
      <c r="AF4" s="31" t="inlineStr">
        <is>
          <t>Untrained research baseline; screenshot platform and resolution rules unverified; price translated from 55% to -122; near first pitch.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RESEARCH_OBSERVATION</t>
        </is>
      </c>
      <c r="AO4" s="24" t="inlineStr">
        <is>
          <t>NO_CALL_MODEL_UNVALIDATED</t>
        </is>
      </c>
      <c r="AP4" s="24" t="n"/>
      <c r="AQ4" s="24" t="n"/>
      <c r="AR4" s="24" t="inlineStr">
        <is>
          <t>LAA</t>
        </is>
      </c>
      <c r="AS4" s="24" t="n"/>
      <c r="AT4" s="24" t="n"/>
      <c r="AU4" s="24" t="inlineStr">
        <is>
          <t>MIN</t>
        </is>
      </c>
      <c r="AV4" s="24" t="n"/>
      <c r="AW4" s="24" t="n"/>
      <c r="AX4" s="24" t="inlineStr">
        <is>
          <t>analyst_estimate</t>
        </is>
      </c>
      <c r="AY4" s="24" t="n"/>
      <c r="AZ4" s="24" t="inlineStr">
        <is>
          <t>research</t>
        </is>
      </c>
      <c r="BA4" s="24" t="n"/>
      <c r="BB4" s="24" t="inlineStr">
        <is>
          <t>identity</t>
        </is>
      </c>
      <c r="BC4" s="24" t="inlineStr">
        <is>
          <t>identity-v1</t>
        </is>
      </c>
      <c r="BD4" s="24" t="n"/>
      <c r="BE4" s="24" t="inlineStr">
        <is>
          <t>legacy-1</t>
        </is>
      </c>
      <c r="BF4" s="24" t="inlineStr">
        <is>
          <t>legacy-unresolved</t>
        </is>
      </c>
      <c r="BG4" s="24" t="inlineStr">
        <is>
          <t>legacy</t>
        </is>
      </c>
      <c r="BH4" s="24" t="n"/>
      <c r="BI4" s="24" t="n"/>
      <c r="BJ4" s="25" t="n"/>
      <c r="BK4" s="26" t="n">
        <v>-122</v>
      </c>
      <c r="BL4" s="27" t="n">
        <v>1.819672</v>
      </c>
      <c r="BM4" s="28" t="n">
        <v>0.54955</v>
      </c>
      <c r="BN4" s="28" t="n"/>
      <c r="BO4" s="28" t="n"/>
      <c r="BP4" s="25" t="n"/>
      <c r="BQ4" s="27" t="n">
        <v>1.793651</v>
      </c>
      <c r="BR4" s="28" t="n">
        <v>0.557522</v>
      </c>
      <c r="BS4" s="28" t="n"/>
      <c r="BT4" s="28" t="n"/>
      <c r="BU4" s="25" t="n"/>
      <c r="BV4" s="29" t="n">
        <v>0.25</v>
      </c>
      <c r="BW4" s="24" t="n"/>
      <c r="BX4" s="30" t="n">
        <v>1</v>
      </c>
      <c r="BY4" s="27" t="n">
        <v>0.819672</v>
      </c>
      <c r="BZ4" s="24" t="inlineStr">
        <is>
          <t>2026-07-13T00:19:12.371035Z</t>
        </is>
      </c>
      <c r="CA4" s="31" t="inlineStr">
        <is>
          <t>Retrospective flat 1.0-unit research scoring; no real wager was placed.</t>
        </is>
      </c>
    </row>
    <row r="5" ht="36" customHeight="1">
      <c r="A5" s="24" t="inlineStr">
        <is>
          <t>4f72f2523a1449cc</t>
        </is>
      </c>
      <c r="B5" s="24" t="inlineStr">
        <is>
          <t>2026-07-12T18:00:09.699423Z</t>
        </is>
      </c>
      <c r="C5" s="24" t="inlineStr">
        <is>
          <t>2026-07-12T18:10:00Z</t>
        </is>
      </c>
      <c r="D5" s="24" t="inlineStr">
        <is>
          <t>823681</t>
        </is>
      </c>
      <c r="E5" s="24" t="inlineStr">
        <is>
          <t>MLB</t>
        </is>
      </c>
      <c r="F5" s="24" t="inlineStr">
        <is>
          <t>LAA</t>
        </is>
      </c>
      <c r="G5" s="24" t="inlineStr">
        <is>
          <t>MIN</t>
        </is>
      </c>
      <c r="H5" s="24" t="inlineStr">
        <is>
          <t>total</t>
        </is>
      </c>
      <c r="I5" s="24" t="inlineStr">
        <is>
          <t>under</t>
        </is>
      </c>
      <c r="J5" s="25" t="n">
        <v>8.5</v>
      </c>
      <c r="K5" s="24" t="inlineStr">
        <is>
          <t>Screenshot exchange (unverified)</t>
        </is>
      </c>
      <c r="L5" s="26" t="n">
        <v>138</v>
      </c>
      <c r="M5" s="27" t="n">
        <v>2.38</v>
      </c>
      <c r="N5" s="28" t="n">
        <v>0.420168</v>
      </c>
      <c r="O5" s="28" t="n">
        <v>0.4476</v>
      </c>
      <c r="P5" s="28" t="n">
        <v>0.06</v>
      </c>
      <c r="Q5" s="28" t="n">
        <v>0.027432</v>
      </c>
      <c r="R5" s="26" t="n">
        <v>28</v>
      </c>
      <c r="S5" s="29" t="n">
        <v>0</v>
      </c>
      <c r="T5" s="24" t="inlineStr">
        <is>
          <t>mlb-analyst-poisson-trend-v0.1</t>
        </is>
      </c>
      <c r="U5" s="24" t="inlineStr">
        <is>
          <t>settled</t>
        </is>
      </c>
      <c r="V5" s="24" t="inlineStr">
        <is>
          <t>win</t>
        </is>
      </c>
      <c r="W5" s="26" t="n">
        <v>2</v>
      </c>
      <c r="X5" s="26" t="n">
        <v>4</v>
      </c>
      <c r="Y5" s="25" t="n">
        <v>9</v>
      </c>
      <c r="Z5" s="26" t="n">
        <v>101</v>
      </c>
      <c r="AA5" s="28" t="n">
        <v>0.497512</v>
      </c>
      <c r="AB5" s="28" t="n">
        <v>0.077344</v>
      </c>
      <c r="AC5" s="30" t="n">
        <v>0</v>
      </c>
      <c r="AD5" s="24" t="inlineStr">
        <is>
          <t>2026-07-13T00:12:47.190392Z</t>
        </is>
      </c>
      <c r="AE5" s="31" t="inlineStr">
        <is>
          <t>Under 8.5: projected total 9.06 but under probability 44.76% exceeds the screenshot No price of 42%; starters are better than both staffs despite 90F wind out.</t>
        </is>
      </c>
      <c r="AF5" s="31" t="inlineStr">
        <is>
          <t>Thin 2.76-point raw edge; untrained baseline; weather creates upper-tail risk; platform and resolution rules unverified.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RESEARCH_OBSERVATION</t>
        </is>
      </c>
      <c r="AO5" s="24" t="inlineStr">
        <is>
          <t>NO_CALL_MODEL_UNVALIDATED</t>
        </is>
      </c>
      <c r="AP5" s="24" t="n"/>
      <c r="AQ5" s="24" t="n"/>
      <c r="AR5" s="24" t="inlineStr">
        <is>
          <t>LAA</t>
        </is>
      </c>
      <c r="AS5" s="24" t="n"/>
      <c r="AT5" s="24" t="n"/>
      <c r="AU5" s="24" t="inlineStr">
        <is>
          <t>MIN</t>
        </is>
      </c>
      <c r="AV5" s="24" t="n"/>
      <c r="AW5" s="24" t="n"/>
      <c r="AX5" s="24" t="inlineStr">
        <is>
          <t>analyst_estimate</t>
        </is>
      </c>
      <c r="AY5" s="24" t="n"/>
      <c r="AZ5" s="24" t="inlineStr">
        <is>
          <t>research</t>
        </is>
      </c>
      <c r="BA5" s="24" t="n"/>
      <c r="BB5" s="24" t="inlineStr">
        <is>
          <t>identity</t>
        </is>
      </c>
      <c r="BC5" s="24" t="inlineStr">
        <is>
          <t>identity-v1</t>
        </is>
      </c>
      <c r="BD5" s="24" t="n"/>
      <c r="BE5" s="24" t="inlineStr">
        <is>
          <t>legacy-1</t>
        </is>
      </c>
      <c r="BF5" s="24" t="inlineStr">
        <is>
          <t>legacy-unresolved</t>
        </is>
      </c>
      <c r="BG5" s="24" t="inlineStr">
        <is>
          <t>legacy</t>
        </is>
      </c>
      <c r="BH5" s="24" t="n"/>
      <c r="BI5" s="24" t="n"/>
      <c r="BJ5" s="25" t="n">
        <v>8.5</v>
      </c>
      <c r="BK5" s="26" t="n">
        <v>138</v>
      </c>
      <c r="BL5" s="27" t="n">
        <v>2.38</v>
      </c>
      <c r="BM5" s="28" t="n">
        <v>0.420168</v>
      </c>
      <c r="BN5" s="28" t="n"/>
      <c r="BO5" s="28" t="n"/>
      <c r="BP5" s="25" t="n"/>
      <c r="BQ5" s="27" t="n">
        <v>2.01</v>
      </c>
      <c r="BR5" s="28" t="n">
        <v>0.497512</v>
      </c>
      <c r="BS5" s="28" t="n"/>
      <c r="BT5" s="28" t="n"/>
      <c r="BU5" s="25" t="n"/>
      <c r="BV5" s="29" t="n">
        <v>0.25</v>
      </c>
      <c r="BW5" s="24" t="n"/>
      <c r="BX5" s="30" t="n">
        <v>1</v>
      </c>
      <c r="BY5" s="27" t="n">
        <v>1.38</v>
      </c>
      <c r="BZ5" s="24" t="inlineStr">
        <is>
          <t>2026-07-13T00:19:12.371035Z</t>
        </is>
      </c>
      <c r="CA5" s="31" t="inlineStr">
        <is>
          <t>Retrospective flat 1.0-unit research scoring; no real wager was placed.</t>
        </is>
      </c>
    </row>
    <row r="6" ht="36" customHeight="1">
      <c r="A6" s="24" t="inlineStr">
        <is>
          <t>82a5374f1cac442a</t>
        </is>
      </c>
      <c r="B6" s="24" t="inlineStr">
        <is>
          <t>2026-07-13T03:12:20.618389Z</t>
        </is>
      </c>
      <c r="C6" s="24" t="inlineStr">
        <is>
          <t>2026-07-13T23:00:00Z</t>
        </is>
      </c>
      <c r="D6" s="24" t="inlineStr">
        <is>
          <t>401857064</t>
        </is>
      </c>
      <c r="E6" s="24" t="inlineStr">
        <is>
          <t>WNBA</t>
        </is>
      </c>
      <c r="F6" s="24" t="inlineStr">
        <is>
          <t>Los Angeles Sparks</t>
        </is>
      </c>
      <c r="G6" s="24" t="inlineStr">
        <is>
          <t>Atlanta Dream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DraftKings via ESPN</t>
        </is>
      </c>
      <c r="L6" s="26" t="n">
        <v>-345</v>
      </c>
      <c r="M6" s="27" t="n">
        <v>1.289855</v>
      </c>
      <c r="N6" s="28" t="n">
        <v>0.775281</v>
      </c>
      <c r="O6" s="28" t="n">
        <v>0.6571</v>
      </c>
      <c r="P6" s="28" t="n">
        <v>0.07000000000000001</v>
      </c>
      <c r="Q6" s="28" t="n">
        <v>-0.118181</v>
      </c>
      <c r="R6" s="26" t="n">
        <v>0</v>
      </c>
      <c r="S6" s="29" t="n">
        <v>0</v>
      </c>
      <c r="T6" s="24" t="inlineStr">
        <is>
          <t>wnba-analyst-score-trend-v0.1</t>
        </is>
      </c>
      <c r="U6" s="24" t="inlineStr">
        <is>
          <t>settled</t>
        </is>
      </c>
      <c r="V6" s="24" t="inlineStr">
        <is>
          <t>win</t>
        </is>
      </c>
      <c r="W6" s="26" t="n">
        <v>92</v>
      </c>
      <c r="X6" s="26" t="n">
        <v>101</v>
      </c>
      <c r="Y6" s="25" t="n"/>
      <c r="Z6" s="26" t="n"/>
      <c r="AA6" s="28" t="n"/>
      <c r="AB6" s="28" t="n"/>
      <c r="AC6" s="30" t="n">
        <v>0</v>
      </c>
      <c r="AD6" s="24" t="inlineStr">
        <is>
          <t>2026-07-14T05:49:16.077185Z</t>
        </is>
      </c>
      <c r="AE6" s="31" t="inlineStr">
        <is>
          <t>Season/recent blended projection: Los Angeles 86.68, Atlanta 90.85 from pregame schedules; 100,000 correlated score simulations. Atlanta wins 65.71% of simulations.</t>
        </is>
      </c>
      <c r="AF6" s="31" t="inlineStr">
        <is>
          <t>Untrained WNBA analyst model; Angel Reese is day-to-day; Brionna Jones, Cameron Brink, and Kelsey Plum are listed out; confirmed lineups unavailable; Polymarket spread/total BBO unavailable, so current DraftKings prices via ESPN are used.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NO_CALL_MODEL_UNVALIDATED</t>
        </is>
      </c>
      <c r="AP6" s="24" t="inlineStr">
        <is>
          <t>wnba-las</t>
        </is>
      </c>
      <c r="AQ6" s="24" t="inlineStr">
        <is>
          <t>Los Angeles Sparks</t>
        </is>
      </c>
      <c r="AR6" s="24" t="inlineStr">
        <is>
          <t>Los Angeles Sparks</t>
        </is>
      </c>
      <c r="AS6" s="24" t="inlineStr">
        <is>
          <t>wnba-atl</t>
        </is>
      </c>
      <c r="AT6" s="24" t="inlineStr">
        <is>
          <t>Atlanta Dream</t>
        </is>
      </c>
      <c r="AU6" s="24" t="inlineStr">
        <is>
          <t>Atlanta Dream</t>
        </is>
      </c>
      <c r="AV6" s="24" t="n"/>
      <c r="AW6" s="24" t="n"/>
      <c r="AX6" s="24" t="inlineStr">
        <is>
          <t>analyst_estimate</t>
        </is>
      </c>
      <c r="AY6" s="24" t="n"/>
      <c r="AZ6" s="24" t="inlineStr">
        <is>
          <t>research</t>
        </is>
      </c>
      <c r="BA6" s="24" t="n"/>
      <c r="BB6" s="24" t="inlineStr">
        <is>
          <t>identity</t>
        </is>
      </c>
      <c r="BC6" s="24" t="inlineStr">
        <is>
          <t>identity-v1</t>
        </is>
      </c>
      <c r="BD6" s="24" t="n"/>
      <c r="BE6" s="24" t="inlineStr">
        <is>
          <t>1</t>
        </is>
      </c>
      <c r="BF6" s="24" t="inlineStr">
        <is>
          <t>1</t>
        </is>
      </c>
      <c r="BG6" s="24" t="inlineStr">
        <is>
          <t>unknown</t>
        </is>
      </c>
      <c r="BH6" s="24" t="inlineStr">
        <is>
          <t>2026-07-13T03:12:20Z</t>
        </is>
      </c>
      <c r="BI6" s="24" t="inlineStr">
        <is>
          <t>["same_event","same_team_same_day","same_league_same_day"]</t>
        </is>
      </c>
      <c r="BJ6" s="25" t="n"/>
      <c r="BK6" s="26" t="n">
        <v>-345</v>
      </c>
      <c r="BL6" s="27" t="n">
        <v>1.289855</v>
      </c>
      <c r="BM6" s="28" t="n">
        <v>0.775281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>
        <v>1</v>
      </c>
      <c r="BY6" s="27" t="n">
        <v>0.289855</v>
      </c>
      <c r="BZ6" s="24" t="inlineStr">
        <is>
          <t>2026-07-14T05:53:02.801093Z</t>
        </is>
      </c>
      <c r="CA6" s="31" t="inlineStr">
        <is>
          <t>Retrospective flat 1.0-unit research scoring; no real wager was placed.</t>
        </is>
      </c>
    </row>
    <row r="7" ht="36" customHeight="1">
      <c r="A7" s="24" t="inlineStr">
        <is>
          <t>4a2bd89475554f12</t>
        </is>
      </c>
      <c r="B7" s="24" t="inlineStr">
        <is>
          <t>2026-07-13T03:12:20.871609Z</t>
        </is>
      </c>
      <c r="C7" s="24" t="inlineStr">
        <is>
          <t>2026-07-13T23:00:00Z</t>
        </is>
      </c>
      <c r="D7" s="24" t="inlineStr">
        <is>
          <t>401857064</t>
        </is>
      </c>
      <c r="E7" s="24" t="inlineStr">
        <is>
          <t>WNBA</t>
        </is>
      </c>
      <c r="F7" s="24" t="inlineStr">
        <is>
          <t>Los Angeles Sparks</t>
        </is>
      </c>
      <c r="G7" s="24" t="inlineStr">
        <is>
          <t>Atlanta Dream</t>
        </is>
      </c>
      <c r="H7" s="24" t="inlineStr">
        <is>
          <t>spread</t>
        </is>
      </c>
      <c r="I7" s="24" t="inlineStr">
        <is>
          <t>away</t>
        </is>
      </c>
      <c r="J7" s="25" t="n">
        <v>7.5</v>
      </c>
      <c r="K7" s="24" t="inlineStr">
        <is>
          <t>DraftKings via ESPN</t>
        </is>
      </c>
      <c r="L7" s="26" t="n">
        <v>-105</v>
      </c>
      <c r="M7" s="27" t="n">
        <v>1.952381</v>
      </c>
      <c r="N7" s="28" t="n">
        <v>0.512195</v>
      </c>
      <c r="O7" s="28" t="n">
        <v>0.6227</v>
      </c>
      <c r="P7" s="28" t="n">
        <v>0.07000000000000001</v>
      </c>
      <c r="Q7" s="28" t="n">
        <v>0.110505</v>
      </c>
      <c r="R7" s="26" t="n">
        <v>63</v>
      </c>
      <c r="S7" s="29" t="n">
        <v>0</v>
      </c>
      <c r="T7" s="24" t="inlineStr">
        <is>
          <t>wnba-analyst-score-trend-v0.1</t>
        </is>
      </c>
      <c r="U7" s="24" t="inlineStr">
        <is>
          <t>settled</t>
        </is>
      </c>
      <c r="V7" s="24" t="inlineStr">
        <is>
          <t>loss</t>
        </is>
      </c>
      <c r="W7" s="26" t="n">
        <v>92</v>
      </c>
      <c r="X7" s="26" t="n">
        <v>101</v>
      </c>
      <c r="Y7" s="25" t="n"/>
      <c r="Z7" s="26" t="n"/>
      <c r="AA7" s="28" t="n"/>
      <c r="AB7" s="28" t="n"/>
      <c r="AC7" s="30" t="n">
        <v>0</v>
      </c>
      <c r="AD7" s="24" t="inlineStr">
        <is>
          <t>2026-07-14T05:49:16.117062Z</t>
        </is>
      </c>
      <c r="AE7" s="31" t="inlineStr">
        <is>
          <t>Season/recent blended projection: Los Angeles 86.68, Atlanta 90.85 from pregame schedules; 100,000 correlated score simulations. Los Angeles +7.5 covers in 62.27% of simulations.</t>
        </is>
      </c>
      <c r="AF7" s="31" t="inlineStr">
        <is>
          <t>Untrained WNBA analyst model; Angel Reese is day-to-day; Brionna Jones, Cameron Brink, and Kelsey Plum are listed out; confirmed lineups unavailable; Polymarket spread/total BBO unavailable, so current DraftKings prices via ESPN are used.</t>
        </is>
      </c>
      <c r="AG7" s="24" t="inlineStr">
        <is>
          <t>complete</t>
        </is>
      </c>
      <c r="AH7" s="24" t="inlineStr">
        <is>
          <t>bad_luck</t>
        </is>
      </c>
      <c r="AI7" s="31" t="inlineStr">
        <is>
          <t>Los Angeles +7.5 lost by 1.5 points after Atlanta won 101-92; the side was within one possession of cover-equivalent range and does not justify a parameter change from one game.</t>
        </is>
      </c>
      <c r="AJ7" s="31" t="inlineStr">
        <is>
          <t>Keep the WNBA analyst model unchanged; track future spread misses by margin bucket before considering any adjustment.</t>
        </is>
      </c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NO_CALL_MODEL_UNVALIDATED</t>
        </is>
      </c>
      <c r="AP7" s="24" t="inlineStr">
        <is>
          <t>wnba-las</t>
        </is>
      </c>
      <c r="AQ7" s="24" t="inlineStr">
        <is>
          <t>Los Angeles Sparks</t>
        </is>
      </c>
      <c r="AR7" s="24" t="inlineStr">
        <is>
          <t>Los Angeles Sparks</t>
        </is>
      </c>
      <c r="AS7" s="24" t="inlineStr">
        <is>
          <t>wnba-atl</t>
        </is>
      </c>
      <c r="AT7" s="24" t="inlineStr">
        <is>
          <t>Atlanta Dream</t>
        </is>
      </c>
      <c r="AU7" s="24" t="inlineStr">
        <is>
          <t>Atlanta Dream</t>
        </is>
      </c>
      <c r="AV7" s="24" t="n"/>
      <c r="AW7" s="24" t="n"/>
      <c r="AX7" s="24" t="inlineStr">
        <is>
          <t>analyst_estimate</t>
        </is>
      </c>
      <c r="AY7" s="24" t="n"/>
      <c r="AZ7" s="24" t="inlineStr">
        <is>
          <t>research</t>
        </is>
      </c>
      <c r="BA7" s="24" t="n"/>
      <c r="BB7" s="24" t="inlineStr">
        <is>
          <t>identity</t>
        </is>
      </c>
      <c r="BC7" s="24" t="inlineStr">
        <is>
          <t>identity-v1</t>
        </is>
      </c>
      <c r="BD7" s="24" t="n"/>
      <c r="BE7" s="24" t="inlineStr">
        <is>
          <t>1</t>
        </is>
      </c>
      <c r="BF7" s="24" t="inlineStr">
        <is>
          <t>1</t>
        </is>
      </c>
      <c r="BG7" s="24" t="inlineStr">
        <is>
          <t>unknown</t>
        </is>
      </c>
      <c r="BH7" s="24" t="inlineStr">
        <is>
          <t>2026-07-13T03:12:20Z</t>
        </is>
      </c>
      <c r="BI7" s="24" t="inlineStr">
        <is>
          <t>["same_event","same_team_same_day","same_league_same_day"]</t>
        </is>
      </c>
      <c r="BJ7" s="25" t="n">
        <v>7.5</v>
      </c>
      <c r="BK7" s="26" t="n">
        <v>-105</v>
      </c>
      <c r="BL7" s="27" t="n">
        <v>1.952381</v>
      </c>
      <c r="BM7" s="28" t="n">
        <v>0.512195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>
        <v>1</v>
      </c>
      <c r="BY7" s="27" t="n">
        <v>-1</v>
      </c>
      <c r="BZ7" s="24" t="inlineStr">
        <is>
          <t>2026-07-14T05:53:02.801093Z</t>
        </is>
      </c>
      <c r="CA7" s="31" t="inlineStr">
        <is>
          <t>Retrospective flat 1.0-unit research scoring; no real wager was placed.</t>
        </is>
      </c>
    </row>
    <row r="8" ht="36" customHeight="1">
      <c r="A8" s="24" t="inlineStr">
        <is>
          <t>0e5a74c4959e4f36</t>
        </is>
      </c>
      <c r="B8" s="24" t="inlineStr">
        <is>
          <t>2026-07-13T03:12:21.134138Z</t>
        </is>
      </c>
      <c r="C8" s="24" t="inlineStr">
        <is>
          <t>2026-07-13T23:00:00Z</t>
        </is>
      </c>
      <c r="D8" s="24" t="inlineStr">
        <is>
          <t>401857064</t>
        </is>
      </c>
      <c r="E8" s="24" t="inlineStr">
        <is>
          <t>WNBA</t>
        </is>
      </c>
      <c r="F8" s="24" t="inlineStr">
        <is>
          <t>Los Angeles Sparks</t>
        </is>
      </c>
      <c r="G8" s="24" t="inlineStr">
        <is>
          <t>Atlanta Dream</t>
        </is>
      </c>
      <c r="H8" s="24" t="inlineStr">
        <is>
          <t>total</t>
        </is>
      </c>
      <c r="I8" s="24" t="inlineStr">
        <is>
          <t>under</t>
        </is>
      </c>
      <c r="J8" s="25" t="n">
        <v>180.5</v>
      </c>
      <c r="K8" s="24" t="inlineStr">
        <is>
          <t>DraftKings via ESPN</t>
        </is>
      </c>
      <c r="L8" s="26" t="n">
        <v>-110</v>
      </c>
      <c r="M8" s="27" t="n">
        <v>1.909091</v>
      </c>
      <c r="N8" s="28" t="n">
        <v>0.52381</v>
      </c>
      <c r="O8" s="28" t="n">
        <v>0.5841</v>
      </c>
      <c r="P8" s="28" t="n">
        <v>0.07000000000000001</v>
      </c>
      <c r="Q8" s="28" t="n">
        <v>0.06029</v>
      </c>
      <c r="R8" s="26" t="n">
        <v>38</v>
      </c>
      <c r="S8" s="29" t="n">
        <v>0</v>
      </c>
      <c r="T8" s="24" t="inlineStr">
        <is>
          <t>wnba-analyst-score-trend-v0.1</t>
        </is>
      </c>
      <c r="U8" s="24" t="inlineStr">
        <is>
          <t>settled</t>
        </is>
      </c>
      <c r="V8" s="24" t="inlineStr">
        <is>
          <t>loss</t>
        </is>
      </c>
      <c r="W8" s="26" t="n">
        <v>92</v>
      </c>
      <c r="X8" s="26" t="n">
        <v>101</v>
      </c>
      <c r="Y8" s="25" t="n"/>
      <c r="Z8" s="26" t="n"/>
      <c r="AA8" s="28" t="n"/>
      <c r="AB8" s="28" t="n"/>
      <c r="AC8" s="30" t="n">
        <v>0</v>
      </c>
      <c r="AD8" s="24" t="inlineStr">
        <is>
          <t>2026-07-14T05:49:16.157662Z</t>
        </is>
      </c>
      <c r="AE8" s="31" t="inlineStr">
        <is>
          <t>Season/recent blended projection: Los Angeles 86.68, Atlanta 90.85 from pregame schedules; 100,000 correlated score simulations. Under 180.5 lands in 58.41% of simulations.</t>
        </is>
      </c>
      <c r="AF8" s="31" t="inlineStr">
        <is>
          <t>Untrained WNBA analyst model; Angel Reese is day-to-day; Brionna Jones, Cameron Brink, and Kelsey Plum are listed out; confirmed lineups unavailable; Polymarket spread/total BBO unavailable, so current DraftKings prices via ESPN are used.</t>
        </is>
      </c>
      <c r="AG8" s="24" t="inlineStr">
        <is>
          <t>complete</t>
        </is>
      </c>
      <c r="AH8" s="24" t="inlineStr">
        <is>
          <t>model_error</t>
        </is>
      </c>
      <c r="AI8" s="31" t="inlineStr">
        <is>
          <t>Under 180.5 lost on a 193-point final; both teams outperformed the projection with efficient shooting and Atlanta free-throw volume, so the total estimate was materially low.</t>
        </is>
      </c>
      <c r="AJ8" s="31" t="inlineStr">
        <is>
          <t>Do not tune from one loss. Flag WNBA totals for a predeclared pace/efficiency and foul-rate review once a larger forward sample settles.</t>
        </is>
      </c>
      <c r="AK8" s="24" t="inlineStr">
        <is>
          <t>research_observation</t>
        </is>
      </c>
      <c r="AL8" s="26" t="n">
        <v>3</v>
      </c>
      <c r="AM8" s="24" t="inlineStr">
        <is>
          <t>RESEARCH_OBSERVATION</t>
        </is>
      </c>
      <c r="AN8" s="24" t="inlineStr">
        <is>
          <t>NO_CALL</t>
        </is>
      </c>
      <c r="AO8" s="24" t="inlineStr">
        <is>
          <t>NO_CALL_MODEL_UNVALIDATED</t>
        </is>
      </c>
      <c r="AP8" s="24" t="inlineStr">
        <is>
          <t>wnba-las</t>
        </is>
      </c>
      <c r="AQ8" s="24" t="inlineStr">
        <is>
          <t>Los Angeles Sparks</t>
        </is>
      </c>
      <c r="AR8" s="24" t="inlineStr">
        <is>
          <t>Los Angeles Sparks</t>
        </is>
      </c>
      <c r="AS8" s="24" t="inlineStr">
        <is>
          <t>wnba-atl</t>
        </is>
      </c>
      <c r="AT8" s="24" t="inlineStr">
        <is>
          <t>Atlanta Dream</t>
        </is>
      </c>
      <c r="AU8" s="24" t="inlineStr">
        <is>
          <t>Atlanta Dream</t>
        </is>
      </c>
      <c r="AV8" s="24" t="n"/>
      <c r="AW8" s="24" t="n"/>
      <c r="AX8" s="24" t="inlineStr">
        <is>
          <t>analyst_estimate</t>
        </is>
      </c>
      <c r="AY8" s="24" t="n"/>
      <c r="AZ8" s="24" t="inlineStr">
        <is>
          <t>research</t>
        </is>
      </c>
      <c r="BA8" s="24" t="n"/>
      <c r="BB8" s="24" t="inlineStr">
        <is>
          <t>identity</t>
        </is>
      </c>
      <c r="BC8" s="24" t="inlineStr">
        <is>
          <t>identity-v1</t>
        </is>
      </c>
      <c r="BD8" s="24" t="n"/>
      <c r="BE8" s="24" t="inlineStr">
        <is>
          <t>1</t>
        </is>
      </c>
      <c r="BF8" s="24" t="inlineStr">
        <is>
          <t>1</t>
        </is>
      </c>
      <c r="BG8" s="24" t="inlineStr">
        <is>
          <t>unknown</t>
        </is>
      </c>
      <c r="BH8" s="24" t="inlineStr">
        <is>
          <t>2026-07-13T03:12:20Z</t>
        </is>
      </c>
      <c r="BI8" s="24" t="inlineStr">
        <is>
          <t>["same_event","same_team_same_day","same_league_same_day"]</t>
        </is>
      </c>
      <c r="BJ8" s="25" t="n">
        <v>180.5</v>
      </c>
      <c r="BK8" s="26" t="n">
        <v>-110</v>
      </c>
      <c r="BL8" s="27" t="n">
        <v>1.909091</v>
      </c>
      <c r="BM8" s="28" t="n">
        <v>0.52381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>
        <v>1</v>
      </c>
      <c r="BY8" s="27" t="n">
        <v>-1</v>
      </c>
      <c r="BZ8" s="24" t="inlineStr">
        <is>
          <t>2026-07-14T05:53:02.801093Z</t>
        </is>
      </c>
      <c r="CA8" s="31" t="inlineStr">
        <is>
          <t>Retrospective flat 1.0-unit research scoring; no real wager was placed.</t>
        </is>
      </c>
    </row>
    <row r="9" ht="36" customHeight="1">
      <c r="A9" s="24" t="inlineStr">
        <is>
          <t>7f4bbc0827204ca8</t>
        </is>
      </c>
      <c r="B9" s="24" t="inlineStr">
        <is>
          <t>2026-07-13T03:12:21.390187Z</t>
        </is>
      </c>
      <c r="C9" s="24" t="inlineStr">
        <is>
          <t>2026-07-14T01:00:00Z</t>
        </is>
      </c>
      <c r="D9" s="24" t="inlineStr">
        <is>
          <t>401857065</t>
        </is>
      </c>
      <c r="E9" s="24" t="inlineStr">
        <is>
          <t>WNBA</t>
        </is>
      </c>
      <c r="F9" s="24" t="inlineStr">
        <is>
          <t>Phoenix Mercury</t>
        </is>
      </c>
      <c r="G9" s="24" t="inlineStr">
        <is>
          <t>Minnesota Lynx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DraftKings via ESPN</t>
        </is>
      </c>
      <c r="L9" s="26" t="n">
        <v>-800</v>
      </c>
      <c r="M9" s="27" t="n">
        <v>1.125</v>
      </c>
      <c r="N9" s="28" t="n">
        <v>0.888889</v>
      </c>
      <c r="O9" s="28" t="n">
        <v>0.7649</v>
      </c>
      <c r="P9" s="28" t="n">
        <v>0.08</v>
      </c>
      <c r="Q9" s="28" t="n">
        <v>-0.123989</v>
      </c>
      <c r="R9" s="26" t="n">
        <v>0</v>
      </c>
      <c r="S9" s="29" t="n">
        <v>0</v>
      </c>
      <c r="T9" s="24" t="inlineStr">
        <is>
          <t>wnba-analyst-score-trend-v0.1</t>
        </is>
      </c>
      <c r="U9" s="24" t="inlineStr">
        <is>
          <t>settled</t>
        </is>
      </c>
      <c r="V9" s="24" t="inlineStr">
        <is>
          <t>win</t>
        </is>
      </c>
      <c r="W9" s="26" t="n">
        <v>100</v>
      </c>
      <c r="X9" s="26" t="n">
        <v>104</v>
      </c>
      <c r="Y9" s="25" t="n"/>
      <c r="Z9" s="26" t="n"/>
      <c r="AA9" s="28" t="n"/>
      <c r="AB9" s="28" t="n"/>
      <c r="AC9" s="30" t="n">
        <v>0</v>
      </c>
      <c r="AD9" s="24" t="inlineStr">
        <is>
          <t>2026-07-14T05:49:16.195083Z</t>
        </is>
      </c>
      <c r="AE9" s="31" t="inlineStr">
        <is>
          <t>Season/recent blended projection: Phoenix 81.05, Minnesota 88.68 from pregame schedules; 100,000 correlated score simulations. Minnesota wins 76.49% of simulations.</t>
        </is>
      </c>
      <c r="AF9" s="31" t="inlineStr">
        <is>
          <t>Untrained WNBA analyst model; Napheesa Collier and Natasha Mack are listed out; Sami Whitcomb is day-to-day; confirmed lineups unavailable; Polymarket total BBO unavailable, so current DraftKings prices via ESPN are used.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NO_CALL_MODEL_UNVALIDATED</t>
        </is>
      </c>
      <c r="AP9" s="24" t="inlineStr">
        <is>
          <t>wnba-phx</t>
        </is>
      </c>
      <c r="AQ9" s="24" t="inlineStr">
        <is>
          <t>Phoenix Mercury</t>
        </is>
      </c>
      <c r="AR9" s="24" t="inlineStr">
        <is>
          <t>Phoenix Mercury</t>
        </is>
      </c>
      <c r="AS9" s="24" t="inlineStr">
        <is>
          <t>wnba-min</t>
        </is>
      </c>
      <c r="AT9" s="24" t="inlineStr">
        <is>
          <t>Minnesota Lynx</t>
        </is>
      </c>
      <c r="AU9" s="24" t="inlineStr">
        <is>
          <t>Minnesota Lynx</t>
        </is>
      </c>
      <c r="AV9" s="24" t="n"/>
      <c r="AW9" s="24" t="n"/>
      <c r="AX9" s="24" t="inlineStr">
        <is>
          <t>analyst_estimate</t>
        </is>
      </c>
      <c r="AY9" s="24" t="n"/>
      <c r="AZ9" s="24" t="inlineStr">
        <is>
          <t>research</t>
        </is>
      </c>
      <c r="BA9" s="24" t="n"/>
      <c r="BB9" s="24" t="inlineStr">
        <is>
          <t>identity</t>
        </is>
      </c>
      <c r="BC9" s="24" t="inlineStr">
        <is>
          <t>identity-v1</t>
        </is>
      </c>
      <c r="BD9" s="24" t="n"/>
      <c r="BE9" s="24" t="inlineStr">
        <is>
          <t>1</t>
        </is>
      </c>
      <c r="BF9" s="24" t="inlineStr">
        <is>
          <t>1</t>
        </is>
      </c>
      <c r="BG9" s="24" t="inlineStr">
        <is>
          <t>unknown</t>
        </is>
      </c>
      <c r="BH9" s="24" t="inlineStr">
        <is>
          <t>2026-07-13T03:12:20Z</t>
        </is>
      </c>
      <c r="BI9" s="24" t="inlineStr">
        <is>
          <t>["same_event","same_team_same_day","same_league_same_day"]</t>
        </is>
      </c>
      <c r="BJ9" s="25" t="n"/>
      <c r="BK9" s="26" t="n">
        <v>-800</v>
      </c>
      <c r="BL9" s="27" t="n">
        <v>1.125</v>
      </c>
      <c r="BM9" s="28" t="n">
        <v>0.888889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>
        <v>1</v>
      </c>
      <c r="BY9" s="27" t="n">
        <v>0.125</v>
      </c>
      <c r="BZ9" s="24" t="inlineStr">
        <is>
          <t>2026-07-14T05:53:02.801093Z</t>
        </is>
      </c>
      <c r="CA9" s="31" t="inlineStr">
        <is>
          <t>Retrospective flat 1.0-unit research scoring; no real wager was placed.</t>
        </is>
      </c>
    </row>
    <row r="10" ht="36" customHeight="1">
      <c r="A10" s="24" t="inlineStr">
        <is>
          <t>28c81cdc14b44f45</t>
        </is>
      </c>
      <c r="B10" s="24" t="inlineStr">
        <is>
          <t>2026-07-13T03:12:21.636302Z</t>
        </is>
      </c>
      <c r="C10" s="24" t="inlineStr">
        <is>
          <t>2026-07-14T01:00:00Z</t>
        </is>
      </c>
      <c r="D10" s="24" t="inlineStr">
        <is>
          <t>401857065</t>
        </is>
      </c>
      <c r="E10" s="24" t="inlineStr">
        <is>
          <t>WNBA</t>
        </is>
      </c>
      <c r="F10" s="24" t="inlineStr">
        <is>
          <t>Phoenix Mercury</t>
        </is>
      </c>
      <c r="G10" s="24" t="inlineStr">
        <is>
          <t>Minnesota Lynx</t>
        </is>
      </c>
      <c r="H10" s="24" t="inlineStr">
        <is>
          <t>spread</t>
        </is>
      </c>
      <c r="I10" s="24" t="inlineStr">
        <is>
          <t>away</t>
        </is>
      </c>
      <c r="J10" s="25" t="n">
        <v>12.5</v>
      </c>
      <c r="K10" s="24" t="inlineStr">
        <is>
          <t>DraftKings via ESPN</t>
        </is>
      </c>
      <c r="L10" s="26" t="n">
        <v>-105</v>
      </c>
      <c r="M10" s="27" t="n">
        <v>1.952381</v>
      </c>
      <c r="N10" s="28" t="n">
        <v>0.512195</v>
      </c>
      <c r="O10" s="28" t="n">
        <v>0.675</v>
      </c>
      <c r="P10" s="28" t="n">
        <v>0.08</v>
      </c>
      <c r="Q10" s="28" t="n">
        <v>0.162805</v>
      </c>
      <c r="R10" s="26" t="n">
        <v>83</v>
      </c>
      <c r="S10" s="29" t="n">
        <v>0</v>
      </c>
      <c r="T10" s="24" t="inlineStr">
        <is>
          <t>wnba-analyst-score-trend-v0.1</t>
        </is>
      </c>
      <c r="U10" s="24" t="inlineStr">
        <is>
          <t>settled</t>
        </is>
      </c>
      <c r="V10" s="24" t="inlineStr">
        <is>
          <t>win</t>
        </is>
      </c>
      <c r="W10" s="26" t="n">
        <v>100</v>
      </c>
      <c r="X10" s="26" t="n">
        <v>104</v>
      </c>
      <c r="Y10" s="25" t="n"/>
      <c r="Z10" s="26" t="n"/>
      <c r="AA10" s="28" t="n"/>
      <c r="AB10" s="28" t="n"/>
      <c r="AC10" s="30" t="n">
        <v>0</v>
      </c>
      <c r="AD10" s="24" t="inlineStr">
        <is>
          <t>2026-07-14T05:49:16.231969Z</t>
        </is>
      </c>
      <c r="AE10" s="31" t="inlineStr">
        <is>
          <t>Season/recent blended projection: Phoenix 81.05, Minnesota 88.68 from pregame schedules; 100,000 correlated score simulations. Phoenix +12.5 covers in 67.50% of simulations.</t>
        </is>
      </c>
      <c r="AF10" s="31" t="inlineStr">
        <is>
          <t>Untrained WNBA analyst model; Napheesa Collier and Natasha Mack are listed out; Sami Whitcomb is day-to-day; confirmed lineups unavailable; Polymarket total BBO unavailable, so current DraftKings prices via ESPN are used.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NO_CALL_MODEL_UNVALIDATED</t>
        </is>
      </c>
      <c r="AP10" s="24" t="inlineStr">
        <is>
          <t>wnba-phx</t>
        </is>
      </c>
      <c r="AQ10" s="24" t="inlineStr">
        <is>
          <t>Phoenix Mercury</t>
        </is>
      </c>
      <c r="AR10" s="24" t="inlineStr">
        <is>
          <t>Phoenix Mercury</t>
        </is>
      </c>
      <c r="AS10" s="24" t="inlineStr">
        <is>
          <t>wnba-min</t>
        </is>
      </c>
      <c r="AT10" s="24" t="inlineStr">
        <is>
          <t>Minnesota Lynx</t>
        </is>
      </c>
      <c r="AU10" s="24" t="inlineStr">
        <is>
          <t>Minnesota Lynx</t>
        </is>
      </c>
      <c r="AV10" s="24" t="n"/>
      <c r="AW10" s="24" t="n"/>
      <c r="AX10" s="24" t="inlineStr">
        <is>
          <t>analyst_estimate</t>
        </is>
      </c>
      <c r="AY10" s="24" t="n"/>
      <c r="AZ10" s="24" t="inlineStr">
        <is>
          <t>research</t>
        </is>
      </c>
      <c r="BA10" s="24" t="n"/>
      <c r="BB10" s="24" t="inlineStr">
        <is>
          <t>identity</t>
        </is>
      </c>
      <c r="BC10" s="24" t="inlineStr">
        <is>
          <t>identity-v1</t>
        </is>
      </c>
      <c r="BD10" s="24" t="n"/>
      <c r="BE10" s="24" t="inlineStr">
        <is>
          <t>1</t>
        </is>
      </c>
      <c r="BF10" s="24" t="inlineStr">
        <is>
          <t>1</t>
        </is>
      </c>
      <c r="BG10" s="24" t="inlineStr">
        <is>
          <t>unknown</t>
        </is>
      </c>
      <c r="BH10" s="24" t="inlineStr">
        <is>
          <t>2026-07-13T03:12:20Z</t>
        </is>
      </c>
      <c r="BI10" s="24" t="inlineStr">
        <is>
          <t>["same_event","same_team_same_day","same_league_same_day"]</t>
        </is>
      </c>
      <c r="BJ10" s="25" t="n">
        <v>12.5</v>
      </c>
      <c r="BK10" s="26" t="n">
        <v>-105</v>
      </c>
      <c r="BL10" s="27" t="n">
        <v>1.952381</v>
      </c>
      <c r="BM10" s="28" t="n">
        <v>0.512195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>
        <v>1</v>
      </c>
      <c r="BY10" s="27" t="n">
        <v>0.952381</v>
      </c>
      <c r="BZ10" s="24" t="inlineStr">
        <is>
          <t>2026-07-14T05:53:02.801093Z</t>
        </is>
      </c>
      <c r="CA10" s="31" t="inlineStr">
        <is>
          <t>Retrospective flat 1.0-unit research scoring; no real wager was placed.</t>
        </is>
      </c>
    </row>
    <row r="11" ht="36" customHeight="1">
      <c r="A11" s="24" t="inlineStr">
        <is>
          <t>9bbd176b797a48dd</t>
        </is>
      </c>
      <c r="B11" s="24" t="inlineStr">
        <is>
          <t>2026-07-13T03:12:21.915185Z</t>
        </is>
      </c>
      <c r="C11" s="24" t="inlineStr">
        <is>
          <t>2026-07-14T01:00:00Z</t>
        </is>
      </c>
      <c r="D11" s="24" t="inlineStr">
        <is>
          <t>401857065</t>
        </is>
      </c>
      <c r="E11" s="24" t="inlineStr">
        <is>
          <t>WNBA</t>
        </is>
      </c>
      <c r="F11" s="24" t="inlineStr">
        <is>
          <t>Phoenix Mercury</t>
        </is>
      </c>
      <c r="G11" s="24" t="inlineStr">
        <is>
          <t>Minnesota Lynx</t>
        </is>
      </c>
      <c r="H11" s="24" t="inlineStr">
        <is>
          <t>total</t>
        </is>
      </c>
      <c r="I11" s="24" t="inlineStr">
        <is>
          <t>over</t>
        </is>
      </c>
      <c r="J11" s="25" t="n">
        <v>169.5</v>
      </c>
      <c r="K11" s="24" t="inlineStr">
        <is>
          <t>DraftKings via ESPN</t>
        </is>
      </c>
      <c r="L11" s="26" t="n">
        <v>-110</v>
      </c>
      <c r="M11" s="27" t="n">
        <v>1.909091</v>
      </c>
      <c r="N11" s="28" t="n">
        <v>0.52381</v>
      </c>
      <c r="O11" s="28" t="n">
        <v>0.5077</v>
      </c>
      <c r="P11" s="28" t="n">
        <v>0.08</v>
      </c>
      <c r="Q11" s="28" t="n">
        <v>-0.01611</v>
      </c>
      <c r="R11" s="26" t="n">
        <v>0</v>
      </c>
      <c r="S11" s="29" t="n">
        <v>0</v>
      </c>
      <c r="T11" s="24" t="inlineStr">
        <is>
          <t>wnba-analyst-score-trend-v0.1</t>
        </is>
      </c>
      <c r="U11" s="24" t="inlineStr">
        <is>
          <t>settled</t>
        </is>
      </c>
      <c r="V11" s="24" t="inlineStr">
        <is>
          <t>win</t>
        </is>
      </c>
      <c r="W11" s="26" t="n">
        <v>100</v>
      </c>
      <c r="X11" s="26" t="n">
        <v>104</v>
      </c>
      <c r="Y11" s="25" t="n"/>
      <c r="Z11" s="26" t="n"/>
      <c r="AA11" s="28" t="n"/>
      <c r="AB11" s="28" t="n"/>
      <c r="AC11" s="30" t="n">
        <v>0</v>
      </c>
      <c r="AD11" s="24" t="inlineStr">
        <is>
          <t>2026-07-14T05:49:16.268316Z</t>
        </is>
      </c>
      <c r="AE11" s="31" t="inlineStr">
        <is>
          <t>Season/recent blended projection: Phoenix 81.05, Minnesota 88.68 from pregame schedules; 100,000 correlated score simulations. Over 169.5 lands in 50.77% of simulations; this is the mandatory flat side call.</t>
        </is>
      </c>
      <c r="AF11" s="31" t="inlineStr">
        <is>
          <t>Untrained WNBA analyst model; Napheesa Collier and Natasha Mack are listed out; Sami Whitcomb is day-to-day; confirmed lineups unavailable; Polymarket total BBO unavailable, so current DraftKings prices via ESPN are used. Total is effectively a coin flip and has negative raw edge at the current price.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wnba-phx</t>
        </is>
      </c>
      <c r="AQ11" s="24" t="inlineStr">
        <is>
          <t>Phoenix Mercury</t>
        </is>
      </c>
      <c r="AR11" s="24" t="inlineStr">
        <is>
          <t>Phoenix Mercury</t>
        </is>
      </c>
      <c r="AS11" s="24" t="inlineStr">
        <is>
          <t>wnba-min</t>
        </is>
      </c>
      <c r="AT11" s="24" t="inlineStr">
        <is>
          <t>Minnesota Lynx</t>
        </is>
      </c>
      <c r="AU11" s="24" t="inlineStr">
        <is>
          <t>Minnesota Lynx</t>
        </is>
      </c>
      <c r="AV11" s="24" t="n"/>
      <c r="AW11" s="24" t="n"/>
      <c r="AX11" s="24" t="inlineStr">
        <is>
          <t>analyst_estimate</t>
        </is>
      </c>
      <c r="AY11" s="24" t="n"/>
      <c r="AZ11" s="24" t="inlineStr">
        <is>
          <t>research</t>
        </is>
      </c>
      <c r="BA11" s="24" t="n"/>
      <c r="BB11" s="24" t="inlineStr">
        <is>
          <t>identity</t>
        </is>
      </c>
      <c r="BC11" s="24" t="inlineStr">
        <is>
          <t>identity-v1</t>
        </is>
      </c>
      <c r="BD11" s="24" t="n"/>
      <c r="BE11" s="24" t="inlineStr">
        <is>
          <t>1</t>
        </is>
      </c>
      <c r="BF11" s="24" t="inlineStr">
        <is>
          <t>1</t>
        </is>
      </c>
      <c r="BG11" s="24" t="inlineStr">
        <is>
          <t>unknown</t>
        </is>
      </c>
      <c r="BH11" s="24" t="inlineStr">
        <is>
          <t>2026-07-13T03:12:20Z</t>
        </is>
      </c>
      <c r="BI11" s="24" t="inlineStr">
        <is>
          <t>["same_event","same_team_same_day","same_league_same_day"]</t>
        </is>
      </c>
      <c r="BJ11" s="25" t="n">
        <v>169.5</v>
      </c>
      <c r="BK11" s="26" t="n">
        <v>-110</v>
      </c>
      <c r="BL11" s="27" t="n">
        <v>1.909091</v>
      </c>
      <c r="BM11" s="28" t="n">
        <v>0.52381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>
        <v>1</v>
      </c>
      <c r="BY11" s="27" t="n">
        <v>0.909091</v>
      </c>
      <c r="BZ11" s="24" t="inlineStr">
        <is>
          <t>2026-07-14T05:53:02.801093Z</t>
        </is>
      </c>
      <c r="CA11" s="31" t="inlineStr">
        <is>
          <t>Retrospective flat 1.0-unit research scoring; no real wager was placed.</t>
        </is>
      </c>
    </row>
    <row r="12" ht="36" customHeight="1">
      <c r="A12" s="24" t="inlineStr">
        <is>
          <t>80a68dd7e7e4443d</t>
        </is>
      </c>
      <c r="B12" s="24" t="inlineStr">
        <is>
          <t>2026-07-14T07:30:53.121308Z</t>
        </is>
      </c>
      <c r="C12" s="24" t="inlineStr">
        <is>
          <t>2026-07-16T23:00:00Z</t>
        </is>
      </c>
      <c r="D12" s="24" t="inlineStr">
        <is>
          <t>pmus-49209</t>
        </is>
      </c>
      <c r="E12" s="24" t="inlineStr">
        <is>
          <t>WNBA</t>
        </is>
      </c>
      <c r="F12" s="24" t="inlineStr">
        <is>
          <t>Portland Fire</t>
        </is>
      </c>
      <c r="G12" s="24" t="inlineStr">
        <is>
          <t>Washington Mystics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 US event quote (indicative; BBO unavailable)</t>
        </is>
      </c>
      <c r="L12" s="26" t="n">
        <v>-300</v>
      </c>
      <c r="M12" s="27" t="n">
        <v>1.333333</v>
      </c>
      <c r="N12" s="28" t="n">
        <v>0.75</v>
      </c>
      <c r="O12" s="28" t="n">
        <v>0.75</v>
      </c>
      <c r="P12" s="28" t="n">
        <v>0.12</v>
      </c>
      <c r="Q12" s="28" t="n">
        <v>0</v>
      </c>
      <c r="R12" s="26" t="n">
        <v>0</v>
      </c>
      <c r="S12" s="29" t="n">
        <v>0</v>
      </c>
      <c r="T12" s="24" t="inlineStr">
        <is>
          <t>polymarket-us-event-quote-baseline-v0.1</t>
        </is>
      </c>
      <c r="U12" s="24" t="inlineStr">
        <is>
          <t>settled</t>
        </is>
      </c>
      <c r="V12" s="24" t="inlineStr">
        <is>
          <t>loss</t>
        </is>
      </c>
      <c r="W12" s="26" t="n">
        <v>75</v>
      </c>
      <c r="X12" s="26" t="n">
        <v>56</v>
      </c>
      <c r="Y12" s="25" t="n"/>
      <c r="Z12" s="26" t="n"/>
      <c r="AA12" s="28" t="n"/>
      <c r="AB12" s="28" t="n"/>
      <c r="AC12" s="30" t="n">
        <v>0</v>
      </c>
      <c r="AD12" s="24" t="inlineStr">
        <is>
          <t>2026-07-17T10:22:35.085668Z</t>
        </is>
      </c>
      <c r="AE12" s="31" t="inlineStr">
        <is>
          <t>Polymarket US event-list quote baseline from aec-wnba-por-wsh-2026-07-16; selected Mystics at indicative probability 75.00%. This is market tracking, not an independent edge model.</t>
        </is>
      </c>
      <c r="AF12" s="31" t="inlineStr">
        <is>
          <t>Exact market BBO returned no bid/ask; event-list quotes are discovery/indicative data and are not executable truth. Logged as zero-unit market baseline only; do not place as a real bet from this row.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NO_CALL_MODEL_UNVALIDATED</t>
        </is>
      </c>
      <c r="AP12" s="24" t="inlineStr">
        <is>
          <t>wnba-por</t>
        </is>
      </c>
      <c r="AQ12" s="24" t="inlineStr">
        <is>
          <t>Portland Fire</t>
        </is>
      </c>
      <c r="AR12" s="24" t="inlineStr">
        <is>
          <t>Portland</t>
        </is>
      </c>
      <c r="AS12" s="24" t="inlineStr">
        <is>
          <t>wnba-was</t>
        </is>
      </c>
      <c r="AT12" s="24" t="inlineStr">
        <is>
          <t>Washington Mystics</t>
        </is>
      </c>
      <c r="AU12" s="24" t="inlineStr">
        <is>
          <t>Washington</t>
        </is>
      </c>
      <c r="AV12" s="24" t="n"/>
      <c r="AW12" s="24" t="n"/>
      <c r="AX12" s="24" t="inlineStr">
        <is>
          <t>market_baseline</t>
        </is>
      </c>
      <c r="AY12" s="24" t="inlineStr">
        <is>
          <t>BASELINE_BOOK_RAW</t>
        </is>
      </c>
      <c r="AZ12" s="24" t="inlineStr">
        <is>
          <t>research</t>
        </is>
      </c>
      <c r="BA12" s="24" t="n"/>
      <c r="BB12" s="24" t="inlineStr">
        <is>
          <t>identity</t>
        </is>
      </c>
      <c r="BC12" s="24" t="inlineStr">
        <is>
          <t>identity-v1</t>
        </is>
      </c>
      <c r="BD12" s="24" t="n"/>
      <c r="BE12" s="24" t="inlineStr">
        <is>
          <t>1</t>
        </is>
      </c>
      <c r="BF12" s="24" t="inlineStr">
        <is>
          <t>1</t>
        </is>
      </c>
      <c r="BG12" s="24" t="inlineStr">
        <is>
          <t>polymarket-us-api-baseline-v0.1</t>
        </is>
      </c>
      <c r="BH12" s="24" t="inlineStr">
        <is>
          <t>2026-07-14T07:30:48.611631Z</t>
        </is>
      </c>
      <c r="BI12" s="24" t="inlineStr">
        <is>
          <t>["same_league_same_day"]</t>
        </is>
      </c>
      <c r="BJ12" s="25" t="n"/>
      <c r="BK12" s="26" t="n">
        <v>-300</v>
      </c>
      <c r="BL12" s="27" t="n">
        <v>1.333333</v>
      </c>
      <c r="BM12" s="28" t="n">
        <v>0.75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>
        <v>1</v>
      </c>
      <c r="BY12" s="27" t="n">
        <v>-1</v>
      </c>
      <c r="BZ12" s="24" t="inlineStr">
        <is>
          <t>2026-07-17T10:22:35.085668Z</t>
        </is>
      </c>
      <c r="CA12" s="31" t="inlineStr">
        <is>
          <t>fixed one-unit hypothetical scoring; no real exposure or execution</t>
        </is>
      </c>
    </row>
    <row r="13" ht="36" customHeight="1">
      <c r="A13" s="24" t="inlineStr">
        <is>
          <t>f4d97fa3d7db4b21</t>
        </is>
      </c>
      <c r="B13" s="24" t="inlineStr">
        <is>
          <t>2026-07-14T07:30:53.179159Z</t>
        </is>
      </c>
      <c r="C13" s="24" t="inlineStr">
        <is>
          <t>2026-07-17T01:00:00Z</t>
        </is>
      </c>
      <c r="D13" s="24" t="inlineStr">
        <is>
          <t>pmus-49211</t>
        </is>
      </c>
      <c r="E13" s="24" t="inlineStr">
        <is>
          <t>WNBA</t>
        </is>
      </c>
      <c r="F13" s="24" t="inlineStr">
        <is>
          <t>New York Liberty</t>
        </is>
      </c>
      <c r="G13" s="24" t="inlineStr">
        <is>
          <t>Dallas Wings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 US event quote (indicative; BBO unavailable)</t>
        </is>
      </c>
      <c r="L13" s="26" t="n">
        <v>-133</v>
      </c>
      <c r="M13" s="27" t="n">
        <v>1.75188</v>
      </c>
      <c r="N13" s="28" t="n">
        <v>0.570815</v>
      </c>
      <c r="O13" s="28" t="n">
        <v>0.57</v>
      </c>
      <c r="P13" s="28" t="n">
        <v>0.12</v>
      </c>
      <c r="Q13" s="28" t="n">
        <v>-0.000815</v>
      </c>
      <c r="R13" s="26" t="n">
        <v>0</v>
      </c>
      <c r="S13" s="29" t="n">
        <v>0</v>
      </c>
      <c r="T13" s="24" t="inlineStr">
        <is>
          <t>polymarket-us-event-quote-baseline-v0.1</t>
        </is>
      </c>
      <c r="U13" s="24" t="inlineStr">
        <is>
          <t>settled</t>
        </is>
      </c>
      <c r="V13" s="24" t="inlineStr">
        <is>
          <t>push</t>
        </is>
      </c>
      <c r="W13" s="26" t="n"/>
      <c r="X13" s="26" t="n"/>
      <c r="Y13" s="25" t="n"/>
      <c r="Z13" s="26" t="n"/>
      <c r="AA13" s="28" t="n"/>
      <c r="AB13" s="28" t="n"/>
      <c r="AC13" s="30" t="n">
        <v>0</v>
      </c>
      <c r="AD13" s="24" t="inlineStr">
        <is>
          <t>2026-07-17T10:36:29.048068Z</t>
        </is>
      </c>
      <c r="AE13" s="31" t="inlineStr">
        <is>
          <t>Polymarket US event-list quote baseline from aec-wnba-ny-dal-2026-07-16; selected Liberty at indicative probability 57.00%. This is market tracking, not an independent edge model.</t>
        </is>
      </c>
      <c r="AF13" s="31" t="inlineStr">
        <is>
          <t>Exact market BBO returned no bid/ask; event-list quotes are discovery/indicative data and are not executable truth. Logged as zero-unit market baseline only; do not place as a real bet from this row.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research_observation</t>
        </is>
      </c>
      <c r="AL13" s="26" t="n">
        <v>3</v>
      </c>
      <c r="AM13" s="24" t="inlineStr">
        <is>
          <t>RESEARCH_OBSERVATION</t>
        </is>
      </c>
      <c r="AN13" s="24" t="inlineStr">
        <is>
          <t>NO_CALL</t>
        </is>
      </c>
      <c r="AO13" s="24" t="inlineStr">
        <is>
          <t>NO_CALL_MODEL_UNVALIDATED</t>
        </is>
      </c>
      <c r="AP13" s="24" t="inlineStr">
        <is>
          <t>wnba-nyl</t>
        </is>
      </c>
      <c r="AQ13" s="24" t="inlineStr">
        <is>
          <t>New York Liberty</t>
        </is>
      </c>
      <c r="AR13" s="24" t="inlineStr">
        <is>
          <t>New York</t>
        </is>
      </c>
      <c r="AS13" s="24" t="inlineStr">
        <is>
          <t>wnba-dal</t>
        </is>
      </c>
      <c r="AT13" s="24" t="inlineStr">
        <is>
          <t>Dallas Wings</t>
        </is>
      </c>
      <c r="AU13" s="24" t="inlineStr">
        <is>
          <t>Dallas</t>
        </is>
      </c>
      <c r="AV13" s="24" t="n"/>
      <c r="AW13" s="24" t="n"/>
      <c r="AX13" s="24" t="inlineStr">
        <is>
          <t>market_baseline</t>
        </is>
      </c>
      <c r="AY13" s="24" t="inlineStr">
        <is>
          <t>BASELINE_BOOK_RAW</t>
        </is>
      </c>
      <c r="AZ13" s="24" t="inlineStr">
        <is>
          <t>research</t>
        </is>
      </c>
      <c r="BA13" s="24" t="n"/>
      <c r="BB13" s="24" t="inlineStr">
        <is>
          <t>identity</t>
        </is>
      </c>
      <c r="BC13" s="24" t="inlineStr">
        <is>
          <t>identity-v1</t>
        </is>
      </c>
      <c r="BD13" s="24" t="n"/>
      <c r="BE13" s="24" t="inlineStr">
        <is>
          <t>1</t>
        </is>
      </c>
      <c r="BF13" s="24" t="inlineStr">
        <is>
          <t>1</t>
        </is>
      </c>
      <c r="BG13" s="24" t="inlineStr">
        <is>
          <t>polymarket-us-api-baseline-v0.1</t>
        </is>
      </c>
      <c r="BH13" s="24" t="inlineStr">
        <is>
          <t>2026-07-14T07:30:48.611631Z</t>
        </is>
      </c>
      <c r="BI13" s="24" t="inlineStr">
        <is>
          <t>["same_league_same_day"]</t>
        </is>
      </c>
      <c r="BJ13" s="25" t="n"/>
      <c r="BK13" s="26" t="n">
        <v>-133</v>
      </c>
      <c r="BL13" s="27" t="n">
        <v>1.75188</v>
      </c>
      <c r="BM13" s="28" t="n">
        <v>0.570815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inlineStr">
        <is>
          <t>event status_postponed</t>
        </is>
      </c>
      <c r="BX13" s="30" t="n"/>
      <c r="BY13" s="27" t="n"/>
      <c r="BZ13" s="24" t="n"/>
      <c r="CA13" s="31" t="n"/>
    </row>
    <row r="14" ht="36" customHeight="1">
      <c r="A14" s="24" t="inlineStr">
        <is>
          <t>6222f2f3c6ad426c</t>
        </is>
      </c>
      <c r="B14" s="24" t="inlineStr">
        <is>
          <t>2026-07-14T07:32:21.793621Z</t>
        </is>
      </c>
      <c r="C14" s="24" t="inlineStr">
        <is>
          <t>2026-07-17T23:30:00Z</t>
        </is>
      </c>
      <c r="D14" s="24" t="inlineStr">
        <is>
          <t>pmus-50547</t>
        </is>
      </c>
      <c r="E14" s="24" t="inlineStr">
        <is>
          <t>WNBA</t>
        </is>
      </c>
      <c r="F14" s="24" t="inlineStr">
        <is>
          <t>Seattle Storm</t>
        </is>
      </c>
      <c r="G14" s="24" t="inlineStr">
        <is>
          <t>Indiana Fever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 US event quote (indicative; BBO unavailable)</t>
        </is>
      </c>
      <c r="L14" s="26" t="n">
        <v>-1150</v>
      </c>
      <c r="M14" s="27" t="n">
        <v>1.086957</v>
      </c>
      <c r="N14" s="28" t="n">
        <v>0.92</v>
      </c>
      <c r="O14" s="28" t="n">
        <v>0.92</v>
      </c>
      <c r="P14" s="28" t="n">
        <v>0.12</v>
      </c>
      <c r="Q14" s="28" t="n">
        <v>0</v>
      </c>
      <c r="R14" s="26" t="n">
        <v>0</v>
      </c>
      <c r="S14" s="29" t="n">
        <v>0</v>
      </c>
      <c r="T14" s="24" t="inlineStr">
        <is>
          <t>polymarket-us-event-quote-baseline-v0.1</t>
        </is>
      </c>
      <c r="U14" s="24" t="inlineStr">
        <is>
          <t>open</t>
        </is>
      </c>
      <c r="V14" s="24" t="n"/>
      <c r="W14" s="26" t="n"/>
      <c r="X14" s="26" t="n"/>
      <c r="Y14" s="25" t="n"/>
      <c r="Z14" s="26" t="n"/>
      <c r="AA14" s="28" t="n"/>
      <c r="AB14" s="28" t="n"/>
      <c r="AC14" s="30" t="n"/>
      <c r="AD14" s="24" t="n"/>
      <c r="AE14" s="31" t="inlineStr">
        <is>
          <t>Polymarket US event-list quote baseline from aec-wnba-sea-ind-2026-07-17; selected Fever at indicative probability 92.00%. This is market tracking, not an independent edge model.</t>
        </is>
      </c>
      <c r="AF14" s="31" t="inlineStr">
        <is>
          <t>Exact market BBO returned no bid/ask; event-list quotes are discovery/indicative data and are not executable truth. Logged as zero-unit market baseline only; do not place as a real bet from this row.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NO_CALL_MODEL_UNVALIDATED</t>
        </is>
      </c>
      <c r="AP14" s="24" t="inlineStr">
        <is>
          <t>wnba-sea</t>
        </is>
      </c>
      <c r="AQ14" s="24" t="inlineStr">
        <is>
          <t>Seattle Storm</t>
        </is>
      </c>
      <c r="AR14" s="24" t="inlineStr">
        <is>
          <t>Seattle</t>
        </is>
      </c>
      <c r="AS14" s="24" t="inlineStr">
        <is>
          <t>wnba-ind</t>
        </is>
      </c>
      <c r="AT14" s="24" t="inlineStr">
        <is>
          <t>Indiana Fever</t>
        </is>
      </c>
      <c r="AU14" s="24" t="inlineStr">
        <is>
          <t>Indiana</t>
        </is>
      </c>
      <c r="AV14" s="24" t="n"/>
      <c r="AW14" s="24" t="n"/>
      <c r="AX14" s="24" t="inlineStr">
        <is>
          <t>market_baseline</t>
        </is>
      </c>
      <c r="AY14" s="24" t="inlineStr">
        <is>
          <t>BASELINE_BOOK_RAW</t>
        </is>
      </c>
      <c r="AZ14" s="24" t="inlineStr">
        <is>
          <t>research</t>
        </is>
      </c>
      <c r="BA14" s="24" t="n"/>
      <c r="BB14" s="24" t="inlineStr">
        <is>
          <t>identity</t>
        </is>
      </c>
      <c r="BC14" s="24" t="inlineStr">
        <is>
          <t>identity-v1</t>
        </is>
      </c>
      <c r="BD14" s="24" t="n"/>
      <c r="BE14" s="24" t="inlineStr">
        <is>
          <t>1</t>
        </is>
      </c>
      <c r="BF14" s="24" t="inlineStr">
        <is>
          <t>1</t>
        </is>
      </c>
      <c r="BG14" s="24" t="inlineStr">
        <is>
          <t>polymarket-us-api-baseline-v0.1</t>
        </is>
      </c>
      <c r="BH14" s="24" t="inlineStr">
        <is>
          <t>2026-07-14T07:32:17.697327Z</t>
        </is>
      </c>
      <c r="BI14" s="24" t="inlineStr">
        <is>
          <t>["same_league_same_day"]</t>
        </is>
      </c>
      <c r="BJ14" s="25" t="n"/>
      <c r="BK14" s="26" t="n">
        <v>-1150</v>
      </c>
      <c r="BL14" s="27" t="n">
        <v>1.086957</v>
      </c>
      <c r="BM14" s="28" t="n">
        <v>0.92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</row>
    <row r="15" ht="36" customHeight="1">
      <c r="A15" s="24" t="inlineStr">
        <is>
          <t>ea16187159c54020</t>
        </is>
      </c>
      <c r="B15" s="24" t="inlineStr">
        <is>
          <t>2026-07-14T07:32:21.848614Z</t>
        </is>
      </c>
      <c r="C15" s="24" t="inlineStr">
        <is>
          <t>2026-07-17T23:30:00Z</t>
        </is>
      </c>
      <c r="D15" s="24" t="inlineStr">
        <is>
          <t>pmus-50548</t>
        </is>
      </c>
      <c r="E15" s="24" t="inlineStr">
        <is>
          <t>WNBA</t>
        </is>
      </c>
      <c r="F15" s="24" t="inlineStr">
        <is>
          <t>Atlanta Dream</t>
        </is>
      </c>
      <c r="G15" s="24" t="inlineStr">
        <is>
          <t>Toronto Tempo</t>
        </is>
      </c>
      <c r="H15" s="24" t="inlineStr">
        <is>
          <t>moneyline</t>
        </is>
      </c>
      <c r="I15" s="24" t="inlineStr">
        <is>
          <t>away</t>
        </is>
      </c>
      <c r="J15" s="25" t="n"/>
      <c r="K15" s="24" t="inlineStr">
        <is>
          <t>Polymarket US event quote (indicative; BBO unavailable)</t>
        </is>
      </c>
      <c r="L15" s="26" t="n">
        <v>-355</v>
      </c>
      <c r="M15" s="27" t="n">
        <v>1.28169</v>
      </c>
      <c r="N15" s="28" t="n">
        <v>0.78022</v>
      </c>
      <c r="O15" s="28" t="n">
        <v>0.78</v>
      </c>
      <c r="P15" s="28" t="n">
        <v>0.12</v>
      </c>
      <c r="Q15" s="28" t="n">
        <v>-0.00022</v>
      </c>
      <c r="R15" s="26" t="n">
        <v>0</v>
      </c>
      <c r="S15" s="29" t="n">
        <v>0</v>
      </c>
      <c r="T15" s="24" t="inlineStr">
        <is>
          <t>polymarket-us-event-quote-baseline-v0.1</t>
        </is>
      </c>
      <c r="U15" s="24" t="inlineStr">
        <is>
          <t>open</t>
        </is>
      </c>
      <c r="V15" s="24" t="n"/>
      <c r="W15" s="26" t="n"/>
      <c r="X15" s="26" t="n"/>
      <c r="Y15" s="25" t="n"/>
      <c r="Z15" s="26" t="n"/>
      <c r="AA15" s="28" t="n"/>
      <c r="AB15" s="28" t="n"/>
      <c r="AC15" s="30" t="n"/>
      <c r="AD15" s="24" t="n"/>
      <c r="AE15" s="31" t="inlineStr">
        <is>
          <t>Polymarket US event-list quote baseline from aec-wnba-atl-tor-2026-07-17; selected Dream at indicative probability 78.00%. This is market tracking, not an independent edge model.</t>
        </is>
      </c>
      <c r="AF15" s="31" t="inlineStr">
        <is>
          <t>Exact market BBO returned no bid/ask; event-list quotes are discovery/indicative data and are not executable truth. Logged as zero-unit market baseline only; do not place as a real bet from this row.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NO_CALL_MODEL_UNVALIDATED</t>
        </is>
      </c>
      <c r="AP15" s="24" t="inlineStr">
        <is>
          <t>wnba-atl</t>
        </is>
      </c>
      <c r="AQ15" s="24" t="inlineStr">
        <is>
          <t>Atlanta Dream</t>
        </is>
      </c>
      <c r="AR15" s="24" t="inlineStr">
        <is>
          <t>Atlanta</t>
        </is>
      </c>
      <c r="AS15" s="24" t="inlineStr">
        <is>
          <t>wnba-tor</t>
        </is>
      </c>
      <c r="AT15" s="24" t="inlineStr">
        <is>
          <t>Toronto Tempo</t>
        </is>
      </c>
      <c r="AU15" s="24" t="inlineStr">
        <is>
          <t>Toronto</t>
        </is>
      </c>
      <c r="AV15" s="24" t="n"/>
      <c r="AW15" s="24" t="n"/>
      <c r="AX15" s="24" t="inlineStr">
        <is>
          <t>market_baseline</t>
        </is>
      </c>
      <c r="AY15" s="24" t="inlineStr">
        <is>
          <t>BASELINE_BOOK_RAW</t>
        </is>
      </c>
      <c r="AZ15" s="24" t="inlineStr">
        <is>
          <t>research</t>
        </is>
      </c>
      <c r="BA15" s="24" t="n"/>
      <c r="BB15" s="24" t="inlineStr">
        <is>
          <t>identity</t>
        </is>
      </c>
      <c r="BC15" s="24" t="inlineStr">
        <is>
          <t>identity-v1</t>
        </is>
      </c>
      <c r="BD15" s="24" t="n"/>
      <c r="BE15" s="24" t="inlineStr">
        <is>
          <t>1</t>
        </is>
      </c>
      <c r="BF15" s="24" t="inlineStr">
        <is>
          <t>1</t>
        </is>
      </c>
      <c r="BG15" s="24" t="inlineStr">
        <is>
          <t>polymarket-us-api-baseline-v0.1</t>
        </is>
      </c>
      <c r="BH15" s="24" t="inlineStr">
        <is>
          <t>2026-07-14T07:32:17.697327Z</t>
        </is>
      </c>
      <c r="BI15" s="24" t="inlineStr">
        <is>
          <t>["same_league_same_day"]</t>
        </is>
      </c>
      <c r="BJ15" s="25" t="n"/>
      <c r="BK15" s="26" t="n">
        <v>-355</v>
      </c>
      <c r="BL15" s="27" t="n">
        <v>1.28169</v>
      </c>
      <c r="BM15" s="28" t="n">
        <v>0.78022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</row>
    <row r="16" ht="36" customHeight="1">
      <c r="A16" s="24" t="inlineStr">
        <is>
          <t>6c188960860d46fa</t>
        </is>
      </c>
      <c r="B16" s="24" t="inlineStr">
        <is>
          <t>2026-07-14T07:32:21.904534Z</t>
        </is>
      </c>
      <c r="C16" s="24" t="inlineStr">
        <is>
          <t>2026-07-17T23:30:00Z</t>
        </is>
      </c>
      <c r="D16" s="24" t="inlineStr">
        <is>
          <t>pmus-50549</t>
        </is>
      </c>
      <c r="E16" s="24" t="inlineStr">
        <is>
          <t>WNBA</t>
        </is>
      </c>
      <c r="F16" s="24" t="inlineStr">
        <is>
          <t>Los Angeles Sparks</t>
        </is>
      </c>
      <c r="G16" s="24" t="inlineStr">
        <is>
          <t>Chicago Sky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 US event quote (indicative; BBO unavailable)</t>
        </is>
      </c>
      <c r="L16" s="26" t="n">
        <v>-285</v>
      </c>
      <c r="M16" s="27" t="n">
        <v>1.350877</v>
      </c>
      <c r="N16" s="28" t="n">
        <v>0.74026</v>
      </c>
      <c r="O16" s="28" t="n">
        <v>0.74</v>
      </c>
      <c r="P16" s="28" t="n">
        <v>0.12</v>
      </c>
      <c r="Q16" s="28" t="n">
        <v>-0.00026</v>
      </c>
      <c r="R16" s="26" t="n">
        <v>0</v>
      </c>
      <c r="S16" s="29" t="n">
        <v>0</v>
      </c>
      <c r="T16" s="24" t="inlineStr">
        <is>
          <t>polymarket-us-event-quote-baseline-v0.1</t>
        </is>
      </c>
      <c r="U16" s="24" t="inlineStr">
        <is>
          <t>open</t>
        </is>
      </c>
      <c r="V16" s="24" t="n"/>
      <c r="W16" s="26" t="n"/>
      <c r="X16" s="26" t="n"/>
      <c r="Y16" s="25" t="n"/>
      <c r="Z16" s="26" t="n"/>
      <c r="AA16" s="28" t="n"/>
      <c r="AB16" s="28" t="n"/>
      <c r="AC16" s="30" t="n"/>
      <c r="AD16" s="24" t="n"/>
      <c r="AE16" s="31" t="inlineStr">
        <is>
          <t>Polymarket US event-list quote baseline from aec-wnba-la-chi-2026-07-17; selected Sparks at indicative probability 74.00%. This is market tracking, not an independent edge model.</t>
        </is>
      </c>
      <c r="AF16" s="31" t="inlineStr">
        <is>
          <t>Exact market BBO returned no bid/ask; event-list quotes are discovery/indicative data and are not executable truth. Logged as zero-unit market baseline only; do not place as a real bet from this row.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NO_CALL_MODEL_UNVALIDATED</t>
        </is>
      </c>
      <c r="AP16" s="24" t="inlineStr">
        <is>
          <t>wnba-las</t>
        </is>
      </c>
      <c r="AQ16" s="24" t="inlineStr">
        <is>
          <t>Los Angeles Sparks</t>
        </is>
      </c>
      <c r="AR16" s="24" t="inlineStr">
        <is>
          <t>Los Angeles</t>
        </is>
      </c>
      <c r="AS16" s="24" t="inlineStr">
        <is>
          <t>wnba-chi</t>
        </is>
      </c>
      <c r="AT16" s="24" t="inlineStr">
        <is>
          <t>Chicago Sky</t>
        </is>
      </c>
      <c r="AU16" s="24" t="inlineStr">
        <is>
          <t>Chicago</t>
        </is>
      </c>
      <c r="AV16" s="24" t="n"/>
      <c r="AW16" s="24" t="n"/>
      <c r="AX16" s="24" t="inlineStr">
        <is>
          <t>market_baseline</t>
        </is>
      </c>
      <c r="AY16" s="24" t="inlineStr">
        <is>
          <t>BASELINE_BOOK_RAW</t>
        </is>
      </c>
      <c r="AZ16" s="24" t="inlineStr">
        <is>
          <t>research</t>
        </is>
      </c>
      <c r="BA16" s="24" t="n"/>
      <c r="BB16" s="24" t="inlineStr">
        <is>
          <t>identity</t>
        </is>
      </c>
      <c r="BC16" s="24" t="inlineStr">
        <is>
          <t>identity-v1</t>
        </is>
      </c>
      <c r="BD16" s="24" t="n"/>
      <c r="BE16" s="24" t="inlineStr">
        <is>
          <t>1</t>
        </is>
      </c>
      <c r="BF16" s="24" t="inlineStr">
        <is>
          <t>1</t>
        </is>
      </c>
      <c r="BG16" s="24" t="inlineStr">
        <is>
          <t>polymarket-us-api-baseline-v0.1</t>
        </is>
      </c>
      <c r="BH16" s="24" t="inlineStr">
        <is>
          <t>2026-07-14T07:32:17.697327Z</t>
        </is>
      </c>
      <c r="BI16" s="24" t="inlineStr">
        <is>
          <t>["same_league_same_day"]</t>
        </is>
      </c>
      <c r="BJ16" s="25" t="n"/>
      <c r="BK16" s="26" t="n">
        <v>-285</v>
      </c>
      <c r="BL16" s="27" t="n">
        <v>1.350877</v>
      </c>
      <c r="BM16" s="28" t="n">
        <v>0.74026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</row>
    <row r="17" ht="36" customHeight="1">
      <c r="A17" s="24" t="inlineStr">
        <is>
          <t>1b9c638adf3341d2</t>
        </is>
      </c>
      <c r="B17" s="24" t="inlineStr">
        <is>
          <t>2026-07-14T07:32:21.967324Z</t>
        </is>
      </c>
      <c r="C17" s="24" t="inlineStr">
        <is>
          <t>2026-07-18T02:00:00Z</t>
        </is>
      </c>
      <c r="D17" s="24" t="inlineStr">
        <is>
          <t>pmus-50550</t>
        </is>
      </c>
      <c r="E17" s="24" t="inlineStr">
        <is>
          <t>WNBA</t>
        </is>
      </c>
      <c r="F17" s="24" t="inlineStr">
        <is>
          <t>Connecticut Sun</t>
        </is>
      </c>
      <c r="G17" s="24" t="inlineStr">
        <is>
          <t>Phoenix Mercury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 US event quote (indicative; BBO unavailable)</t>
        </is>
      </c>
      <c r="L17" s="26" t="n">
        <v>-809</v>
      </c>
      <c r="M17" s="27" t="n">
        <v>1.123609</v>
      </c>
      <c r="N17" s="28" t="n">
        <v>0.889989</v>
      </c>
      <c r="O17" s="28" t="n">
        <v>0.89</v>
      </c>
      <c r="P17" s="28" t="n">
        <v>0.12</v>
      </c>
      <c r="Q17" s="28" t="n">
        <v>1.1e-05</v>
      </c>
      <c r="R17" s="26" t="n">
        <v>0</v>
      </c>
      <c r="S17" s="29" t="n">
        <v>0</v>
      </c>
      <c r="T17" s="24" t="inlineStr">
        <is>
          <t>polymarket-us-event-quote-baseline-v0.1</t>
        </is>
      </c>
      <c r="U17" s="24" t="inlineStr">
        <is>
          <t>open</t>
        </is>
      </c>
      <c r="V17" s="24" t="n"/>
      <c r="W17" s="26" t="n"/>
      <c r="X17" s="26" t="n"/>
      <c r="Y17" s="25" t="n"/>
      <c r="Z17" s="26" t="n"/>
      <c r="AA17" s="28" t="n"/>
      <c r="AB17" s="28" t="n"/>
      <c r="AC17" s="30" t="n"/>
      <c r="AD17" s="24" t="n"/>
      <c r="AE17" s="31" t="inlineStr">
        <is>
          <t>Polymarket US event-list quote baseline from aec-wnba-conn-phx-2026-07-17; selected Mercury at indicative probability 89.00%. This is market tracking, not an independent edge model.</t>
        </is>
      </c>
      <c r="AF17" s="31" t="inlineStr">
        <is>
          <t>Exact market BBO returned no bid/ask; event-list quotes are discovery/indicative data and are not executable truth. Logged as zero-unit market baseline only; do not place as a real bet from this row.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NO_CALL_MODEL_UNVALIDATED</t>
        </is>
      </c>
      <c r="AP17" s="24" t="inlineStr">
        <is>
          <t>wnba-con</t>
        </is>
      </c>
      <c r="AQ17" s="24" t="inlineStr">
        <is>
          <t>Connecticut Sun</t>
        </is>
      </c>
      <c r="AR17" s="24" t="inlineStr">
        <is>
          <t>Connecticut</t>
        </is>
      </c>
      <c r="AS17" s="24" t="inlineStr">
        <is>
          <t>wnba-phx</t>
        </is>
      </c>
      <c r="AT17" s="24" t="inlineStr">
        <is>
          <t>Phoenix Mercury</t>
        </is>
      </c>
      <c r="AU17" s="24" t="inlineStr">
        <is>
          <t>Phoenix</t>
        </is>
      </c>
      <c r="AV17" s="24" t="n"/>
      <c r="AW17" s="24" t="n"/>
      <c r="AX17" s="24" t="inlineStr">
        <is>
          <t>market_baseline</t>
        </is>
      </c>
      <c r="AY17" s="24" t="inlineStr">
        <is>
          <t>BASELINE_BOOK_RAW</t>
        </is>
      </c>
      <c r="AZ17" s="24" t="inlineStr">
        <is>
          <t>research</t>
        </is>
      </c>
      <c r="BA17" s="24" t="n"/>
      <c r="BB17" s="24" t="inlineStr">
        <is>
          <t>identity</t>
        </is>
      </c>
      <c r="BC17" s="24" t="inlineStr">
        <is>
          <t>identity-v1</t>
        </is>
      </c>
      <c r="BD17" s="24" t="n"/>
      <c r="BE17" s="24" t="inlineStr">
        <is>
          <t>1</t>
        </is>
      </c>
      <c r="BF17" s="24" t="inlineStr">
        <is>
          <t>1</t>
        </is>
      </c>
      <c r="BG17" s="24" t="inlineStr">
        <is>
          <t>polymarket-us-api-baseline-v0.1</t>
        </is>
      </c>
      <c r="BH17" s="24" t="inlineStr">
        <is>
          <t>2026-07-14T07:32:17.697327Z</t>
        </is>
      </c>
      <c r="BI17" s="24" t="inlineStr">
        <is>
          <t>["same_league_same_day"]</t>
        </is>
      </c>
      <c r="BJ17" s="25" t="n"/>
      <c r="BK17" s="26" t="n">
        <v>-809</v>
      </c>
      <c r="BL17" s="27" t="n">
        <v>1.123609</v>
      </c>
      <c r="BM17" s="28" t="n">
        <v>0.889989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</row>
    <row r="18" ht="36" customHeight="1">
      <c r="A18" s="24" t="inlineStr">
        <is>
          <t>f192736d3dcc4d82</t>
        </is>
      </c>
      <c r="B18" s="24" t="inlineStr">
        <is>
          <t>2026-07-16T17:03:09.702868Z</t>
        </is>
      </c>
      <c r="C18" s="24" t="inlineStr">
        <is>
          <t>2026-07-17T17:35Z</t>
        </is>
      </c>
      <c r="D18" s="24" t="inlineStr">
        <is>
          <t>401872178</t>
        </is>
      </c>
      <c r="E18" s="24" t="inlineStr">
        <is>
          <t>MLB</t>
        </is>
      </c>
      <c r="F18" s="24" t="inlineStr">
        <is>
          <t>Tampa Bay Rays</t>
        </is>
      </c>
      <c r="G18" s="24" t="inlineStr">
        <is>
          <t>Boston Red Sox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-113</v>
      </c>
      <c r="M18" s="27" t="n">
        <v>1.884956</v>
      </c>
      <c r="N18" s="28" t="n">
        <v>0.530516</v>
      </c>
      <c r="O18" s="28" t="n">
        <v>0.56137</v>
      </c>
      <c r="P18" s="28" t="n">
        <v>0.051624</v>
      </c>
      <c r="Q18" s="28" t="n">
        <v>0.030854</v>
      </c>
      <c r="R18" s="26" t="n">
        <v>34</v>
      </c>
      <c r="S18" s="29" t="n">
        <v>0</v>
      </c>
      <c r="T18" s="24" t="inlineStr">
        <is>
          <t>measured-edge-margin-v1</t>
        </is>
      </c>
      <c r="U18" s="24" t="inlineStr">
        <is>
          <t>open</t>
        </is>
      </c>
      <c r="V18" s="24" t="n"/>
      <c r="W18" s="26" t="n"/>
      <c r="X18" s="26" t="n"/>
      <c r="Y18" s="25" t="n"/>
      <c r="Z18" s="26" t="n"/>
      <c r="AA18" s="28" t="n"/>
      <c r="AB18" s="28" t="n"/>
      <c r="AC18" s="30" t="n"/>
      <c r="AD18" s="24" t="n"/>
      <c r="AE18" s="31" t="inlineStr">
        <is>
          <t>Measured Edge Margin: Trend Engine projected 3.18-3.68; raw selected-side p=0.5722, calibrated p=0.5614.</t>
        </is>
      </c>
      <c r="AF18" s="31" t="inlineStr">
        <is>
          <t>Research-only; lineup, bullpen, park, weather, xFIP, and wRC+ may be neutral fallbacks; market availability and BBO depth may change before first pitch.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NO_CALL_MODEL_UNVALIDATED</t>
        </is>
      </c>
      <c r="AP18" s="24" t="inlineStr">
        <is>
          <t>mlb-tb</t>
        </is>
      </c>
      <c r="AQ18" s="24" t="inlineStr">
        <is>
          <t>Tampa Bay Rays</t>
        </is>
      </c>
      <c r="AR18" s="24" t="inlineStr">
        <is>
          <t>Tampa Bay Rays</t>
        </is>
      </c>
      <c r="AS18" s="24" t="inlineStr">
        <is>
          <t>mlb-bos</t>
        </is>
      </c>
      <c r="AT18" s="24" t="inlineStr">
        <is>
          <t>Boston Red Sox</t>
        </is>
      </c>
      <c r="AU18" s="24" t="inlineStr">
        <is>
          <t>Boston Red Sox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b8e98d9986d0595b594675bb21607c1e855e4dfdb6bd420bf88651c8276e2d64</t>
        </is>
      </c>
      <c r="BB18" s="24" t="inlineStr">
        <is>
          <t>flat_probability_shrinkage_toward_half</t>
        </is>
      </c>
      <c r="BC18" s="24" t="inlineStr">
        <is>
          <t>measured-edge-margin-calibration-v1</t>
        </is>
      </c>
      <c r="BD18" s="24" t="inlineStr">
        <is>
          <t>b8e98d9986d0595b594675bb21607c1e855e4dfdb6bd420bf88651c8276e2d64</t>
        </is>
      </c>
      <c r="BE18" s="24" t="inlineStr">
        <is>
          <t>mlb-v0.2-1</t>
        </is>
      </c>
      <c r="BF18" s="24" t="inlineStr">
        <is>
          <t>1</t>
        </is>
      </c>
      <c r="BG18" s="24" t="inlineStr">
        <is>
          <t>paired-models-v0.6</t>
        </is>
      </c>
      <c r="BH18" s="24" t="inlineStr">
        <is>
          <t>2026-07-16T17:03:09.702868Z</t>
        </is>
      </c>
      <c r="BI18" s="24" t="inlineStr">
        <is>
          <t>["same_event","same_team_same_day","same_league_same_day"]</t>
        </is>
      </c>
      <c r="BJ18" s="25" t="n"/>
      <c r="BK18" s="26" t="n">
        <v>-113</v>
      </c>
      <c r="BL18" s="27" t="n">
        <v>1.884956</v>
      </c>
      <c r="BM18" s="28" t="n">
        <v>0.530516</v>
      </c>
      <c r="BN18" s="28" t="n">
        <v>0.527363</v>
      </c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</row>
    <row r="19" ht="36" customHeight="1">
      <c r="A19" s="24" t="inlineStr">
        <is>
          <t>9c9d13a756ae4739</t>
        </is>
      </c>
      <c r="B19" s="24" t="inlineStr">
        <is>
          <t>2026-07-16T17:03:09.702868Z</t>
        </is>
      </c>
      <c r="C19" s="24" t="inlineStr">
        <is>
          <t>2026-07-17T17:35Z</t>
        </is>
      </c>
      <c r="D19" s="24" t="inlineStr">
        <is>
          <t>401872178</t>
        </is>
      </c>
      <c r="E19" s="24" t="inlineStr">
        <is>
          <t>MLB</t>
        </is>
      </c>
      <c r="F19" s="24" t="inlineStr">
        <is>
          <t>Tampa Bay Rays</t>
        </is>
      </c>
      <c r="G19" s="24" t="inlineStr">
        <is>
          <t>Boston Red Sox</t>
        </is>
      </c>
      <c r="H19" s="24" t="inlineStr">
        <is>
          <t>spread</t>
        </is>
      </c>
      <c r="I19" s="24" t="inlineStr">
        <is>
          <t>away</t>
        </is>
      </c>
      <c r="J19" s="25" t="n">
        <v>2.5</v>
      </c>
      <c r="K19" s="24" t="inlineStr">
        <is>
          <t>polymarket_us</t>
        </is>
      </c>
      <c r="L19" s="26" t="n">
        <v>-1900</v>
      </c>
      <c r="M19" s="27" t="n">
        <v>1.052632</v>
      </c>
      <c r="N19" s="28" t="n">
        <v>0.95</v>
      </c>
      <c r="O19" s="28" t="n">
        <v>0.727205</v>
      </c>
      <c r="P19" s="28" t="n">
        <v>0.051624</v>
      </c>
      <c r="Q19" s="28" t="n">
        <v>-0.222795</v>
      </c>
      <c r="R19" s="26" t="n">
        <v>0</v>
      </c>
      <c r="S19" s="29" t="n">
        <v>0</v>
      </c>
      <c r="T19" s="24" t="inlineStr">
        <is>
          <t>measured-edge-margin-v1</t>
        </is>
      </c>
      <c r="U19" s="24" t="inlineStr">
        <is>
          <t>settled</t>
        </is>
      </c>
      <c r="V19" s="24" t="inlineStr">
        <is>
          <t>push</t>
        </is>
      </c>
      <c r="W19" s="26" t="n"/>
      <c r="X19" s="26" t="n"/>
      <c r="Y19" s="25" t="n"/>
      <c r="Z19" s="26" t="n"/>
      <c r="AA19" s="28" t="n"/>
      <c r="AB19" s="28" t="n"/>
      <c r="AC19" s="30" t="n">
        <v>0</v>
      </c>
      <c r="AD19" s="24" t="inlineStr">
        <is>
          <t>2026-07-17T10:41:31.154862Z</t>
        </is>
      </c>
      <c r="AE19" s="31" t="inlineStr">
        <is>
          <t>Measured Edge Margin: Trend Engine projected 3.18-3.68; raw selected-side p=0.7673, calibrated p=0.7272.</t>
        </is>
      </c>
      <c r="AF19" s="31" t="inlineStr">
        <is>
          <t>Research-only; lineup, bullpen, park, weather, xFIP, and wRC+ may be neutral fallbacks; market availability and BBO depth may change before first pitch.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mlb-tb</t>
        </is>
      </c>
      <c r="AQ19" s="24" t="inlineStr">
        <is>
          <t>Tampa Bay Rays</t>
        </is>
      </c>
      <c r="AR19" s="24" t="inlineStr">
        <is>
          <t>Tampa Bay Rays</t>
        </is>
      </c>
      <c r="AS19" s="24" t="inlineStr">
        <is>
          <t>mlb-bos</t>
        </is>
      </c>
      <c r="AT19" s="24" t="inlineStr">
        <is>
          <t>Boston Red Sox</t>
        </is>
      </c>
      <c r="AU19" s="24" t="inlineStr">
        <is>
          <t>Boston Red Sox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b8e98d9986d0595b594675bb21607c1e855e4dfdb6bd420bf88651c8276e2d64</t>
        </is>
      </c>
      <c r="BB19" s="24" t="inlineStr">
        <is>
          <t>flat_probability_shrinkage_toward_half</t>
        </is>
      </c>
      <c r="BC19" s="24" t="inlineStr">
        <is>
          <t>measured-edge-margin-calibration-v1</t>
        </is>
      </c>
      <c r="BD19" s="24" t="inlineStr">
        <is>
          <t>b8e98d9986d0595b594675bb21607c1e855e4dfdb6bd420bf88651c8276e2d64</t>
        </is>
      </c>
      <c r="BE19" s="24" t="inlineStr">
        <is>
          <t>mlb-v0.2-1</t>
        </is>
      </c>
      <c r="BF19" s="24" t="inlineStr">
        <is>
          <t>1</t>
        </is>
      </c>
      <c r="BG19" s="24" t="inlineStr">
        <is>
          <t>paired-models-v0.6</t>
        </is>
      </c>
      <c r="BH19" s="24" t="inlineStr">
        <is>
          <t>2026-07-16T17:03:09.702868Z</t>
        </is>
      </c>
      <c r="BI19" s="24" t="inlineStr">
        <is>
          <t>["same_event","same_team_same_day","same_league_same_day"]</t>
        </is>
      </c>
      <c r="BJ19" s="25" t="n">
        <v>2.5</v>
      </c>
      <c r="BK19" s="26" t="n">
        <v>-1900</v>
      </c>
      <c r="BL19" s="27" t="n">
        <v>1.052632</v>
      </c>
      <c r="BM19" s="28" t="n">
        <v>0.95</v>
      </c>
      <c r="BN19" s="28" t="n">
        <v>0.633333</v>
      </c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inlineStr">
        <is>
          <t>mispriced market mapping: partial-game contract asc-mlb-tb-bos-2026-07-17-dh2-f5-pos-2pt5 logged as full-game spread</t>
        </is>
      </c>
      <c r="BX19" s="30" t="n"/>
      <c r="BY19" s="27" t="n"/>
      <c r="BZ19" s="24" t="n"/>
      <c r="CA19" s="31" t="n"/>
    </row>
    <row r="20" ht="36" customHeight="1">
      <c r="A20" s="24" t="inlineStr">
        <is>
          <t>220f2130965f4615</t>
        </is>
      </c>
      <c r="B20" s="24" t="inlineStr">
        <is>
          <t>2026-07-16T17:03:09.702868Z</t>
        </is>
      </c>
      <c r="C20" s="24" t="inlineStr">
        <is>
          <t>2026-07-17T17:35Z</t>
        </is>
      </c>
      <c r="D20" s="24" t="inlineStr">
        <is>
          <t>401872178</t>
        </is>
      </c>
      <c r="E20" s="24" t="inlineStr">
        <is>
          <t>MLB</t>
        </is>
      </c>
      <c r="F20" s="24" t="inlineStr">
        <is>
          <t>Tampa Bay Rays</t>
        </is>
      </c>
      <c r="G20" s="24" t="inlineStr">
        <is>
          <t>Boston Red Sox</t>
        </is>
      </c>
      <c r="H20" s="24" t="inlineStr">
        <is>
          <t>total</t>
        </is>
      </c>
      <c r="I20" s="24" t="inlineStr">
        <is>
          <t>over</t>
        </is>
      </c>
      <c r="J20" s="25" t="n">
        <v>2.5</v>
      </c>
      <c r="K20" s="24" t="inlineStr">
        <is>
          <t>polymarket_us</t>
        </is>
      </c>
      <c r="L20" s="26" t="n">
        <v>-285</v>
      </c>
      <c r="M20" s="27" t="n">
        <v>1.350877</v>
      </c>
      <c r="N20" s="28" t="n">
        <v>0.74026</v>
      </c>
      <c r="O20" s="28" t="n">
        <v>0.9478</v>
      </c>
      <c r="P20" s="28" t="n">
        <v>0.051624</v>
      </c>
      <c r="Q20" s="28" t="n">
        <v>0.20754</v>
      </c>
      <c r="R20" s="26" t="n">
        <v>100</v>
      </c>
      <c r="S20" s="29" t="n">
        <v>0</v>
      </c>
      <c r="T20" s="24" t="inlineStr">
        <is>
          <t>measured-edge-totals-v1</t>
        </is>
      </c>
      <c r="U20" s="24" t="inlineStr">
        <is>
          <t>settled</t>
        </is>
      </c>
      <c r="V20" s="24" t="inlineStr">
        <is>
          <t>push</t>
        </is>
      </c>
      <c r="W20" s="26" t="n"/>
      <c r="X20" s="26" t="n"/>
      <c r="Y20" s="25" t="n"/>
      <c r="Z20" s="26" t="n"/>
      <c r="AA20" s="28" t="n"/>
      <c r="AB20" s="28" t="n"/>
      <c r="AC20" s="30" t="n">
        <v>0</v>
      </c>
      <c r="AD20" s="24" t="inlineStr">
        <is>
          <t>2026-07-17T10:41:31.263514Z</t>
        </is>
      </c>
      <c r="AE20" s="31" t="inlineStr">
        <is>
          <t>Measured Edge Totals: Trend Engine projected 3.18-3.68; raw selected-side p=0.9478, calibrated p=0.9478.</t>
        </is>
      </c>
      <c r="AF20" s="31" t="inlineStr">
        <is>
          <t>Research-only; lineup, bullpen, park, weather, xFIP, and wRC+ may be neutral fallbacks; market availability and BBO depth may change before first pitch.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NO_CALL_MODEL_UNVALIDATED</t>
        </is>
      </c>
      <c r="AP20" s="24" t="inlineStr">
        <is>
          <t>mlb-tb</t>
        </is>
      </c>
      <c r="AQ20" s="24" t="inlineStr">
        <is>
          <t>Tampa Bay Rays</t>
        </is>
      </c>
      <c r="AR20" s="24" t="inlineStr">
        <is>
          <t>Tampa Bay Rays</t>
        </is>
      </c>
      <c r="AS20" s="24" t="inlineStr">
        <is>
          <t>mlb-bos</t>
        </is>
      </c>
      <c r="AT20" s="24" t="inlineStr">
        <is>
          <t>Boston Red Sox</t>
        </is>
      </c>
      <c r="AU20" s="24" t="inlineStr">
        <is>
          <t>Boston Red Sox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6459ef36fbf13cd225e4d1b966f43e20322ee01c2b7ba5cd8b204f97964e19c6</t>
        </is>
      </c>
      <c r="BB20" s="24" t="inlineStr">
        <is>
          <t>flat_probability_shrinkage_toward_half</t>
        </is>
      </c>
      <c r="BC20" s="24" t="inlineStr">
        <is>
          <t>measured-edge-totals-calibration-v1</t>
        </is>
      </c>
      <c r="BD20" s="24" t="inlineStr">
        <is>
          <t>6459ef36fbf13cd225e4d1b966f43e20322ee01c2b7ba5cd8b204f97964e19c6</t>
        </is>
      </c>
      <c r="BE20" s="24" t="inlineStr">
        <is>
          <t>mlb-v0.2-1</t>
        </is>
      </c>
      <c r="BF20" s="24" t="inlineStr">
        <is>
          <t>1</t>
        </is>
      </c>
      <c r="BG20" s="24" t="inlineStr">
        <is>
          <t>paired-models-v0.6</t>
        </is>
      </c>
      <c r="BH20" s="24" t="inlineStr">
        <is>
          <t>2026-07-16T17:03:09.702868Z</t>
        </is>
      </c>
      <c r="BI20" s="24" t="inlineStr">
        <is>
          <t>["same_event","same_team_same_day","same_league_same_day"]</t>
        </is>
      </c>
      <c r="BJ20" s="25" t="n">
        <v>2.5</v>
      </c>
      <c r="BK20" s="26" t="n">
        <v>-285</v>
      </c>
      <c r="BL20" s="27" t="n">
        <v>1.350877</v>
      </c>
      <c r="BM20" s="28" t="n">
        <v>0.74026</v>
      </c>
      <c r="BN20" s="28" t="n">
        <v>0.493333</v>
      </c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inlineStr">
        <is>
          <t>mispriced market mapping: partial-game contract tsc-mlb-tb-bos-2026-07-17-dh2-f5-2pt5 logged as full-game total</t>
        </is>
      </c>
      <c r="BX20" s="30" t="n"/>
      <c r="BY20" s="27" t="n"/>
      <c r="BZ20" s="24" t="n"/>
      <c r="CA20" s="31" t="n"/>
    </row>
    <row r="21" ht="36" customHeight="1">
      <c r="A21" s="24" t="inlineStr">
        <is>
          <t>72f38582f09f4b13</t>
        </is>
      </c>
      <c r="B21" s="24" t="inlineStr">
        <is>
          <t>2026-07-16T17:03:09.702868Z</t>
        </is>
      </c>
      <c r="C21" s="24" t="inlineStr">
        <is>
          <t>2026-07-17T23:10Z</t>
        </is>
      </c>
      <c r="D21" s="24" t="inlineStr">
        <is>
          <t>401816144</t>
        </is>
      </c>
      <c r="E21" s="24" t="inlineStr">
        <is>
          <t>MLB</t>
        </is>
      </c>
      <c r="F21" s="24" t="inlineStr">
        <is>
          <t>Pittsburgh Pirates</t>
        </is>
      </c>
      <c r="G21" s="24" t="inlineStr">
        <is>
          <t>Cleveland Guardians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polymarket_us</t>
        </is>
      </c>
      <c r="L21" s="26" t="n">
        <v>115</v>
      </c>
      <c r="M21" s="27" t="n">
        <v>2.15</v>
      </c>
      <c r="N21" s="28" t="n">
        <v>0.465116</v>
      </c>
      <c r="O21" s="28" t="n">
        <v>0.61084</v>
      </c>
      <c r="P21" s="28" t="n">
        <v>0.051624</v>
      </c>
      <c r="Q21" s="28" t="n">
        <v>0.145724</v>
      </c>
      <c r="R21" s="26" t="n">
        <v>92</v>
      </c>
      <c r="S21" s="29" t="n">
        <v>0</v>
      </c>
      <c r="T21" s="24" t="inlineStr">
        <is>
          <t>measured-edge-margin-v1</t>
        </is>
      </c>
      <c r="U21" s="24" t="inlineStr">
        <is>
          <t>open</t>
        </is>
      </c>
      <c r="V21" s="24" t="n"/>
      <c r="W21" s="26" t="n"/>
      <c r="X21" s="26" t="n"/>
      <c r="Y21" s="25" t="n"/>
      <c r="Z21" s="26" t="n"/>
      <c r="AA21" s="28" t="n"/>
      <c r="AB21" s="28" t="n"/>
      <c r="AC21" s="30" t="n"/>
      <c r="AD21" s="24" t="n"/>
      <c r="AE21" s="31" t="inlineStr">
        <is>
          <t>Measured Edge Margin: Trend Engine projected 5.62-4.40; raw selected-side p=0.6304, calibrated p=0.6108.</t>
        </is>
      </c>
      <c r="AF21" s="31" t="inlineStr">
        <is>
          <t>Research-only; lineup, bullpen, park, weather, xFIP, and wRC+ may be neutral fallbacks; market availability and BBO depth may change before first pitch.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NO_CALL_MODEL_UNVALIDATED</t>
        </is>
      </c>
      <c r="AP21" s="24" t="inlineStr">
        <is>
          <t>mlb-pit</t>
        </is>
      </c>
      <c r="AQ21" s="24" t="inlineStr">
        <is>
          <t>Pittsburgh Pirates</t>
        </is>
      </c>
      <c r="AR21" s="24" t="inlineStr">
        <is>
          <t>Pittsburgh Pirates</t>
        </is>
      </c>
      <c r="AS21" s="24" t="inlineStr">
        <is>
          <t>mlb-cle</t>
        </is>
      </c>
      <c r="AT21" s="24" t="inlineStr">
        <is>
          <t>Cleveland Guardians</t>
        </is>
      </c>
      <c r="AU21" s="24" t="inlineStr">
        <is>
          <t>Cleveland Guardians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b8e98d9986d0595b594675bb21607c1e855e4dfdb6bd420bf88651c8276e2d64</t>
        </is>
      </c>
      <c r="BB21" s="24" t="inlineStr">
        <is>
          <t>flat_probability_shrinkage_toward_half</t>
        </is>
      </c>
      <c r="BC21" s="24" t="inlineStr">
        <is>
          <t>measured-edge-margin-calibration-v1</t>
        </is>
      </c>
      <c r="BD21" s="24" t="inlineStr">
        <is>
          <t>b8e98d9986d0595b594675bb21607c1e855e4dfdb6bd420bf88651c8276e2d64</t>
        </is>
      </c>
      <c r="BE21" s="24" t="inlineStr">
        <is>
          <t>mlb-v0.2-1</t>
        </is>
      </c>
      <c r="BF21" s="24" t="inlineStr">
        <is>
          <t>1</t>
        </is>
      </c>
      <c r="BG21" s="24" t="inlineStr">
        <is>
          <t>paired-models-v0.6</t>
        </is>
      </c>
      <c r="BH21" s="24" t="inlineStr">
        <is>
          <t>2026-07-16T17:03:09.702868Z</t>
        </is>
      </c>
      <c r="BI21" s="24" t="inlineStr">
        <is>
          <t>["same_event","same_team_same_day","same_league_same_day"]</t>
        </is>
      </c>
      <c r="BJ21" s="25" t="n"/>
      <c r="BK21" s="26" t="n">
        <v>115</v>
      </c>
      <c r="BL21" s="27" t="n">
        <v>2.15</v>
      </c>
      <c r="BM21" s="28" t="n">
        <v>0.465116</v>
      </c>
      <c r="BN21" s="28" t="n">
        <v>0.462687</v>
      </c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</row>
    <row r="22" ht="36" customHeight="1">
      <c r="A22" s="24" t="inlineStr">
        <is>
          <t>7fc4cf2ae17c4556</t>
        </is>
      </c>
      <c r="B22" s="24" t="inlineStr">
        <is>
          <t>2026-07-16T17:03:09.702868Z</t>
        </is>
      </c>
      <c r="C22" s="24" t="inlineStr">
        <is>
          <t>2026-07-17T23:10Z</t>
        </is>
      </c>
      <c r="D22" s="24" t="inlineStr">
        <is>
          <t>401816144</t>
        </is>
      </c>
      <c r="E22" s="24" t="inlineStr">
        <is>
          <t>MLB</t>
        </is>
      </c>
      <c r="F22" s="24" t="inlineStr">
        <is>
          <t>Pittsburgh Pirates</t>
        </is>
      </c>
      <c r="G22" s="24" t="inlineStr">
        <is>
          <t>Cleveland Guardians</t>
        </is>
      </c>
      <c r="H22" s="24" t="inlineStr">
        <is>
          <t>spread</t>
        </is>
      </c>
      <c r="I22" s="24" t="inlineStr">
        <is>
          <t>away</t>
        </is>
      </c>
      <c r="J22" s="25" t="n">
        <v>2.5</v>
      </c>
      <c r="K22" s="24" t="inlineStr">
        <is>
          <t>polymarket_us</t>
        </is>
      </c>
      <c r="L22" s="26" t="n">
        <v>-1567</v>
      </c>
      <c r="M22" s="27" t="n">
        <v>1.063816</v>
      </c>
      <c r="N22" s="28" t="n">
        <v>0.940012</v>
      </c>
      <c r="O22" s="28" t="n">
        <v>0.797415</v>
      </c>
      <c r="P22" s="28" t="n">
        <v>0.051624</v>
      </c>
      <c r="Q22" s="28" t="n">
        <v>-0.142597</v>
      </c>
      <c r="R22" s="26" t="n">
        <v>0</v>
      </c>
      <c r="S22" s="29" t="n">
        <v>0</v>
      </c>
      <c r="T22" s="24" t="inlineStr">
        <is>
          <t>measured-edge-margin-v1</t>
        </is>
      </c>
      <c r="U22" s="24" t="inlineStr">
        <is>
          <t>settled</t>
        </is>
      </c>
      <c r="V22" s="24" t="inlineStr">
        <is>
          <t>push</t>
        </is>
      </c>
      <c r="W22" s="26" t="n"/>
      <c r="X22" s="26" t="n"/>
      <c r="Y22" s="25" t="n"/>
      <c r="Z22" s="26" t="n"/>
      <c r="AA22" s="28" t="n"/>
      <c r="AB22" s="28" t="n"/>
      <c r="AC22" s="30" t="n">
        <v>0</v>
      </c>
      <c r="AD22" s="24" t="inlineStr">
        <is>
          <t>2026-07-17T10:41:31.366237Z</t>
        </is>
      </c>
      <c r="AE22" s="31" t="inlineStr">
        <is>
          <t>Measured Edge Margin: Trend Engine projected 5.62-4.40; raw selected-side p=0.8499, calibrated p=0.7974.</t>
        </is>
      </c>
      <c r="AF22" s="31" t="inlineStr">
        <is>
          <t>Research-only; lineup, bullpen, park, weather, xFIP, and wRC+ may be neutral fallbacks; market availability and BBO depth may change before first pitch.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NO_CALL_MODEL_UNVALIDATED</t>
        </is>
      </c>
      <c r="AP22" s="24" t="inlineStr">
        <is>
          <t>mlb-pit</t>
        </is>
      </c>
      <c r="AQ22" s="24" t="inlineStr">
        <is>
          <t>Pittsburgh Pirates</t>
        </is>
      </c>
      <c r="AR22" s="24" t="inlineStr">
        <is>
          <t>Pittsburgh Pirates</t>
        </is>
      </c>
      <c r="AS22" s="24" t="inlineStr">
        <is>
          <t>mlb-cle</t>
        </is>
      </c>
      <c r="AT22" s="24" t="inlineStr">
        <is>
          <t>Cleveland Guardians</t>
        </is>
      </c>
      <c r="AU22" s="24" t="inlineStr">
        <is>
          <t>Cleveland Guardians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b8e98d9986d0595b594675bb21607c1e855e4dfdb6bd420bf88651c8276e2d64</t>
        </is>
      </c>
      <c r="BB22" s="24" t="inlineStr">
        <is>
          <t>flat_probability_shrinkage_toward_half</t>
        </is>
      </c>
      <c r="BC22" s="24" t="inlineStr">
        <is>
          <t>measured-edge-margin-calibration-v1</t>
        </is>
      </c>
      <c r="BD22" s="24" t="inlineStr">
        <is>
          <t>b8e98d9986d0595b594675bb21607c1e855e4dfdb6bd420bf88651c8276e2d64</t>
        </is>
      </c>
      <c r="BE22" s="24" t="inlineStr">
        <is>
          <t>mlb-v0.2-1</t>
        </is>
      </c>
      <c r="BF22" s="24" t="inlineStr">
        <is>
          <t>1</t>
        </is>
      </c>
      <c r="BG22" s="24" t="inlineStr">
        <is>
          <t>paired-models-v0.6</t>
        </is>
      </c>
      <c r="BH22" s="24" t="inlineStr">
        <is>
          <t>2026-07-16T17:03:09.702868Z</t>
        </is>
      </c>
      <c r="BI22" s="24" t="inlineStr">
        <is>
          <t>["same_event","same_team_same_day","same_league_same_day"]</t>
        </is>
      </c>
      <c r="BJ22" s="25" t="n">
        <v>2.5</v>
      </c>
      <c r="BK22" s="26" t="n">
        <v>-1567</v>
      </c>
      <c r="BL22" s="27" t="n">
        <v>1.063816</v>
      </c>
      <c r="BM22" s="28" t="n">
        <v>0.940012</v>
      </c>
      <c r="BN22" s="28" t="n">
        <v>0.639456</v>
      </c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inlineStr">
        <is>
          <t>mispriced market mapping: partial-game contract asc-mlb-pit-cle-2026-07-17-f5-pos-2pt5 logged as full-game spread</t>
        </is>
      </c>
      <c r="BX22" s="30" t="n"/>
      <c r="BY22" s="27" t="n"/>
      <c r="BZ22" s="24" t="n"/>
      <c r="CA22" s="31" t="n"/>
    </row>
    <row r="23" ht="36" customHeight="1">
      <c r="A23" s="24" t="inlineStr">
        <is>
          <t>a554db536f8646aa</t>
        </is>
      </c>
      <c r="B23" s="24" t="inlineStr">
        <is>
          <t>2026-07-16T17:03:09.702868Z</t>
        </is>
      </c>
      <c r="C23" s="24" t="inlineStr">
        <is>
          <t>2026-07-17T23:10Z</t>
        </is>
      </c>
      <c r="D23" s="24" t="inlineStr">
        <is>
          <t>401816144</t>
        </is>
      </c>
      <c r="E23" s="24" t="inlineStr">
        <is>
          <t>MLB</t>
        </is>
      </c>
      <c r="F23" s="24" t="inlineStr">
        <is>
          <t>Pittsburgh Pirates</t>
        </is>
      </c>
      <c r="G23" s="24" t="inlineStr">
        <is>
          <t>Cleveland Guardians</t>
        </is>
      </c>
      <c r="H23" s="24" t="inlineStr">
        <is>
          <t>total</t>
        </is>
      </c>
      <c r="I23" s="24" t="inlineStr">
        <is>
          <t>over</t>
        </is>
      </c>
      <c r="J23" s="25" t="n">
        <v>2.5</v>
      </c>
      <c r="K23" s="24" t="inlineStr">
        <is>
          <t>polymarket_us</t>
        </is>
      </c>
      <c r="L23" s="26" t="n">
        <v>-317</v>
      </c>
      <c r="M23" s="27" t="n">
        <v>1.315457</v>
      </c>
      <c r="N23" s="28" t="n">
        <v>0.760192</v>
      </c>
      <c r="O23" s="28" t="n">
        <v>0.9879</v>
      </c>
      <c r="P23" s="28" t="n">
        <v>0.051624</v>
      </c>
      <c r="Q23" s="28" t="n">
        <v>0.227708</v>
      </c>
      <c r="R23" s="26" t="n">
        <v>100</v>
      </c>
      <c r="S23" s="29" t="n">
        <v>0</v>
      </c>
      <c r="T23" s="24" t="inlineStr">
        <is>
          <t>measured-edge-totals-v1</t>
        </is>
      </c>
      <c r="U23" s="24" t="inlineStr">
        <is>
          <t>settled</t>
        </is>
      </c>
      <c r="V23" s="24" t="inlineStr">
        <is>
          <t>push</t>
        </is>
      </c>
      <c r="W23" s="26" t="n"/>
      <c r="X23" s="26" t="n"/>
      <c r="Y23" s="25" t="n"/>
      <c r="Z23" s="26" t="n"/>
      <c r="AA23" s="28" t="n"/>
      <c r="AB23" s="28" t="n"/>
      <c r="AC23" s="30" t="n">
        <v>0</v>
      </c>
      <c r="AD23" s="24" t="inlineStr">
        <is>
          <t>2026-07-17T10:41:31.471355Z</t>
        </is>
      </c>
      <c r="AE23" s="31" t="inlineStr">
        <is>
          <t>Measured Edge Totals: Trend Engine projected 5.62-4.40; raw selected-side p=0.9879, calibrated p=0.9879.</t>
        </is>
      </c>
      <c r="AF23" s="31" t="inlineStr">
        <is>
          <t>Research-only; lineup, bullpen, park, weather, xFIP, and wRC+ may be neutral fallbacks; market availability and BBO depth may change before first pitch.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research_observation</t>
        </is>
      </c>
      <c r="AL23" s="26" t="n">
        <v>3</v>
      </c>
      <c r="AM23" s="24" t="inlineStr">
        <is>
          <t>RESEARCH_OBSERVATION</t>
        </is>
      </c>
      <c r="AN23" s="24" t="inlineStr">
        <is>
          <t>NO_CALL</t>
        </is>
      </c>
      <c r="AO23" s="24" t="inlineStr">
        <is>
          <t>NO_CALL_MODEL_UNVALIDATED</t>
        </is>
      </c>
      <c r="AP23" s="24" t="inlineStr">
        <is>
          <t>mlb-pit</t>
        </is>
      </c>
      <c r="AQ23" s="24" t="inlineStr">
        <is>
          <t>Pittsburgh Pirates</t>
        </is>
      </c>
      <c r="AR23" s="24" t="inlineStr">
        <is>
          <t>Pittsburgh Pirates</t>
        </is>
      </c>
      <c r="AS23" s="24" t="inlineStr">
        <is>
          <t>mlb-cle</t>
        </is>
      </c>
      <c r="AT23" s="24" t="inlineStr">
        <is>
          <t>Cleveland Guardians</t>
        </is>
      </c>
      <c r="AU23" s="24" t="inlineStr">
        <is>
          <t>Cleveland Guardians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6459ef36fbf13cd225e4d1b966f43e20322ee01c2b7ba5cd8b204f97964e19c6</t>
        </is>
      </c>
      <c r="BB23" s="24" t="inlineStr">
        <is>
          <t>flat_probability_shrinkage_toward_half</t>
        </is>
      </c>
      <c r="BC23" s="24" t="inlineStr">
        <is>
          <t>measured-edge-totals-calibration-v1</t>
        </is>
      </c>
      <c r="BD23" s="24" t="inlineStr">
        <is>
          <t>6459ef36fbf13cd225e4d1b966f43e20322ee01c2b7ba5cd8b204f97964e19c6</t>
        </is>
      </c>
      <c r="BE23" s="24" t="inlineStr">
        <is>
          <t>mlb-v0.2-1</t>
        </is>
      </c>
      <c r="BF23" s="24" t="inlineStr">
        <is>
          <t>1</t>
        </is>
      </c>
      <c r="BG23" s="24" t="inlineStr">
        <is>
          <t>paired-models-v0.6</t>
        </is>
      </c>
      <c r="BH23" s="24" t="inlineStr">
        <is>
          <t>2026-07-16T17:03:09.702868Z</t>
        </is>
      </c>
      <c r="BI23" s="24" t="inlineStr">
        <is>
          <t>["same_event","same_team_same_day","same_league_same_day"]</t>
        </is>
      </c>
      <c r="BJ23" s="25" t="n">
        <v>2.5</v>
      </c>
      <c r="BK23" s="26" t="n">
        <v>-317</v>
      </c>
      <c r="BL23" s="27" t="n">
        <v>1.315457</v>
      </c>
      <c r="BM23" s="28" t="n">
        <v>0.760192</v>
      </c>
      <c r="BN23" s="28" t="n">
        <v>0.506667</v>
      </c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inlineStr">
        <is>
          <t>mispriced market mapping: partial-game contract tsc-mlb-pit-cle-2026-07-17-f5-2pt5 logged as full-game total</t>
        </is>
      </c>
      <c r="BX23" s="30" t="n"/>
      <c r="BY23" s="27" t="n"/>
      <c r="BZ23" s="24" t="n"/>
      <c r="CA23" s="31" t="n"/>
    </row>
    <row r="24" ht="36" customHeight="1">
      <c r="A24" s="24" t="inlineStr">
        <is>
          <t>1e87a0742be74f41</t>
        </is>
      </c>
      <c r="B24" s="24" t="inlineStr">
        <is>
          <t>2026-07-16T17:03:09.702868Z</t>
        </is>
      </c>
      <c r="C24" s="24" t="inlineStr">
        <is>
          <t>2026-07-17T23:15Z</t>
        </is>
      </c>
      <c r="D24" s="24" t="inlineStr">
        <is>
          <t>401816141</t>
        </is>
      </c>
      <c r="E24" s="24" t="inlineStr">
        <is>
          <t>MLB</t>
        </is>
      </c>
      <c r="F24" s="24" t="inlineStr">
        <is>
          <t>Chicago White Sox</t>
        </is>
      </c>
      <c r="G24" s="24" t="inlineStr">
        <is>
          <t>Toronto Blue Jays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-122</v>
      </c>
      <c r="M24" s="27" t="n">
        <v>1.819672</v>
      </c>
      <c r="N24" s="28" t="n">
        <v>0.54955</v>
      </c>
      <c r="O24" s="28" t="n">
        <v>0.641355</v>
      </c>
      <c r="P24" s="28" t="n">
        <v>0.047592</v>
      </c>
      <c r="Q24" s="28" t="n">
        <v>0.091805</v>
      </c>
      <c r="R24" s="26" t="n">
        <v>67</v>
      </c>
      <c r="S24" s="29" t="n">
        <v>0</v>
      </c>
      <c r="T24" s="24" t="inlineStr">
        <is>
          <t>measured-edge-margin-v1</t>
        </is>
      </c>
      <c r="U24" s="24" t="inlineStr">
        <is>
          <t>open</t>
        </is>
      </c>
      <c r="V24" s="24" t="n"/>
      <c r="W24" s="26" t="n"/>
      <c r="X24" s="26" t="n"/>
      <c r="Y24" s="25" t="n"/>
      <c r="Z24" s="26" t="n"/>
      <c r="AA24" s="28" t="n"/>
      <c r="AB24" s="28" t="n"/>
      <c r="AC24" s="30" t="n"/>
      <c r="AD24" s="24" t="n"/>
      <c r="AE24" s="31" t="inlineStr">
        <is>
          <t>Measured Edge Margin: Trend Engine projected 3.43-4.80; raw selected-side p=0.6663, calibrated p=0.6414.</t>
        </is>
      </c>
      <c r="AF24" s="31" t="inlineStr">
        <is>
          <t>Research-only; lineup, bullpen, park, weather, xFIP, and wRC+ may be neutral fallbacks; market availability and BBO depth may change before first pitch.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NO_CALL_MODEL_UNVALIDATED</t>
        </is>
      </c>
      <c r="AP24" s="24" t="inlineStr">
        <is>
          <t>mlb-cws</t>
        </is>
      </c>
      <c r="AQ24" s="24" t="inlineStr">
        <is>
          <t>Chicago White Sox</t>
        </is>
      </c>
      <c r="AR24" s="24" t="inlineStr">
        <is>
          <t>Chicago White Sox</t>
        </is>
      </c>
      <c r="AS24" s="24" t="inlineStr">
        <is>
          <t>mlb-tor</t>
        </is>
      </c>
      <c r="AT24" s="24" t="inlineStr">
        <is>
          <t>Toronto Blue Jays</t>
        </is>
      </c>
      <c r="AU24" s="24" t="inlineStr">
        <is>
          <t>Toronto Blue Jays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b8e98d9986d0595b594675bb21607c1e855e4dfdb6bd420bf88651c8276e2d64</t>
        </is>
      </c>
      <c r="BB24" s="24" t="inlineStr">
        <is>
          <t>flat_probability_shrinkage_toward_half</t>
        </is>
      </c>
      <c r="BC24" s="24" t="inlineStr">
        <is>
          <t>measured-edge-margin-calibration-v1</t>
        </is>
      </c>
      <c r="BD24" s="24" t="inlineStr">
        <is>
          <t>b8e98d9986d0595b594675bb21607c1e855e4dfdb6bd420bf88651c8276e2d64</t>
        </is>
      </c>
      <c r="BE24" s="24" t="inlineStr">
        <is>
          <t>mlb-v0.2-1</t>
        </is>
      </c>
      <c r="BF24" s="24" t="inlineStr">
        <is>
          <t>1</t>
        </is>
      </c>
      <c r="BG24" s="24" t="inlineStr">
        <is>
          <t>paired-models-v0.6</t>
        </is>
      </c>
      <c r="BH24" s="24" t="inlineStr">
        <is>
          <t>2026-07-16T17:03:09.702868Z</t>
        </is>
      </c>
      <c r="BI24" s="24" t="inlineStr">
        <is>
          <t>["same_event","same_team_same_day","same_league_same_day"]</t>
        </is>
      </c>
      <c r="BJ24" s="25" t="n"/>
      <c r="BK24" s="26" t="n">
        <v>-122</v>
      </c>
      <c r="BL24" s="27" t="n">
        <v>1.819672</v>
      </c>
      <c r="BM24" s="28" t="n">
        <v>0.54955</v>
      </c>
      <c r="BN24" s="28" t="n">
        <v>0.547264</v>
      </c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</row>
    <row r="25" ht="36" customHeight="1">
      <c r="A25" s="24" t="inlineStr">
        <is>
          <t>a4f6cd85a314494b</t>
        </is>
      </c>
      <c r="B25" s="24" t="inlineStr">
        <is>
          <t>2026-07-16T17:03:09.702868Z</t>
        </is>
      </c>
      <c r="C25" s="24" t="inlineStr">
        <is>
          <t>2026-07-17T23:15Z</t>
        </is>
      </c>
      <c r="D25" s="24" t="inlineStr">
        <is>
          <t>401816141</t>
        </is>
      </c>
      <c r="E25" s="24" t="inlineStr">
        <is>
          <t>MLB</t>
        </is>
      </c>
      <c r="F25" s="24" t="inlineStr">
        <is>
          <t>Chicago White Sox</t>
        </is>
      </c>
      <c r="G25" s="24" t="inlineStr">
        <is>
          <t>Toronto Blue Jays</t>
        </is>
      </c>
      <c r="H25" s="24" t="inlineStr">
        <is>
          <t>spread</t>
        </is>
      </c>
      <c r="I25" s="24" t="inlineStr">
        <is>
          <t>away</t>
        </is>
      </c>
      <c r="J25" s="25" t="n">
        <v>2.5</v>
      </c>
      <c r="K25" s="24" t="inlineStr">
        <is>
          <t>polymarket_us</t>
        </is>
      </c>
      <c r="L25" s="26" t="n">
        <v>-1900</v>
      </c>
      <c r="M25" s="27" t="n">
        <v>1.052632</v>
      </c>
      <c r="N25" s="28" t="n">
        <v>0.95</v>
      </c>
      <c r="O25" s="28" t="n">
        <v>0.63855</v>
      </c>
      <c r="P25" s="28" t="n">
        <v>0.047592</v>
      </c>
      <c r="Q25" s="28" t="n">
        <v>-0.31145</v>
      </c>
      <c r="R25" s="26" t="n">
        <v>0</v>
      </c>
      <c r="S25" s="29" t="n">
        <v>0</v>
      </c>
      <c r="T25" s="24" t="inlineStr">
        <is>
          <t>measured-edge-margin-v1</t>
        </is>
      </c>
      <c r="U25" s="24" t="inlineStr">
        <is>
          <t>settled</t>
        </is>
      </c>
      <c r="V25" s="24" t="inlineStr">
        <is>
          <t>push</t>
        </is>
      </c>
      <c r="W25" s="26" t="n"/>
      <c r="X25" s="26" t="n"/>
      <c r="Y25" s="25" t="n"/>
      <c r="Z25" s="26" t="n"/>
      <c r="AA25" s="28" t="n"/>
      <c r="AB25" s="28" t="n"/>
      <c r="AC25" s="30" t="n">
        <v>0</v>
      </c>
      <c r="AD25" s="24" t="inlineStr">
        <is>
          <t>2026-07-17T10:41:31.574774Z</t>
        </is>
      </c>
      <c r="AE25" s="31" t="inlineStr">
        <is>
          <t>Measured Edge Margin: Trend Engine projected 3.43-4.80; raw selected-side p=0.6630, calibrated p=0.6385.</t>
        </is>
      </c>
      <c r="AF25" s="31" t="inlineStr">
        <is>
          <t>Research-only; lineup, bullpen, park, weather, xFIP, and wRC+ may be neutral fallbacks; market availability and BBO depth may change before first pitch.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NO_CALL_MODEL_UNVALIDATED</t>
        </is>
      </c>
      <c r="AP25" s="24" t="inlineStr">
        <is>
          <t>mlb-cws</t>
        </is>
      </c>
      <c r="AQ25" s="24" t="inlineStr">
        <is>
          <t>Chicago White Sox</t>
        </is>
      </c>
      <c r="AR25" s="24" t="inlineStr">
        <is>
          <t>Chicago White Sox</t>
        </is>
      </c>
      <c r="AS25" s="24" t="inlineStr">
        <is>
          <t>mlb-tor</t>
        </is>
      </c>
      <c r="AT25" s="24" t="inlineStr">
        <is>
          <t>Toronto Blue Jays</t>
        </is>
      </c>
      <c r="AU25" s="24" t="inlineStr">
        <is>
          <t>Toronto Blue Jays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b8e98d9986d0595b594675bb21607c1e855e4dfdb6bd420bf88651c8276e2d64</t>
        </is>
      </c>
      <c r="BB25" s="24" t="inlineStr">
        <is>
          <t>flat_probability_shrinkage_toward_half</t>
        </is>
      </c>
      <c r="BC25" s="24" t="inlineStr">
        <is>
          <t>measured-edge-margin-calibration-v1</t>
        </is>
      </c>
      <c r="BD25" s="24" t="inlineStr">
        <is>
          <t>b8e98d9986d0595b594675bb21607c1e855e4dfdb6bd420bf88651c8276e2d64</t>
        </is>
      </c>
      <c r="BE25" s="24" t="inlineStr">
        <is>
          <t>mlb-v0.2-1</t>
        </is>
      </c>
      <c r="BF25" s="24" t="inlineStr">
        <is>
          <t>1</t>
        </is>
      </c>
      <c r="BG25" s="24" t="inlineStr">
        <is>
          <t>paired-models-v0.6</t>
        </is>
      </c>
      <c r="BH25" s="24" t="inlineStr">
        <is>
          <t>2026-07-16T17:03:09.702868Z</t>
        </is>
      </c>
      <c r="BI25" s="24" t="inlineStr">
        <is>
          <t>["same_event","same_team_same_day","same_league_same_day"]</t>
        </is>
      </c>
      <c r="BJ25" s="25" t="n">
        <v>2.5</v>
      </c>
      <c r="BK25" s="26" t="n">
        <v>-1900</v>
      </c>
      <c r="BL25" s="27" t="n">
        <v>1.052632</v>
      </c>
      <c r="BM25" s="28" t="n">
        <v>0.95</v>
      </c>
      <c r="BN25" s="28" t="n">
        <v>0.646259</v>
      </c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inlineStr">
        <is>
          <t>mispriced market mapping: partial-game contract asc-mlb-cws-tor-2026-07-17-f5-pos-2pt5 logged as full-game spread</t>
        </is>
      </c>
      <c r="BX25" s="30" t="n"/>
      <c r="BY25" s="27" t="n"/>
      <c r="BZ25" s="24" t="n"/>
      <c r="CA25" s="31" t="n"/>
    </row>
    <row r="26" ht="36" customHeight="1">
      <c r="A26" s="24" t="inlineStr">
        <is>
          <t>3bf85c3983734583</t>
        </is>
      </c>
      <c r="B26" s="24" t="inlineStr">
        <is>
          <t>2026-07-16T17:03:09.702868Z</t>
        </is>
      </c>
      <c r="C26" s="24" t="inlineStr">
        <is>
          <t>2026-07-17T23:15Z</t>
        </is>
      </c>
      <c r="D26" s="24" t="inlineStr">
        <is>
          <t>401816141</t>
        </is>
      </c>
      <c r="E26" s="24" t="inlineStr">
        <is>
          <t>MLB</t>
        </is>
      </c>
      <c r="F26" s="24" t="inlineStr">
        <is>
          <t>Chicago White Sox</t>
        </is>
      </c>
      <c r="G26" s="24" t="inlineStr">
        <is>
          <t>Toronto Blue Jays</t>
        </is>
      </c>
      <c r="H26" s="24" t="inlineStr">
        <is>
          <t>total</t>
        </is>
      </c>
      <c r="I26" s="24" t="inlineStr">
        <is>
          <t>over</t>
        </is>
      </c>
      <c r="J26" s="25" t="n">
        <v>2.5</v>
      </c>
      <c r="K26" s="24" t="inlineStr">
        <is>
          <t>polymarket_us</t>
        </is>
      </c>
      <c r="L26" s="26" t="n">
        <v>-2400</v>
      </c>
      <c r="M26" s="27" t="n">
        <v>1.041667</v>
      </c>
      <c r="N26" s="28" t="n">
        <v>0.96</v>
      </c>
      <c r="O26" s="28" t="n">
        <v>0.9701</v>
      </c>
      <c r="P26" s="28" t="n">
        <v>0.047592</v>
      </c>
      <c r="Q26" s="28" t="n">
        <v>0.0101</v>
      </c>
      <c r="R26" s="26" t="n">
        <v>26</v>
      </c>
      <c r="S26" s="29" t="n">
        <v>0</v>
      </c>
      <c r="T26" s="24" t="inlineStr">
        <is>
          <t>measured-edge-totals-v1</t>
        </is>
      </c>
      <c r="U26" s="24" t="inlineStr">
        <is>
          <t>settled</t>
        </is>
      </c>
      <c r="V26" s="24" t="inlineStr">
        <is>
          <t>push</t>
        </is>
      </c>
      <c r="W26" s="26" t="n"/>
      <c r="X26" s="26" t="n"/>
      <c r="Y26" s="25" t="n"/>
      <c r="Z26" s="26" t="n"/>
      <c r="AA26" s="28" t="n"/>
      <c r="AB26" s="28" t="n"/>
      <c r="AC26" s="30" t="n">
        <v>0</v>
      </c>
      <c r="AD26" s="24" t="inlineStr">
        <is>
          <t>2026-07-17T10:41:31.677998Z</t>
        </is>
      </c>
      <c r="AE26" s="31" t="inlineStr">
        <is>
          <t>Measured Edge Totals: Trend Engine projected 3.43-4.80; raw selected-side p=0.9701, calibrated p=0.9701.</t>
        </is>
      </c>
      <c r="AF26" s="31" t="inlineStr">
        <is>
          <t>Research-only; lineup, bullpen, park, weather, xFIP, and wRC+ may be neutral fallbacks; market availability and BBO depth may change before first pitch.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research_observation</t>
        </is>
      </c>
      <c r="AL26" s="26" t="n">
        <v>3</v>
      </c>
      <c r="AM26" s="24" t="inlineStr">
        <is>
          <t>RESEARCH_OBSERVATION</t>
        </is>
      </c>
      <c r="AN26" s="24" t="inlineStr">
        <is>
          <t>NO_CALL</t>
        </is>
      </c>
      <c r="AO26" s="24" t="inlineStr">
        <is>
          <t>NO_CALL_MODEL_UNVALIDATED</t>
        </is>
      </c>
      <c r="AP26" s="24" t="inlineStr">
        <is>
          <t>mlb-cws</t>
        </is>
      </c>
      <c r="AQ26" s="24" t="inlineStr">
        <is>
          <t>Chicago White Sox</t>
        </is>
      </c>
      <c r="AR26" s="24" t="inlineStr">
        <is>
          <t>Chicago White Sox</t>
        </is>
      </c>
      <c r="AS26" s="24" t="inlineStr">
        <is>
          <t>mlb-tor</t>
        </is>
      </c>
      <c r="AT26" s="24" t="inlineStr">
        <is>
          <t>Toronto Blue Jays</t>
        </is>
      </c>
      <c r="AU26" s="24" t="inlineStr">
        <is>
          <t>Toronto Blue Jays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6459ef36fbf13cd225e4d1b966f43e20322ee01c2b7ba5cd8b204f97964e19c6</t>
        </is>
      </c>
      <c r="BB26" s="24" t="inlineStr">
        <is>
          <t>flat_probability_shrinkage_toward_half</t>
        </is>
      </c>
      <c r="BC26" s="24" t="inlineStr">
        <is>
          <t>measured-edge-totals-calibration-v1</t>
        </is>
      </c>
      <c r="BD26" s="24" t="inlineStr">
        <is>
          <t>6459ef36fbf13cd225e4d1b966f43e20322ee01c2b7ba5cd8b204f97964e19c6</t>
        </is>
      </c>
      <c r="BE26" s="24" t="inlineStr">
        <is>
          <t>mlb-v0.2-1</t>
        </is>
      </c>
      <c r="BF26" s="24" t="inlineStr">
        <is>
          <t>1</t>
        </is>
      </c>
      <c r="BG26" s="24" t="inlineStr">
        <is>
          <t>paired-models-v0.6</t>
        </is>
      </c>
      <c r="BH26" s="24" t="inlineStr">
        <is>
          <t>2026-07-16T17:03:09.702868Z</t>
        </is>
      </c>
      <c r="BI26" s="24" t="inlineStr">
        <is>
          <t>["same_event","same_team_same_day","same_league_same_day"]</t>
        </is>
      </c>
      <c r="BJ26" s="25" t="n">
        <v>2.5</v>
      </c>
      <c r="BK26" s="26" t="n">
        <v>-2400</v>
      </c>
      <c r="BL26" s="27" t="n">
        <v>1.041667</v>
      </c>
      <c r="BM26" s="28" t="n">
        <v>0.96</v>
      </c>
      <c r="BN26" s="28" t="n">
        <v>0.644295</v>
      </c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inlineStr">
        <is>
          <t>mispriced market mapping: partial-game contract tsc-mlb-cws-tor-2026-07-17-f5-2pt5 logged as full-game total</t>
        </is>
      </c>
      <c r="BX26" s="30" t="n"/>
      <c r="BY26" s="27" t="n"/>
      <c r="BZ26" s="24" t="n"/>
      <c r="CA26" s="31" t="n"/>
    </row>
    <row r="27" ht="36" customHeight="1">
      <c r="A27" s="24" t="inlineStr">
        <is>
          <t>0b5496e88e324c43</t>
        </is>
      </c>
      <c r="B27" s="24" t="inlineStr">
        <is>
          <t>2026-07-16T17:03:09.702868Z</t>
        </is>
      </c>
      <c r="C27" s="24" t="inlineStr">
        <is>
          <t>2026-07-18T00:10Z</t>
        </is>
      </c>
      <c r="D27" s="24" t="inlineStr">
        <is>
          <t>401816150</t>
        </is>
      </c>
      <c r="E27" s="24" t="inlineStr">
        <is>
          <t>MLB</t>
        </is>
      </c>
      <c r="F27" s="24" t="inlineStr">
        <is>
          <t>San Diego Padres</t>
        </is>
      </c>
      <c r="G27" s="24" t="inlineStr">
        <is>
          <t>Kansas City Royals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100</v>
      </c>
      <c r="M27" s="27" t="n">
        <v>2</v>
      </c>
      <c r="N27" s="28" t="n">
        <v>0.5</v>
      </c>
      <c r="O27" s="28" t="n">
        <v>0.67527</v>
      </c>
      <c r="P27" s="28" t="n">
        <v>0.047592</v>
      </c>
      <c r="Q27" s="28" t="n">
        <v>0.17527</v>
      </c>
      <c r="R27" s="26" t="n">
        <v>100</v>
      </c>
      <c r="S27" s="29" t="n">
        <v>0</v>
      </c>
      <c r="T27" s="24" t="inlineStr">
        <is>
          <t>measured-edge-margin-v1</t>
        </is>
      </c>
      <c r="U27" s="24" t="inlineStr">
        <is>
          <t>open</t>
        </is>
      </c>
      <c r="V27" s="24" t="n"/>
      <c r="W27" s="26" t="n"/>
      <c r="X27" s="26" t="n"/>
      <c r="Y27" s="25" t="n"/>
      <c r="Z27" s="26" t="n"/>
      <c r="AA27" s="28" t="n"/>
      <c r="AB27" s="28" t="n"/>
      <c r="AC27" s="30" t="n"/>
      <c r="AD27" s="24" t="n"/>
      <c r="AE27" s="31" t="inlineStr">
        <is>
          <t>Measured Edge Margin: Trend Engine projected 5.57-3.68; raw selected-side p=0.7062, calibrated p=0.6753.</t>
        </is>
      </c>
      <c r="AF27" s="31" t="inlineStr">
        <is>
          <t>Research-only; lineup, bullpen, park, weather, xFIP, and wRC+ may be neutral fallbacks; market availability and BBO depth may change before first pitch.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NO_CALL_MODEL_UNVALIDATED</t>
        </is>
      </c>
      <c r="AP27" s="24" t="inlineStr">
        <is>
          <t>mlb-sd</t>
        </is>
      </c>
      <c r="AQ27" s="24" t="inlineStr">
        <is>
          <t>San Diego Padres</t>
        </is>
      </c>
      <c r="AR27" s="24" t="inlineStr">
        <is>
          <t>San Diego Padres</t>
        </is>
      </c>
      <c r="AS27" s="24" t="inlineStr">
        <is>
          <t>mlb-kc</t>
        </is>
      </c>
      <c r="AT27" s="24" t="inlineStr">
        <is>
          <t>Kansas City Royals</t>
        </is>
      </c>
      <c r="AU27" s="24" t="inlineStr">
        <is>
          <t>Kansas City Royals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b8e98d9986d0595b594675bb21607c1e855e4dfdb6bd420bf88651c8276e2d64</t>
        </is>
      </c>
      <c r="BB27" s="24" t="inlineStr">
        <is>
          <t>flat_probability_shrinkage_toward_half</t>
        </is>
      </c>
      <c r="BC27" s="24" t="inlineStr">
        <is>
          <t>measured-edge-margin-calibration-v1</t>
        </is>
      </c>
      <c r="BD27" s="24" t="inlineStr">
        <is>
          <t>b8e98d9986d0595b594675bb21607c1e855e4dfdb6bd420bf88651c8276e2d64</t>
        </is>
      </c>
      <c r="BE27" s="24" t="inlineStr">
        <is>
          <t>mlb-v0.2-1</t>
        </is>
      </c>
      <c r="BF27" s="24" t="inlineStr">
        <is>
          <t>1</t>
        </is>
      </c>
      <c r="BG27" s="24" t="inlineStr">
        <is>
          <t>paired-models-v0.6</t>
        </is>
      </c>
      <c r="BH27" s="24" t="inlineStr">
        <is>
          <t>2026-07-16T17:03:09.702868Z</t>
        </is>
      </c>
      <c r="BI27" s="24" t="inlineStr">
        <is>
          <t>["same_event","same_team_same_day","same_league_same_day"]</t>
        </is>
      </c>
      <c r="BJ27" s="25" t="n"/>
      <c r="BK27" s="26" t="n">
        <v>100</v>
      </c>
      <c r="BL27" s="27" t="n">
        <v>2</v>
      </c>
      <c r="BM27" s="28" t="n">
        <v>0.5</v>
      </c>
      <c r="BN27" s="28" t="n">
        <v>0.497512</v>
      </c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</row>
    <row r="28" ht="36" customHeight="1">
      <c r="A28" s="24" t="inlineStr">
        <is>
          <t>40719bc53a5047b1</t>
        </is>
      </c>
      <c r="B28" s="24" t="inlineStr">
        <is>
          <t>2026-07-16T17:03:09.702868Z</t>
        </is>
      </c>
      <c r="C28" s="24" t="inlineStr">
        <is>
          <t>2026-07-18T00:10Z</t>
        </is>
      </c>
      <c r="D28" s="24" t="inlineStr">
        <is>
          <t>401816150</t>
        </is>
      </c>
      <c r="E28" s="24" t="inlineStr">
        <is>
          <t>MLB</t>
        </is>
      </c>
      <c r="F28" s="24" t="inlineStr">
        <is>
          <t>San Diego Padres</t>
        </is>
      </c>
      <c r="G28" s="24" t="inlineStr">
        <is>
          <t>Kansas City Royals</t>
        </is>
      </c>
      <c r="H28" s="24" t="inlineStr">
        <is>
          <t>spread</t>
        </is>
      </c>
      <c r="I28" s="24" t="inlineStr">
        <is>
          <t>away</t>
        </is>
      </c>
      <c r="J28" s="25" t="n">
        <v>1.5</v>
      </c>
      <c r="K28" s="24" t="inlineStr">
        <is>
          <t>polymarket_us</t>
        </is>
      </c>
      <c r="L28" s="26" t="n">
        <v>-1900</v>
      </c>
      <c r="M28" s="27" t="n">
        <v>1.052632</v>
      </c>
      <c r="N28" s="28" t="n">
        <v>0.95</v>
      </c>
      <c r="O28" s="28" t="n">
        <v>0.78747</v>
      </c>
      <c r="P28" s="28" t="n">
        <v>0.047592</v>
      </c>
      <c r="Q28" s="28" t="n">
        <v>-0.16253</v>
      </c>
      <c r="R28" s="26" t="n">
        <v>0</v>
      </c>
      <c r="S28" s="29" t="n">
        <v>0</v>
      </c>
      <c r="T28" s="24" t="inlineStr">
        <is>
          <t>measured-edge-margin-v1</t>
        </is>
      </c>
      <c r="U28" s="24" t="inlineStr">
        <is>
          <t>settled</t>
        </is>
      </c>
      <c r="V28" s="24" t="inlineStr">
        <is>
          <t>push</t>
        </is>
      </c>
      <c r="W28" s="26" t="n"/>
      <c r="X28" s="26" t="n"/>
      <c r="Y28" s="25" t="n"/>
      <c r="Z28" s="26" t="n"/>
      <c r="AA28" s="28" t="n"/>
      <c r="AB28" s="28" t="n"/>
      <c r="AC28" s="30" t="n">
        <v>0</v>
      </c>
      <c r="AD28" s="24" t="inlineStr">
        <is>
          <t>2026-07-17T10:41:31.801119Z</t>
        </is>
      </c>
      <c r="AE28" s="31" t="inlineStr">
        <is>
          <t>Measured Edge Margin: Trend Engine projected 5.57-3.68; raw selected-side p=0.8382, calibrated p=0.7875.</t>
        </is>
      </c>
      <c r="AF28" s="31" t="inlineStr">
        <is>
          <t>Research-only; lineup, bullpen, park, weather, xFIP, and wRC+ may be neutral fallbacks; market availability and BBO depth may change before first pitch.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mlb-sd</t>
        </is>
      </c>
      <c r="AQ28" s="24" t="inlineStr">
        <is>
          <t>San Diego Padres</t>
        </is>
      </c>
      <c r="AR28" s="24" t="inlineStr">
        <is>
          <t>San Diego Padres</t>
        </is>
      </c>
      <c r="AS28" s="24" t="inlineStr">
        <is>
          <t>mlb-kc</t>
        </is>
      </c>
      <c r="AT28" s="24" t="inlineStr">
        <is>
          <t>Kansas City Royals</t>
        </is>
      </c>
      <c r="AU28" s="24" t="inlineStr">
        <is>
          <t>Kansas City Royals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b8e98d9986d0595b594675bb21607c1e855e4dfdb6bd420bf88651c8276e2d64</t>
        </is>
      </c>
      <c r="BB28" s="24" t="inlineStr">
        <is>
          <t>flat_probability_shrinkage_toward_half</t>
        </is>
      </c>
      <c r="BC28" s="24" t="inlineStr">
        <is>
          <t>measured-edge-margin-calibration-v1</t>
        </is>
      </c>
      <c r="BD28" s="24" t="inlineStr">
        <is>
          <t>b8e98d9986d0595b594675bb21607c1e855e4dfdb6bd420bf88651c8276e2d64</t>
        </is>
      </c>
      <c r="BE28" s="24" t="inlineStr">
        <is>
          <t>mlb-v0.2-1</t>
        </is>
      </c>
      <c r="BF28" s="24" t="inlineStr">
        <is>
          <t>1</t>
        </is>
      </c>
      <c r="BG28" s="24" t="inlineStr">
        <is>
          <t>paired-models-v0.6</t>
        </is>
      </c>
      <c r="BH28" s="24" t="inlineStr">
        <is>
          <t>2026-07-16T17:03:09.702868Z</t>
        </is>
      </c>
      <c r="BI28" s="24" t="inlineStr">
        <is>
          <t>["same_event","same_team_same_day","same_league_same_day"]</t>
        </is>
      </c>
      <c r="BJ28" s="25" t="n">
        <v>1.5</v>
      </c>
      <c r="BK28" s="26" t="n">
        <v>-1900</v>
      </c>
      <c r="BL28" s="27" t="n">
        <v>1.052632</v>
      </c>
      <c r="BM28" s="28" t="n">
        <v>0.95</v>
      </c>
      <c r="BN28" s="28" t="n">
        <v>0.633333</v>
      </c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inlineStr">
        <is>
          <t>mispriced market mapping: partial-game contract asc-mlb-sd-kc-2026-07-17-f5-pos-1pt5 logged as full-game spread</t>
        </is>
      </c>
      <c r="BX28" s="30" t="n"/>
      <c r="BY28" s="27" t="n"/>
      <c r="BZ28" s="24" t="n"/>
      <c r="CA28" s="31" t="n"/>
    </row>
    <row r="29" ht="36" customHeight="1">
      <c r="A29" s="24" t="inlineStr">
        <is>
          <t>d7cf0406c1da4540</t>
        </is>
      </c>
      <c r="B29" s="24" t="inlineStr">
        <is>
          <t>2026-07-16T17:03:09.702868Z</t>
        </is>
      </c>
      <c r="C29" s="24" t="inlineStr">
        <is>
          <t>2026-07-18T00:10Z</t>
        </is>
      </c>
      <c r="D29" s="24" t="inlineStr">
        <is>
          <t>401816150</t>
        </is>
      </c>
      <c r="E29" s="24" t="inlineStr">
        <is>
          <t>MLB</t>
        </is>
      </c>
      <c r="F29" s="24" t="inlineStr">
        <is>
          <t>San Diego Padres</t>
        </is>
      </c>
      <c r="G29" s="24" t="inlineStr">
        <is>
          <t>Kansas City Royals</t>
        </is>
      </c>
      <c r="H29" s="24" t="inlineStr">
        <is>
          <t>total</t>
        </is>
      </c>
      <c r="I29" s="24" t="inlineStr">
        <is>
          <t>over</t>
        </is>
      </c>
      <c r="J29" s="25" t="n">
        <v>2.5</v>
      </c>
      <c r="K29" s="24" t="inlineStr">
        <is>
          <t>polymarket_us</t>
        </is>
      </c>
      <c r="L29" s="26" t="n">
        <v>-1567</v>
      </c>
      <c r="M29" s="27" t="n">
        <v>1.063816</v>
      </c>
      <c r="N29" s="28" t="n">
        <v>0.940012</v>
      </c>
      <c r="O29" s="28" t="n">
        <v>0.981</v>
      </c>
      <c r="P29" s="28" t="n">
        <v>0.047592</v>
      </c>
      <c r="Q29" s="28" t="n">
        <v>0.040988</v>
      </c>
      <c r="R29" s="26" t="n">
        <v>42</v>
      </c>
      <c r="S29" s="29" t="n">
        <v>0</v>
      </c>
      <c r="T29" s="24" t="inlineStr">
        <is>
          <t>measured-edge-totals-v1</t>
        </is>
      </c>
      <c r="U29" s="24" t="inlineStr">
        <is>
          <t>settled</t>
        </is>
      </c>
      <c r="V29" s="24" t="inlineStr">
        <is>
          <t>push</t>
        </is>
      </c>
      <c r="W29" s="26" t="n"/>
      <c r="X29" s="26" t="n"/>
      <c r="Y29" s="25" t="n"/>
      <c r="Z29" s="26" t="n"/>
      <c r="AA29" s="28" t="n"/>
      <c r="AB29" s="28" t="n"/>
      <c r="AC29" s="30" t="n">
        <v>0</v>
      </c>
      <c r="AD29" s="24" t="inlineStr">
        <is>
          <t>2026-07-17T10:41:31.909230Z</t>
        </is>
      </c>
      <c r="AE29" s="31" t="inlineStr">
        <is>
          <t>Measured Edge Totals: Trend Engine projected 5.57-3.68; raw selected-side p=0.9810, calibrated p=0.9810.</t>
        </is>
      </c>
      <c r="AF29" s="31" t="inlineStr">
        <is>
          <t>Research-only; lineup, bullpen, park, weather, xFIP, and wRC+ may be neutral fallbacks; market availability and BBO depth may change before first pitch.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research_observation</t>
        </is>
      </c>
      <c r="AL29" s="26" t="n">
        <v>3</v>
      </c>
      <c r="AM29" s="24" t="inlineStr">
        <is>
          <t>RESEARCH_OBSERVATION</t>
        </is>
      </c>
      <c r="AN29" s="24" t="inlineStr">
        <is>
          <t>NO_CALL</t>
        </is>
      </c>
      <c r="AO29" s="24" t="inlineStr">
        <is>
          <t>NO_CALL_MODEL_UNVALIDATED</t>
        </is>
      </c>
      <c r="AP29" s="24" t="inlineStr">
        <is>
          <t>mlb-sd</t>
        </is>
      </c>
      <c r="AQ29" s="24" t="inlineStr">
        <is>
          <t>San Diego Padres</t>
        </is>
      </c>
      <c r="AR29" s="24" t="inlineStr">
        <is>
          <t>San Diego Padres</t>
        </is>
      </c>
      <c r="AS29" s="24" t="inlineStr">
        <is>
          <t>mlb-kc</t>
        </is>
      </c>
      <c r="AT29" s="24" t="inlineStr">
        <is>
          <t>Kansas City Royals</t>
        </is>
      </c>
      <c r="AU29" s="24" t="inlineStr">
        <is>
          <t>Kansas City Royals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6459ef36fbf13cd225e4d1b966f43e20322ee01c2b7ba5cd8b204f97964e19c6</t>
        </is>
      </c>
      <c r="BB29" s="24" t="inlineStr">
        <is>
          <t>flat_probability_shrinkage_toward_half</t>
        </is>
      </c>
      <c r="BC29" s="24" t="inlineStr">
        <is>
          <t>measured-edge-totals-calibration-v1</t>
        </is>
      </c>
      <c r="BD29" s="24" t="inlineStr">
        <is>
          <t>6459ef36fbf13cd225e4d1b966f43e20322ee01c2b7ba5cd8b204f97964e19c6</t>
        </is>
      </c>
      <c r="BE29" s="24" t="inlineStr">
        <is>
          <t>mlb-v0.2-1</t>
        </is>
      </c>
      <c r="BF29" s="24" t="inlineStr">
        <is>
          <t>1</t>
        </is>
      </c>
      <c r="BG29" s="24" t="inlineStr">
        <is>
          <t>paired-models-v0.6</t>
        </is>
      </c>
      <c r="BH29" s="24" t="inlineStr">
        <is>
          <t>2026-07-16T17:03:09.702868Z</t>
        </is>
      </c>
      <c r="BI29" s="24" t="inlineStr">
        <is>
          <t>["same_event","same_team_same_day","same_league_same_day"]</t>
        </is>
      </c>
      <c r="BJ29" s="25" t="n">
        <v>2.5</v>
      </c>
      <c r="BK29" s="26" t="n">
        <v>-1567</v>
      </c>
      <c r="BL29" s="27" t="n">
        <v>1.063816</v>
      </c>
      <c r="BM29" s="28" t="n">
        <v>0.940012</v>
      </c>
      <c r="BN29" s="28" t="n">
        <v>0.626667</v>
      </c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inlineStr">
        <is>
          <t>mispriced market mapping: partial-game contract tsc-mlb-sd-kc-2026-07-17-f5-2pt5 logged as full-game total</t>
        </is>
      </c>
      <c r="BX29" s="30" t="n"/>
      <c r="BY29" s="27" t="n"/>
      <c r="BZ29" s="24" t="n"/>
      <c r="CA29" s="31" t="n"/>
    </row>
    <row r="30" ht="36" customHeight="1">
      <c r="A30" s="24" t="inlineStr">
        <is>
          <t>24a6804885684436</t>
        </is>
      </c>
      <c r="B30" s="24" t="inlineStr">
        <is>
          <t>2026-07-16T18:27:43.335035Z</t>
        </is>
      </c>
      <c r="C30" s="24" t="inlineStr">
        <is>
          <t>2026-07-16T23:10:00Z</t>
        </is>
      </c>
      <c r="D30" s="24" t="inlineStr">
        <is>
          <t>401816143</t>
        </is>
      </c>
      <c r="E30" s="24" t="inlineStr">
        <is>
          <t>MLB</t>
        </is>
      </c>
      <c r="F30" s="24" t="inlineStr">
        <is>
          <t>New York Mets</t>
        </is>
      </c>
      <c r="G30" s="24" t="inlineStr">
        <is>
          <t>Philadelphia Phillies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-122</v>
      </c>
      <c r="M30" s="27" t="n">
        <v>1.819672</v>
      </c>
      <c r="N30" s="28" t="n">
        <v>0.54955</v>
      </c>
      <c r="O30" s="28" t="n">
        <v>0.6116470000000001</v>
      </c>
      <c r="P30" s="28" t="n"/>
      <c r="Q30" s="28" t="n">
        <v>0.062097</v>
      </c>
      <c r="R30" s="26" t="n">
        <v>81</v>
      </c>
      <c r="S30" s="29" t="n">
        <v>0</v>
      </c>
      <c r="T30" s="24" t="inlineStr">
        <is>
          <t>unversioned-mlb-elo</t>
        </is>
      </c>
      <c r="U30" s="24" t="inlineStr">
        <is>
          <t>settled</t>
        </is>
      </c>
      <c r="V30" s="24" t="inlineStr">
        <is>
          <t>loss</t>
        </is>
      </c>
      <c r="W30" s="26" t="n">
        <v>4</v>
      </c>
      <c r="X30" s="26" t="n">
        <v>1</v>
      </c>
      <c r="Y30" s="25" t="n"/>
      <c r="Z30" s="26" t="n"/>
      <c r="AA30" s="28" t="n"/>
      <c r="AB30" s="28" t="n"/>
      <c r="AC30" s="30" t="n">
        <v>0</v>
      </c>
      <c r="AD30" s="24" t="inlineStr">
        <is>
          <t>2026-07-17T10:22:35.457652Z</t>
        </is>
      </c>
      <c r="AE30" s="31" t="inlineStr">
        <is>
          <t>Phillies full-game ML: point-in-time local Elo gives PHI 61.16% at home versus a 55.0-cent executable ask; gross executable edge 6.16 percentage points. Logged as research because the intended frozen production artifact is unavailable.</t>
        </is>
      </c>
      <c r="AF30" s="31" t="inlineStr">
        <is>
          <t>Unversioned fallback Elo; no validated uncertainty artifact; starting-lineup and late-news risk; exchange slippage/fees; full-game market includes extra innings.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NO_CALL_MISSING_UNCERTAINTY</t>
        </is>
      </c>
      <c r="AP30" s="24" t="inlineStr">
        <is>
          <t>mlb-nym</t>
        </is>
      </c>
      <c r="AQ30" s="24" t="inlineStr">
        <is>
          <t>New York Mets</t>
        </is>
      </c>
      <c r="AR30" s="24" t="inlineStr">
        <is>
          <t>New York Mets</t>
        </is>
      </c>
      <c r="AS30" s="24" t="inlineStr">
        <is>
          <t>mlb-phi</t>
        </is>
      </c>
      <c r="AT30" s="24" t="inlineStr">
        <is>
          <t>Philadelphia Phillies</t>
        </is>
      </c>
      <c r="AU30" s="24" t="inlineStr">
        <is>
          <t>Philadelphia Phillies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n"/>
      <c r="BB30" s="24" t="inlineStr">
        <is>
          <t>identity</t>
        </is>
      </c>
      <c r="BC30" s="24" t="inlineStr">
        <is>
          <t>identity-v1</t>
        </is>
      </c>
      <c r="BD30" s="24" t="n"/>
      <c r="BE30" s="24" t="inlineStr">
        <is>
          <t>1</t>
        </is>
      </c>
      <c r="BF30" s="24" t="inlineStr">
        <is>
          <t>1</t>
        </is>
      </c>
      <c r="BG30" s="24" t="inlineStr">
        <is>
          <t>workspace-uncommitted</t>
        </is>
      </c>
      <c r="BH30" s="24" t="inlineStr">
        <is>
          <t>2026-07-16T18:27:18.403453Z</t>
        </is>
      </c>
      <c r="BI30" s="24" t="inlineStr">
        <is>
          <t>["same_event","same_team_same_day","same_league_same_day"]</t>
        </is>
      </c>
      <c r="BJ30" s="25" t="n"/>
      <c r="BK30" s="26" t="n">
        <v>-122</v>
      </c>
      <c r="BL30" s="27" t="n">
        <v>1.819672</v>
      </c>
      <c r="BM30" s="28" t="n">
        <v>0.54955</v>
      </c>
      <c r="BN30" s="28" t="n">
        <v>0.547264</v>
      </c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>
        <v>1</v>
      </c>
      <c r="BY30" s="27" t="n">
        <v>-1</v>
      </c>
      <c r="BZ30" s="24" t="inlineStr">
        <is>
          <t>2026-07-17T10:22:35.457652Z</t>
        </is>
      </c>
      <c r="CA30" s="31" t="inlineStr">
        <is>
          <t>fixed one-unit hypothetical scoring; no real exposure or execution</t>
        </is>
      </c>
    </row>
    <row r="31" ht="36" customHeight="1">
      <c r="A31" s="24" t="inlineStr">
        <is>
          <t>85e40e341fae4fe0</t>
        </is>
      </c>
      <c r="B31" s="24" t="inlineStr">
        <is>
          <t>2026-07-16T18:27:43.351997Z</t>
        </is>
      </c>
      <c r="C31" s="24" t="inlineStr">
        <is>
          <t>2026-07-16T23:10:00Z</t>
        </is>
      </c>
      <c r="D31" s="24" t="inlineStr">
        <is>
          <t>401816143</t>
        </is>
      </c>
      <c r="E31" s="24" t="inlineStr">
        <is>
          <t>MLB</t>
        </is>
      </c>
      <c r="F31" s="24" t="inlineStr">
        <is>
          <t>New York Mets</t>
        </is>
      </c>
      <c r="G31" s="24" t="inlineStr">
        <is>
          <t>Philadelphia Phillies</t>
        </is>
      </c>
      <c r="H31" s="24" t="inlineStr">
        <is>
          <t>total</t>
        </is>
      </c>
      <c r="I31" s="24" t="inlineStr">
        <is>
          <t>under</t>
        </is>
      </c>
      <c r="J31" s="25" t="n">
        <v>9.5</v>
      </c>
      <c r="K31" s="24" t="inlineStr">
        <is>
          <t>polymarket_us</t>
        </is>
      </c>
      <c r="L31" s="26" t="n">
        <v>-102</v>
      </c>
      <c r="M31" s="27" t="n">
        <v>1.980392</v>
      </c>
      <c r="N31" s="28" t="n">
        <v>0.50495</v>
      </c>
      <c r="O31" s="28" t="n">
        <v>0.5685</v>
      </c>
      <c r="P31" s="28" t="n"/>
      <c r="Q31" s="28" t="n">
        <v>0.06355</v>
      </c>
      <c r="R31" s="26" t="n">
        <v>82</v>
      </c>
      <c r="S31" s="29" t="n">
        <v>0</v>
      </c>
      <c r="T31" s="24" t="inlineStr">
        <is>
          <t>mlb-totals-v3.0.0</t>
        </is>
      </c>
      <c r="U31" s="24" t="inlineStr">
        <is>
          <t>settled</t>
        </is>
      </c>
      <c r="V31" s="24" t="inlineStr">
        <is>
          <t>win</t>
        </is>
      </c>
      <c r="W31" s="26" t="n">
        <v>4</v>
      </c>
      <c r="X31" s="26" t="n">
        <v>1</v>
      </c>
      <c r="Y31" s="25" t="n"/>
      <c r="Z31" s="26" t="n"/>
      <c r="AA31" s="28" t="n"/>
      <c r="AB31" s="28" t="n"/>
      <c r="AC31" s="30" t="n">
        <v>0</v>
      </c>
      <c r="AD31" s="24" t="inlineStr">
        <is>
          <t>2026-07-17T10:22:35.557083Z</t>
        </is>
      </c>
      <c r="AE31" s="31" t="inlineStr">
        <is>
          <t>Full-game Under 9.5: frozen MLB totals formula estimates 56.85% Under (adjusted mean 9.555), versus a 50.5-cent executable ask; gross executable edge 6.35 percentage points.</t>
        </is>
      </c>
      <c r="AF31" s="31" t="inlineStr">
        <is>
          <t>Research-state artifact with no validated uncertainty output; local PIT cache used after public-fetch sample was insufficient; bullpen/lineup/weather and extra-inning scoring risk; exchange slippage/fees.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NO_CALL_MISSING_UNCERTAINTY</t>
        </is>
      </c>
      <c r="AP31" s="24" t="inlineStr">
        <is>
          <t>mlb-nym</t>
        </is>
      </c>
      <c r="AQ31" s="24" t="inlineStr">
        <is>
          <t>New York Mets</t>
        </is>
      </c>
      <c r="AR31" s="24" t="inlineStr">
        <is>
          <t>New York Mets</t>
        </is>
      </c>
      <c r="AS31" s="24" t="inlineStr">
        <is>
          <t>mlb-phi</t>
        </is>
      </c>
      <c r="AT31" s="24" t="inlineStr">
        <is>
          <t>Philadelphia Phillies</t>
        </is>
      </c>
      <c r="AU31" s="24" t="inlineStr">
        <is>
          <t>Philadelphia Phillies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n"/>
      <c r="BB31" s="24" t="inlineStr">
        <is>
          <t>identity</t>
        </is>
      </c>
      <c r="BC31" s="24" t="inlineStr">
        <is>
          <t>identity-v1</t>
        </is>
      </c>
      <c r="BD31" s="24" t="n"/>
      <c r="BE31" s="24" t="inlineStr">
        <is>
          <t>1</t>
        </is>
      </c>
      <c r="BF31" s="24" t="inlineStr">
        <is>
          <t>1</t>
        </is>
      </c>
      <c r="BG31" s="24" t="inlineStr">
        <is>
          <t>workspace-uncommitted</t>
        </is>
      </c>
      <c r="BH31" s="24" t="inlineStr">
        <is>
          <t>2026-07-16T18:27:18.931439Z</t>
        </is>
      </c>
      <c r="BI31" s="24" t="inlineStr">
        <is>
          <t>["same_event","same_team_same_day","same_league_same_day"]</t>
        </is>
      </c>
      <c r="BJ31" s="25" t="n">
        <v>9.5</v>
      </c>
      <c r="BK31" s="26" t="n">
        <v>-102</v>
      </c>
      <c r="BL31" s="27" t="n">
        <v>1.980392</v>
      </c>
      <c r="BM31" s="28" t="n">
        <v>0.50495</v>
      </c>
      <c r="BN31" s="28" t="n">
        <v>0.502488</v>
      </c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>
        <v>1</v>
      </c>
      <c r="BY31" s="27" t="n">
        <v>0.980392</v>
      </c>
      <c r="BZ31" s="24" t="inlineStr">
        <is>
          <t>2026-07-17T10:22:35.557083Z</t>
        </is>
      </c>
      <c r="CA31" s="31" t="inlineStr">
        <is>
          <t>fixed one-unit hypothetical scoring; no real exposure or execution</t>
        </is>
      </c>
    </row>
    <row r="32" ht="36" customHeight="1">
      <c r="A32" s="24" t="inlineStr">
        <is>
          <t>fcd93682c22143e8</t>
        </is>
      </c>
      <c r="B32" s="24" t="inlineStr">
        <is>
          <t>2026-07-17T10:30:15.450039Z</t>
        </is>
      </c>
      <c r="C32" s="24" t="inlineStr">
        <is>
          <t>2026-07-17T23:30Z</t>
        </is>
      </c>
      <c r="D32" s="24" t="inlineStr">
        <is>
          <t>401857073</t>
        </is>
      </c>
      <c r="E32" s="24" t="inlineStr">
        <is>
          <t>WNBA</t>
        </is>
      </c>
      <c r="F32" s="24" t="inlineStr">
        <is>
          <t>Seattle Storm</t>
        </is>
      </c>
      <c r="G32" s="24" t="inlineStr">
        <is>
          <t>Indiana Fever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-355</v>
      </c>
      <c r="M32" s="27" t="n">
        <v>1.28169</v>
      </c>
      <c r="N32" s="28" t="n">
        <v>0.78022</v>
      </c>
      <c r="O32" s="28" t="n">
        <v>0.6531090000000001</v>
      </c>
      <c r="P32" s="28" t="n"/>
      <c r="Q32" s="28" t="n">
        <v>-0.127111</v>
      </c>
      <c r="R32" s="26" t="n">
        <v>0</v>
      </c>
      <c r="S32" s="29" t="n">
        <v>0</v>
      </c>
      <c r="T32" s="24" t="inlineStr">
        <is>
          <t>wnba-elo-trend-lr-v2</t>
        </is>
      </c>
      <c r="U32" s="24" t="inlineStr">
        <is>
          <t>open</t>
        </is>
      </c>
      <c r="V32" s="24" t="n"/>
      <c r="W32" s="26" t="n"/>
      <c r="X32" s="26" t="n"/>
      <c r="Y32" s="25" t="n"/>
      <c r="Z32" s="26" t="n"/>
      <c r="AA32" s="28" t="n"/>
      <c r="AB32" s="28" t="n"/>
      <c r="AC32" s="30" t="n"/>
      <c r="AD32" s="24" t="n"/>
      <c r="AE32" s="31" t="inlineStr">
        <is>
          <t>Learned LR call at threshold 0.5018; executable ask 0.7800 (aec-wnba-sea-ind-2026-07-17).</t>
        </is>
      </c>
      <c r="AF32" s="31" t="inlineStr">
        <is>
          <t>Learned model; promotion gate not yet open; zero-unit research until review.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NO_CALL_MISSING_UNCERTAINTY</t>
        </is>
      </c>
      <c r="AP32" s="24" t="inlineStr">
        <is>
          <t>wnba-sea</t>
        </is>
      </c>
      <c r="AQ32" s="24" t="inlineStr">
        <is>
          <t>Seattle Storm</t>
        </is>
      </c>
      <c r="AR32" s="24" t="inlineStr">
        <is>
          <t>Seattle Storm</t>
        </is>
      </c>
      <c r="AS32" s="24" t="inlineStr">
        <is>
          <t>wnba-ind</t>
        </is>
      </c>
      <c r="AT32" s="24" t="inlineStr">
        <is>
          <t>Indiana Fever</t>
        </is>
      </c>
      <c r="AU32" s="24" t="inlineStr">
        <is>
          <t>Indiana Fever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593925b19cd0d6a88880d7d2e868f8b3cffef14f1697019de3a8a7e28e173bc7</t>
        </is>
      </c>
      <c r="BB32" s="24" t="inlineStr">
        <is>
          <t>learned_lr</t>
        </is>
      </c>
      <c r="BC32" s="24" t="inlineStr">
        <is>
          <t>wnba-elo-trend-lr-v2</t>
        </is>
      </c>
      <c r="BD32" s="24" t="inlineStr">
        <is>
          <t>593925b19cd0d6a88880d7d2e868f8b3cffef14f1697019de3a8a7e28e173bc7</t>
        </is>
      </c>
      <c r="BE32" s="24" t="inlineStr">
        <is>
          <t>15f518082bd1133e</t>
        </is>
      </c>
      <c r="BF32" s="24" t="inlineStr">
        <is>
          <t>1</t>
        </is>
      </c>
      <c r="BG32" s="24" t="inlineStr">
        <is>
          <t>wnba-elo-trend-lr-v2</t>
        </is>
      </c>
      <c r="BH32" s="24" t="inlineStr">
        <is>
          <t>2026-07-17T10:26:10.698855Z</t>
        </is>
      </c>
      <c r="BI32" s="24" t="inlineStr">
        <is>
          <t>["same_event","same_team_same_day","same_league_same_day"]</t>
        </is>
      </c>
      <c r="BJ32" s="25" t="n"/>
      <c r="BK32" s="26" t="n">
        <v>-355</v>
      </c>
      <c r="BL32" s="27" t="n">
        <v>1.28169</v>
      </c>
      <c r="BM32" s="28" t="n">
        <v>0.78022</v>
      </c>
      <c r="BN32" s="28" t="n">
        <v>0.772277</v>
      </c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</row>
    <row r="33" ht="36" customHeight="1">
      <c r="A33" s="24" t="inlineStr">
        <is>
          <t>3e117f4d229f473d</t>
        </is>
      </c>
      <c r="B33" s="24" t="inlineStr">
        <is>
          <t>2026-07-17T10:30:15.450039Z</t>
        </is>
      </c>
      <c r="C33" s="24" t="inlineStr">
        <is>
          <t>2026-07-17T23:30Z</t>
        </is>
      </c>
      <c r="D33" s="24" t="inlineStr">
        <is>
          <t>401857075</t>
        </is>
      </c>
      <c r="E33" s="24" t="inlineStr">
        <is>
          <t>WNBA</t>
        </is>
      </c>
      <c r="F33" s="24" t="inlineStr">
        <is>
          <t>Los Angeles Sparks</t>
        </is>
      </c>
      <c r="G33" s="24" t="inlineStr">
        <is>
          <t>Chicago Sky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104</v>
      </c>
      <c r="M33" s="27" t="n">
        <v>2.04</v>
      </c>
      <c r="N33" s="28" t="n">
        <v>0.490196</v>
      </c>
      <c r="O33" s="28" t="n">
        <v>0.580113</v>
      </c>
      <c r="P33" s="28" t="n"/>
      <c r="Q33" s="28" t="n">
        <v>0.089917</v>
      </c>
      <c r="R33" s="26" t="n">
        <v>95</v>
      </c>
      <c r="S33" s="29" t="n">
        <v>0</v>
      </c>
      <c r="T33" s="24" t="inlineStr">
        <is>
          <t>wnba-elo-trend-lr-v2</t>
        </is>
      </c>
      <c r="U33" s="24" t="inlineStr">
        <is>
          <t>open</t>
        </is>
      </c>
      <c r="V33" s="24" t="n"/>
      <c r="W33" s="26" t="n"/>
      <c r="X33" s="26" t="n"/>
      <c r="Y33" s="25" t="n"/>
      <c r="Z33" s="26" t="n"/>
      <c r="AA33" s="28" t="n"/>
      <c r="AB33" s="28" t="n"/>
      <c r="AC33" s="30" t="n"/>
      <c r="AD33" s="24" t="n"/>
      <c r="AE33" s="31" t="inlineStr">
        <is>
          <t>Learned LR call at threshold 0.5018; executable ask 0.4900 (aec-wnba-la-chi-2026-07-17).</t>
        </is>
      </c>
      <c r="AF33" s="31" t="inlineStr">
        <is>
          <t>Learned model; promotion gate not yet open; zero-unit research until review.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research_observation</t>
        </is>
      </c>
      <c r="AL33" s="26" t="n">
        <v>3</v>
      </c>
      <c r="AM33" s="24" t="inlineStr">
        <is>
          <t>RESEARCH_OBSERVATION</t>
        </is>
      </c>
      <c r="AN33" s="24" t="inlineStr">
        <is>
          <t>NO_CALL</t>
        </is>
      </c>
      <c r="AO33" s="24" t="inlineStr">
        <is>
          <t>NO_CALL_MISSING_UNCERTAINTY</t>
        </is>
      </c>
      <c r="AP33" s="24" t="inlineStr">
        <is>
          <t>wnba-las</t>
        </is>
      </c>
      <c r="AQ33" s="24" t="inlineStr">
        <is>
          <t>Los Angeles Sparks</t>
        </is>
      </c>
      <c r="AR33" s="24" t="inlineStr">
        <is>
          <t>Los Angeles Sparks</t>
        </is>
      </c>
      <c r="AS33" s="24" t="inlineStr">
        <is>
          <t>wnba-chi</t>
        </is>
      </c>
      <c r="AT33" s="24" t="inlineStr">
        <is>
          <t>Chicago Sky</t>
        </is>
      </c>
      <c r="AU33" s="24" t="inlineStr">
        <is>
          <t>Chicago Sky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593925b19cd0d6a88880d7d2e868f8b3cffef14f1697019de3a8a7e28e173bc7</t>
        </is>
      </c>
      <c r="BB33" s="24" t="inlineStr">
        <is>
          <t>learned_lr</t>
        </is>
      </c>
      <c r="BC33" s="24" t="inlineStr">
        <is>
          <t>wnba-elo-trend-lr-v2</t>
        </is>
      </c>
      <c r="BD33" s="24" t="inlineStr">
        <is>
          <t>593925b19cd0d6a88880d7d2e868f8b3cffef14f1697019de3a8a7e28e173bc7</t>
        </is>
      </c>
      <c r="BE33" s="24" t="inlineStr">
        <is>
          <t>8c7d8b8b613f1c27</t>
        </is>
      </c>
      <c r="BF33" s="24" t="inlineStr">
        <is>
          <t>1</t>
        </is>
      </c>
      <c r="BG33" s="24" t="inlineStr">
        <is>
          <t>wnba-elo-trend-lr-v2</t>
        </is>
      </c>
      <c r="BH33" s="24" t="inlineStr">
        <is>
          <t>2026-07-17T10:26:12.459451Z</t>
        </is>
      </c>
      <c r="BI33" s="24" t="inlineStr">
        <is>
          <t>["same_event","same_team_same_day","same_league_same_day"]</t>
        </is>
      </c>
      <c r="BJ33" s="25" t="n"/>
      <c r="BK33" s="26" t="n">
        <v>104</v>
      </c>
      <c r="BL33" s="27" t="n">
        <v>2.04</v>
      </c>
      <c r="BM33" s="28" t="n">
        <v>0.490196</v>
      </c>
      <c r="BN33" s="28" t="n">
        <v>0.485149</v>
      </c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</row>
    <row r="34" ht="36" customHeight="1">
      <c r="A34" s="24" t="inlineStr">
        <is>
          <t>f7eed2398e1d4e3b</t>
        </is>
      </c>
      <c r="B34" s="24" t="inlineStr">
        <is>
          <t>2026-07-17T10:30:15.450039Z</t>
        </is>
      </c>
      <c r="C34" s="24" t="inlineStr">
        <is>
          <t>2026-07-18T02:00Z</t>
        </is>
      </c>
      <c r="D34" s="24" t="inlineStr">
        <is>
          <t>401857076</t>
        </is>
      </c>
      <c r="E34" s="24" t="inlineStr">
        <is>
          <t>WNBA</t>
        </is>
      </c>
      <c r="F34" s="24" t="inlineStr">
        <is>
          <t>Connecticut Sun</t>
        </is>
      </c>
      <c r="G34" s="24" t="inlineStr">
        <is>
          <t>Phoenix Mercury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-178</v>
      </c>
      <c r="M34" s="27" t="n">
        <v>1.561798</v>
      </c>
      <c r="N34" s="28" t="n">
        <v>0.640288</v>
      </c>
      <c r="O34" s="28" t="n">
        <v>0.672243</v>
      </c>
      <c r="P34" s="28" t="n"/>
      <c r="Q34" s="28" t="n">
        <v>0.031955</v>
      </c>
      <c r="R34" s="26" t="n">
        <v>66</v>
      </c>
      <c r="S34" s="29" t="n">
        <v>0</v>
      </c>
      <c r="T34" s="24" t="inlineStr">
        <is>
          <t>wnba-elo-trend-lr-v2</t>
        </is>
      </c>
      <c r="U34" s="24" t="inlineStr">
        <is>
          <t>open</t>
        </is>
      </c>
      <c r="V34" s="24" t="n"/>
      <c r="W34" s="26" t="n"/>
      <c r="X34" s="26" t="n"/>
      <c r="Y34" s="25" t="n"/>
      <c r="Z34" s="26" t="n"/>
      <c r="AA34" s="28" t="n"/>
      <c r="AB34" s="28" t="n"/>
      <c r="AC34" s="30" t="n"/>
      <c r="AD34" s="24" t="n"/>
      <c r="AE34" s="31" t="inlineStr">
        <is>
          <t>Learned LR call at threshold 0.5018; executable ask 0.6400 (aec-wnba-conn-phx-2026-07-17).</t>
        </is>
      </c>
      <c r="AF34" s="31" t="inlineStr">
        <is>
          <t>Learned model; promotion gate not yet open; zero-unit research until review.</t>
        </is>
      </c>
      <c r="AG34" s="24" t="inlineStr">
        <is>
          <t>not_applicable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NO_CALL_MISSING_UNCERTAINTY</t>
        </is>
      </c>
      <c r="AP34" s="24" t="inlineStr">
        <is>
          <t>wnba-con</t>
        </is>
      </c>
      <c r="AQ34" s="24" t="inlineStr">
        <is>
          <t>Connecticut Sun</t>
        </is>
      </c>
      <c r="AR34" s="24" t="inlineStr">
        <is>
          <t>Connecticut Sun</t>
        </is>
      </c>
      <c r="AS34" s="24" t="inlineStr">
        <is>
          <t>wnba-phx</t>
        </is>
      </c>
      <c r="AT34" s="24" t="inlineStr">
        <is>
          <t>Phoenix Mercury</t>
        </is>
      </c>
      <c r="AU34" s="24" t="inlineStr">
        <is>
          <t>Phoenix Mercury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593925b19cd0d6a88880d7d2e868f8b3cffef14f1697019de3a8a7e28e173bc7</t>
        </is>
      </c>
      <c r="BB34" s="24" t="inlineStr">
        <is>
          <t>learned_lr</t>
        </is>
      </c>
      <c r="BC34" s="24" t="inlineStr">
        <is>
          <t>wnba-elo-trend-lr-v2</t>
        </is>
      </c>
      <c r="BD34" s="24" t="inlineStr">
        <is>
          <t>593925b19cd0d6a88880d7d2e868f8b3cffef14f1697019de3a8a7e28e173bc7</t>
        </is>
      </c>
      <c r="BE34" s="24" t="inlineStr">
        <is>
          <t>5b26e70fb7a6c509</t>
        </is>
      </c>
      <c r="BF34" s="24" t="inlineStr">
        <is>
          <t>1</t>
        </is>
      </c>
      <c r="BG34" s="24" t="inlineStr">
        <is>
          <t>wnba-elo-trend-lr-v2</t>
        </is>
      </c>
      <c r="BH34" s="24" t="inlineStr">
        <is>
          <t>2026-07-17T10:26:14.178709Z</t>
        </is>
      </c>
      <c r="BI34" s="24" t="inlineStr">
        <is>
          <t>["same_event","same_team_same_day","same_league_same_day"]</t>
        </is>
      </c>
      <c r="BJ34" s="25" t="n"/>
      <c r="BK34" s="26" t="n">
        <v>-178</v>
      </c>
      <c r="BL34" s="27" t="n">
        <v>1.561798</v>
      </c>
      <c r="BM34" s="28" t="n">
        <v>0.640288</v>
      </c>
      <c r="BN34" s="28" t="n">
        <v>0.633663</v>
      </c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</row>
    <row r="35" ht="36" customHeight="1">
      <c r="A35" s="24" t="inlineStr">
        <is>
          <t>98517f62aa5141e8</t>
        </is>
      </c>
      <c r="B35" s="24" t="inlineStr">
        <is>
          <t>2026-07-17T10:30:18.425275Z</t>
        </is>
      </c>
      <c r="C35" s="24" t="inlineStr">
        <is>
          <t>2026-07-17T23:40Z</t>
        </is>
      </c>
      <c r="D35" s="24" t="inlineStr">
        <is>
          <t>401816148</t>
        </is>
      </c>
      <c r="E35" s="24" t="inlineStr">
        <is>
          <t>MLB</t>
        </is>
      </c>
      <c r="F35" s="24" t="inlineStr">
        <is>
          <t>Miami Marlins</t>
        </is>
      </c>
      <c r="G35" s="24" t="inlineStr">
        <is>
          <t>Milwaukee Brewers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-141</v>
      </c>
      <c r="M35" s="27" t="n">
        <v>1.70922</v>
      </c>
      <c r="N35" s="28" t="n">
        <v>0.585062</v>
      </c>
      <c r="O35" s="28" t="n">
        <v>0.605633</v>
      </c>
      <c r="P35" s="28" t="n"/>
      <c r="Q35" s="28" t="n">
        <v>0.020571</v>
      </c>
      <c r="R35" s="26" t="n">
        <v>60</v>
      </c>
      <c r="S35" s="29" t="n">
        <v>0</v>
      </c>
      <c r="T35" s="24" t="inlineStr">
        <is>
          <t>mlb-elo-trend-lr-v2</t>
        </is>
      </c>
      <c r="U35" s="24" t="inlineStr">
        <is>
          <t>open</t>
        </is>
      </c>
      <c r="V35" s="24" t="n"/>
      <c r="W35" s="26" t="n"/>
      <c r="X35" s="26" t="n"/>
      <c r="Y35" s="25" t="n"/>
      <c r="Z35" s="26" t="n"/>
      <c r="AA35" s="28" t="n"/>
      <c r="AB35" s="28" t="n"/>
      <c r="AC35" s="30" t="n"/>
      <c r="AD35" s="24" t="n"/>
      <c r="AE35" s="31" t="inlineStr">
        <is>
          <t>Learned LR call at threshold 0.6018; executable ask 0.5850 (aec-mlb-mia-mil-2026-07-17).</t>
        </is>
      </c>
      <c r="AF35" s="31" t="inlineStr">
        <is>
          <t>Learned model; promotion gate not yet open; zero-unit research until review.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NO_CALL_MISSING_UNCERTAINTY</t>
        </is>
      </c>
      <c r="AP35" s="24" t="inlineStr">
        <is>
          <t>mlb-mia</t>
        </is>
      </c>
      <c r="AQ35" s="24" t="inlineStr">
        <is>
          <t>Miami Marlins</t>
        </is>
      </c>
      <c r="AR35" s="24" t="inlineStr">
        <is>
          <t>Miami Marlins</t>
        </is>
      </c>
      <c r="AS35" s="24" t="inlineStr">
        <is>
          <t>mlb-mil</t>
        </is>
      </c>
      <c r="AT35" s="24" t="inlineStr">
        <is>
          <t>Milwaukee Brewers</t>
        </is>
      </c>
      <c r="AU35" s="24" t="inlineStr">
        <is>
          <t>Milwaukee Brewers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eed4b7c819bfee0eef9a6f0eed227768ba9753462e9402edf6af8e42fcd378dd</t>
        </is>
      </c>
      <c r="BB35" s="24" t="inlineStr">
        <is>
          <t>learned_lr</t>
        </is>
      </c>
      <c r="BC35" s="24" t="inlineStr">
        <is>
          <t>mlb-elo-trend-lr-v2</t>
        </is>
      </c>
      <c r="BD35" s="24" t="inlineStr">
        <is>
          <t>eed4b7c819bfee0eef9a6f0eed227768ba9753462e9402edf6af8e42fcd378dd</t>
        </is>
      </c>
      <c r="BE35" s="24" t="inlineStr">
        <is>
          <t>27ad4a1da893e4b8</t>
        </is>
      </c>
      <c r="BF35" s="24" t="inlineStr">
        <is>
          <t>1</t>
        </is>
      </c>
      <c r="BG35" s="24" t="inlineStr">
        <is>
          <t>mlb-elo-trend-lr-v2</t>
        </is>
      </c>
      <c r="BH35" s="24" t="inlineStr">
        <is>
          <t>2026-07-17T10:25:59.682974Z</t>
        </is>
      </c>
      <c r="BI35" s="24" t="inlineStr">
        <is>
          <t>["same_event","same_team_same_day","same_league_same_day"]</t>
        </is>
      </c>
      <c r="BJ35" s="25" t="n"/>
      <c r="BK35" s="26" t="n">
        <v>-141</v>
      </c>
      <c r="BL35" s="27" t="n">
        <v>1.70922</v>
      </c>
      <c r="BM35" s="28" t="n">
        <v>0.585062</v>
      </c>
      <c r="BN35" s="28" t="n">
        <v>0.58209</v>
      </c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</row>
    <row r="36" ht="36" customHeight="1">
      <c r="A36" s="24" t="inlineStr">
        <is>
          <t>e3e8d7af0d1a479a</t>
        </is>
      </c>
      <c r="B36" s="24" t="inlineStr">
        <is>
          <t>2026-07-17T10:30:18.425275Z</t>
        </is>
      </c>
      <c r="C36" s="24" t="inlineStr">
        <is>
          <t>2026-07-18T00:05Z</t>
        </is>
      </c>
      <c r="D36" s="24" t="inlineStr">
        <is>
          <t>401816149</t>
        </is>
      </c>
      <c r="E36" s="24" t="inlineStr">
        <is>
          <t>MLB</t>
        </is>
      </c>
      <c r="F36" s="24" t="inlineStr">
        <is>
          <t>Minnesota Twins</t>
        </is>
      </c>
      <c r="G36" s="24" t="inlineStr">
        <is>
          <t>Chicago Cubs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-130</v>
      </c>
      <c r="M36" s="27" t="n">
        <v>1.769231</v>
      </c>
      <c r="N36" s="28" t="n">
        <v>0.565217</v>
      </c>
      <c r="O36" s="28" t="n">
        <v>0.606876</v>
      </c>
      <c r="P36" s="28" t="n"/>
      <c r="Q36" s="28" t="n">
        <v>0.041659</v>
      </c>
      <c r="R36" s="26" t="n">
        <v>71</v>
      </c>
      <c r="S36" s="29" t="n">
        <v>0</v>
      </c>
      <c r="T36" s="24" t="inlineStr">
        <is>
          <t>mlb-elo-trend-lr-v2</t>
        </is>
      </c>
      <c r="U36" s="24" t="inlineStr">
        <is>
          <t>open</t>
        </is>
      </c>
      <c r="V36" s="24" t="n"/>
      <c r="W36" s="26" t="n"/>
      <c r="X36" s="26" t="n"/>
      <c r="Y36" s="25" t="n"/>
      <c r="Z36" s="26" t="n"/>
      <c r="AA36" s="28" t="n"/>
      <c r="AB36" s="28" t="n"/>
      <c r="AC36" s="30" t="n"/>
      <c r="AD36" s="24" t="n"/>
      <c r="AE36" s="31" t="inlineStr">
        <is>
          <t>Learned LR call at threshold 0.6018; executable ask 0.5650 (aec-mlb-min-chc-2026-07-17).</t>
        </is>
      </c>
      <c r="AF36" s="31" t="inlineStr">
        <is>
          <t>Learned model; promotion gate not yet open; zero-unit research until review.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NO_CALL_MISSING_UNCERTAINTY</t>
        </is>
      </c>
      <c r="AP36" s="24" t="inlineStr">
        <is>
          <t>mlb-min</t>
        </is>
      </c>
      <c r="AQ36" s="24" t="inlineStr">
        <is>
          <t>Minnesota Twins</t>
        </is>
      </c>
      <c r="AR36" s="24" t="inlineStr">
        <is>
          <t>Minnesota Twins</t>
        </is>
      </c>
      <c r="AS36" s="24" t="inlineStr">
        <is>
          <t>mlb-chc</t>
        </is>
      </c>
      <c r="AT36" s="24" t="inlineStr">
        <is>
          <t>Chicago Cubs</t>
        </is>
      </c>
      <c r="AU36" s="24" t="inlineStr">
        <is>
          <t>Chicago Cubs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eed4b7c819bfee0eef9a6f0eed227768ba9753462e9402edf6af8e42fcd378dd</t>
        </is>
      </c>
      <c r="BB36" s="24" t="inlineStr">
        <is>
          <t>learned_lr</t>
        </is>
      </c>
      <c r="BC36" s="24" t="inlineStr">
        <is>
          <t>mlb-elo-trend-lr-v2</t>
        </is>
      </c>
      <c r="BD36" s="24" t="inlineStr">
        <is>
          <t>eed4b7c819bfee0eef9a6f0eed227768ba9753462e9402edf6af8e42fcd378dd</t>
        </is>
      </c>
      <c r="BE36" s="24" t="inlineStr">
        <is>
          <t>8438bc3f26be5eae</t>
        </is>
      </c>
      <c r="BF36" s="24" t="inlineStr">
        <is>
          <t>1</t>
        </is>
      </c>
      <c r="BG36" s="24" t="inlineStr">
        <is>
          <t>mlb-elo-trend-lr-v2</t>
        </is>
      </c>
      <c r="BH36" s="24" t="inlineStr">
        <is>
          <t>2026-07-17T10:26:00.779734Z</t>
        </is>
      </c>
      <c r="BI36" s="24" t="inlineStr">
        <is>
          <t>["same_event","same_team_same_day","same_league_same_day"]</t>
        </is>
      </c>
      <c r="BJ36" s="25" t="n"/>
      <c r="BK36" s="26" t="n">
        <v>-130</v>
      </c>
      <c r="BL36" s="27" t="n">
        <v>1.769231</v>
      </c>
      <c r="BM36" s="28" t="n">
        <v>0.565217</v>
      </c>
      <c r="BN36" s="28" t="n">
        <v>0.562189</v>
      </c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2026-07-17T10:41:31Z</dcterms:created>
  <dcterms:modified xsi:type="dcterms:W3CDTF">2026-07-17T10:41:31Z</dcterms:modified>
</cp:coreProperties>
</file>