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P9" headerRowCount="1">
  <autoFilter ref="A1:CP9"/>
  <tableColumns count="94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COUNTA('Picks'!$A$2:$A$9)</f>
        <v/>
      </c>
      <c r="C4" s="6">
        <f>COUNTIF('Picks'!$U$2:$U$9,"open")</f>
        <v/>
      </c>
      <c r="E4" s="6">
        <f>COUNTIF('Picks'!$U$2:$U$9,"settled")</f>
        <v/>
      </c>
      <c r="G4" s="6">
        <f>IF(COUNTIFS('Picks'!$U$2:$U$9,"settled",'Picks'!$V$2:$V$9,"win")+COUNTIFS('Picks'!$U$2:$U$9,"settled",'Picks'!$V$2:$V$9,"loss")&gt;=$L$2,"Ready","Insufficient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COUNTIF('Picks'!$BX$2:$BX$9,"&gt;0")</f>
        <v/>
      </c>
      <c r="C7" s="6">
        <f>COUNTIFS('Picks'!$BX$2:$BX$9,"&gt;0",'Picks'!$V$2:$V$9,"win")&amp;"-"&amp;COUNTIFS('Picks'!$BX$2:$BX$9,"&gt;0",'Picks'!$V$2:$V$9,"loss")</f>
        <v/>
      </c>
      <c r="E7" s="7">
        <f>IFERROR(COUNTIFS('Picks'!$BX$2:$BX$9,"&gt;0",'Picks'!$V$2:$V$9,"win")/(COUNTIFS('Picks'!$BX$2:$BX$9,"&gt;0",'Picks'!$V$2:$V$9,"win")+COUNTIFS('Picks'!$BX$2:$BX$9,"&gt;0",'Picks'!$V$2:$V$9,"loss")),0)</f>
        <v/>
      </c>
      <c r="G7" s="7">
        <f>IFERROR(SUM('Picks'!$BY$2:$BY$9)/SUM('Picks'!$BX$2:$BX$9),0)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SUM('Picks'!$BY$2:$BY$9)</f>
        <v/>
      </c>
      <c r="C10" s="9">
        <f>IFERROR(AVERAGEIF('Picks'!$AB$2:$AB$9,"&lt;&gt;",'Picks'!$AB$2:$AB$9),0)</f>
        <v/>
      </c>
      <c r="E10" s="6">
        <f>COUNTIFS('Picks'!$AM$2:$AM$9,"QUALIFIED_SHADOW_CALL",'Picks'!$U$2:$U$9,"settled")</f>
        <v/>
      </c>
      <c r="G10" s="8">
        <f>SUMIFS('Picks'!$AC$2:$AC$9,'Picks'!$AM$2:$AM$9,"QUALIFIED_SHADOW_CALL")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COUNTIFS('Picks'!$H$2:$H$9,$A14,'Picks'!$U$2:$U$9,"settled")</f>
        <v/>
      </c>
      <c r="C14" s="13">
        <f>COUNTIFS('Picks'!$H$2:$H$9,$A14,'Picks'!$U$2:$U$9,"settled",'Picks'!$V$2:$V$9,"win")</f>
        <v/>
      </c>
      <c r="D14" s="13">
        <f>COUNTIFS('Picks'!$H$2:$H$9,$A14,'Picks'!$U$2:$U$9,"settled",'Picks'!$V$2:$V$9,"loss")</f>
        <v/>
      </c>
      <c r="E14" s="14">
        <f>IFERROR(C14/(C14+D14),0)</f>
        <v/>
      </c>
      <c r="F14" s="15">
        <f>SUMIFS('Picks'!$BY$2:$BY$9,'Picks'!$H$2:$H$9,$A14)</f>
        <v/>
      </c>
      <c r="G14" s="16">
        <f>IFERROR(AVERAGEIFS('Picks'!$AB$2:$AB$9,'Picks'!$H$2:$H$9,$A14,'Picks'!$U$2:$U$9,"settled"),0)</f>
        <v/>
      </c>
    </row>
    <row r="15">
      <c r="A15" s="17" t="inlineStr">
        <is>
          <t>spread</t>
        </is>
      </c>
      <c r="B15" s="18">
        <f>COUNTIFS('Picks'!$H$2:$H$9,$A15,'Picks'!$U$2:$U$9,"settled")</f>
        <v/>
      </c>
      <c r="C15" s="18">
        <f>COUNTIFS('Picks'!$H$2:$H$9,$A15,'Picks'!$U$2:$U$9,"settled",'Picks'!$V$2:$V$9,"win")</f>
        <v/>
      </c>
      <c r="D15" s="18">
        <f>COUNTIFS('Picks'!$H$2:$H$9,$A15,'Picks'!$U$2:$U$9,"settled",'Picks'!$V$2:$V$9,"loss")</f>
        <v/>
      </c>
      <c r="E15" s="19">
        <f>IFERROR(C15/(C15+D15),0)</f>
        <v/>
      </c>
      <c r="F15" s="20">
        <f>SUMIFS('Picks'!$BY$2:$BY$9,'Picks'!$H$2:$H$9,$A15)</f>
        <v/>
      </c>
      <c r="G15" s="21">
        <f>IFERROR(AVERAGEIFS('Picks'!$AB$2:$AB$9,'Picks'!$H$2:$H$9,$A15,'Picks'!$U$2:$U$9,"settled"),0)</f>
        <v/>
      </c>
    </row>
    <row r="16">
      <c r="A16" s="12" t="inlineStr">
        <is>
          <t>total</t>
        </is>
      </c>
      <c r="B16" s="13">
        <f>COUNTIFS('Picks'!$H$2:$H$9,$A16,'Picks'!$U$2:$U$9,"settled")</f>
        <v/>
      </c>
      <c r="C16" s="13">
        <f>COUNTIFS('Picks'!$H$2:$H$9,$A16,'Picks'!$U$2:$U$9,"settled",'Picks'!$V$2:$V$9,"win")</f>
        <v/>
      </c>
      <c r="D16" s="13">
        <f>COUNTIFS('Picks'!$H$2:$H$9,$A16,'Picks'!$U$2:$U$9,"settled",'Picks'!$V$2:$V$9,"loss")</f>
        <v/>
      </c>
      <c r="E16" s="14">
        <f>IFERROR(C16/(C16+D16),0)</f>
        <v/>
      </c>
      <c r="F16" s="15">
        <f>SUMIFS('Picks'!$BY$2:$BY$9,'Picks'!$H$2:$H$9,$A16)</f>
        <v/>
      </c>
      <c r="G16" s="16">
        <f>IFERROR(AVERAGEIFS('Picks'!$AB$2:$AB$9,'Picks'!$H$2:$H$9,$A16,'Picks'!$U$2:$U$9,"settled"),0)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17" customWidth="1" min="94" max="94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trade_candidate</t>
        </is>
      </c>
    </row>
    <row r="2" ht="36" customHeight="1">
      <c r="A2" s="24" t="inlineStr">
        <is>
          <t>714fcde5fec04514</t>
        </is>
      </c>
      <c r="B2" s="24" t="inlineStr">
        <is>
          <t>2026-08-02T12:28:25.454250Z</t>
        </is>
      </c>
      <c r="C2" s="24" t="inlineStr">
        <is>
          <t>2026-08-02T13:00Z</t>
        </is>
      </c>
      <c r="D2" s="24" t="inlineStr">
        <is>
          <t>401886551</t>
        </is>
      </c>
      <c r="E2" s="24" t="inlineStr">
        <is>
          <t>SOCCER</t>
        </is>
      </c>
      <c r="F2" s="24" t="inlineStr">
        <is>
          <t>Atalanta</t>
        </is>
      </c>
      <c r="G2" s="24" t="inlineStr">
        <is>
          <t>Feyenoord Rotterdam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194</v>
      </c>
      <c r="M2" s="27" t="n">
        <v>2.94</v>
      </c>
      <c r="N2" s="28" t="n">
        <v>0.340136</v>
      </c>
      <c r="O2" s="28" t="n">
        <v>0.575359</v>
      </c>
      <c r="P2" s="28" t="n">
        <v>0.04</v>
      </c>
      <c r="Q2" s="28" t="n">
        <v>0.235223</v>
      </c>
      <c r="R2" s="26" t="n">
        <v>100</v>
      </c>
      <c r="S2" s="29" t="n">
        <v>1.25</v>
      </c>
      <c r="T2" s="24" t="inlineStr">
        <is>
          <t>soccer-poisson-dc-v1</t>
        </is>
      </c>
      <c r="U2" s="24" t="inlineStr">
        <is>
          <t>open</t>
        </is>
      </c>
      <c r="V2" s="24" t="n"/>
      <c r="W2" s="26" t="n"/>
      <c r="X2" s="26" t="n"/>
      <c r="Y2" s="25" t="n"/>
      <c r="Z2" s="26" t="n"/>
      <c r="AA2" s="28" t="n"/>
      <c r="AB2" s="28" t="n"/>
      <c r="AC2" s="30" t="n"/>
      <c r="AD2" s="24" t="n"/>
      <c r="AE2" s="31" t="inlineStr">
        <is>
          <t>Poisson-DC rates 1.92 (home) / 1.01 (away) from EWMA attack/defense strengths. Executable ask 0.3400 (atc-clbf-fey-ata-2026-08-02-fey).</t>
        </is>
      </c>
      <c r="AF2" s="31" t="inlineStr">
        <is>
          <t>Research-only soccer score model; draw-aware, but not yet locked-holdout qualified.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Atalanta</t>
        </is>
      </c>
      <c r="AQ2" s="24" t="inlineStr">
        <is>
          <t>Atalanta</t>
        </is>
      </c>
      <c r="AR2" s="24" t="inlineStr">
        <is>
          <t>Atalanta</t>
        </is>
      </c>
      <c r="AS2" s="24" t="inlineStr">
        <is>
          <t>Feyenoord Rotterdam</t>
        </is>
      </c>
      <c r="AT2" s="24" t="inlineStr">
        <is>
          <t>Feyenoord Rotterdam</t>
        </is>
      </c>
      <c r="AU2" s="24" t="inlineStr">
        <is>
          <t>Feyenoord Rotterdam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34d1568aad0ff11b5db35f118324684f93281e1c21fa7b80be7a4a4e2cb4bb03</t>
        </is>
      </c>
      <c r="BB2" s="24" t="inlineStr">
        <is>
          <t>poisson_dixon_coles</t>
        </is>
      </c>
      <c r="BC2" s="24" t="inlineStr">
        <is>
          <t>soccer-poisson-dc-v1</t>
        </is>
      </c>
      <c r="BD2" s="24" t="inlineStr">
        <is>
          <t>34d1568aad0ff11b5db35f118324684f93281e1c21fa7b80be7a4a4e2cb4bb03</t>
        </is>
      </c>
      <c r="BE2" s="24" t="inlineStr">
        <is>
          <t>soccer-poisson-dc-v1</t>
        </is>
      </c>
      <c r="BF2" s="24" t="inlineStr">
        <is>
          <t>1</t>
        </is>
      </c>
      <c r="BG2" s="24" t="inlineStr">
        <is>
          <t>34d1568aad0ff11b5db35f118324684f93281e1c21fa7b80be7a4a4e2cb4bb03</t>
        </is>
      </c>
      <c r="BH2" s="24" t="inlineStr">
        <is>
          <t>2026-08-02T12:25:27.610137Z</t>
        </is>
      </c>
      <c r="BI2" s="24" t="inlineStr">
        <is>
          <t>["same_event","same_team_same_day","same_league_same_day"]</t>
        </is>
      </c>
      <c r="BJ2" s="25" t="n"/>
      <c r="BK2" s="26" t="n">
        <v>194</v>
      </c>
      <c r="BL2" s="27" t="n">
        <v>2.94</v>
      </c>
      <c r="BM2" s="28" t="n">
        <v>0.340136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</row>
    <row r="3" ht="36" customHeight="1">
      <c r="A3" s="24" t="inlineStr">
        <is>
          <t>9f0829851423468d</t>
        </is>
      </c>
      <c r="B3" s="24" t="inlineStr">
        <is>
          <t>2026-08-02T13:05:47.245126Z</t>
        </is>
      </c>
      <c r="C3" s="24" t="inlineStr">
        <is>
          <t>2026-08-02T17:30Z</t>
        </is>
      </c>
      <c r="D3" s="24" t="inlineStr">
        <is>
          <t>401841470</t>
        </is>
      </c>
      <c r="E3" s="24" t="inlineStr">
        <is>
          <t>SOCCER</t>
        </is>
      </c>
      <c r="F3" s="24" t="inlineStr">
        <is>
          <t>Gimnasia La Plata</t>
        </is>
      </c>
      <c r="G3" s="24" t="inlineStr">
        <is>
          <t>Aldosivi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233</v>
      </c>
      <c r="M3" s="27" t="n">
        <v>3.33</v>
      </c>
      <c r="N3" s="28" t="n">
        <v>0.3003</v>
      </c>
      <c r="O3" s="28" t="n">
        <v>0.456135</v>
      </c>
      <c r="P3" s="28" t="n">
        <v>0.2</v>
      </c>
      <c r="Q3" s="28" t="n">
        <v>0.155835</v>
      </c>
      <c r="R3" s="26" t="n">
        <v>8</v>
      </c>
      <c r="S3" s="29" t="n">
        <v>1</v>
      </c>
      <c r="T3" s="24" t="inlineStr">
        <is>
          <t>soccer-poisson-dc-v1</t>
        </is>
      </c>
      <c r="U3" s="24" t="inlineStr">
        <is>
          <t>open</t>
        </is>
      </c>
      <c r="V3" s="24" t="n"/>
      <c r="W3" s="26" t="n"/>
      <c r="X3" s="26" t="n"/>
      <c r="Y3" s="25" t="n"/>
      <c r="Z3" s="26" t="n"/>
      <c r="AA3" s="28" t="n"/>
      <c r="AB3" s="28" t="n"/>
      <c r="AC3" s="30" t="n"/>
      <c r="AD3" s="24" t="n"/>
      <c r="AE3" s="31" t="inlineStr">
        <is>
          <t>Poisson-DC rates 1.64 (home) / 1.24 (away) from EWMA attack/defense strengths. Executable ask 0.3000 (atc-lpa-ald-gim-2026-08-02-ald).</t>
        </is>
      </c>
      <c r="AF3" s="31" t="inlineStr">
        <is>
          <t>Research-only soccer score model; draw-aware, but not yet locked-holdout qualified.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Gimnasia La Plata</t>
        </is>
      </c>
      <c r="AQ3" s="24" t="inlineStr">
        <is>
          <t>Gimnasia La Plata</t>
        </is>
      </c>
      <c r="AR3" s="24" t="inlineStr">
        <is>
          <t>Gimnasia La Plata</t>
        </is>
      </c>
      <c r="AS3" s="24" t="inlineStr">
        <is>
          <t>Aldosivi</t>
        </is>
      </c>
      <c r="AT3" s="24" t="inlineStr">
        <is>
          <t>Aldosivi</t>
        </is>
      </c>
      <c r="AU3" s="24" t="inlineStr">
        <is>
          <t>Aldosivi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34d1568aad0ff11b5db35f118324684f93281e1c21fa7b80be7a4a4e2cb4bb03</t>
        </is>
      </c>
      <c r="BB3" s="24" t="inlineStr">
        <is>
          <t>poisson_dixon_coles</t>
        </is>
      </c>
      <c r="BC3" s="24" t="inlineStr">
        <is>
          <t>soccer-poisson-dc-v1</t>
        </is>
      </c>
      <c r="BD3" s="24" t="inlineStr">
        <is>
          <t>34d1568aad0ff11b5db35f118324684f93281e1c21fa7b80be7a4a4e2cb4bb03</t>
        </is>
      </c>
      <c r="BE3" s="24" t="inlineStr">
        <is>
          <t>soccer-poisson-dc-v1</t>
        </is>
      </c>
      <c r="BF3" s="24" t="inlineStr">
        <is>
          <t>1</t>
        </is>
      </c>
      <c r="BG3" s="24" t="inlineStr">
        <is>
          <t>34d1568aad0ff11b5db35f118324684f93281e1c21fa7b80be7a4a4e2cb4bb03</t>
        </is>
      </c>
      <c r="BH3" s="24" t="inlineStr">
        <is>
          <t>2026-08-02T13:02:42.194950Z</t>
        </is>
      </c>
      <c r="BI3" s="24" t="inlineStr">
        <is>
          <t>["same_event","same_team_same_day","same_league_same_day"]</t>
        </is>
      </c>
      <c r="BJ3" s="25" t="n"/>
      <c r="BK3" s="26" t="n">
        <v>233</v>
      </c>
      <c r="BL3" s="27" t="n">
        <v>3.33</v>
      </c>
      <c r="BM3" s="28" t="n">
        <v>0.3003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</row>
    <row r="4" ht="36" customHeight="1">
      <c r="A4" s="24" t="inlineStr">
        <is>
          <t>2ca2039387214e36</t>
        </is>
      </c>
      <c r="B4" s="24" t="inlineStr">
        <is>
          <t>2026-08-02T13:05:47.245126Z</t>
        </is>
      </c>
      <c r="C4" s="24" t="inlineStr">
        <is>
          <t>2026-08-02T20:00Z</t>
        </is>
      </c>
      <c r="D4" s="24" t="inlineStr">
        <is>
          <t>401841473</t>
        </is>
      </c>
      <c r="E4" s="24" t="inlineStr">
        <is>
          <t>SOCCER</t>
        </is>
      </c>
      <c r="F4" s="24" t="inlineStr">
        <is>
          <t>Boca Juniors</t>
        </is>
      </c>
      <c r="G4" s="24" t="inlineStr">
        <is>
          <t>Newell's Old Boys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335</v>
      </c>
      <c r="M4" s="27" t="n">
        <v>4.35</v>
      </c>
      <c r="N4" s="28" t="n">
        <v>0.229885</v>
      </c>
      <c r="O4" s="28" t="n">
        <v>0.398039</v>
      </c>
      <c r="P4" s="28" t="n">
        <v>0.2</v>
      </c>
      <c r="Q4" s="28" t="n">
        <v>0.168154</v>
      </c>
      <c r="R4" s="26" t="n">
        <v>14</v>
      </c>
      <c r="S4" s="29" t="n">
        <v>1</v>
      </c>
      <c r="T4" s="24" t="inlineStr">
        <is>
          <t>soccer-poisson-dc-v1</t>
        </is>
      </c>
      <c r="U4" s="24" t="inlineStr">
        <is>
          <t>open</t>
        </is>
      </c>
      <c r="V4" s="24" t="n"/>
      <c r="W4" s="26" t="n"/>
      <c r="X4" s="26" t="n"/>
      <c r="Y4" s="25" t="n"/>
      <c r="Z4" s="26" t="n"/>
      <c r="AA4" s="28" t="n"/>
      <c r="AB4" s="28" t="n"/>
      <c r="AC4" s="30" t="n"/>
      <c r="AD4" s="24" t="n"/>
      <c r="AE4" s="31" t="inlineStr">
        <is>
          <t>Poisson-DC rates 1.46 (home) / 1.30 (away) from EWMA attack/defense strengths. Executable ask 0.2300 (atc-lpa-new-boc-2026-08-02-new).</t>
        </is>
      </c>
      <c r="AF4" s="31" t="inlineStr">
        <is>
          <t>Research-only soccer score model; draw-aware, but not yet locked-holdout qualified.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Boca Juniors</t>
        </is>
      </c>
      <c r="AQ4" s="24" t="inlineStr">
        <is>
          <t>Boca Juniors</t>
        </is>
      </c>
      <c r="AR4" s="24" t="inlineStr">
        <is>
          <t>Boca Juniors</t>
        </is>
      </c>
      <c r="AS4" s="24" t="inlineStr">
        <is>
          <t>Newell's Old Boys</t>
        </is>
      </c>
      <c r="AT4" s="24" t="inlineStr">
        <is>
          <t>Newell's Old Boys</t>
        </is>
      </c>
      <c r="AU4" s="24" t="inlineStr">
        <is>
          <t>Newell's Old Boys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34d1568aad0ff11b5db35f118324684f93281e1c21fa7b80be7a4a4e2cb4bb03</t>
        </is>
      </c>
      <c r="BB4" s="24" t="inlineStr">
        <is>
          <t>poisson_dixon_coles</t>
        </is>
      </c>
      <c r="BC4" s="24" t="inlineStr">
        <is>
          <t>soccer-poisson-dc-v1</t>
        </is>
      </c>
      <c r="BD4" s="24" t="inlineStr">
        <is>
          <t>34d1568aad0ff11b5db35f118324684f93281e1c21fa7b80be7a4a4e2cb4bb03</t>
        </is>
      </c>
      <c r="BE4" s="24" t="inlineStr">
        <is>
          <t>soccer-poisson-dc-v1</t>
        </is>
      </c>
      <c r="BF4" s="24" t="inlineStr">
        <is>
          <t>1</t>
        </is>
      </c>
      <c r="BG4" s="24" t="inlineStr">
        <is>
          <t>34d1568aad0ff11b5db35f118324684f93281e1c21fa7b80be7a4a4e2cb4bb03</t>
        </is>
      </c>
      <c r="BH4" s="24" t="inlineStr">
        <is>
          <t>2026-08-02T13:02:42.189291Z</t>
        </is>
      </c>
      <c r="BI4" s="24" t="inlineStr">
        <is>
          <t>["same_event","same_team_same_day","same_league_same_day"]</t>
        </is>
      </c>
      <c r="BJ4" s="25" t="n"/>
      <c r="BK4" s="26" t="n">
        <v>335</v>
      </c>
      <c r="BL4" s="27" t="n">
        <v>4.35</v>
      </c>
      <c r="BM4" s="28" t="n">
        <v>0.229885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</row>
    <row r="5" ht="36" customHeight="1">
      <c r="A5" s="24" t="inlineStr">
        <is>
          <t>66aa7a2ae0554cca</t>
        </is>
      </c>
      <c r="B5" s="24" t="inlineStr">
        <is>
          <t>2026-08-02T13:05:47.245126Z</t>
        </is>
      </c>
      <c r="C5" s="24" t="inlineStr">
        <is>
          <t>2026-08-02T22:15Z</t>
        </is>
      </c>
      <c r="D5" s="24" t="inlineStr">
        <is>
          <t>401841476</t>
        </is>
      </c>
      <c r="E5" s="24" t="inlineStr">
        <is>
          <t>SOCCER</t>
        </is>
      </c>
      <c r="F5" s="24" t="inlineStr">
        <is>
          <t>Rosario Central</t>
        </is>
      </c>
      <c r="G5" s="24" t="inlineStr">
        <is>
          <t>River Plate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113</v>
      </c>
      <c r="M5" s="27" t="n">
        <v>2.13</v>
      </c>
      <c r="N5" s="28" t="n">
        <v>0.469484</v>
      </c>
      <c r="O5" s="28" t="n">
        <v>0.5359159999999999</v>
      </c>
      <c r="P5" s="28" t="n">
        <v>0.2</v>
      </c>
      <c r="Q5" s="28" t="n">
        <v>0.066432</v>
      </c>
      <c r="R5" s="26" t="n">
        <v>0</v>
      </c>
      <c r="S5" s="29" t="n">
        <v>1</v>
      </c>
      <c r="T5" s="24" t="inlineStr">
        <is>
          <t>soccer-poisson-dc-v1</t>
        </is>
      </c>
      <c r="U5" s="24" t="inlineStr">
        <is>
          <t>open</t>
        </is>
      </c>
      <c r="V5" s="24" t="n"/>
      <c r="W5" s="26" t="n"/>
      <c r="X5" s="26" t="n"/>
      <c r="Y5" s="25" t="n"/>
      <c r="Z5" s="26" t="n"/>
      <c r="AA5" s="28" t="n"/>
      <c r="AB5" s="28" t="n"/>
      <c r="AC5" s="30" t="n"/>
      <c r="AD5" s="24" t="n"/>
      <c r="AE5" s="31" t="inlineStr">
        <is>
          <t>Poisson-DC rates 1.84 (home) / 1.10 (away) from EWMA attack/defense strengths. Executable ask 0.4700 (atc-lpa-riv-ros-2026-08-02-riv).</t>
        </is>
      </c>
      <c r="AF5" s="31" t="inlineStr">
        <is>
          <t>Research-only soccer score model; draw-aware, but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Rosario Central</t>
        </is>
      </c>
      <c r="AQ5" s="24" t="inlineStr">
        <is>
          <t>Rosario Central</t>
        </is>
      </c>
      <c r="AR5" s="24" t="inlineStr">
        <is>
          <t>Rosario Central</t>
        </is>
      </c>
      <c r="AS5" s="24" t="inlineStr">
        <is>
          <t>River Plate</t>
        </is>
      </c>
      <c r="AT5" s="24" t="inlineStr">
        <is>
          <t>River Plate</t>
        </is>
      </c>
      <c r="AU5" s="24" t="inlineStr">
        <is>
          <t>River Plate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34d1568aad0ff11b5db35f118324684f93281e1c21fa7b80be7a4a4e2cb4bb03</t>
        </is>
      </c>
      <c r="BB5" s="24" t="inlineStr">
        <is>
          <t>poisson_dixon_coles</t>
        </is>
      </c>
      <c r="BC5" s="24" t="inlineStr">
        <is>
          <t>soccer-poisson-dc-v1</t>
        </is>
      </c>
      <c r="BD5" s="24" t="inlineStr">
        <is>
          <t>34d1568aad0ff11b5db35f118324684f93281e1c21fa7b80be7a4a4e2cb4bb03</t>
        </is>
      </c>
      <c r="BE5" s="24" t="inlineStr">
        <is>
          <t>soccer-poisson-dc-v1</t>
        </is>
      </c>
      <c r="BF5" s="24" t="inlineStr">
        <is>
          <t>1</t>
        </is>
      </c>
      <c r="BG5" s="24" t="inlineStr">
        <is>
          <t>34d1568aad0ff11b5db35f118324684f93281e1c21fa7b80be7a4a4e2cb4bb03</t>
        </is>
      </c>
      <c r="BH5" s="24" t="inlineStr">
        <is>
          <t>2026-08-02T13:02:42.667349Z</t>
        </is>
      </c>
      <c r="BI5" s="24" t="inlineStr">
        <is>
          <t>["same_event","same_team_same_day","same_league_same_day"]</t>
        </is>
      </c>
      <c r="BJ5" s="25" t="n"/>
      <c r="BK5" s="26" t="n">
        <v>113</v>
      </c>
      <c r="BL5" s="27" t="n">
        <v>2.13</v>
      </c>
      <c r="BM5" s="28" t="n">
        <v>0.469484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</row>
    <row r="6" ht="36" customHeight="1">
      <c r="A6" s="24" t="inlineStr">
        <is>
          <t>12ffdb4e2852451b</t>
        </is>
      </c>
      <c r="B6" s="24" t="inlineStr">
        <is>
          <t>2026-08-02T13:05:47.245126Z</t>
        </is>
      </c>
      <c r="C6" s="24" t="inlineStr">
        <is>
          <t>2026-08-02T18:00Z</t>
        </is>
      </c>
      <c r="D6" s="24" t="inlineStr">
        <is>
          <t>401844019</t>
        </is>
      </c>
      <c r="E6" s="24" t="inlineStr">
        <is>
          <t>SOCCER</t>
        </is>
      </c>
      <c r="F6" s="24" t="inlineStr">
        <is>
          <t>San Miguel</t>
        </is>
      </c>
      <c r="G6" s="24" t="inlineStr">
        <is>
          <t>San Telmo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178</v>
      </c>
      <c r="M6" s="27" t="n">
        <v>2.78</v>
      </c>
      <c r="N6" s="28" t="n">
        <v>0.359712</v>
      </c>
      <c r="O6" s="28" t="n">
        <v>0.456135</v>
      </c>
      <c r="P6" s="28" t="n">
        <v>0.2</v>
      </c>
      <c r="Q6" s="28" t="n">
        <v>0.09642299999999999</v>
      </c>
      <c r="R6" s="26" t="n">
        <v>0</v>
      </c>
      <c r="S6" s="29" t="n">
        <v>1</v>
      </c>
      <c r="T6" s="24" t="inlineStr">
        <is>
          <t>soccer-poisson-dc-v1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Poisson-DC rates 1.64 (home) / 1.24 (away) from EWMA attack/defense strengths. Executable ask 0.3600 (atc-arg2-ste-casm-2026-08-02-ste).</t>
        </is>
      </c>
      <c r="AF6" s="31" t="inlineStr">
        <is>
          <t>Research-only soccer score model; draw-aware, but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San Miguel</t>
        </is>
      </c>
      <c r="AQ6" s="24" t="inlineStr">
        <is>
          <t>San Miguel</t>
        </is>
      </c>
      <c r="AR6" s="24" t="inlineStr">
        <is>
          <t>San Miguel</t>
        </is>
      </c>
      <c r="AS6" s="24" t="inlineStr">
        <is>
          <t>San Telmo</t>
        </is>
      </c>
      <c r="AT6" s="24" t="inlineStr">
        <is>
          <t>San Telmo</t>
        </is>
      </c>
      <c r="AU6" s="24" t="inlineStr">
        <is>
          <t>San Telmo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34d1568aad0ff11b5db35f118324684f93281e1c21fa7b80be7a4a4e2cb4bb03</t>
        </is>
      </c>
      <c r="BB6" s="24" t="inlineStr">
        <is>
          <t>poisson_dixon_coles</t>
        </is>
      </c>
      <c r="BC6" s="24" t="inlineStr">
        <is>
          <t>soccer-poisson-dc-v1</t>
        </is>
      </c>
      <c r="BD6" s="24" t="inlineStr">
        <is>
          <t>34d1568aad0ff11b5db35f118324684f93281e1c21fa7b80be7a4a4e2cb4bb03</t>
        </is>
      </c>
      <c r="BE6" s="24" t="inlineStr">
        <is>
          <t>soccer-poisson-dc-v1</t>
        </is>
      </c>
      <c r="BF6" s="24" t="inlineStr">
        <is>
          <t>1</t>
        </is>
      </c>
      <c r="BG6" s="24" t="inlineStr">
        <is>
          <t>34d1568aad0ff11b5db35f118324684f93281e1c21fa7b80be7a4a4e2cb4bb03</t>
        </is>
      </c>
      <c r="BH6" s="24" t="inlineStr">
        <is>
          <t>2026-08-02T13:02:43.878798Z</t>
        </is>
      </c>
      <c r="BI6" s="24" t="inlineStr">
        <is>
          <t>["same_event","same_team_same_day","same_league_same_day"]</t>
        </is>
      </c>
      <c r="BJ6" s="25" t="n"/>
      <c r="BK6" s="26" t="n">
        <v>178</v>
      </c>
      <c r="BL6" s="27" t="n">
        <v>2.78</v>
      </c>
      <c r="BM6" s="28" t="n">
        <v>0.359712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</row>
    <row r="7" ht="36" customHeight="1">
      <c r="A7" s="24" t="inlineStr">
        <is>
          <t>cf302b5b856d43e8</t>
        </is>
      </c>
      <c r="B7" s="24" t="inlineStr">
        <is>
          <t>2026-08-02T13:05:47.245126Z</t>
        </is>
      </c>
      <c r="C7" s="24" t="inlineStr">
        <is>
          <t>2026-08-02T19:30Z</t>
        </is>
      </c>
      <c r="D7" s="24" t="inlineStr">
        <is>
          <t>401844014</t>
        </is>
      </c>
      <c r="E7" s="24" t="inlineStr">
        <is>
          <t>SOCCER</t>
        </is>
      </c>
      <c r="F7" s="24" t="inlineStr">
        <is>
          <t>Los Andes</t>
        </is>
      </c>
      <c r="G7" s="24" t="inlineStr">
        <is>
          <t>Central Norte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156</v>
      </c>
      <c r="M7" s="27" t="n">
        <v>2.56</v>
      </c>
      <c r="N7" s="28" t="n">
        <v>0.390625</v>
      </c>
      <c r="O7" s="28" t="n">
        <v>0.456135</v>
      </c>
      <c r="P7" s="28" t="n">
        <v>0.2</v>
      </c>
      <c r="Q7" s="28" t="n">
        <v>0.06551</v>
      </c>
      <c r="R7" s="26" t="n">
        <v>0</v>
      </c>
      <c r="S7" s="29" t="n">
        <v>1</v>
      </c>
      <c r="T7" s="24" t="inlineStr">
        <is>
          <t>soccer-poisson-dc-v1</t>
        </is>
      </c>
      <c r="U7" s="24" t="inlineStr">
        <is>
          <t>open</t>
        </is>
      </c>
      <c r="V7" s="24" t="n"/>
      <c r="W7" s="26" t="n"/>
      <c r="X7" s="26" t="n"/>
      <c r="Y7" s="25" t="n"/>
      <c r="Z7" s="26" t="n"/>
      <c r="AA7" s="28" t="n"/>
      <c r="AB7" s="28" t="n"/>
      <c r="AC7" s="30" t="n"/>
      <c r="AD7" s="24" t="n"/>
      <c r="AE7" s="31" t="inlineStr">
        <is>
          <t>Poisson-DC rates 1.64 (home) / 1.24 (away) from EWMA attack/defense strengths. Executable ask 0.3900 (atc-arg2-ccns-ala-2026-08-02-ccns).</t>
        </is>
      </c>
      <c r="AF7" s="31" t="inlineStr">
        <is>
          <t>Research-only soccer score model; draw-aware, but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Los Andes</t>
        </is>
      </c>
      <c r="AQ7" s="24" t="inlineStr">
        <is>
          <t>Los Andes</t>
        </is>
      </c>
      <c r="AR7" s="24" t="inlineStr">
        <is>
          <t>Los Andes</t>
        </is>
      </c>
      <c r="AS7" s="24" t="inlineStr">
        <is>
          <t>Central Norte</t>
        </is>
      </c>
      <c r="AT7" s="24" t="inlineStr">
        <is>
          <t>Central Norte</t>
        </is>
      </c>
      <c r="AU7" s="24" t="inlineStr">
        <is>
          <t>Central Norte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34d1568aad0ff11b5db35f118324684f93281e1c21fa7b80be7a4a4e2cb4bb03</t>
        </is>
      </c>
      <c r="BB7" s="24" t="inlineStr">
        <is>
          <t>poisson_dixon_coles</t>
        </is>
      </c>
      <c r="BC7" s="24" t="inlineStr">
        <is>
          <t>soccer-poisson-dc-v1</t>
        </is>
      </c>
      <c r="BD7" s="24" t="inlineStr">
        <is>
          <t>34d1568aad0ff11b5db35f118324684f93281e1c21fa7b80be7a4a4e2cb4bb03</t>
        </is>
      </c>
      <c r="BE7" s="24" t="inlineStr">
        <is>
          <t>soccer-poisson-dc-v1</t>
        </is>
      </c>
      <c r="BF7" s="24" t="inlineStr">
        <is>
          <t>1</t>
        </is>
      </c>
      <c r="BG7" s="24" t="inlineStr">
        <is>
          <t>34d1568aad0ff11b5db35f118324684f93281e1c21fa7b80be7a4a4e2cb4bb03</t>
        </is>
      </c>
      <c r="BH7" s="24" t="inlineStr">
        <is>
          <t>2026-08-02T13:02:44.924772Z</t>
        </is>
      </c>
      <c r="BI7" s="24" t="inlineStr">
        <is>
          <t>["same_event","same_team_same_day","same_league_same_day"]</t>
        </is>
      </c>
      <c r="BJ7" s="25" t="n"/>
      <c r="BK7" s="26" t="n">
        <v>156</v>
      </c>
      <c r="BL7" s="27" t="n">
        <v>2.56</v>
      </c>
      <c r="BM7" s="28" t="n">
        <v>0.390625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</row>
    <row r="8" ht="36" customHeight="1">
      <c r="A8" s="24" t="inlineStr">
        <is>
          <t>fa39b12581414f08</t>
        </is>
      </c>
      <c r="B8" s="24" t="inlineStr">
        <is>
          <t>2026-08-02T13:05:47.245126Z</t>
        </is>
      </c>
      <c r="C8" s="24" t="inlineStr">
        <is>
          <t>2026-08-02T19:00Z</t>
        </is>
      </c>
      <c r="D8" s="24" t="inlineStr">
        <is>
          <t>401850609</t>
        </is>
      </c>
      <c r="E8" s="24" t="inlineStr">
        <is>
          <t>SOCCER</t>
        </is>
      </c>
      <c r="F8" s="24" t="inlineStr">
        <is>
          <t>O'Higgins</t>
        </is>
      </c>
      <c r="G8" s="24" t="inlineStr">
        <is>
          <t>La Serena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150</v>
      </c>
      <c r="M8" s="27" t="n">
        <v>2.5</v>
      </c>
      <c r="N8" s="28" t="n">
        <v>0.4</v>
      </c>
      <c r="O8" s="28" t="n">
        <v>0.5359159999999999</v>
      </c>
      <c r="P8" s="28" t="n">
        <v>0.2</v>
      </c>
      <c r="Q8" s="28" t="n">
        <v>0.135916</v>
      </c>
      <c r="R8" s="26" t="n">
        <v>0</v>
      </c>
      <c r="S8" s="29" t="n">
        <v>1</v>
      </c>
      <c r="T8" s="24" t="inlineStr">
        <is>
          <t>soccer-poisson-dc-v1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Poisson-DC rates 1.84 (home) / 1.10 (away) from EWMA attack/defense strengths. Executable ask 0.4000 (atc-pdc-ser-ohi-2026-08-02-ser).</t>
        </is>
      </c>
      <c r="AF8" s="31" t="inlineStr">
        <is>
          <t>Research-only soccer score model; draw-aware, but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O'Higgins</t>
        </is>
      </c>
      <c r="AQ8" s="24" t="inlineStr">
        <is>
          <t>O'Higgins</t>
        </is>
      </c>
      <c r="AR8" s="24" t="inlineStr">
        <is>
          <t>O'Higgins</t>
        </is>
      </c>
      <c r="AS8" s="24" t="inlineStr">
        <is>
          <t>La Serena</t>
        </is>
      </c>
      <c r="AT8" s="24" t="inlineStr">
        <is>
          <t>La Serena</t>
        </is>
      </c>
      <c r="AU8" s="24" t="inlineStr">
        <is>
          <t>La Serena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34d1568aad0ff11b5db35f118324684f93281e1c21fa7b80be7a4a4e2cb4bb03</t>
        </is>
      </c>
      <c r="BB8" s="24" t="inlineStr">
        <is>
          <t>poisson_dixon_coles</t>
        </is>
      </c>
      <c r="BC8" s="24" t="inlineStr">
        <is>
          <t>soccer-poisson-dc-v1</t>
        </is>
      </c>
      <c r="BD8" s="24" t="inlineStr">
        <is>
          <t>34d1568aad0ff11b5db35f118324684f93281e1c21fa7b80be7a4a4e2cb4bb03</t>
        </is>
      </c>
      <c r="BE8" s="24" t="inlineStr">
        <is>
          <t>soccer-poisson-dc-v1</t>
        </is>
      </c>
      <c r="BF8" s="24" t="inlineStr">
        <is>
          <t>1</t>
        </is>
      </c>
      <c r="BG8" s="24" t="inlineStr">
        <is>
          <t>34d1568aad0ff11b5db35f118324684f93281e1c21fa7b80be7a4a4e2cb4bb03</t>
        </is>
      </c>
      <c r="BH8" s="24" t="inlineStr">
        <is>
          <t>2026-08-02T13:02:46.605203Z</t>
        </is>
      </c>
      <c r="BI8" s="24" t="inlineStr">
        <is>
          <t>["same_event","same_team_same_day","same_league_same_day"]</t>
        </is>
      </c>
      <c r="BJ8" s="25" t="n"/>
      <c r="BK8" s="26" t="n">
        <v>150</v>
      </c>
      <c r="BL8" s="27" t="n">
        <v>2.5</v>
      </c>
      <c r="BM8" s="28" t="n">
        <v>0.4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</row>
    <row r="9" ht="36" customHeight="1">
      <c r="A9" s="24" t="inlineStr">
        <is>
          <t>4024569d965f49f8</t>
        </is>
      </c>
      <c r="B9" s="24" t="inlineStr">
        <is>
          <t>2026-08-02T13:05:47.245126Z</t>
        </is>
      </c>
      <c r="C9" s="24" t="inlineStr">
        <is>
          <t>2026-08-02T23:10Z</t>
        </is>
      </c>
      <c r="D9" s="24" t="inlineStr">
        <is>
          <t>401859718</t>
        </is>
      </c>
      <c r="E9" s="24" t="inlineStr">
        <is>
          <t>SOCCER</t>
        </is>
      </c>
      <c r="F9" s="24" t="inlineStr">
        <is>
          <t>Barcelona SC</t>
        </is>
      </c>
      <c r="G9" s="24" t="inlineStr">
        <is>
          <t>Leones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203</v>
      </c>
      <c r="M9" s="27" t="n">
        <v>3.03</v>
      </c>
      <c r="N9" s="28" t="n">
        <v>0.330033</v>
      </c>
      <c r="O9" s="28" t="n">
        <v>0.406677</v>
      </c>
      <c r="P9" s="28" t="n">
        <v>0.19</v>
      </c>
      <c r="Q9" s="28" t="n">
        <v>0.076644</v>
      </c>
      <c r="R9" s="26" t="n">
        <v>0</v>
      </c>
      <c r="S9" s="29" t="n">
        <v>1</v>
      </c>
      <c r="T9" s="24" t="inlineStr">
        <is>
          <t>soccer-poisson-dc-v1</t>
        </is>
      </c>
      <c r="U9" s="24" t="inlineStr">
        <is>
          <t>open</t>
        </is>
      </c>
      <c r="V9" s="24" t="n"/>
      <c r="W9" s="26" t="n"/>
      <c r="X9" s="26" t="n"/>
      <c r="Y9" s="25" t="n"/>
      <c r="Z9" s="26" t="n"/>
      <c r="AA9" s="28" t="n"/>
      <c r="AB9" s="28" t="n"/>
      <c r="AC9" s="30" t="n"/>
      <c r="AD9" s="24" t="n"/>
      <c r="AE9" s="31" t="inlineStr">
        <is>
          <t>Poisson-DC rates 1.38 (home) / 1.56 (away) from EWMA attack/defense strengths. Executable ask 0.3300 (atc-ecu1-leo-bsc-2026-08-02-bsc).</t>
        </is>
      </c>
      <c r="AF9" s="31" t="inlineStr">
        <is>
          <t>Research-only soccer score model; draw-aware, but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Barcelona SC</t>
        </is>
      </c>
      <c r="AQ9" s="24" t="inlineStr">
        <is>
          <t>Barcelona SC</t>
        </is>
      </c>
      <c r="AR9" s="24" t="inlineStr">
        <is>
          <t>Barcelona SC</t>
        </is>
      </c>
      <c r="AS9" s="24" t="inlineStr">
        <is>
          <t>Leones</t>
        </is>
      </c>
      <c r="AT9" s="24" t="inlineStr">
        <is>
          <t>Leones</t>
        </is>
      </c>
      <c r="AU9" s="24" t="inlineStr">
        <is>
          <t>Leones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34d1568aad0ff11b5db35f118324684f93281e1c21fa7b80be7a4a4e2cb4bb03</t>
        </is>
      </c>
      <c r="BB9" s="24" t="inlineStr">
        <is>
          <t>poisson_dixon_coles</t>
        </is>
      </c>
      <c r="BC9" s="24" t="inlineStr">
        <is>
          <t>soccer-poisson-dc-v1</t>
        </is>
      </c>
      <c r="BD9" s="24" t="inlineStr">
        <is>
          <t>34d1568aad0ff11b5db35f118324684f93281e1c21fa7b80be7a4a4e2cb4bb03</t>
        </is>
      </c>
      <c r="BE9" s="24" t="inlineStr">
        <is>
          <t>soccer-poisson-dc-v1</t>
        </is>
      </c>
      <c r="BF9" s="24" t="inlineStr">
        <is>
          <t>1</t>
        </is>
      </c>
      <c r="BG9" s="24" t="inlineStr">
        <is>
          <t>34d1568aad0ff11b5db35f118324684f93281e1c21fa7b80be7a4a4e2cb4bb03</t>
        </is>
      </c>
      <c r="BH9" s="24" t="inlineStr">
        <is>
          <t>2026-08-02T13:02:48.734342Z</t>
        </is>
      </c>
      <c r="BI9" s="24" t="inlineStr">
        <is>
          <t>["same_event","same_team_same_day","same_league_same_day"]</t>
        </is>
      </c>
      <c r="BJ9" s="25" t="n"/>
      <c r="BK9" s="26" t="n">
        <v>203</v>
      </c>
      <c r="BL9" s="27" t="n">
        <v>3.03</v>
      </c>
      <c r="BM9" s="28" t="n">
        <v>0.330033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2026-08-02T13:06:01Z</dcterms:created>
  <dcterms:modified xsi:type="dcterms:W3CDTF">2026-08-02T13:06:01Z</dcterms:modified>
</cp:coreProperties>
</file>