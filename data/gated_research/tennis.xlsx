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7" headerRowCount="1">
  <autoFilter ref="A1:CQ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COUNTA('Picks'!$A$2:$A$7)</f>
        <v/>
      </c>
      <c r="C4" s="6">
        <f>COUNTIF('Picks'!$U$2:$U$7,"open")</f>
        <v/>
      </c>
      <c r="E4" s="6">
        <f>COUNTIF('Picks'!$U$2:$U$7,"settled")</f>
        <v/>
      </c>
      <c r="G4" s="6">
        <f>IF(COUNTIFS('Picks'!$U$2:$U$7,"settled",'Picks'!$V$2:$V$7,"win")+COUNTIFS('Picks'!$U$2:$U$7,"settled",'Picks'!$V$2:$V$7,"loss")&gt;=$L$2,"Ready","Insufficient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COUNTIF('Picks'!$BX$2:$BX$7,"&gt;0")</f>
        <v/>
      </c>
      <c r="C7" s="6">
        <f>COUNTIFS('Picks'!$BX$2:$BX$7,"&gt;0",'Picks'!$V$2:$V$7,"win")&amp;"-"&amp;COUNTIFS('Picks'!$BX$2:$BX$7,"&gt;0",'Picks'!$V$2:$V$7,"loss")</f>
        <v/>
      </c>
      <c r="E7" s="7">
        <f>IFERROR(COUNTIFS('Picks'!$BX$2:$BX$7,"&gt;0",'Picks'!$V$2:$V$7,"win")/(COUNTIFS('Picks'!$BX$2:$BX$7,"&gt;0",'Picks'!$V$2:$V$7,"win")+COUNTIFS('Picks'!$BX$2:$BX$7,"&gt;0",'Picks'!$V$2:$V$7,"loss")),0)</f>
        <v/>
      </c>
      <c r="G7" s="7">
        <f>IFERROR(SUM('Picks'!$BY$2:$BY$7)/SUM('Picks'!$BX$2:$BX$7),0)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SUM('Picks'!$BY$2:$BY$7)</f>
        <v/>
      </c>
      <c r="C10" s="9">
        <f>IFERROR(AVERAGEIF('Picks'!$AB$2:$AB$7,"&lt;&gt;",'Picks'!$AB$2:$AB$7),0)</f>
        <v/>
      </c>
      <c r="E10" s="6">
        <f>COUNTIFS('Picks'!$AM$2:$AM$7,"QUALIFIED_SHADOW_CALL",'Picks'!$U$2:$U$7,"settled")</f>
        <v/>
      </c>
      <c r="G10" s="8">
        <f>SUMIFS('Picks'!$AC$2:$AC$7,'Picks'!$AM$2:$AM$7,"QUALIFIED_SHADOW_CALL")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COUNTIFS('Picks'!$H$2:$H$7,$A14,'Picks'!$U$2:$U$7,"settled")</f>
        <v/>
      </c>
      <c r="C14" s="13">
        <f>COUNTIFS('Picks'!$H$2:$H$7,$A14,'Picks'!$U$2:$U$7,"settled",'Picks'!$V$2:$V$7,"win")</f>
        <v/>
      </c>
      <c r="D14" s="13">
        <f>COUNTIFS('Picks'!$H$2:$H$7,$A14,'Picks'!$U$2:$U$7,"settled",'Picks'!$V$2:$V$7,"loss")</f>
        <v/>
      </c>
      <c r="E14" s="14">
        <f>IFERROR(C14/(C14+D14),0)</f>
        <v/>
      </c>
      <c r="F14" s="15">
        <f>SUMIFS('Picks'!$BY$2:$BY$7,'Picks'!$H$2:$H$7,$A14)</f>
        <v/>
      </c>
      <c r="G14" s="16">
        <f>IFERROR(AVERAGEIFS('Picks'!$AB$2:$AB$7,'Picks'!$H$2:$H$7,$A14,'Picks'!$U$2:$U$7,"settled"),0)</f>
        <v/>
      </c>
    </row>
    <row r="15">
      <c r="A15" s="17" t="inlineStr">
        <is>
          <t>spread</t>
        </is>
      </c>
      <c r="B15" s="18">
        <f>COUNTIFS('Picks'!$H$2:$H$7,$A15,'Picks'!$U$2:$U$7,"settled")</f>
        <v/>
      </c>
      <c r="C15" s="18">
        <f>COUNTIFS('Picks'!$H$2:$H$7,$A15,'Picks'!$U$2:$U$7,"settled",'Picks'!$V$2:$V$7,"win")</f>
        <v/>
      </c>
      <c r="D15" s="18">
        <f>COUNTIFS('Picks'!$H$2:$H$7,$A15,'Picks'!$U$2:$U$7,"settled",'Picks'!$V$2:$V$7,"loss")</f>
        <v/>
      </c>
      <c r="E15" s="19">
        <f>IFERROR(C15/(C15+D15),0)</f>
        <v/>
      </c>
      <c r="F15" s="20">
        <f>SUMIFS('Picks'!$BY$2:$BY$7,'Picks'!$H$2:$H$7,$A15)</f>
        <v/>
      </c>
      <c r="G15" s="21">
        <f>IFERROR(AVERAGEIFS('Picks'!$AB$2:$AB$7,'Picks'!$H$2:$H$7,$A15,'Picks'!$U$2:$U$7,"settled"),0)</f>
        <v/>
      </c>
    </row>
    <row r="16">
      <c r="A16" s="12" t="inlineStr">
        <is>
          <t>total</t>
        </is>
      </c>
      <c r="B16" s="13">
        <f>COUNTIFS('Picks'!$H$2:$H$7,$A16,'Picks'!$U$2:$U$7,"settled")</f>
        <v/>
      </c>
      <c r="C16" s="13">
        <f>COUNTIFS('Picks'!$H$2:$H$7,$A16,'Picks'!$U$2:$U$7,"settled",'Picks'!$V$2:$V$7,"win")</f>
        <v/>
      </c>
      <c r="D16" s="13">
        <f>COUNTIFS('Picks'!$H$2:$H$7,$A16,'Picks'!$U$2:$U$7,"settled",'Picks'!$V$2:$V$7,"loss")</f>
        <v/>
      </c>
      <c r="E16" s="14">
        <f>IFERROR(C16/(C16+D16),0)</f>
        <v/>
      </c>
      <c r="F16" s="15">
        <f>SUMIFS('Picks'!$BY$2:$BY$7,'Picks'!$H$2:$H$7,$A16)</f>
        <v/>
      </c>
      <c r="G16" s="16">
        <f>IFERROR(AVERAGEIFS('Picks'!$AB$2:$AB$7,'Picks'!$H$2:$H$7,$A16,'Picks'!$U$2:$U$7,"settled"),0)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3f43a0b023884b3e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inlineStr">
        <is>
          <t>True</t>
        </is>
      </c>
    </row>
    <row r="3" ht="36" customHeight="1">
      <c r="A3" s="24" t="inlineStr">
        <is>
          <t>124dce8010354e36</t>
        </is>
      </c>
      <c r="B3" s="24" t="inlineStr">
        <is>
          <t>2026-08-02T16:51:36.214335Z</t>
        </is>
      </c>
      <c r="C3" s="24" t="inlineStr">
        <is>
          <t>2026-08-02T17:30Z</t>
        </is>
      </c>
      <c r="D3" s="24" t="inlineStr">
        <is>
          <t>1067-2026:179469</t>
        </is>
      </c>
      <c r="E3" s="24" t="inlineStr">
        <is>
          <t>TENNIS</t>
        </is>
      </c>
      <c r="F3" s="24" t="inlineStr">
        <is>
          <t>Darja Vidmanova</t>
        </is>
      </c>
      <c r="G3" s="24" t="inlineStr">
        <is>
          <t>Kristina Liutova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104</v>
      </c>
      <c r="M3" s="27" t="n">
        <v>2.04</v>
      </c>
      <c r="N3" s="28" t="n">
        <v>0.490196</v>
      </c>
      <c r="O3" s="28" t="n">
        <v>0.639939</v>
      </c>
      <c r="P3" s="28" t="n">
        <v>0.05</v>
      </c>
      <c r="Q3" s="28" t="n">
        <v>0.149743</v>
      </c>
      <c r="R3" s="26" t="n">
        <v>95</v>
      </c>
      <c r="S3" s="29" t="n">
        <v>1.5</v>
      </c>
      <c r="T3" s="24" t="inlineStr">
        <is>
          <t>tennis-surface-elo-v1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Surface-blended Elo on Hard: Darja Vidmanova p=0.640 vs Kristina Liutova. Executable ask 0.4900 (aec-wta-kriliu-darvid-2026-08-02).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Darja Vidmanova</t>
        </is>
      </c>
      <c r="AQ3" s="24" t="inlineStr">
        <is>
          <t>Darja Vidmanova</t>
        </is>
      </c>
      <c r="AR3" s="24" t="inlineStr">
        <is>
          <t>Darja Vidmanova</t>
        </is>
      </c>
      <c r="AS3" s="24" t="inlineStr">
        <is>
          <t>Kristina Liutova</t>
        </is>
      </c>
      <c r="AT3" s="24" t="inlineStr">
        <is>
          <t>Kristina Liutova</t>
        </is>
      </c>
      <c r="AU3" s="24" t="inlineStr">
        <is>
          <t>Kristina Liutova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2026-08-02T16:47:46.960029Z</t>
        </is>
      </c>
      <c r="BI3" s="24" t="inlineStr">
        <is>
          <t>["same_event","same_team_same_day","same_league_same_day"]</t>
        </is>
      </c>
      <c r="BJ3" s="25" t="n"/>
      <c r="BK3" s="26" t="n">
        <v>104</v>
      </c>
      <c r="BL3" s="27" t="n">
        <v>2.04</v>
      </c>
      <c r="BM3" s="28" t="n">
        <v>0.490196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inlineStr">
        <is>
          <t>True</t>
        </is>
      </c>
    </row>
    <row r="4" ht="36" customHeight="1">
      <c r="A4" s="24" t="inlineStr">
        <is>
          <t>6d7f432ea3404e13</t>
        </is>
      </c>
      <c r="B4" s="24" t="inlineStr">
        <is>
          <t>2026-08-02T16:51:36.214335Z</t>
        </is>
      </c>
      <c r="C4" s="24" t="inlineStr">
        <is>
          <t>2026-08-02T20:00Z</t>
        </is>
      </c>
      <c r="D4" s="24" t="inlineStr">
        <is>
          <t>421-2026:182273</t>
        </is>
      </c>
      <c r="E4" s="24" t="inlineStr">
        <is>
          <t>TENNIS</t>
        </is>
      </c>
      <c r="F4" s="24" t="inlineStr">
        <is>
          <t>Lanlana Tararudee</t>
        </is>
      </c>
      <c r="G4" s="24" t="inlineStr">
        <is>
          <t>Emerson Jones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-186</v>
      </c>
      <c r="M4" s="27" t="n">
        <v>1.537634</v>
      </c>
      <c r="N4" s="28" t="n">
        <v>0.65035</v>
      </c>
      <c r="O4" s="28" t="n">
        <v>0.756798</v>
      </c>
      <c r="P4" s="28" t="n">
        <v>0.05</v>
      </c>
      <c r="Q4" s="28" t="n">
        <v>0.106448</v>
      </c>
      <c r="R4" s="26" t="n">
        <v>73</v>
      </c>
      <c r="S4" s="29" t="n">
        <v>2</v>
      </c>
      <c r="T4" s="24" t="inlineStr">
        <is>
          <t>tennis-surface-elo-v1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Surface-blended Elo on Hard: Lanlana Tararudee p=0.757 vs Emerson Jones. Executable ask 0.6500 (aec-wta-emejon-lantar-2026-08-02).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Lanlana Tararudee</t>
        </is>
      </c>
      <c r="AQ4" s="24" t="inlineStr">
        <is>
          <t>Lanlana Tararudee</t>
        </is>
      </c>
      <c r="AR4" s="24" t="inlineStr">
        <is>
          <t>Lanlana Tararudee</t>
        </is>
      </c>
      <c r="AS4" s="24" t="inlineStr">
        <is>
          <t>Emerson Jones</t>
        </is>
      </c>
      <c r="AT4" s="24" t="inlineStr">
        <is>
          <t>Emerson Jones</t>
        </is>
      </c>
      <c r="AU4" s="24" t="inlineStr">
        <is>
          <t>Emerson Jones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2026-08-02T16:47:57.265599Z</t>
        </is>
      </c>
      <c r="BI4" s="24" t="inlineStr">
        <is>
          <t>["same_event","same_team_same_day","same_league_same_day"]</t>
        </is>
      </c>
      <c r="BJ4" s="25" t="n"/>
      <c r="BK4" s="26" t="n">
        <v>-186</v>
      </c>
      <c r="BL4" s="27" t="n">
        <v>1.537634</v>
      </c>
      <c r="BM4" s="28" t="n">
        <v>0.65035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inlineStr">
        <is>
          <t>True</t>
        </is>
      </c>
    </row>
    <row r="5" ht="36" customHeight="1">
      <c r="A5" s="24" t="inlineStr">
        <is>
          <t>bc41de4f0d1a4289</t>
        </is>
      </c>
      <c r="B5" s="24" t="inlineStr">
        <is>
          <t>2026-08-02T16:51:36.214335Z</t>
        </is>
      </c>
      <c r="C5" s="24" t="inlineStr">
        <is>
          <t>2026-08-02T18:00Z</t>
        </is>
      </c>
      <c r="D5" s="24" t="inlineStr">
        <is>
          <t>421-2026:181785</t>
        </is>
      </c>
      <c r="E5" s="24" t="inlineStr">
        <is>
          <t>TENNIS</t>
        </is>
      </c>
      <c r="F5" s="24" t="inlineStr">
        <is>
          <t>Titouan Droguet</t>
        </is>
      </c>
      <c r="G5" s="24" t="inlineStr">
        <is>
          <t>Luca Van Assche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104</v>
      </c>
      <c r="M5" s="27" t="n">
        <v>2.04</v>
      </c>
      <c r="N5" s="28" t="n">
        <v>0.490196</v>
      </c>
      <c r="O5" s="28" t="n">
        <v>0.561017</v>
      </c>
      <c r="P5" s="28" t="n">
        <v>0.05</v>
      </c>
      <c r="Q5" s="28" t="n">
        <v>0.070821</v>
      </c>
      <c r="R5" s="26" t="n">
        <v>55</v>
      </c>
      <c r="S5" s="29" t="n">
        <v>1</v>
      </c>
      <c r="T5" s="24" t="inlineStr">
        <is>
          <t>tennis-surface-elo-v1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Surface-blended Elo on Hard: Titouan Droguet p=0.561 vs Luca Van Assche. Executable ask 0.4900 (aec-atp-lucass-titdro-2026-08-02).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Titouan Droguet</t>
        </is>
      </c>
      <c r="AQ5" s="24" t="inlineStr">
        <is>
          <t>Titouan Droguet</t>
        </is>
      </c>
      <c r="AR5" s="24" t="inlineStr">
        <is>
          <t>Titouan Droguet</t>
        </is>
      </c>
      <c r="AS5" s="24" t="inlineStr">
        <is>
          <t>Luca Van Assche</t>
        </is>
      </c>
      <c r="AT5" s="24" t="inlineStr">
        <is>
          <t>Luca Van Assche</t>
        </is>
      </c>
      <c r="AU5" s="24" t="inlineStr">
        <is>
          <t>Luca Van Assche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2026-08-02T16:48:12.259620Z</t>
        </is>
      </c>
      <c r="BI5" s="24" t="inlineStr">
        <is>
          <t>["same_event","same_team_same_day","same_league_same_day"]</t>
        </is>
      </c>
      <c r="BJ5" s="25" t="n"/>
      <c r="BK5" s="26" t="n">
        <v>104</v>
      </c>
      <c r="BL5" s="27" t="n">
        <v>2.04</v>
      </c>
      <c r="BM5" s="28" t="n">
        <v>0.490196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inlineStr">
        <is>
          <t>True</t>
        </is>
      </c>
    </row>
    <row r="6" ht="36" customHeight="1">
      <c r="A6" s="24" t="inlineStr">
        <is>
          <t>7eedece37a8142f6</t>
        </is>
      </c>
      <c r="B6" s="24" t="inlineStr">
        <is>
          <t>2026-08-02T16:51:36.214335Z</t>
        </is>
      </c>
      <c r="C6" s="24" t="inlineStr">
        <is>
          <t>2026-08-02T18:00Z</t>
        </is>
      </c>
      <c r="D6" s="24" t="inlineStr">
        <is>
          <t>421-2026:181836</t>
        </is>
      </c>
      <c r="E6" s="24" t="inlineStr">
        <is>
          <t>TENNIS</t>
        </is>
      </c>
      <c r="F6" s="24" t="inlineStr">
        <is>
          <t>Corentin Moutet</t>
        </is>
      </c>
      <c r="G6" s="24" t="inlineStr">
        <is>
          <t>Marton Fucsovics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104</v>
      </c>
      <c r="M6" s="27" t="n">
        <v>2.04</v>
      </c>
      <c r="N6" s="28" t="n">
        <v>0.490196</v>
      </c>
      <c r="O6" s="28" t="n">
        <v>0.567487</v>
      </c>
      <c r="P6" s="28" t="n">
        <v>0.05</v>
      </c>
      <c r="Q6" s="28" t="n">
        <v>0.077291</v>
      </c>
      <c r="R6" s="26" t="n">
        <v>59</v>
      </c>
      <c r="S6" s="29" t="n">
        <v>1</v>
      </c>
      <c r="T6" s="24" t="inlineStr">
        <is>
          <t>tennis-surface-elo-v1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Surface-blended Elo on Hard: Corentin Moutet p=0.433 vs Marton Fucsovics. Executable ask 0.4900 (aec-atp-marfuc-cormou-2026-08-03).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Corentin Moutet</t>
        </is>
      </c>
      <c r="AQ6" s="24" t="inlineStr">
        <is>
          <t>Corentin Moutet</t>
        </is>
      </c>
      <c r="AR6" s="24" t="inlineStr">
        <is>
          <t>Corentin Moutet</t>
        </is>
      </c>
      <c r="AS6" s="24" t="inlineStr">
        <is>
          <t>Marton Fucsovics</t>
        </is>
      </c>
      <c r="AT6" s="24" t="inlineStr">
        <is>
          <t>Marton Fucsovics</t>
        </is>
      </c>
      <c r="AU6" s="24" t="inlineStr">
        <is>
          <t>Marton Fucsovics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2026-08-02T16:48:10.755068Z</t>
        </is>
      </c>
      <c r="BI6" s="24" t="inlineStr">
        <is>
          <t>["same_event","same_team_same_day","same_league_same_day"]</t>
        </is>
      </c>
      <c r="BJ6" s="25" t="n"/>
      <c r="BK6" s="26" t="n">
        <v>104</v>
      </c>
      <c r="BL6" s="27" t="n">
        <v>2.04</v>
      </c>
      <c r="BM6" s="28" t="n">
        <v>0.490196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  <row r="7" ht="36" customHeight="1">
      <c r="A7" s="24" t="inlineStr">
        <is>
          <t>16a5dd21c23e4790</t>
        </is>
      </c>
      <c r="B7" s="24" t="inlineStr">
        <is>
          <t>2026-08-02T16:51:36.214335Z</t>
        </is>
      </c>
      <c r="C7" s="24" t="inlineStr">
        <is>
          <t>2026-08-03T00:30Z</t>
        </is>
      </c>
      <c r="D7" s="24" t="inlineStr">
        <is>
          <t>421-2026:181839</t>
        </is>
      </c>
      <c r="E7" s="24" t="inlineStr">
        <is>
          <t>TENNIS</t>
        </is>
      </c>
      <c r="F7" s="24" t="inlineStr">
        <is>
          <t>Vit Kopriva</t>
        </is>
      </c>
      <c r="G7" s="24" t="inlineStr">
        <is>
          <t>Alexis Galarneau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104</v>
      </c>
      <c r="M7" s="27" t="n">
        <v>2.04</v>
      </c>
      <c r="N7" s="28" t="n">
        <v>0.490196</v>
      </c>
      <c r="O7" s="28" t="n">
        <v>0.57909</v>
      </c>
      <c r="P7" s="28" t="n">
        <v>0.05</v>
      </c>
      <c r="Q7" s="28" t="n">
        <v>0.088894</v>
      </c>
      <c r="R7" s="26" t="n">
        <v>64</v>
      </c>
      <c r="S7" s="29" t="n">
        <v>1.25</v>
      </c>
      <c r="T7" s="24" t="inlineStr">
        <is>
          <t>tennis-surface-elo-v1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Surface-blended Elo on Hard: Vit Kopriva p=0.579 vs Alexis Galarneau. Executable ask 0.4900 (aec-atp-alegal-vitkop-2026-08-03).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Vit Kopriva</t>
        </is>
      </c>
      <c r="AQ7" s="24" t="inlineStr">
        <is>
          <t>Vit Kopriva</t>
        </is>
      </c>
      <c r="AR7" s="24" t="inlineStr">
        <is>
          <t>Vit Kopriva</t>
        </is>
      </c>
      <c r="AS7" s="24" t="inlineStr">
        <is>
          <t>Alexis Galarneau</t>
        </is>
      </c>
      <c r="AT7" s="24" t="inlineStr">
        <is>
          <t>Alexis Galarneau</t>
        </is>
      </c>
      <c r="AU7" s="24" t="inlineStr">
        <is>
          <t>Alexis Galarneau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2026-08-02T16:48:20.160476Z</t>
        </is>
      </c>
      <c r="BI7" s="24" t="inlineStr">
        <is>
          <t>["same_event","same_team_same_day","same_league_same_day"]</t>
        </is>
      </c>
      <c r="BJ7" s="25" t="n"/>
      <c r="BK7" s="26" t="n">
        <v>104</v>
      </c>
      <c r="BL7" s="27" t="n">
        <v>2.04</v>
      </c>
      <c r="BM7" s="28" t="n">
        <v>0.490196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2026-08-02T16:51:56Z</dcterms:created>
  <dcterms:modified xsi:type="dcterms:W3CDTF">2026-08-02T16:51:56Z</dcterms:modified>
</cp:coreProperties>
</file>