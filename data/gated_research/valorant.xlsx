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6" headerRowCount="1">
  <autoFilter ref="A1:CO6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COUNTA('Picks'!$A$2:$A$6)</f>
        <v/>
      </c>
      <c r="C4" s="6">
        <f>COUNTIF('Picks'!$U$2:$U$6,"open")</f>
        <v/>
      </c>
      <c r="E4" s="6">
        <f>COUNTIF('Picks'!$U$2:$U$6,"settled")</f>
        <v/>
      </c>
      <c r="G4" s="6">
        <f>IF(COUNTIFS('Picks'!$U$2:$U$6,"settled",'Picks'!$V$2:$V$6,"win")+COUNTIFS('Picks'!$U$2:$U$6,"settled",'Picks'!$V$2:$V$6,"loss")&gt;=$L$2,"Ready","Insufficient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COUNTIF('Picks'!$BX$2:$BX$6,"&gt;0")</f>
        <v/>
      </c>
      <c r="C7" s="6">
        <f>COUNTIFS('Picks'!$BX$2:$BX$6,"&gt;0",'Picks'!$V$2:$V$6,"win")&amp;"-"&amp;COUNTIFS('Picks'!$BX$2:$BX$6,"&gt;0",'Picks'!$V$2:$V$6,"loss")</f>
        <v/>
      </c>
      <c r="E7" s="7">
        <f>IFERROR(COUNTIFS('Picks'!$BX$2:$BX$6,"&gt;0",'Picks'!$V$2:$V$6,"win")/(COUNTIFS('Picks'!$BX$2:$BX$6,"&gt;0",'Picks'!$V$2:$V$6,"win")+COUNTIFS('Picks'!$BX$2:$BX$6,"&gt;0",'Picks'!$V$2:$V$6,"loss")),0)</f>
        <v/>
      </c>
      <c r="G7" s="7">
        <f>IFERROR(SUM('Picks'!$BY$2:$BY$6)/SUM('Picks'!$BX$2:$BX$6),0)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SUM('Picks'!$BY$2:$BY$6)</f>
        <v/>
      </c>
      <c r="C10" s="9">
        <f>IFERROR(AVERAGEIF('Picks'!$AB$2:$AB$6,"&lt;&gt;",'Picks'!$AB$2:$AB$6),0)</f>
        <v/>
      </c>
      <c r="E10" s="6">
        <f>COUNTIFS('Picks'!$AM$2:$AM$6,"QUALIFIED_SHADOW_CALL",'Picks'!$U$2:$U$6,"settled")</f>
        <v/>
      </c>
      <c r="G10" s="8">
        <f>SUMIFS('Picks'!$AC$2:$AC$6,'Picks'!$AM$2:$AM$6,"QUALIFIED_SHADOW_CALL")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COUNTIFS('Picks'!$H$2:$H$6,$A14,'Picks'!$U$2:$U$6,"settled")</f>
        <v/>
      </c>
      <c r="C14" s="13">
        <f>COUNTIFS('Picks'!$H$2:$H$6,$A14,'Picks'!$U$2:$U$6,"settled",'Picks'!$V$2:$V$6,"win")</f>
        <v/>
      </c>
      <c r="D14" s="13">
        <f>COUNTIFS('Picks'!$H$2:$H$6,$A14,'Picks'!$U$2:$U$6,"settled",'Picks'!$V$2:$V$6,"loss")</f>
        <v/>
      </c>
      <c r="E14" s="14">
        <f>IFERROR(C14/(C14+D14),0)</f>
        <v/>
      </c>
      <c r="F14" s="15">
        <f>SUMIFS('Picks'!$BY$2:$BY$6,'Picks'!$H$2:$H$6,$A14)</f>
        <v/>
      </c>
      <c r="G14" s="16">
        <f>IFERROR(AVERAGEIFS('Picks'!$AB$2:$AB$6,'Picks'!$H$2:$H$6,$A14,'Picks'!$U$2:$U$6,"settled"),0)</f>
        <v/>
      </c>
    </row>
    <row r="15">
      <c r="A15" s="17" t="inlineStr">
        <is>
          <t>spread</t>
        </is>
      </c>
      <c r="B15" s="18">
        <f>COUNTIFS('Picks'!$H$2:$H$6,$A15,'Picks'!$U$2:$U$6,"settled")</f>
        <v/>
      </c>
      <c r="C15" s="18">
        <f>COUNTIFS('Picks'!$H$2:$H$6,$A15,'Picks'!$U$2:$U$6,"settled",'Picks'!$V$2:$V$6,"win")</f>
        <v/>
      </c>
      <c r="D15" s="18">
        <f>COUNTIFS('Picks'!$H$2:$H$6,$A15,'Picks'!$U$2:$U$6,"settled",'Picks'!$V$2:$V$6,"loss")</f>
        <v/>
      </c>
      <c r="E15" s="19">
        <f>IFERROR(C15/(C15+D15),0)</f>
        <v/>
      </c>
      <c r="F15" s="20">
        <f>SUMIFS('Picks'!$BY$2:$BY$6,'Picks'!$H$2:$H$6,$A15)</f>
        <v/>
      </c>
      <c r="G15" s="21">
        <f>IFERROR(AVERAGEIFS('Picks'!$AB$2:$AB$6,'Picks'!$H$2:$H$6,$A15,'Picks'!$U$2:$U$6,"settled"),0)</f>
        <v/>
      </c>
    </row>
    <row r="16">
      <c r="A16" s="12" t="inlineStr">
        <is>
          <t>total</t>
        </is>
      </c>
      <c r="B16" s="13">
        <f>COUNTIFS('Picks'!$H$2:$H$6,$A16,'Picks'!$U$2:$U$6,"settled")</f>
        <v/>
      </c>
      <c r="C16" s="13">
        <f>COUNTIFS('Picks'!$H$2:$H$6,$A16,'Picks'!$U$2:$U$6,"settled",'Picks'!$V$2:$V$6,"win")</f>
        <v/>
      </c>
      <c r="D16" s="13">
        <f>COUNTIFS('Picks'!$H$2:$H$6,$A16,'Picks'!$U$2:$U$6,"settled",'Picks'!$V$2:$V$6,"loss")</f>
        <v/>
      </c>
      <c r="E16" s="14">
        <f>IFERROR(C16/(C16+D16),0)</f>
        <v/>
      </c>
      <c r="F16" s="15">
        <f>SUMIFS('Picks'!$BY$2:$BY$6,'Picks'!$H$2:$H$6,$A16)</f>
        <v/>
      </c>
      <c r="G16" s="16">
        <f>IFERROR(AVERAGEIFS('Picks'!$AB$2:$AB$6,'Picks'!$H$2:$H$6,$A16,'Picks'!$U$2:$U$6,"settled"),0)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5681cf4218844f9a</t>
        </is>
      </c>
      <c r="B6" s="24" t="inlineStr">
        <is>
          <t>2026-08-02T08:19:54.418500Z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-213</v>
      </c>
      <c r="M6" s="27" t="n">
        <v>1.469484</v>
      </c>
      <c r="N6" s="28" t="n">
        <v>0.680511</v>
      </c>
      <c r="O6" s="28" t="n">
        <v>0.765271</v>
      </c>
      <c r="P6" s="28" t="n"/>
      <c r="Q6" s="28" t="n">
        <v>0.08476</v>
      </c>
      <c r="R6" s="26" t="n">
        <v>62</v>
      </c>
      <c r="S6" s="29" t="n">
        <v>2</v>
      </c>
      <c r="T6" s="24" t="inlineStr">
        <is>
          <t>valorant-tiered-elo-v5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Neutral Elo baseline; executable ask 0.6800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4b06d4c8598c61f9c6a8d114844ea0a58ae02951d130930c6509d4190167697d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4b06d4c8598c61f9c6a8d114844ea0a58ae02951d130930c6509d4190167697d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2026-08-02T08:19:49.952914Z</t>
        </is>
      </c>
      <c r="BI6" s="24" t="inlineStr">
        <is>
          <t>["same_event","same_team_same_day","same_league_same_day"]</t>
        </is>
      </c>
      <c r="BJ6" s="25" t="n"/>
      <c r="BK6" s="26" t="n">
        <v>-213</v>
      </c>
      <c r="BL6" s="27" t="n">
        <v>1.469484</v>
      </c>
      <c r="BM6" s="28" t="n">
        <v>0.680511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2026-08-02T08:19:55Z</dcterms:created>
  <dcterms:modified xsi:type="dcterms:W3CDTF">2026-08-02T08:19:55Z</dcterms:modified>
</cp:coreProperties>
</file>