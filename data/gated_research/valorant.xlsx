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S12" headerRowCount="1">
  <autoFilter ref="A1:CS12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COUNTA('Picks'!$A$2:$A$12)</f>
        <v/>
      </c>
      <c r="C4" s="6">
        <f>COUNTIF('Picks'!$U$2:$U$12,"open")</f>
        <v/>
      </c>
      <c r="E4" s="6">
        <f>COUNTIF('Picks'!$U$2:$U$12,"settled")</f>
        <v/>
      </c>
      <c r="G4" s="6">
        <f>IF(COUNTIFS('Picks'!$U$2:$U$12,"settled",'Picks'!$V$2:$V$12,"win")+COUNTIFS('Picks'!$U$2:$U$12,"settled",'Picks'!$V$2:$V$12,"loss")&gt;=$L$2,"Ready","Insufficient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COUNTIF('Picks'!$BX$2:$BX$12,"&gt;0")</f>
        <v/>
      </c>
      <c r="C7" s="6">
        <f>COUNTIFS('Picks'!$BX$2:$BX$12,"&gt;0",'Picks'!$V$2:$V$12,"win")&amp;"-"&amp;COUNTIFS('Picks'!$BX$2:$BX$12,"&gt;0",'Picks'!$V$2:$V$12,"loss")</f>
        <v/>
      </c>
      <c r="E7" s="7">
        <f>IFERROR(COUNTIFS('Picks'!$BX$2:$BX$12,"&gt;0",'Picks'!$V$2:$V$12,"win")/(COUNTIFS('Picks'!$BX$2:$BX$12,"&gt;0",'Picks'!$V$2:$V$12,"win")+COUNTIFS('Picks'!$BX$2:$BX$12,"&gt;0",'Picks'!$V$2:$V$12,"loss")),0)</f>
        <v/>
      </c>
      <c r="G7" s="7">
        <f>IFERROR(SUM('Picks'!$BY$2:$BY$12)/SUM('Picks'!$BX$2:$BX$12),0)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SUM('Picks'!$BY$2:$BY$12)</f>
        <v/>
      </c>
      <c r="C10" s="9">
        <f>IFERROR(AVERAGEIF('Picks'!$AB$2:$AB$12,"&lt;&gt;",'Picks'!$AB$2:$AB$12),0)</f>
        <v/>
      </c>
      <c r="E10" s="6">
        <f>COUNTIFS('Picks'!$AM$2:$AM$12,"QUALIFIED_SHADOW_CALL",'Picks'!$U$2:$U$12,"settled")</f>
        <v/>
      </c>
      <c r="G10" s="8">
        <f>SUMIFS('Picks'!$AC$2:$AC$12,'Picks'!$AM$2:$AM$12,"QUALIFIED_SHADOW_CALL")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COUNTIFS('Picks'!$H$2:$H$12,$A14,'Picks'!$U$2:$U$12,"settled")</f>
        <v/>
      </c>
      <c r="C14" s="13">
        <f>COUNTIFS('Picks'!$H$2:$H$12,$A14,'Picks'!$U$2:$U$12,"settled",'Picks'!$V$2:$V$12,"win")</f>
        <v/>
      </c>
      <c r="D14" s="13">
        <f>COUNTIFS('Picks'!$H$2:$H$12,$A14,'Picks'!$U$2:$U$12,"settled",'Picks'!$V$2:$V$12,"loss")</f>
        <v/>
      </c>
      <c r="E14" s="14">
        <f>IFERROR(C14/(C14+D14),0)</f>
        <v/>
      </c>
      <c r="F14" s="15">
        <f>SUMIFS('Picks'!$BY$2:$BY$12,'Picks'!$H$2:$H$12,$A14)</f>
        <v/>
      </c>
      <c r="G14" s="16">
        <f>IFERROR(AVERAGEIFS('Picks'!$AB$2:$AB$12,'Picks'!$H$2:$H$12,$A14,'Picks'!$U$2:$U$12,"settled"),0)</f>
        <v/>
      </c>
    </row>
    <row r="15">
      <c r="A15" s="17" t="inlineStr">
        <is>
          <t>spread</t>
        </is>
      </c>
      <c r="B15" s="18">
        <f>COUNTIFS('Picks'!$H$2:$H$12,$A15,'Picks'!$U$2:$U$12,"settled")</f>
        <v/>
      </c>
      <c r="C15" s="18">
        <f>COUNTIFS('Picks'!$H$2:$H$12,$A15,'Picks'!$U$2:$U$12,"settled",'Picks'!$V$2:$V$12,"win")</f>
        <v/>
      </c>
      <c r="D15" s="18">
        <f>COUNTIFS('Picks'!$H$2:$H$12,$A15,'Picks'!$U$2:$U$12,"settled",'Picks'!$V$2:$V$12,"loss")</f>
        <v/>
      </c>
      <c r="E15" s="19">
        <f>IFERROR(C15/(C15+D15),0)</f>
        <v/>
      </c>
      <c r="F15" s="20">
        <f>SUMIFS('Picks'!$BY$2:$BY$12,'Picks'!$H$2:$H$12,$A15)</f>
        <v/>
      </c>
      <c r="G15" s="21">
        <f>IFERROR(AVERAGEIFS('Picks'!$AB$2:$AB$12,'Picks'!$H$2:$H$12,$A15,'Picks'!$U$2:$U$12,"settled"),0)</f>
        <v/>
      </c>
    </row>
    <row r="16">
      <c r="A16" s="12" t="inlineStr">
        <is>
          <t>total</t>
        </is>
      </c>
      <c r="B16" s="13">
        <f>COUNTIFS('Picks'!$H$2:$H$12,$A16,'Picks'!$U$2:$U$12,"settled")</f>
        <v/>
      </c>
      <c r="C16" s="13">
        <f>COUNTIFS('Picks'!$H$2:$H$12,$A16,'Picks'!$U$2:$U$12,"settled",'Picks'!$V$2:$V$12,"win")</f>
        <v/>
      </c>
      <c r="D16" s="13">
        <f>COUNTIFS('Picks'!$H$2:$H$12,$A16,'Picks'!$U$2:$U$12,"settled",'Picks'!$V$2:$V$12,"loss")</f>
        <v/>
      </c>
      <c r="E16" s="14">
        <f>IFERROR(C16/(C16+D16),0)</f>
        <v/>
      </c>
      <c r="F16" s="15">
        <f>SUMIFS('Picks'!$BY$2:$BY$12,'Picks'!$H$2:$H$12,$A16)</f>
        <v/>
      </c>
      <c r="G16" s="16">
        <f>IFERROR(AVERAGEIFS('Picks'!$AB$2:$AB$12,'Picks'!$H$2:$H$12,$A16,'Picks'!$U$2:$U$12,"settled"),0)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4a93f1c3a9db405a</t>
        </is>
      </c>
      <c r="B2" s="24" t="inlineStr">
        <is>
          <t>2026-07-31T10:46:58.818420Z</t>
        </is>
      </c>
      <c r="C2" s="24" t="inlineStr">
        <is>
          <t>2026-07-31T11:00:00Z</t>
        </is>
      </c>
      <c r="D2" s="24" t="inlineStr">
        <is>
          <t>64807</t>
        </is>
      </c>
      <c r="E2" s="24" t="inlineStr">
        <is>
          <t>VALORANT</t>
        </is>
      </c>
      <c r="F2" s="24" t="inlineStr">
        <is>
          <t>Gen.G Esports</t>
        </is>
      </c>
      <c r="G2" s="24" t="inlineStr">
        <is>
          <t>Global Esports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203</v>
      </c>
      <c r="M2" s="27" t="n">
        <v>3.03</v>
      </c>
      <c r="N2" s="28" t="n">
        <v>0.330033</v>
      </c>
      <c r="O2" s="28" t="n">
        <v>0.574963</v>
      </c>
      <c r="P2" s="28" t="n"/>
      <c r="Q2" s="28" t="n">
        <v>0.24493</v>
      </c>
      <c r="R2" s="26" t="n">
        <v>100</v>
      </c>
      <c r="S2" s="29" t="n">
        <v>1.25</v>
      </c>
      <c r="T2" s="24" t="inlineStr">
        <is>
          <t>valorant-tiered-elo-v5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194</v>
      </c>
      <c r="AA2" s="28" t="n">
        <v>0.34</v>
      </c>
      <c r="AB2" s="28" t="n">
        <v>0.009967</v>
      </c>
      <c r="AC2" s="30" t="n">
        <v>2.5375</v>
      </c>
      <c r="AD2" s="24" t="inlineStr">
        <is>
          <t>2026-07-31T13:39:00.824188Z</t>
        </is>
      </c>
      <c r="AE2" s="31" t="inlineStr">
        <is>
          <t>Neutral Elo baseline; executable ask 0.3300 (market_slug=aec-valorant-ge-geng-2026-07-31).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Gen.G Esports</t>
        </is>
      </c>
      <c r="AQ2" s="24" t="inlineStr">
        <is>
          <t>Gen.G Esports</t>
        </is>
      </c>
      <c r="AR2" s="24" t="inlineStr">
        <is>
          <t>Gen.G Esports</t>
        </is>
      </c>
      <c r="AS2" s="24" t="inlineStr">
        <is>
          <t>Global Esports</t>
        </is>
      </c>
      <c r="AT2" s="24" t="inlineStr">
        <is>
          <t>Global Esports</t>
        </is>
      </c>
      <c r="AU2" s="24" t="inlineStr">
        <is>
          <t>Global Esports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316f14757ba7b67513d2e43f0e5432e02d1d1af04a03ed2b8a0b070efbf6c94e</t>
        </is>
      </c>
      <c r="BB2" s="24" t="inlineStr">
        <is>
          <t>neutral_elo</t>
        </is>
      </c>
      <c r="BC2" s="24" t="inlineStr">
        <is>
          <t>valorant-tiered-elo-v5</t>
        </is>
      </c>
      <c r="BD2" s="24" t="inlineStr">
        <is>
          <t>316f14757ba7b67513d2e43f0e5432e02d1d1af04a03ed2b8a0b070efbf6c94e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valorant-tiered-elo-v5</t>
        </is>
      </c>
      <c r="BH2" s="24" t="inlineStr">
        <is>
          <t>2026-07-31T10:46:53.940374Z</t>
        </is>
      </c>
      <c r="BI2" s="24" t="inlineStr">
        <is>
          <t>["same_event","same_team_same_day","same_league_same_day"]</t>
        </is>
      </c>
      <c r="BJ2" s="25" t="n"/>
      <c r="BK2" s="26" t="n">
        <v>203</v>
      </c>
      <c r="BL2" s="27" t="n">
        <v>3.03</v>
      </c>
      <c r="BM2" s="28" t="n">
        <v>0.330033</v>
      </c>
      <c r="BN2" s="28" t="n"/>
      <c r="BO2" s="28" t="n"/>
      <c r="BP2" s="25" t="n"/>
      <c r="BQ2" s="27" t="n">
        <v>2.94</v>
      </c>
      <c r="BR2" s="28" t="n">
        <v>0.34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aa60324bb524406d</t>
        </is>
      </c>
      <c r="B3" s="24" t="inlineStr">
        <is>
          <t>2026-07-31T13:44:08.052962Z</t>
        </is>
      </c>
      <c r="C3" s="24" t="inlineStr">
        <is>
          <t>2026-07-31T15:00:00Z</t>
        </is>
      </c>
      <c r="D3" s="24" t="inlineStr">
        <is>
          <t>64940</t>
        </is>
      </c>
      <c r="E3" s="24" t="inlineStr">
        <is>
          <t>VALORANT</t>
        </is>
      </c>
      <c r="F3" s="24" t="inlineStr">
        <is>
          <t>Gentle Mates</t>
        </is>
      </c>
      <c r="G3" s="24" t="inlineStr">
        <is>
          <t>BBL Esports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-127</v>
      </c>
      <c r="M3" s="27" t="n">
        <v>1.787402</v>
      </c>
      <c r="N3" s="28" t="n">
        <v>0.5594710000000001</v>
      </c>
      <c r="O3" s="28" t="n">
        <v>0.589785</v>
      </c>
      <c r="P3" s="28" t="n"/>
      <c r="Q3" s="28" t="n">
        <v>0.030314</v>
      </c>
      <c r="R3" s="26" t="n">
        <v>35</v>
      </c>
      <c r="S3" s="29" t="n">
        <v>1.25</v>
      </c>
      <c r="T3" s="24" t="inlineStr">
        <is>
          <t>valorant-tiered-elo-v5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-127</v>
      </c>
      <c r="AA3" s="28" t="n">
        <v>0.5600000000000001</v>
      </c>
      <c r="AB3" s="28" t="n">
        <v>0.000529</v>
      </c>
      <c r="AC3" s="30" t="n">
        <v>0.9843</v>
      </c>
      <c r="AD3" s="24" t="inlineStr">
        <is>
          <t>2026-07-31T19:51:30.853090Z</t>
        </is>
      </c>
      <c r="AE3" s="31" t="inlineStr">
        <is>
          <t>Neutral Elo baseline; executable ask 0.5600 (market_slug=aec-valorant-bbl-gm-2026-07-31).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Gentle Mates</t>
        </is>
      </c>
      <c r="AQ3" s="24" t="inlineStr">
        <is>
          <t>Gentle Mates</t>
        </is>
      </c>
      <c r="AR3" s="24" t="inlineStr">
        <is>
          <t>Gentle Mates</t>
        </is>
      </c>
      <c r="AS3" s="24" t="inlineStr">
        <is>
          <t>BBL Esports</t>
        </is>
      </c>
      <c r="AT3" s="24" t="inlineStr">
        <is>
          <t>BBL Esports</t>
        </is>
      </c>
      <c r="AU3" s="24" t="inlineStr">
        <is>
          <t>BBL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139f8fd81efcd2fb54fc3e158052d3e9c04fc7442a0b372b18e645e84996b74c</t>
        </is>
      </c>
      <c r="BB3" s="24" t="inlineStr">
        <is>
          <t>neutral_elo</t>
        </is>
      </c>
      <c r="BC3" s="24" t="inlineStr">
        <is>
          <t>valorant-tiered-elo-v5</t>
        </is>
      </c>
      <c r="BD3" s="24" t="inlineStr">
        <is>
          <t>139f8fd81efcd2fb54fc3e158052d3e9c04fc7442a0b372b18e645e84996b74c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valorant-tiered-elo-v5</t>
        </is>
      </c>
      <c r="BH3" s="24" t="inlineStr">
        <is>
          <t>2026-07-31T13:44:03.465992Z</t>
        </is>
      </c>
      <c r="BI3" s="24" t="inlineStr">
        <is>
          <t>["same_event","same_team_same_day","same_league_same_day"]</t>
        </is>
      </c>
      <c r="BJ3" s="25" t="n"/>
      <c r="BK3" s="26" t="n">
        <v>-127</v>
      </c>
      <c r="BL3" s="27" t="n">
        <v>1.787402</v>
      </c>
      <c r="BM3" s="28" t="n">
        <v>0.5594710000000001</v>
      </c>
      <c r="BN3" s="28" t="n"/>
      <c r="BO3" s="28" t="n"/>
      <c r="BP3" s="25" t="n"/>
      <c r="BQ3" s="27" t="n">
        <v>1.787402</v>
      </c>
      <c r="BR3" s="28" t="n">
        <v>0.5600000000000001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3ed05efb0fb74970</t>
        </is>
      </c>
      <c r="B4" s="24" t="inlineStr">
        <is>
          <t>2026-08-01T23:55:04.278999Z</t>
        </is>
      </c>
      <c r="C4" s="24" t="inlineStr">
        <is>
          <t>2026-08-02T00:00:00Z</t>
        </is>
      </c>
      <c r="D4" s="24" t="inlineStr">
        <is>
          <t>66659</t>
        </is>
      </c>
      <c r="E4" s="24" t="inlineStr">
        <is>
          <t>VALORANT</t>
        </is>
      </c>
      <c r="F4" s="24" t="inlineStr">
        <is>
          <t>NRG</t>
        </is>
      </c>
      <c r="G4" s="24" t="inlineStr">
        <is>
          <t>Leviatán Esports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-138</v>
      </c>
      <c r="M4" s="27" t="n">
        <v>1.724638</v>
      </c>
      <c r="N4" s="28" t="n">
        <v>0.579832</v>
      </c>
      <c r="O4" s="28" t="n">
        <v>0.608104</v>
      </c>
      <c r="P4" s="28" t="n"/>
      <c r="Q4" s="28" t="n">
        <v>0.028272</v>
      </c>
      <c r="R4" s="26" t="n">
        <v>34</v>
      </c>
      <c r="S4" s="29" t="n">
        <v>1.5</v>
      </c>
      <c r="T4" s="24" t="inlineStr">
        <is>
          <t>valorant-tiered-elo-v5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1</v>
      </c>
      <c r="X4" s="26" t="n">
        <v>0</v>
      </c>
      <c r="Y4" s="25" t="n"/>
      <c r="Z4" s="26" t="n">
        <v>-138</v>
      </c>
      <c r="AA4" s="28" t="n">
        <v>0.58</v>
      </c>
      <c r="AB4" s="28" t="n">
        <v>0.000168</v>
      </c>
      <c r="AC4" s="30" t="n">
        <v>-1.5</v>
      </c>
      <c r="AD4" s="24" t="inlineStr">
        <is>
          <t>2026-08-02T04:26:24.624792Z</t>
        </is>
      </c>
      <c r="AE4" s="31" t="inlineStr">
        <is>
          <t>Neutral Elo baseline; executable ask 0.5800 (market_slug=aec-valorant-lev-nrg-2026-08-02).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NRG</t>
        </is>
      </c>
      <c r="AQ4" s="24" t="inlineStr">
        <is>
          <t>NRG</t>
        </is>
      </c>
      <c r="AR4" s="24" t="inlineStr">
        <is>
          <t>NRG</t>
        </is>
      </c>
      <c r="AS4" s="24" t="inlineStr">
        <is>
          <t>Leviatán Esports</t>
        </is>
      </c>
      <c r="AT4" s="24" t="inlineStr">
        <is>
          <t>Leviatán Esports</t>
        </is>
      </c>
      <c r="AU4" s="24" t="inlineStr">
        <is>
          <t>Leviatán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4e9833fa3108f9876de728871233bbb749924096e4b6984ae7ee11ff9d8be0d1</t>
        </is>
      </c>
      <c r="BB4" s="24" t="inlineStr">
        <is>
          <t>neutral_elo</t>
        </is>
      </c>
      <c r="BC4" s="24" t="inlineStr">
        <is>
          <t>valorant-tiered-elo-v5</t>
        </is>
      </c>
      <c r="BD4" s="24" t="inlineStr">
        <is>
          <t>4e9833fa3108f9876de728871233bbb749924096e4b6984ae7ee11ff9d8be0d1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valorant-tiered-elo-v5</t>
        </is>
      </c>
      <c r="BH4" s="24" t="inlineStr">
        <is>
          <t>2026-08-01T23:55:01.262855Z</t>
        </is>
      </c>
      <c r="BI4" s="24" t="inlineStr">
        <is>
          <t>["same_event","same_team_same_day","same_league_same_day"]</t>
        </is>
      </c>
      <c r="BJ4" s="25" t="n"/>
      <c r="BK4" s="26" t="n">
        <v>-138</v>
      </c>
      <c r="BL4" s="27" t="n">
        <v>1.724638</v>
      </c>
      <c r="BM4" s="28" t="n">
        <v>0.579832</v>
      </c>
      <c r="BN4" s="28" t="n"/>
      <c r="BO4" s="28" t="n"/>
      <c r="BP4" s="25" t="n"/>
      <c r="BQ4" s="27" t="n">
        <v>1.724638</v>
      </c>
      <c r="BR4" s="28" t="n">
        <v>0.58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9be1b88469434301</t>
        </is>
      </c>
      <c r="B5" s="24" t="inlineStr">
        <is>
          <t>2026-08-02T07:16:42.752833Z</t>
        </is>
      </c>
      <c r="C5" s="24" t="inlineStr">
        <is>
          <t>2026-08-02T08:00:00Z</t>
        </is>
      </c>
      <c r="D5" s="24" t="inlineStr">
        <is>
          <t>66788</t>
        </is>
      </c>
      <c r="E5" s="24" t="inlineStr">
        <is>
          <t>VALORANT</t>
        </is>
      </c>
      <c r="F5" s="24" t="inlineStr">
        <is>
          <t>Kiwoom DRX</t>
        </is>
      </c>
      <c r="G5" s="24" t="inlineStr">
        <is>
          <t>VARREL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0.676998</v>
      </c>
      <c r="P5" s="28" t="n"/>
      <c r="Q5" s="28" t="n">
        <v>0.076998</v>
      </c>
      <c r="R5" s="26" t="n">
        <v>58</v>
      </c>
      <c r="S5" s="29" t="n">
        <v>1.75</v>
      </c>
      <c r="T5" s="24" t="inlineStr">
        <is>
          <t>valorant-tiered-elo-v5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>
        <v>-150</v>
      </c>
      <c r="AA5" s="28" t="n">
        <v>0.6</v>
      </c>
      <c r="AB5" s="28" t="n">
        <v>0</v>
      </c>
      <c r="AC5" s="30" t="n">
        <v>-1.75</v>
      </c>
      <c r="AD5" s="24" t="inlineStr">
        <is>
          <t>2026-08-02T11:45:35.969857Z</t>
        </is>
      </c>
      <c r="AE5" s="31" t="inlineStr">
        <is>
          <t>Neutral Elo baseline; executable ask 0.6000 (market_slug=aec-valorant-var-krx-2026-08-02).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Kiwoom DRX</t>
        </is>
      </c>
      <c r="AQ5" s="24" t="inlineStr">
        <is>
          <t>Kiwoom DRX</t>
        </is>
      </c>
      <c r="AR5" s="24" t="inlineStr">
        <is>
          <t>Kiwoom DRX</t>
        </is>
      </c>
      <c r="AS5" s="24" t="inlineStr">
        <is>
          <t>VARREL</t>
        </is>
      </c>
      <c r="AT5" s="24" t="inlineStr">
        <is>
          <t>VARREL</t>
        </is>
      </c>
      <c r="AU5" s="24" t="inlineStr">
        <is>
          <t>VARREL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f7ffe38e2a3b5170b3b9b10a398835b3cdb1a4df5cfd051a3ffa836bf9de2c76</t>
        </is>
      </c>
      <c r="BB5" s="24" t="inlineStr">
        <is>
          <t>neutral_elo</t>
        </is>
      </c>
      <c r="BC5" s="24" t="inlineStr">
        <is>
          <t>valorant-tiered-elo-v5</t>
        </is>
      </c>
      <c r="BD5" s="24" t="inlineStr">
        <is>
          <t>f7ffe38e2a3b5170b3b9b10a398835b3cdb1a4df5cfd051a3ffa836bf9de2c76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valorant-tiered-elo-v5</t>
        </is>
      </c>
      <c r="BH5" s="24" t="inlineStr">
        <is>
          <t>2026-08-02T07:16:34.729300Z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>
        <v>1.666667</v>
      </c>
      <c r="BR5" s="28" t="n">
        <v>0.6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ad8fa896c5344f29</t>
        </is>
      </c>
      <c r="B6" s="24" t="inlineStr">
        <is>
          <t>2026-08-03T13:30:41.417037Z</t>
        </is>
      </c>
      <c r="C6" s="24" t="inlineStr">
        <is>
          <t>2026-08-03T15:00:00Z</t>
        </is>
      </c>
      <c r="D6" s="24" t="inlineStr">
        <is>
          <t>67569</t>
        </is>
      </c>
      <c r="E6" s="24" t="inlineStr">
        <is>
          <t>VALORANT</t>
        </is>
      </c>
      <c r="F6" s="24" t="inlineStr">
        <is>
          <t>FOKUS Sakura</t>
        </is>
      </c>
      <c r="G6" s="24" t="inlineStr">
        <is>
          <t>SK Nebula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-163</v>
      </c>
      <c r="M6" s="27" t="n">
        <v>1.613497</v>
      </c>
      <c r="N6" s="28" t="n">
        <v>0.619772</v>
      </c>
      <c r="O6" s="28" t="n">
        <v>0.765423</v>
      </c>
      <c r="P6" s="28" t="n"/>
      <c r="Q6" s="28" t="n">
        <v>0.145651</v>
      </c>
      <c r="R6" s="26" t="n">
        <v>93</v>
      </c>
      <c r="S6" s="29" t="n">
        <v>2</v>
      </c>
      <c r="T6" s="24" t="inlineStr">
        <is>
          <t>valorant-tiered-elo-v5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>
        <v>-163</v>
      </c>
      <c r="AA6" s="28" t="n">
        <v>0.62</v>
      </c>
      <c r="AB6" s="28" t="n">
        <v>0.000228</v>
      </c>
      <c r="AC6" s="30" t="n">
        <v>-2</v>
      </c>
      <c r="AD6" s="24" t="inlineStr">
        <is>
          <t>2026-08-03T17:06:06.463819Z</t>
        </is>
      </c>
      <c r="AE6" s="31" t="inlineStr">
        <is>
          <t>Neutral Elo baseline; executable ask 0.6200 (market_slug=aec-valorant-skn-fso-2026-08-03).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FOKUS Sakura</t>
        </is>
      </c>
      <c r="AQ6" s="24" t="inlineStr">
        <is>
          <t>FOKUS Sakura</t>
        </is>
      </c>
      <c r="AR6" s="24" t="inlineStr">
        <is>
          <t>FOKUS Sakura</t>
        </is>
      </c>
      <c r="AS6" s="24" t="inlineStr">
        <is>
          <t>SK Nebula</t>
        </is>
      </c>
      <c r="AT6" s="24" t="inlineStr">
        <is>
          <t>SK Nebula</t>
        </is>
      </c>
      <c r="AU6" s="24" t="inlineStr">
        <is>
          <t>SK Nebula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afe2fffd3c666e0d8f9040dcc6dedae587629fd14dee7043c87557d9d9d9e6e5</t>
        </is>
      </c>
      <c r="BB6" s="24" t="inlineStr">
        <is>
          <t>neutral_elo</t>
        </is>
      </c>
      <c r="BC6" s="24" t="inlineStr">
        <is>
          <t>valorant-tiered-elo-v5</t>
        </is>
      </c>
      <c r="BD6" s="24" t="inlineStr">
        <is>
          <t>afe2fffd3c666e0d8f9040dcc6dedae587629fd14dee7043c87557d9d9d9e6e5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valorant-tiered-elo-v5</t>
        </is>
      </c>
      <c r="BH6" s="24" t="inlineStr">
        <is>
          <t>2026-08-03T13:30:33.637118Z</t>
        </is>
      </c>
      <c r="BI6" s="24" t="inlineStr">
        <is>
          <t>["same_event","same_team_same_day","same_league_same_day"]</t>
        </is>
      </c>
      <c r="BJ6" s="25" t="n"/>
      <c r="BK6" s="26" t="n">
        <v>-163</v>
      </c>
      <c r="BL6" s="27" t="n">
        <v>1.613497</v>
      </c>
      <c r="BM6" s="28" t="n">
        <v>0.619772</v>
      </c>
      <c r="BN6" s="28" t="n"/>
      <c r="BO6" s="28" t="n"/>
      <c r="BP6" s="25" t="n"/>
      <c r="BQ6" s="27" t="n">
        <v>1.613497</v>
      </c>
      <c r="BR6" s="28" t="n">
        <v>0.62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</row>
    <row r="7" ht="36" customHeight="1">
      <c r="A7" s="24" t="inlineStr">
        <is>
          <t>993252575c7e4976</t>
        </is>
      </c>
      <c r="B7" s="24" t="inlineStr">
        <is>
          <t>2026-08-04T16:54:18.134287Z</t>
        </is>
      </c>
      <c r="C7" s="24" t="inlineStr">
        <is>
          <t>2026-08-04T18:00:00Z</t>
        </is>
      </c>
      <c r="D7" s="24" t="inlineStr">
        <is>
          <t>68698</t>
        </is>
      </c>
      <c r="E7" s="24" t="inlineStr">
        <is>
          <t>VALORANT</t>
        </is>
      </c>
      <c r="F7" s="24" t="inlineStr">
        <is>
          <t>Twisted Minds Orchid</t>
        </is>
      </c>
      <c r="G7" s="24" t="inlineStr">
        <is>
          <t>SK Nebula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-163</v>
      </c>
      <c r="M7" s="27" t="n">
        <v>1.613497</v>
      </c>
      <c r="N7" s="28" t="n">
        <v>0.619772</v>
      </c>
      <c r="O7" s="28" t="n">
        <v>0.64657</v>
      </c>
      <c r="P7" s="28" t="n"/>
      <c r="Q7" s="28" t="n">
        <v>0.026798</v>
      </c>
      <c r="R7" s="26" t="n">
        <v>33</v>
      </c>
      <c r="S7" s="29" t="n">
        <v>1.75</v>
      </c>
      <c r="T7" s="24" t="inlineStr">
        <is>
          <t>valorant-tiered-elo-v6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-170</v>
      </c>
      <c r="AA7" s="28" t="n">
        <v>0.63</v>
      </c>
      <c r="AB7" s="28" t="n">
        <v>0.010228</v>
      </c>
      <c r="AC7" s="30" t="n">
        <v>-1.75</v>
      </c>
      <c r="AD7" s="24" t="inlineStr">
        <is>
          <t>2026-08-04T22:00:12.102961Z</t>
        </is>
      </c>
      <c r="AE7" s="31" t="inlineStr">
        <is>
          <t>Neutral Elo baseline; executable ask 0.6200 (market_slug=aec-valorant-skn-tmo-2026-08-04).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Twisted Minds Orchid</t>
        </is>
      </c>
      <c r="AQ7" s="24" t="inlineStr">
        <is>
          <t>Twisted Minds Orchid</t>
        </is>
      </c>
      <c r="AR7" s="24" t="inlineStr">
        <is>
          <t>Twisted Minds Orchid</t>
        </is>
      </c>
      <c r="AS7" s="24" t="inlineStr">
        <is>
          <t>SK Nebula</t>
        </is>
      </c>
      <c r="AT7" s="24" t="inlineStr">
        <is>
          <t>SK Nebula</t>
        </is>
      </c>
      <c r="AU7" s="24" t="inlineStr">
        <is>
          <t>SK Nebula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2a3a3c0d919df15db76d78df508a996bd8f684ec881c5b644b1e53da56868427</t>
        </is>
      </c>
      <c r="BB7" s="24" t="inlineStr">
        <is>
          <t>neutral_elo</t>
        </is>
      </c>
      <c r="BC7" s="24" t="inlineStr">
        <is>
          <t>valorant-tiered-elo-v6</t>
        </is>
      </c>
      <c r="BD7" s="24" t="inlineStr">
        <is>
          <t>2a3a3c0d919df15db76d78df508a996bd8f684ec881c5b644b1e53da56868427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valorant-tiered-elo-v6</t>
        </is>
      </c>
      <c r="BH7" s="24" t="inlineStr">
        <is>
          <t>2026-08-04T16:54:14.515679Z</t>
        </is>
      </c>
      <c r="BI7" s="24" t="inlineStr">
        <is>
          <t>["same_event","same_team_same_day","same_league_same_day"]</t>
        </is>
      </c>
      <c r="BJ7" s="25" t="n"/>
      <c r="BK7" s="26" t="n">
        <v>-163</v>
      </c>
      <c r="BL7" s="27" t="n">
        <v>1.613497</v>
      </c>
      <c r="BM7" s="28" t="n">
        <v>0.619772</v>
      </c>
      <c r="BN7" s="28" t="n"/>
      <c r="BO7" s="28" t="n"/>
      <c r="BP7" s="25" t="n"/>
      <c r="BQ7" s="27" t="n">
        <v>1.588235</v>
      </c>
      <c r="BR7" s="28" t="n">
        <v>0.63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</row>
    <row r="8" ht="36" customHeight="1">
      <c r="A8" s="24" t="inlineStr">
        <is>
          <t>fbbd225f128542cc</t>
        </is>
      </c>
      <c r="B8" s="24" t="inlineStr">
        <is>
          <t>2026-08-05T04:38:20.842798Z</t>
        </is>
      </c>
      <c r="C8" s="24" t="inlineStr">
        <is>
          <t>2026-08-05T10:00:00Z</t>
        </is>
      </c>
      <c r="D8" s="24" t="inlineStr">
        <is>
          <t>69540</t>
        </is>
      </c>
      <c r="E8" s="24" t="inlineStr">
        <is>
          <t>VALORANT</t>
        </is>
      </c>
      <c r="F8" s="24" t="inlineStr">
        <is>
          <t>KeepBest Gaming</t>
        </is>
      </c>
      <c r="G8" s="24" t="inlineStr">
        <is>
          <t>TEC Esports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122</v>
      </c>
      <c r="M8" s="27" t="n">
        <v>2.22</v>
      </c>
      <c r="N8" s="28" t="n">
        <v>0.45045</v>
      </c>
      <c r="O8" s="28" t="n">
        <v>0.575198</v>
      </c>
      <c r="P8" s="28" t="n"/>
      <c r="Q8" s="28" t="n">
        <v>0.124748</v>
      </c>
      <c r="R8" s="26" t="n">
        <v>82</v>
      </c>
      <c r="S8" s="29" t="n">
        <v>1.25</v>
      </c>
      <c r="T8" s="24" t="inlineStr">
        <is>
          <t>valorant-tiered-elo-v6</t>
        </is>
      </c>
      <c r="U8" s="24" t="inlineStr">
        <is>
          <t>open</t>
        </is>
      </c>
      <c r="V8" s="24" t="n"/>
      <c r="W8" s="26" t="n"/>
      <c r="X8" s="26" t="n"/>
      <c r="Y8" s="25" t="n"/>
      <c r="Z8" s="26" t="n"/>
      <c r="AA8" s="28" t="n"/>
      <c r="AB8" s="28" t="n"/>
      <c r="AC8" s="30" t="n"/>
      <c r="AD8" s="24" t="n"/>
      <c r="AE8" s="31" t="inlineStr">
        <is>
          <t>Neutral Elo baseline; executable ask 0.4500 (market_slug=aec-valorant-tec-kbg-2026-08-05).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KeepBest Gaming</t>
        </is>
      </c>
      <c r="AQ8" s="24" t="inlineStr">
        <is>
          <t>KeepBest Gaming</t>
        </is>
      </c>
      <c r="AR8" s="24" t="inlineStr">
        <is>
          <t>KeepBest Gaming</t>
        </is>
      </c>
      <c r="AS8" s="24" t="inlineStr">
        <is>
          <t>TEC Esports</t>
        </is>
      </c>
      <c r="AT8" s="24" t="inlineStr">
        <is>
          <t>TEC Esports</t>
        </is>
      </c>
      <c r="AU8" s="24" t="inlineStr">
        <is>
          <t>TEC Esports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186664e065cb2f3876c035d1fafb20f41e71ec1c33421a9590b0fc42032b5796</t>
        </is>
      </c>
      <c r="BB8" s="24" t="inlineStr">
        <is>
          <t>neutral_elo</t>
        </is>
      </c>
      <c r="BC8" s="24" t="inlineStr">
        <is>
          <t>valorant-tiered-elo-v6</t>
        </is>
      </c>
      <c r="BD8" s="24" t="inlineStr">
        <is>
          <t>186664e065cb2f3876c035d1fafb20f41e71ec1c33421a9590b0fc42032b5796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valorant-tiered-elo-v6</t>
        </is>
      </c>
      <c r="BH8" s="24" t="inlineStr">
        <is>
          <t>2026-08-05T04:38:10.028876Z</t>
        </is>
      </c>
      <c r="BI8" s="24" t="inlineStr">
        <is>
          <t>["same_event","same_team_same_day","same_league_same_day"]</t>
        </is>
      </c>
      <c r="BJ8" s="25" t="n"/>
      <c r="BK8" s="26" t="n">
        <v>122</v>
      </c>
      <c r="BL8" s="27" t="n">
        <v>2.22</v>
      </c>
      <c r="BM8" s="28" t="n">
        <v>0.45045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</row>
    <row r="9" ht="36" customHeight="1">
      <c r="A9" s="24" t="inlineStr">
        <is>
          <t>ebcabc7cdc864bd9</t>
        </is>
      </c>
      <c r="B9" s="24" t="inlineStr">
        <is>
          <t>2026-08-05T04:38:20.842798Z</t>
        </is>
      </c>
      <c r="C9" s="24" t="inlineStr">
        <is>
          <t>2026-08-06T08:00:00Z</t>
        </is>
      </c>
      <c r="D9" s="24" t="inlineStr">
        <is>
          <t>70564</t>
        </is>
      </c>
      <c r="E9" s="24" t="inlineStr">
        <is>
          <t>VALORANT</t>
        </is>
      </c>
      <c r="F9" s="24" t="inlineStr">
        <is>
          <t>JD Gaming</t>
        </is>
      </c>
      <c r="G9" s="24" t="inlineStr">
        <is>
          <t>FunPlus Phoenix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-156</v>
      </c>
      <c r="M9" s="27" t="n">
        <v>1.641026</v>
      </c>
      <c r="N9" s="28" t="n">
        <v>0.609375</v>
      </c>
      <c r="O9" s="28" t="n">
        <v>0.669245</v>
      </c>
      <c r="P9" s="28" t="n"/>
      <c r="Q9" s="28" t="n">
        <v>0.05987</v>
      </c>
      <c r="R9" s="26" t="n">
        <v>50</v>
      </c>
      <c r="S9" s="29" t="n">
        <v>1.75</v>
      </c>
      <c r="T9" s="24" t="inlineStr">
        <is>
          <t>valorant-tiered-elo-v6</t>
        </is>
      </c>
      <c r="U9" s="24" t="inlineStr">
        <is>
          <t>open</t>
        </is>
      </c>
      <c r="V9" s="24" t="n"/>
      <c r="W9" s="26" t="n"/>
      <c r="X9" s="26" t="n"/>
      <c r="Y9" s="25" t="n"/>
      <c r="Z9" s="26" t="n"/>
      <c r="AA9" s="28" t="n"/>
      <c r="AB9" s="28" t="n"/>
      <c r="AC9" s="30" t="n"/>
      <c r="AD9" s="24" t="n"/>
      <c r="AE9" s="31" t="inlineStr">
        <is>
          <t>Neutral Elo baseline; executable ask 0.6100 (market_slug=aec-valorant-fpx-jdg-2026-08-06).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JD Gaming</t>
        </is>
      </c>
      <c r="AQ9" s="24" t="inlineStr">
        <is>
          <t>JD Gaming</t>
        </is>
      </c>
      <c r="AR9" s="24" t="inlineStr">
        <is>
          <t>JD Gaming</t>
        </is>
      </c>
      <c r="AS9" s="24" t="inlineStr">
        <is>
          <t>FunPlus Phoenix</t>
        </is>
      </c>
      <c r="AT9" s="24" t="inlineStr">
        <is>
          <t>FunPlus Phoenix</t>
        </is>
      </c>
      <c r="AU9" s="24" t="inlineStr">
        <is>
          <t>FunPlus Phoenix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186664e065cb2f3876c035d1fafb20f41e71ec1c33421a9590b0fc42032b5796</t>
        </is>
      </c>
      <c r="BB9" s="24" t="inlineStr">
        <is>
          <t>neutral_elo</t>
        </is>
      </c>
      <c r="BC9" s="24" t="inlineStr">
        <is>
          <t>valorant-tiered-elo-v6</t>
        </is>
      </c>
      <c r="BD9" s="24" t="inlineStr">
        <is>
          <t>186664e065cb2f3876c035d1fafb20f41e71ec1c33421a9590b0fc42032b5796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valorant-tiered-elo-v6</t>
        </is>
      </c>
      <c r="BH9" s="24" t="inlineStr">
        <is>
          <t>2026-08-05T04:38:14.218178Z</t>
        </is>
      </c>
      <c r="BI9" s="24" t="inlineStr">
        <is>
          <t>["same_event","same_team_same_day","same_league_same_day"]</t>
        </is>
      </c>
      <c r="BJ9" s="25" t="n"/>
      <c r="BK9" s="26" t="n">
        <v>-156</v>
      </c>
      <c r="BL9" s="27" t="n">
        <v>1.641026</v>
      </c>
      <c r="BM9" s="28" t="n">
        <v>0.609375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</row>
    <row r="10" ht="36" customHeight="1">
      <c r="A10" s="24" t="inlineStr">
        <is>
          <t>e93e40b1f3124d0d</t>
        </is>
      </c>
      <c r="B10" s="24" t="inlineStr">
        <is>
          <t>2026-08-05T04:38:20.842798Z</t>
        </is>
      </c>
      <c r="C10" s="24" t="inlineStr">
        <is>
          <t>2026-08-06T15:00:00Z</t>
        </is>
      </c>
      <c r="D10" s="24" t="inlineStr">
        <is>
          <t>70724</t>
        </is>
      </c>
      <c r="E10" s="24" t="inlineStr">
        <is>
          <t>VALORANT</t>
        </is>
      </c>
      <c r="F10" s="24" t="inlineStr">
        <is>
          <t>Eintracht Frankfurt</t>
        </is>
      </c>
      <c r="G10" s="24" t="inlineStr">
        <is>
          <t>GIANTX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156</v>
      </c>
      <c r="M10" s="27" t="n">
        <v>2.56</v>
      </c>
      <c r="N10" s="28" t="n">
        <v>0.390625</v>
      </c>
      <c r="O10" s="28" t="n">
        <v>0.702781</v>
      </c>
      <c r="P10" s="28" t="n"/>
      <c r="Q10" s="28" t="n">
        <v>0.312156</v>
      </c>
      <c r="R10" s="26" t="n">
        <v>100</v>
      </c>
      <c r="S10" s="29" t="n">
        <v>2</v>
      </c>
      <c r="T10" s="24" t="inlineStr">
        <is>
          <t>valorant-tiered-elo-v6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Neutral Elo baseline; executable ask 0.3900 (market_slug=aec-valorant-gx-sge-2026-08-06).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Eintracht Frankfurt</t>
        </is>
      </c>
      <c r="AQ10" s="24" t="inlineStr">
        <is>
          <t>Eintracht Frankfurt</t>
        </is>
      </c>
      <c r="AR10" s="24" t="inlineStr">
        <is>
          <t>Eintracht Frankfurt</t>
        </is>
      </c>
      <c r="AS10" s="24" t="inlineStr">
        <is>
          <t>GIANTX</t>
        </is>
      </c>
      <c r="AT10" s="24" t="inlineStr">
        <is>
          <t>GIANTX</t>
        </is>
      </c>
      <c r="AU10" s="24" t="inlineStr">
        <is>
          <t>GIANTX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186664e065cb2f3876c035d1fafb20f41e71ec1c33421a9590b0fc42032b5796</t>
        </is>
      </c>
      <c r="BB10" s="24" t="inlineStr">
        <is>
          <t>neutral_elo</t>
        </is>
      </c>
      <c r="BC10" s="24" t="inlineStr">
        <is>
          <t>valorant-tiered-elo-v6</t>
        </is>
      </c>
      <c r="BD10" s="24" t="inlineStr">
        <is>
          <t>186664e065cb2f3876c035d1fafb20f41e71ec1c33421a9590b0fc42032b5796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valorant-tiered-elo-v6</t>
        </is>
      </c>
      <c r="BH10" s="24" t="inlineStr">
        <is>
          <t>2026-08-05T04:38:15.903165Z</t>
        </is>
      </c>
      <c r="BI10" s="24" t="inlineStr">
        <is>
          <t>["same_event","same_team_same_day","same_league_same_day"]</t>
        </is>
      </c>
      <c r="BJ10" s="25" t="n"/>
      <c r="BK10" s="26" t="n">
        <v>156</v>
      </c>
      <c r="BL10" s="27" t="n">
        <v>2.56</v>
      </c>
      <c r="BM10" s="28" t="n">
        <v>0.390625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</row>
    <row r="11" ht="36" customHeight="1">
      <c r="A11" s="24" t="inlineStr">
        <is>
          <t>4f79900dc9744cdd</t>
        </is>
      </c>
      <c r="B11" s="24" t="inlineStr">
        <is>
          <t>2026-08-05T04:38:20.842798Z</t>
        </is>
      </c>
      <c r="C11" s="24" t="inlineStr">
        <is>
          <t>2026-08-06T18:00:00Z</t>
        </is>
      </c>
      <c r="D11" s="24" t="inlineStr">
        <is>
          <t>70912</t>
        </is>
      </c>
      <c r="E11" s="24" t="inlineStr">
        <is>
          <t>VALORANT</t>
        </is>
      </c>
      <c r="F11" s="24" t="inlineStr">
        <is>
          <t>Joblife</t>
        </is>
      </c>
      <c r="G11" s="24" t="inlineStr">
        <is>
          <t>Natus Vincere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170</v>
      </c>
      <c r="M11" s="27" t="n">
        <v>2.7</v>
      </c>
      <c r="N11" s="28" t="n">
        <v>0.37037</v>
      </c>
      <c r="O11" s="28" t="n">
        <v>0.564051</v>
      </c>
      <c r="P11" s="28" t="n"/>
      <c r="Q11" s="28" t="n">
        <v>0.193681</v>
      </c>
      <c r="R11" s="26" t="n">
        <v>100</v>
      </c>
      <c r="S11" s="29" t="n">
        <v>1</v>
      </c>
      <c r="T11" s="24" t="inlineStr">
        <is>
          <t>valorant-tiered-elo-v6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Neutral Elo baseline; executable ask 0.3700 (market_slug=aec-valorant-navi-jl-2026-08-06).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Joblife</t>
        </is>
      </c>
      <c r="AQ11" s="24" t="inlineStr">
        <is>
          <t>Joblife</t>
        </is>
      </c>
      <c r="AR11" s="24" t="inlineStr">
        <is>
          <t>Joblife</t>
        </is>
      </c>
      <c r="AS11" s="24" t="inlineStr">
        <is>
          <t>Natus Vincere</t>
        </is>
      </c>
      <c r="AT11" s="24" t="inlineStr">
        <is>
          <t>Natus Vincere</t>
        </is>
      </c>
      <c r="AU11" s="24" t="inlineStr">
        <is>
          <t>Natus Vincere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186664e065cb2f3876c035d1fafb20f41e71ec1c33421a9590b0fc42032b5796</t>
        </is>
      </c>
      <c r="BB11" s="24" t="inlineStr">
        <is>
          <t>neutral_elo</t>
        </is>
      </c>
      <c r="BC11" s="24" t="inlineStr">
        <is>
          <t>valorant-tiered-elo-v6</t>
        </is>
      </c>
      <c r="BD11" s="24" t="inlineStr">
        <is>
          <t>186664e065cb2f3876c035d1fafb20f41e71ec1c33421a9590b0fc42032b5796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valorant-tiered-elo-v6</t>
        </is>
      </c>
      <c r="BH11" s="24" t="inlineStr">
        <is>
          <t>2026-08-05T04:38:18.444919Z</t>
        </is>
      </c>
      <c r="BI11" s="24" t="inlineStr">
        <is>
          <t>["same_event","same_team_same_day","same_league_same_day"]</t>
        </is>
      </c>
      <c r="BJ11" s="25" t="n"/>
      <c r="BK11" s="26" t="n">
        <v>170</v>
      </c>
      <c r="BL11" s="27" t="n">
        <v>2.7</v>
      </c>
      <c r="BM11" s="28" t="n">
        <v>0.37037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</row>
    <row r="12" ht="36" customHeight="1">
      <c r="A12" s="24" t="inlineStr">
        <is>
          <t>377c33437bf243e9</t>
        </is>
      </c>
      <c r="B12" s="24" t="inlineStr">
        <is>
          <t>2026-08-05T04:38:20.842798Z</t>
        </is>
      </c>
      <c r="C12" s="24" t="inlineStr">
        <is>
          <t>2026-08-06T21:00:00Z</t>
        </is>
      </c>
      <c r="D12" s="24" t="inlineStr">
        <is>
          <t>71315</t>
        </is>
      </c>
      <c r="E12" s="24" t="inlineStr">
        <is>
          <t>VALORANT</t>
        </is>
      </c>
      <c r="F12" s="24" t="inlineStr">
        <is>
          <t>FURIA Esports</t>
        </is>
      </c>
      <c r="G12" s="24" t="inlineStr">
        <is>
          <t>Evil Geniuses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122</v>
      </c>
      <c r="M12" s="27" t="n">
        <v>2.22</v>
      </c>
      <c r="N12" s="28" t="n">
        <v>0.45045</v>
      </c>
      <c r="O12" s="28" t="n">
        <v>0.626622</v>
      </c>
      <c r="P12" s="28" t="n"/>
      <c r="Q12" s="28" t="n">
        <v>0.176172</v>
      </c>
      <c r="R12" s="26" t="n">
        <v>100</v>
      </c>
      <c r="S12" s="29" t="n">
        <v>1.5</v>
      </c>
      <c r="T12" s="24" t="inlineStr">
        <is>
          <t>valorant-tiered-elo-v6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Neutral Elo baseline; executable ask 0.4500 (market_slug=aec-valorant-eg-fur-2026-08-06).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FURIA Esports</t>
        </is>
      </c>
      <c r="AQ12" s="24" t="inlineStr">
        <is>
          <t>FURIA Esports</t>
        </is>
      </c>
      <c r="AR12" s="24" t="inlineStr">
        <is>
          <t>FURIA Esports</t>
        </is>
      </c>
      <c r="AS12" s="24" t="inlineStr">
        <is>
          <t>Evil Geniuses</t>
        </is>
      </c>
      <c r="AT12" s="24" t="inlineStr">
        <is>
          <t>Evil Geniuses</t>
        </is>
      </c>
      <c r="AU12" s="24" t="inlineStr">
        <is>
          <t>Evil Geniuses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186664e065cb2f3876c035d1fafb20f41e71ec1c33421a9590b0fc42032b5796</t>
        </is>
      </c>
      <c r="BB12" s="24" t="inlineStr">
        <is>
          <t>neutral_elo</t>
        </is>
      </c>
      <c r="BC12" s="24" t="inlineStr">
        <is>
          <t>valorant-tiered-elo-v6</t>
        </is>
      </c>
      <c r="BD12" s="24" t="inlineStr">
        <is>
          <t>186664e065cb2f3876c035d1fafb20f41e71ec1c33421a9590b0fc42032b5796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valorant-tiered-elo-v6</t>
        </is>
      </c>
      <c r="BH12" s="24" t="inlineStr">
        <is>
          <t>2026-08-05T04:38:20.044205Z</t>
        </is>
      </c>
      <c r="BI12" s="24" t="inlineStr">
        <is>
          <t>["same_event","same_team_same_day","same_league_same_day"]</t>
        </is>
      </c>
      <c r="BJ12" s="25" t="n"/>
      <c r="BK12" s="26" t="n">
        <v>122</v>
      </c>
      <c r="BL12" s="27" t="n">
        <v>2.22</v>
      </c>
      <c r="BM12" s="28" t="n">
        <v>0.45045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2026-08-05T04:38:23Z</dcterms:created>
  <dcterms:modified xsi:type="dcterms:W3CDTF">2026-08-05T04:38:23Z</dcterms:modified>
</cp:coreProperties>
</file>