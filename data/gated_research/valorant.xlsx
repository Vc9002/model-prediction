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6" headerRowCount="1">
  <autoFilter ref="A1:CS26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COUNTA('Picks'!$A$2:$A$26)</f>
        <v/>
      </c>
      <c r="C4" s="6">
        <f>COUNTIF('Picks'!$U$2:$U$26,"open")</f>
        <v/>
      </c>
      <c r="E4" s="6">
        <f>COUNTIF('Picks'!$U$2:$U$26,"settled")</f>
        <v/>
      </c>
      <c r="G4" s="6">
        <f>IF(COUNTIFS('Picks'!$U$2:$U$26,"settled",'Picks'!$V$2:$V$26,"win")+COUNTIFS('Picks'!$U$2:$U$26,"settled",'Picks'!$V$2:$V$26,"loss")&gt;=$L$2,"Ready","Insufficient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COUNTIF('Picks'!$BX$2:$BX$26,"&gt;0")</f>
        <v/>
      </c>
      <c r="C7" s="6">
        <f>COUNTIFS('Picks'!$BX$2:$BX$26,"&gt;0",'Picks'!$V$2:$V$26,"win")&amp;"-"&amp;COUNTIFS('Picks'!$BX$2:$BX$26,"&gt;0",'Picks'!$V$2:$V$26,"loss")</f>
        <v/>
      </c>
      <c r="E7" s="7">
        <f>IFERROR(COUNTIFS('Picks'!$BX$2:$BX$26,"&gt;0",'Picks'!$V$2:$V$26,"win")/(COUNTIFS('Picks'!$BX$2:$BX$26,"&gt;0",'Picks'!$V$2:$V$26,"win")+COUNTIFS('Picks'!$BX$2:$BX$26,"&gt;0",'Picks'!$V$2:$V$26,"loss")),0)</f>
        <v/>
      </c>
      <c r="G7" s="7">
        <f>IFERROR(SUM('Picks'!$BY$2:$BY$26)/SUM('Picks'!$BX$2:$BX$26),0)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SUM('Picks'!$BY$2:$BY$26)</f>
        <v/>
      </c>
      <c r="C10" s="9">
        <f>IFERROR(AVERAGEIF('Picks'!$AB$2:$AB$26,"&lt;&gt;",'Picks'!$AB$2:$AB$26),0)</f>
        <v/>
      </c>
      <c r="E10" s="6">
        <f>COUNTIFS('Picks'!$AM$2:$AM$26,"QUALIFIED_SHADOW_CALL",'Picks'!$U$2:$U$26,"settled")</f>
        <v/>
      </c>
      <c r="G10" s="8">
        <f>SUMIFS('Picks'!$AC$2:$AC$26,'Picks'!$AM$2:$AM$26,"QUALIFIED_SHADOW_CALL")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COUNTIFS('Picks'!$H$2:$H$26,$A14,'Picks'!$U$2:$U$26,"settled")</f>
        <v/>
      </c>
      <c r="C14" s="13">
        <f>COUNTIFS('Picks'!$H$2:$H$26,$A14,'Picks'!$U$2:$U$26,"settled",'Picks'!$V$2:$V$26,"win")</f>
        <v/>
      </c>
      <c r="D14" s="13">
        <f>COUNTIFS('Picks'!$H$2:$H$26,$A14,'Picks'!$U$2:$U$26,"settled",'Picks'!$V$2:$V$26,"loss")</f>
        <v/>
      </c>
      <c r="E14" s="14">
        <f>IFERROR(C14/(C14+D14),0)</f>
        <v/>
      </c>
      <c r="F14" s="15">
        <f>SUMIFS('Picks'!$BY$2:$BY$26,'Picks'!$H$2:$H$26,$A14)</f>
        <v/>
      </c>
      <c r="G14" s="16">
        <f>IFERROR(AVERAGEIFS('Picks'!$AB$2:$AB$26,'Picks'!$H$2:$H$26,$A14,'Picks'!$U$2:$U$26,"settled"),0)</f>
        <v/>
      </c>
    </row>
    <row r="15">
      <c r="A15" s="17" t="inlineStr">
        <is>
          <t>spread</t>
        </is>
      </c>
      <c r="B15" s="18">
        <f>COUNTIFS('Picks'!$H$2:$H$26,$A15,'Picks'!$U$2:$U$26,"settled")</f>
        <v/>
      </c>
      <c r="C15" s="18">
        <f>COUNTIFS('Picks'!$H$2:$H$26,$A15,'Picks'!$U$2:$U$26,"settled",'Picks'!$V$2:$V$26,"win")</f>
        <v/>
      </c>
      <c r="D15" s="18">
        <f>COUNTIFS('Picks'!$H$2:$H$26,$A15,'Picks'!$U$2:$U$26,"settled",'Picks'!$V$2:$V$26,"loss")</f>
        <v/>
      </c>
      <c r="E15" s="19">
        <f>IFERROR(C15/(C15+D15),0)</f>
        <v/>
      </c>
      <c r="F15" s="20">
        <f>SUMIFS('Picks'!$BY$2:$BY$26,'Picks'!$H$2:$H$26,$A15)</f>
        <v/>
      </c>
      <c r="G15" s="21">
        <f>IFERROR(AVERAGEIFS('Picks'!$AB$2:$AB$26,'Picks'!$H$2:$H$26,$A15,'Picks'!$U$2:$U$26,"settled"),0)</f>
        <v/>
      </c>
    </row>
    <row r="16">
      <c r="A16" s="12" t="inlineStr">
        <is>
          <t>total</t>
        </is>
      </c>
      <c r="B16" s="13">
        <f>COUNTIFS('Picks'!$H$2:$H$26,$A16,'Picks'!$U$2:$U$26,"settled")</f>
        <v/>
      </c>
      <c r="C16" s="13">
        <f>COUNTIFS('Picks'!$H$2:$H$26,$A16,'Picks'!$U$2:$U$26,"settled",'Picks'!$V$2:$V$26,"win")</f>
        <v/>
      </c>
      <c r="D16" s="13">
        <f>COUNTIFS('Picks'!$H$2:$H$26,$A16,'Picks'!$U$2:$U$26,"settled",'Picks'!$V$2:$V$26,"loss")</f>
        <v/>
      </c>
      <c r="E16" s="14">
        <f>IFERROR(C16/(C16+D16),0)</f>
        <v/>
      </c>
      <c r="F16" s="15">
        <f>SUMIFS('Picks'!$BY$2:$BY$26,'Picks'!$H$2:$H$26,$A16)</f>
        <v/>
      </c>
      <c r="G16" s="16">
        <f>IFERROR(AVERAGEIFS('Picks'!$AB$2:$AB$26,'Picks'!$H$2:$H$26,$A16,'Picks'!$U$2:$U$26,"settled"),0)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993252575c7e4976</t>
        </is>
      </c>
      <c r="B2" s="24" t="inlineStr">
        <is>
          <t>2026-08-04T16:54:18.134287Z</t>
        </is>
      </c>
      <c r="C2" s="24" t="inlineStr">
        <is>
          <t>2026-08-04T18:00:00Z</t>
        </is>
      </c>
      <c r="D2" s="24" t="inlineStr">
        <is>
          <t>68698</t>
        </is>
      </c>
      <c r="E2" s="24" t="inlineStr">
        <is>
          <t>VALORANT</t>
        </is>
      </c>
      <c r="F2" s="24" t="inlineStr">
        <is>
          <t>Twisted Minds Orchid</t>
        </is>
      </c>
      <c r="G2" s="24" t="inlineStr">
        <is>
          <t>SK Nebula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-163</v>
      </c>
      <c r="M2" s="27" t="n">
        <v>1.613497</v>
      </c>
      <c r="N2" s="28" t="n">
        <v>0.619772</v>
      </c>
      <c r="O2" s="28" t="n">
        <v>0.64657</v>
      </c>
      <c r="P2" s="28" t="n"/>
      <c r="Q2" s="28" t="n">
        <v>0.026798</v>
      </c>
      <c r="R2" s="26" t="n">
        <v>33</v>
      </c>
      <c r="S2" s="29" t="n">
        <v>1.75</v>
      </c>
      <c r="T2" s="24" t="inlineStr">
        <is>
          <t>valorant-tiered-elo-v6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-170</v>
      </c>
      <c r="AA2" s="28" t="n">
        <v>0.63</v>
      </c>
      <c r="AB2" s="28" t="n">
        <v>0.010228</v>
      </c>
      <c r="AC2" s="30" t="n">
        <v>-1.75</v>
      </c>
      <c r="AD2" s="24" t="inlineStr">
        <is>
          <t>2026-08-04T22:00:12.102961Z</t>
        </is>
      </c>
      <c r="AE2" s="31" t="inlineStr">
        <is>
          <t>Neutral Elo baseline; executable ask 0.6200 (market_slug=aec-valorant-skn-tmo-2026-08-04).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Twisted Minds Orchid</t>
        </is>
      </c>
      <c r="AQ2" s="24" t="inlineStr">
        <is>
          <t>Twisted Minds Orchid</t>
        </is>
      </c>
      <c r="AR2" s="24" t="inlineStr">
        <is>
          <t>Twisted Minds Orchid</t>
        </is>
      </c>
      <c r="AS2" s="24" t="inlineStr">
        <is>
          <t>SK Nebula</t>
        </is>
      </c>
      <c r="AT2" s="24" t="inlineStr">
        <is>
          <t>SK Nebula</t>
        </is>
      </c>
      <c r="AU2" s="24" t="inlineStr">
        <is>
          <t>SK Nebula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2a3a3c0d919df15db76d78df508a996bd8f684ec881c5b644b1e53da56868427</t>
        </is>
      </c>
      <c r="BB2" s="24" t="inlineStr">
        <is>
          <t>neutral_elo</t>
        </is>
      </c>
      <c r="BC2" s="24" t="inlineStr">
        <is>
          <t>valorant-tiered-elo-v6</t>
        </is>
      </c>
      <c r="BD2" s="24" t="inlineStr">
        <is>
          <t>2a3a3c0d919df15db76d78df508a996bd8f684ec881c5b644b1e53da56868427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valorant-tiered-elo-v6</t>
        </is>
      </c>
      <c r="BH2" s="24" t="inlineStr">
        <is>
          <t>2026-08-04T16:54:14.515679Z</t>
        </is>
      </c>
      <c r="BI2" s="24" t="inlineStr">
        <is>
          <t>["same_event","same_team_same_day","same_league_same_day"]</t>
        </is>
      </c>
      <c r="BJ2" s="25" t="n"/>
      <c r="BK2" s="26" t="n">
        <v>-163</v>
      </c>
      <c r="BL2" s="27" t="n">
        <v>1.613497</v>
      </c>
      <c r="BM2" s="28" t="n">
        <v>0.619772</v>
      </c>
      <c r="BN2" s="28" t="n"/>
      <c r="BO2" s="28" t="n"/>
      <c r="BP2" s="25" t="n"/>
      <c r="BQ2" s="27" t="n">
        <v>1.588235</v>
      </c>
      <c r="BR2" s="28" t="n">
        <v>0.63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fbbd225f128542cc</t>
        </is>
      </c>
      <c r="B3" s="24" t="inlineStr">
        <is>
          <t>2026-08-05T04:38:20.842798Z</t>
        </is>
      </c>
      <c r="C3" s="24" t="inlineStr">
        <is>
          <t>2026-08-05T10:00:00Z</t>
        </is>
      </c>
      <c r="D3" s="24" t="inlineStr">
        <is>
          <t>69540</t>
        </is>
      </c>
      <c r="E3" s="24" t="inlineStr">
        <is>
          <t>VALORANT</t>
        </is>
      </c>
      <c r="F3" s="24" t="inlineStr">
        <is>
          <t>KeepBest Gaming</t>
        </is>
      </c>
      <c r="G3" s="24" t="inlineStr">
        <is>
          <t>TEC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0.575198</v>
      </c>
      <c r="P3" s="28" t="n"/>
      <c r="Q3" s="28" t="n">
        <v>0.124748</v>
      </c>
      <c r="R3" s="26" t="n">
        <v>82</v>
      </c>
      <c r="S3" s="29" t="n">
        <v>1.25</v>
      </c>
      <c r="T3" s="24" t="inlineStr">
        <is>
          <t>valorant-tiered-elo-v6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122</v>
      </c>
      <c r="AA3" s="28" t="n">
        <v>0.45</v>
      </c>
      <c r="AB3" s="28" t="n">
        <v>-0.00045</v>
      </c>
      <c r="AC3" s="30" t="n">
        <v>-1.25</v>
      </c>
      <c r="AD3" s="24" t="inlineStr">
        <is>
          <t>2026-08-05T13:52:01.477710Z</t>
        </is>
      </c>
      <c r="AE3" s="31" t="inlineStr">
        <is>
          <t>Neutral Elo baseline; executable ask 0.4500 (market_slug=aec-valorant-tec-kbg-2026-08-05).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KeepBest Gaming</t>
        </is>
      </c>
      <c r="AQ3" s="24" t="inlineStr">
        <is>
          <t>KeepBest Gaming</t>
        </is>
      </c>
      <c r="AR3" s="24" t="inlineStr">
        <is>
          <t>KeepBest Gaming</t>
        </is>
      </c>
      <c r="AS3" s="24" t="inlineStr">
        <is>
          <t>TEC Esports</t>
        </is>
      </c>
      <c r="AT3" s="24" t="inlineStr">
        <is>
          <t>TEC Esports</t>
        </is>
      </c>
      <c r="AU3" s="24" t="inlineStr">
        <is>
          <t>TEC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186664e065cb2f3876c035d1fafb20f41e71ec1c33421a9590b0fc42032b5796</t>
        </is>
      </c>
      <c r="BB3" s="24" t="inlineStr">
        <is>
          <t>neutral_elo</t>
        </is>
      </c>
      <c r="BC3" s="24" t="inlineStr">
        <is>
          <t>valorant-tiered-elo-v6</t>
        </is>
      </c>
      <c r="BD3" s="24" t="inlineStr">
        <is>
          <t>186664e065cb2f3876c035d1fafb20f41e71ec1c33421a9590b0fc42032b5796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valorant-tiered-elo-v6</t>
        </is>
      </c>
      <c r="BH3" s="24" t="inlineStr">
        <is>
          <t>2026-08-05T04:38:10.028876Z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4afe1804253940e0</t>
        </is>
      </c>
      <c r="B4" s="24" t="inlineStr">
        <is>
          <t>2026-08-06T00:24:39.463638Z</t>
        </is>
      </c>
      <c r="C4" s="24" t="inlineStr">
        <is>
          <t>2026-08-06T15:00:00Z</t>
        </is>
      </c>
      <c r="D4" s="24" t="inlineStr">
        <is>
          <t>70724</t>
        </is>
      </c>
      <c r="E4" s="24" t="inlineStr">
        <is>
          <t>VALORANT</t>
        </is>
      </c>
      <c r="F4" s="24" t="inlineStr">
        <is>
          <t>Eintracht Frankfurt</t>
        </is>
      </c>
      <c r="G4" s="24" t="inlineStr">
        <is>
          <t>GIANTX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0.695761</v>
      </c>
      <c r="P4" s="28" t="n"/>
      <c r="Q4" s="28" t="n">
        <v>0.275593</v>
      </c>
      <c r="R4" s="26" t="n">
        <v>100</v>
      </c>
      <c r="S4" s="29" t="n">
        <v>2</v>
      </c>
      <c r="T4" s="24" t="inlineStr">
        <is>
          <t>valorant-tiered-elo-v6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-2</v>
      </c>
      <c r="AD4" s="24" t="inlineStr">
        <is>
          <t>2026-08-06T18:57:16.552761Z</t>
        </is>
      </c>
      <c r="AE4" s="31" t="inlineStr">
        <is>
          <t>Neutral Elo baseline; executable ask 0.4200 (market_slug=aec-valorant-gx-sge-2026-08-06).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Eintracht Frankfurt</t>
        </is>
      </c>
      <c r="AQ4" s="24" t="inlineStr">
        <is>
          <t>Eintracht Frankfurt</t>
        </is>
      </c>
      <c r="AR4" s="24" t="inlineStr">
        <is>
          <t>Eintracht Frankfurt</t>
        </is>
      </c>
      <c r="AS4" s="24" t="inlineStr">
        <is>
          <t>GIANTX</t>
        </is>
      </c>
      <c r="AT4" s="24" t="inlineStr">
        <is>
          <t>GIANTX</t>
        </is>
      </c>
      <c r="AU4" s="24" t="inlineStr">
        <is>
          <t>GIANTX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4df5f295a2b28e76007c7dffc3ff6e8d7c876b7734ec9c379c78b6dce8cd27b3</t>
        </is>
      </c>
      <c r="BB4" s="24" t="inlineStr">
        <is>
          <t>neutral_elo</t>
        </is>
      </c>
      <c r="BC4" s="24" t="inlineStr">
        <is>
          <t>valorant-tiered-elo-v6</t>
        </is>
      </c>
      <c r="BD4" s="24" t="inlineStr">
        <is>
          <t>4df5f295a2b28e76007c7dffc3ff6e8d7c876b7734ec9c379c78b6dce8cd27b3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valorant-tiered-elo-v6</t>
        </is>
      </c>
      <c r="BH4" s="24" t="inlineStr">
        <is>
          <t>2026-08-06T00:24:37.569959Z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9ac66283b1f0467b</t>
        </is>
      </c>
      <c r="B5" s="24" t="inlineStr">
        <is>
          <t>2026-08-06T00:24:39.463638Z</t>
        </is>
      </c>
      <c r="C5" s="24" t="inlineStr">
        <is>
          <t>2026-08-06T18:00:00Z</t>
        </is>
      </c>
      <c r="D5" s="24" t="inlineStr">
        <is>
          <t>70912</t>
        </is>
      </c>
      <c r="E5" s="24" t="inlineStr">
        <is>
          <t>VALORANT</t>
        </is>
      </c>
      <c r="F5" s="24" t="inlineStr">
        <is>
          <t>Joblife</t>
        </is>
      </c>
      <c r="G5" s="24" t="inlineStr">
        <is>
          <t>Natus Vincere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178</v>
      </c>
      <c r="M5" s="27" t="n">
        <v>2.78</v>
      </c>
      <c r="N5" s="28" t="n">
        <v>0.359712</v>
      </c>
      <c r="O5" s="28" t="n">
        <v>0.563029</v>
      </c>
      <c r="P5" s="28" t="n"/>
      <c r="Q5" s="28" t="n">
        <v>0.203317</v>
      </c>
      <c r="R5" s="26" t="n">
        <v>100</v>
      </c>
      <c r="S5" s="29" t="n">
        <v>1</v>
      </c>
      <c r="T5" s="24" t="inlineStr">
        <is>
          <t>valorant-tiered-elo-v6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1.78</v>
      </c>
      <c r="AD5" s="24" t="inlineStr">
        <is>
          <t>2026-08-07T06:01:54.163030Z</t>
        </is>
      </c>
      <c r="AE5" s="31" t="inlineStr">
        <is>
          <t>Neutral Elo baseline; executable ask 0.3600 (market_slug=aec-valorant-navi-jl-2026-08-06).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Joblife</t>
        </is>
      </c>
      <c r="AQ5" s="24" t="inlineStr">
        <is>
          <t>Joblife</t>
        </is>
      </c>
      <c r="AR5" s="24" t="inlineStr">
        <is>
          <t>Joblife</t>
        </is>
      </c>
      <c r="AS5" s="24" t="inlineStr">
        <is>
          <t>Natus Vincere</t>
        </is>
      </c>
      <c r="AT5" s="24" t="inlineStr">
        <is>
          <t>Natus Vincere</t>
        </is>
      </c>
      <c r="AU5" s="24" t="inlineStr">
        <is>
          <t>Natus Vincere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4df5f295a2b28e76007c7dffc3ff6e8d7c876b7734ec9c379c78b6dce8cd27b3</t>
        </is>
      </c>
      <c r="BB5" s="24" t="inlineStr">
        <is>
          <t>neutral_elo</t>
        </is>
      </c>
      <c r="BC5" s="24" t="inlineStr">
        <is>
          <t>valorant-tiered-elo-v6</t>
        </is>
      </c>
      <c r="BD5" s="24" t="inlineStr">
        <is>
          <t>4df5f295a2b28e76007c7dffc3ff6e8d7c876b7734ec9c379c78b6dce8cd27b3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valorant-tiered-elo-v6</t>
        </is>
      </c>
      <c r="BH5" s="24" t="inlineStr">
        <is>
          <t>2026-08-06T00:24:38.040365Z</t>
        </is>
      </c>
      <c r="BI5" s="24" t="inlineStr">
        <is>
          <t>["same_event","same_team_same_day","same_league_same_day"]</t>
        </is>
      </c>
      <c r="BJ5" s="25" t="n"/>
      <c r="BK5" s="26" t="n">
        <v>178</v>
      </c>
      <c r="BL5" s="27" t="n">
        <v>2.78</v>
      </c>
      <c r="BM5" s="28" t="n">
        <v>0.359712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33fe14e66f0c4a77</t>
        </is>
      </c>
      <c r="B6" s="24" t="inlineStr">
        <is>
          <t>2026-08-06T19:00:18.001858Z</t>
        </is>
      </c>
      <c r="C6" s="24" t="inlineStr">
        <is>
          <t>2026-08-06T21:00:00Z</t>
        </is>
      </c>
      <c r="D6" s="24" t="inlineStr">
        <is>
          <t>71315</t>
        </is>
      </c>
      <c r="E6" s="24" t="inlineStr">
        <is>
          <t>VALORANT</t>
        </is>
      </c>
      <c r="F6" s="24" t="inlineStr">
        <is>
          <t>FURIA Esports</t>
        </is>
      </c>
      <c r="G6" s="24" t="inlineStr">
        <is>
          <t>Evil Geniuses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0.615411</v>
      </c>
      <c r="P6" s="28" t="n"/>
      <c r="Q6" s="28" t="n">
        <v>0.154582</v>
      </c>
      <c r="R6" s="26" t="n">
        <v>97</v>
      </c>
      <c r="S6" s="29" t="n">
        <v>1.5</v>
      </c>
      <c r="T6" s="24" t="inlineStr">
        <is>
          <t>valorant-tiered-elo-v6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1.755</v>
      </c>
      <c r="AD6" s="24" t="inlineStr">
        <is>
          <t>2026-08-07T06:01:55.454308Z</t>
        </is>
      </c>
      <c r="AE6" s="31" t="inlineStr">
        <is>
          <t>Neutral Elo baseline; executable ask 0.4600 (market_slug=aec-valorant-eg-fur-2026-08-06).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FURIA Esports</t>
        </is>
      </c>
      <c r="AQ6" s="24" t="inlineStr">
        <is>
          <t>FURIA Esports</t>
        </is>
      </c>
      <c r="AR6" s="24" t="inlineStr">
        <is>
          <t>FURIA Esports</t>
        </is>
      </c>
      <c r="AS6" s="24" t="inlineStr">
        <is>
          <t>Evil Geniuses</t>
        </is>
      </c>
      <c r="AT6" s="24" t="inlineStr">
        <is>
          <t>Evil Geniuses</t>
        </is>
      </c>
      <c r="AU6" s="24" t="inlineStr">
        <is>
          <t>Evil Geniuses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b32c21f8580cb36d2689c3449e18565f3db3f1690f09f65a3c552f717e24b35d</t>
        </is>
      </c>
      <c r="BB6" s="24" t="inlineStr">
        <is>
          <t>neutral_elo</t>
        </is>
      </c>
      <c r="BC6" s="24" t="inlineStr">
        <is>
          <t>valorant-tiered-elo-v6</t>
        </is>
      </c>
      <c r="BD6" s="24" t="inlineStr">
        <is>
          <t>b32c21f8580cb36d2689c3449e18565f3db3f1690f09f65a3c552f717e24b35d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valorant-tiered-elo-v6</t>
        </is>
      </c>
      <c r="BH6" s="24" t="inlineStr">
        <is>
          <t>2026-08-06T19:00:13.149018Z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ccd5f17eb0c54739</t>
        </is>
      </c>
      <c r="B7" s="24" t="inlineStr">
        <is>
          <t>2026-08-07T09:11:28.912966Z</t>
        </is>
      </c>
      <c r="C7" s="24" t="inlineStr">
        <is>
          <t>2026-08-07T11:00:00Z</t>
        </is>
      </c>
      <c r="D7" s="24" t="inlineStr">
        <is>
          <t>71752</t>
        </is>
      </c>
      <c r="E7" s="24" t="inlineStr">
        <is>
          <t>VALORANT</t>
        </is>
      </c>
      <c r="F7" s="24" t="inlineStr">
        <is>
          <t>FULL SENSE</t>
        </is>
      </c>
      <c r="G7" s="24" t="inlineStr">
        <is>
          <t>Gen.G Esports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-156</v>
      </c>
      <c r="M7" s="27" t="n">
        <v>1.641026</v>
      </c>
      <c r="N7" s="28" t="n">
        <v>0.609375</v>
      </c>
      <c r="O7" s="28" t="n">
        <v>0.781485</v>
      </c>
      <c r="P7" s="28" t="n"/>
      <c r="Q7" s="28" t="n">
        <v>0.17211</v>
      </c>
      <c r="R7" s="26" t="n">
        <v>100</v>
      </c>
      <c r="S7" s="29" t="n">
        <v>2</v>
      </c>
      <c r="T7" s="24" t="inlineStr">
        <is>
          <t>valorant-tiered-elo-v6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-156</v>
      </c>
      <c r="AA7" s="28" t="n">
        <v>0.61</v>
      </c>
      <c r="AB7" s="28" t="n">
        <v>0.000625</v>
      </c>
      <c r="AC7" s="30" t="n">
        <v>1.2821</v>
      </c>
      <c r="AD7" s="24" t="inlineStr">
        <is>
          <t>2026-08-07T15:20:06.633818Z</t>
        </is>
      </c>
      <c r="AE7" s="31" t="inlineStr">
        <is>
          <t>Neutral Elo baseline; executable ask 0.6100 (market_slug=aec-valorant-geng-fs-2026-08-07).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FULL SENSE</t>
        </is>
      </c>
      <c r="AQ7" s="24" t="inlineStr">
        <is>
          <t>FULL SENSE</t>
        </is>
      </c>
      <c r="AR7" s="24" t="inlineStr">
        <is>
          <t>FULL SENSE</t>
        </is>
      </c>
      <c r="AS7" s="24" t="inlineStr">
        <is>
          <t>Gen.G Esports</t>
        </is>
      </c>
      <c r="AT7" s="24" t="inlineStr">
        <is>
          <t>Gen.G Esports</t>
        </is>
      </c>
      <c r="AU7" s="24" t="inlineStr">
        <is>
          <t>Gen.G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42b19475ad40d4c6f417c5f7897f490415fd91fcca876fa2415c941da1fd3bc7</t>
        </is>
      </c>
      <c r="BB7" s="24" t="inlineStr">
        <is>
          <t>neutral_elo</t>
        </is>
      </c>
      <c r="BC7" s="24" t="inlineStr">
        <is>
          <t>valorant-tiered-elo-v6</t>
        </is>
      </c>
      <c r="BD7" s="24" t="inlineStr">
        <is>
          <t>42b19475ad40d4c6f417c5f7897f490415fd91fcca876fa2415c941da1fd3bc7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valorant-tiered-elo-v6</t>
        </is>
      </c>
      <c r="BH7" s="24" t="inlineStr">
        <is>
          <t>2026-08-07T09:11:21.351080Z</t>
        </is>
      </c>
      <c r="BI7" s="24" t="inlineStr">
        <is>
          <t>["same_event","same_team_same_day","same_league_same_day"]</t>
        </is>
      </c>
      <c r="BJ7" s="25" t="n"/>
      <c r="BK7" s="26" t="n">
        <v>-156</v>
      </c>
      <c r="BL7" s="27" t="n">
        <v>1.641026</v>
      </c>
      <c r="BM7" s="28" t="n">
        <v>0.609375</v>
      </c>
      <c r="BN7" s="28" t="n"/>
      <c r="BO7" s="28" t="n"/>
      <c r="BP7" s="25" t="n"/>
      <c r="BQ7" s="27" t="n">
        <v>1.641026</v>
      </c>
      <c r="BR7" s="28" t="n">
        <v>0.61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94a64e146f5740da</t>
        </is>
      </c>
      <c r="B8" s="24" t="inlineStr">
        <is>
          <t>2026-08-07T15:24:00.757019Z</t>
        </is>
      </c>
      <c r="C8" s="24" t="inlineStr">
        <is>
          <t>2026-08-07T18:00:00Z</t>
        </is>
      </c>
      <c r="D8" s="24" t="inlineStr">
        <is>
          <t>72078</t>
        </is>
      </c>
      <c r="E8" s="24" t="inlineStr">
        <is>
          <t>VALORANT</t>
        </is>
      </c>
      <c r="F8" s="24" t="inlineStr">
        <is>
          <t>Enterprise Esports</t>
        </is>
      </c>
      <c r="G8" s="24" t="inlineStr">
        <is>
          <t>Fnatic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178</v>
      </c>
      <c r="M8" s="27" t="n">
        <v>2.78</v>
      </c>
      <c r="N8" s="28" t="n">
        <v>0.359712</v>
      </c>
      <c r="O8" s="28" t="n">
        <v>0.743264</v>
      </c>
      <c r="P8" s="28" t="n"/>
      <c r="Q8" s="28" t="n">
        <v>0.383552</v>
      </c>
      <c r="R8" s="26" t="n">
        <v>100</v>
      </c>
      <c r="S8" s="29" t="n">
        <v>2</v>
      </c>
      <c r="T8" s="24" t="inlineStr">
        <is>
          <t>valorant-tiered-elo-v6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178</v>
      </c>
      <c r="AA8" s="28" t="n">
        <v>0.36</v>
      </c>
      <c r="AB8" s="28" t="n">
        <v>0.000288</v>
      </c>
      <c r="AC8" s="30" t="n">
        <v>3.56</v>
      </c>
      <c r="AD8" s="24" t="inlineStr">
        <is>
          <t>2026-08-07T21:55:39.052370Z</t>
        </is>
      </c>
      <c r="AE8" s="31" t="inlineStr">
        <is>
          <t>Neutral Elo baseline; executable ask 0.3600 (market_slug=aec-valorant-fnc-ep-2026-08-07).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Enterprise Esports</t>
        </is>
      </c>
      <c r="AQ8" s="24" t="inlineStr">
        <is>
          <t>Enterprise Esports</t>
        </is>
      </c>
      <c r="AR8" s="24" t="inlineStr">
        <is>
          <t>Enterprise Esports</t>
        </is>
      </c>
      <c r="AS8" s="24" t="inlineStr">
        <is>
          <t>Fnatic</t>
        </is>
      </c>
      <c r="AT8" s="24" t="inlineStr">
        <is>
          <t>Fnatic</t>
        </is>
      </c>
      <c r="AU8" s="24" t="inlineStr">
        <is>
          <t>Fnatic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81f6739aa819ab85b1d04cc8b0c18852e0f247d6e491c0f3ef1b501fc8699698</t>
        </is>
      </c>
      <c r="BB8" s="24" t="inlineStr">
        <is>
          <t>neutral_elo</t>
        </is>
      </c>
      <c r="BC8" s="24" t="inlineStr">
        <is>
          <t>valorant-tiered-elo-v6</t>
        </is>
      </c>
      <c r="BD8" s="24" t="inlineStr">
        <is>
          <t>81f6739aa819ab85b1d04cc8b0c18852e0f247d6e491c0f3ef1b501fc8699698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valorant-tiered-elo-v6</t>
        </is>
      </c>
      <c r="BH8" s="24" t="inlineStr">
        <is>
          <t>2026-08-07T15:23:54.113763Z</t>
        </is>
      </c>
      <c r="BI8" s="24" t="inlineStr">
        <is>
          <t>["same_event","same_team_same_day","same_league_same_day"]</t>
        </is>
      </c>
      <c r="BJ8" s="25" t="n"/>
      <c r="BK8" s="26" t="n">
        <v>178</v>
      </c>
      <c r="BL8" s="27" t="n">
        <v>2.78</v>
      </c>
      <c r="BM8" s="28" t="n">
        <v>0.359712</v>
      </c>
      <c r="BN8" s="28" t="n"/>
      <c r="BO8" s="28" t="n"/>
      <c r="BP8" s="25" t="n"/>
      <c r="BQ8" s="27" t="n">
        <v>2.78</v>
      </c>
      <c r="BR8" s="28" t="n">
        <v>0.36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e501297caddc4e51</t>
        </is>
      </c>
      <c r="B9" s="24" t="inlineStr">
        <is>
          <t>2026-08-09T17:08:20.055519Z</t>
        </is>
      </c>
      <c r="C9" s="24" t="inlineStr">
        <is>
          <t>2026-08-09T18:00:00Z</t>
        </is>
      </c>
      <c r="D9" s="24" t="inlineStr">
        <is>
          <t>74609</t>
        </is>
      </c>
      <c r="E9" s="24" t="inlineStr">
        <is>
          <t>VALORANT</t>
        </is>
      </c>
      <c r="F9" s="24" t="inlineStr">
        <is>
          <t>Enterprise Esports</t>
        </is>
      </c>
      <c r="G9" s="24" t="inlineStr">
        <is>
          <t>Gentle Mates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0.804725</v>
      </c>
      <c r="P9" s="28" t="n"/>
      <c r="Q9" s="28" t="n">
        <v>0.404725</v>
      </c>
      <c r="R9" s="26" t="n">
        <v>100</v>
      </c>
      <c r="S9" s="29" t="n">
        <v>2</v>
      </c>
      <c r="T9" s="24" t="inlineStr">
        <is>
          <t>valorant-tiered-elo-v6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150</v>
      </c>
      <c r="AA9" s="28" t="n">
        <v>0.4</v>
      </c>
      <c r="AB9" s="28" t="n">
        <v>0</v>
      </c>
      <c r="AC9" s="30" t="n">
        <v>3</v>
      </c>
      <c r="AD9" s="24" t="inlineStr">
        <is>
          <t>2026-08-09T20:26:25.086079Z</t>
        </is>
      </c>
      <c r="AE9" s="31" t="inlineStr">
        <is>
          <t>Neutral Elo baseline; executable ask 0.4000 (market_slug=aec-valorant-gm-ep-2026-08-09).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Enterprise Esports</t>
        </is>
      </c>
      <c r="AQ9" s="24" t="inlineStr">
        <is>
          <t>Enterprise Esports</t>
        </is>
      </c>
      <c r="AR9" s="24" t="inlineStr">
        <is>
          <t>Enterprise Esports</t>
        </is>
      </c>
      <c r="AS9" s="24" t="inlineStr">
        <is>
          <t>Gentle Mates</t>
        </is>
      </c>
      <c r="AT9" s="24" t="inlineStr">
        <is>
          <t>Gentle Mates</t>
        </is>
      </c>
      <c r="AU9" s="24" t="inlineStr">
        <is>
          <t>Gentle Mates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43316dd49e7f9b1a20757c6d2b94b720f27a77b2c5fd90af5fff6a8c8dacabc4</t>
        </is>
      </c>
      <c r="BB9" s="24" t="inlineStr">
        <is>
          <t>neutral_elo</t>
        </is>
      </c>
      <c r="BC9" s="24" t="inlineStr">
        <is>
          <t>valorant-tiered-elo-v6</t>
        </is>
      </c>
      <c r="BD9" s="24" t="inlineStr">
        <is>
          <t>43316dd49e7f9b1a20757c6d2b94b720f27a77b2c5fd90af5fff6a8c8dacabc4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valorant-tiered-elo-v6</t>
        </is>
      </c>
      <c r="BH9" s="24" t="inlineStr">
        <is>
          <t>2026-08-09T17:08:10.558137Z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>
        <v>2.5</v>
      </c>
      <c r="BR9" s="28" t="n">
        <v>0.4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7ab28900c23e400a</t>
        </is>
      </c>
      <c r="B10" s="24" t="inlineStr">
        <is>
          <t>2026-08-10T16:36:45.039622Z</t>
        </is>
      </c>
      <c r="C10" s="24" t="inlineStr">
        <is>
          <t>2026-08-10T22:00:00Z</t>
        </is>
      </c>
      <c r="D10" s="24" t="inlineStr">
        <is>
          <t>75255</t>
        </is>
      </c>
      <c r="E10" s="24" t="inlineStr">
        <is>
          <t>VALORANT</t>
        </is>
      </c>
      <c r="F10" s="24" t="inlineStr">
        <is>
          <t>Olimpo Gold</t>
        </is>
      </c>
      <c r="G10" s="24" t="inlineStr">
        <is>
          <t>NPC Team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150</v>
      </c>
      <c r="M10" s="27" t="n">
        <v>2.5</v>
      </c>
      <c r="N10" s="28" t="n">
        <v>0.4</v>
      </c>
      <c r="O10" s="28" t="n">
        <v>0.559409</v>
      </c>
      <c r="P10" s="28" t="n"/>
      <c r="Q10" s="28" t="n">
        <v>0.159409</v>
      </c>
      <c r="R10" s="26" t="n">
        <v>100</v>
      </c>
      <c r="S10" s="29" t="n">
        <v>1</v>
      </c>
      <c r="T10" s="24" t="inlineStr">
        <is>
          <t>valorant-tiered-elo-v6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150</v>
      </c>
      <c r="AA10" s="28" t="n">
        <v>0.4</v>
      </c>
      <c r="AB10" s="28" t="n">
        <v>0</v>
      </c>
      <c r="AC10" s="30" t="n">
        <v>-1</v>
      </c>
      <c r="AD10" s="24" t="inlineStr">
        <is>
          <t>2026-08-11T13:09:08.912134Z</t>
        </is>
      </c>
      <c r="AE10" s="31" t="inlineStr">
        <is>
          <t>Neutral Elo baseline; executable ask 0.4000 (market_slug=aec-valorant-ntp-og-2026-08-10).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Olimpo Gold</t>
        </is>
      </c>
      <c r="AQ10" s="24" t="inlineStr">
        <is>
          <t>Olimpo Gold</t>
        </is>
      </c>
      <c r="AR10" s="24" t="inlineStr">
        <is>
          <t>Olimpo Gold</t>
        </is>
      </c>
      <c r="AS10" s="24" t="inlineStr">
        <is>
          <t>NPC Team</t>
        </is>
      </c>
      <c r="AT10" s="24" t="inlineStr">
        <is>
          <t>NPC Team</t>
        </is>
      </c>
      <c r="AU10" s="24" t="inlineStr">
        <is>
          <t>NPC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2bc5ea39dc27eb41c7f3cbd9b58da9bee3940cd90f1ffefbd7b6a82f96fdee45</t>
        </is>
      </c>
      <c r="BB10" s="24" t="inlineStr">
        <is>
          <t>neutral_elo</t>
        </is>
      </c>
      <c r="BC10" s="24" t="inlineStr">
        <is>
          <t>valorant-tiered-elo-v6</t>
        </is>
      </c>
      <c r="BD10" s="24" t="inlineStr">
        <is>
          <t>2bc5ea39dc27eb41c7f3cbd9b58da9bee3940cd90f1ffefbd7b6a82f96fdee45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valorant-tiered-elo-v6</t>
        </is>
      </c>
      <c r="BH10" s="24" t="inlineStr">
        <is>
          <t>2026-08-10T16:36:32.706040Z</t>
        </is>
      </c>
      <c r="BI10" s="24" t="inlineStr">
        <is>
          <t>["same_event","same_team_same_day","same_league_same_day"]</t>
        </is>
      </c>
      <c r="BJ10" s="25" t="n"/>
      <c r="BK10" s="26" t="n">
        <v>150</v>
      </c>
      <c r="BL10" s="27" t="n">
        <v>2.5</v>
      </c>
      <c r="BM10" s="28" t="n">
        <v>0.4</v>
      </c>
      <c r="BN10" s="28" t="n"/>
      <c r="BO10" s="28" t="n"/>
      <c r="BP10" s="25" t="n"/>
      <c r="BQ10" s="27" t="n">
        <v>2.5</v>
      </c>
      <c r="BR10" s="28" t="n">
        <v>0.4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eb53910bc62343f1</t>
        </is>
      </c>
      <c r="B11" s="24" t="inlineStr">
        <is>
          <t>2026-08-10T16:36:45.039622Z</t>
        </is>
      </c>
      <c r="C11" s="24" t="inlineStr">
        <is>
          <t>2026-08-11T01:00:00Z</t>
        </is>
      </c>
      <c r="D11" s="24" t="inlineStr">
        <is>
          <t>75257</t>
        </is>
      </c>
      <c r="E11" s="24" t="inlineStr">
        <is>
          <t>VALORANT</t>
        </is>
      </c>
      <c r="F11" s="24" t="inlineStr">
        <is>
          <t>FUSION X</t>
        </is>
      </c>
      <c r="G11" s="24" t="inlineStr">
        <is>
          <t>MYVRA GC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0.750891</v>
      </c>
      <c r="P11" s="28" t="n"/>
      <c r="Q11" s="28" t="n">
        <v>0.110603</v>
      </c>
      <c r="R11" s="26" t="n">
        <v>75</v>
      </c>
      <c r="S11" s="29" t="n">
        <v>2</v>
      </c>
      <c r="T11" s="24" t="inlineStr">
        <is>
          <t>valorant-tiered-elo-v6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-178</v>
      </c>
      <c r="AA11" s="28" t="n">
        <v>0.64</v>
      </c>
      <c r="AB11" s="28" t="n">
        <v>-0.000288</v>
      </c>
      <c r="AC11" s="30" t="n">
        <v>-2</v>
      </c>
      <c r="AD11" s="24" t="inlineStr">
        <is>
          <t>2026-08-13T05:35:03.453400Z</t>
        </is>
      </c>
      <c r="AE11" s="31" t="inlineStr">
        <is>
          <t>Neutral Elo baseline; executable ask 0.6400 (market_slug=aec-valorant-myvgc-fsnx-2026-08-11).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FUSION X</t>
        </is>
      </c>
      <c r="AQ11" s="24" t="inlineStr">
        <is>
          <t>FUSION X</t>
        </is>
      </c>
      <c r="AR11" s="24" t="inlineStr">
        <is>
          <t>FUSION X</t>
        </is>
      </c>
      <c r="AS11" s="24" t="inlineStr">
        <is>
          <t>MYVRA GC</t>
        </is>
      </c>
      <c r="AT11" s="24" t="inlineStr">
        <is>
          <t>MYVRA GC</t>
        </is>
      </c>
      <c r="AU11" s="24" t="inlineStr">
        <is>
          <t>MYVRA GC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2bc5ea39dc27eb41c7f3cbd9b58da9bee3940cd90f1ffefbd7b6a82f96fdee45</t>
        </is>
      </c>
      <c r="BB11" s="24" t="inlineStr">
        <is>
          <t>neutral_elo</t>
        </is>
      </c>
      <c r="BC11" s="24" t="inlineStr">
        <is>
          <t>valorant-tiered-elo-v6</t>
        </is>
      </c>
      <c r="BD11" s="24" t="inlineStr">
        <is>
          <t>2bc5ea39dc27eb41c7f3cbd9b58da9bee3940cd90f1ffefbd7b6a82f96fdee45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valorant-tiered-elo-v6</t>
        </is>
      </c>
      <c r="BH11" s="24" t="inlineStr">
        <is>
          <t>2026-08-10T16:36:36.768051Z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/>
      <c r="BO11" s="28" t="n"/>
      <c r="BP11" s="25" t="n"/>
      <c r="BQ11" s="27" t="n">
        <v>1.561798</v>
      </c>
      <c r="BR11" s="28" t="n">
        <v>0.64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ad7e3212cc9a4377</t>
        </is>
      </c>
      <c r="B12" s="24" t="inlineStr">
        <is>
          <t>2026-08-10T16:36:45.039622Z</t>
        </is>
      </c>
      <c r="C12" s="24" t="inlineStr">
        <is>
          <t>2026-08-11T10:00:00Z</t>
        </is>
      </c>
      <c r="D12" s="24" t="inlineStr">
        <is>
          <t>77309</t>
        </is>
      </c>
      <c r="E12" s="24" t="inlineStr">
        <is>
          <t>VALORANT</t>
        </is>
      </c>
      <c r="F12" s="24" t="inlineStr">
        <is>
          <t>Dragon Ranger Gaming</t>
        </is>
      </c>
      <c r="G12" s="24" t="inlineStr">
        <is>
          <t>Trace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156</v>
      </c>
      <c r="M12" s="27" t="n">
        <v>2.56</v>
      </c>
      <c r="N12" s="28" t="n">
        <v>0.390625</v>
      </c>
      <c r="O12" s="28" t="n">
        <v>0.521278</v>
      </c>
      <c r="P12" s="28" t="n"/>
      <c r="Q12" s="28" t="n">
        <v>0.130653</v>
      </c>
      <c r="R12" s="26" t="n">
        <v>85</v>
      </c>
      <c r="S12" s="29" t="n">
        <v>1</v>
      </c>
      <c r="T12" s="24" t="inlineStr">
        <is>
          <t>valorant-tiered-elo-v6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1.56</v>
      </c>
      <c r="AD12" s="24" t="inlineStr">
        <is>
          <t>2026-08-11T16:30:37.306342Z</t>
        </is>
      </c>
      <c r="AE12" s="31" t="inlineStr">
        <is>
          <t>Neutral Elo baseline; executable ask 0.3900 (market_slug=aec-valorant-te-drg-2026-08-11).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Dragon Ranger Gaming</t>
        </is>
      </c>
      <c r="AQ12" s="24" t="inlineStr">
        <is>
          <t>Dragon Ranger Gaming</t>
        </is>
      </c>
      <c r="AR12" s="24" t="inlineStr">
        <is>
          <t>Dragon Ranger Gaming</t>
        </is>
      </c>
      <c r="AS12" s="24" t="inlineStr">
        <is>
          <t>Trace Esports</t>
        </is>
      </c>
      <c r="AT12" s="24" t="inlineStr">
        <is>
          <t>Trace Esports</t>
        </is>
      </c>
      <c r="AU12" s="24" t="inlineStr">
        <is>
          <t>Trace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2bc5ea39dc27eb41c7f3cbd9b58da9bee3940cd90f1ffefbd7b6a82f96fdee45</t>
        </is>
      </c>
      <c r="BB12" s="24" t="inlineStr">
        <is>
          <t>neutral_elo</t>
        </is>
      </c>
      <c r="BC12" s="24" t="inlineStr">
        <is>
          <t>valorant-tiered-elo-v6</t>
        </is>
      </c>
      <c r="BD12" s="24" t="inlineStr">
        <is>
          <t>2bc5ea39dc27eb41c7f3cbd9b58da9bee3940cd90f1ffefbd7b6a82f96fdee45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valorant-tiered-elo-v6</t>
        </is>
      </c>
      <c r="BH12" s="24" t="inlineStr">
        <is>
          <t>2026-08-10T16:36:39.099981Z</t>
        </is>
      </c>
      <c r="BI12" s="24" t="inlineStr">
        <is>
          <t>["same_event","same_team_same_day","same_league_same_day"]</t>
        </is>
      </c>
      <c r="BJ12" s="25" t="n"/>
      <c r="BK12" s="26" t="n">
        <v>156</v>
      </c>
      <c r="BL12" s="27" t="n">
        <v>2.56</v>
      </c>
      <c r="BM12" s="28" t="n">
        <v>0.390625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cf3f1e94a7fd4909</t>
        </is>
      </c>
      <c r="B13" s="24" t="inlineStr">
        <is>
          <t>2026-08-12T14:37:16.864247Z</t>
        </is>
      </c>
      <c r="C13" s="24" t="inlineStr">
        <is>
          <t>2026-08-12T15:00:00Z</t>
        </is>
      </c>
      <c r="D13" s="24" t="inlineStr">
        <is>
          <t>76905</t>
        </is>
      </c>
      <c r="E13" s="24" t="inlineStr">
        <is>
          <t>VALORANT</t>
        </is>
      </c>
      <c r="F13" s="24" t="inlineStr">
        <is>
          <t>Gentle Mates</t>
        </is>
      </c>
      <c r="G13" s="24" t="inlineStr">
        <is>
          <t>Eintracht Frankfurt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223</v>
      </c>
      <c r="M13" s="27" t="n">
        <v>3.23</v>
      </c>
      <c r="N13" s="28" t="n">
        <v>0.309598</v>
      </c>
      <c r="O13" s="28" t="n">
        <v>0.601267</v>
      </c>
      <c r="P13" s="28" t="n"/>
      <c r="Q13" s="28" t="n">
        <v>0.291669</v>
      </c>
      <c r="R13" s="26" t="n">
        <v>100</v>
      </c>
      <c r="S13" s="29" t="n">
        <v>1.25</v>
      </c>
      <c r="T13" s="24" t="inlineStr">
        <is>
          <t>valorant-tiered-elo-v6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223</v>
      </c>
      <c r="AA13" s="28" t="n">
        <v>0.31</v>
      </c>
      <c r="AB13" s="28" t="n">
        <v>0.000402</v>
      </c>
      <c r="AC13" s="30" t="n">
        <v>2.7875</v>
      </c>
      <c r="AD13" s="24" t="inlineStr">
        <is>
          <t>2026-08-12T17:41:06.337138Z</t>
        </is>
      </c>
      <c r="AE13" s="31" t="inlineStr">
        <is>
          <t>Neutral Elo baseline; executable ask 0.3100 (market_slug=aec-valorant-sge-gm-2026-08-12).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Gentle Mates</t>
        </is>
      </c>
      <c r="AQ13" s="24" t="inlineStr">
        <is>
          <t>Gentle Mates</t>
        </is>
      </c>
      <c r="AR13" s="24" t="inlineStr">
        <is>
          <t>Gentle Mates</t>
        </is>
      </c>
      <c r="AS13" s="24" t="inlineStr">
        <is>
          <t>Eintracht Frankfurt</t>
        </is>
      </c>
      <c r="AT13" s="24" t="inlineStr">
        <is>
          <t>Eintracht Frankfurt</t>
        </is>
      </c>
      <c r="AU13" s="24" t="inlineStr">
        <is>
          <t>Eintracht Frankfurt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544d1cd34df6c8d22913af55b6e1b019f8a76a060474a2450daa185b339b6d8d</t>
        </is>
      </c>
      <c r="BB13" s="24" t="inlineStr">
        <is>
          <t>neutral_elo</t>
        </is>
      </c>
      <c r="BC13" s="24" t="inlineStr">
        <is>
          <t>valorant-tiered-elo-v6</t>
        </is>
      </c>
      <c r="BD13" s="24" t="inlineStr">
        <is>
          <t>544d1cd34df6c8d22913af55b6e1b019f8a76a060474a2450daa185b339b6d8d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valorant-tiered-elo-v6</t>
        </is>
      </c>
      <c r="BH13" s="24" t="inlineStr">
        <is>
          <t>2026-08-12T14:37:09.887094Z</t>
        </is>
      </c>
      <c r="BI13" s="24" t="inlineStr">
        <is>
          <t>["same_event","same_team_same_day","same_league_same_day"]</t>
        </is>
      </c>
      <c r="BJ13" s="25" t="n"/>
      <c r="BK13" s="26" t="n">
        <v>223</v>
      </c>
      <c r="BL13" s="27" t="n">
        <v>3.23</v>
      </c>
      <c r="BM13" s="28" t="n">
        <v>0.309598</v>
      </c>
      <c r="BN13" s="28" t="n"/>
      <c r="BO13" s="28" t="n"/>
      <c r="BP13" s="25" t="n"/>
      <c r="BQ13" s="27" t="n">
        <v>3.23</v>
      </c>
      <c r="BR13" s="28" t="n">
        <v>0.31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57e3e8d6743c492f</t>
        </is>
      </c>
      <c r="B14" s="24" t="inlineStr">
        <is>
          <t>2026-08-12T17:44:36.247336Z</t>
        </is>
      </c>
      <c r="C14" s="24" t="inlineStr">
        <is>
          <t>2026-08-12T18:00:00Z</t>
        </is>
      </c>
      <c r="D14" s="24" t="inlineStr">
        <is>
          <t>76535</t>
        </is>
      </c>
      <c r="E14" s="24" t="inlineStr">
        <is>
          <t>VALORANT</t>
        </is>
      </c>
      <c r="F14" s="24" t="inlineStr">
        <is>
          <t>Natus Vincere</t>
        </is>
      </c>
      <c r="G14" s="24" t="inlineStr">
        <is>
          <t>Team Heretics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-138</v>
      </c>
      <c r="M14" s="27" t="n">
        <v>1.724638</v>
      </c>
      <c r="N14" s="28" t="n">
        <v>0.579832</v>
      </c>
      <c r="O14" s="28" t="n">
        <v>0.642814</v>
      </c>
      <c r="P14" s="28" t="n"/>
      <c r="Q14" s="28" t="n">
        <v>0.062982</v>
      </c>
      <c r="R14" s="26" t="n">
        <v>51</v>
      </c>
      <c r="S14" s="29" t="n">
        <v>1.5</v>
      </c>
      <c r="T14" s="24" t="inlineStr">
        <is>
          <t>valorant-tiered-elo-v6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-138</v>
      </c>
      <c r="AA14" s="28" t="n">
        <v>0.58</v>
      </c>
      <c r="AB14" s="28" t="n">
        <v>0.000168</v>
      </c>
      <c r="AC14" s="30" t="n">
        <v>1.087</v>
      </c>
      <c r="AD14" s="24" t="inlineStr">
        <is>
          <t>2026-08-12T21:16:01.922323Z</t>
        </is>
      </c>
      <c r="AE14" s="31" t="inlineStr">
        <is>
          <t>Neutral Elo baseline; executable ask 0.5800 (market_slug=aec-valorant-th-navi-2026-08-12).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Natus Vincere</t>
        </is>
      </c>
      <c r="AQ14" s="24" t="inlineStr">
        <is>
          <t>Natus Vincere</t>
        </is>
      </c>
      <c r="AR14" s="24" t="inlineStr">
        <is>
          <t>Natus Vincere</t>
        </is>
      </c>
      <c r="AS14" s="24" t="inlineStr">
        <is>
          <t>Team Heretics</t>
        </is>
      </c>
      <c r="AT14" s="24" t="inlineStr">
        <is>
          <t>Team Heretics</t>
        </is>
      </c>
      <c r="AU14" s="24" t="inlineStr">
        <is>
          <t>Team Heretics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3e30c9a8fb6f01c0c89924e36259c4ce725d15ed0ed8c2c80c389169eabcc95f</t>
        </is>
      </c>
      <c r="BB14" s="24" t="inlineStr">
        <is>
          <t>neutral_elo</t>
        </is>
      </c>
      <c r="BC14" s="24" t="inlineStr">
        <is>
          <t>valorant-tiered-elo-v6</t>
        </is>
      </c>
      <c r="BD14" s="24" t="inlineStr">
        <is>
          <t>3e30c9a8fb6f01c0c89924e36259c4ce725d15ed0ed8c2c80c389169eabcc95f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valorant-tiered-elo-v6</t>
        </is>
      </c>
      <c r="BH14" s="24" t="inlineStr">
        <is>
          <t>2026-08-12T17:44:26.441713Z</t>
        </is>
      </c>
      <c r="BI14" s="24" t="inlineStr">
        <is>
          <t>["same_event","same_team_same_day","same_league_same_day"]</t>
        </is>
      </c>
      <c r="BJ14" s="25" t="n"/>
      <c r="BK14" s="26" t="n">
        <v>-138</v>
      </c>
      <c r="BL14" s="27" t="n">
        <v>1.724638</v>
      </c>
      <c r="BM14" s="28" t="n">
        <v>0.579832</v>
      </c>
      <c r="BN14" s="28" t="n"/>
      <c r="BO14" s="28" t="n"/>
      <c r="BP14" s="25" t="n"/>
      <c r="BQ14" s="27" t="n">
        <v>1.724638</v>
      </c>
      <c r="BR14" s="28" t="n">
        <v>0.58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f12c407eb5fa422e</t>
        </is>
      </c>
      <c r="B15" s="24" t="inlineStr">
        <is>
          <t>2026-08-12T21:33:44.211826Z</t>
        </is>
      </c>
      <c r="C15" s="24" t="inlineStr">
        <is>
          <t>2026-08-12T23:30:00Z</t>
        </is>
      </c>
      <c r="D15" s="24" t="inlineStr">
        <is>
          <t>78205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MVSK Secret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203</v>
      </c>
      <c r="M15" s="27" t="n">
        <v>3.03</v>
      </c>
      <c r="N15" s="28" t="n">
        <v>0.330033</v>
      </c>
      <c r="O15" s="28" t="n">
        <v>0.519894</v>
      </c>
      <c r="P15" s="28" t="n"/>
      <c r="Q15" s="28" t="n">
        <v>0.189861</v>
      </c>
      <c r="R15" s="26" t="n">
        <v>100</v>
      </c>
      <c r="S15" s="29" t="n">
        <v>1</v>
      </c>
      <c r="T15" s="24" t="inlineStr">
        <is>
          <t>valorant-tiered-elo-v6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203</v>
      </c>
      <c r="AA15" s="28" t="n">
        <v>0.33</v>
      </c>
      <c r="AB15" s="28" t="n">
        <v>-3.3e-05</v>
      </c>
      <c r="AC15" s="30" t="n">
        <v>-1</v>
      </c>
      <c r="AD15" s="24" t="inlineStr">
        <is>
          <t>2026-08-13T05:35:04.870447Z</t>
        </is>
      </c>
      <c r="AE15" s="31" t="inlineStr">
        <is>
          <t>Neutral Elo baseline; executable ask 0.3300 (market_slug=aec-valorant-mvs-spi-2026-08-12).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MVSK Secret</t>
        </is>
      </c>
      <c r="AT15" s="24" t="inlineStr">
        <is>
          <t>MVSK Secret</t>
        </is>
      </c>
      <c r="AU15" s="24" t="inlineStr">
        <is>
          <t>MVSK Secret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b58416f26420ee9d55d05ce1518c442566f4b73f4e41b9531abbe4559267bbea</t>
        </is>
      </c>
      <c r="BB15" s="24" t="inlineStr">
        <is>
          <t>neutral_elo</t>
        </is>
      </c>
      <c r="BC15" s="24" t="inlineStr">
        <is>
          <t>valorant-tiered-elo-v6</t>
        </is>
      </c>
      <c r="BD15" s="24" t="inlineStr">
        <is>
          <t>b58416f26420ee9d55d05ce1518c442566f4b73f4e41b9531abbe4559267bbea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valorant-tiered-elo-v6</t>
        </is>
      </c>
      <c r="BH15" s="24" t="inlineStr">
        <is>
          <t>2026-08-12T21:33:38.241347Z</t>
        </is>
      </c>
      <c r="BI15" s="24" t="inlineStr">
        <is>
          <t>["same_event","same_team_same_day","same_league_same_day"]</t>
        </is>
      </c>
      <c r="BJ15" s="25" t="n"/>
      <c r="BK15" s="26" t="n">
        <v>203</v>
      </c>
      <c r="BL15" s="27" t="n">
        <v>3.03</v>
      </c>
      <c r="BM15" s="28" t="n">
        <v>0.330033</v>
      </c>
      <c r="BN15" s="28" t="n"/>
      <c r="BO15" s="28" t="n"/>
      <c r="BP15" s="25" t="n"/>
      <c r="BQ15" s="27" t="n">
        <v>3.03</v>
      </c>
      <c r="BR15" s="28" t="n">
        <v>0.33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ac40560f7d5149c4</t>
        </is>
      </c>
      <c r="B16" s="24" t="inlineStr">
        <is>
          <t>2026-08-12T21:33:44.211826Z</t>
        </is>
      </c>
      <c r="C16" s="24" t="inlineStr">
        <is>
          <t>2026-08-14T00:00:00Z</t>
        </is>
      </c>
      <c r="D16" s="24" t="inlineStr">
        <is>
          <t>78063</t>
        </is>
      </c>
      <c r="E16" s="24" t="inlineStr">
        <is>
          <t>VALORANT</t>
        </is>
      </c>
      <c r="F16" s="24" t="inlineStr">
        <is>
          <t>M80</t>
        </is>
      </c>
      <c r="G16" s="24" t="inlineStr">
        <is>
          <t>Team Envy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0.7639010000000001</v>
      </c>
      <c r="P16" s="28" t="n"/>
      <c r="Q16" s="28" t="n">
        <v>0.173737</v>
      </c>
      <c r="R16" s="26" t="n">
        <v>100</v>
      </c>
      <c r="S16" s="29" t="n">
        <v>2</v>
      </c>
      <c r="T16" s="24" t="inlineStr">
        <is>
          <t>valorant-tiered-elo-v6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0.5900 (market_slug=aec-valorant-nv-m80-2026-08-14).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M80</t>
        </is>
      </c>
      <c r="AQ16" s="24" t="inlineStr">
        <is>
          <t>M80</t>
        </is>
      </c>
      <c r="AR16" s="24" t="inlineStr">
        <is>
          <t>M80</t>
        </is>
      </c>
      <c r="AS16" s="24" t="inlineStr">
        <is>
          <t>Team Envy</t>
        </is>
      </c>
      <c r="AT16" s="24" t="inlineStr">
        <is>
          <t>Team Envy</t>
        </is>
      </c>
      <c r="AU16" s="24" t="inlineStr">
        <is>
          <t>Team Envy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b58416f26420ee9d55d05ce1518c442566f4b73f4e41b9531abbe4559267bbea</t>
        </is>
      </c>
      <c r="BB16" s="24" t="inlineStr">
        <is>
          <t>neutral_elo</t>
        </is>
      </c>
      <c r="BC16" s="24" t="inlineStr">
        <is>
          <t>valorant-tiered-elo-v6</t>
        </is>
      </c>
      <c r="BD16" s="24" t="inlineStr">
        <is>
          <t>b58416f26420ee9d55d05ce1518c442566f4b73f4e41b9531abbe4559267bbea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valorant-tiered-elo-v6</t>
        </is>
      </c>
      <c r="BH16" s="24" t="inlineStr">
        <is>
          <t>2026-08-12T21:33:44.207376Z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04690384ff704ac0</t>
        </is>
      </c>
      <c r="B17" s="24" t="inlineStr">
        <is>
          <t>2026-08-13T07:33:38.167763Z</t>
        </is>
      </c>
      <c r="C17" s="24" t="inlineStr">
        <is>
          <t>2026-08-13T08:00:00Z</t>
        </is>
      </c>
      <c r="D17" s="24" t="inlineStr">
        <is>
          <t>77171</t>
        </is>
      </c>
      <c r="E17" s="24" t="inlineStr">
        <is>
          <t>VALORANT</t>
        </is>
      </c>
      <c r="F17" s="24" t="inlineStr">
        <is>
          <t>ONSIDE GAMING</t>
        </is>
      </c>
      <c r="G17" s="24" t="inlineStr">
        <is>
          <t>Kiwoom DRX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122</v>
      </c>
      <c r="M17" s="27" t="n">
        <v>2.22</v>
      </c>
      <c r="N17" s="28" t="n">
        <v>0.45045</v>
      </c>
      <c r="O17" s="28" t="n">
        <v>0.577877</v>
      </c>
      <c r="P17" s="28" t="n"/>
      <c r="Q17" s="28" t="n">
        <v>0.127427</v>
      </c>
      <c r="R17" s="26" t="n">
        <v>84</v>
      </c>
      <c r="S17" s="29" t="n">
        <v>1.25</v>
      </c>
      <c r="T17" s="24" t="inlineStr">
        <is>
          <t>valorant-tiered-elo-v6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122</v>
      </c>
      <c r="AA17" s="28" t="n">
        <v>0.45</v>
      </c>
      <c r="AB17" s="28" t="n">
        <v>-0.00045</v>
      </c>
      <c r="AC17" s="30" t="n">
        <v>-1.25</v>
      </c>
      <c r="AD17" s="24" t="inlineStr">
        <is>
          <t>2026-08-13T10:07:19.927616Z</t>
        </is>
      </c>
      <c r="AE17" s="31" t="inlineStr">
        <is>
          <t>Neutral Elo baseline; executable ask 0.4500 (market_slug=aec-valorant-krx-osg-2026-08-13).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ONSIDE GAMING</t>
        </is>
      </c>
      <c r="AQ17" s="24" t="inlineStr">
        <is>
          <t>ONSIDE GAMING</t>
        </is>
      </c>
      <c r="AR17" s="24" t="inlineStr">
        <is>
          <t>ONSIDE GAMING</t>
        </is>
      </c>
      <c r="AS17" s="24" t="inlineStr">
        <is>
          <t>Kiwoom DRX</t>
        </is>
      </c>
      <c r="AT17" s="24" t="inlineStr">
        <is>
          <t>Kiwoom DRX</t>
        </is>
      </c>
      <c r="AU17" s="24" t="inlineStr">
        <is>
          <t>Kiwoom DRX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9a4dfa85f36adcfca5ea0511c0f369e0181e4aa5804896696079fbe36b54d3d2</t>
        </is>
      </c>
      <c r="BB17" s="24" t="inlineStr">
        <is>
          <t>neutral_elo</t>
        </is>
      </c>
      <c r="BC17" s="24" t="inlineStr">
        <is>
          <t>valorant-tiered-elo-v6</t>
        </is>
      </c>
      <c r="BD17" s="24" t="inlineStr">
        <is>
          <t>9a4dfa85f36adcfca5ea0511c0f369e0181e4aa5804896696079fbe36b54d3d2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valorant-tiered-elo-v6</t>
        </is>
      </c>
      <c r="BH17" s="24" t="inlineStr">
        <is>
          <t>2026-08-13T07:33:28.262454Z</t>
        </is>
      </c>
      <c r="BI17" s="24" t="inlineStr">
        <is>
          <t>["same_event","same_team_same_day","same_league_same_day"]</t>
        </is>
      </c>
      <c r="BJ17" s="25" t="n"/>
      <c r="BK17" s="26" t="n">
        <v>122</v>
      </c>
      <c r="BL17" s="27" t="n">
        <v>2.22</v>
      </c>
      <c r="BM17" s="28" t="n">
        <v>0.45045</v>
      </c>
      <c r="BN17" s="28" t="n"/>
      <c r="BO17" s="28" t="n"/>
      <c r="BP17" s="25" t="n"/>
      <c r="BQ17" s="27" t="n">
        <v>2.22</v>
      </c>
      <c r="BR17" s="28" t="n">
        <v>0.45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1482f36956e24813</t>
        </is>
      </c>
      <c r="B18" s="24" t="inlineStr">
        <is>
          <t>2026-08-13T10:40:22.988810Z</t>
        </is>
      </c>
      <c r="C18" s="24" t="inlineStr">
        <is>
          <t>2026-08-13T11:00:00Z</t>
        </is>
      </c>
      <c r="D18" s="24" t="inlineStr">
        <is>
          <t>77227</t>
        </is>
      </c>
      <c r="E18" s="24" t="inlineStr">
        <is>
          <t>VALORANT</t>
        </is>
      </c>
      <c r="F18" s="24" t="inlineStr">
        <is>
          <t>Sharper Esport</t>
        </is>
      </c>
      <c r="G18" s="24" t="inlineStr">
        <is>
          <t>Rex Regum Qeon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178</v>
      </c>
      <c r="M18" s="27" t="n">
        <v>2.78</v>
      </c>
      <c r="N18" s="28" t="n">
        <v>0.359712</v>
      </c>
      <c r="O18" s="28" t="n">
        <v>0.5357769999999999</v>
      </c>
      <c r="P18" s="28" t="n"/>
      <c r="Q18" s="28" t="n">
        <v>0.176065</v>
      </c>
      <c r="R18" s="26" t="n">
        <v>100</v>
      </c>
      <c r="S18" s="29" t="n">
        <v>1</v>
      </c>
      <c r="T18" s="24" t="inlineStr">
        <is>
          <t>valorant-tiered-elo-v6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0</v>
      </c>
      <c r="Y18" s="25" t="n"/>
      <c r="Z18" s="26" t="n">
        <v>113</v>
      </c>
      <c r="AA18" s="28" t="n">
        <v>0.47</v>
      </c>
      <c r="AB18" s="28" t="n">
        <v>0.110288</v>
      </c>
      <c r="AC18" s="30" t="n">
        <v>1.78</v>
      </c>
      <c r="AD18" s="24" t="inlineStr">
        <is>
          <t>2026-08-13T13:43:46.349925Z</t>
        </is>
      </c>
      <c r="AE18" s="31" t="inlineStr">
        <is>
          <t>Neutral Elo baseline; executable ask 0.3600 (market_slug=aec-valorant-rrq-spe-2026-08-13).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Sharper Esport</t>
        </is>
      </c>
      <c r="AQ18" s="24" t="inlineStr">
        <is>
          <t>Sharper Esport</t>
        </is>
      </c>
      <c r="AR18" s="24" t="inlineStr">
        <is>
          <t>Sharper Esport</t>
        </is>
      </c>
      <c r="AS18" s="24" t="inlineStr">
        <is>
          <t>Rex Regum Qeon</t>
        </is>
      </c>
      <c r="AT18" s="24" t="inlineStr">
        <is>
          <t>Rex Regum Qeon</t>
        </is>
      </c>
      <c r="AU18" s="24" t="inlineStr">
        <is>
          <t>Rex Regum Qeon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34c63be26d0e2cc14119f679adaf024aa89287fce612ad18898d49f1dee15418</t>
        </is>
      </c>
      <c r="BB18" s="24" t="inlineStr">
        <is>
          <t>neutral_elo</t>
        </is>
      </c>
      <c r="BC18" s="24" t="inlineStr">
        <is>
          <t>valorant-tiered-elo-v6</t>
        </is>
      </c>
      <c r="BD18" s="24" t="inlineStr">
        <is>
          <t>34c63be26d0e2cc14119f679adaf024aa89287fce612ad18898d49f1dee15418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valorant-tiered-elo-v6</t>
        </is>
      </c>
      <c r="BH18" s="24" t="inlineStr">
        <is>
          <t>2026-08-13T10:40:13.696977Z</t>
        </is>
      </c>
      <c r="BI18" s="24" t="inlineStr">
        <is>
          <t>["same_event","same_team_same_day","same_league_same_day"]</t>
        </is>
      </c>
      <c r="BJ18" s="25" t="n"/>
      <c r="BK18" s="26" t="n">
        <v>178</v>
      </c>
      <c r="BL18" s="27" t="n">
        <v>2.78</v>
      </c>
      <c r="BM18" s="28" t="n">
        <v>0.359712</v>
      </c>
      <c r="BN18" s="28" t="n"/>
      <c r="BO18" s="28" t="n"/>
      <c r="BP18" s="25" t="n"/>
      <c r="BQ18" s="27" t="n">
        <v>2.13</v>
      </c>
      <c r="BR18" s="28" t="n">
        <v>0.47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4f966ce4648f49ec</t>
        </is>
      </c>
      <c r="B19" s="24" t="inlineStr">
        <is>
          <t>2026-08-13T13:47:19.845301Z</t>
        </is>
      </c>
      <c r="C19" s="24" t="inlineStr">
        <is>
          <t>2026-08-13T15:00:00Z</t>
        </is>
      </c>
      <c r="D19" s="24" t="inlineStr">
        <is>
          <t>77363</t>
        </is>
      </c>
      <c r="E19" s="24" t="inlineStr">
        <is>
          <t>VALORANT</t>
        </is>
      </c>
      <c r="F19" s="24" t="inlineStr">
        <is>
          <t>Pcific Esports</t>
        </is>
      </c>
      <c r="G19" s="24" t="inlineStr">
        <is>
          <t>Joblife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-233</v>
      </c>
      <c r="M19" s="27" t="n">
        <v>1.429185</v>
      </c>
      <c r="N19" s="28" t="n">
        <v>0.6997</v>
      </c>
      <c r="O19" s="28" t="n">
        <v>0.83509</v>
      </c>
      <c r="P19" s="28" t="n"/>
      <c r="Q19" s="28" t="n">
        <v>0.13539</v>
      </c>
      <c r="R19" s="26" t="n">
        <v>88</v>
      </c>
      <c r="S19" s="29" t="n">
        <v>2</v>
      </c>
      <c r="T19" s="24" t="inlineStr">
        <is>
          <t>valorant-tiered-elo-v6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0.7000 (market_slug=aec-valorant-jl-pcfic-2026-08-13).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Pcific Esports</t>
        </is>
      </c>
      <c r="AQ19" s="24" t="inlineStr">
        <is>
          <t>Pcific Esports</t>
        </is>
      </c>
      <c r="AR19" s="24" t="inlineStr">
        <is>
          <t>Pcific Esports</t>
        </is>
      </c>
      <c r="AS19" s="24" t="inlineStr">
        <is>
          <t>Joblife</t>
        </is>
      </c>
      <c r="AT19" s="24" t="inlineStr">
        <is>
          <t>Joblife</t>
        </is>
      </c>
      <c r="AU19" s="24" t="inlineStr">
        <is>
          <t>Joblife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da0677ab8abe2b527063872e9a3414ee4e73a14497c101342ddcfce29bd189b4</t>
        </is>
      </c>
      <c r="BB19" s="24" t="inlineStr">
        <is>
          <t>neutral_elo</t>
        </is>
      </c>
      <c r="BC19" s="24" t="inlineStr">
        <is>
          <t>valorant-tiered-elo-v6</t>
        </is>
      </c>
      <c r="BD19" s="24" t="inlineStr">
        <is>
          <t>da0677ab8abe2b527063872e9a3414ee4e73a14497c101342ddcfce29bd189b4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valorant-tiered-elo-v6</t>
        </is>
      </c>
      <c r="BH19" s="24" t="inlineStr">
        <is>
          <t>2026-08-13T13:47:13.179473Z</t>
        </is>
      </c>
      <c r="BI19" s="24" t="inlineStr">
        <is>
          <t>["same_event","same_team_same_day","same_league_same_day"]</t>
        </is>
      </c>
      <c r="BJ19" s="25" t="n"/>
      <c r="BK19" s="26" t="n">
        <v>-233</v>
      </c>
      <c r="BL19" s="27" t="n">
        <v>1.429185</v>
      </c>
      <c r="BM19" s="28" t="n">
        <v>0.6997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0728924806414578</t>
        </is>
      </c>
      <c r="B20" s="24" t="inlineStr">
        <is>
          <t>2026-08-13T17:16:26.831639Z</t>
        </is>
      </c>
      <c r="C20" s="24" t="inlineStr">
        <is>
          <t>2026-08-13T18:00:00Z</t>
        </is>
      </c>
      <c r="D20" s="24" t="inlineStr">
        <is>
          <t>77546</t>
        </is>
      </c>
      <c r="E20" s="24" t="inlineStr">
        <is>
          <t>VALORANT</t>
        </is>
      </c>
      <c r="F20" s="24" t="inlineStr">
        <is>
          <t>Gentle Mates GC</t>
        </is>
      </c>
      <c r="G20" s="24" t="inlineStr">
        <is>
          <t>FOKUS Sakura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0.687518</v>
      </c>
      <c r="P20" s="28" t="n"/>
      <c r="Q20" s="28" t="n">
        <v>0.097354</v>
      </c>
      <c r="R20" s="26" t="n">
        <v>69</v>
      </c>
      <c r="S20" s="29" t="n">
        <v>2</v>
      </c>
      <c r="T20" s="24" t="inlineStr">
        <is>
          <t>valorant-tiered-elo-v6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0.5900 (market_slug=aec-valorant-fso-m8gc-2026-08-13).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Gentle Mates GC</t>
        </is>
      </c>
      <c r="AQ20" s="24" t="inlineStr">
        <is>
          <t>Gentle Mates GC</t>
        </is>
      </c>
      <c r="AR20" s="24" t="inlineStr">
        <is>
          <t>Gentle Mates GC</t>
        </is>
      </c>
      <c r="AS20" s="24" t="inlineStr">
        <is>
          <t>FOKUS Sakura</t>
        </is>
      </c>
      <c r="AT20" s="24" t="inlineStr">
        <is>
          <t>FOKUS Sakura</t>
        </is>
      </c>
      <c r="AU20" s="24" t="inlineStr">
        <is>
          <t>FOKUS Sakura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b7c1dabbbbc9554691b923884077a0c9e2fdb894454c83cbe181c9fcf1b2e71f</t>
        </is>
      </c>
      <c r="BB20" s="24" t="inlineStr">
        <is>
          <t>neutral_elo</t>
        </is>
      </c>
      <c r="BC20" s="24" t="inlineStr">
        <is>
          <t>valorant-tiered-elo-v6</t>
        </is>
      </c>
      <c r="BD20" s="24" t="inlineStr">
        <is>
          <t>b7c1dabbbbc9554691b923884077a0c9e2fdb894454c83cbe181c9fcf1b2e71f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valorant-tiered-elo-v6</t>
        </is>
      </c>
      <c r="BH20" s="24" t="inlineStr">
        <is>
          <t>2026-08-13T17:16:20.850586Z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5a4977b0f1a44ade</t>
        </is>
      </c>
      <c r="B21" s="24" t="inlineStr">
        <is>
          <t>2026-08-13T17:16:26.831639Z</t>
        </is>
      </c>
      <c r="C21" s="24" t="inlineStr">
        <is>
          <t>2026-08-13T21:00:00Z</t>
        </is>
      </c>
      <c r="D21" s="24" t="inlineStr">
        <is>
          <t>77923</t>
        </is>
      </c>
      <c r="E21" s="24" t="inlineStr">
        <is>
          <t>VALORANT</t>
        </is>
      </c>
      <c r="F21" s="24" t="inlineStr">
        <is>
          <t>BESTIA</t>
        </is>
      </c>
      <c r="G21" s="24" t="inlineStr">
        <is>
          <t>KRÜ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194</v>
      </c>
      <c r="M21" s="27" t="n">
        <v>2.94</v>
      </c>
      <c r="N21" s="28" t="n">
        <v>0.340136</v>
      </c>
      <c r="O21" s="28" t="n">
        <v>0.725256</v>
      </c>
      <c r="P21" s="28" t="n"/>
      <c r="Q21" s="28" t="n">
        <v>0.38512</v>
      </c>
      <c r="R21" s="26" t="n">
        <v>100</v>
      </c>
      <c r="S21" s="29" t="n">
        <v>2</v>
      </c>
      <c r="T21" s="24" t="inlineStr">
        <is>
          <t>valorant-tiered-elo-v6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0.3400 (market_slug=aec-valorant-kr-bst-2026-08-13).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BESTIA</t>
        </is>
      </c>
      <c r="AQ21" s="24" t="inlineStr">
        <is>
          <t>BESTIA</t>
        </is>
      </c>
      <c r="AR21" s="24" t="inlineStr">
        <is>
          <t>BESTIA</t>
        </is>
      </c>
      <c r="AS21" s="24" t="inlineStr">
        <is>
          <t>KRÜ Esports</t>
        </is>
      </c>
      <c r="AT21" s="24" t="inlineStr">
        <is>
          <t>KRÜ Esports</t>
        </is>
      </c>
      <c r="AU21" s="24" t="inlineStr">
        <is>
          <t>KRÜ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b7c1dabbbbc9554691b923884077a0c9e2fdb894454c83cbe181c9fcf1b2e71f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b7c1dabbbbc9554691b923884077a0c9e2fdb894454c83cbe181c9fcf1b2e71f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2026-08-13T17:16:21.352013Z</t>
        </is>
      </c>
      <c r="BI21" s="24" t="inlineStr">
        <is>
          <t>["same_event","same_team_same_day","same_league_same_day"]</t>
        </is>
      </c>
      <c r="BJ21" s="25" t="n"/>
      <c r="BK21" s="26" t="n">
        <v>194</v>
      </c>
      <c r="BL21" s="27" t="n">
        <v>2.94</v>
      </c>
      <c r="BM21" s="28" t="n">
        <v>0.340136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4e2ae7512bc840db</t>
        </is>
      </c>
      <c r="B22" s="24" t="inlineStr">
        <is>
          <t>2026-08-13T17:16:26.831639Z</t>
        </is>
      </c>
      <c r="C22" s="24" t="inlineStr">
        <is>
          <t>2026-08-14T08:00:00Z</t>
        </is>
      </c>
      <c r="D22" s="24" t="inlineStr">
        <is>
          <t>79716</t>
        </is>
      </c>
      <c r="E22" s="24" t="inlineStr">
        <is>
          <t>VALORANT</t>
        </is>
      </c>
      <c r="F22" s="24" t="inlineStr">
        <is>
          <t>JD Gaming</t>
        </is>
      </c>
      <c r="G22" s="24" t="inlineStr">
        <is>
          <t>Nova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0.796037</v>
      </c>
      <c r="P22" s="28" t="n"/>
      <c r="Q22" s="28" t="n">
        <v>0.136173</v>
      </c>
      <c r="R22" s="26" t="n">
        <v>88</v>
      </c>
      <c r="S22" s="29" t="n">
        <v>2</v>
      </c>
      <c r="T22" s="24" t="inlineStr">
        <is>
          <t>valorant-tiered-elo-v6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0.6600 (market_slug=aec-valorant-nova-jdg-2026-08-14).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JD Gaming</t>
        </is>
      </c>
      <c r="AQ22" s="24" t="inlineStr">
        <is>
          <t>JD Gaming</t>
        </is>
      </c>
      <c r="AR22" s="24" t="inlineStr">
        <is>
          <t>JD Gaming</t>
        </is>
      </c>
      <c r="AS22" s="24" t="inlineStr">
        <is>
          <t>Nova Esports</t>
        </is>
      </c>
      <c r="AT22" s="24" t="inlineStr">
        <is>
          <t>Nova Esports</t>
        </is>
      </c>
      <c r="AU22" s="24" t="inlineStr">
        <is>
          <t>Nova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b7c1dabbbbc9554691b923884077a0c9e2fdb894454c83cbe181c9fcf1b2e71f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b7c1dabbbbc9554691b923884077a0c9e2fdb894454c83cbe181c9fcf1b2e71f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2026-08-13T17:16:22.475350Z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c7fbd9d15a1b48df</t>
        </is>
      </c>
      <c r="B23" s="24" t="inlineStr">
        <is>
          <t>2026-08-13T17:16:26.831639Z</t>
        </is>
      </c>
      <c r="C23" s="24" t="inlineStr">
        <is>
          <t>2026-08-14T11:00:00Z</t>
        </is>
      </c>
      <c r="D23" s="24" t="inlineStr">
        <is>
          <t>78288</t>
        </is>
      </c>
      <c r="E23" s="24" t="inlineStr">
        <is>
          <t>VALORANT</t>
        </is>
      </c>
      <c r="F23" s="24" t="inlineStr">
        <is>
          <t>Xipto Esports</t>
        </is>
      </c>
      <c r="G23" s="24" t="inlineStr">
        <is>
          <t>Team Secret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0.480769</v>
      </c>
      <c r="O23" s="28" t="n">
        <v>0.53228</v>
      </c>
      <c r="P23" s="28" t="n"/>
      <c r="Q23" s="28" t="n">
        <v>0.051511</v>
      </c>
      <c r="R23" s="26" t="n">
        <v>46</v>
      </c>
      <c r="S23" s="29" t="n">
        <v>1</v>
      </c>
      <c r="T23" s="24" t="inlineStr">
        <is>
          <t>valorant-tiered-elo-v6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0.4800 (market_slug=aec-valorant-ts-xe-2026-08-14).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Xipto Esports</t>
        </is>
      </c>
      <c r="AQ23" s="24" t="inlineStr">
        <is>
          <t>Xipto Esports</t>
        </is>
      </c>
      <c r="AR23" s="24" t="inlineStr">
        <is>
          <t>Xipto Esports</t>
        </is>
      </c>
      <c r="AS23" s="24" t="inlineStr">
        <is>
          <t>Team Secret</t>
        </is>
      </c>
      <c r="AT23" s="24" t="inlineStr">
        <is>
          <t>Team Secret</t>
        </is>
      </c>
      <c r="AU23" s="24" t="inlineStr">
        <is>
          <t>Team Secret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b7c1dabbbbc9554691b923884077a0c9e2fdb894454c83cbe181c9fcf1b2e71f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b7c1dabbbbc9554691b923884077a0c9e2fdb894454c83cbe181c9fcf1b2e71f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2026-08-13T17:16:24.113436Z</t>
        </is>
      </c>
      <c r="BI23" s="24" t="inlineStr">
        <is>
          <t>["same_event","same_team_same_day","same_league_same_day"]</t>
        </is>
      </c>
      <c r="BJ23" s="25" t="n"/>
      <c r="BK23" s="26" t="n">
        <v>108</v>
      </c>
      <c r="BL23" s="27" t="n">
        <v>2.08</v>
      </c>
      <c r="BM23" s="28" t="n">
        <v>0.480769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98147a0ef22f45c3</t>
        </is>
      </c>
      <c r="B24" s="24" t="inlineStr">
        <is>
          <t>2026-08-13T17:16:26.831639Z</t>
        </is>
      </c>
      <c r="C24" s="24" t="inlineStr">
        <is>
          <t>2026-08-14T15:00:00Z</t>
        </is>
      </c>
      <c r="D24" s="24" t="inlineStr">
        <is>
          <t>80237</t>
        </is>
      </c>
      <c r="E24" s="24" t="inlineStr">
        <is>
          <t>VALORANT</t>
        </is>
      </c>
      <c r="F24" s="24" t="inlineStr">
        <is>
          <t>Team Heretics</t>
        </is>
      </c>
      <c r="G24" s="24" t="inlineStr">
        <is>
          <t>Eintracht Frankfurt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194</v>
      </c>
      <c r="M24" s="27" t="n">
        <v>2.94</v>
      </c>
      <c r="N24" s="28" t="n">
        <v>0.340136</v>
      </c>
      <c r="O24" s="28" t="n">
        <v>0.57906</v>
      </c>
      <c r="P24" s="28" t="n"/>
      <c r="Q24" s="28" t="n">
        <v>0.238924</v>
      </c>
      <c r="R24" s="26" t="n">
        <v>100</v>
      </c>
      <c r="S24" s="29" t="n">
        <v>1.25</v>
      </c>
      <c r="T24" s="24" t="inlineStr">
        <is>
          <t>valorant-tiered-elo-v6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0.3400 (market_slug=aec-valorant-sge-th-2026-08-14).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Team Heretics</t>
        </is>
      </c>
      <c r="AQ24" s="24" t="inlineStr">
        <is>
          <t>Team Heretics</t>
        </is>
      </c>
      <c r="AR24" s="24" t="inlineStr">
        <is>
          <t>Team Heretics</t>
        </is>
      </c>
      <c r="AS24" s="24" t="inlineStr">
        <is>
          <t>Eintracht Frankfurt</t>
        </is>
      </c>
      <c r="AT24" s="24" t="inlineStr">
        <is>
          <t>Eintracht Frankfurt</t>
        </is>
      </c>
      <c r="AU24" s="24" t="inlineStr">
        <is>
          <t>Eintracht Frankfurt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b7c1dabbbbc9554691b923884077a0c9e2fdb894454c83cbe181c9fcf1b2e71f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b7c1dabbbbc9554691b923884077a0c9e2fdb894454c83cbe181c9fcf1b2e71f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2026-08-13T17:16:25.175831Z</t>
        </is>
      </c>
      <c r="BI24" s="24" t="inlineStr">
        <is>
          <t>["same_event","same_team_same_day","same_league_same_day"]</t>
        </is>
      </c>
      <c r="BJ24" s="25" t="n"/>
      <c r="BK24" s="26" t="n">
        <v>194</v>
      </c>
      <c r="BL24" s="27" t="n">
        <v>2.94</v>
      </c>
      <c r="BM24" s="28" t="n">
        <v>0.340136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12c6ec5c808845af</t>
        </is>
      </c>
      <c r="B25" s="24" t="inlineStr">
        <is>
          <t>2026-08-13T17:16:26.831639Z</t>
        </is>
      </c>
      <c r="C25" s="24" t="inlineStr">
        <is>
          <t>2026-08-14T18:00:00Z</t>
        </is>
      </c>
      <c r="D25" s="24" t="inlineStr">
        <is>
          <t>78828</t>
        </is>
      </c>
      <c r="E25" s="24" t="inlineStr">
        <is>
          <t>VALORANT</t>
        </is>
      </c>
      <c r="F25" s="24" t="inlineStr">
        <is>
          <t>SK Nebula</t>
        </is>
      </c>
      <c r="G25" s="24" t="inlineStr">
        <is>
          <t>Twisted Minds Orchid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113</v>
      </c>
      <c r="M25" s="27" t="n">
        <v>2.13</v>
      </c>
      <c r="N25" s="28" t="n">
        <v>0.469484</v>
      </c>
      <c r="O25" s="28" t="n">
        <v>0.541928</v>
      </c>
      <c r="P25" s="28" t="n"/>
      <c r="Q25" s="28" t="n">
        <v>0.07244399999999999</v>
      </c>
      <c r="R25" s="26" t="n">
        <v>56</v>
      </c>
      <c r="S25" s="29" t="n">
        <v>1</v>
      </c>
      <c r="T25" s="24" t="inlineStr">
        <is>
          <t>valorant-tiered-elo-v6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0.4700 (market_slug=aec-valorant-tmo-skn-2026-08-14).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SK Nebula</t>
        </is>
      </c>
      <c r="AQ25" s="24" t="inlineStr">
        <is>
          <t>SK Nebula</t>
        </is>
      </c>
      <c r="AR25" s="24" t="inlineStr">
        <is>
          <t>SK Nebula</t>
        </is>
      </c>
      <c r="AS25" s="24" t="inlineStr">
        <is>
          <t>Twisted Minds Orchid</t>
        </is>
      </c>
      <c r="AT25" s="24" t="inlineStr">
        <is>
          <t>Twisted Minds Orchid</t>
        </is>
      </c>
      <c r="AU25" s="24" t="inlineStr">
        <is>
          <t>Twisted Minds Orchid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b7c1dabbbbc9554691b923884077a0c9e2fdb894454c83cbe181c9fcf1b2e71f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b7c1dabbbbc9554691b923884077a0c9e2fdb894454c83cbe181c9fcf1b2e71f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2026-08-13T17:16:25.757754Z</t>
        </is>
      </c>
      <c r="BI25" s="24" t="inlineStr">
        <is>
          <t>["same_event","same_team_same_day","same_league_same_day"]</t>
        </is>
      </c>
      <c r="BJ25" s="25" t="n"/>
      <c r="BK25" s="26" t="n">
        <v>113</v>
      </c>
      <c r="BL25" s="27" t="n">
        <v>2.13</v>
      </c>
      <c r="BM25" s="28" t="n">
        <v>0.469484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b46dadb2889942e7</t>
        </is>
      </c>
      <c r="B26" s="24" t="inlineStr">
        <is>
          <t>2026-08-13T17:16:26.831639Z</t>
        </is>
      </c>
      <c r="C26" s="24" t="inlineStr">
        <is>
          <t>2026-08-14T21:00:00Z</t>
        </is>
      </c>
      <c r="D26" s="24" t="inlineStr">
        <is>
          <t>79349</t>
        </is>
      </c>
      <c r="E26" s="24" t="inlineStr">
        <is>
          <t>VALORANT</t>
        </is>
      </c>
      <c r="F26" s="24" t="inlineStr">
        <is>
          <t>2GAME Esports</t>
        </is>
      </c>
      <c r="G26" s="24" t="inlineStr">
        <is>
          <t>FURIA Esports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113</v>
      </c>
      <c r="M26" s="27" t="n">
        <v>2.13</v>
      </c>
      <c r="N26" s="28" t="n">
        <v>0.469484</v>
      </c>
      <c r="O26" s="28" t="n">
        <v>0.778643</v>
      </c>
      <c r="P26" s="28" t="n"/>
      <c r="Q26" s="28" t="n">
        <v>0.309159</v>
      </c>
      <c r="R26" s="26" t="n">
        <v>100</v>
      </c>
      <c r="S26" s="29" t="n">
        <v>2</v>
      </c>
      <c r="T26" s="24" t="inlineStr">
        <is>
          <t>valorant-tiered-elo-v6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0.4700 (market_slug=aec-valorant-fur-2game-2026-08-14).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2GAME Esports</t>
        </is>
      </c>
      <c r="AQ26" s="24" t="inlineStr">
        <is>
          <t>2GAME Esports</t>
        </is>
      </c>
      <c r="AR26" s="24" t="inlineStr">
        <is>
          <t>2GAME Esports</t>
        </is>
      </c>
      <c r="AS26" s="24" t="inlineStr">
        <is>
          <t>FURIA Esports</t>
        </is>
      </c>
      <c r="AT26" s="24" t="inlineStr">
        <is>
          <t>FURIA Esports</t>
        </is>
      </c>
      <c r="AU26" s="24" t="inlineStr">
        <is>
          <t>FURIA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b7c1dabbbbc9554691b923884077a0c9e2fdb894454c83cbe181c9fcf1b2e71f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b7c1dabbbbc9554691b923884077a0c9e2fdb894454c83cbe181c9fcf1b2e71f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2026-08-13T17:16:26.300408Z</t>
        </is>
      </c>
      <c r="BI26" s="24" t="inlineStr">
        <is>
          <t>["same_event","same_team_same_day","same_league_same_day"]</t>
        </is>
      </c>
      <c r="BJ26" s="25" t="n"/>
      <c r="BK26" s="26" t="n">
        <v>113</v>
      </c>
      <c r="BL26" s="27" t="n">
        <v>2.13</v>
      </c>
      <c r="BM26" s="28" t="n">
        <v>0.469484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2026-08-13T17:16:30Z</dcterms:created>
  <dcterms:modified xmlns:dcterms="http://purl.org/dc/terms/" xmlns:xsi="http://www.w3.org/2001/XMLSchema-instance" xsi:type="dcterms:W3CDTF">2026-08-13T17:16:30Z</dcterms:modified>
</cp:coreProperties>
</file>