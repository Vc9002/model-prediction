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6" headerRowCount="1">
  <autoFilter ref="A1:CQ6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COUNTA('Picks'!$A$2:$A$6)</f>
        <v/>
      </c>
      <c r="C4" s="6">
        <f>COUNTIF('Picks'!$U$2:$U$6,"open")</f>
        <v/>
      </c>
      <c r="E4" s="6">
        <f>COUNTIF('Picks'!$U$2:$U$6,"settled")</f>
        <v/>
      </c>
      <c r="G4" s="6">
        <f>IF(COUNTIFS('Picks'!$U$2:$U$6,"settled",'Picks'!$V$2:$V$6,"win")+COUNTIFS('Picks'!$U$2:$U$6,"settled",'Picks'!$V$2:$V$6,"loss")&gt;=$L$2,"Ready","Insufficient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COUNTIF('Picks'!$BX$2:$BX$6,"&gt;0")</f>
        <v/>
      </c>
      <c r="C7" s="6">
        <f>COUNTIFS('Picks'!$BX$2:$BX$6,"&gt;0",'Picks'!$V$2:$V$6,"win")&amp;"-"&amp;COUNTIFS('Picks'!$BX$2:$BX$6,"&gt;0",'Picks'!$V$2:$V$6,"loss")</f>
        <v/>
      </c>
      <c r="E7" s="7">
        <f>IFERROR(COUNTIFS('Picks'!$BX$2:$BX$6,"&gt;0",'Picks'!$V$2:$V$6,"win")/(COUNTIFS('Picks'!$BX$2:$BX$6,"&gt;0",'Picks'!$V$2:$V$6,"win")+COUNTIFS('Picks'!$BX$2:$BX$6,"&gt;0",'Picks'!$V$2:$V$6,"loss")),0)</f>
        <v/>
      </c>
      <c r="G7" s="7">
        <f>IFERROR(SUM('Picks'!$BY$2:$BY$6)/SUM('Picks'!$BX$2:$BX$6),0)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SUM('Picks'!$BY$2:$BY$6)</f>
        <v/>
      </c>
      <c r="C10" s="9">
        <f>IFERROR(AVERAGEIF('Picks'!$AB$2:$AB$6,"&lt;&gt;",'Picks'!$AB$2:$AB$6),0)</f>
        <v/>
      </c>
      <c r="E10" s="6">
        <f>COUNTIFS('Picks'!$AM$2:$AM$6,"QUALIFIED_SHADOW_CALL",'Picks'!$U$2:$U$6,"settled")</f>
        <v/>
      </c>
      <c r="G10" s="8">
        <f>SUMIFS('Picks'!$AC$2:$AC$6,'Picks'!$AM$2:$AM$6,"QUALIFIED_SHADOW_CALL")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COUNTIFS('Picks'!$H$2:$H$6,$A14,'Picks'!$U$2:$U$6,"settled")</f>
        <v/>
      </c>
      <c r="C14" s="13">
        <f>COUNTIFS('Picks'!$H$2:$H$6,$A14,'Picks'!$U$2:$U$6,"settled",'Picks'!$V$2:$V$6,"win")</f>
        <v/>
      </c>
      <c r="D14" s="13">
        <f>COUNTIFS('Picks'!$H$2:$H$6,$A14,'Picks'!$U$2:$U$6,"settled",'Picks'!$V$2:$V$6,"loss")</f>
        <v/>
      </c>
      <c r="E14" s="14">
        <f>IFERROR(C14/(C14+D14),0)</f>
        <v/>
      </c>
      <c r="F14" s="15">
        <f>SUMIFS('Picks'!$BY$2:$BY$6,'Picks'!$H$2:$H$6,$A14)</f>
        <v/>
      </c>
      <c r="G14" s="16">
        <f>IFERROR(AVERAGEIFS('Picks'!$AB$2:$AB$6,'Picks'!$H$2:$H$6,$A14,'Picks'!$U$2:$U$6,"settled"),0)</f>
        <v/>
      </c>
    </row>
    <row r="15">
      <c r="A15" s="17" t="inlineStr">
        <is>
          <t>spread</t>
        </is>
      </c>
      <c r="B15" s="18">
        <f>COUNTIFS('Picks'!$H$2:$H$6,$A15,'Picks'!$U$2:$U$6,"settled")</f>
        <v/>
      </c>
      <c r="C15" s="18">
        <f>COUNTIFS('Picks'!$H$2:$H$6,$A15,'Picks'!$U$2:$U$6,"settled",'Picks'!$V$2:$V$6,"win")</f>
        <v/>
      </c>
      <c r="D15" s="18">
        <f>COUNTIFS('Picks'!$H$2:$H$6,$A15,'Picks'!$U$2:$U$6,"settled",'Picks'!$V$2:$V$6,"loss")</f>
        <v/>
      </c>
      <c r="E15" s="19">
        <f>IFERROR(C15/(C15+D15),0)</f>
        <v/>
      </c>
      <c r="F15" s="20">
        <f>SUMIFS('Picks'!$BY$2:$BY$6,'Picks'!$H$2:$H$6,$A15)</f>
        <v/>
      </c>
      <c r="G15" s="21">
        <f>IFERROR(AVERAGEIFS('Picks'!$AB$2:$AB$6,'Picks'!$H$2:$H$6,$A15,'Picks'!$U$2:$U$6,"settled"),0)</f>
        <v/>
      </c>
    </row>
    <row r="16">
      <c r="A16" s="12" t="inlineStr">
        <is>
          <t>total</t>
        </is>
      </c>
      <c r="B16" s="13">
        <f>COUNTIFS('Picks'!$H$2:$H$6,$A16,'Picks'!$U$2:$U$6,"settled")</f>
        <v/>
      </c>
      <c r="C16" s="13">
        <f>COUNTIFS('Picks'!$H$2:$H$6,$A16,'Picks'!$U$2:$U$6,"settled",'Picks'!$V$2:$V$6,"win")</f>
        <v/>
      </c>
      <c r="D16" s="13">
        <f>COUNTIFS('Picks'!$H$2:$H$6,$A16,'Picks'!$U$2:$U$6,"settled",'Picks'!$V$2:$V$6,"loss")</f>
        <v/>
      </c>
      <c r="E16" s="14">
        <f>IFERROR(C16/(C16+D16),0)</f>
        <v/>
      </c>
      <c r="F16" s="15">
        <f>SUMIFS('Picks'!$BY$2:$BY$6,'Picks'!$H$2:$H$6,$A16)</f>
        <v/>
      </c>
      <c r="G16" s="16">
        <f>IFERROR(AVERAGEIFS('Picks'!$AB$2:$AB$6,'Picks'!$H$2:$H$6,$A16,'Picks'!$U$2:$U$6,"settled"),0)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-150</v>
      </c>
      <c r="AA5" s="28" t="n">
        <v>0.6</v>
      </c>
      <c r="AB5" s="28" t="n">
        <v>0</v>
      </c>
      <c r="AC5" s="30" t="n">
        <v>-1.75</v>
      </c>
      <c r="AD5" s="24" t="inlineStr">
        <is>
          <t>2026-08-02T11:45:35.969857Z</t>
        </is>
      </c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ad8fa896c5344f29</t>
        </is>
      </c>
      <c r="B6" s="24" t="inlineStr">
        <is>
          <t>2026-08-03T13:30:41.417037Z</t>
        </is>
      </c>
      <c r="C6" s="24" t="inlineStr">
        <is>
          <t>2026-08-03T15:00:00Z</t>
        </is>
      </c>
      <c r="D6" s="24" t="inlineStr">
        <is>
          <t>67569</t>
        </is>
      </c>
      <c r="E6" s="24" t="inlineStr">
        <is>
          <t>VALORANT</t>
        </is>
      </c>
      <c r="F6" s="24" t="inlineStr">
        <is>
          <t>FOKUS Sakura</t>
        </is>
      </c>
      <c r="G6" s="24" t="inlineStr">
        <is>
          <t>SK Nebula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0.765423</v>
      </c>
      <c r="P6" s="28" t="n"/>
      <c r="Q6" s="28" t="n">
        <v>0.145651</v>
      </c>
      <c r="R6" s="26" t="n">
        <v>93</v>
      </c>
      <c r="S6" s="29" t="n">
        <v>2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-163</v>
      </c>
      <c r="AA6" s="28" t="n">
        <v>0.62</v>
      </c>
      <c r="AB6" s="28" t="n">
        <v>0.000228</v>
      </c>
      <c r="AC6" s="30" t="n">
        <v>-2</v>
      </c>
      <c r="AD6" s="24" t="inlineStr">
        <is>
          <t>2026-08-03T17:06:06.463819Z</t>
        </is>
      </c>
      <c r="AE6" s="31" t="inlineStr">
        <is>
          <t>Neutral Elo baseline; executable ask 0.6200 (market_slug=aec-valorant-skn-fso-2026-08-03).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FOKUS Sakura</t>
        </is>
      </c>
      <c r="AQ6" s="24" t="inlineStr">
        <is>
          <t>FOKUS Sakura</t>
        </is>
      </c>
      <c r="AR6" s="24" t="inlineStr">
        <is>
          <t>FOKUS Sakura</t>
        </is>
      </c>
      <c r="AS6" s="24" t="inlineStr">
        <is>
          <t>SK Nebula</t>
        </is>
      </c>
      <c r="AT6" s="24" t="inlineStr">
        <is>
          <t>SK Nebula</t>
        </is>
      </c>
      <c r="AU6" s="24" t="inlineStr">
        <is>
          <t>SK Nebula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afe2fffd3c666e0d8f9040dcc6dedae587629fd14dee7043c87557d9d9d9e6e5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afe2fffd3c666e0d8f9040dcc6dedae587629fd14dee7043c87557d9d9d9e6e5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2026-08-03T13:30:33.637118Z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>
        <v>1.613497</v>
      </c>
      <c r="BR6" s="28" t="n">
        <v>0.62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2026-08-03T22:56:29Z</dcterms:created>
  <dcterms:modified xsi:type="dcterms:W3CDTF">2026-08-03T22:56:29Z</dcterms:modified>
</cp:coreProperties>
</file>