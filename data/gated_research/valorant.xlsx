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3" headerRowCount="1">
  <autoFilter ref="A1:CO13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COUNTA('Picks'!$A$2:$A$13)</f>
        <v/>
      </c>
      <c r="C4" s="6">
        <f>COUNTIF('Picks'!$U$2:$U$13,"open")</f>
        <v/>
      </c>
      <c r="E4" s="6">
        <f>COUNTIF('Picks'!$U$2:$U$13,"settled")</f>
        <v/>
      </c>
      <c r="G4" s="6">
        <f>IF(COUNTIFS('Picks'!$U$2:$U$13,"settled",'Picks'!$V$2:$V$13,"win")+COUNTIFS('Picks'!$U$2:$U$13,"settled",'Picks'!$V$2:$V$13,"loss")&gt;=$L$2,"Ready","Insufficient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COUNTIF('Picks'!$BX$2:$BX$13,"&gt;0")</f>
        <v/>
      </c>
      <c r="C7" s="6">
        <f>COUNTIFS('Picks'!$BX$2:$BX$13,"&gt;0",'Picks'!$V$2:$V$13,"win")&amp;"-"&amp;COUNTIFS('Picks'!$BX$2:$BX$13,"&gt;0",'Picks'!$V$2:$V$13,"loss")</f>
        <v/>
      </c>
      <c r="E7" s="7">
        <f>IFERROR(COUNTIFS('Picks'!$BX$2:$BX$13,"&gt;0",'Picks'!$V$2:$V$13,"win")/(COUNTIFS('Picks'!$BX$2:$BX$13,"&gt;0",'Picks'!$V$2:$V$13,"win")+COUNTIFS('Picks'!$BX$2:$BX$13,"&gt;0",'Picks'!$V$2:$V$13,"loss")),0)</f>
        <v/>
      </c>
      <c r="G7" s="7">
        <f>IFERROR(SUM('Picks'!$BY$2:$BY$13)/SUM('Picks'!$BX$2:$BX$13),0)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SUM('Picks'!$BY$2:$BY$13)</f>
        <v/>
      </c>
      <c r="C10" s="9">
        <f>IFERROR(AVERAGEIF('Picks'!$AB$2:$AB$13,"&lt;&gt;",'Picks'!$AB$2:$AB$13),0)</f>
        <v/>
      </c>
      <c r="E10" s="6">
        <f>COUNTIFS('Picks'!$AM$2:$AM$13,"QUALIFIED_SHADOW_CALL",'Picks'!$U$2:$U$13,"settled")</f>
        <v/>
      </c>
      <c r="G10" s="8">
        <f>SUMIFS('Picks'!$AC$2:$AC$13,'Picks'!$AM$2:$AM$13,"QUALIFIED_SHADOW_CALL")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COUNTIFS('Picks'!$H$2:$H$13,$A14,'Picks'!$U$2:$U$13,"settled")</f>
        <v/>
      </c>
      <c r="C14" s="13">
        <f>COUNTIFS('Picks'!$H$2:$H$13,$A14,'Picks'!$U$2:$U$13,"settled",'Picks'!$V$2:$V$13,"win")</f>
        <v/>
      </c>
      <c r="D14" s="13">
        <f>COUNTIFS('Picks'!$H$2:$H$13,$A14,'Picks'!$U$2:$U$13,"settled",'Picks'!$V$2:$V$13,"loss")</f>
        <v/>
      </c>
      <c r="E14" s="14">
        <f>IFERROR(C14/(C14+D14),0)</f>
        <v/>
      </c>
      <c r="F14" s="15">
        <f>SUMIFS('Picks'!$BY$2:$BY$13,'Picks'!$H$2:$H$13,$A14)</f>
        <v/>
      </c>
      <c r="G14" s="16">
        <f>IFERROR(AVERAGEIFS('Picks'!$AB$2:$AB$13,'Picks'!$H$2:$H$13,$A14,'Picks'!$U$2:$U$13,"settled"),0)</f>
        <v/>
      </c>
    </row>
    <row r="15">
      <c r="A15" s="17" t="inlineStr">
        <is>
          <t>spread</t>
        </is>
      </c>
      <c r="B15" s="18">
        <f>COUNTIFS('Picks'!$H$2:$H$13,$A15,'Picks'!$U$2:$U$13,"settled")</f>
        <v/>
      </c>
      <c r="C15" s="18">
        <f>COUNTIFS('Picks'!$H$2:$H$13,$A15,'Picks'!$U$2:$U$13,"settled",'Picks'!$V$2:$V$13,"win")</f>
        <v/>
      </c>
      <c r="D15" s="18">
        <f>COUNTIFS('Picks'!$H$2:$H$13,$A15,'Picks'!$U$2:$U$13,"settled",'Picks'!$V$2:$V$13,"loss")</f>
        <v/>
      </c>
      <c r="E15" s="19">
        <f>IFERROR(C15/(C15+D15),0)</f>
        <v/>
      </c>
      <c r="F15" s="20">
        <f>SUMIFS('Picks'!$BY$2:$BY$13,'Picks'!$H$2:$H$13,$A15)</f>
        <v/>
      </c>
      <c r="G15" s="21">
        <f>IFERROR(AVERAGEIFS('Picks'!$AB$2:$AB$13,'Picks'!$H$2:$H$13,$A15,'Picks'!$U$2:$U$13,"settled"),0)</f>
        <v/>
      </c>
    </row>
    <row r="16">
      <c r="A16" s="12" t="inlineStr">
        <is>
          <t>total</t>
        </is>
      </c>
      <c r="B16" s="13">
        <f>COUNTIFS('Picks'!$H$2:$H$13,$A16,'Picks'!$U$2:$U$13,"settled")</f>
        <v/>
      </c>
      <c r="C16" s="13">
        <f>COUNTIFS('Picks'!$H$2:$H$13,$A16,'Picks'!$U$2:$U$13,"settled",'Picks'!$V$2:$V$13,"win")</f>
        <v/>
      </c>
      <c r="D16" s="13">
        <f>COUNTIFS('Picks'!$H$2:$H$13,$A16,'Picks'!$U$2:$U$13,"settled",'Picks'!$V$2:$V$13,"loss")</f>
        <v/>
      </c>
      <c r="E16" s="14">
        <f>IFERROR(C16/(C16+D16),0)</f>
        <v/>
      </c>
      <c r="F16" s="15">
        <f>SUMIFS('Picks'!$BY$2:$BY$13,'Picks'!$H$2:$H$13,$A16)</f>
        <v/>
      </c>
      <c r="G16" s="16">
        <f>IFERROR(AVERAGEIFS('Picks'!$AB$2:$AB$13,'Picks'!$H$2:$H$13,$A16,'Picks'!$U$2:$U$13,"settled"),0)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b23f046d636545d4</t>
        </is>
      </c>
      <c r="B2" s="24" t="inlineStr">
        <is>
          <t>2026-07-27T19:51:39.691788Z</t>
        </is>
      </c>
      <c r="C2" s="24" t="inlineStr">
        <is>
          <t>2026-07-27T21:00:00Z</t>
        </is>
      </c>
      <c r="D2" s="24" t="inlineStr">
        <is>
          <t>61045</t>
        </is>
      </c>
      <c r="E2" s="24" t="inlineStr">
        <is>
          <t>VALORANT</t>
        </is>
      </c>
      <c r="F2" s="24" t="inlineStr">
        <is>
          <t>SaD GC</t>
        </is>
      </c>
      <c r="G2" s="24" t="inlineStr">
        <is>
          <t>ORA Temper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0.5057199999999999</v>
      </c>
      <c r="P2" s="28" t="n"/>
      <c r="Q2" s="28" t="n">
        <v>0.175687</v>
      </c>
      <c r="R2" s="26" t="n">
        <v>100</v>
      </c>
      <c r="S2" s="29" t="n">
        <v>0.5</v>
      </c>
      <c r="T2" s="24" t="inlineStr">
        <is>
          <t>valorant-tiered-elo-v4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1.015</v>
      </c>
      <c r="AD2" s="24" t="inlineStr">
        <is>
          <t>2026-07-27T22:52:08.770740Z</t>
        </is>
      </c>
      <c r="AE2" s="31" t="inlineStr">
        <is>
          <t>Neutral Elo baseline; executable ask 0.3300 (market_slug=aec-valorant-orat-sga-2026-07-27).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SaD GC</t>
        </is>
      </c>
      <c r="AQ2" s="24" t="inlineStr">
        <is>
          <t>SaD GC</t>
        </is>
      </c>
      <c r="AR2" s="24" t="inlineStr">
        <is>
          <t>SaD GC</t>
        </is>
      </c>
      <c r="AS2" s="24" t="inlineStr">
        <is>
          <t>ORA Temper</t>
        </is>
      </c>
      <c r="AT2" s="24" t="inlineStr">
        <is>
          <t>ORA Temper</t>
        </is>
      </c>
      <c r="AU2" s="24" t="inlineStr">
        <is>
          <t>ORA Temper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781631928725bfbadab6eb37728b264ebd9b45792fc91e595051fe0740ec1b11</t>
        </is>
      </c>
      <c r="BB2" s="24" t="inlineStr">
        <is>
          <t>neutral_elo</t>
        </is>
      </c>
      <c r="BC2" s="24" t="inlineStr">
        <is>
          <t>valorant-tiered-elo-v4</t>
        </is>
      </c>
      <c r="BD2" s="24" t="inlineStr">
        <is>
          <t>781631928725bfbadab6eb37728b264ebd9b45792fc91e595051fe0740ec1b11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valorant-tiered-elo-v4</t>
        </is>
      </c>
      <c r="BH2" s="24" t="inlineStr">
        <is>
          <t>2026-07-27T19:51:33.586186Z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2f0f151c797c42df</t>
        </is>
      </c>
      <c r="B3" s="24" t="inlineStr">
        <is>
          <t>2026-07-27T19:51:39.691788Z</t>
        </is>
      </c>
      <c r="C3" s="24" t="inlineStr">
        <is>
          <t>2026-07-27T21:00:00Z</t>
        </is>
      </c>
      <c r="D3" s="24" t="inlineStr">
        <is>
          <t>61046</t>
        </is>
      </c>
      <c r="E3" s="24" t="inlineStr">
        <is>
          <t>VALORANT</t>
        </is>
      </c>
      <c r="F3" s="24" t="inlineStr">
        <is>
          <t>The Spiders</t>
        </is>
      </c>
      <c r="G3" s="24" t="inlineStr">
        <is>
          <t>Cloud9 GC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100</v>
      </c>
      <c r="M3" s="27" t="n">
        <v>2</v>
      </c>
      <c r="N3" s="28" t="n">
        <v>0.5</v>
      </c>
      <c r="O3" s="28" t="n">
        <v>0.53613</v>
      </c>
      <c r="P3" s="28" t="n"/>
      <c r="Q3" s="28" t="n">
        <v>0.03613</v>
      </c>
      <c r="R3" s="26" t="n">
        <v>38</v>
      </c>
      <c r="S3" s="29" t="n">
        <v>0.75</v>
      </c>
      <c r="T3" s="24" t="inlineStr">
        <is>
          <t>valorant-tiered-elo-v4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-0.75</v>
      </c>
      <c r="AD3" s="24" t="inlineStr">
        <is>
          <t>2026-07-28T01:57:20.308333Z</t>
        </is>
      </c>
      <c r="AE3" s="31" t="inlineStr">
        <is>
          <t>Neutral Elo baseline; executable ask 0.5000 (market_slug=aec-valorant-c9gc-spi-2026-07-27).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The Spiders</t>
        </is>
      </c>
      <c r="AQ3" s="24" t="inlineStr">
        <is>
          <t>The Spiders</t>
        </is>
      </c>
      <c r="AR3" s="24" t="inlineStr">
        <is>
          <t>The Spiders</t>
        </is>
      </c>
      <c r="AS3" s="24" t="inlineStr">
        <is>
          <t>Cloud9 GC</t>
        </is>
      </c>
      <c r="AT3" s="24" t="inlineStr">
        <is>
          <t>Cloud9 GC</t>
        </is>
      </c>
      <c r="AU3" s="24" t="inlineStr">
        <is>
          <t>Cloud9 GC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781631928725bfbadab6eb37728b264ebd9b45792fc91e595051fe0740ec1b11</t>
        </is>
      </c>
      <c r="BB3" s="24" t="inlineStr">
        <is>
          <t>neutral_elo</t>
        </is>
      </c>
      <c r="BC3" s="24" t="inlineStr">
        <is>
          <t>valorant-tiered-elo-v4</t>
        </is>
      </c>
      <c r="BD3" s="24" t="inlineStr">
        <is>
          <t>781631928725bfbadab6eb37728b264ebd9b45792fc91e595051fe0740ec1b11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valorant-tiered-elo-v4</t>
        </is>
      </c>
      <c r="BH3" s="24" t="inlineStr">
        <is>
          <t>2026-07-27T19:51:34.129373Z</t>
        </is>
      </c>
      <c r="BI3" s="24" t="inlineStr">
        <is>
          <t>["same_event","same_team_same_day","same_league_same_day"]</t>
        </is>
      </c>
      <c r="BJ3" s="25" t="n"/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b1750c0ef619421b</t>
        </is>
      </c>
      <c r="B4" s="24" t="inlineStr">
        <is>
          <t>2026-07-27T19:51:39.691788Z</t>
        </is>
      </c>
      <c r="C4" s="24" t="inlineStr">
        <is>
          <t>2026-07-27T21:00:00Z</t>
        </is>
      </c>
      <c r="D4" s="24" t="inlineStr">
        <is>
          <t>61048</t>
        </is>
      </c>
      <c r="E4" s="24" t="inlineStr">
        <is>
          <t>VALORANT</t>
        </is>
      </c>
      <c r="F4" s="24" t="inlineStr">
        <is>
          <t>SwimTrek Blue</t>
        </is>
      </c>
      <c r="G4" s="24" t="inlineStr">
        <is>
          <t>Shopify Rebellion Gold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100</v>
      </c>
      <c r="M4" s="27" t="n">
        <v>2</v>
      </c>
      <c r="N4" s="28" t="n">
        <v>0.5</v>
      </c>
      <c r="O4" s="28" t="n">
        <v>0.541059</v>
      </c>
      <c r="P4" s="28" t="n"/>
      <c r="Q4" s="28" t="n">
        <v>0.041059</v>
      </c>
      <c r="R4" s="26" t="n">
        <v>41</v>
      </c>
      <c r="S4" s="29" t="n">
        <v>1</v>
      </c>
      <c r="T4" s="24" t="inlineStr">
        <is>
          <t>valorant-tiered-elo-v4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1</v>
      </c>
      <c r="AD4" s="24" t="inlineStr">
        <is>
          <t>2026-07-28T01:57:21.360328Z</t>
        </is>
      </c>
      <c r="AE4" s="31" t="inlineStr">
        <is>
          <t>Neutral Elo baseline; executable ask 0.5000 (market_slug=aec-valorant-srg-swim-2026-07-27).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SwimTrek Blue</t>
        </is>
      </c>
      <c r="AQ4" s="24" t="inlineStr">
        <is>
          <t>SwimTrek Blue</t>
        </is>
      </c>
      <c r="AR4" s="24" t="inlineStr">
        <is>
          <t>SwimTrek Blue</t>
        </is>
      </c>
      <c r="AS4" s="24" t="inlineStr">
        <is>
          <t>Shopify Rebellion Gold</t>
        </is>
      </c>
      <c r="AT4" s="24" t="inlineStr">
        <is>
          <t>Shopify Rebellion Gold</t>
        </is>
      </c>
      <c r="AU4" s="24" t="inlineStr">
        <is>
          <t>Shopify Rebellion Gold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781631928725bfbadab6eb37728b264ebd9b45792fc91e595051fe0740ec1b11</t>
        </is>
      </c>
      <c r="BB4" s="24" t="inlineStr">
        <is>
          <t>neutral_elo</t>
        </is>
      </c>
      <c r="BC4" s="24" t="inlineStr">
        <is>
          <t>valorant-tiered-elo-v4</t>
        </is>
      </c>
      <c r="BD4" s="24" t="inlineStr">
        <is>
          <t>781631928725bfbadab6eb37728b264ebd9b45792fc91e595051fe0740ec1b11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valorant-tiered-elo-v4</t>
        </is>
      </c>
      <c r="BH4" s="24" t="inlineStr">
        <is>
          <t>2026-07-27T19:51:34.644041Z</t>
        </is>
      </c>
      <c r="BI4" s="24" t="inlineStr">
        <is>
          <t>["same_event","same_team_same_day","same_league_same_day"]</t>
        </is>
      </c>
      <c r="BJ4" s="25" t="n"/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5688484986ad45e4</t>
        </is>
      </c>
      <c r="B5" s="24" t="inlineStr">
        <is>
          <t>2026-07-27T22:56:56.096115Z</t>
        </is>
      </c>
      <c r="C5" s="24" t="inlineStr">
        <is>
          <t>2026-07-27T23:30:00Z</t>
        </is>
      </c>
      <c r="D5" s="24" t="inlineStr">
        <is>
          <t>61239</t>
        </is>
      </c>
      <c r="E5" s="24" t="inlineStr">
        <is>
          <t>VALORANT</t>
        </is>
      </c>
      <c r="F5" s="24" t="inlineStr">
        <is>
          <t>Los Chudeles</t>
        </is>
      </c>
      <c r="G5" s="24" t="inlineStr">
        <is>
          <t>Eternal Focus Amethyst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223</v>
      </c>
      <c r="M5" s="27" t="n">
        <v>3.23</v>
      </c>
      <c r="N5" s="28" t="n">
        <v>0.309598</v>
      </c>
      <c r="O5" s="28" t="n">
        <v>0.557051</v>
      </c>
      <c r="P5" s="28" t="n"/>
      <c r="Q5" s="28" t="n">
        <v>0.247453</v>
      </c>
      <c r="R5" s="26" t="n">
        <v>100</v>
      </c>
      <c r="S5" s="29" t="n">
        <v>1</v>
      </c>
      <c r="T5" s="24" t="inlineStr">
        <is>
          <t>valorant-tiered-elo-v4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2026-07-28T01:57:22.550923Z</t>
        </is>
      </c>
      <c r="AE5" s="31" t="inlineStr">
        <is>
          <t>Neutral Elo baseline; executable ask 0.3100 (market_slug=aec-valorant-efa-lcd-2026-07-27).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Los Chudeles</t>
        </is>
      </c>
      <c r="AQ5" s="24" t="inlineStr">
        <is>
          <t>Los Chudeles</t>
        </is>
      </c>
      <c r="AR5" s="24" t="inlineStr">
        <is>
          <t>Los Chudeles</t>
        </is>
      </c>
      <c r="AS5" s="24" t="inlineStr">
        <is>
          <t>Eternal Focus Amethyst</t>
        </is>
      </c>
      <c r="AT5" s="24" t="inlineStr">
        <is>
          <t>Eternal Focus Amethyst</t>
        </is>
      </c>
      <c r="AU5" s="24" t="inlineStr">
        <is>
          <t>Eternal Focus Amethyst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e1ac23d99e831b81cddfe7dc2c7cc5dd4b57a35e88319d1f7162fbb6350e11bd</t>
        </is>
      </c>
      <c r="BB5" s="24" t="inlineStr">
        <is>
          <t>neutral_elo</t>
        </is>
      </c>
      <c r="BC5" s="24" t="inlineStr">
        <is>
          <t>valorant-tiered-elo-v4</t>
        </is>
      </c>
      <c r="BD5" s="24" t="inlineStr">
        <is>
          <t>e1ac23d99e831b81cddfe7dc2c7cc5dd4b57a35e88319d1f7162fbb6350e11bd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valorant-tiered-elo-v4</t>
        </is>
      </c>
      <c r="BH5" s="24" t="inlineStr">
        <is>
          <t>2026-07-27T22:56:51.769330Z</t>
        </is>
      </c>
      <c r="BI5" s="24" t="inlineStr">
        <is>
          <t>["same_event","same_team_same_day","same_league_same_day"]</t>
        </is>
      </c>
      <c r="BJ5" s="25" t="n"/>
      <c r="BK5" s="26" t="n">
        <v>223</v>
      </c>
      <c r="BL5" s="27" t="n">
        <v>3.23</v>
      </c>
      <c r="BM5" s="28" t="n">
        <v>0.309598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b5755573ea37414d</t>
        </is>
      </c>
      <c r="B6" s="24" t="inlineStr">
        <is>
          <t>2026-07-27T22:56:56.096115Z</t>
        </is>
      </c>
      <c r="C6" s="24" t="inlineStr">
        <is>
          <t>2026-07-27T23:30:00Z</t>
        </is>
      </c>
      <c r="D6" s="24" t="inlineStr">
        <is>
          <t>61240</t>
        </is>
      </c>
      <c r="E6" s="24" t="inlineStr">
        <is>
          <t>VALORANT</t>
        </is>
      </c>
      <c r="F6" s="24" t="inlineStr">
        <is>
          <t>Revenge</t>
        </is>
      </c>
      <c r="G6" s="24" t="inlineStr">
        <is>
          <t>:3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223</v>
      </c>
      <c r="M6" s="27" t="n">
        <v>3.23</v>
      </c>
      <c r="N6" s="28" t="n">
        <v>0.309598</v>
      </c>
      <c r="O6" s="28" t="n">
        <v>0.500347</v>
      </c>
      <c r="P6" s="28" t="n"/>
      <c r="Q6" s="28" t="n">
        <v>0.190749</v>
      </c>
      <c r="R6" s="26" t="n">
        <v>100</v>
      </c>
      <c r="S6" s="29" t="n">
        <v>0.5</v>
      </c>
      <c r="T6" s="24" t="inlineStr">
        <is>
          <t>valorant-tiered-elo-v4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-0.5</v>
      </c>
      <c r="AD6" s="24" t="inlineStr">
        <is>
          <t>2026-07-28T01:57:23.798044Z</t>
        </is>
      </c>
      <c r="AE6" s="31" t="inlineStr">
        <is>
          <t>Neutral Elo baseline; executable ask 0.3100 (market_slug=aec-valorant-meow-rvn-2026-07-27).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Revenge</t>
        </is>
      </c>
      <c r="AQ6" s="24" t="inlineStr">
        <is>
          <t>Revenge</t>
        </is>
      </c>
      <c r="AR6" s="24" t="inlineStr">
        <is>
          <t>Revenge</t>
        </is>
      </c>
      <c r="AS6" s="24" t="inlineStr">
        <is>
          <t>:3</t>
        </is>
      </c>
      <c r="AT6" s="24" t="inlineStr">
        <is>
          <t>:3</t>
        </is>
      </c>
      <c r="AU6" s="24" t="inlineStr">
        <is>
          <t>:3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e1ac23d99e831b81cddfe7dc2c7cc5dd4b57a35e88319d1f7162fbb6350e11bd</t>
        </is>
      </c>
      <c r="BB6" s="24" t="inlineStr">
        <is>
          <t>neutral_elo</t>
        </is>
      </c>
      <c r="BC6" s="24" t="inlineStr">
        <is>
          <t>valorant-tiered-elo-v4</t>
        </is>
      </c>
      <c r="BD6" s="24" t="inlineStr">
        <is>
          <t>e1ac23d99e831b81cddfe7dc2c7cc5dd4b57a35e88319d1f7162fbb6350e11bd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valorant-tiered-elo-v4</t>
        </is>
      </c>
      <c r="BH6" s="24" t="inlineStr">
        <is>
          <t>2026-07-27T22:56:52.318174Z</t>
        </is>
      </c>
      <c r="BI6" s="24" t="inlineStr">
        <is>
          <t>["same_event","same_team_same_day","same_league_same_day"]</t>
        </is>
      </c>
      <c r="BJ6" s="25" t="n"/>
      <c r="BK6" s="26" t="n">
        <v>223</v>
      </c>
      <c r="BL6" s="27" t="n">
        <v>3.23</v>
      </c>
      <c r="BM6" s="28" t="n">
        <v>0.309598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eaaad94fb2a84761</t>
        </is>
      </c>
      <c r="B7" s="24" t="inlineStr">
        <is>
          <t>2026-07-28T14:24:30.873029Z</t>
        </is>
      </c>
      <c r="C7" s="24" t="inlineStr">
        <is>
          <t>2026-07-28T15:00:00Z</t>
        </is>
      </c>
      <c r="D7" s="24" t="inlineStr">
        <is>
          <t>61529</t>
        </is>
      </c>
      <c r="E7" s="24" t="inlineStr">
        <is>
          <t>VALORANT</t>
        </is>
      </c>
      <c r="F7" s="24" t="inlineStr">
        <is>
          <t>Karmine Corp GC</t>
        </is>
      </c>
      <c r="G7" s="24" t="inlineStr">
        <is>
          <t>Barça eSports GC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138</v>
      </c>
      <c r="M7" s="27" t="n">
        <v>2.38</v>
      </c>
      <c r="N7" s="28" t="n">
        <v>0.420168</v>
      </c>
      <c r="O7" s="28" t="n">
        <v>0.528676</v>
      </c>
      <c r="P7" s="28" t="n"/>
      <c r="Q7" s="28" t="n">
        <v>0.108508</v>
      </c>
      <c r="R7" s="26" t="n">
        <v>74</v>
      </c>
      <c r="S7" s="29" t="n">
        <v>0.75</v>
      </c>
      <c r="T7" s="24" t="inlineStr">
        <is>
          <t>valorant-tiered-elo-v4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-0.75</v>
      </c>
      <c r="AD7" s="24" t="inlineStr">
        <is>
          <t>2026-07-28T20:31:39.099946Z</t>
        </is>
      </c>
      <c r="AE7" s="31" t="inlineStr">
        <is>
          <t>Neutral Elo baseline; executable ask 0.4200 (market_slug=aec-valorant-beg-kcg-2026-07-28).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Karmine Corp GC</t>
        </is>
      </c>
      <c r="AQ7" s="24" t="inlineStr">
        <is>
          <t>Karmine Corp GC</t>
        </is>
      </c>
      <c r="AR7" s="24" t="inlineStr">
        <is>
          <t>Karmine Corp GC</t>
        </is>
      </c>
      <c r="AS7" s="24" t="inlineStr">
        <is>
          <t>Barça eSports GC</t>
        </is>
      </c>
      <c r="AT7" s="24" t="inlineStr">
        <is>
          <t>Barça eSports GC</t>
        </is>
      </c>
      <c r="AU7" s="24" t="inlineStr">
        <is>
          <t>Barça eSports GC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cee841572684572d854c56b6d6e919489ee19e082da259a5e2f60f76864ab64f</t>
        </is>
      </c>
      <c r="BB7" s="24" t="inlineStr">
        <is>
          <t>neutral_elo</t>
        </is>
      </c>
      <c r="BC7" s="24" t="inlineStr">
        <is>
          <t>valorant-tiered-elo-v4</t>
        </is>
      </c>
      <c r="BD7" s="24" t="inlineStr">
        <is>
          <t>cee841572684572d854c56b6d6e919489ee19e082da259a5e2f60f76864ab64f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valorant-tiered-elo-v4</t>
        </is>
      </c>
      <c r="BH7" s="24" t="inlineStr">
        <is>
          <t>2026-07-28T14:24:24.591584Z</t>
        </is>
      </c>
      <c r="BI7" s="24" t="inlineStr">
        <is>
          <t>["same_event","same_team_same_day","same_league_same_day"]</t>
        </is>
      </c>
      <c r="BJ7" s="25" t="n"/>
      <c r="BK7" s="26" t="n">
        <v>138</v>
      </c>
      <c r="BL7" s="27" t="n">
        <v>2.38</v>
      </c>
      <c r="BM7" s="28" t="n">
        <v>0.420168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72744ff7477e4102</t>
        </is>
      </c>
      <c r="B8" s="24" t="inlineStr">
        <is>
          <t>2026-07-29T12:04:22.575418Z</t>
        </is>
      </c>
      <c r="C8" s="24" t="inlineStr">
        <is>
          <t>2026-07-29T15:00:00Z</t>
        </is>
      </c>
      <c r="D8" s="24" t="inlineStr">
        <is>
          <t>62689</t>
        </is>
      </c>
      <c r="E8" s="24" t="inlineStr">
        <is>
          <t>VALORANT</t>
        </is>
      </c>
      <c r="F8" s="24" t="inlineStr">
        <is>
          <t>G2 Gozen</t>
        </is>
      </c>
      <c r="G8" s="24" t="inlineStr">
        <is>
          <t>SK Nebula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0.714884</v>
      </c>
      <c r="P8" s="28" t="n"/>
      <c r="Q8" s="28" t="n">
        <v>0.234115</v>
      </c>
      <c r="R8" s="26" t="n">
        <v>100</v>
      </c>
      <c r="S8" s="29" t="n">
        <v>2</v>
      </c>
      <c r="T8" s="24" t="inlineStr">
        <is>
          <t>valorant-tiered-elo-v4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-2</v>
      </c>
      <c r="AD8" s="24" t="inlineStr">
        <is>
          <t>2026-07-29T17:34:59.328852Z</t>
        </is>
      </c>
      <c r="AE8" s="31" t="inlineStr">
        <is>
          <t>Neutral Elo baseline; executable ask 0.4800 (market_slug=aec-valorant-skn-ggo-2026-07-29).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G2 Gozen</t>
        </is>
      </c>
      <c r="AQ8" s="24" t="inlineStr">
        <is>
          <t>G2 Gozen</t>
        </is>
      </c>
      <c r="AR8" s="24" t="inlineStr">
        <is>
          <t>G2 Gozen</t>
        </is>
      </c>
      <c r="AS8" s="24" t="inlineStr">
        <is>
          <t>SK Nebula</t>
        </is>
      </c>
      <c r="AT8" s="24" t="inlineStr">
        <is>
          <t>SK Nebula</t>
        </is>
      </c>
      <c r="AU8" s="24" t="inlineStr">
        <is>
          <t>SK Nebula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e33860310416f9b2d86e5c1e14a7bffcebc7a1e4c8af04b416cd37235fd4b6cf</t>
        </is>
      </c>
      <c r="BB8" s="24" t="inlineStr">
        <is>
          <t>neutral_elo</t>
        </is>
      </c>
      <c r="BC8" s="24" t="inlineStr">
        <is>
          <t>valorant-tiered-elo-v4</t>
        </is>
      </c>
      <c r="BD8" s="24" t="inlineStr">
        <is>
          <t>e33860310416f9b2d86e5c1e14a7bffcebc7a1e4c8af04b416cd37235fd4b6cf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valorant-tiered-elo-v4</t>
        </is>
      </c>
      <c r="BH8" s="24" t="inlineStr">
        <is>
          <t>2026-07-29T12:04:15.273824Z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d80f3f8619e24310</t>
        </is>
      </c>
      <c r="B9" s="24" t="inlineStr">
        <is>
          <t>2026-07-29T17:48:33.149264Z</t>
        </is>
      </c>
      <c r="C9" s="24" t="inlineStr">
        <is>
          <t>2026-07-31T00:00:00Z</t>
        </is>
      </c>
      <c r="D9" s="24" t="inlineStr">
        <is>
          <t>64563</t>
        </is>
      </c>
      <c r="E9" s="24" t="inlineStr">
        <is>
          <t>VALORANT</t>
        </is>
      </c>
      <c r="F9" s="24" t="inlineStr">
        <is>
          <t>Sentinels</t>
        </is>
      </c>
      <c r="G9" s="24" t="inlineStr">
        <is>
          <t>100 Thieves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-233</v>
      </c>
      <c r="M9" s="27" t="n">
        <v>1.429185</v>
      </c>
      <c r="N9" s="28" t="n">
        <v>0.6997</v>
      </c>
      <c r="O9" s="28" t="n">
        <v>0.827349</v>
      </c>
      <c r="P9" s="28" t="n"/>
      <c r="Q9" s="28" t="n">
        <v>0.127649</v>
      </c>
      <c r="R9" s="26" t="n">
        <v>84</v>
      </c>
      <c r="S9" s="29" t="n">
        <v>2</v>
      </c>
      <c r="T9" s="24" t="inlineStr">
        <is>
          <t>valorant-tiered-elo-v4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0.7000 (market_slug=aec-valorant-100t-sen-2026-07-31).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Sentinels</t>
        </is>
      </c>
      <c r="AQ9" s="24" t="inlineStr">
        <is>
          <t>Sentinels</t>
        </is>
      </c>
      <c r="AR9" s="24" t="inlineStr">
        <is>
          <t>Sentinels</t>
        </is>
      </c>
      <c r="AS9" s="24" t="inlineStr">
        <is>
          <t>100 Thieves</t>
        </is>
      </c>
      <c r="AT9" s="24" t="inlineStr">
        <is>
          <t>100 Thieves</t>
        </is>
      </c>
      <c r="AU9" s="24" t="inlineStr">
        <is>
          <t>100 Thieves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71696e637dd05bc7933e2bdcf627a39cf9f10c85a7ad852765447d083e849a9e</t>
        </is>
      </c>
      <c r="BB9" s="24" t="inlineStr">
        <is>
          <t>neutral_elo</t>
        </is>
      </c>
      <c r="BC9" s="24" t="inlineStr">
        <is>
          <t>valorant-tiered-elo-v4</t>
        </is>
      </c>
      <c r="BD9" s="24" t="inlineStr">
        <is>
          <t>71696e637dd05bc7933e2bdcf627a39cf9f10c85a7ad852765447d083e849a9e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valorant-tiered-elo-v4</t>
        </is>
      </c>
      <c r="BH9" s="24" t="inlineStr">
        <is>
          <t>2026-07-29T17:48:33.146517Z</t>
        </is>
      </c>
      <c r="BI9" s="24" t="inlineStr">
        <is>
          <t>["same_event","same_team_same_day","same_league_same_day"]</t>
        </is>
      </c>
      <c r="BJ9" s="25" t="n"/>
      <c r="BK9" s="26" t="n">
        <v>-233</v>
      </c>
      <c r="BL9" s="27" t="n">
        <v>1.429185</v>
      </c>
      <c r="BM9" s="28" t="n">
        <v>0.6997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87c76c65bfd54872</t>
        </is>
      </c>
      <c r="B10" s="24" t="inlineStr">
        <is>
          <t>2026-07-30T07:24:48.854145Z</t>
        </is>
      </c>
      <c r="C10" s="24" t="inlineStr">
        <is>
          <t>2026-07-30T08:00:00Z</t>
        </is>
      </c>
      <c r="D10" s="24" t="inlineStr">
        <is>
          <t>63626</t>
        </is>
      </c>
      <c r="E10" s="24" t="inlineStr">
        <is>
          <t>VALORANT</t>
        </is>
      </c>
      <c r="F10" s="24" t="inlineStr">
        <is>
          <t>DetonatioN FocusMe</t>
        </is>
      </c>
      <c r="G10" s="24" t="inlineStr">
        <is>
          <t>VARREL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-138</v>
      </c>
      <c r="M10" s="27" t="n">
        <v>1.724638</v>
      </c>
      <c r="N10" s="28" t="n">
        <v>0.579832</v>
      </c>
      <c r="O10" s="28" t="n">
        <v>0.604202</v>
      </c>
      <c r="P10" s="28" t="n"/>
      <c r="Q10" s="28" t="n">
        <v>0.02437</v>
      </c>
      <c r="R10" s="26" t="n">
        <v>32</v>
      </c>
      <c r="S10" s="29" t="n">
        <v>1.5</v>
      </c>
      <c r="T10" s="24" t="inlineStr">
        <is>
          <t>valorant-tiered-elo-v4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-1.5</v>
      </c>
      <c r="AD10" s="24" t="inlineStr">
        <is>
          <t>2026-07-30T13:31:06.600054Z</t>
        </is>
      </c>
      <c r="AE10" s="31" t="inlineStr">
        <is>
          <t>Neutral Elo baseline; executable ask 0.5800 (market_slug=aec-valorant-var-dfm-2026-07-30).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DetonatioN FocusMe</t>
        </is>
      </c>
      <c r="AQ10" s="24" t="inlineStr">
        <is>
          <t>DetonatioN FocusMe</t>
        </is>
      </c>
      <c r="AR10" s="24" t="inlineStr">
        <is>
          <t>DetonatioN FocusMe</t>
        </is>
      </c>
      <c r="AS10" s="24" t="inlineStr">
        <is>
          <t>VARREL</t>
        </is>
      </c>
      <c r="AT10" s="24" t="inlineStr">
        <is>
          <t>VARREL</t>
        </is>
      </c>
      <c r="AU10" s="24" t="inlineStr">
        <is>
          <t>VARREL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065060c5427d777daf1c2c539c66a4917e7e7a09bf311e9c39e713455cc3d93a</t>
        </is>
      </c>
      <c r="BB10" s="24" t="inlineStr">
        <is>
          <t>neutral_elo</t>
        </is>
      </c>
      <c r="BC10" s="24" t="inlineStr">
        <is>
          <t>valorant-tiered-elo-v4</t>
        </is>
      </c>
      <c r="BD10" s="24" t="inlineStr">
        <is>
          <t>065060c5427d777daf1c2c539c66a4917e7e7a09bf311e9c39e713455cc3d93a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valorant-tiered-elo-v4</t>
        </is>
      </c>
      <c r="BH10" s="24" t="inlineStr">
        <is>
          <t>2026-07-30T07:24:41.203557Z</t>
        </is>
      </c>
      <c r="BI10" s="24" t="inlineStr">
        <is>
          <t>["same_event","same_team_same_day","same_league_same_day"]</t>
        </is>
      </c>
      <c r="BJ10" s="25" t="n"/>
      <c r="BK10" s="26" t="n">
        <v>-138</v>
      </c>
      <c r="BL10" s="27" t="n">
        <v>1.724638</v>
      </c>
      <c r="BM10" s="28" t="n">
        <v>0.579832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ef6e12da16724928</t>
        </is>
      </c>
      <c r="B11" s="24" t="inlineStr">
        <is>
          <t>2026-07-30T16:56:19.984320Z</t>
        </is>
      </c>
      <c r="C11" s="24" t="inlineStr">
        <is>
          <t>2026-07-31T11:00:00Z</t>
        </is>
      </c>
      <c r="D11" s="24" t="inlineStr">
        <is>
          <t>64807</t>
        </is>
      </c>
      <c r="E11" s="24" t="inlineStr">
        <is>
          <t>VALORANT</t>
        </is>
      </c>
      <c r="F11" s="24" t="inlineStr">
        <is>
          <t>Gen.G Esports</t>
        </is>
      </c>
      <c r="G11" s="24" t="inlineStr">
        <is>
          <t>Global Esports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-108</v>
      </c>
      <c r="M11" s="27" t="n">
        <v>1.925926</v>
      </c>
      <c r="N11" s="28" t="n">
        <v>0.519231</v>
      </c>
      <c r="O11" s="28" t="n">
        <v>0.581239</v>
      </c>
      <c r="P11" s="28" t="n"/>
      <c r="Q11" s="28" t="n">
        <v>0.062008</v>
      </c>
      <c r="R11" s="26" t="n">
        <v>51</v>
      </c>
      <c r="S11" s="29" t="n">
        <v>1.25</v>
      </c>
      <c r="T11" s="24" t="inlineStr">
        <is>
          <t>valorant-tiered-elo-v4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0.5200 (market_slug=aec-valorant-ge-geng-2026-07-31).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Gen.G Esports</t>
        </is>
      </c>
      <c r="AQ11" s="24" t="inlineStr">
        <is>
          <t>Gen.G Esports</t>
        </is>
      </c>
      <c r="AR11" s="24" t="inlineStr">
        <is>
          <t>Gen.G Esports</t>
        </is>
      </c>
      <c r="AS11" s="24" t="inlineStr">
        <is>
          <t>Global Esports</t>
        </is>
      </c>
      <c r="AT11" s="24" t="inlineStr">
        <is>
          <t>Global Esports</t>
        </is>
      </c>
      <c r="AU11" s="24" t="inlineStr">
        <is>
          <t>Global Esports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35b04a5bb7c454d67f676c74c39ff026dc1de3ca4c28121046d47414d56b3caf</t>
        </is>
      </c>
      <c r="BB11" s="24" t="inlineStr">
        <is>
          <t>neutral_elo</t>
        </is>
      </c>
      <c r="BC11" s="24" t="inlineStr">
        <is>
          <t>valorant-tiered-elo-v4</t>
        </is>
      </c>
      <c r="BD11" s="24" t="inlineStr">
        <is>
          <t>35b04a5bb7c454d67f676c74c39ff026dc1de3ca4c28121046d47414d56b3caf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valorant-tiered-elo-v4</t>
        </is>
      </c>
      <c r="BH11" s="24" t="inlineStr">
        <is>
          <t>2026-07-30T16:56:17.979503Z</t>
        </is>
      </c>
      <c r="BI11" s="24" t="inlineStr">
        <is>
          <t>["same_event","same_team_same_day","same_league_same_day"]</t>
        </is>
      </c>
      <c r="BJ11" s="25" t="n"/>
      <c r="BK11" s="26" t="n">
        <v>-108</v>
      </c>
      <c r="BL11" s="27" t="n">
        <v>1.925926</v>
      </c>
      <c r="BM11" s="28" t="n">
        <v>0.519231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43b7e6a3dd07450b</t>
        </is>
      </c>
      <c r="B12" s="24" t="inlineStr">
        <is>
          <t>2026-07-30T16:56:19.984320Z</t>
        </is>
      </c>
      <c r="C12" s="24" t="inlineStr">
        <is>
          <t>2026-07-31T15:00:00Z</t>
        </is>
      </c>
      <c r="D12" s="24" t="inlineStr">
        <is>
          <t>64940</t>
        </is>
      </c>
      <c r="E12" s="24" t="inlineStr">
        <is>
          <t>VALORANT</t>
        </is>
      </c>
      <c r="F12" s="24" t="inlineStr">
        <is>
          <t>Gentle Mates</t>
        </is>
      </c>
      <c r="G12" s="24" t="inlineStr">
        <is>
          <t>BBL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-127</v>
      </c>
      <c r="M12" s="27" t="n">
        <v>1.787402</v>
      </c>
      <c r="N12" s="28" t="n">
        <v>0.5594710000000001</v>
      </c>
      <c r="O12" s="28" t="n">
        <v>0.603976</v>
      </c>
      <c r="P12" s="28" t="n"/>
      <c r="Q12" s="28" t="n">
        <v>0.044505</v>
      </c>
      <c r="R12" s="26" t="n">
        <v>42</v>
      </c>
      <c r="S12" s="29" t="n">
        <v>1.5</v>
      </c>
      <c r="T12" s="24" t="inlineStr">
        <is>
          <t>valorant-tiered-elo-v4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0.5600 (market_slug=aec-valorant-bbl-gm-2026-07-31).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Gentle Mates</t>
        </is>
      </c>
      <c r="AQ12" s="24" t="inlineStr">
        <is>
          <t>Gentle Mates</t>
        </is>
      </c>
      <c r="AR12" s="24" t="inlineStr">
        <is>
          <t>Gentle Mates</t>
        </is>
      </c>
      <c r="AS12" s="24" t="inlineStr">
        <is>
          <t>BBL Esports</t>
        </is>
      </c>
      <c r="AT12" s="24" t="inlineStr">
        <is>
          <t>BBL Esports</t>
        </is>
      </c>
      <c r="AU12" s="24" t="inlineStr">
        <is>
          <t>BBL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35b04a5bb7c454d67f676c74c39ff026dc1de3ca4c28121046d47414d56b3caf</t>
        </is>
      </c>
      <c r="BB12" s="24" t="inlineStr">
        <is>
          <t>neutral_elo</t>
        </is>
      </c>
      <c r="BC12" s="24" t="inlineStr">
        <is>
          <t>valorant-tiered-elo-v4</t>
        </is>
      </c>
      <c r="BD12" s="24" t="inlineStr">
        <is>
          <t>35b04a5bb7c454d67f676c74c39ff026dc1de3ca4c28121046d47414d56b3caf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valorant-tiered-elo-v4</t>
        </is>
      </c>
      <c r="BH12" s="24" t="inlineStr">
        <is>
          <t>2026-07-30T16:56:18.461860Z</t>
        </is>
      </c>
      <c r="BI12" s="24" t="inlineStr">
        <is>
          <t>["same_event","same_team_same_day","same_league_same_day"]</t>
        </is>
      </c>
      <c r="BJ12" s="25" t="n"/>
      <c r="BK12" s="26" t="n">
        <v>-127</v>
      </c>
      <c r="BL12" s="27" t="n">
        <v>1.787402</v>
      </c>
      <c r="BM12" s="28" t="n">
        <v>0.5594710000000001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a7048cef071c4f94</t>
        </is>
      </c>
      <c r="B13" s="24" t="inlineStr">
        <is>
          <t>2026-07-30T16:56:19.984320Z</t>
        </is>
      </c>
      <c r="C13" s="24" t="inlineStr">
        <is>
          <t>2026-07-31T21:00:00Z</t>
        </is>
      </c>
      <c r="D13" s="24" t="inlineStr">
        <is>
          <t>65506</t>
        </is>
      </c>
      <c r="E13" s="24" t="inlineStr">
        <is>
          <t>VALORANT</t>
        </is>
      </c>
      <c r="F13" s="24" t="inlineStr">
        <is>
          <t>LOUD</t>
        </is>
      </c>
      <c r="G13" s="24" t="inlineStr">
        <is>
          <t>Cloud9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-117</v>
      </c>
      <c r="M13" s="27" t="n">
        <v>1.854701</v>
      </c>
      <c r="N13" s="28" t="n">
        <v>0.539171</v>
      </c>
      <c r="O13" s="28" t="n">
        <v>0.648906</v>
      </c>
      <c r="P13" s="28" t="n"/>
      <c r="Q13" s="28" t="n">
        <v>0.109735</v>
      </c>
      <c r="R13" s="26" t="n">
        <v>75</v>
      </c>
      <c r="S13" s="29" t="n">
        <v>2</v>
      </c>
      <c r="T13" s="24" t="inlineStr">
        <is>
          <t>valorant-tiered-elo-v4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0.5400 (market_slug=aec-valorant-c9-loud-2026-07-31).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LOUD</t>
        </is>
      </c>
      <c r="AQ13" s="24" t="inlineStr">
        <is>
          <t>LOUD</t>
        </is>
      </c>
      <c r="AR13" s="24" t="inlineStr">
        <is>
          <t>LOUD</t>
        </is>
      </c>
      <c r="AS13" s="24" t="inlineStr">
        <is>
          <t>Cloud9</t>
        </is>
      </c>
      <c r="AT13" s="24" t="inlineStr">
        <is>
          <t>Cloud9</t>
        </is>
      </c>
      <c r="AU13" s="24" t="inlineStr">
        <is>
          <t>Cloud9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35b04a5bb7c454d67f676c74c39ff026dc1de3ca4c28121046d47414d56b3caf</t>
        </is>
      </c>
      <c r="BB13" s="24" t="inlineStr">
        <is>
          <t>neutral_elo</t>
        </is>
      </c>
      <c r="BC13" s="24" t="inlineStr">
        <is>
          <t>valorant-tiered-elo-v4</t>
        </is>
      </c>
      <c r="BD13" s="24" t="inlineStr">
        <is>
          <t>35b04a5bb7c454d67f676c74c39ff026dc1de3ca4c28121046d47414d56b3caf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valorant-tiered-elo-v4</t>
        </is>
      </c>
      <c r="BH13" s="24" t="inlineStr">
        <is>
          <t>2026-07-30T16:56:19.463536Z</t>
        </is>
      </c>
      <c r="BI13" s="24" t="inlineStr">
        <is>
          <t>["same_event","same_team_same_day","same_league_same_day"]</t>
        </is>
      </c>
      <c r="BJ13" s="25" t="n"/>
      <c r="BK13" s="26" t="n">
        <v>-117</v>
      </c>
      <c r="BL13" s="27" t="n">
        <v>1.854701</v>
      </c>
      <c r="BM13" s="28" t="n">
        <v>0.539171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2026-07-30T16:56:21Z</dcterms:created>
  <dcterms:modified xsi:type="dcterms:W3CDTF">2026-07-30T16:56:21Z</dcterms:modified>
</cp:coreProperties>
</file>