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7" headerRowCount="1">
  <autoFilter ref="A1:CO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7">
        <f>IFERROR(COUNTIFS('Picks'!$BX$2:$BX$7,"&gt;0",'Picks'!$V$2:$V$7,"win")/(COUNTIFS('Picks'!$BX$2:$BX$7,"&gt;0",'Picks'!$V$2:$V$7,"win")+COUNTIFS('Picks'!$BX$2:$BX$7,"&gt;0",'Picks'!$V$2:$V$7,"loss")),0)</f>
        <v/>
      </c>
      <c r="G7" s="7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8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14">
        <f>IFERROR(C14/(C14+D14),0)</f>
        <v/>
      </c>
      <c r="F14" s="1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19">
        <f>IFERROR(C15/(C15+D15),0)</f>
        <v/>
      </c>
      <c r="F15" s="20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14">
        <f>IFERROR(C16/(C16+D16),0)</f>
        <v/>
      </c>
      <c r="F16" s="1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b23f046d636545d4</t>
        </is>
      </c>
      <c r="B2" s="24" t="inlineStr">
        <is>
          <t>2026-07-27T19:51:39.691788Z</t>
        </is>
      </c>
      <c r="C2" s="24" t="inlineStr">
        <is>
          <t>2026-07-27T21:00:00Z</t>
        </is>
      </c>
      <c r="D2" s="24" t="inlineStr">
        <is>
          <t>61045</t>
        </is>
      </c>
      <c r="E2" s="24" t="inlineStr">
        <is>
          <t>VALORANT</t>
        </is>
      </c>
      <c r="F2" s="24" t="inlineStr">
        <is>
          <t>SaD GC</t>
        </is>
      </c>
      <c r="G2" s="24" t="inlineStr">
        <is>
          <t>ORA Temper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0.5057199999999999</v>
      </c>
      <c r="P2" s="28" t="n"/>
      <c r="Q2" s="28" t="n">
        <v>0.175687</v>
      </c>
      <c r="R2" s="26" t="n">
        <v>100</v>
      </c>
      <c r="S2" s="29" t="n">
        <v>0.5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1.015</v>
      </c>
      <c r="AD2" s="24" t="inlineStr">
        <is>
          <t>2026-07-27T22:52:08.770740Z</t>
        </is>
      </c>
      <c r="AE2" s="31" t="inlineStr">
        <is>
          <t>Neutral Elo baseline; executable ask 0.3300 (market_slug=aec-valorant-orat-sga-2026-07-27).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SaD GC</t>
        </is>
      </c>
      <c r="AQ2" s="24" t="inlineStr">
        <is>
          <t>SaD GC</t>
        </is>
      </c>
      <c r="AR2" s="24" t="inlineStr">
        <is>
          <t>SaD GC</t>
        </is>
      </c>
      <c r="AS2" s="24" t="inlineStr">
        <is>
          <t>ORA Temper</t>
        </is>
      </c>
      <c r="AT2" s="24" t="inlineStr">
        <is>
          <t>ORA Temper</t>
        </is>
      </c>
      <c r="AU2" s="24" t="inlineStr">
        <is>
          <t>ORA Temper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781631928725bfbadab6eb37728b264ebd9b45792fc91e595051fe0740ec1b11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781631928725bfbadab6eb37728b264ebd9b45792fc91e595051fe0740ec1b11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2026-07-27T19:51:33.586186Z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2f0f151c797c42df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61046</t>
        </is>
      </c>
      <c r="E3" s="24" t="inlineStr">
        <is>
          <t>VALORANT</t>
        </is>
      </c>
      <c r="F3" s="24" t="inlineStr">
        <is>
          <t>The Spiders</t>
        </is>
      </c>
      <c r="G3" s="24" t="inlineStr">
        <is>
          <t>Cloud9 GC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0.53613</v>
      </c>
      <c r="P3" s="28" t="n"/>
      <c r="Q3" s="28" t="n">
        <v>0.03613</v>
      </c>
      <c r="R3" s="26" t="n">
        <v>38</v>
      </c>
      <c r="S3" s="29" t="n">
        <v>0.75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2026-07-28T01:57:20.308333Z</t>
        </is>
      </c>
      <c r="AE3" s="31" t="inlineStr">
        <is>
          <t>Neutral Elo baseline; executable ask 0.5000 (market_slug=aec-valorant-c9gc-spi-2026-07-27).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The Spiders</t>
        </is>
      </c>
      <c r="AQ3" s="24" t="inlineStr">
        <is>
          <t>The Spiders</t>
        </is>
      </c>
      <c r="AR3" s="24" t="inlineStr">
        <is>
          <t>The Spiders</t>
        </is>
      </c>
      <c r="AS3" s="24" t="inlineStr">
        <is>
          <t>Cloud9 GC</t>
        </is>
      </c>
      <c r="AT3" s="24" t="inlineStr">
        <is>
          <t>Cloud9 GC</t>
        </is>
      </c>
      <c r="AU3" s="24" t="inlineStr">
        <is>
          <t>Cloud9 GC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2026-07-27T19:51:34.129373Z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b1750c0ef619421b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61048</t>
        </is>
      </c>
      <c r="E4" s="24" t="inlineStr">
        <is>
          <t>VALORANT</t>
        </is>
      </c>
      <c r="F4" s="24" t="inlineStr">
        <is>
          <t>SwimTrek Blue</t>
        </is>
      </c>
      <c r="G4" s="24" t="inlineStr">
        <is>
          <t>Shopify Rebellion Gold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0.541059</v>
      </c>
      <c r="P4" s="28" t="n"/>
      <c r="Q4" s="28" t="n">
        <v>0.041059</v>
      </c>
      <c r="R4" s="26" t="n">
        <v>41</v>
      </c>
      <c r="S4" s="29" t="n">
        <v>1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</v>
      </c>
      <c r="AD4" s="24" t="inlineStr">
        <is>
          <t>2026-07-28T01:57:21.360328Z</t>
        </is>
      </c>
      <c r="AE4" s="31" t="inlineStr">
        <is>
          <t>Neutral Elo baseline; executable ask 0.5000 (market_slug=aec-valorant-srg-swim-2026-07-27).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SwimTrek Blue</t>
        </is>
      </c>
      <c r="AQ4" s="24" t="inlineStr">
        <is>
          <t>SwimTrek Blue</t>
        </is>
      </c>
      <c r="AR4" s="24" t="inlineStr">
        <is>
          <t>SwimTrek Blue</t>
        </is>
      </c>
      <c r="AS4" s="24" t="inlineStr">
        <is>
          <t>Shopify Rebellion Gold</t>
        </is>
      </c>
      <c r="AT4" s="24" t="inlineStr">
        <is>
          <t>Shopify Rebellion Gold</t>
        </is>
      </c>
      <c r="AU4" s="24" t="inlineStr">
        <is>
          <t>Shopify Rebellion Gold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2026-07-27T19:51:34.644041Z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5688484986ad45e4</t>
        </is>
      </c>
      <c r="B5" s="24" t="inlineStr">
        <is>
          <t>2026-07-27T22:56:56.096115Z</t>
        </is>
      </c>
      <c r="C5" s="24" t="inlineStr">
        <is>
          <t>2026-07-27T23:30:00Z</t>
        </is>
      </c>
      <c r="D5" s="24" t="inlineStr">
        <is>
          <t>61239</t>
        </is>
      </c>
      <c r="E5" s="24" t="inlineStr">
        <is>
          <t>VALORANT</t>
        </is>
      </c>
      <c r="F5" s="24" t="inlineStr">
        <is>
          <t>Los Chudeles</t>
        </is>
      </c>
      <c r="G5" s="24" t="inlineStr">
        <is>
          <t>Eternal Focus Amethyst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223</v>
      </c>
      <c r="M5" s="27" t="n">
        <v>3.23</v>
      </c>
      <c r="N5" s="28" t="n">
        <v>0.309598</v>
      </c>
      <c r="O5" s="28" t="n">
        <v>0.557051</v>
      </c>
      <c r="P5" s="28" t="n"/>
      <c r="Q5" s="28" t="n">
        <v>0.247453</v>
      </c>
      <c r="R5" s="26" t="n">
        <v>100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2026-07-28T01:57:22.550923Z</t>
        </is>
      </c>
      <c r="AE5" s="31" t="inlineStr">
        <is>
          <t>Neutral Elo baseline; executable ask 0.3100 (market_slug=aec-valorant-efa-lcd-2026-07-27).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Los Chudeles</t>
        </is>
      </c>
      <c r="AQ5" s="24" t="inlineStr">
        <is>
          <t>Los Chudeles</t>
        </is>
      </c>
      <c r="AR5" s="24" t="inlineStr">
        <is>
          <t>Los Chudeles</t>
        </is>
      </c>
      <c r="AS5" s="24" t="inlineStr">
        <is>
          <t>Eternal Focus Amethyst</t>
        </is>
      </c>
      <c r="AT5" s="24" t="inlineStr">
        <is>
          <t>Eternal Focus Amethyst</t>
        </is>
      </c>
      <c r="AU5" s="24" t="inlineStr">
        <is>
          <t>Eternal Focus Amethyst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e1ac23d99e831b81cddfe7dc2c7cc5dd4b57a35e88319d1f7162fbb6350e11bd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e1ac23d99e831b81cddfe7dc2c7cc5dd4b57a35e88319d1f7162fbb6350e11bd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2026-07-27T22:56:51.769330Z</t>
        </is>
      </c>
      <c r="BI5" s="24" t="inlineStr">
        <is>
          <t>["same_event","same_team_same_day","same_league_same_day"]</t>
        </is>
      </c>
      <c r="BJ5" s="25" t="n"/>
      <c r="BK5" s="26" t="n">
        <v>223</v>
      </c>
      <c r="BL5" s="27" t="n">
        <v>3.23</v>
      </c>
      <c r="BM5" s="28" t="n">
        <v>0.309598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b5755573ea37414d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61240</t>
        </is>
      </c>
      <c r="E6" s="24" t="inlineStr">
        <is>
          <t>VALORANT</t>
        </is>
      </c>
      <c r="F6" s="24" t="inlineStr">
        <is>
          <t>Revenge</t>
        </is>
      </c>
      <c r="G6" s="24" t="inlineStr">
        <is>
          <t>:3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0.500347</v>
      </c>
      <c r="P6" s="28" t="n"/>
      <c r="Q6" s="28" t="n">
        <v>0.190749</v>
      </c>
      <c r="R6" s="26" t="n">
        <v>100</v>
      </c>
      <c r="S6" s="29" t="n">
        <v>0.5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-0.5</v>
      </c>
      <c r="AD6" s="24" t="inlineStr">
        <is>
          <t>2026-07-28T01:57:23.798044Z</t>
        </is>
      </c>
      <c r="AE6" s="31" t="inlineStr">
        <is>
          <t>Neutral Elo baseline; executable ask 0.3100 (market_slug=aec-valorant-meow-rvn-2026-07-27).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Revenge</t>
        </is>
      </c>
      <c r="AQ6" s="24" t="inlineStr">
        <is>
          <t>Revenge</t>
        </is>
      </c>
      <c r="AR6" s="24" t="inlineStr">
        <is>
          <t>Revenge</t>
        </is>
      </c>
      <c r="AS6" s="24" t="inlineStr">
        <is>
          <t>:3</t>
        </is>
      </c>
      <c r="AT6" s="24" t="inlineStr">
        <is>
          <t>:3</t>
        </is>
      </c>
      <c r="AU6" s="24" t="inlineStr">
        <is>
          <t>:3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2026-07-27T22:56:52.318174Z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eaaad94fb2a84761</t>
        </is>
      </c>
      <c r="B7" s="24" t="inlineStr">
        <is>
          <t>2026-07-28T14:24:30.873029Z</t>
        </is>
      </c>
      <c r="C7" s="24" t="inlineStr">
        <is>
          <t>2026-07-28T15:00:00Z</t>
        </is>
      </c>
      <c r="D7" s="24" t="inlineStr">
        <is>
          <t>61529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Barça eSports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138</v>
      </c>
      <c r="M7" s="27" t="n">
        <v>2.38</v>
      </c>
      <c r="N7" s="28" t="n">
        <v>0.420168</v>
      </c>
      <c r="O7" s="28" t="n">
        <v>0.528676</v>
      </c>
      <c r="P7" s="28" t="n"/>
      <c r="Q7" s="28" t="n">
        <v>0.108508</v>
      </c>
      <c r="R7" s="26" t="n">
        <v>74</v>
      </c>
      <c r="S7" s="29" t="n">
        <v>0.75</v>
      </c>
      <c r="T7" s="24" t="inlineStr">
        <is>
          <t>valorant-tiered-elo-v4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0.4200 (market_slug=aec-valorant-beg-kcg-2026-07-28).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Barça eSports GC</t>
        </is>
      </c>
      <c r="AT7" s="24" t="inlineStr">
        <is>
          <t>Barça eSports GC</t>
        </is>
      </c>
      <c r="AU7" s="24" t="inlineStr">
        <is>
          <t>Barça eSports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cee841572684572d854c56b6d6e919489ee19e082da259a5e2f60f76864ab64f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cee841572684572d854c56b6d6e919489ee19e082da259a5e2f60f76864ab64f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2026-07-28T14:24:24.591584Z</t>
        </is>
      </c>
      <c r="BI7" s="24" t="inlineStr">
        <is>
          <t>["same_event","same_team_same_day","same_league_same_day"]</t>
        </is>
      </c>
      <c r="BJ7" s="25" t="n"/>
      <c r="BK7" s="26" t="n">
        <v>138</v>
      </c>
      <c r="BL7" s="27" t="n">
        <v>2.38</v>
      </c>
      <c r="BM7" s="28" t="n">
        <v>0.420168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2026-07-28T14:24:30Z</dcterms:created>
  <dcterms:modified xsi:type="dcterms:W3CDTF">2026-07-28T14:24:30Z</dcterms:modified>
</cp:coreProperties>
</file>