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4" headerRowCount="1">
  <autoFilter ref="A1:CQ14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COUNTA('Picks'!$A$2:$A$14)</f>
        <v/>
      </c>
      <c r="C4" s="6">
        <f>COUNTIF('Picks'!$U$2:$U$14,"open")</f>
        <v/>
      </c>
      <c r="E4" s="6">
        <f>COUNTIF('Picks'!$U$2:$U$14,"settled")</f>
        <v/>
      </c>
      <c r="G4" s="6">
        <f>IF(COUNTIFS('Picks'!$U$2:$U$14,"settled",'Picks'!$V$2:$V$14,"win")+COUNTIFS('Picks'!$U$2:$U$14,"settled",'Picks'!$V$2:$V$14,"loss")&gt;=$L$2,"Ready","Insufficient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COUNTIF('Picks'!$BX$2:$BX$14,"&gt;0")</f>
        <v/>
      </c>
      <c r="C7" s="6">
        <f>COUNTIFS('Picks'!$BX$2:$BX$14,"&gt;0",'Picks'!$V$2:$V$14,"win")&amp;"-"&amp;COUNTIFS('Picks'!$BX$2:$BX$14,"&gt;0",'Picks'!$V$2:$V$14,"loss")</f>
        <v/>
      </c>
      <c r="E7" s="7">
        <f>IFERROR(COUNTIFS('Picks'!$BX$2:$BX$14,"&gt;0",'Picks'!$V$2:$V$14,"win")/(COUNTIFS('Picks'!$BX$2:$BX$14,"&gt;0",'Picks'!$V$2:$V$14,"win")+COUNTIFS('Picks'!$BX$2:$BX$14,"&gt;0",'Picks'!$V$2:$V$14,"loss")),0)</f>
        <v/>
      </c>
      <c r="G7" s="7">
        <f>IFERROR(SUM('Picks'!$BY$2:$BY$14)/SUM('Picks'!$BX$2:$BX$14),0)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SUM('Picks'!$BY$2:$BY$14)</f>
        <v/>
      </c>
      <c r="C10" s="9">
        <f>IFERROR(AVERAGEIF('Picks'!$AB$2:$AB$14,"&lt;&gt;",'Picks'!$AB$2:$AB$14),0)</f>
        <v/>
      </c>
      <c r="E10" s="6">
        <f>COUNTIFS('Picks'!$AM$2:$AM$14,"QUALIFIED_SHADOW_CALL",'Picks'!$U$2:$U$14,"settled")</f>
        <v/>
      </c>
      <c r="G10" s="8">
        <f>SUMIFS('Picks'!$AC$2:$AC$14,'Picks'!$AM$2:$AM$14,"QUALIFIED_SHADOW_CALL")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COUNTIFS('Picks'!$H$2:$H$14,$A14,'Picks'!$U$2:$U$14,"settled")</f>
        <v/>
      </c>
      <c r="C14" s="13">
        <f>COUNTIFS('Picks'!$H$2:$H$14,$A14,'Picks'!$U$2:$U$14,"settled",'Picks'!$V$2:$V$14,"win")</f>
        <v/>
      </c>
      <c r="D14" s="13">
        <f>COUNTIFS('Picks'!$H$2:$H$14,$A14,'Picks'!$U$2:$U$14,"settled",'Picks'!$V$2:$V$14,"loss")</f>
        <v/>
      </c>
      <c r="E14" s="14">
        <f>IFERROR(C14/(C14+D14),0)</f>
        <v/>
      </c>
      <c r="F14" s="15">
        <f>SUMIFS('Picks'!$BY$2:$BY$14,'Picks'!$H$2:$H$14,$A14)</f>
        <v/>
      </c>
      <c r="G14" s="16">
        <f>IFERROR(AVERAGEIFS('Picks'!$AB$2:$AB$14,'Picks'!$H$2:$H$14,$A14,'Picks'!$U$2:$U$14,"settled"),0)</f>
        <v/>
      </c>
    </row>
    <row r="15">
      <c r="A15" s="17" t="inlineStr">
        <is>
          <t>spread</t>
        </is>
      </c>
      <c r="B15" s="18">
        <f>COUNTIFS('Picks'!$H$2:$H$14,$A15,'Picks'!$U$2:$U$14,"settled")</f>
        <v/>
      </c>
      <c r="C15" s="18">
        <f>COUNTIFS('Picks'!$H$2:$H$14,$A15,'Picks'!$U$2:$U$14,"settled",'Picks'!$V$2:$V$14,"win")</f>
        <v/>
      </c>
      <c r="D15" s="18">
        <f>COUNTIFS('Picks'!$H$2:$H$14,$A15,'Picks'!$U$2:$U$14,"settled",'Picks'!$V$2:$V$14,"loss")</f>
        <v/>
      </c>
      <c r="E15" s="19">
        <f>IFERROR(C15/(C15+D15),0)</f>
        <v/>
      </c>
      <c r="F15" s="20">
        <f>SUMIFS('Picks'!$BY$2:$BY$14,'Picks'!$H$2:$H$14,$A15)</f>
        <v/>
      </c>
      <c r="G15" s="21">
        <f>IFERROR(AVERAGEIFS('Picks'!$AB$2:$AB$14,'Picks'!$H$2:$H$14,$A15,'Picks'!$U$2:$U$14,"settled"),0)</f>
        <v/>
      </c>
    </row>
    <row r="16">
      <c r="A16" s="12" t="inlineStr">
        <is>
          <t>total</t>
        </is>
      </c>
      <c r="B16" s="13">
        <f>COUNTIFS('Picks'!$H$2:$H$14,$A16,'Picks'!$U$2:$U$14,"settled")</f>
        <v/>
      </c>
      <c r="C16" s="13">
        <f>COUNTIFS('Picks'!$H$2:$H$14,$A16,'Picks'!$U$2:$U$14,"settled",'Picks'!$V$2:$V$14,"win")</f>
        <v/>
      </c>
      <c r="D16" s="13">
        <f>COUNTIFS('Picks'!$H$2:$H$14,$A16,'Picks'!$U$2:$U$14,"settled",'Picks'!$V$2:$V$14,"loss")</f>
        <v/>
      </c>
      <c r="E16" s="14">
        <f>IFERROR(C16/(C16+D16),0)</f>
        <v/>
      </c>
      <c r="F16" s="15">
        <f>SUMIFS('Picks'!$BY$2:$BY$14,'Picks'!$H$2:$H$14,$A16)</f>
        <v/>
      </c>
      <c r="G16" s="16">
        <f>IFERROR(AVERAGEIFS('Picks'!$AB$2:$AB$14,'Picks'!$H$2:$H$14,$A16,'Picks'!$U$2:$U$14,"settled"),0)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2026-08-02T15:53:33.702018Z</t>
        </is>
      </c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esports market settled to a non-binary price (forfeit/postponement per market rules)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d46b1c6c074d4d79</t>
        </is>
      </c>
      <c r="B14" s="24" t="inlineStr">
        <is>
          <t>2026-08-02T16:53:33.678893Z</t>
        </is>
      </c>
      <c r="C14" s="24" t="inlineStr">
        <is>
          <t>2026-08-02T17:00:00Z</t>
        </is>
      </c>
      <c r="D14" s="24" t="inlineStr">
        <is>
          <t>69263</t>
        </is>
      </c>
      <c r="E14" s="24" t="inlineStr">
        <is>
          <t>CS2</t>
        </is>
      </c>
      <c r="F14" s="24" t="inlineStr">
        <is>
          <t>ENJOY</t>
        </is>
      </c>
      <c r="G14" s="24" t="inlineStr">
        <is>
          <t>Mai Tai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0.68024</v>
      </c>
      <c r="P14" s="28" t="n"/>
      <c r="Q14" s="28" t="n">
        <v>0.020376</v>
      </c>
      <c r="R14" s="26" t="n">
        <v>30</v>
      </c>
      <c r="S14" s="29" t="n">
        <v>1.75</v>
      </c>
      <c r="T14" s="24" t="inlineStr">
        <is>
          <t>cs2-tiered-elo-v5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0.6600 (market_slug=aec-cs2-mta-enjoy-2026-08-02).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ENJOY</t>
        </is>
      </c>
      <c r="AQ14" s="24" t="inlineStr">
        <is>
          <t>ENJOY</t>
        </is>
      </c>
      <c r="AR14" s="24" t="inlineStr">
        <is>
          <t>ENJOY</t>
        </is>
      </c>
      <c r="AS14" s="24" t="inlineStr">
        <is>
          <t>Mai Tai</t>
        </is>
      </c>
      <c r="AT14" s="24" t="inlineStr">
        <is>
          <t>Mai Tai</t>
        </is>
      </c>
      <c r="AU14" s="24" t="inlineStr">
        <is>
          <t>Mai Tai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4c897e659ec9db491c18706ace7c94ba8af6df222c16d377d3bd7391aba18f91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4c897e659ec9db491c18706ace7c94ba8af6df222c16d377d3bd7391aba18f91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2026-08-02T16:53:19.829844Z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2026-08-02T18:21:06Z</dcterms:created>
  <dcterms:modified xsi:type="dcterms:W3CDTF">2026-08-02T18:21:06Z</dcterms:modified>
</cp:coreProperties>
</file>