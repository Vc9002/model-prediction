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77" headerRowCount="1">
  <autoFilter ref="A1:CS7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COUNTA('Picks'!$A$2:$A$77)</f>
        <v/>
      </c>
      <c r="C4" s="6">
        <f>COUNTIF('Picks'!$U$2:$U$77,"open")</f>
        <v/>
      </c>
      <c r="E4" s="6">
        <f>COUNTIF('Picks'!$U$2:$U$77,"settled")</f>
        <v/>
      </c>
      <c r="G4" s="6">
        <f>IF(COUNTIFS('Picks'!$U$2:$U$77,"settled",'Picks'!$V$2:$V$77,"win")+COUNTIFS('Picks'!$U$2:$U$77,"settled",'Picks'!$V$2:$V$77,"loss")&gt;=$L$2,"Ready","Insufficient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COUNTIF('Picks'!$BX$2:$BX$77,"&gt;0")</f>
        <v/>
      </c>
      <c r="C7" s="6">
        <f>COUNTIFS('Picks'!$BX$2:$BX$77,"&gt;0",'Picks'!$V$2:$V$77,"win")&amp;"-"&amp;COUNTIFS('Picks'!$BX$2:$BX$77,"&gt;0",'Picks'!$V$2:$V$77,"loss")</f>
        <v/>
      </c>
      <c r="E7" s="7">
        <f>IFERROR(COUNTIFS('Picks'!$BX$2:$BX$77,"&gt;0",'Picks'!$V$2:$V$77,"win")/(COUNTIFS('Picks'!$BX$2:$BX$77,"&gt;0",'Picks'!$V$2:$V$77,"win")+COUNTIFS('Picks'!$BX$2:$BX$77,"&gt;0",'Picks'!$V$2:$V$77,"loss")),0)</f>
        <v/>
      </c>
      <c r="G7" s="7">
        <f>IFERROR(SUM('Picks'!$BY$2:$BY$77)/SUM('Picks'!$BX$2:$BX$77),0)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SUM('Picks'!$BY$2:$BY$77)</f>
        <v/>
      </c>
      <c r="C10" s="9">
        <f>IFERROR(AVERAGEIF('Picks'!$AB$2:$AB$77,"&lt;&gt;",'Picks'!$AB$2:$AB$77),0)</f>
        <v/>
      </c>
      <c r="E10" s="6">
        <f>COUNTIFS('Picks'!$AM$2:$AM$77,"QUALIFIED_SHADOW_CALL",'Picks'!$U$2:$U$77,"settled")</f>
        <v/>
      </c>
      <c r="G10" s="8">
        <f>SUMIFS('Picks'!$AC$2:$AC$77,'Picks'!$AM$2:$AM$77,"QUALIFIED_SHADOW_CALL")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COUNTIFS('Picks'!$H$2:$H$77,$A14,'Picks'!$U$2:$U$77,"settled")</f>
        <v/>
      </c>
      <c r="C14" s="13">
        <f>COUNTIFS('Picks'!$H$2:$H$77,$A14,'Picks'!$U$2:$U$77,"settled",'Picks'!$V$2:$V$77,"win")</f>
        <v/>
      </c>
      <c r="D14" s="13">
        <f>COUNTIFS('Picks'!$H$2:$H$77,$A14,'Picks'!$U$2:$U$77,"settled",'Picks'!$V$2:$V$77,"loss")</f>
        <v/>
      </c>
      <c r="E14" s="14">
        <f>IFERROR(C14/(C14+D14),0)</f>
        <v/>
      </c>
      <c r="F14" s="15">
        <f>SUMIFS('Picks'!$BY$2:$BY$77,'Picks'!$H$2:$H$77,$A14)</f>
        <v/>
      </c>
      <c r="G14" s="16">
        <f>IFERROR(AVERAGEIFS('Picks'!$AB$2:$AB$77,'Picks'!$H$2:$H$77,$A14,'Picks'!$U$2:$U$77,"settled"),0)</f>
        <v/>
      </c>
    </row>
    <row r="15">
      <c r="A15" s="17" t="inlineStr">
        <is>
          <t>spread</t>
        </is>
      </c>
      <c r="B15" s="18">
        <f>COUNTIFS('Picks'!$H$2:$H$77,$A15,'Picks'!$U$2:$U$77,"settled")</f>
        <v/>
      </c>
      <c r="C15" s="18">
        <f>COUNTIFS('Picks'!$H$2:$H$77,$A15,'Picks'!$U$2:$U$77,"settled",'Picks'!$V$2:$V$77,"win")</f>
        <v/>
      </c>
      <c r="D15" s="18">
        <f>COUNTIFS('Picks'!$H$2:$H$77,$A15,'Picks'!$U$2:$U$77,"settled",'Picks'!$V$2:$V$77,"loss")</f>
        <v/>
      </c>
      <c r="E15" s="19">
        <f>IFERROR(C15/(C15+D15),0)</f>
        <v/>
      </c>
      <c r="F15" s="20">
        <f>SUMIFS('Picks'!$BY$2:$BY$77,'Picks'!$H$2:$H$77,$A15)</f>
        <v/>
      </c>
      <c r="G15" s="21">
        <f>IFERROR(AVERAGEIFS('Picks'!$AB$2:$AB$77,'Picks'!$H$2:$H$77,$A15,'Picks'!$U$2:$U$77,"settled"),0)</f>
        <v/>
      </c>
    </row>
    <row r="16">
      <c r="A16" s="12" t="inlineStr">
        <is>
          <t>total</t>
        </is>
      </c>
      <c r="B16" s="13">
        <f>COUNTIFS('Picks'!$H$2:$H$77,$A16,'Picks'!$U$2:$U$77,"settled")</f>
        <v/>
      </c>
      <c r="C16" s="13">
        <f>COUNTIFS('Picks'!$H$2:$H$77,$A16,'Picks'!$U$2:$U$77,"settled",'Picks'!$V$2:$V$77,"win")</f>
        <v/>
      </c>
      <c r="D16" s="13">
        <f>COUNTIFS('Picks'!$H$2:$H$77,$A16,'Picks'!$U$2:$U$77,"settled",'Picks'!$V$2:$V$77,"loss")</f>
        <v/>
      </c>
      <c r="E16" s="14">
        <f>IFERROR(C16/(C16+D16),0)</f>
        <v/>
      </c>
      <c r="F16" s="15">
        <f>SUMIFS('Picks'!$BY$2:$BY$77,'Picks'!$H$2:$H$77,$A16)</f>
        <v/>
      </c>
      <c r="G16" s="16">
        <f>IFERROR(AVERAGEIFS('Picks'!$AB$2:$AB$77,'Picks'!$H$2:$H$77,$A16,'Picks'!$U$2:$U$77,"settled"),0)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</v>
      </c>
      <c r="AC16" s="30" t="n">
        <v>1</v>
      </c>
      <c r="AD16" s="24" t="inlineStr">
        <is>
          <t>2026-08-05T01:06:35.233639Z</t>
        </is>
      </c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1.04</v>
      </c>
      <c r="AD17" s="24" t="inlineStr">
        <is>
          <t>2026-08-04T14:03:59.228709Z</t>
        </is>
      </c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-138</v>
      </c>
      <c r="AA18" s="28" t="n">
        <v>0.58</v>
      </c>
      <c r="AB18" s="28" t="n">
        <v>0.000168</v>
      </c>
      <c r="AC18" s="30" t="n">
        <v>-2</v>
      </c>
      <c r="AD18" s="24" t="inlineStr">
        <is>
          <t>2026-08-04T14:04:00.544032Z</t>
        </is>
      </c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>
        <v>1.724638</v>
      </c>
      <c r="BR18" s="28" t="n">
        <v>0.58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c8987915a30b4168</t>
        </is>
      </c>
      <c r="B19" s="24" t="inlineStr">
        <is>
          <t>2026-08-04T16:54:42.280324Z</t>
        </is>
      </c>
      <c r="C19" s="24" t="inlineStr">
        <is>
          <t>2026-08-04T17:00:00Z</t>
        </is>
      </c>
      <c r="D19" s="24" t="inlineStr">
        <is>
          <t>71337</t>
        </is>
      </c>
      <c r="E19" s="24" t="inlineStr">
        <is>
          <t>CS2</t>
        </is>
      </c>
      <c r="F19" s="24" t="inlineStr">
        <is>
          <t>A Great Chaos</t>
        </is>
      </c>
      <c r="G19" s="24" t="inlineStr">
        <is>
          <t>Fortress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0.580391</v>
      </c>
      <c r="P19" s="28" t="n"/>
      <c r="Q19" s="28" t="n">
        <v>0.02092</v>
      </c>
      <c r="R19" s="26" t="n">
        <v>30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-127</v>
      </c>
      <c r="AA19" s="28" t="n">
        <v>0.5600000000000001</v>
      </c>
      <c r="AB19" s="28" t="n">
        <v>0.000529</v>
      </c>
      <c r="AC19" s="30" t="n">
        <v>0.9843</v>
      </c>
      <c r="AD19" s="24" t="inlineStr">
        <is>
          <t>2026-08-04T18:04:49.354797Z</t>
        </is>
      </c>
      <c r="AE19" s="31" t="inlineStr">
        <is>
          <t>Neutral Elo baseline; executable ask 0.5600 (market_slug=aec-cs2-for-agc-2026-08-04).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A Great Chaos</t>
        </is>
      </c>
      <c r="AQ19" s="24" t="inlineStr">
        <is>
          <t>A Great Chaos</t>
        </is>
      </c>
      <c r="AR19" s="24" t="inlineStr">
        <is>
          <t>A Great Chaos</t>
        </is>
      </c>
      <c r="AS19" s="24" t="inlineStr">
        <is>
          <t>Fortress</t>
        </is>
      </c>
      <c r="AT19" s="24" t="inlineStr">
        <is>
          <t>Fortress</t>
        </is>
      </c>
      <c r="AU19" s="24" t="inlineStr">
        <is>
          <t>Fortress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87e73f3e8c33751dbc7005b4404d0ee0ac9b9f8c3869a8f2e7fbc367004c2f64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87e73f3e8c33751dbc7005b4404d0ee0ac9b9f8c3869a8f2e7fbc367004c2f64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2026-08-04T16:54:14.340644Z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>
        <v>1.787402</v>
      </c>
      <c r="BR19" s="28" t="n">
        <v>0.5600000000000001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c1476e72f76d4983</t>
        </is>
      </c>
      <c r="B20" s="24" t="inlineStr">
        <is>
          <t>2026-08-04T18:08:37.067138Z</t>
        </is>
      </c>
      <c r="C20" s="24" t="inlineStr">
        <is>
          <t>2026-08-04T18:30:00Z</t>
        </is>
      </c>
      <c r="D20" s="24" t="inlineStr">
        <is>
          <t>71391</t>
        </is>
      </c>
      <c r="E20" s="24" t="inlineStr">
        <is>
          <t>CS2</t>
        </is>
      </c>
      <c r="F20" s="24" t="inlineStr">
        <is>
          <t>A Great Chaos</t>
        </is>
      </c>
      <c r="G20" s="24" t="inlineStr">
        <is>
          <t>FAST LAYNERS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0.633669</v>
      </c>
      <c r="P20" s="28" t="n"/>
      <c r="Q20" s="28" t="n">
        <v>0.074198</v>
      </c>
      <c r="R20" s="26" t="n">
        <v>57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-127</v>
      </c>
      <c r="AA20" s="28" t="n">
        <v>0.5600000000000001</v>
      </c>
      <c r="AB20" s="28" t="n">
        <v>0.000529</v>
      </c>
      <c r="AC20" s="30" t="n">
        <v>-1.5</v>
      </c>
      <c r="AD20" s="24" t="inlineStr">
        <is>
          <t>2026-08-04T22:00:01.153467Z</t>
        </is>
      </c>
      <c r="AE20" s="31" t="inlineStr">
        <is>
          <t>Neutral Elo baseline; executable ask 0.5600 (market_slug=aec-cs2-fla-agc-2026-08-04).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 Great Chaos</t>
        </is>
      </c>
      <c r="AQ20" s="24" t="inlineStr">
        <is>
          <t>A Great Chaos</t>
        </is>
      </c>
      <c r="AR20" s="24" t="inlineStr">
        <is>
          <t>A Great Chaos</t>
        </is>
      </c>
      <c r="AS20" s="24" t="inlineStr">
        <is>
          <t>FAST LAYNERS</t>
        </is>
      </c>
      <c r="AT20" s="24" t="inlineStr">
        <is>
          <t>FAST LAYNERS</t>
        </is>
      </c>
      <c r="AU20" s="24" t="inlineStr">
        <is>
          <t>FAST LAYNERS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3d3dc6a4f0641cb9aa015aaf4ccd2f260230dfea2e1b613f3ccdb860b2230f3e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3d3dc6a4f0641cb9aa015aaf4ccd2f260230dfea2e1b613f3ccdb860b2230f3e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2026-08-04T18:08:12.712388Z</t>
        </is>
      </c>
      <c r="BI20" s="24" t="inlineStr">
        <is>
          <t>["same_event","same_team_same_day","same_league_same_day"]</t>
        </is>
      </c>
      <c r="BJ20" s="25" t="n"/>
      <c r="BK20" s="26" t="n">
        <v>-127</v>
      </c>
      <c r="BL20" s="27" t="n">
        <v>1.787402</v>
      </c>
      <c r="BM20" s="28" t="n">
        <v>0.5594710000000001</v>
      </c>
      <c r="BN20" s="28" t="n"/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4ca8334d2c034365</t>
        </is>
      </c>
      <c r="B21" s="24" t="inlineStr">
        <is>
          <t>2026-08-04T18:08:37.067138Z</t>
        </is>
      </c>
      <c r="C21" s="24" t="inlineStr">
        <is>
          <t>2026-08-04T18:30:00Z</t>
        </is>
      </c>
      <c r="D21" s="24" t="inlineStr">
        <is>
          <t>71389</t>
        </is>
      </c>
      <c r="E21" s="24" t="inlineStr">
        <is>
          <t>CS2</t>
        </is>
      </c>
      <c r="F21" s="24" t="inlineStr">
        <is>
          <t>Banger Gang</t>
        </is>
      </c>
      <c r="G21" s="24" t="inlineStr">
        <is>
          <t>Arch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0.684275</v>
      </c>
      <c r="P21" s="28" t="n"/>
      <c r="Q21" s="28" t="n">
        <v>0.174471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-104</v>
      </c>
      <c r="AA21" s="28" t="n">
        <v>0.51</v>
      </c>
      <c r="AB21" s="28" t="n">
        <v>0.000196</v>
      </c>
      <c r="AC21" s="30" t="n">
        <v>-2</v>
      </c>
      <c r="AD21" s="24" t="inlineStr">
        <is>
          <t>2026-08-05T01:06:37.190424Z</t>
        </is>
      </c>
      <c r="AE21" s="31" t="inlineStr">
        <is>
          <t>Neutral Elo baseline; executable ask 0.5100 (market_slug=aec-cs2-arch-bg-2026-08-04).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Banger Gang</t>
        </is>
      </c>
      <c r="AQ21" s="24" t="inlineStr">
        <is>
          <t>Banger Gang</t>
        </is>
      </c>
      <c r="AR21" s="24" t="inlineStr">
        <is>
          <t>Banger Gang</t>
        </is>
      </c>
      <c r="AS21" s="24" t="inlineStr">
        <is>
          <t>Arch</t>
        </is>
      </c>
      <c r="AT21" s="24" t="inlineStr">
        <is>
          <t>Arch</t>
        </is>
      </c>
      <c r="AU21" s="24" t="inlineStr">
        <is>
          <t>Arch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3d3dc6a4f0641cb9aa015aaf4ccd2f260230dfea2e1b613f3ccdb860b2230f3e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3d3dc6a4f0641cb9aa015aaf4ccd2f260230dfea2e1b613f3ccdb860b2230f3e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2026-08-04T18:08:14.227023Z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/>
      <c r="BO21" s="28" t="n"/>
      <c r="BP21" s="25" t="n"/>
      <c r="BQ21" s="27" t="n">
        <v>1.961538</v>
      </c>
      <c r="BR21" s="28" t="n">
        <v>0.51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a3bc7316012e44cf</t>
        </is>
      </c>
      <c r="B22" s="24" t="inlineStr">
        <is>
          <t>2026-08-04T18:08:37.067138Z</t>
        </is>
      </c>
      <c r="C22" s="24" t="inlineStr">
        <is>
          <t>2026-08-04T18:30:00Z</t>
        </is>
      </c>
      <c r="D22" s="24" t="inlineStr">
        <is>
          <t>71388</t>
        </is>
      </c>
      <c r="E22" s="24" t="inlineStr">
        <is>
          <t>CS2</t>
        </is>
      </c>
      <c r="F22" s="24" t="inlineStr">
        <is>
          <t>Fraternity</t>
        </is>
      </c>
      <c r="G22" s="24" t="inlineStr">
        <is>
          <t>PURE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0.556272</v>
      </c>
      <c r="P22" s="28" t="n"/>
      <c r="Q22" s="28" t="n">
        <v>0.025756</v>
      </c>
      <c r="R22" s="26" t="n">
        <v>33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0.885</v>
      </c>
      <c r="AD22" s="24" t="inlineStr">
        <is>
          <t>2026-08-04T22:00:03.473429Z</t>
        </is>
      </c>
      <c r="AE22" s="31" t="inlineStr">
        <is>
          <t>Neutral Elo baseline; executable ask 0.5300 (market_slug=aec-cs2-pure-frt-2026-08-04).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Fraternity</t>
        </is>
      </c>
      <c r="AQ22" s="24" t="inlineStr">
        <is>
          <t>Fraternity</t>
        </is>
      </c>
      <c r="AR22" s="24" t="inlineStr">
        <is>
          <t>Fraternity</t>
        </is>
      </c>
      <c r="AS22" s="24" t="inlineStr">
        <is>
          <t>PURE</t>
        </is>
      </c>
      <c r="AT22" s="24" t="inlineStr">
        <is>
          <t>PURE</t>
        </is>
      </c>
      <c r="AU22" s="24" t="inlineStr">
        <is>
          <t>PURE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3d3dc6a4f0641cb9aa015aaf4ccd2f260230dfea2e1b613f3ccdb860b2230f3e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3d3dc6a4f0641cb9aa015aaf4ccd2f260230dfea2e1b613f3ccdb860b2230f3e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2026-08-04T18:08:15.431614Z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0ec6b33176e14a00</t>
        </is>
      </c>
      <c r="B23" s="24" t="inlineStr">
        <is>
          <t>2026-08-04T18:08:37.067138Z</t>
        </is>
      </c>
      <c r="C23" s="24" t="inlineStr">
        <is>
          <t>2026-08-04T18:30:00Z</t>
        </is>
      </c>
      <c r="D23" s="24" t="inlineStr">
        <is>
          <t>71387</t>
        </is>
      </c>
      <c r="E23" s="24" t="inlineStr">
        <is>
          <t>CS2</t>
        </is>
      </c>
      <c r="F23" s="24" t="inlineStr">
        <is>
          <t>OLDBOYS PL</t>
        </is>
      </c>
      <c r="G23" s="24" t="inlineStr">
        <is>
          <t>eSuba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0.595428</v>
      </c>
      <c r="P23" s="28" t="n"/>
      <c r="Q23" s="28" t="n">
        <v>0.015596</v>
      </c>
      <c r="R23" s="26" t="n">
        <v>28</v>
      </c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0.9058</v>
      </c>
      <c r="AD23" s="24" t="inlineStr">
        <is>
          <t>2026-08-06T18:56:55.373994Z</t>
        </is>
      </c>
      <c r="AE23" s="31" t="inlineStr">
        <is>
          <t>Neutral Elo baseline; executable ask 0.5800 (market_slug=aec-cs2-esb-oldboyspl-2026-08-04).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OLDBOYS PL</t>
        </is>
      </c>
      <c r="AQ23" s="24" t="inlineStr">
        <is>
          <t>OLDBOYS PL</t>
        </is>
      </c>
      <c r="AR23" s="24" t="inlineStr">
        <is>
          <t>OLDBOYS PL</t>
        </is>
      </c>
      <c r="AS23" s="24" t="inlineStr">
        <is>
          <t>eSuba</t>
        </is>
      </c>
      <c r="AT23" s="24" t="inlineStr">
        <is>
          <t>eSuba</t>
        </is>
      </c>
      <c r="AU23" s="24" t="inlineStr">
        <is>
          <t>eSuba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3d3dc6a4f0641cb9aa015aaf4ccd2f260230dfea2e1b613f3ccdb860b2230f3e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3d3dc6a4f0641cb9aa015aaf4ccd2f260230dfea2e1b613f3ccdb860b2230f3e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2026-08-04T18:08:16.175127Z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b9491e32cfde4c99</t>
        </is>
      </c>
      <c r="B24" s="24" t="inlineStr">
        <is>
          <t>2026-08-04T18:08:37.067138Z</t>
        </is>
      </c>
      <c r="C24" s="24" t="inlineStr">
        <is>
          <t>2026-08-04T18:30:00Z</t>
        </is>
      </c>
      <c r="D24" s="24" t="inlineStr">
        <is>
          <t>71382</t>
        </is>
      </c>
      <c r="E24" s="24" t="inlineStr">
        <is>
          <t>CS2</t>
        </is>
      </c>
      <c r="F24" s="24" t="inlineStr">
        <is>
          <t>JUMBO TEAM</t>
        </is>
      </c>
      <c r="G24" s="24" t="inlineStr">
        <is>
          <t>Benched gods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117</v>
      </c>
      <c r="M24" s="27" t="n">
        <v>2.17</v>
      </c>
      <c r="N24" s="28" t="n">
        <v>0.460829</v>
      </c>
      <c r="O24" s="28" t="n">
        <v>0.674864</v>
      </c>
      <c r="P24" s="28" t="n"/>
      <c r="Q24" s="28" t="n">
        <v>0.214035</v>
      </c>
      <c r="R24" s="26" t="n">
        <v>100</v>
      </c>
      <c r="S24" s="29" t="n">
        <v>1.75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117</v>
      </c>
      <c r="AA24" s="28" t="n">
        <v>0.46</v>
      </c>
      <c r="AB24" s="28" t="n">
        <v>-0.000829</v>
      </c>
      <c r="AC24" s="30" t="n">
        <v>-1.75</v>
      </c>
      <c r="AD24" s="24" t="inlineStr">
        <is>
          <t>2026-08-04T22:00:05.758684Z</t>
        </is>
      </c>
      <c r="AE24" s="31" t="inlineStr">
        <is>
          <t>Neutral Elo baseline; executable ask 0.4600 (market_slug=aec-cs2-bge-jumbo-2026-08-04).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JUMBO TEAM</t>
        </is>
      </c>
      <c r="AQ24" s="24" t="inlineStr">
        <is>
          <t>JUMBO TEAM</t>
        </is>
      </c>
      <c r="AR24" s="24" t="inlineStr">
        <is>
          <t>JUMBO TEAM</t>
        </is>
      </c>
      <c r="AS24" s="24" t="inlineStr">
        <is>
          <t>Benched gods</t>
        </is>
      </c>
      <c r="AT24" s="24" t="inlineStr">
        <is>
          <t>Benched gods</t>
        </is>
      </c>
      <c r="AU24" s="24" t="inlineStr">
        <is>
          <t>Benched gods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3d3dc6a4f0641cb9aa015aaf4ccd2f260230dfea2e1b613f3ccdb860b2230f3e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3d3dc6a4f0641cb9aa015aaf4ccd2f260230dfea2e1b613f3ccdb860b2230f3e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2026-08-04T18:08:19.220614Z</t>
        </is>
      </c>
      <c r="BI24" s="24" t="inlineStr">
        <is>
          <t>["same_event","same_team_same_day","same_league_same_day"]</t>
        </is>
      </c>
      <c r="BJ24" s="25" t="n"/>
      <c r="BK24" s="26" t="n">
        <v>117</v>
      </c>
      <c r="BL24" s="27" t="n">
        <v>2.17</v>
      </c>
      <c r="BM24" s="28" t="n">
        <v>0.460829</v>
      </c>
      <c r="BN24" s="28" t="n"/>
      <c r="BO24" s="28" t="n"/>
      <c r="BP24" s="25" t="n"/>
      <c r="BQ24" s="27" t="n">
        <v>2.17</v>
      </c>
      <c r="BR24" s="28" t="n">
        <v>0.46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14721795855848fd</t>
        </is>
      </c>
      <c r="B25" s="24" t="inlineStr">
        <is>
          <t>2026-08-05T04:39:04.512717Z</t>
        </is>
      </c>
      <c r="C25" s="24" t="inlineStr">
        <is>
          <t>2026-08-05T10:00:00Z</t>
        </is>
      </c>
      <c r="D25" s="24" t="inlineStr">
        <is>
          <t>71795</t>
        </is>
      </c>
      <c r="E25" s="24" t="inlineStr">
        <is>
          <t>CS2</t>
        </is>
      </c>
      <c r="F25" s="24" t="inlineStr">
        <is>
          <t>Betclic Apogee Esports</t>
        </is>
      </c>
      <c r="G25" s="24" t="inlineStr">
        <is>
          <t>Johnny Speeds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0.5349</v>
      </c>
      <c r="P25" s="28" t="n"/>
      <c r="Q25" s="28" t="n">
        <v>0.144275</v>
      </c>
      <c r="R25" s="26" t="n">
        <v>92</v>
      </c>
      <c r="S25" s="29" t="n">
        <v>1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156</v>
      </c>
      <c r="AA25" s="28" t="n">
        <v>0.39</v>
      </c>
      <c r="AB25" s="28" t="n">
        <v>-0.000625</v>
      </c>
      <c r="AC25" s="30" t="n">
        <v>-1</v>
      </c>
      <c r="AD25" s="24" t="inlineStr">
        <is>
          <t>2026-08-05T13:51:52.669190Z</t>
        </is>
      </c>
      <c r="AE25" s="31" t="inlineStr">
        <is>
          <t>Neutral Elo baseline; executable ask 0.3900 (market_slug=aec-cs2-js-bca-2026-08-05).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Betclic Apogee Esports</t>
        </is>
      </c>
      <c r="AQ25" s="24" t="inlineStr">
        <is>
          <t>Betclic Apogee Esports</t>
        </is>
      </c>
      <c r="AR25" s="24" t="inlineStr">
        <is>
          <t>Betclic Apogee Esports</t>
        </is>
      </c>
      <c r="AS25" s="24" t="inlineStr">
        <is>
          <t>Johnny Speeds</t>
        </is>
      </c>
      <c r="AT25" s="24" t="inlineStr">
        <is>
          <t>Johnny Speeds</t>
        </is>
      </c>
      <c r="AU25" s="24" t="inlineStr">
        <is>
          <t>Johnny Speeds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79b38f494ba89a56e3ba1ee48b9a2a5937958160c434a13516c1eb8ec97a91aa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79b38f494ba89a56e3ba1ee48b9a2a5937958160c434a13516c1eb8ec97a91aa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2026-08-05T04:38:15.635268Z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>
        <v>2.56</v>
      </c>
      <c r="BR25" s="28" t="n">
        <v>0.39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9c70e97e2fa54b07</t>
        </is>
      </c>
      <c r="B26" s="24" t="inlineStr">
        <is>
          <t>2026-08-05T13:56:36.539226Z</t>
        </is>
      </c>
      <c r="C26" s="24" t="inlineStr">
        <is>
          <t>2026-08-05T16:30:00Z</t>
        </is>
      </c>
      <c r="D26" s="24" t="inlineStr">
        <is>
          <t>72533</t>
        </is>
      </c>
      <c r="E26" s="24" t="inlineStr">
        <is>
          <t>CS2</t>
        </is>
      </c>
      <c r="F26" s="24" t="inlineStr">
        <is>
          <t>XI Esport</t>
        </is>
      </c>
      <c r="G26" s="24" t="inlineStr">
        <is>
          <t>Esport BERG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0.633758</v>
      </c>
      <c r="P26" s="28" t="n"/>
      <c r="Q26" s="28" t="n">
        <v>0.21359</v>
      </c>
      <c r="R26" s="26" t="n">
        <v>100</v>
      </c>
      <c r="S26" s="29" t="n">
        <v>1.5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2.07</v>
      </c>
      <c r="AD26" s="24" t="inlineStr">
        <is>
          <t>2026-08-05T21:00:22.772699Z</t>
        </is>
      </c>
      <c r="AE26" s="31" t="inlineStr">
        <is>
          <t>Neutral Elo baseline; executable ask 0.4200 (market_slug=aec-cs2-berg-xi-2026-08-05).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XI Esport</t>
        </is>
      </c>
      <c r="AQ26" s="24" t="inlineStr">
        <is>
          <t>XI Esport</t>
        </is>
      </c>
      <c r="AR26" s="24" t="inlineStr">
        <is>
          <t>XI Esport</t>
        </is>
      </c>
      <c r="AS26" s="24" t="inlineStr">
        <is>
          <t>Esport BERG</t>
        </is>
      </c>
      <c r="AT26" s="24" t="inlineStr">
        <is>
          <t>Esport BERG</t>
        </is>
      </c>
      <c r="AU26" s="24" t="inlineStr">
        <is>
          <t>Esport BERG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95ef3685860928d3c12125a00cdf074ac4e628138aac112a58082f0ead77ffde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95ef3685860928d3c12125a00cdf074ac4e628138aac112a58082f0ead77ffde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2026-08-05T13:56:11.868130Z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f3cf5ec67dea499b</t>
        </is>
      </c>
      <c r="B27" s="24" t="inlineStr">
        <is>
          <t>2026-08-05T13:56:36.539226Z</t>
        </is>
      </c>
      <c r="C27" s="24" t="inlineStr">
        <is>
          <t>2026-08-05T17:00:00Z</t>
        </is>
      </c>
      <c r="D27" s="24" t="inlineStr">
        <is>
          <t>72534</t>
        </is>
      </c>
      <c r="E27" s="24" t="inlineStr">
        <is>
          <t>CS2</t>
        </is>
      </c>
      <c r="F27" s="24" t="inlineStr">
        <is>
          <t>Spirit Academy Green</t>
        </is>
      </c>
      <c r="G27" s="24" t="inlineStr">
        <is>
          <t>Falcons Force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0.647084</v>
      </c>
      <c r="P27" s="28" t="n"/>
      <c r="Q27" s="28" t="n">
        <v>0.017454</v>
      </c>
      <c r="R27" s="26" t="n">
        <v>29</v>
      </c>
      <c r="S27" s="29" t="n">
        <v>1.75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2026-08-05T21:00:24.139997Z</t>
        </is>
      </c>
      <c r="AE27" s="31" t="inlineStr">
        <is>
          <t>Neutral Elo baseline; executable ask 0.6300 (market_slug=aec-cs2-falf-sag-2026-08-05).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Spirit Academy Green</t>
        </is>
      </c>
      <c r="AQ27" s="24" t="inlineStr">
        <is>
          <t>Spirit Academy Green</t>
        </is>
      </c>
      <c r="AR27" s="24" t="inlineStr">
        <is>
          <t>Spirit Academy Green</t>
        </is>
      </c>
      <c r="AS27" s="24" t="inlineStr">
        <is>
          <t>Falcons Force</t>
        </is>
      </c>
      <c r="AT27" s="24" t="inlineStr">
        <is>
          <t>Falcons Force</t>
        </is>
      </c>
      <c r="AU27" s="24" t="inlineStr">
        <is>
          <t>Falcons Force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95ef3685860928d3c12125a00cdf074ac4e628138aac112a58082f0ead77ffde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95ef3685860928d3c12125a00cdf074ac4e628138aac112a58082f0ead77ffde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2026-08-05T13:56:13.589736Z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700dc7eb172049f7</t>
        </is>
      </c>
      <c r="B28" s="24" t="inlineStr">
        <is>
          <t>2026-08-05T17:05:00.161606Z</t>
        </is>
      </c>
      <c r="C28" s="24" t="inlineStr">
        <is>
          <t>2026-08-05T18:30:00Z</t>
        </is>
      </c>
      <c r="D28" s="24" t="inlineStr">
        <is>
          <t>72537</t>
        </is>
      </c>
      <c r="E28" s="24" t="inlineStr">
        <is>
          <t>CS2</t>
        </is>
      </c>
      <c r="F28" s="24" t="inlineStr">
        <is>
          <t>Drama eSports</t>
        </is>
      </c>
      <c r="G28" s="24" t="inlineStr">
        <is>
          <t>PURE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0.74863</v>
      </c>
      <c r="P28" s="28" t="n"/>
      <c r="Q28" s="28" t="n">
        <v>0.177815</v>
      </c>
      <c r="R28" s="26" t="n">
        <v>100</v>
      </c>
      <c r="S28" s="29" t="n">
        <v>2</v>
      </c>
      <c r="T28" s="24" t="inlineStr">
        <is>
          <t>cs2-tiered-elo-v6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0.5700 (market_slug=aec-cs2-pure-drama-2026-08-05).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Drama eSports</t>
        </is>
      </c>
      <c r="AQ28" s="24" t="inlineStr">
        <is>
          <t>Drama eSports</t>
        </is>
      </c>
      <c r="AR28" s="24" t="inlineStr">
        <is>
          <t>Drama eSports</t>
        </is>
      </c>
      <c r="AS28" s="24" t="inlineStr">
        <is>
          <t>PURE</t>
        </is>
      </c>
      <c r="AT28" s="24" t="inlineStr">
        <is>
          <t>PURE</t>
        </is>
      </c>
      <c r="AU28" s="24" t="inlineStr">
        <is>
          <t>PURE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19e41252784d7f0fb30ba60bf91a0e18dad6024caa2bc77a8c0649a56dcc9142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19e41252784d7f0fb30ba60bf91a0e18dad6024caa2bc77a8c0649a56dcc9142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2026-08-05T17:04:43.266243Z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fc9a348be3044e45</t>
        </is>
      </c>
      <c r="B29" s="24" t="inlineStr">
        <is>
          <t>2026-08-06T00:24:54.248921Z</t>
        </is>
      </c>
      <c r="C29" s="24" t="inlineStr">
        <is>
          <t>2026-08-06T08:00:00Z</t>
        </is>
      </c>
      <c r="D29" s="24" t="inlineStr">
        <is>
          <t>70562</t>
        </is>
      </c>
      <c r="E29" s="24" t="inlineStr">
        <is>
          <t>CS2</t>
        </is>
      </c>
      <c r="F29" s="24" t="inlineStr">
        <is>
          <t>Teletubisie</t>
        </is>
      </c>
      <c r="G29" s="24" t="inlineStr">
        <is>
          <t>WRAITH PCIFIC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117</v>
      </c>
      <c r="M29" s="27" t="n">
        <v>2.17</v>
      </c>
      <c r="N29" s="28" t="n">
        <v>0.460829</v>
      </c>
      <c r="O29" s="28" t="n">
        <v>0.605841</v>
      </c>
      <c r="P29" s="28" t="n"/>
      <c r="Q29" s="28" t="n">
        <v>0.145012</v>
      </c>
      <c r="R29" s="26" t="n">
        <v>93</v>
      </c>
      <c r="S29" s="29" t="n">
        <v>1.25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-1.25</v>
      </c>
      <c r="AD29" s="24" t="inlineStr">
        <is>
          <t>2026-08-06T18:56:58.366762Z</t>
        </is>
      </c>
      <c r="AE29" s="31" t="inlineStr">
        <is>
          <t>Neutral Elo baseline; executable ask 0.4600 (market_slug=aec-cs2-pcific-ttbs-2026-08-06).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Teletubisie</t>
        </is>
      </c>
      <c r="AQ29" s="24" t="inlineStr">
        <is>
          <t>Teletubisie</t>
        </is>
      </c>
      <c r="AR29" s="24" t="inlineStr">
        <is>
          <t>Teletubisie</t>
        </is>
      </c>
      <c r="AS29" s="24" t="inlineStr">
        <is>
          <t>WRAITH PCIFIC</t>
        </is>
      </c>
      <c r="AT29" s="24" t="inlineStr">
        <is>
          <t>WRAITH PCIFIC</t>
        </is>
      </c>
      <c r="AU29" s="24" t="inlineStr">
        <is>
          <t>WRAITH PCIFIC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95c0b03a7dffafd85c27ca9ed669e331e7385a1d064329e5a50c6fe806eb56d1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95c0b03a7dffafd85c27ca9ed669e331e7385a1d064329e5a50c6fe806eb56d1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2026-08-06T00:24:37.231379Z</t>
        </is>
      </c>
      <c r="BI29" s="24" t="inlineStr">
        <is>
          <t>["same_event","same_team_same_day","same_league_same_day"]</t>
        </is>
      </c>
      <c r="BJ29" s="25" t="n"/>
      <c r="BK29" s="26" t="n">
        <v>117</v>
      </c>
      <c r="BL29" s="27" t="n">
        <v>2.17</v>
      </c>
      <c r="BM29" s="28" t="n">
        <v>0.460829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0c1c2c0e06274713</t>
        </is>
      </c>
      <c r="B30" s="24" t="inlineStr">
        <is>
          <t>2026-08-06T00:24:54.248921Z</t>
        </is>
      </c>
      <c r="C30" s="24" t="inlineStr">
        <is>
          <t>2026-08-06T08:00:00Z</t>
        </is>
      </c>
      <c r="D30" s="24" t="inlineStr">
        <is>
          <t>72490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Lavked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0.5310550000000001</v>
      </c>
      <c r="P30" s="28" t="n"/>
      <c r="Q30" s="28" t="n">
        <v>0.110887</v>
      </c>
      <c r="R30" s="26" t="n">
        <v>75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2026-08-06T18:57:00.154478Z</t>
        </is>
      </c>
      <c r="AE30" s="31" t="inlineStr">
        <is>
          <t>Neutral Elo baseline; executable ask 0.4200 (market_slug=aec-cs2-lav-bpl-2026-08-06).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Lavked</t>
        </is>
      </c>
      <c r="AT30" s="24" t="inlineStr">
        <is>
          <t>Lavked</t>
        </is>
      </c>
      <c r="AU30" s="24" t="inlineStr">
        <is>
          <t>Lavked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95c0b03a7dffafd85c27ca9ed669e331e7385a1d064329e5a50c6fe806eb56d1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95c0b03a7dffafd85c27ca9ed669e331e7385a1d064329e5a50c6fe806eb56d1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2026-08-06T00:24:37.738828Z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3b760535fa614d51</t>
        </is>
      </c>
      <c r="B31" s="24" t="inlineStr">
        <is>
          <t>2026-08-06T00:24:54.248921Z</t>
        </is>
      </c>
      <c r="C31" s="24" t="inlineStr">
        <is>
          <t>2026-08-06T17:00:00Z</t>
        </is>
      </c>
      <c r="D31" s="24" t="inlineStr">
        <is>
          <t>72651</t>
        </is>
      </c>
      <c r="E31" s="24" t="inlineStr">
        <is>
          <t>CS2</t>
        </is>
      </c>
      <c r="F31" s="24" t="inlineStr">
        <is>
          <t>Yawara Esports</t>
        </is>
      </c>
      <c r="G31" s="24" t="inlineStr">
        <is>
          <t>Isurus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0.745356</v>
      </c>
      <c r="P31" s="28" t="n"/>
      <c r="Q31" s="28" t="n">
        <v>0.174541</v>
      </c>
      <c r="R31" s="26" t="n">
        <v>100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2026-08-07T06:01:51.262807Z</t>
        </is>
      </c>
      <c r="AE31" s="31" t="inlineStr">
        <is>
          <t>Neutral Elo baseline; executable ask 0.5700 (market_slug=aec-cs2-isg-yaw-2026-08-06).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Yawara Esports</t>
        </is>
      </c>
      <c r="AQ31" s="24" t="inlineStr">
        <is>
          <t>Yawara Esports</t>
        </is>
      </c>
      <c r="AR31" s="24" t="inlineStr">
        <is>
          <t>Yawara Esports</t>
        </is>
      </c>
      <c r="AS31" s="24" t="inlineStr">
        <is>
          <t>Isurus</t>
        </is>
      </c>
      <c r="AT31" s="24" t="inlineStr">
        <is>
          <t>Isurus</t>
        </is>
      </c>
      <c r="AU31" s="24" t="inlineStr">
        <is>
          <t>Isurus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95c0b03a7dffafd85c27ca9ed669e331e7385a1d064329e5a50c6fe806eb56d1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95c0b03a7dffafd85c27ca9ed669e331e7385a1d064329e5a50c6fe806eb56d1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2026-08-06T00:24:47.216028Z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6e8f0b9c0ce949b1</t>
        </is>
      </c>
      <c r="B32" s="24" t="inlineStr">
        <is>
          <t>2026-08-06T03:30:48.016807Z</t>
        </is>
      </c>
      <c r="C32" s="24" t="inlineStr">
        <is>
          <t>2026-08-06T08:00:00Z</t>
        </is>
      </c>
      <c r="D32" s="24" t="inlineStr">
        <is>
          <t>70561</t>
        </is>
      </c>
      <c r="E32" s="24" t="inlineStr">
        <is>
          <t>CS2</t>
        </is>
      </c>
      <c r="F32" s="24" t="inlineStr">
        <is>
          <t>Esport Academy Copenhagen</t>
        </is>
      </c>
      <c r="G32" s="24" t="inlineStr">
        <is>
          <t>Eternal Fire Academy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0.672341</v>
      </c>
      <c r="P32" s="28" t="n"/>
      <c r="Q32" s="28" t="n">
        <v>0.09250899999999999</v>
      </c>
      <c r="R32" s="26" t="n">
        <v>66</v>
      </c>
      <c r="S32" s="29" t="n">
        <v>1.75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-1.75</v>
      </c>
      <c r="AD32" s="24" t="inlineStr">
        <is>
          <t>2026-08-06T18:57:02.991757Z</t>
        </is>
      </c>
      <c r="AE32" s="31" t="inlineStr">
        <is>
          <t>Neutral Elo baseline; executable ask 0.5800 (market_slug=aec-cs2-efa-eac-2026-08-06).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Esport Academy Copenhagen</t>
        </is>
      </c>
      <c r="AQ32" s="24" t="inlineStr">
        <is>
          <t>Esport Academy Copenhagen</t>
        </is>
      </c>
      <c r="AR32" s="24" t="inlineStr">
        <is>
          <t>Esport Academy Copenhagen</t>
        </is>
      </c>
      <c r="AS32" s="24" t="inlineStr">
        <is>
          <t>Eternal Fire Academy</t>
        </is>
      </c>
      <c r="AT32" s="24" t="inlineStr">
        <is>
          <t>Eternal Fire Academy</t>
        </is>
      </c>
      <c r="AU32" s="24" t="inlineStr">
        <is>
          <t>Eternal Fire Academy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fe03335fd93db1544dba21d90e64b614b66d4504f6b07bd760b4633bb3785ef9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fe03335fd93db1544dba21d90e64b614b66d4504f6b07bd760b4633bb3785ef9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2026-08-06T03:30:28.428004Z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e001d63af3fa4b19</t>
        </is>
      </c>
      <c r="B33" s="24" t="inlineStr">
        <is>
          <t>2026-08-06T19:00:44.109783Z</t>
        </is>
      </c>
      <c r="C33" s="24" t="inlineStr">
        <is>
          <t>2026-08-06T20:00:00Z</t>
        </is>
      </c>
      <c r="D33" s="24" t="inlineStr">
        <is>
          <t>72652</t>
        </is>
      </c>
      <c r="E33" s="24" t="inlineStr">
        <is>
          <t>CS2</t>
        </is>
      </c>
      <c r="F33" s="24" t="inlineStr">
        <is>
          <t>Procyon Gaming</t>
        </is>
      </c>
      <c r="G33" s="24" t="inlineStr">
        <is>
          <t>METANOIA WOLVES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0.542916</v>
      </c>
      <c r="P33" s="28" t="n"/>
      <c r="Q33" s="28" t="n">
        <v>0.13308</v>
      </c>
      <c r="R33" s="26" t="n">
        <v>87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144</v>
      </c>
      <c r="AA33" s="28" t="n">
        <v>0.41</v>
      </c>
      <c r="AB33" s="28" t="n">
        <v>0.000164</v>
      </c>
      <c r="AC33" s="30" t="n">
        <v>1.44</v>
      </c>
      <c r="AD33" s="24" t="inlineStr">
        <is>
          <t>2026-08-07T06:01:52.708995Z</t>
        </is>
      </c>
      <c r="AE33" s="31" t="inlineStr">
        <is>
          <t>Neutral Elo baseline; executable ask 0.4100 (market_slug=aec-cs2-mw-pcy-2026-08-06).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Procyon Gaming</t>
        </is>
      </c>
      <c r="AQ33" s="24" t="inlineStr">
        <is>
          <t>Procyon Gaming</t>
        </is>
      </c>
      <c r="AR33" s="24" t="inlineStr">
        <is>
          <t>Procyon Gaming</t>
        </is>
      </c>
      <c r="AS33" s="24" t="inlineStr">
        <is>
          <t>METANOIA WOLVES</t>
        </is>
      </c>
      <c r="AT33" s="24" t="inlineStr">
        <is>
          <t>METANOIA WOLVES</t>
        </is>
      </c>
      <c r="AU33" s="24" t="inlineStr">
        <is>
          <t>METANOIA WOLVES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ba62d4174c52c7a2934bcbd8b028649e6d31b496f5b9eab70ce8b6a17fb58aa6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ba62d4174c52c7a2934bcbd8b028649e6d31b496f5b9eab70ce8b6a17fb58aa6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2026-08-06T19:00:13.521189Z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>
        <v>2.44</v>
      </c>
      <c r="BR33" s="28" t="n">
        <v>0.41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66d551cf890f4729</t>
        </is>
      </c>
      <c r="B34" s="24" t="inlineStr">
        <is>
          <t>2026-08-07T15:24:16.691798Z</t>
        </is>
      </c>
      <c r="C34" s="24" t="inlineStr">
        <is>
          <t>2026-08-07T17:00:00Z</t>
        </is>
      </c>
      <c r="D34" s="24" t="inlineStr">
        <is>
          <t>74184</t>
        </is>
      </c>
      <c r="E34" s="24" t="inlineStr">
        <is>
          <t>CS2</t>
        </is>
      </c>
      <c r="F34" s="24" t="inlineStr">
        <is>
          <t>ENRAGE</t>
        </is>
      </c>
      <c r="G34" s="24" t="inlineStr">
        <is>
          <t>PURE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0.651856</v>
      </c>
      <c r="P34" s="28" t="n"/>
      <c r="Q34" s="28" t="n">
        <v>0.16166</v>
      </c>
      <c r="R34" s="26" t="n">
        <v>100</v>
      </c>
      <c r="S34" s="29" t="n">
        <v>1.75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104</v>
      </c>
      <c r="AA34" s="28" t="n">
        <v>0.49</v>
      </c>
      <c r="AB34" s="28" t="n">
        <v>-0.000196</v>
      </c>
      <c r="AC34" s="30" t="n">
        <v>1.82</v>
      </c>
      <c r="AD34" s="24" t="inlineStr">
        <is>
          <t>2026-08-07T18:27:26.946203Z</t>
        </is>
      </c>
      <c r="AE34" s="31" t="inlineStr">
        <is>
          <t>Neutral Elo baseline; executable ask 0.4900 (market_slug=aec-cs2-pure-enr-2026-08-07).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ENRAGE</t>
        </is>
      </c>
      <c r="AQ34" s="24" t="inlineStr">
        <is>
          <t>ENRAGE</t>
        </is>
      </c>
      <c r="AR34" s="24" t="inlineStr">
        <is>
          <t>ENRAGE</t>
        </is>
      </c>
      <c r="AS34" s="24" t="inlineStr">
        <is>
          <t>PURE</t>
        </is>
      </c>
      <c r="AT34" s="24" t="inlineStr">
        <is>
          <t>PURE</t>
        </is>
      </c>
      <c r="AU34" s="24" t="inlineStr">
        <is>
          <t>PURE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b8dea04ff55d1b5077c8587b9b9ed16ddeb7be47d75c96d6954498aa5ae37cd0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b8dea04ff55d1b5077c8587b9b9ed16ddeb7be47d75c96d6954498aa5ae37cd0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2026-08-07T15:24:04.782971Z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>
        <v>2.04</v>
      </c>
      <c r="BR34" s="28" t="n">
        <v>0.49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057d5ba07ef64b34</t>
        </is>
      </c>
      <c r="B35" s="24" t="inlineStr">
        <is>
          <t>2026-08-08T04:08:22.847141Z</t>
        </is>
      </c>
      <c r="C35" s="24" t="inlineStr">
        <is>
          <t>2026-08-08T08:00:00Z</t>
        </is>
      </c>
      <c r="D35" s="24" t="inlineStr">
        <is>
          <t>72721</t>
        </is>
      </c>
      <c r="E35" s="24" t="inlineStr">
        <is>
          <t>CS2</t>
        </is>
      </c>
      <c r="F35" s="24" t="inlineStr">
        <is>
          <t>SINQU Rehti</t>
        </is>
      </c>
      <c r="G35" s="24" t="inlineStr">
        <is>
          <t>Passion Academy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0.58371</v>
      </c>
      <c r="P35" s="28" t="n"/>
      <c r="Q35" s="28" t="n">
        <v>0.193085</v>
      </c>
      <c r="R35" s="26" t="n">
        <v>100</v>
      </c>
      <c r="S35" s="29" t="n">
        <v>1.25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-1.25</v>
      </c>
      <c r="AD35" s="24" t="inlineStr">
        <is>
          <t>2026-08-08T18:35:10.238650Z</t>
        </is>
      </c>
      <c r="AE35" s="31" t="inlineStr">
        <is>
          <t>Neutral Elo baseline; executable ask 0.3900 (market_slug=aec-cs2-psna-sri-2026-08-08).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SINQU Rehti</t>
        </is>
      </c>
      <c r="AQ35" s="24" t="inlineStr">
        <is>
          <t>SINQU Rehti</t>
        </is>
      </c>
      <c r="AR35" s="24" t="inlineStr">
        <is>
          <t>SINQU Rehti</t>
        </is>
      </c>
      <c r="AS35" s="24" t="inlineStr">
        <is>
          <t>Passion Academy</t>
        </is>
      </c>
      <c r="AT35" s="24" t="inlineStr">
        <is>
          <t>Passion Academy</t>
        </is>
      </c>
      <c r="AU35" s="24" t="inlineStr">
        <is>
          <t>Passion Academy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519047cee77b9b35bdca8ed92c5b5dffca53f055c37ee9ea3dde4c418cc0283b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519047cee77b9b35bdca8ed92c5b5dffca53f055c37ee9ea3dde4c418cc0283b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2026-08-08T04:07:52.674788Z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bfe405e7cf3641a7</t>
        </is>
      </c>
      <c r="B36" s="24" t="inlineStr">
        <is>
          <t>2026-08-08T04:08:22.847141Z</t>
        </is>
      </c>
      <c r="C36" s="24" t="inlineStr">
        <is>
          <t>2026-08-08T09:00:00Z</t>
        </is>
      </c>
      <c r="D36" s="24" t="inlineStr">
        <is>
          <t>74556</t>
        </is>
      </c>
      <c r="E36" s="24" t="inlineStr">
        <is>
          <t>CS2</t>
        </is>
      </c>
      <c r="F36" s="24" t="inlineStr">
        <is>
          <t>FOKUS</t>
        </is>
      </c>
      <c r="G36" s="24" t="inlineStr">
        <is>
          <t>Sashi Esport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117</v>
      </c>
      <c r="M36" s="27" t="n">
        <v>2.17</v>
      </c>
      <c r="N36" s="28" t="n">
        <v>0.460829</v>
      </c>
      <c r="O36" s="28" t="n">
        <v>0.604612</v>
      </c>
      <c r="P36" s="28" t="n"/>
      <c r="Q36" s="28" t="n">
        <v>0.143783</v>
      </c>
      <c r="R36" s="26" t="n">
        <v>92</v>
      </c>
      <c r="S36" s="29" t="n">
        <v>1.25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117</v>
      </c>
      <c r="AA36" s="28" t="n">
        <v>0.46</v>
      </c>
      <c r="AB36" s="28" t="n">
        <v>-0.000829</v>
      </c>
      <c r="AC36" s="30" t="n">
        <v>-1.25</v>
      </c>
      <c r="AD36" s="24" t="inlineStr">
        <is>
          <t>2026-08-08T18:35:11.860674Z</t>
        </is>
      </c>
      <c r="AE36" s="31" t="inlineStr">
        <is>
          <t>Neutral Elo baseline; executable ask 0.4600 (market_slug=aec-cs2-sashi-fokus-2026-08-08).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FOKUS</t>
        </is>
      </c>
      <c r="AQ36" s="24" t="inlineStr">
        <is>
          <t>FOKUS</t>
        </is>
      </c>
      <c r="AR36" s="24" t="inlineStr">
        <is>
          <t>FOKUS</t>
        </is>
      </c>
      <c r="AS36" s="24" t="inlineStr">
        <is>
          <t>Sashi Esport</t>
        </is>
      </c>
      <c r="AT36" s="24" t="inlineStr">
        <is>
          <t>Sashi Esport</t>
        </is>
      </c>
      <c r="AU36" s="24" t="inlineStr">
        <is>
          <t>Sashi Esport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519047cee77b9b35bdca8ed92c5b5dffca53f055c37ee9ea3dde4c418cc0283b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519047cee77b9b35bdca8ed92c5b5dffca53f055c37ee9ea3dde4c418cc0283b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2026-08-08T04:08:01.783837Z</t>
        </is>
      </c>
      <c r="BI36" s="24" t="inlineStr">
        <is>
          <t>["same_event","same_team_same_day","same_league_same_day"]</t>
        </is>
      </c>
      <c r="BJ36" s="25" t="n"/>
      <c r="BK36" s="26" t="n">
        <v>117</v>
      </c>
      <c r="BL36" s="27" t="n">
        <v>2.17</v>
      </c>
      <c r="BM36" s="28" t="n">
        <v>0.460829</v>
      </c>
      <c r="BN36" s="28" t="n"/>
      <c r="BO36" s="28" t="n"/>
      <c r="BP36" s="25" t="n"/>
      <c r="BQ36" s="27" t="n">
        <v>2.17</v>
      </c>
      <c r="BR36" s="28" t="n">
        <v>0.46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9824237446034e48</t>
        </is>
      </c>
      <c r="B37" s="24" t="inlineStr">
        <is>
          <t>2026-08-08T04:08:22.847141Z</t>
        </is>
      </c>
      <c r="C37" s="24" t="inlineStr">
        <is>
          <t>2026-08-08T09:00:00Z</t>
        </is>
      </c>
      <c r="D37" s="24" t="inlineStr">
        <is>
          <t>74543</t>
        </is>
      </c>
      <c r="E37" s="24" t="inlineStr">
        <is>
          <t>CS2</t>
        </is>
      </c>
      <c r="F37" s="24" t="inlineStr">
        <is>
          <t>OG</t>
        </is>
      </c>
      <c r="G37" s="24" t="inlineStr">
        <is>
          <t>ECHO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104</v>
      </c>
      <c r="M37" s="27" t="n">
        <v>2.04</v>
      </c>
      <c r="N37" s="28" t="n">
        <v>0.490196</v>
      </c>
      <c r="O37" s="28" t="n">
        <v>0.623449</v>
      </c>
      <c r="P37" s="28" t="n"/>
      <c r="Q37" s="28" t="n">
        <v>0.133253</v>
      </c>
      <c r="R37" s="26" t="n">
        <v>87</v>
      </c>
      <c r="S37" s="29" t="n">
        <v>1.5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104</v>
      </c>
      <c r="AA37" s="28" t="n">
        <v>0.49</v>
      </c>
      <c r="AB37" s="28" t="n">
        <v>-0.000196</v>
      </c>
      <c r="AC37" s="30" t="n">
        <v>1.56</v>
      </c>
      <c r="AD37" s="24" t="inlineStr">
        <is>
          <t>2026-08-08T18:35:13.305918Z</t>
        </is>
      </c>
      <c r="AE37" s="31" t="inlineStr">
        <is>
          <t>Neutral Elo baseline; executable ask 0.4900 (market_slug=aec-cs2-echo-og-2026-08-08).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OG</t>
        </is>
      </c>
      <c r="AQ37" s="24" t="inlineStr">
        <is>
          <t>OG</t>
        </is>
      </c>
      <c r="AR37" s="24" t="inlineStr">
        <is>
          <t>OG</t>
        </is>
      </c>
      <c r="AS37" s="24" t="inlineStr">
        <is>
          <t>ECHO</t>
        </is>
      </c>
      <c r="AT37" s="24" t="inlineStr">
        <is>
          <t>ECHO</t>
        </is>
      </c>
      <c r="AU37" s="24" t="inlineStr">
        <is>
          <t>ECHO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519047cee77b9b35bdca8ed92c5b5dffca53f055c37ee9ea3dde4c418cc0283b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519047cee77b9b35bdca8ed92c5b5dffca53f055c37ee9ea3dde4c418cc0283b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2026-08-08T04:08:03.241200Z</t>
        </is>
      </c>
      <c r="BI37" s="24" t="inlineStr">
        <is>
          <t>["same_event","same_team_same_day","same_league_same_day"]</t>
        </is>
      </c>
      <c r="BJ37" s="25" t="n"/>
      <c r="BK37" s="26" t="n">
        <v>104</v>
      </c>
      <c r="BL37" s="27" t="n">
        <v>2.04</v>
      </c>
      <c r="BM37" s="28" t="n">
        <v>0.490196</v>
      </c>
      <c r="BN37" s="28" t="n"/>
      <c r="BO37" s="28" t="n"/>
      <c r="BP37" s="25" t="n"/>
      <c r="BQ37" s="27" t="n">
        <v>2.04</v>
      </c>
      <c r="BR37" s="28" t="n">
        <v>0.49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151d7fe2732a4c7a</t>
        </is>
      </c>
      <c r="B38" s="24" t="inlineStr">
        <is>
          <t>2026-08-08T18:37:52.180666Z</t>
        </is>
      </c>
      <c r="C38" s="24" t="inlineStr">
        <is>
          <t>2026-08-08T23:00:00Z</t>
        </is>
      </c>
      <c r="D38" s="24" t="inlineStr">
        <is>
          <t>74250</t>
        </is>
      </c>
      <c r="E38" s="24" t="inlineStr">
        <is>
          <t>CS2</t>
        </is>
      </c>
      <c r="F38" s="24" t="inlineStr">
        <is>
          <t>Isurus</t>
        </is>
      </c>
      <c r="G38" s="24" t="inlineStr">
        <is>
          <t>METANOIA WOLVES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-113</v>
      </c>
      <c r="M38" s="27" t="n">
        <v>1.884956</v>
      </c>
      <c r="N38" s="28" t="n">
        <v>0.530516</v>
      </c>
      <c r="O38" s="28" t="n">
        <v>0.77782</v>
      </c>
      <c r="P38" s="28" t="n"/>
      <c r="Q38" s="28" t="n">
        <v>0.247304</v>
      </c>
      <c r="R38" s="26" t="n">
        <v>100</v>
      </c>
      <c r="S38" s="29" t="n">
        <v>2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2026-08-09T05:14:29.879151Z</t>
        </is>
      </c>
      <c r="AE38" s="31" t="inlineStr">
        <is>
          <t>Neutral Elo baseline; executable ask 0.5300 (market_slug=aec-cs2-mw-isg-2026-08-08).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Isurus</t>
        </is>
      </c>
      <c r="AQ38" s="24" t="inlineStr">
        <is>
          <t>Isurus</t>
        </is>
      </c>
      <c r="AR38" s="24" t="inlineStr">
        <is>
          <t>Isurus</t>
        </is>
      </c>
      <c r="AS38" s="24" t="inlineStr">
        <is>
          <t>METANOIA WOLVES</t>
        </is>
      </c>
      <c r="AT38" s="24" t="inlineStr">
        <is>
          <t>METANOIA WOLVES</t>
        </is>
      </c>
      <c r="AU38" s="24" t="inlineStr">
        <is>
          <t>METANOIA WOLVES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bc07230e41262d382230e001bc66996bca58fcad77d3441dddaed95f7f6fdae9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bc07230e41262d382230e001bc66996bca58fcad77d3441dddaed95f7f6fdae9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2026-08-08T18:37:37.886825Z</t>
        </is>
      </c>
      <c r="BI38" s="24" t="inlineStr">
        <is>
          <t>["same_event","same_team_same_day","same_league_same_day"]</t>
        </is>
      </c>
      <c r="BJ38" s="25" t="n"/>
      <c r="BK38" s="26" t="n">
        <v>-113</v>
      </c>
      <c r="BL38" s="27" t="n">
        <v>1.884956</v>
      </c>
      <c r="BM38" s="28" t="n">
        <v>0.530516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settled to a non-binary price (forfeit/postponement per market rules)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833047c183484dec</t>
        </is>
      </c>
      <c r="B39" s="24" t="inlineStr">
        <is>
          <t>2026-08-09T05:18:53.596099Z</t>
        </is>
      </c>
      <c r="C39" s="24" t="inlineStr">
        <is>
          <t>2026-08-09T08:00:00Z</t>
        </is>
      </c>
      <c r="D39" s="24" t="inlineStr">
        <is>
          <t>74604</t>
        </is>
      </c>
      <c r="E39" s="24" t="inlineStr">
        <is>
          <t>CS2</t>
        </is>
      </c>
      <c r="F39" s="24" t="inlineStr">
        <is>
          <t>EAC Rising</t>
        </is>
      </c>
      <c r="G39" s="24" t="inlineStr">
        <is>
          <t>INFURITY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0.716587</v>
      </c>
      <c r="P39" s="28" t="n"/>
      <c r="Q39" s="28" t="n">
        <v>0.235818</v>
      </c>
      <c r="R39" s="26" t="n">
        <v>100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2026-08-09T13:57:30.365921Z</t>
        </is>
      </c>
      <c r="AE39" s="31" t="inlineStr">
        <is>
          <t>Neutral Elo baseline; executable ask 0.4800 (market_slug=aec-cs2-ign-era-2026-08-09).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EAC Rising</t>
        </is>
      </c>
      <c r="AQ39" s="24" t="inlineStr">
        <is>
          <t>EAC Rising</t>
        </is>
      </c>
      <c r="AR39" s="24" t="inlineStr">
        <is>
          <t>EAC Rising</t>
        </is>
      </c>
      <c r="AS39" s="24" t="inlineStr">
        <is>
          <t>INFURITY Gaming</t>
        </is>
      </c>
      <c r="AT39" s="24" t="inlineStr">
        <is>
          <t>INFURITY Gaming</t>
        </is>
      </c>
      <c r="AU39" s="24" t="inlineStr">
        <is>
          <t>INFURITY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44a50dfe399cc2593a5a45ffbff6d22df4cf4be22ab13569d5e214efbd3de125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44a50dfe399cc2593a5a45ffbff6d22df4cf4be22ab13569d5e214efbd3de125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2026-08-09T05:18:28.217133Z</t>
        </is>
      </c>
      <c r="BI39" s="24" t="inlineStr">
        <is>
          <t>["same_event","same_team_same_day","same_league_same_day"]</t>
        </is>
      </c>
      <c r="BJ39" s="25" t="n"/>
      <c r="BK39" s="26" t="n">
        <v>108</v>
      </c>
      <c r="BL39" s="27" t="n">
        <v>2.08</v>
      </c>
      <c r="BM39" s="28" t="n">
        <v>0.480769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d37a74437bc1430a</t>
        </is>
      </c>
      <c r="B40" s="24" t="inlineStr">
        <is>
          <t>2026-08-09T05:18:53.596099Z</t>
        </is>
      </c>
      <c r="C40" s="24" t="inlineStr">
        <is>
          <t>2026-08-09T09:00:00Z</t>
        </is>
      </c>
      <c r="D40" s="24" t="inlineStr">
        <is>
          <t>75456</t>
        </is>
      </c>
      <c r="E40" s="24" t="inlineStr">
        <is>
          <t>CS2</t>
        </is>
      </c>
      <c r="F40" s="24" t="inlineStr">
        <is>
          <t>DENDELE CS</t>
        </is>
      </c>
      <c r="G40" s="24" t="inlineStr">
        <is>
          <t>JiJieHao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212</v>
      </c>
      <c r="M40" s="27" t="n">
        <v>3.12</v>
      </c>
      <c r="N40" s="28" t="n">
        <v>0.320513</v>
      </c>
      <c r="O40" s="28" t="n">
        <v>0.648622</v>
      </c>
      <c r="P40" s="28" t="n"/>
      <c r="Q40" s="28" t="n">
        <v>0.328109</v>
      </c>
      <c r="R40" s="26" t="n">
        <v>100</v>
      </c>
      <c r="S40" s="29" t="n">
        <v>1.75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212</v>
      </c>
      <c r="AA40" s="28" t="n">
        <v>0.32</v>
      </c>
      <c r="AB40" s="28" t="n">
        <v>-0.000513</v>
      </c>
      <c r="AC40" s="30" t="n">
        <v>3.71</v>
      </c>
      <c r="AD40" s="24" t="inlineStr">
        <is>
          <t>2026-08-09T13:57:31.930408Z</t>
        </is>
      </c>
      <c r="AE40" s="31" t="inlineStr">
        <is>
          <t>Neutral Elo baseline; executable ask 0.3200 (market_slug=aec-cs2-jjh-dce-2026-08-09).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DENDELE CS</t>
        </is>
      </c>
      <c r="AQ40" s="24" t="inlineStr">
        <is>
          <t>DENDELE CS</t>
        </is>
      </c>
      <c r="AR40" s="24" t="inlineStr">
        <is>
          <t>DENDELE CS</t>
        </is>
      </c>
      <c r="AS40" s="24" t="inlineStr">
        <is>
          <t>JiJieHao</t>
        </is>
      </c>
      <c r="AT40" s="24" t="inlineStr">
        <is>
          <t>JiJieHao</t>
        </is>
      </c>
      <c r="AU40" s="24" t="inlineStr">
        <is>
          <t>JiJieHao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44a50dfe399cc2593a5a45ffbff6d22df4cf4be22ab13569d5e214efbd3de125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44a50dfe399cc2593a5a45ffbff6d22df4cf4be22ab13569d5e214efbd3de125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2026-08-09T05:18:38.433935Z</t>
        </is>
      </c>
      <c r="BI40" s="24" t="inlineStr">
        <is>
          <t>["same_event","same_team_same_day","same_league_same_day"]</t>
        </is>
      </c>
      <c r="BJ40" s="25" t="n"/>
      <c r="BK40" s="26" t="n">
        <v>212</v>
      </c>
      <c r="BL40" s="27" t="n">
        <v>3.12</v>
      </c>
      <c r="BM40" s="28" t="n">
        <v>0.320513</v>
      </c>
      <c r="BN40" s="28" t="n"/>
      <c r="BO40" s="28" t="n"/>
      <c r="BP40" s="25" t="n"/>
      <c r="BQ40" s="27" t="n">
        <v>3.12</v>
      </c>
      <c r="BR40" s="28" t="n">
        <v>0.32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7e7353c397564924</t>
        </is>
      </c>
      <c r="B41" s="24" t="inlineStr">
        <is>
          <t>2026-08-09T20:28:38.791633Z</t>
        </is>
      </c>
      <c r="C41" s="24" t="inlineStr">
        <is>
          <t>2026-08-09T21:00:00Z</t>
        </is>
      </c>
      <c r="D41" s="24" t="inlineStr">
        <is>
          <t>76168</t>
        </is>
      </c>
      <c r="E41" s="24" t="inlineStr">
        <is>
          <t>CS2</t>
        </is>
      </c>
      <c r="F41" s="24" t="inlineStr">
        <is>
          <t>Patins da Ferrari</t>
        </is>
      </c>
      <c r="G41" s="24" t="inlineStr">
        <is>
          <t>ALKA GAMING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144</v>
      </c>
      <c r="M41" s="27" t="n">
        <v>2.44</v>
      </c>
      <c r="N41" s="28" t="n">
        <v>0.409836</v>
      </c>
      <c r="O41" s="28" t="n">
        <v>0.552655</v>
      </c>
      <c r="P41" s="28" t="n"/>
      <c r="Q41" s="28" t="n">
        <v>0.142819</v>
      </c>
      <c r="R41" s="26" t="n">
        <v>91</v>
      </c>
      <c r="S41" s="29" t="n">
        <v>1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144</v>
      </c>
      <c r="AA41" s="28" t="n">
        <v>0.41</v>
      </c>
      <c r="AB41" s="28" t="n">
        <v>0.000164</v>
      </c>
      <c r="AC41" s="30" t="n">
        <v>1.44</v>
      </c>
      <c r="AD41" s="24" t="inlineStr">
        <is>
          <t>2026-08-10T02:35:21.141804Z</t>
        </is>
      </c>
      <c r="AE41" s="31" t="inlineStr">
        <is>
          <t>Neutral Elo baseline; executable ask 0.4100 (market_slug=aec-cs2-alka-pdaf-2026-08-09).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Patins da Ferrari</t>
        </is>
      </c>
      <c r="AQ41" s="24" t="inlineStr">
        <is>
          <t>Patins da Ferrari</t>
        </is>
      </c>
      <c r="AR41" s="24" t="inlineStr">
        <is>
          <t>Patins da Ferrari</t>
        </is>
      </c>
      <c r="AS41" s="24" t="inlineStr">
        <is>
          <t>ALKA GAMING</t>
        </is>
      </c>
      <c r="AT41" s="24" t="inlineStr">
        <is>
          <t>ALKA GAMING</t>
        </is>
      </c>
      <c r="AU41" s="24" t="inlineStr">
        <is>
          <t>ALKA GAMING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3db9d552fe4ff739f46916493cd664ca725671912ee03eb212cd96bdcfa1ef50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3db9d552fe4ff739f46916493cd664ca725671912ee03eb212cd96bdcfa1ef50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2026-08-09T20:28:31.031517Z</t>
        </is>
      </c>
      <c r="BI41" s="24" t="inlineStr">
        <is>
          <t>["same_event","same_team_same_day","same_league_same_day"]</t>
        </is>
      </c>
      <c r="BJ41" s="25" t="n"/>
      <c r="BK41" s="26" t="n">
        <v>144</v>
      </c>
      <c r="BL41" s="27" t="n">
        <v>2.44</v>
      </c>
      <c r="BM41" s="28" t="n">
        <v>0.409836</v>
      </c>
      <c r="BN41" s="28" t="n"/>
      <c r="BO41" s="28" t="n"/>
      <c r="BP41" s="25" t="n"/>
      <c r="BQ41" s="27" t="n">
        <v>2.44</v>
      </c>
      <c r="BR41" s="28" t="n">
        <v>0.41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c736127712ef47c8</t>
        </is>
      </c>
      <c r="B42" s="24" t="inlineStr">
        <is>
          <t>2026-08-09T20:28:38.791633Z</t>
        </is>
      </c>
      <c r="C42" s="24" t="inlineStr">
        <is>
          <t>2026-08-09T23:00:00Z</t>
        </is>
      </c>
      <c r="D42" s="24" t="inlineStr">
        <is>
          <t>76118</t>
        </is>
      </c>
      <c r="E42" s="24" t="inlineStr">
        <is>
          <t>CS2</t>
        </is>
      </c>
      <c r="F42" s="24" t="inlineStr">
        <is>
          <t>Keyd</t>
        </is>
      </c>
      <c r="G42" s="24" t="inlineStr">
        <is>
          <t>Galorys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0.602035</v>
      </c>
      <c r="P42" s="28" t="n"/>
      <c r="Q42" s="28" t="n">
        <v>0.042564</v>
      </c>
      <c r="R42" s="26" t="n">
        <v>41</v>
      </c>
      <c r="S42" s="29" t="n">
        <v>1.25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-127</v>
      </c>
      <c r="AA42" s="28" t="n">
        <v>0.5600000000000001</v>
      </c>
      <c r="AB42" s="28" t="n">
        <v>0.000529</v>
      </c>
      <c r="AC42" s="30" t="n">
        <v>0.9843</v>
      </c>
      <c r="AD42" s="24" t="inlineStr">
        <is>
          <t>2026-08-10T02:35:22.603350Z</t>
        </is>
      </c>
      <c r="AE42" s="31" t="inlineStr">
        <is>
          <t>Neutral Elo baseline; executable ask 0.5600 (market_slug=aec-cs2-gls-keyd-2026-08-09).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Keyd</t>
        </is>
      </c>
      <c r="AQ42" s="24" t="inlineStr">
        <is>
          <t>Keyd</t>
        </is>
      </c>
      <c r="AR42" s="24" t="inlineStr">
        <is>
          <t>Keyd</t>
        </is>
      </c>
      <c r="AS42" s="24" t="inlineStr">
        <is>
          <t>Galorys</t>
        </is>
      </c>
      <c r="AT42" s="24" t="inlineStr">
        <is>
          <t>Galorys</t>
        </is>
      </c>
      <c r="AU42" s="24" t="inlineStr">
        <is>
          <t>Galorys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3db9d552fe4ff739f46916493cd664ca725671912ee03eb212cd96bdcfa1ef50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3db9d552fe4ff739f46916493cd664ca725671912ee03eb212cd96bdcfa1ef50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2026-08-09T20:28:33.151856Z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>
        <v>1.787402</v>
      </c>
      <c r="BR42" s="28" t="n">
        <v>0.5600000000000001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f99576f5449646f7</t>
        </is>
      </c>
      <c r="B43" s="24" t="inlineStr">
        <is>
          <t>2026-08-10T05:41:21.775960Z</t>
        </is>
      </c>
      <c r="C43" s="24" t="inlineStr">
        <is>
          <t>2026-08-10T10:00:00Z</t>
        </is>
      </c>
      <c r="D43" s="24" t="inlineStr">
        <is>
          <t>74395</t>
        </is>
      </c>
      <c r="E43" s="24" t="inlineStr">
        <is>
          <t>CS2</t>
        </is>
      </c>
      <c r="F43" s="24" t="inlineStr">
        <is>
          <t>Abyssal</t>
        </is>
      </c>
      <c r="G43" s="24" t="inlineStr">
        <is>
          <t>Rooster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0.683552</v>
      </c>
      <c r="P43" s="28" t="n"/>
      <c r="Q43" s="28" t="n">
        <v>0.053922</v>
      </c>
      <c r="R43" s="26" t="n">
        <v>47</v>
      </c>
      <c r="S43" s="29" t="n">
        <v>2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-170</v>
      </c>
      <c r="AA43" s="28" t="n">
        <v>0.63</v>
      </c>
      <c r="AB43" s="28" t="n">
        <v>0.00037</v>
      </c>
      <c r="AC43" s="30" t="n">
        <v>-2</v>
      </c>
      <c r="AD43" s="24" t="inlineStr">
        <is>
          <t>2026-08-10T16:33:32.993114Z</t>
        </is>
      </c>
      <c r="AE43" s="31" t="inlineStr">
        <is>
          <t>Neutral Elo baseline; executable ask 0.6300 (market_slug=aec-cs2-rstr-aby-2026-08-10).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Abyssal</t>
        </is>
      </c>
      <c r="AQ43" s="24" t="inlineStr">
        <is>
          <t>Abyssal</t>
        </is>
      </c>
      <c r="AR43" s="24" t="inlineStr">
        <is>
          <t>Abyssal</t>
        </is>
      </c>
      <c r="AS43" s="24" t="inlineStr">
        <is>
          <t>Rooster</t>
        </is>
      </c>
      <c r="AT43" s="24" t="inlineStr">
        <is>
          <t>Rooster</t>
        </is>
      </c>
      <c r="AU43" s="24" t="inlineStr">
        <is>
          <t>Rooster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3569a417252267f689df4d3a2d87b3e262d9c1b451b5034c48918b722ab2e713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3569a417252267f689df4d3a2d87b3e262d9c1b451b5034c48918b722ab2e713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2026-08-10T05:41:13.718417Z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>
        <v>1.588235</v>
      </c>
      <c r="BR43" s="28" t="n">
        <v>0.63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108f9f291f7449ef</t>
        </is>
      </c>
      <c r="B44" s="24" t="inlineStr">
        <is>
          <t>2026-08-10T05:41:21.775960Z</t>
        </is>
      </c>
      <c r="C44" s="24" t="inlineStr">
        <is>
          <t>2026-08-10T15:00:00Z</t>
        </is>
      </c>
      <c r="D44" s="24" t="inlineStr">
        <is>
          <t>68198</t>
        </is>
      </c>
      <c r="E44" s="24" t="inlineStr">
        <is>
          <t>CS2</t>
        </is>
      </c>
      <c r="F44" s="24" t="inlineStr">
        <is>
          <t>Dark Moon</t>
        </is>
      </c>
      <c r="G44" s="24" t="inlineStr">
        <is>
          <t>Arch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0.5514829999999999</v>
      </c>
      <c r="P44" s="28" t="n"/>
      <c r="Q44" s="28" t="n">
        <v>0.041679</v>
      </c>
      <c r="R44" s="26" t="n">
        <v>41</v>
      </c>
      <c r="S44" s="29" t="n">
        <v>1</v>
      </c>
      <c r="T44" s="24" t="inlineStr">
        <is>
          <t>cs2-tiered-elo-v6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0.5100 (market_slug=aec-cs2-arch-dm-2026-08-01).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Dark Moon</t>
        </is>
      </c>
      <c r="AQ44" s="24" t="inlineStr">
        <is>
          <t>Dark Moon</t>
        </is>
      </c>
      <c r="AR44" s="24" t="inlineStr">
        <is>
          <t>Dark Moon</t>
        </is>
      </c>
      <c r="AS44" s="24" t="inlineStr">
        <is>
          <t>Arch</t>
        </is>
      </c>
      <c r="AT44" s="24" t="inlineStr">
        <is>
          <t>Arch</t>
        </is>
      </c>
      <c r="AU44" s="24" t="inlineStr">
        <is>
          <t>Arch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3569a417252267f689df4d3a2d87b3e262d9c1b451b5034c48918b722ab2e713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3569a417252267f689df4d3a2d87b3e262d9c1b451b5034c48918b722ab2e713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2026-08-10T05:41:15.589774Z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b89e2a0d04574ae7</t>
        </is>
      </c>
      <c r="B45" s="24" t="inlineStr">
        <is>
          <t>2026-08-10T16:36:47.034884Z</t>
        </is>
      </c>
      <c r="C45" s="24" t="inlineStr">
        <is>
          <t>2026-08-10T17:00:00Z</t>
        </is>
      </c>
      <c r="D45" s="24" t="inlineStr">
        <is>
          <t>77099</t>
        </is>
      </c>
      <c r="E45" s="24" t="inlineStr">
        <is>
          <t>CS2</t>
        </is>
      </c>
      <c r="F45" s="24" t="inlineStr">
        <is>
          <t>MEIA NOITE</t>
        </is>
      </c>
      <c r="G45" s="24" t="inlineStr">
        <is>
          <t>BORRACHEIROS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0.553765</v>
      </c>
      <c r="P45" s="28" t="n"/>
      <c r="Q45" s="28" t="n">
        <v>0.092936</v>
      </c>
      <c r="R45" s="26" t="n">
        <v>66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117</v>
      </c>
      <c r="AA45" s="28" t="n">
        <v>0.46</v>
      </c>
      <c r="AB45" s="28" t="n">
        <v>-0.000829</v>
      </c>
      <c r="AC45" s="30" t="n">
        <v>1.17</v>
      </c>
      <c r="AD45" s="24" t="inlineStr">
        <is>
          <t>2026-08-11T13:08:59.876289Z</t>
        </is>
      </c>
      <c r="AE45" s="31" t="inlineStr">
        <is>
          <t>Neutral Elo baseline; executable ask 0.4600 (market_slug=aec-cs2-chama-mne-2026-08-10).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MEIA NOITE</t>
        </is>
      </c>
      <c r="AQ45" s="24" t="inlineStr">
        <is>
          <t>MEIA NOITE</t>
        </is>
      </c>
      <c r="AR45" s="24" t="inlineStr">
        <is>
          <t>MEIA NOITE</t>
        </is>
      </c>
      <c r="AS45" s="24" t="inlineStr">
        <is>
          <t>BORRACHEIROS</t>
        </is>
      </c>
      <c r="AT45" s="24" t="inlineStr">
        <is>
          <t>BORRACHEIROS</t>
        </is>
      </c>
      <c r="AU45" s="24" t="inlineStr">
        <is>
          <t>BORRACHEIROS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8ba88908c77b025a6556aafd017c6d1c078f1e4b0cacb386f9fdceb7d69ce557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8ba88908c77b025a6556aafd017c6d1c078f1e4b0cacb386f9fdceb7d69ce557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2026-08-10T16:36:29.114367Z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>
        <v>2.17</v>
      </c>
      <c r="BR45" s="28" t="n">
        <v>0.46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6596f9cc34d948d6</t>
        </is>
      </c>
      <c r="B46" s="24" t="inlineStr">
        <is>
          <t>2026-08-10T16:36:47.034884Z</t>
        </is>
      </c>
      <c r="C46" s="24" t="inlineStr">
        <is>
          <t>2026-08-10T17:00:00Z</t>
        </is>
      </c>
      <c r="D46" s="24" t="inlineStr">
        <is>
          <t>77017</t>
        </is>
      </c>
      <c r="E46" s="24" t="inlineStr">
        <is>
          <t>CS2</t>
        </is>
      </c>
      <c r="F46" s="24" t="inlineStr">
        <is>
          <t>Benched gods</t>
        </is>
      </c>
      <c r="G46" s="24" t="inlineStr">
        <is>
          <t>banda chuya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144</v>
      </c>
      <c r="M46" s="27" t="n">
        <v>2.44</v>
      </c>
      <c r="N46" s="28" t="n">
        <v>0.409836</v>
      </c>
      <c r="O46" s="28" t="n">
        <v>0.612863</v>
      </c>
      <c r="P46" s="28" t="n"/>
      <c r="Q46" s="28" t="n">
        <v>0.203027</v>
      </c>
      <c r="R46" s="26" t="n">
        <v>100</v>
      </c>
      <c r="S46" s="29" t="n">
        <v>1.5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>
        <v>300</v>
      </c>
      <c r="AA46" s="28" t="n">
        <v>0.25</v>
      </c>
      <c r="AB46" s="28" t="n">
        <v>-0.159836</v>
      </c>
      <c r="AC46" s="30" t="n">
        <v>-1.5</v>
      </c>
      <c r="AD46" s="24" t="inlineStr">
        <is>
          <t>2026-08-11T13:09:01.342234Z</t>
        </is>
      </c>
      <c r="AE46" s="31" t="inlineStr">
        <is>
          <t>Neutral Elo baseline; executable ask 0.4100 (market_slug=aec-cs2-bcan-bge-2026-08-10).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Benched gods</t>
        </is>
      </c>
      <c r="AQ46" s="24" t="inlineStr">
        <is>
          <t>Benched gods</t>
        </is>
      </c>
      <c r="AR46" s="24" t="inlineStr">
        <is>
          <t>Benched gods</t>
        </is>
      </c>
      <c r="AS46" s="24" t="inlineStr">
        <is>
          <t>banda chuya</t>
        </is>
      </c>
      <c r="AT46" s="24" t="inlineStr">
        <is>
          <t>banda chuya</t>
        </is>
      </c>
      <c r="AU46" s="24" t="inlineStr">
        <is>
          <t>banda chuya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8ba88908c77b025a6556aafd017c6d1c078f1e4b0cacb386f9fdceb7d69ce557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8ba88908c77b025a6556aafd017c6d1c078f1e4b0cacb386f9fdceb7d69ce557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2026-08-10T16:36:29.985562Z</t>
        </is>
      </c>
      <c r="BI46" s="24" t="inlineStr">
        <is>
          <t>["same_event","same_team_same_day","same_league_same_day"]</t>
        </is>
      </c>
      <c r="BJ46" s="25" t="n"/>
      <c r="BK46" s="26" t="n">
        <v>144</v>
      </c>
      <c r="BL46" s="27" t="n">
        <v>2.44</v>
      </c>
      <c r="BM46" s="28" t="n">
        <v>0.409836</v>
      </c>
      <c r="BN46" s="28" t="n"/>
      <c r="BO46" s="28" t="n"/>
      <c r="BP46" s="25" t="n"/>
      <c r="BQ46" s="27" t="n">
        <v>4</v>
      </c>
      <c r="BR46" s="28" t="n">
        <v>0.25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1879bdbcd45b4977</t>
        </is>
      </c>
      <c r="B47" s="24" t="inlineStr">
        <is>
          <t>2026-08-10T16:36:47.034884Z</t>
        </is>
      </c>
      <c r="C47" s="24" t="inlineStr">
        <is>
          <t>2026-08-10T19:00:00Z</t>
        </is>
      </c>
      <c r="D47" s="24" t="inlineStr">
        <is>
          <t>77021</t>
        </is>
      </c>
      <c r="E47" s="24" t="inlineStr">
        <is>
          <t>CS2</t>
        </is>
      </c>
      <c r="F47" s="24" t="inlineStr">
        <is>
          <t>ZOTIX</t>
        </is>
      </c>
      <c r="G47" s="24" t="inlineStr">
        <is>
          <t>GoldRashers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127</v>
      </c>
      <c r="M47" s="27" t="n">
        <v>2.27</v>
      </c>
      <c r="N47" s="28" t="n">
        <v>0.440529</v>
      </c>
      <c r="O47" s="28" t="n">
        <v>0.536406</v>
      </c>
      <c r="P47" s="28" t="n"/>
      <c r="Q47" s="28" t="n">
        <v>0.095877</v>
      </c>
      <c r="R47" s="26" t="n">
        <v>68</v>
      </c>
      <c r="S47" s="29" t="n">
        <v>1</v>
      </c>
      <c r="T47" s="24" t="inlineStr">
        <is>
          <t>cs2-tiered-elo-v6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0.4400 (market_slug=aec-cs2-gol-zotix-2026-08-10).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ZOTIX</t>
        </is>
      </c>
      <c r="AQ47" s="24" t="inlineStr">
        <is>
          <t>ZOTIX</t>
        </is>
      </c>
      <c r="AR47" s="24" t="inlineStr">
        <is>
          <t>ZOTIX</t>
        </is>
      </c>
      <c r="AS47" s="24" t="inlineStr">
        <is>
          <t>GoldRashers</t>
        </is>
      </c>
      <c r="AT47" s="24" t="inlineStr">
        <is>
          <t>GoldRashers</t>
        </is>
      </c>
      <c r="AU47" s="24" t="inlineStr">
        <is>
          <t>GoldRashers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8ba88908c77b025a6556aafd017c6d1c078f1e4b0cacb386f9fdceb7d69ce557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8ba88908c77b025a6556aafd017c6d1c078f1e4b0cacb386f9fdceb7d69ce557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2026-08-10T16:36:32.118831Z</t>
        </is>
      </c>
      <c r="BI47" s="24" t="inlineStr">
        <is>
          <t>["same_event","same_team_same_day","same_league_same_day"]</t>
        </is>
      </c>
      <c r="BJ47" s="25" t="n"/>
      <c r="BK47" s="26" t="n">
        <v>127</v>
      </c>
      <c r="BL47" s="27" t="n">
        <v>2.27</v>
      </c>
      <c r="BM47" s="28" t="n">
        <v>0.440529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b283a2624b4b44a7</t>
        </is>
      </c>
      <c r="B48" s="24" t="inlineStr">
        <is>
          <t>2026-08-10T16:36:47.034884Z</t>
        </is>
      </c>
      <c r="C48" s="24" t="inlineStr">
        <is>
          <t>2026-08-10T23:45:00Z</t>
        </is>
      </c>
      <c r="D48" s="24" t="inlineStr">
        <is>
          <t>77178</t>
        </is>
      </c>
      <c r="E48" s="24" t="inlineStr">
        <is>
          <t>CS2</t>
        </is>
      </c>
      <c r="F48" s="24" t="inlineStr">
        <is>
          <t>pugdesonesto</t>
        </is>
      </c>
      <c r="G48" s="24" t="inlineStr">
        <is>
          <t>UNO MILLE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0.768172</v>
      </c>
      <c r="P48" s="28" t="n"/>
      <c r="Q48" s="28" t="n">
        <v>0.07777000000000001</v>
      </c>
      <c r="R48" s="26" t="n">
        <v>59</v>
      </c>
      <c r="S48" s="29" t="n">
        <v>2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-223</v>
      </c>
      <c r="AA48" s="28" t="n">
        <v>0.6899999999999999</v>
      </c>
      <c r="AB48" s="28" t="n">
        <v>-0.000402</v>
      </c>
      <c r="AC48" s="30" t="n">
        <v>-2</v>
      </c>
      <c r="AD48" s="24" t="inlineStr">
        <is>
          <t>2026-08-11T13:09:03.882876Z</t>
        </is>
      </c>
      <c r="AE48" s="31" t="inlineStr">
        <is>
          <t>Neutral Elo baseline; executable ask 0.6900 (market_slug=aec-cs2-uno-pug-2026-08-10).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pugdesonesto</t>
        </is>
      </c>
      <c r="AQ48" s="24" t="inlineStr">
        <is>
          <t>pugdesonesto</t>
        </is>
      </c>
      <c r="AR48" s="24" t="inlineStr">
        <is>
          <t>pugdesonesto</t>
        </is>
      </c>
      <c r="AS48" s="24" t="inlineStr">
        <is>
          <t>UNO MILLE</t>
        </is>
      </c>
      <c r="AT48" s="24" t="inlineStr">
        <is>
          <t>UNO MILLE</t>
        </is>
      </c>
      <c r="AU48" s="24" t="inlineStr">
        <is>
          <t>UNO MILLE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8ba88908c77b025a6556aafd017c6d1c078f1e4b0cacb386f9fdceb7d69ce557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8ba88908c77b025a6556aafd017c6d1c078f1e4b0cacb386f9fdceb7d69ce557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2026-08-10T16:36:37.688521Z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>
        <v>1.44843</v>
      </c>
      <c r="BR48" s="28" t="n">
        <v>0.6899999999999999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95938b2554e64a66</t>
        </is>
      </c>
      <c r="B49" s="24" t="inlineStr">
        <is>
          <t>2026-08-10T16:36:47.034884Z</t>
        </is>
      </c>
      <c r="C49" s="24" t="inlineStr">
        <is>
          <t>2026-08-11T10:30:00Z</t>
        </is>
      </c>
      <c r="D49" s="24" t="inlineStr">
        <is>
          <t>76243</t>
        </is>
      </c>
      <c r="E49" s="24" t="inlineStr">
        <is>
          <t>CS2</t>
        </is>
      </c>
      <c r="F49" s="24" t="inlineStr">
        <is>
          <t>Teletubisie</t>
        </is>
      </c>
      <c r="G49" s="24" t="inlineStr">
        <is>
          <t>INFURITY Gaming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127</v>
      </c>
      <c r="M49" s="27" t="n">
        <v>2.27</v>
      </c>
      <c r="N49" s="28" t="n">
        <v>0.440529</v>
      </c>
      <c r="O49" s="28" t="n">
        <v>0.596198</v>
      </c>
      <c r="P49" s="28" t="n"/>
      <c r="Q49" s="28" t="n">
        <v>0.155669</v>
      </c>
      <c r="R49" s="26" t="n">
        <v>98</v>
      </c>
      <c r="S49" s="29" t="n">
        <v>1.25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1.5875</v>
      </c>
      <c r="AD49" s="24" t="inlineStr">
        <is>
          <t>2026-08-11T16:30:32.718325Z</t>
        </is>
      </c>
      <c r="AE49" s="31" t="inlineStr">
        <is>
          <t>Neutral Elo baseline; executable ask 0.4400 (market_slug=aec-cs2-ign-ttbs-2026-08-11).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Teletubisie</t>
        </is>
      </c>
      <c r="AQ49" s="24" t="inlineStr">
        <is>
          <t>Teletubisie</t>
        </is>
      </c>
      <c r="AR49" s="24" t="inlineStr">
        <is>
          <t>Teletubisie</t>
        </is>
      </c>
      <c r="AS49" s="24" t="inlineStr">
        <is>
          <t>INFURITY Gaming</t>
        </is>
      </c>
      <c r="AT49" s="24" t="inlineStr">
        <is>
          <t>INFURITY Gaming</t>
        </is>
      </c>
      <c r="AU49" s="24" t="inlineStr">
        <is>
          <t>INFURITY Gaming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8ba88908c77b025a6556aafd017c6d1c078f1e4b0cacb386f9fdceb7d69ce557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8ba88908c77b025a6556aafd017c6d1c078f1e4b0cacb386f9fdceb7d69ce557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2026-08-10T16:36:43.494953Z</t>
        </is>
      </c>
      <c r="BI49" s="24" t="inlineStr">
        <is>
          <t>["same_event","same_team_same_day","same_league_same_day"]</t>
        </is>
      </c>
      <c r="BJ49" s="25" t="n"/>
      <c r="BK49" s="26" t="n">
        <v>127</v>
      </c>
      <c r="BL49" s="27" t="n">
        <v>2.27</v>
      </c>
      <c r="BM49" s="28" t="n">
        <v>0.440529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dd021eac7be24bd1</t>
        </is>
      </c>
      <c r="B50" s="24" t="inlineStr">
        <is>
          <t>2026-08-11T16:56:46.979169Z</t>
        </is>
      </c>
      <c r="C50" s="24" t="inlineStr">
        <is>
          <t>2026-08-11T17:00:00Z</t>
        </is>
      </c>
      <c r="D50" s="24" t="inlineStr">
        <is>
          <t>78102</t>
        </is>
      </c>
      <c r="E50" s="24" t="inlineStr">
        <is>
          <t>CS2</t>
        </is>
      </c>
      <c r="F50" s="24" t="inlineStr">
        <is>
          <t>Spirit Academy Green</t>
        </is>
      </c>
      <c r="G50" s="24" t="inlineStr">
        <is>
          <t>Hermine Esports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104</v>
      </c>
      <c r="M50" s="27" t="n">
        <v>2.04</v>
      </c>
      <c r="N50" s="28" t="n">
        <v>0.490196</v>
      </c>
      <c r="O50" s="28" t="n">
        <v>0.550284</v>
      </c>
      <c r="P50" s="28" t="n"/>
      <c r="Q50" s="28" t="n">
        <v>0.060088</v>
      </c>
      <c r="R50" s="26" t="n">
        <v>50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>
        <v>104</v>
      </c>
      <c r="AA50" s="28" t="n">
        <v>0.49</v>
      </c>
      <c r="AB50" s="28" t="n">
        <v>-0.000196</v>
      </c>
      <c r="AC50" s="30" t="n">
        <v>-1</v>
      </c>
      <c r="AD50" s="24" t="inlineStr">
        <is>
          <t>2026-08-11T19:55:04.152989Z</t>
        </is>
      </c>
      <c r="AE50" s="31" t="inlineStr">
        <is>
          <t>Neutral Elo baseline; executable ask 0.4900 (market_slug=aec-cs2-hec-sag-2026-08-11).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Spirit Academy Green</t>
        </is>
      </c>
      <c r="AQ50" s="24" t="inlineStr">
        <is>
          <t>Spirit Academy Green</t>
        </is>
      </c>
      <c r="AR50" s="24" t="inlineStr">
        <is>
          <t>Spirit Academy Green</t>
        </is>
      </c>
      <c r="AS50" s="24" t="inlineStr">
        <is>
          <t>Hermine Esports Club</t>
        </is>
      </c>
      <c r="AT50" s="24" t="inlineStr">
        <is>
          <t>Hermine Esports Club</t>
        </is>
      </c>
      <c r="AU50" s="24" t="inlineStr">
        <is>
          <t>Hermine Esports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1c01bcfe7274d8542f3c4b929afa1f34079bfd10f0fd51ef77bc9bbcecf78497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1c01bcfe7274d8542f3c4b929afa1f34079bfd10f0fd51ef77bc9bbcecf78497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2026-08-11T16:56:18.323686Z</t>
        </is>
      </c>
      <c r="BI50" s="24" t="inlineStr">
        <is>
          <t>["same_event","same_team_same_day","same_league_same_day"]</t>
        </is>
      </c>
      <c r="BJ50" s="25" t="n"/>
      <c r="BK50" s="26" t="n">
        <v>104</v>
      </c>
      <c r="BL50" s="27" t="n">
        <v>2.04</v>
      </c>
      <c r="BM50" s="28" t="n">
        <v>0.490196</v>
      </c>
      <c r="BN50" s="28" t="n"/>
      <c r="BO50" s="28" t="n"/>
      <c r="BP50" s="25" t="n"/>
      <c r="BQ50" s="27" t="n">
        <v>2.04</v>
      </c>
      <c r="BR50" s="28" t="n">
        <v>0.49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5a10a9a904204b18</t>
        </is>
      </c>
      <c r="B51" s="24" t="inlineStr">
        <is>
          <t>2026-08-11T17:27:00.583454Z</t>
        </is>
      </c>
      <c r="C51" s="24" t="inlineStr">
        <is>
          <t>2026-08-11T18:30:00Z</t>
        </is>
      </c>
      <c r="D51" s="24" t="inlineStr">
        <is>
          <t>78110</t>
        </is>
      </c>
      <c r="E51" s="24" t="inlineStr">
        <is>
          <t>CS2</t>
        </is>
      </c>
      <c r="F51" s="24" t="inlineStr">
        <is>
          <t>Fortress</t>
        </is>
      </c>
      <c r="G51" s="24" t="inlineStr">
        <is>
          <t>Esport BERG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0.694663</v>
      </c>
      <c r="P51" s="28" t="n"/>
      <c r="Q51" s="28" t="n">
        <v>0.054375</v>
      </c>
      <c r="R51" s="26" t="n">
        <v>47</v>
      </c>
      <c r="S51" s="29" t="n">
        <v>2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-178</v>
      </c>
      <c r="AA51" s="28" t="n">
        <v>0.64</v>
      </c>
      <c r="AB51" s="28" t="n">
        <v>-0.000288</v>
      </c>
      <c r="AC51" s="30" t="n">
        <v>1.1236</v>
      </c>
      <c r="AD51" s="24" t="inlineStr">
        <is>
          <t>2026-08-11T19:55:05.731637Z</t>
        </is>
      </c>
      <c r="AE51" s="31" t="inlineStr">
        <is>
          <t>Neutral Elo baseline; executable ask 0.6400 (market_slug=aec-cs2-berg-for-2026-08-11).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Fortress</t>
        </is>
      </c>
      <c r="AQ51" s="24" t="inlineStr">
        <is>
          <t>Fortress</t>
        </is>
      </c>
      <c r="AR51" s="24" t="inlineStr">
        <is>
          <t>Fortress</t>
        </is>
      </c>
      <c r="AS51" s="24" t="inlineStr">
        <is>
          <t>Esport BERG</t>
        </is>
      </c>
      <c r="AT51" s="24" t="inlineStr">
        <is>
          <t>Esport BERG</t>
        </is>
      </c>
      <c r="AU51" s="24" t="inlineStr">
        <is>
          <t>Esport BERG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aa38faabc43b718e795a96ee74d0ed78592947441c47c14c503921bcd6ea3e0a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aa38faabc43b718e795a96ee74d0ed78592947441c47c14c503921bcd6ea3e0a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2026-08-11T17:26:34.900935Z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>
        <v>1.561798</v>
      </c>
      <c r="BR51" s="28" t="n">
        <v>0.64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b1096139661e4164</t>
        </is>
      </c>
      <c r="B52" s="24" t="inlineStr">
        <is>
          <t>2026-08-11T17:27:00.583454Z</t>
        </is>
      </c>
      <c r="C52" s="24" t="inlineStr">
        <is>
          <t>2026-08-11T18:30:00Z</t>
        </is>
      </c>
      <c r="D52" s="24" t="inlineStr">
        <is>
          <t>78109</t>
        </is>
      </c>
      <c r="E52" s="24" t="inlineStr">
        <is>
          <t>CS2</t>
        </is>
      </c>
      <c r="F52" s="24" t="inlineStr">
        <is>
          <t>ENRAGE</t>
        </is>
      </c>
      <c r="G52" s="24" t="inlineStr">
        <is>
          <t>Younglings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100</v>
      </c>
      <c r="M52" s="27" t="n">
        <v>2</v>
      </c>
      <c r="N52" s="28" t="n">
        <v>0.5</v>
      </c>
      <c r="O52" s="28" t="n">
        <v>0.671502</v>
      </c>
      <c r="P52" s="28" t="n"/>
      <c r="Q52" s="28" t="n">
        <v>0.171502</v>
      </c>
      <c r="R52" s="26" t="n">
        <v>100</v>
      </c>
      <c r="S52" s="29" t="n">
        <v>1.75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100</v>
      </c>
      <c r="AA52" s="28" t="n">
        <v>0.5</v>
      </c>
      <c r="AB52" s="28" t="n">
        <v>0</v>
      </c>
      <c r="AC52" s="30" t="n">
        <v>-1.75</v>
      </c>
      <c r="AD52" s="24" t="inlineStr">
        <is>
          <t>2026-08-11T19:55:07.089001Z</t>
        </is>
      </c>
      <c r="AE52" s="31" t="inlineStr">
        <is>
          <t>Neutral Elo baseline; executable ask 0.5000 (market_slug=aec-cs2-yl-enr-2026-08-11).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ENRAGE</t>
        </is>
      </c>
      <c r="AQ52" s="24" t="inlineStr">
        <is>
          <t>ENRAGE</t>
        </is>
      </c>
      <c r="AR52" s="24" t="inlineStr">
        <is>
          <t>ENRAGE</t>
        </is>
      </c>
      <c r="AS52" s="24" t="inlineStr">
        <is>
          <t>Younglings</t>
        </is>
      </c>
      <c r="AT52" s="24" t="inlineStr">
        <is>
          <t>Younglings</t>
        </is>
      </c>
      <c r="AU52" s="24" t="inlineStr">
        <is>
          <t>Younglings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aa38faabc43b718e795a96ee74d0ed78592947441c47c14c503921bcd6ea3e0a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aa38faabc43b718e795a96ee74d0ed78592947441c47c14c503921bcd6ea3e0a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2026-08-11T17:26:35.716470Z</t>
        </is>
      </c>
      <c r="BI52" s="24" t="inlineStr">
        <is>
          <t>["same_event","same_team_same_day","same_league_same_day"]</t>
        </is>
      </c>
      <c r="BJ52" s="25" t="n"/>
      <c r="BK52" s="26" t="n">
        <v>100</v>
      </c>
      <c r="BL52" s="27" t="n">
        <v>2</v>
      </c>
      <c r="BM52" s="28" t="n">
        <v>0.5</v>
      </c>
      <c r="BN52" s="28" t="n"/>
      <c r="BO52" s="28" t="n"/>
      <c r="BP52" s="25" t="n"/>
      <c r="BQ52" s="27" t="n">
        <v>2</v>
      </c>
      <c r="BR52" s="28" t="n">
        <v>0.5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44940e16467649e8</t>
        </is>
      </c>
      <c r="B53" s="24" t="inlineStr">
        <is>
          <t>2026-08-11T17:27:00.583454Z</t>
        </is>
      </c>
      <c r="C53" s="24" t="inlineStr">
        <is>
          <t>2026-08-11T18:30:00Z</t>
        </is>
      </c>
      <c r="D53" s="24" t="inlineStr">
        <is>
          <t>78107</t>
        </is>
      </c>
      <c r="E53" s="24" t="inlineStr">
        <is>
          <t>CS2</t>
        </is>
      </c>
      <c r="F53" s="24" t="inlineStr">
        <is>
          <t>NAVI Junior</t>
        </is>
      </c>
      <c r="G53" s="24" t="inlineStr">
        <is>
          <t>OLDBOYS PL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-203</v>
      </c>
      <c r="M53" s="27" t="n">
        <v>1.492611</v>
      </c>
      <c r="N53" s="28" t="n">
        <v>0.669967</v>
      </c>
      <c r="O53" s="28" t="n">
        <v>0.703605</v>
      </c>
      <c r="P53" s="28" t="n"/>
      <c r="Q53" s="28" t="n">
        <v>0.033638</v>
      </c>
      <c r="R53" s="26" t="n">
        <v>37</v>
      </c>
      <c r="S53" s="29" t="n">
        <v>2</v>
      </c>
      <c r="T53" s="24" t="inlineStr">
        <is>
          <t>cs2-tiered-elo-v6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0.6700 (market_slug=aec-cs2-oldboyspl-navij-2026-08-11).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NAVI Junior</t>
        </is>
      </c>
      <c r="AQ53" s="24" t="inlineStr">
        <is>
          <t>NAVI Junior</t>
        </is>
      </c>
      <c r="AR53" s="24" t="inlineStr">
        <is>
          <t>NAVI Junior</t>
        </is>
      </c>
      <c r="AS53" s="24" t="inlineStr">
        <is>
          <t>OLDBOYS PL</t>
        </is>
      </c>
      <c r="AT53" s="24" t="inlineStr">
        <is>
          <t>OLDBOYS PL</t>
        </is>
      </c>
      <c r="AU53" s="24" t="inlineStr">
        <is>
          <t>OLDBOYS PL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aa38faabc43b718e795a96ee74d0ed78592947441c47c14c503921bcd6ea3e0a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aa38faabc43b718e795a96ee74d0ed78592947441c47c14c503921bcd6ea3e0a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2026-08-11T17:26:36.825645Z</t>
        </is>
      </c>
      <c r="BI53" s="24" t="inlineStr">
        <is>
          <t>["same_event","same_team_same_day","same_league_same_day"]</t>
        </is>
      </c>
      <c r="BJ53" s="25" t="n"/>
      <c r="BK53" s="26" t="n">
        <v>-203</v>
      </c>
      <c r="BL53" s="27" t="n">
        <v>1.492611</v>
      </c>
      <c r="BM53" s="28" t="n">
        <v>0.669967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2331a18fe1c545f2</t>
        </is>
      </c>
      <c r="B54" s="24" t="inlineStr">
        <is>
          <t>2026-08-11T17:27:00.583454Z</t>
        </is>
      </c>
      <c r="C54" s="24" t="inlineStr">
        <is>
          <t>2026-08-11T18:30:00Z</t>
        </is>
      </c>
      <c r="D54" s="24" t="inlineStr">
        <is>
          <t>78106</t>
        </is>
      </c>
      <c r="E54" s="24" t="inlineStr">
        <is>
          <t>CS2</t>
        </is>
      </c>
      <c r="F54" s="24" t="inlineStr">
        <is>
          <t>JUMBO TEAM</t>
        </is>
      </c>
      <c r="G54" s="24" t="inlineStr">
        <is>
          <t>Bushido Wildcats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0.818242</v>
      </c>
      <c r="P54" s="28" t="n"/>
      <c r="Q54" s="28" t="n">
        <v>0.218242</v>
      </c>
      <c r="R54" s="26" t="n">
        <v>100</v>
      </c>
      <c r="S54" s="29" t="n">
        <v>2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push</t>
        </is>
      </c>
      <c r="W54" s="26" t="n"/>
      <c r="X54" s="26" t="n"/>
      <c r="Y54" s="25" t="n"/>
      <c r="Z54" s="26" t="n"/>
      <c r="AA54" s="28" t="n"/>
      <c r="AB54" s="28" t="n"/>
      <c r="AC54" s="30" t="n">
        <v>0</v>
      </c>
      <c r="AD54" s="24" t="inlineStr">
        <is>
          <t>2026-08-12T16:41:19.094737Z</t>
        </is>
      </c>
      <c r="AE54" s="31" t="inlineStr">
        <is>
          <t>Neutral Elo baseline; executable ask 0.6000 (market_slug=aec-cs2-bw-jumbo-2026-08-11).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JUMBO TEAM</t>
        </is>
      </c>
      <c r="AQ54" s="24" t="inlineStr">
        <is>
          <t>JUMBO TEAM</t>
        </is>
      </c>
      <c r="AR54" s="24" t="inlineStr">
        <is>
          <t>JUMBO TEAM</t>
        </is>
      </c>
      <c r="AS54" s="24" t="inlineStr">
        <is>
          <t>Bushido Wildcats</t>
        </is>
      </c>
      <c r="AT54" s="24" t="inlineStr">
        <is>
          <t>Bushido Wildcats</t>
        </is>
      </c>
      <c r="AU54" s="24" t="inlineStr">
        <is>
          <t>Bushido Wildcats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aa38faabc43b718e795a96ee74d0ed78592947441c47c14c503921bcd6ea3e0a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aa38faabc43b718e795a96ee74d0ed78592947441c47c14c503921bcd6ea3e0a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2026-08-11T17:26:37.509035Z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inlineStr">
        <is>
          <t>esports market settled to a non-binary price (forfeit/postponement per market rules)</t>
        </is>
      </c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8e6200b5890d4c4c</t>
        </is>
      </c>
      <c r="B55" s="24" t="inlineStr">
        <is>
          <t>2026-08-11T17:27:00.583454Z</t>
        </is>
      </c>
      <c r="C55" s="24" t="inlineStr">
        <is>
          <t>2026-08-11T18:30:00Z</t>
        </is>
      </c>
      <c r="D55" s="24" t="inlineStr">
        <is>
          <t>78104</t>
        </is>
      </c>
      <c r="E55" s="24" t="inlineStr">
        <is>
          <t>CS2</t>
        </is>
      </c>
      <c r="F55" s="24" t="inlineStr">
        <is>
          <t>Inner Circle Academy</t>
        </is>
      </c>
      <c r="G55" s="24" t="inlineStr">
        <is>
          <t>Falcons Force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0.67941</v>
      </c>
      <c r="P55" s="28" t="n"/>
      <c r="Q55" s="28" t="n">
        <v>0.07940999999999999</v>
      </c>
      <c r="R55" s="26" t="n">
        <v>60</v>
      </c>
      <c r="S55" s="29" t="n">
        <v>1.75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-150</v>
      </c>
      <c r="AA55" s="28" t="n">
        <v>0.6</v>
      </c>
      <c r="AB55" s="28" t="n">
        <v>0</v>
      </c>
      <c r="AC55" s="30" t="n">
        <v>-1.75</v>
      </c>
      <c r="AD55" s="24" t="inlineStr">
        <is>
          <t>2026-08-11T19:55:10.693434Z</t>
        </is>
      </c>
      <c r="AE55" s="31" t="inlineStr">
        <is>
          <t>Neutral Elo baseline; executable ask 0.6000 (market_slug=aec-cs2-falf-ica-2026-08-11).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Inner Circle Academy</t>
        </is>
      </c>
      <c r="AQ55" s="24" t="inlineStr">
        <is>
          <t>Inner Circle Academy</t>
        </is>
      </c>
      <c r="AR55" s="24" t="inlineStr">
        <is>
          <t>Inner Circle Academy</t>
        </is>
      </c>
      <c r="AS55" s="24" t="inlineStr">
        <is>
          <t>Falcons Force</t>
        </is>
      </c>
      <c r="AT55" s="24" t="inlineStr">
        <is>
          <t>Falcons Force</t>
        </is>
      </c>
      <c r="AU55" s="24" t="inlineStr">
        <is>
          <t>Falcons Force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aa38faabc43b718e795a96ee74d0ed78592947441c47c14c503921bcd6ea3e0a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aa38faabc43b718e795a96ee74d0ed78592947441c47c14c503921bcd6ea3e0a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2026-08-11T17:26:38.766526Z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>
        <v>1.666667</v>
      </c>
      <c r="BR55" s="28" t="n">
        <v>0.6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3cf86c007a1344ba</t>
        </is>
      </c>
      <c r="B56" s="24" t="inlineStr">
        <is>
          <t>2026-08-11T17:27:00.583454Z</t>
        </is>
      </c>
      <c r="C56" s="24" t="inlineStr">
        <is>
          <t>2026-08-11T18:30:00Z</t>
        </is>
      </c>
      <c r="D56" s="24" t="inlineStr">
        <is>
          <t>78118</t>
        </is>
      </c>
      <c r="E56" s="24" t="inlineStr">
        <is>
          <t>CS2</t>
        </is>
      </c>
      <c r="F56" s="24" t="inlineStr">
        <is>
          <t>A Great Chaos</t>
        </is>
      </c>
      <c r="G56" s="24" t="inlineStr">
        <is>
          <t>XI Esport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0.684375</v>
      </c>
      <c r="P56" s="28" t="n"/>
      <c r="Q56" s="28" t="n">
        <v>0.094211</v>
      </c>
      <c r="R56" s="26" t="n">
        <v>67</v>
      </c>
      <c r="S56" s="29" t="n">
        <v>2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-144</v>
      </c>
      <c r="AA56" s="28" t="n">
        <v>0.59</v>
      </c>
      <c r="AB56" s="28" t="n">
        <v>-0.000164</v>
      </c>
      <c r="AC56" s="30" t="n">
        <v>1.3889</v>
      </c>
      <c r="AD56" s="24" t="inlineStr">
        <is>
          <t>2026-08-11T19:55:12.226192Z</t>
        </is>
      </c>
      <c r="AE56" s="31" t="inlineStr">
        <is>
          <t>Neutral Elo baseline; executable ask 0.5900 (market_slug=aec-cs2-xi-agc-2026-08-11).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A Great Chaos</t>
        </is>
      </c>
      <c r="AQ56" s="24" t="inlineStr">
        <is>
          <t>A Great Chaos</t>
        </is>
      </c>
      <c r="AR56" s="24" t="inlineStr">
        <is>
          <t>A Great Chaos</t>
        </is>
      </c>
      <c r="AS56" s="24" t="inlineStr">
        <is>
          <t>XI Esport</t>
        </is>
      </c>
      <c r="AT56" s="24" t="inlineStr">
        <is>
          <t>XI Esport</t>
        </is>
      </c>
      <c r="AU56" s="24" t="inlineStr">
        <is>
          <t>XI Esport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aa38faabc43b718e795a96ee74d0ed78592947441c47c14c503921bcd6ea3e0a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aa38faabc43b718e795a96ee74d0ed78592947441c47c14c503921bcd6ea3e0a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2026-08-11T17:26:40.417466Z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>
        <v>1.694444</v>
      </c>
      <c r="BR56" s="28" t="n">
        <v>0.59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78eba2ebfe444d0e</t>
        </is>
      </c>
      <c r="B57" s="24" t="inlineStr">
        <is>
          <t>2026-08-11T17:27:00.583454Z</t>
        </is>
      </c>
      <c r="C57" s="24" t="inlineStr">
        <is>
          <t>2026-08-11T18:30:00Z</t>
        </is>
      </c>
      <c r="D57" s="24" t="inlineStr">
        <is>
          <t>78103</t>
        </is>
      </c>
      <c r="E57" s="24" t="inlineStr">
        <is>
          <t>CS2</t>
        </is>
      </c>
      <c r="F57" s="24" t="inlineStr">
        <is>
          <t>banda chuya</t>
        </is>
      </c>
      <c r="G57" s="24" t="inlineStr">
        <is>
          <t>Drama eSports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117</v>
      </c>
      <c r="M57" s="27" t="n">
        <v>2.17</v>
      </c>
      <c r="N57" s="28" t="n">
        <v>0.460829</v>
      </c>
      <c r="O57" s="28" t="n">
        <v>0.534726</v>
      </c>
      <c r="P57" s="28" t="n"/>
      <c r="Q57" s="28" t="n">
        <v>0.073897</v>
      </c>
      <c r="R57" s="26" t="n">
        <v>57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>
        <v>144</v>
      </c>
      <c r="AA57" s="28" t="n">
        <v>0.41</v>
      </c>
      <c r="AB57" s="28" t="n">
        <v>-0.050829</v>
      </c>
      <c r="AC57" s="30" t="n">
        <v>1.17</v>
      </c>
      <c r="AD57" s="24" t="inlineStr">
        <is>
          <t>2026-08-11T19:55:13.662262Z</t>
        </is>
      </c>
      <c r="AE57" s="31" t="inlineStr">
        <is>
          <t>Neutral Elo baseline; executable ask 0.4600 (market_slug=aec-cs2-drama-bcan-2026-08-11).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banda chuya</t>
        </is>
      </c>
      <c r="AQ57" s="24" t="inlineStr">
        <is>
          <t>banda chuya</t>
        </is>
      </c>
      <c r="AR57" s="24" t="inlineStr">
        <is>
          <t>banda chuya</t>
        </is>
      </c>
      <c r="AS57" s="24" t="inlineStr">
        <is>
          <t>Drama eSports</t>
        </is>
      </c>
      <c r="AT57" s="24" t="inlineStr">
        <is>
          <t>Drama eSports</t>
        </is>
      </c>
      <c r="AU57" s="24" t="inlineStr">
        <is>
          <t>Drama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aa38faabc43b718e795a96ee74d0ed78592947441c47c14c503921bcd6ea3e0a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aa38faabc43b718e795a96ee74d0ed78592947441c47c14c503921bcd6ea3e0a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2026-08-11T17:26:42.674874Z</t>
        </is>
      </c>
      <c r="BI57" s="24" t="inlineStr">
        <is>
          <t>["same_event","same_team_same_day","same_league_same_day"]</t>
        </is>
      </c>
      <c r="BJ57" s="25" t="n"/>
      <c r="BK57" s="26" t="n">
        <v>117</v>
      </c>
      <c r="BL57" s="27" t="n">
        <v>2.17</v>
      </c>
      <c r="BM57" s="28" t="n">
        <v>0.460829</v>
      </c>
      <c r="BN57" s="28" t="n"/>
      <c r="BO57" s="28" t="n"/>
      <c r="BP57" s="25" t="n"/>
      <c r="BQ57" s="27" t="n">
        <v>2.44</v>
      </c>
      <c r="BR57" s="28" t="n">
        <v>0.41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fba7342102174dc2</t>
        </is>
      </c>
      <c r="B58" s="24" t="inlineStr">
        <is>
          <t>2026-08-11T23:04:05.256557Z</t>
        </is>
      </c>
      <c r="C58" s="24" t="inlineStr">
        <is>
          <t>2026-08-11T23:45:00Z</t>
        </is>
      </c>
      <c r="D58" s="24" t="inlineStr">
        <is>
          <t>77183</t>
        </is>
      </c>
      <c r="E58" s="24" t="inlineStr">
        <is>
          <t>CS2</t>
        </is>
      </c>
      <c r="F58" s="24" t="inlineStr">
        <is>
          <t>ALKA GAMING</t>
        </is>
      </c>
      <c r="G58" s="24" t="inlineStr">
        <is>
          <t>MEIA NOITE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0.6396579999999999</v>
      </c>
      <c r="P58" s="28" t="n"/>
      <c r="Q58" s="28" t="n">
        <v>0.010028</v>
      </c>
      <c r="R58" s="26" t="n">
        <v>25</v>
      </c>
      <c r="S58" s="29" t="n">
        <v>1.5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0.8824</v>
      </c>
      <c r="AD58" s="24" t="inlineStr">
        <is>
          <t>2026-08-12T02:06:47.917729Z</t>
        </is>
      </c>
      <c r="AE58" s="31" t="inlineStr">
        <is>
          <t>Neutral Elo baseline; executable ask 0.6300 (market_slug=aec-cs2-mne-alka-2026-08-11).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ALKA GAMING</t>
        </is>
      </c>
      <c r="AQ58" s="24" t="inlineStr">
        <is>
          <t>ALKA GAMING</t>
        </is>
      </c>
      <c r="AR58" s="24" t="inlineStr">
        <is>
          <t>ALKA GAMING</t>
        </is>
      </c>
      <c r="AS58" s="24" t="inlineStr">
        <is>
          <t>MEIA NOITE</t>
        </is>
      </c>
      <c r="AT58" s="24" t="inlineStr">
        <is>
          <t>MEIA NOITE</t>
        </is>
      </c>
      <c r="AU58" s="24" t="inlineStr">
        <is>
          <t>MEIA NOITE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3cd31c4aa58b956b336919140dc36e39c6f18f25437b2f3e5bff736488a6351e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3cd31c4aa58b956b336919140dc36e39c6f18f25437b2f3e5bff736488a6351e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2026-08-11T23:03:47.028505Z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01f200bcbe3c4a73</t>
        </is>
      </c>
      <c r="B59" s="24" t="inlineStr">
        <is>
          <t>2026-08-12T05:16:34.452250Z</t>
        </is>
      </c>
      <c r="C59" s="24" t="inlineStr">
        <is>
          <t>2026-08-12T08:00:00Z</t>
        </is>
      </c>
      <c r="D59" s="24" t="inlineStr">
        <is>
          <t>78256</t>
        </is>
      </c>
      <c r="E59" s="24" t="inlineStr">
        <is>
          <t>CS2</t>
        </is>
      </c>
      <c r="F59" s="24" t="inlineStr">
        <is>
          <t>ex-MANA eSports</t>
        </is>
      </c>
      <c r="G59" s="24" t="inlineStr">
        <is>
          <t>Bushido Wildcats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-194</v>
      </c>
      <c r="M59" s="27" t="n">
        <v>1.515464</v>
      </c>
      <c r="N59" s="28" t="n">
        <v>0.659864</v>
      </c>
      <c r="O59" s="28" t="n">
        <v>0.703308</v>
      </c>
      <c r="P59" s="28" t="n"/>
      <c r="Q59" s="28" t="n">
        <v>0.043444</v>
      </c>
      <c r="R59" s="26" t="n">
        <v>42</v>
      </c>
      <c r="S59" s="29" t="n">
        <v>2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-194</v>
      </c>
      <c r="AA59" s="28" t="n">
        <v>0.66</v>
      </c>
      <c r="AB59" s="28" t="n">
        <v>0.000136</v>
      </c>
      <c r="AC59" s="30" t="n">
        <v>1.0309</v>
      </c>
      <c r="AD59" s="24" t="inlineStr">
        <is>
          <t>2026-08-12T11:26:10.025335Z</t>
        </is>
      </c>
      <c r="AE59" s="31" t="inlineStr">
        <is>
          <t>Neutral Elo baseline; executable ask 0.6600 (market_slug=aec-cs2-bw-exmana-2026-08-12).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ex-MANA eSports</t>
        </is>
      </c>
      <c r="AQ59" s="24" t="inlineStr">
        <is>
          <t>ex-MANA eSports</t>
        </is>
      </c>
      <c r="AR59" s="24" t="inlineStr">
        <is>
          <t>ex-MANA eSports</t>
        </is>
      </c>
      <c r="AS59" s="24" t="inlineStr">
        <is>
          <t>Bushido Wildcats</t>
        </is>
      </c>
      <c r="AT59" s="24" t="inlineStr">
        <is>
          <t>Bushido Wildcats</t>
        </is>
      </c>
      <c r="AU59" s="24" t="inlineStr">
        <is>
          <t>Bushido Wildcats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2cd371771f3e59bbdc7c4e709aa2b3af65b891f1a68ec4ab92415144fc3f4603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2cd371771f3e59bbdc7c4e709aa2b3af65b891f1a68ec4ab92415144fc3f4603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2026-08-12T05:16:07.484020Z</t>
        </is>
      </c>
      <c r="BI59" s="24" t="inlineStr">
        <is>
          <t>["same_event","same_team_same_day","same_league_same_day"]</t>
        </is>
      </c>
      <c r="BJ59" s="25" t="n"/>
      <c r="BK59" s="26" t="n">
        <v>-194</v>
      </c>
      <c r="BL59" s="27" t="n">
        <v>1.515464</v>
      </c>
      <c r="BM59" s="28" t="n">
        <v>0.659864</v>
      </c>
      <c r="BN59" s="28" t="n"/>
      <c r="BO59" s="28" t="n"/>
      <c r="BP59" s="25" t="n"/>
      <c r="BQ59" s="27" t="n">
        <v>1.515464</v>
      </c>
      <c r="BR59" s="28" t="n">
        <v>0.66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8d1b0518f60c412e</t>
        </is>
      </c>
      <c r="B60" s="24" t="inlineStr">
        <is>
          <t>2026-08-12T05:16:34.452250Z</t>
        </is>
      </c>
      <c r="C60" s="24" t="inlineStr">
        <is>
          <t>2026-08-12T08:00:00Z</t>
        </is>
      </c>
      <c r="D60" s="24" t="inlineStr">
        <is>
          <t>76175</t>
        </is>
      </c>
      <c r="E60" s="24" t="inlineStr">
        <is>
          <t>CS2</t>
        </is>
      </c>
      <c r="F60" s="24" t="inlineStr">
        <is>
          <t>B8 Academy</t>
        </is>
      </c>
      <c r="G60" s="24" t="inlineStr">
        <is>
          <t>FaZe Up Next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-113</v>
      </c>
      <c r="M60" s="27" t="n">
        <v>1.884956</v>
      </c>
      <c r="N60" s="28" t="n">
        <v>0.530516</v>
      </c>
      <c r="O60" s="28" t="n">
        <v>0.560665</v>
      </c>
      <c r="P60" s="28" t="n"/>
      <c r="Q60" s="28" t="n">
        <v>0.030149</v>
      </c>
      <c r="R60" s="26" t="n">
        <v>35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0</v>
      </c>
      <c r="X60" s="26" t="n">
        <v>1</v>
      </c>
      <c r="Y60" s="25" t="n"/>
      <c r="Z60" s="26" t="n">
        <v>-113</v>
      </c>
      <c r="AA60" s="28" t="n">
        <v>0.53</v>
      </c>
      <c r="AB60" s="28" t="n">
        <v>-0.000516</v>
      </c>
      <c r="AC60" s="30" t="n">
        <v>-1</v>
      </c>
      <c r="AD60" s="24" t="inlineStr">
        <is>
          <t>2026-08-12T11:26:11.639409Z</t>
        </is>
      </c>
      <c r="AE60" s="31" t="inlineStr">
        <is>
          <t>Neutral Elo baseline; executable ask 0.5300 (market_slug=aec-cs2-fazeun-b8a-2026-08-12).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B8 Academy</t>
        </is>
      </c>
      <c r="AQ60" s="24" t="inlineStr">
        <is>
          <t>B8 Academy</t>
        </is>
      </c>
      <c r="AR60" s="24" t="inlineStr">
        <is>
          <t>B8 Academy</t>
        </is>
      </c>
      <c r="AS60" s="24" t="inlineStr">
        <is>
          <t>FaZe Up Next</t>
        </is>
      </c>
      <c r="AT60" s="24" t="inlineStr">
        <is>
          <t>FaZe Up Next</t>
        </is>
      </c>
      <c r="AU60" s="24" t="inlineStr">
        <is>
          <t>FaZe Up Next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2cd371771f3e59bbdc7c4e709aa2b3af65b891f1a68ec4ab92415144fc3f4603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2cd371771f3e59bbdc7c4e709aa2b3af65b891f1a68ec4ab92415144fc3f4603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2026-08-12T05:16:08.058685Z</t>
        </is>
      </c>
      <c r="BI60" s="24" t="inlineStr">
        <is>
          <t>["same_event","same_team_same_day","same_league_same_day"]</t>
        </is>
      </c>
      <c r="BJ60" s="25" t="n"/>
      <c r="BK60" s="26" t="n">
        <v>-113</v>
      </c>
      <c r="BL60" s="27" t="n">
        <v>1.884956</v>
      </c>
      <c r="BM60" s="28" t="n">
        <v>0.530516</v>
      </c>
      <c r="BN60" s="28" t="n"/>
      <c r="BO60" s="28" t="n"/>
      <c r="BP60" s="25" t="n"/>
      <c r="BQ60" s="27" t="n">
        <v>1.884956</v>
      </c>
      <c r="BR60" s="28" t="n">
        <v>0.53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1c7bd3d2ccf948b3</t>
        </is>
      </c>
      <c r="B61" s="24" t="inlineStr">
        <is>
          <t>2026-08-12T08:22:49.699390Z</t>
        </is>
      </c>
      <c r="C61" s="24" t="inlineStr">
        <is>
          <t>2026-08-12T09:00:00Z</t>
        </is>
      </c>
      <c r="D61" s="24" t="inlineStr">
        <is>
          <t>76965</t>
        </is>
      </c>
      <c r="E61" s="24" t="inlineStr">
        <is>
          <t>CS2</t>
        </is>
      </c>
      <c r="F61" s="24" t="inlineStr">
        <is>
          <t>GamerLegion</t>
        </is>
      </c>
      <c r="G61" s="24" t="inlineStr">
        <is>
          <t>Luminosity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0.698837</v>
      </c>
      <c r="P61" s="28" t="n"/>
      <c r="Q61" s="28" t="n">
        <v>0.198837</v>
      </c>
      <c r="R61" s="26" t="n">
        <v>100</v>
      </c>
      <c r="S61" s="29" t="n">
        <v>2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100</v>
      </c>
      <c r="AA61" s="28" t="n">
        <v>0.5</v>
      </c>
      <c r="AB61" s="28" t="n">
        <v>0</v>
      </c>
      <c r="AC61" s="30" t="n">
        <v>2</v>
      </c>
      <c r="AD61" s="24" t="inlineStr">
        <is>
          <t>2026-08-12T11:26:13.202106Z</t>
        </is>
      </c>
      <c r="AE61" s="31" t="inlineStr">
        <is>
          <t>Neutral Elo baseline; executable ask 0.5000 (market_slug=aec-cs2-lg-gl-2026-08-12).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GamerLegion</t>
        </is>
      </c>
      <c r="AQ61" s="24" t="inlineStr">
        <is>
          <t>GamerLegion</t>
        </is>
      </c>
      <c r="AR61" s="24" t="inlineStr">
        <is>
          <t>GamerLegion</t>
        </is>
      </c>
      <c r="AS61" s="24" t="inlineStr">
        <is>
          <t>Luminosity</t>
        </is>
      </c>
      <c r="AT61" s="24" t="inlineStr">
        <is>
          <t>Luminosity</t>
        </is>
      </c>
      <c r="AU61" s="24" t="inlineStr">
        <is>
          <t>Luminosity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d80de5716d7ba7642ef45702005b7ebc53e7998fc799e1bd7e8d885b5c01cc64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d80de5716d7ba7642ef45702005b7ebc53e7998fc799e1bd7e8d885b5c01cc64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2026-08-12T08:22:23.759170Z</t>
        </is>
      </c>
      <c r="BI61" s="24" t="inlineStr">
        <is>
          <t>["same_event","same_team_same_day","same_league_same_day"]</t>
        </is>
      </c>
      <c r="BJ61" s="25" t="n"/>
      <c r="BK61" s="26" t="n">
        <v>100</v>
      </c>
      <c r="BL61" s="27" t="n">
        <v>2</v>
      </c>
      <c r="BM61" s="28" t="n">
        <v>0.5</v>
      </c>
      <c r="BN61" s="28" t="n"/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857e2f198a6b41aa</t>
        </is>
      </c>
      <c r="B62" s="24" t="inlineStr">
        <is>
          <t>2026-08-12T08:22:49.699390Z</t>
        </is>
      </c>
      <c r="C62" s="24" t="inlineStr">
        <is>
          <t>2026-08-12T10:30:00Z</t>
        </is>
      </c>
      <c r="D62" s="24" t="inlineStr">
        <is>
          <t>76978</t>
        </is>
      </c>
      <c r="E62" s="24" t="inlineStr">
        <is>
          <t>CS2</t>
        </is>
      </c>
      <c r="F62" s="24" t="inlineStr">
        <is>
          <t>TYLOO</t>
        </is>
      </c>
      <c r="G62" s="24" t="inlineStr">
        <is>
          <t>FUT Esports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0.861232</v>
      </c>
      <c r="P62" s="28" t="n"/>
      <c r="Q62" s="28" t="n">
        <v>0.451396</v>
      </c>
      <c r="R62" s="26" t="n">
        <v>100</v>
      </c>
      <c r="S62" s="29" t="n">
        <v>2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0</v>
      </c>
      <c r="X62" s="26" t="n">
        <v>1</v>
      </c>
      <c r="Y62" s="25" t="n"/>
      <c r="Z62" s="26" t="n">
        <v>144</v>
      </c>
      <c r="AA62" s="28" t="n">
        <v>0.41</v>
      </c>
      <c r="AB62" s="28" t="n">
        <v>0.000164</v>
      </c>
      <c r="AC62" s="30" t="n">
        <v>-2</v>
      </c>
      <c r="AD62" s="24" t="inlineStr">
        <is>
          <t>2026-08-12T11:26:14.626957Z</t>
        </is>
      </c>
      <c r="AE62" s="31" t="inlineStr">
        <is>
          <t>Neutral Elo baseline; executable ask 0.4100 (market_slug=aec-cs2-fut-tyloo-2026-08-12).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TYLOO</t>
        </is>
      </c>
      <c r="AQ62" s="24" t="inlineStr">
        <is>
          <t>TYLOO</t>
        </is>
      </c>
      <c r="AR62" s="24" t="inlineStr">
        <is>
          <t>TYLOO</t>
        </is>
      </c>
      <c r="AS62" s="24" t="inlineStr">
        <is>
          <t>FUT Esports</t>
        </is>
      </c>
      <c r="AT62" s="24" t="inlineStr">
        <is>
          <t>FUT Esports</t>
        </is>
      </c>
      <c r="AU62" s="24" t="inlineStr">
        <is>
          <t>FUT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d80de5716d7ba7642ef45702005b7ebc53e7998fc799e1bd7e8d885b5c01cc64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d80de5716d7ba7642ef45702005b7ebc53e7998fc799e1bd7e8d885b5c01cc64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2026-08-12T08:22:26.739538Z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>
        <v>2.44</v>
      </c>
      <c r="BR62" s="28" t="n">
        <v>0.41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912c6dca1cb24171</t>
        </is>
      </c>
      <c r="B63" s="24" t="inlineStr">
        <is>
          <t>2026-08-12T08:22:49.699390Z</t>
        </is>
      </c>
      <c r="C63" s="24" t="inlineStr">
        <is>
          <t>2026-08-12T11:00:00Z</t>
        </is>
      </c>
      <c r="D63" s="24" t="inlineStr">
        <is>
          <t>78261</t>
        </is>
      </c>
      <c r="E63" s="24" t="inlineStr">
        <is>
          <t>CS2</t>
        </is>
      </c>
      <c r="F63" s="24" t="inlineStr">
        <is>
          <t>SAW Youngsters</t>
        </is>
      </c>
      <c r="G63" s="24" t="inlineStr">
        <is>
          <t>ex-RUSTEC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0.70621</v>
      </c>
      <c r="P63" s="28" t="n"/>
      <c r="Q63" s="28" t="n">
        <v>0.015808</v>
      </c>
      <c r="R63" s="26" t="n">
        <v>28</v>
      </c>
      <c r="S63" s="29" t="n">
        <v>2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2026-08-12T14:33:44.184599Z</t>
        </is>
      </c>
      <c r="AE63" s="31" t="inlineStr">
        <is>
          <t>Neutral Elo baseline; executable ask 0.6900 (market_slug=aec-cs2-erx-sawy-2026-08-12).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SAW Youngsters</t>
        </is>
      </c>
      <c r="AQ63" s="24" t="inlineStr">
        <is>
          <t>SAW Youngsters</t>
        </is>
      </c>
      <c r="AR63" s="24" t="inlineStr">
        <is>
          <t>SAW Youngsters</t>
        </is>
      </c>
      <c r="AS63" s="24" t="inlineStr">
        <is>
          <t>ex-RUSTEC</t>
        </is>
      </c>
      <c r="AT63" s="24" t="inlineStr">
        <is>
          <t>ex-RUSTEC</t>
        </is>
      </c>
      <c r="AU63" s="24" t="inlineStr">
        <is>
          <t>ex-RUSTEC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d80de5716d7ba7642ef45702005b7ebc53e7998fc799e1bd7e8d885b5c01cc64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d80de5716d7ba7642ef45702005b7ebc53e7998fc799e1bd7e8d885b5c01cc64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2026-08-12T08:22:27.985313Z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c8b42876a87c448e</t>
        </is>
      </c>
      <c r="B64" s="24" t="inlineStr">
        <is>
          <t>2026-08-12T11:30:24.851950Z</t>
        </is>
      </c>
      <c r="C64" s="24" t="inlineStr">
        <is>
          <t>2026-08-12T12:00:00Z</t>
        </is>
      </c>
      <c r="D64" s="24" t="inlineStr">
        <is>
          <t>76970</t>
        </is>
      </c>
      <c r="E64" s="24" t="inlineStr">
        <is>
          <t>CS2</t>
        </is>
      </c>
      <c r="F64" s="24" t="inlineStr">
        <is>
          <t>M80</t>
        </is>
      </c>
      <c r="G64" s="24" t="inlineStr">
        <is>
          <t>G2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-223</v>
      </c>
      <c r="M64" s="27" t="n">
        <v>1.44843</v>
      </c>
      <c r="N64" s="28" t="n">
        <v>0.690402</v>
      </c>
      <c r="O64" s="28" t="n">
        <v>0.706985</v>
      </c>
      <c r="P64" s="28" t="n"/>
      <c r="Q64" s="28" t="n">
        <v>0.016583</v>
      </c>
      <c r="R64" s="26" t="n">
        <v>28</v>
      </c>
      <c r="S64" s="29" t="n">
        <v>2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>
        <v>-223</v>
      </c>
      <c r="AA64" s="28" t="n">
        <v>0.6899999999999999</v>
      </c>
      <c r="AB64" s="28" t="n">
        <v>-0.000402</v>
      </c>
      <c r="AC64" s="30" t="n">
        <v>0.8969</v>
      </c>
      <c r="AD64" s="24" t="inlineStr">
        <is>
          <t>2026-08-12T14:33:45.615294Z</t>
        </is>
      </c>
      <c r="AE64" s="31" t="inlineStr">
        <is>
          <t>Neutral Elo baseline; executable ask 0.6900 (market_slug=aec-cs2-g2-m80-2026-08-12).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M80</t>
        </is>
      </c>
      <c r="AQ64" s="24" t="inlineStr">
        <is>
          <t>M80</t>
        </is>
      </c>
      <c r="AR64" s="24" t="inlineStr">
        <is>
          <t>M80</t>
        </is>
      </c>
      <c r="AS64" s="24" t="inlineStr">
        <is>
          <t>G2</t>
        </is>
      </c>
      <c r="AT64" s="24" t="inlineStr">
        <is>
          <t>G2</t>
        </is>
      </c>
      <c r="AU64" s="24" t="inlineStr">
        <is>
          <t>G2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85595b66d01dc84375e9fb7414ae2261308ee7e56612d4c9d2d5dffe35cd20fe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85595b66d01dc84375e9fb7414ae2261308ee7e56612d4c9d2d5dffe35cd20fe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2026-08-12T11:30:03.880461Z</t>
        </is>
      </c>
      <c r="BI64" s="24" t="inlineStr">
        <is>
          <t>["same_event","same_team_same_day","same_league_same_day"]</t>
        </is>
      </c>
      <c r="BJ64" s="25" t="n"/>
      <c r="BK64" s="26" t="n">
        <v>-223</v>
      </c>
      <c r="BL64" s="27" t="n">
        <v>1.44843</v>
      </c>
      <c r="BM64" s="28" t="n">
        <v>0.690402</v>
      </c>
      <c r="BN64" s="28" t="n"/>
      <c r="BO64" s="28" t="n"/>
      <c r="BP64" s="25" t="n"/>
      <c r="BQ64" s="27" t="n">
        <v>1.44843</v>
      </c>
      <c r="BR64" s="28" t="n">
        <v>0.6899999999999999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a2489839f16644fd</t>
        </is>
      </c>
      <c r="B65" s="24" t="inlineStr">
        <is>
          <t>2026-08-12T11:30:24.851950Z</t>
        </is>
      </c>
      <c r="C65" s="24" t="inlineStr">
        <is>
          <t>2026-08-12T12:00:00Z</t>
        </is>
      </c>
      <c r="D65" s="24" t="inlineStr">
        <is>
          <t>76991</t>
        </is>
      </c>
      <c r="E65" s="24" t="inlineStr">
        <is>
          <t>CS2</t>
        </is>
      </c>
      <c r="F65" s="24" t="inlineStr">
        <is>
          <t>TheMongolz</t>
        </is>
      </c>
      <c r="G65" s="24" t="inlineStr">
        <is>
          <t>magic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0.554327</v>
      </c>
      <c r="P65" s="28" t="n"/>
      <c r="Q65" s="28" t="n">
        <v>0.015156</v>
      </c>
      <c r="R65" s="26" t="n">
        <v>28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>
        <v>-117</v>
      </c>
      <c r="AA65" s="28" t="n">
        <v>0.54</v>
      </c>
      <c r="AB65" s="28" t="n">
        <v>0.000829</v>
      </c>
      <c r="AC65" s="30" t="n">
        <v>0.8547</v>
      </c>
      <c r="AD65" s="24" t="inlineStr">
        <is>
          <t>2026-08-12T14:33:47.143285Z</t>
        </is>
      </c>
      <c r="AE65" s="31" t="inlineStr">
        <is>
          <t>Neutral Elo baseline; executable ask 0.5400 (market_slug=aec-cs2-mgc-mglz-2026-08-12).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TheMongolz</t>
        </is>
      </c>
      <c r="AQ65" s="24" t="inlineStr">
        <is>
          <t>TheMongolz</t>
        </is>
      </c>
      <c r="AR65" s="24" t="inlineStr">
        <is>
          <t>TheMongolz</t>
        </is>
      </c>
      <c r="AS65" s="24" t="inlineStr">
        <is>
          <t>magic</t>
        </is>
      </c>
      <c r="AT65" s="24" t="inlineStr">
        <is>
          <t>magic</t>
        </is>
      </c>
      <c r="AU65" s="24" t="inlineStr">
        <is>
          <t>magic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85595b66d01dc84375e9fb7414ae2261308ee7e56612d4c9d2d5dffe35cd20fe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85595b66d01dc84375e9fb7414ae2261308ee7e56612d4c9d2d5dffe35cd20fe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2026-08-12T11:30:04.388021Z</t>
        </is>
      </c>
      <c r="BI65" s="24" t="inlineStr">
        <is>
          <t>["same_event","same_team_same_day","same_league_same_day"]</t>
        </is>
      </c>
      <c r="BJ65" s="25" t="n"/>
      <c r="BK65" s="26" t="n">
        <v>-117</v>
      </c>
      <c r="BL65" s="27" t="n">
        <v>1.854701</v>
      </c>
      <c r="BM65" s="28" t="n">
        <v>0.539171</v>
      </c>
      <c r="BN65" s="28" t="n"/>
      <c r="BO65" s="28" t="n"/>
      <c r="BP65" s="25" t="n"/>
      <c r="BQ65" s="27" t="n">
        <v>1.854701</v>
      </c>
      <c r="BR65" s="28" t="n">
        <v>0.54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d8b8ba617d744ab8</t>
        </is>
      </c>
      <c r="B66" s="24" t="inlineStr">
        <is>
          <t>2026-08-12T14:37:30.463453Z</t>
        </is>
      </c>
      <c r="C66" s="24" t="inlineStr">
        <is>
          <t>2026-08-12T15:00:00Z</t>
        </is>
      </c>
      <c r="D66" s="24" t="inlineStr">
        <is>
          <t>76974</t>
        </is>
      </c>
      <c r="E66" s="24" t="inlineStr">
        <is>
          <t>CS2</t>
        </is>
      </c>
      <c r="F66" s="24" t="inlineStr">
        <is>
          <t>FaZe</t>
        </is>
      </c>
      <c r="G66" s="24" t="inlineStr">
        <is>
          <t>BetBoom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113</v>
      </c>
      <c r="M66" s="27" t="n">
        <v>2.13</v>
      </c>
      <c r="N66" s="28" t="n">
        <v>0.469484</v>
      </c>
      <c r="O66" s="28" t="n">
        <v>0.550786</v>
      </c>
      <c r="P66" s="28" t="n"/>
      <c r="Q66" s="28" t="n">
        <v>0.081302</v>
      </c>
      <c r="R66" s="26" t="n">
        <v>61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113</v>
      </c>
      <c r="AA66" s="28" t="n">
        <v>0.47</v>
      </c>
      <c r="AB66" s="28" t="n">
        <v>0.000516</v>
      </c>
      <c r="AC66" s="30" t="n">
        <v>-1</v>
      </c>
      <c r="AD66" s="24" t="inlineStr">
        <is>
          <t>2026-08-12T16:41:20.364542Z</t>
        </is>
      </c>
      <c r="AE66" s="31" t="inlineStr">
        <is>
          <t>Neutral Elo baseline; executable ask 0.4700 (market_slug=aec-cs2-bb-faze-2026-08-12).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FaZe</t>
        </is>
      </c>
      <c r="AQ66" s="24" t="inlineStr">
        <is>
          <t>FaZe</t>
        </is>
      </c>
      <c r="AR66" s="24" t="inlineStr">
        <is>
          <t>FaZe</t>
        </is>
      </c>
      <c r="AS66" s="24" t="inlineStr">
        <is>
          <t>BetBoom Team</t>
        </is>
      </c>
      <c r="AT66" s="24" t="inlineStr">
        <is>
          <t>BetBoom Team</t>
        </is>
      </c>
      <c r="AU66" s="24" t="inlineStr">
        <is>
          <t>BetBoom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b374886ba0bf0a14220551786b48c1fb8c8961809d97158d30b42f9ed5afb432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b374886ba0bf0a14220551786b48c1fb8c8961809d97158d30b42f9ed5afb432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2026-08-12T14:37:10.071622Z</t>
        </is>
      </c>
      <c r="BI66" s="24" t="inlineStr">
        <is>
          <t>["same_event","same_team_same_day","same_league_same_day"]</t>
        </is>
      </c>
      <c r="BJ66" s="25" t="n"/>
      <c r="BK66" s="26" t="n">
        <v>113</v>
      </c>
      <c r="BL66" s="27" t="n">
        <v>2.13</v>
      </c>
      <c r="BM66" s="28" t="n">
        <v>0.469484</v>
      </c>
      <c r="BN66" s="28" t="n"/>
      <c r="BO66" s="28" t="n"/>
      <c r="BP66" s="25" t="n"/>
      <c r="BQ66" s="27" t="n">
        <v>2.13</v>
      </c>
      <c r="BR66" s="28" t="n">
        <v>0.47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ef07770dfddb411d</t>
        </is>
      </c>
      <c r="B67" s="24" t="inlineStr">
        <is>
          <t>2026-08-12T14:37:30.463453Z</t>
        </is>
      </c>
      <c r="C67" s="24" t="inlineStr">
        <is>
          <t>2026-08-12T15:00:00Z</t>
        </is>
      </c>
      <c r="D67" s="24" t="inlineStr">
        <is>
          <t>76975</t>
        </is>
      </c>
      <c r="E67" s="24" t="inlineStr">
        <is>
          <t>CS2</t>
        </is>
      </c>
      <c r="F67" s="24" t="inlineStr">
        <is>
          <t>B8</t>
        </is>
      </c>
      <c r="G67" s="24" t="inlineStr">
        <is>
          <t>PARIVISION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0.617108</v>
      </c>
      <c r="P67" s="28" t="n"/>
      <c r="Q67" s="28" t="n">
        <v>0.037276</v>
      </c>
      <c r="R67" s="26" t="n">
        <v>39</v>
      </c>
      <c r="S67" s="29" t="n">
        <v>1.5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-138</v>
      </c>
      <c r="AA67" s="28" t="n">
        <v>0.58</v>
      </c>
      <c r="AB67" s="28" t="n">
        <v>0.000168</v>
      </c>
      <c r="AC67" s="30" t="n">
        <v>-1.5</v>
      </c>
      <c r="AD67" s="24" t="inlineStr">
        <is>
          <t>2026-08-12T16:41:21.963065Z</t>
        </is>
      </c>
      <c r="AE67" s="31" t="inlineStr">
        <is>
          <t>Neutral Elo baseline; executable ask 0.5800 (market_slug=aec-cs2-prv-b8-2026-08-12).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B8</t>
        </is>
      </c>
      <c r="AQ67" s="24" t="inlineStr">
        <is>
          <t>B8</t>
        </is>
      </c>
      <c r="AR67" s="24" t="inlineStr">
        <is>
          <t>B8</t>
        </is>
      </c>
      <c r="AS67" s="24" t="inlineStr">
        <is>
          <t>PARIVISION</t>
        </is>
      </c>
      <c r="AT67" s="24" t="inlineStr">
        <is>
          <t>PARIVISION</t>
        </is>
      </c>
      <c r="AU67" s="24" t="inlineStr">
        <is>
          <t>PARIVISION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b374886ba0bf0a14220551786b48c1fb8c8961809d97158d30b42f9ed5afb432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b374886ba0bf0a14220551786b48c1fb8c8961809d97158d30b42f9ed5afb432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2026-08-12T14:37:10.589754Z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/>
      <c r="BO67" s="28" t="n"/>
      <c r="BP67" s="25" t="n"/>
      <c r="BQ67" s="27" t="n">
        <v>1.724638</v>
      </c>
      <c r="BR67" s="28" t="n">
        <v>0.58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  <row r="68" ht="36" customHeight="1">
      <c r="A68" s="24" t="inlineStr">
        <is>
          <t>f216db75a7764ca4</t>
        </is>
      </c>
      <c r="B68" s="24" t="inlineStr">
        <is>
          <t>2026-08-12T14:37:30.463453Z</t>
        </is>
      </c>
      <c r="C68" s="24" t="inlineStr">
        <is>
          <t>2026-08-12T16:00:00Z</t>
        </is>
      </c>
      <c r="D68" s="24" t="inlineStr">
        <is>
          <t>79505</t>
        </is>
      </c>
      <c r="E68" s="24" t="inlineStr">
        <is>
          <t>CS2</t>
        </is>
      </c>
      <c r="F68" s="24" t="inlineStr">
        <is>
          <t>ROUNDS</t>
        </is>
      </c>
      <c r="G68" s="24" t="inlineStr">
        <is>
          <t>KUUSAMO.gg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-138</v>
      </c>
      <c r="M68" s="27" t="n">
        <v>1.724638</v>
      </c>
      <c r="N68" s="28" t="n">
        <v>0.579832</v>
      </c>
      <c r="O68" s="28" t="n">
        <v>0.675735</v>
      </c>
      <c r="P68" s="28" t="n"/>
      <c r="Q68" s="28" t="n">
        <v>0.095903</v>
      </c>
      <c r="R68" s="26" t="n">
        <v>68</v>
      </c>
      <c r="S68" s="29" t="n">
        <v>1.75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-138</v>
      </c>
      <c r="AA68" s="28" t="n">
        <v>0.58</v>
      </c>
      <c r="AB68" s="28" t="n">
        <v>0.000168</v>
      </c>
      <c r="AC68" s="30" t="n">
        <v>1.2681</v>
      </c>
      <c r="AD68" s="24" t="inlineStr">
        <is>
          <t>2026-08-12T17:40:58.730765Z</t>
        </is>
      </c>
      <c r="AE68" s="31" t="inlineStr">
        <is>
          <t>Neutral Elo baseline; executable ask 0.5800 (market_slug=aec-cs2-ksm-rgg-2026-08-12).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ROUNDS</t>
        </is>
      </c>
      <c r="AQ68" s="24" t="inlineStr">
        <is>
          <t>ROUNDS</t>
        </is>
      </c>
      <c r="AR68" s="24" t="inlineStr">
        <is>
          <t>ROUNDS</t>
        </is>
      </c>
      <c r="AS68" s="24" t="inlineStr">
        <is>
          <t>KUUSAMO.gg</t>
        </is>
      </c>
      <c r="AT68" s="24" t="inlineStr">
        <is>
          <t>KUUSAMO.gg</t>
        </is>
      </c>
      <c r="AU68" s="24" t="inlineStr">
        <is>
          <t>KUUSAMO.gg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b374886ba0bf0a14220551786b48c1fb8c8961809d97158d30b42f9ed5afb432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b374886ba0bf0a14220551786b48c1fb8c8961809d97158d30b42f9ed5afb432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2026-08-12T14:37:11.131844Z</t>
        </is>
      </c>
      <c r="BI68" s="24" t="inlineStr">
        <is>
          <t>["same_event","same_team_same_day","same_league_same_day"]</t>
        </is>
      </c>
      <c r="BJ68" s="25" t="n"/>
      <c r="BK68" s="26" t="n">
        <v>-138</v>
      </c>
      <c r="BL68" s="27" t="n">
        <v>1.724638</v>
      </c>
      <c r="BM68" s="28" t="n">
        <v>0.579832</v>
      </c>
      <c r="BN68" s="28" t="n"/>
      <c r="BO68" s="28" t="n"/>
      <c r="BP68" s="25" t="n"/>
      <c r="BQ68" s="27" t="n">
        <v>1.724638</v>
      </c>
      <c r="BR68" s="28" t="n">
        <v>0.58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2b40a1f887a2498d</t>
        </is>
      </c>
      <c r="B69" s="24" t="inlineStr">
        <is>
          <t>2026-08-12T14:37:30.463453Z</t>
        </is>
      </c>
      <c r="C69" s="24" t="inlineStr">
        <is>
          <t>2026-08-12T16:30:00Z</t>
        </is>
      </c>
      <c r="D69" s="24" t="inlineStr">
        <is>
          <t>76971</t>
        </is>
      </c>
      <c r="E69" s="24" t="inlineStr">
        <is>
          <t>CS2</t>
        </is>
      </c>
      <c r="F69" s="24" t="inlineStr">
        <is>
          <t>Astralis</t>
        </is>
      </c>
      <c r="G69" s="24" t="inlineStr">
        <is>
          <t>MIBR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113</v>
      </c>
      <c r="M69" s="27" t="n">
        <v>2.13</v>
      </c>
      <c r="N69" s="28" t="n">
        <v>0.469484</v>
      </c>
      <c r="O69" s="28" t="n">
        <v>0.555722</v>
      </c>
      <c r="P69" s="28" t="n"/>
      <c r="Q69" s="28" t="n">
        <v>0.086238</v>
      </c>
      <c r="R69" s="26" t="n">
        <v>63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113</v>
      </c>
      <c r="AA69" s="28" t="n">
        <v>0.47</v>
      </c>
      <c r="AB69" s="28" t="n">
        <v>0.000516</v>
      </c>
      <c r="AC69" s="30" t="n">
        <v>-1</v>
      </c>
      <c r="AD69" s="24" t="inlineStr">
        <is>
          <t>2026-08-12T17:41:00.188426Z</t>
        </is>
      </c>
      <c r="AE69" s="31" t="inlineStr">
        <is>
          <t>Neutral Elo baseline; executable ask 0.4700 (market_slug=aec-cs2-mibr-ast-2026-08-12).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Astralis</t>
        </is>
      </c>
      <c r="AQ69" s="24" t="inlineStr">
        <is>
          <t>Astralis</t>
        </is>
      </c>
      <c r="AR69" s="24" t="inlineStr">
        <is>
          <t>Astralis</t>
        </is>
      </c>
      <c r="AS69" s="24" t="inlineStr">
        <is>
          <t>MIBR</t>
        </is>
      </c>
      <c r="AT69" s="24" t="inlineStr">
        <is>
          <t>MIBR</t>
        </is>
      </c>
      <c r="AU69" s="24" t="inlineStr">
        <is>
          <t>MIBR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b374886ba0bf0a14220551786b48c1fb8c8961809d97158d30b42f9ed5afb432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b374886ba0bf0a14220551786b48c1fb8c8961809d97158d30b42f9ed5afb432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2026-08-12T14:37:11.602066Z</t>
        </is>
      </c>
      <c r="BI69" s="24" t="inlineStr">
        <is>
          <t>["same_event","same_team_same_day","same_league_same_day"]</t>
        </is>
      </c>
      <c r="BJ69" s="25" t="n"/>
      <c r="BK69" s="26" t="n">
        <v>113</v>
      </c>
      <c r="BL69" s="27" t="n">
        <v>2.13</v>
      </c>
      <c r="BM69" s="28" t="n">
        <v>0.469484</v>
      </c>
      <c r="BN69" s="28" t="n"/>
      <c r="BO69" s="28" t="n"/>
      <c r="BP69" s="25" t="n"/>
      <c r="BQ69" s="27" t="n">
        <v>2.13</v>
      </c>
      <c r="BR69" s="28" t="n">
        <v>0.47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e55cc4e565ea4217</t>
        </is>
      </c>
      <c r="B70" s="24" t="inlineStr">
        <is>
          <t>2026-08-12T14:37:30.463453Z</t>
        </is>
      </c>
      <c r="C70" s="24" t="inlineStr">
        <is>
          <t>2026-08-12T16:30:00Z</t>
        </is>
      </c>
      <c r="D70" s="24" t="inlineStr">
        <is>
          <t>79506</t>
        </is>
      </c>
      <c r="E70" s="24" t="inlineStr">
        <is>
          <t>CS2</t>
        </is>
      </c>
      <c r="F70" s="24" t="inlineStr">
        <is>
          <t>Glitchtech Esports</t>
        </is>
      </c>
      <c r="G70" s="24" t="inlineStr">
        <is>
          <t>NEXORA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0.646015</v>
      </c>
      <c r="P70" s="28" t="n"/>
      <c r="Q70" s="28" t="n">
        <v>0.176531</v>
      </c>
      <c r="R70" s="26" t="n">
        <v>100</v>
      </c>
      <c r="S70" s="29" t="n">
        <v>1.75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122</v>
      </c>
      <c r="AA70" s="28" t="n">
        <v>0.45</v>
      </c>
      <c r="AB70" s="28" t="n">
        <v>-0.019484</v>
      </c>
      <c r="AC70" s="30" t="n">
        <v>1.9775</v>
      </c>
      <c r="AD70" s="24" t="inlineStr">
        <is>
          <t>2026-08-12T17:41:01.577165Z</t>
        </is>
      </c>
      <c r="AE70" s="31" t="inlineStr">
        <is>
          <t>Neutral Elo baseline; executable ask 0.4700 (market_slug=aec-cs2-nexo-gel-2026-08-12).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Glitchtech Esports</t>
        </is>
      </c>
      <c r="AQ70" s="24" t="inlineStr">
        <is>
          <t>Glitchtech Esports</t>
        </is>
      </c>
      <c r="AR70" s="24" t="inlineStr">
        <is>
          <t>Glitchtech Esports</t>
        </is>
      </c>
      <c r="AS70" s="24" t="inlineStr">
        <is>
          <t>NEXORA</t>
        </is>
      </c>
      <c r="AT70" s="24" t="inlineStr">
        <is>
          <t>NEXORA</t>
        </is>
      </c>
      <c r="AU70" s="24" t="inlineStr">
        <is>
          <t>NEXORA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b374886ba0bf0a14220551786b48c1fb8c8961809d97158d30b42f9ed5afb432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b374886ba0bf0a14220551786b48c1fb8c8961809d97158d30b42f9ed5afb432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2026-08-12T14:37:12.674670Z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>
        <v>2.22</v>
      </c>
      <c r="BR70" s="28" t="n">
        <v>0.45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df6a451d390f411d</t>
        </is>
      </c>
      <c r="B71" s="24" t="inlineStr">
        <is>
          <t>2026-08-12T16:45:01.279018Z</t>
        </is>
      </c>
      <c r="C71" s="24" t="inlineStr">
        <is>
          <t>2026-08-12T17:00:00Z</t>
        </is>
      </c>
      <c r="D71" s="24" t="inlineStr">
        <is>
          <t>78267</t>
        </is>
      </c>
      <c r="E71" s="24" t="inlineStr">
        <is>
          <t>CS2</t>
        </is>
      </c>
      <c r="F71" s="24" t="inlineStr">
        <is>
          <t>HAVU</t>
        </is>
      </c>
      <c r="G71" s="24" t="inlineStr">
        <is>
          <t>Endless Journey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-178</v>
      </c>
      <c r="M71" s="27" t="n">
        <v>1.561798</v>
      </c>
      <c r="N71" s="28" t="n">
        <v>0.640288</v>
      </c>
      <c r="O71" s="28" t="n">
        <v>0.769971</v>
      </c>
      <c r="P71" s="28" t="n"/>
      <c r="Q71" s="28" t="n">
        <v>0.129683</v>
      </c>
      <c r="R71" s="26" t="n">
        <v>85</v>
      </c>
      <c r="S71" s="29" t="n">
        <v>2</v>
      </c>
      <c r="T71" s="24" t="inlineStr">
        <is>
          <t>cs2-tiered-elo-v6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0.6400 (market_slug=aec-cs2-ej-havu-2026-08-12).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HAVU</t>
        </is>
      </c>
      <c r="AQ71" s="24" t="inlineStr">
        <is>
          <t>HAVU</t>
        </is>
      </c>
      <c r="AR71" s="24" t="inlineStr">
        <is>
          <t>HAVU</t>
        </is>
      </c>
      <c r="AS71" s="24" t="inlineStr">
        <is>
          <t>Endless Journey</t>
        </is>
      </c>
      <c r="AT71" s="24" t="inlineStr">
        <is>
          <t>Endless Journey</t>
        </is>
      </c>
      <c r="AU71" s="24" t="inlineStr">
        <is>
          <t>Endless Journey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0b2baa676d9e7e664be1e73fe9c7392063fa9409251d936f02dc46acfa52a1d2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0b2baa676d9e7e664be1e73fe9c7392063fa9409251d936f02dc46acfa52a1d2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2026-08-12T16:44:43.728852Z</t>
        </is>
      </c>
      <c r="BI71" s="24" t="inlineStr">
        <is>
          <t>["same_event","same_team_same_day","same_league_same_day"]</t>
        </is>
      </c>
      <c r="BJ71" s="25" t="n"/>
      <c r="BK71" s="26" t="n">
        <v>-178</v>
      </c>
      <c r="BL71" s="27" t="n">
        <v>1.561798</v>
      </c>
      <c r="BM71" s="28" t="n">
        <v>0.640288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b4dd141f5cf142cf</t>
        </is>
      </c>
      <c r="B72" s="24" t="inlineStr">
        <is>
          <t>2026-08-12T17:44:50.525052Z</t>
        </is>
      </c>
      <c r="C72" s="24" t="inlineStr">
        <is>
          <t>2026-08-12T19:30:00Z</t>
        </is>
      </c>
      <c r="D72" s="24" t="inlineStr">
        <is>
          <t>76994</t>
        </is>
      </c>
      <c r="E72" s="24" t="inlineStr">
        <is>
          <t>CS2</t>
        </is>
      </c>
      <c r="F72" s="24" t="inlineStr">
        <is>
          <t>paiN</t>
        </is>
      </c>
      <c r="G72" s="24" t="inlineStr">
        <is>
          <t>9z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-170</v>
      </c>
      <c r="M72" s="27" t="n">
        <v>1.588235</v>
      </c>
      <c r="N72" s="28" t="n">
        <v>0.62963</v>
      </c>
      <c r="O72" s="28" t="n">
        <v>0.6934</v>
      </c>
      <c r="P72" s="28" t="n"/>
      <c r="Q72" s="28" t="n">
        <v>0.06376999999999999</v>
      </c>
      <c r="R72" s="26" t="n">
        <v>52</v>
      </c>
      <c r="S72" s="29" t="n">
        <v>2</v>
      </c>
      <c r="T72" s="24" t="inlineStr">
        <is>
          <t>cs2-tiered-elo-v6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0.6300 (market_slug=aec-cs2-9z-pain-2026-08-12).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paiN</t>
        </is>
      </c>
      <c r="AQ72" s="24" t="inlineStr">
        <is>
          <t>paiN</t>
        </is>
      </c>
      <c r="AR72" s="24" t="inlineStr">
        <is>
          <t>paiN</t>
        </is>
      </c>
      <c r="AS72" s="24" t="inlineStr">
        <is>
          <t>9z</t>
        </is>
      </c>
      <c r="AT72" s="24" t="inlineStr">
        <is>
          <t>9z</t>
        </is>
      </c>
      <c r="AU72" s="24" t="inlineStr">
        <is>
          <t>9z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707a22aae8ecc986a21e2f01b4e3f94c78e29cfde24e72fe5d7d72a0990bd6c9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707a22aae8ecc986a21e2f01b4e3f94c78e29cfde24e72fe5d7d72a0990bd6c9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2026-08-12T17:44:30.180249Z</t>
        </is>
      </c>
      <c r="BI72" s="24" t="inlineStr">
        <is>
          <t>["same_event","same_team_same_day","same_league_same_day"]</t>
        </is>
      </c>
      <c r="BJ72" s="25" t="n"/>
      <c r="BK72" s="26" t="n">
        <v>-170</v>
      </c>
      <c r="BL72" s="27" t="n">
        <v>1.588235</v>
      </c>
      <c r="BM72" s="28" t="n">
        <v>0.62963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44caea2947ae4e72</t>
        </is>
      </c>
      <c r="B73" s="24" t="inlineStr">
        <is>
          <t>2026-08-12T17:44:50.525052Z</t>
        </is>
      </c>
      <c r="C73" s="24" t="inlineStr">
        <is>
          <t>2026-08-13T08:00:00Z</t>
        </is>
      </c>
      <c r="D73" s="24" t="inlineStr">
        <is>
          <t>78269</t>
        </is>
      </c>
      <c r="E73" s="24" t="inlineStr">
        <is>
          <t>CS2</t>
        </is>
      </c>
      <c r="F73" s="24" t="inlineStr">
        <is>
          <t>MOUZ NXT</t>
        </is>
      </c>
      <c r="G73" s="24" t="inlineStr">
        <is>
          <t>Just Players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-233</v>
      </c>
      <c r="M73" s="27" t="n">
        <v>1.429185</v>
      </c>
      <c r="N73" s="28" t="n">
        <v>0.6997</v>
      </c>
      <c r="O73" s="28" t="n">
        <v>0.718387</v>
      </c>
      <c r="P73" s="28" t="n"/>
      <c r="Q73" s="28" t="n">
        <v>0.018687</v>
      </c>
      <c r="R73" s="26" t="n">
        <v>29</v>
      </c>
      <c r="S73" s="29" t="n">
        <v>2</v>
      </c>
      <c r="T73" s="24" t="inlineStr">
        <is>
          <t>cs2-tiered-elo-v6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0.7000 (market_slug=aec-cs2-jpu-mouzn-2026-08-13).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MOUZ NXT</t>
        </is>
      </c>
      <c r="AQ73" s="24" t="inlineStr">
        <is>
          <t>MOUZ NXT</t>
        </is>
      </c>
      <c r="AR73" s="24" t="inlineStr">
        <is>
          <t>MOUZ NXT</t>
        </is>
      </c>
      <c r="AS73" s="24" t="inlineStr">
        <is>
          <t>Just Players</t>
        </is>
      </c>
      <c r="AT73" s="24" t="inlineStr">
        <is>
          <t>Just Players</t>
        </is>
      </c>
      <c r="AU73" s="24" t="inlineStr">
        <is>
          <t>Just Players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707a22aae8ecc986a21e2f01b4e3f94c78e29cfde24e72fe5d7d72a0990bd6c9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707a22aae8ecc986a21e2f01b4e3f94c78e29cfde24e72fe5d7d72a0990bd6c9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2026-08-12T17:44:35.148843Z</t>
        </is>
      </c>
      <c r="BI73" s="24" t="inlineStr">
        <is>
          <t>["same_event","same_team_same_day","same_league_same_day"]</t>
        </is>
      </c>
      <c r="BJ73" s="25" t="n"/>
      <c r="BK73" s="26" t="n">
        <v>-233</v>
      </c>
      <c r="BL73" s="27" t="n">
        <v>1.429185</v>
      </c>
      <c r="BM73" s="28" t="n">
        <v>0.6997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1d7f296e56724dfe</t>
        </is>
      </c>
      <c r="B74" s="24" t="inlineStr">
        <is>
          <t>2026-08-12T17:44:50.525052Z</t>
        </is>
      </c>
      <c r="C74" s="24" t="inlineStr">
        <is>
          <t>2026-08-13T11:00:00Z</t>
        </is>
      </c>
      <c r="D74" s="24" t="inlineStr">
        <is>
          <t>78272</t>
        </is>
      </c>
      <c r="E74" s="24" t="inlineStr">
        <is>
          <t>CS2</t>
        </is>
      </c>
      <c r="F74" s="24" t="inlineStr">
        <is>
          <t>HyperSpirit</t>
        </is>
      </c>
      <c r="G74" s="24" t="inlineStr">
        <is>
          <t>The Last Resort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-108</v>
      </c>
      <c r="M74" s="27" t="n">
        <v>1.925926</v>
      </c>
      <c r="N74" s="28" t="n">
        <v>0.519231</v>
      </c>
      <c r="O74" s="28" t="n">
        <v>0.602048</v>
      </c>
      <c r="P74" s="28" t="n"/>
      <c r="Q74" s="28" t="n">
        <v>0.082817</v>
      </c>
      <c r="R74" s="26" t="n">
        <v>61</v>
      </c>
      <c r="S74" s="29" t="n">
        <v>1.25</v>
      </c>
      <c r="T74" s="24" t="inlineStr">
        <is>
          <t>cs2-tiered-elo-v6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0.5200 (market_slug=aec-cs2-tlr-hs-2026-08-13).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HyperSpirit</t>
        </is>
      </c>
      <c r="AQ74" s="24" t="inlineStr">
        <is>
          <t>HyperSpirit</t>
        </is>
      </c>
      <c r="AR74" s="24" t="inlineStr">
        <is>
          <t>HyperSpirit</t>
        </is>
      </c>
      <c r="AS74" s="24" t="inlineStr">
        <is>
          <t>The Last Resort</t>
        </is>
      </c>
      <c r="AT74" s="24" t="inlineStr">
        <is>
          <t>The Last Resort</t>
        </is>
      </c>
      <c r="AU74" s="24" t="inlineStr">
        <is>
          <t>The Last Resort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707a22aae8ecc986a21e2f01b4e3f94c78e29cfde24e72fe5d7d72a0990bd6c9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707a22aae8ecc986a21e2f01b4e3f94c78e29cfde24e72fe5d7d72a0990bd6c9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2026-08-12T17:44:39.722924Z</t>
        </is>
      </c>
      <c r="BI74" s="24" t="inlineStr">
        <is>
          <t>["same_event","same_team_same_day","same_league_same_day"]</t>
        </is>
      </c>
      <c r="BJ74" s="25" t="n"/>
      <c r="BK74" s="26" t="n">
        <v>-108</v>
      </c>
      <c r="BL74" s="27" t="n">
        <v>1.925926</v>
      </c>
      <c r="BM74" s="28" t="n">
        <v>0.519231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0ae3a884afbc4764</t>
        </is>
      </c>
      <c r="B75" s="24" t="inlineStr">
        <is>
          <t>2026-08-12T17:44:50.525052Z</t>
        </is>
      </c>
      <c r="C75" s="24" t="inlineStr">
        <is>
          <t>2026-08-13T14:00:00Z</t>
        </is>
      </c>
      <c r="D75" s="24" t="inlineStr">
        <is>
          <t>79708</t>
        </is>
      </c>
      <c r="E75" s="24" t="inlineStr">
        <is>
          <t>CS2</t>
        </is>
      </c>
      <c r="F75" s="24" t="inlineStr">
        <is>
          <t>ex-RUSTEC</t>
        </is>
      </c>
      <c r="G75" s="24" t="inlineStr">
        <is>
          <t>Bushido Wildcats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133</v>
      </c>
      <c r="M75" s="27" t="n">
        <v>2.33</v>
      </c>
      <c r="N75" s="28" t="n">
        <v>0.429185</v>
      </c>
      <c r="O75" s="28" t="n">
        <v>0.578141</v>
      </c>
      <c r="P75" s="28" t="n"/>
      <c r="Q75" s="28" t="n">
        <v>0.148956</v>
      </c>
      <c r="R75" s="26" t="n">
        <v>94</v>
      </c>
      <c r="S75" s="29" t="n">
        <v>1.25</v>
      </c>
      <c r="T75" s="24" t="inlineStr">
        <is>
          <t>cs2-tiered-elo-v6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0.4300 (market_slug=aec-cs2-bw-erx-2026-08-13).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ex-RUSTEC</t>
        </is>
      </c>
      <c r="AQ75" s="24" t="inlineStr">
        <is>
          <t>ex-RUSTEC</t>
        </is>
      </c>
      <c r="AR75" s="24" t="inlineStr">
        <is>
          <t>ex-RUSTEC</t>
        </is>
      </c>
      <c r="AS75" s="24" t="inlineStr">
        <is>
          <t>Bushido Wildcats</t>
        </is>
      </c>
      <c r="AT75" s="24" t="inlineStr">
        <is>
          <t>Bushido Wildcats</t>
        </is>
      </c>
      <c r="AU75" s="24" t="inlineStr">
        <is>
          <t>Bushido Wildcats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707a22aae8ecc986a21e2f01b4e3f94c78e29cfde24e72fe5d7d72a0990bd6c9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707a22aae8ecc986a21e2f01b4e3f94c78e29cfde24e72fe5d7d72a0990bd6c9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2026-08-12T17:44:42.889383Z</t>
        </is>
      </c>
      <c r="BI75" s="24" t="inlineStr">
        <is>
          <t>["same_event","same_team_same_day","same_league_same_day"]</t>
        </is>
      </c>
      <c r="BJ75" s="25" t="n"/>
      <c r="BK75" s="26" t="n">
        <v>133</v>
      </c>
      <c r="BL75" s="27" t="n">
        <v>2.33</v>
      </c>
      <c r="BM75" s="28" t="n">
        <v>0.429185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001792850da94790</t>
        </is>
      </c>
      <c r="B76" s="24" t="inlineStr">
        <is>
          <t>2026-08-12T17:44:50.525052Z</t>
        </is>
      </c>
      <c r="C76" s="24" t="inlineStr">
        <is>
          <t>2026-08-13T17:00:00Z</t>
        </is>
      </c>
      <c r="D76" s="24" t="inlineStr">
        <is>
          <t>79752</t>
        </is>
      </c>
      <c r="E76" s="24" t="inlineStr">
        <is>
          <t>CS2</t>
        </is>
      </c>
      <c r="F76" s="24" t="inlineStr">
        <is>
          <t>FaZe</t>
        </is>
      </c>
      <c r="G76" s="24" t="inlineStr">
        <is>
          <t>Legacy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113</v>
      </c>
      <c r="M76" s="27" t="n">
        <v>2.13</v>
      </c>
      <c r="N76" s="28" t="n">
        <v>0.469484</v>
      </c>
      <c r="O76" s="28" t="n">
        <v>0.566025</v>
      </c>
      <c r="P76" s="28" t="n"/>
      <c r="Q76" s="28" t="n">
        <v>0.096541</v>
      </c>
      <c r="R76" s="26" t="n">
        <v>68</v>
      </c>
      <c r="S76" s="29" t="n">
        <v>1</v>
      </c>
      <c r="T76" s="24" t="inlineStr">
        <is>
          <t>cs2-tiered-elo-v6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0.4700 (market_slug=aec-cs2-lgc-faze-2026-08-13).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FaZe</t>
        </is>
      </c>
      <c r="AQ76" s="24" t="inlineStr">
        <is>
          <t>FaZe</t>
        </is>
      </c>
      <c r="AR76" s="24" t="inlineStr">
        <is>
          <t>FaZe</t>
        </is>
      </c>
      <c r="AS76" s="24" t="inlineStr">
        <is>
          <t>Legacy</t>
        </is>
      </c>
      <c r="AT76" s="24" t="inlineStr">
        <is>
          <t>Legacy</t>
        </is>
      </c>
      <c r="AU76" s="24" t="inlineStr">
        <is>
          <t>Legacy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707a22aae8ecc986a21e2f01b4e3f94c78e29cfde24e72fe5d7d72a0990bd6c9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707a22aae8ecc986a21e2f01b4e3f94c78e29cfde24e72fe5d7d72a0990bd6c9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2026-08-12T17:44:46.085822Z</t>
        </is>
      </c>
      <c r="BI76" s="24" t="inlineStr">
        <is>
          <t>["same_event","same_team_same_day","same_league_same_day"]</t>
        </is>
      </c>
      <c r="BJ76" s="25" t="n"/>
      <c r="BK76" s="26" t="n">
        <v>113</v>
      </c>
      <c r="BL76" s="27" t="n">
        <v>2.13</v>
      </c>
      <c r="BM76" s="28" t="n">
        <v>0.469484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84c8dfa6563745f2</t>
        </is>
      </c>
      <c r="B77" s="24" t="inlineStr">
        <is>
          <t>2026-08-12T19:34:22.932119Z</t>
        </is>
      </c>
      <c r="C77" s="24" t="inlineStr">
        <is>
          <t>2026-08-13T08:00:00Z</t>
        </is>
      </c>
      <c r="D77" s="24" t="inlineStr">
        <is>
          <t>79707</t>
        </is>
      </c>
      <c r="E77" s="24" t="inlineStr">
        <is>
          <t>CS2</t>
        </is>
      </c>
      <c r="F77" s="24" t="inlineStr">
        <is>
          <t>SAW Youngsters</t>
        </is>
      </c>
      <c r="G77" s="24" t="inlineStr">
        <is>
          <t>ex-MANA 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0.589871</v>
      </c>
      <c r="P77" s="28" t="n"/>
      <c r="Q77" s="28" t="n">
        <v>0.0304</v>
      </c>
      <c r="R77" s="26" t="n">
        <v>35</v>
      </c>
      <c r="S77" s="29" t="n">
        <v>1.25</v>
      </c>
      <c r="T77" s="24" t="inlineStr">
        <is>
          <t>cs2-tiered-elo-v6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0.5600 (market_slug=aec-cs2-exmana-sawy-2026-08-13).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SAW Youngsters</t>
        </is>
      </c>
      <c r="AQ77" s="24" t="inlineStr">
        <is>
          <t>SAW Youngsters</t>
        </is>
      </c>
      <c r="AR77" s="24" t="inlineStr">
        <is>
          <t>SAW Youngsters</t>
        </is>
      </c>
      <c r="AS77" s="24" t="inlineStr">
        <is>
          <t>ex-MANA eSports</t>
        </is>
      </c>
      <c r="AT77" s="24" t="inlineStr">
        <is>
          <t>ex-MANA eSports</t>
        </is>
      </c>
      <c r="AU77" s="24" t="inlineStr">
        <is>
          <t>ex-MANA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707a22aae8ecc986a21e2f01b4e3f94c78e29cfde24e72fe5d7d72a0990bd6c9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707a22aae8ecc986a21e2f01b4e3f94c78e29cfde24e72fe5d7d72a0990bd6c9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2026-08-12T19:34:12.073189Z</t>
        </is>
      </c>
      <c r="BI77" s="24" t="inlineStr">
        <is>
          <t>["same_event","same_team_same_day","same_league_same_day"]</t>
        </is>
      </c>
      <c r="BJ77" s="25" t="n"/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2026-08-12T19:34:25Z</dcterms:created>
  <dcterms:modified xmlns:dcterms="http://purl.org/dc/terms/" xmlns:xsi="http://www.w3.org/2001/XMLSchema-instance" xsi:type="dcterms:W3CDTF">2026-08-12T19:34:25Z</dcterms:modified>
</cp:coreProperties>
</file>