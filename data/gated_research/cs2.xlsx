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59" headerRowCount="1">
  <autoFilter ref="A1:CO5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COUNTA('Picks'!$A$2:$A$59)</f>
        <v/>
      </c>
      <c r="C4" s="6">
        <f>COUNTIF('Picks'!$U$2:$U$59,"open")</f>
        <v/>
      </c>
      <c r="E4" s="6">
        <f>COUNTIF('Picks'!$U$2:$U$59,"settled")</f>
        <v/>
      </c>
      <c r="G4" s="6">
        <f>IF(COUNTIFS('Picks'!$U$2:$U$59,"settled",'Picks'!$V$2:$V$59,"win")+COUNTIFS('Picks'!$U$2:$U$59,"settled",'Picks'!$V$2:$V$59,"loss")&gt;=$L$2,"Ready","Insufficient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COUNTIF('Picks'!$BX$2:$BX$59,"&gt;0")</f>
        <v/>
      </c>
      <c r="C7" s="6">
        <f>COUNTIFS('Picks'!$BX$2:$BX$59,"&gt;0",'Picks'!$V$2:$V$59,"win")&amp;"-"&amp;COUNTIFS('Picks'!$BX$2:$BX$59,"&gt;0",'Picks'!$V$2:$V$59,"loss")</f>
        <v/>
      </c>
      <c r="E7" s="7">
        <f>IFERROR(COUNTIFS('Picks'!$BX$2:$BX$59,"&gt;0",'Picks'!$V$2:$V$59,"win")/(COUNTIFS('Picks'!$BX$2:$BX$59,"&gt;0",'Picks'!$V$2:$V$59,"win")+COUNTIFS('Picks'!$BX$2:$BX$59,"&gt;0",'Picks'!$V$2:$V$59,"loss")),0)</f>
        <v/>
      </c>
      <c r="G7" s="7">
        <f>IFERROR(SUM('Picks'!$BY$2:$BY$59)/SUM('Picks'!$BX$2:$BX$59),0)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SUM('Picks'!$BY$2:$BY$59)</f>
        <v/>
      </c>
      <c r="C10" s="9">
        <f>IFERROR(AVERAGEIF('Picks'!$AB$2:$AB$59,"&lt;&gt;",'Picks'!$AB$2:$AB$59),0)</f>
        <v/>
      </c>
      <c r="E10" s="6">
        <f>COUNTIFS('Picks'!$AM$2:$AM$59,"QUALIFIED_SHADOW_CALL",'Picks'!$U$2:$U$59,"settled")</f>
        <v/>
      </c>
      <c r="G10" s="8">
        <f>SUMIFS('Picks'!$AC$2:$AC$59,'Picks'!$AM$2:$AM$59,"QUALIFIED_SHADOW_CALL")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COUNTIFS('Picks'!$H$2:$H$59,$A14,'Picks'!$U$2:$U$59,"settled")</f>
        <v/>
      </c>
      <c r="C14" s="13">
        <f>COUNTIFS('Picks'!$H$2:$H$59,$A14,'Picks'!$U$2:$U$59,"settled",'Picks'!$V$2:$V$59,"win")</f>
        <v/>
      </c>
      <c r="D14" s="13">
        <f>COUNTIFS('Picks'!$H$2:$H$59,$A14,'Picks'!$U$2:$U$59,"settled",'Picks'!$V$2:$V$59,"loss")</f>
        <v/>
      </c>
      <c r="E14" s="14">
        <f>IFERROR(C14/(C14+D14),0)</f>
        <v/>
      </c>
      <c r="F14" s="15">
        <f>SUMIFS('Picks'!$BY$2:$BY$59,'Picks'!$H$2:$H$59,$A14)</f>
        <v/>
      </c>
      <c r="G14" s="16">
        <f>IFERROR(AVERAGEIFS('Picks'!$AB$2:$AB$59,'Picks'!$H$2:$H$59,$A14,'Picks'!$U$2:$U$59,"settled"),0)</f>
        <v/>
      </c>
    </row>
    <row r="15">
      <c r="A15" s="17" t="inlineStr">
        <is>
          <t>spread</t>
        </is>
      </c>
      <c r="B15" s="18">
        <f>COUNTIFS('Picks'!$H$2:$H$59,$A15,'Picks'!$U$2:$U$59,"settled")</f>
        <v/>
      </c>
      <c r="C15" s="18">
        <f>COUNTIFS('Picks'!$H$2:$H$59,$A15,'Picks'!$U$2:$U$59,"settled",'Picks'!$V$2:$V$59,"win")</f>
        <v/>
      </c>
      <c r="D15" s="18">
        <f>COUNTIFS('Picks'!$H$2:$H$59,$A15,'Picks'!$U$2:$U$59,"settled",'Picks'!$V$2:$V$59,"loss")</f>
        <v/>
      </c>
      <c r="E15" s="19">
        <f>IFERROR(C15/(C15+D15),0)</f>
        <v/>
      </c>
      <c r="F15" s="20">
        <f>SUMIFS('Picks'!$BY$2:$BY$59,'Picks'!$H$2:$H$59,$A15)</f>
        <v/>
      </c>
      <c r="G15" s="21">
        <f>IFERROR(AVERAGEIFS('Picks'!$AB$2:$AB$59,'Picks'!$H$2:$H$59,$A15,'Picks'!$U$2:$U$59,"settled"),0)</f>
        <v/>
      </c>
    </row>
    <row r="16">
      <c r="A16" s="12" t="inlineStr">
        <is>
          <t>total</t>
        </is>
      </c>
      <c r="B16" s="13">
        <f>COUNTIFS('Picks'!$H$2:$H$59,$A16,'Picks'!$U$2:$U$59,"settled")</f>
        <v/>
      </c>
      <c r="C16" s="13">
        <f>COUNTIFS('Picks'!$H$2:$H$59,$A16,'Picks'!$U$2:$U$59,"settled",'Picks'!$V$2:$V$59,"win")</f>
        <v/>
      </c>
      <c r="D16" s="13">
        <f>COUNTIFS('Picks'!$H$2:$H$59,$A16,'Picks'!$U$2:$U$59,"settled",'Picks'!$V$2:$V$59,"loss")</f>
        <v/>
      </c>
      <c r="E16" s="14">
        <f>IFERROR(C16/(C16+D16),0)</f>
        <v/>
      </c>
      <c r="F16" s="15">
        <f>SUMIFS('Picks'!$BY$2:$BY$59,'Picks'!$H$2:$H$59,$A16)</f>
        <v/>
      </c>
      <c r="G16" s="16">
        <f>IFERROR(AVERAGEIFS('Picks'!$AB$2:$AB$59,'Picks'!$H$2:$H$59,$A16,'Picks'!$U$2:$U$59,"settled"),0)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cbcaf934fa5848e5</t>
        </is>
      </c>
      <c r="B2" s="24" t="inlineStr">
        <is>
          <t>2026-07-26T08:22:32.657968Z</t>
        </is>
      </c>
      <c r="C2" s="24" t="inlineStr">
        <is>
          <t>2026-07-26T11:00:00Z</t>
        </is>
      </c>
      <c r="D2" s="24" t="inlineStr">
        <is>
          <t>61824</t>
        </is>
      </c>
      <c r="E2" s="24" t="inlineStr">
        <is>
          <t>CS2</t>
        </is>
      </c>
      <c r="F2" s="24" t="inlineStr">
        <is>
          <t>ex-MANA eSports</t>
        </is>
      </c>
      <c r="G2" s="24" t="inlineStr">
        <is>
          <t>NEW VISION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-113</v>
      </c>
      <c r="M2" s="27" t="n">
        <v>1.884956</v>
      </c>
      <c r="N2" s="28" t="n">
        <v>0.530516</v>
      </c>
      <c r="O2" s="28" t="n">
        <v>0.621956</v>
      </c>
      <c r="P2" s="28" t="n"/>
      <c r="Q2" s="28" t="n">
        <v>0.09143999999999999</v>
      </c>
      <c r="R2" s="26" t="n">
        <v>66</v>
      </c>
      <c r="S2" s="29" t="n">
        <v>1.75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1.5487</v>
      </c>
      <c r="AD2" s="24" t="inlineStr">
        <is>
          <t>2026-07-26T17:52:55.837413Z</t>
        </is>
      </c>
      <c r="AE2" s="31" t="inlineStr">
        <is>
          <t>Neutral Elo baseline; executable ask 0.5300 (market_slug=aec-cs2-nve-exmana-2026-07-26).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ex-MANA eSports</t>
        </is>
      </c>
      <c r="AQ2" s="24" t="inlineStr">
        <is>
          <t>ex-MANA eSports</t>
        </is>
      </c>
      <c r="AR2" s="24" t="inlineStr">
        <is>
          <t>ex-MANA eSports</t>
        </is>
      </c>
      <c r="AS2" s="24" t="inlineStr">
        <is>
          <t>NEW VISION</t>
        </is>
      </c>
      <c r="AT2" s="24" t="inlineStr">
        <is>
          <t>NEW VISION</t>
        </is>
      </c>
      <c r="AU2" s="24" t="inlineStr">
        <is>
          <t>NEW VISION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cs2-tiered-elo-v4</t>
        </is>
      </c>
      <c r="BD2" s="24" t="inlineStr">
        <is>
          <t>e9c327ce15d79aaa8ed5032a6fb86929aaa479e14a8bc9a35686411400dd6b91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cs2-tiered-elo-v4</t>
        </is>
      </c>
      <c r="BH2" s="24" t="inlineStr">
        <is>
          <t>2026-07-26T08:21:51.887770Z</t>
        </is>
      </c>
      <c r="BI2" s="24" t="inlineStr">
        <is>
          <t>["same_event","same_team_same_day","same_league_same_day"]</t>
        </is>
      </c>
      <c r="BJ2" s="25" t="n"/>
      <c r="BK2" s="26" t="n">
        <v>-113</v>
      </c>
      <c r="BL2" s="27" t="n">
        <v>1.884956</v>
      </c>
      <c r="BM2" s="28" t="n">
        <v>0.530516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04eaa9b94d3542cb</t>
        </is>
      </c>
      <c r="B3" s="24" t="inlineStr">
        <is>
          <t>2026-07-26T12:50:13.208687Z</t>
        </is>
      </c>
      <c r="C3" s="24" t="inlineStr">
        <is>
          <t>2026-07-26T14:00:00Z</t>
        </is>
      </c>
      <c r="D3" s="24" t="inlineStr">
        <is>
          <t>61440</t>
        </is>
      </c>
      <c r="E3" s="24" t="inlineStr">
        <is>
          <t>CS2</t>
        </is>
      </c>
      <c r="F3" s="24" t="inlineStr">
        <is>
          <t>Lazer Cats</t>
        </is>
      </c>
      <c r="G3" s="24" t="inlineStr">
        <is>
          <t>STATE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0.769302</v>
      </c>
      <c r="P3" s="28" t="n"/>
      <c r="Q3" s="28" t="n">
        <v>0.269302</v>
      </c>
      <c r="R3" s="26" t="n">
        <v>100</v>
      </c>
      <c r="S3" s="29" t="n">
        <v>2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2026-07-26T17:53:02.090518Z</t>
        </is>
      </c>
      <c r="AE3" s="31" t="inlineStr">
        <is>
          <t>Neutral Elo baseline; executable ask 0.5000 (market_slug=aec-cs2-sta-lc-2026-07-26).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Lazer Cats</t>
        </is>
      </c>
      <c r="AQ3" s="24" t="inlineStr">
        <is>
          <t>Lazer Cats</t>
        </is>
      </c>
      <c r="AR3" s="24" t="inlineStr">
        <is>
          <t>Lazer Cats</t>
        </is>
      </c>
      <c r="AS3" s="24" t="inlineStr">
        <is>
          <t>STATE</t>
        </is>
      </c>
      <c r="AT3" s="24" t="inlineStr">
        <is>
          <t>STATE</t>
        </is>
      </c>
      <c r="AU3" s="24" t="inlineStr">
        <is>
          <t>STATE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2026-07-26T12:49:44.422167Z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caef081f30c24894</t>
        </is>
      </c>
      <c r="B4" s="24" t="inlineStr">
        <is>
          <t>2026-07-26T12:50:13.208687Z</t>
        </is>
      </c>
      <c r="C4" s="24" t="inlineStr">
        <is>
          <t>2026-07-26T15:00:00Z</t>
        </is>
      </c>
      <c r="D4" s="24" t="inlineStr">
        <is>
          <t>61219</t>
        </is>
      </c>
      <c r="E4" s="24" t="inlineStr">
        <is>
          <t>CS2</t>
        </is>
      </c>
      <c r="F4" s="24" t="inlineStr">
        <is>
          <t>TheMongolz</t>
        </is>
      </c>
      <c r="G4" s="24" t="inlineStr">
        <is>
          <t>Wildcard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0.702966</v>
      </c>
      <c r="P4" s="28" t="n"/>
      <c r="Q4" s="28" t="n">
        <v>0.062678</v>
      </c>
      <c r="R4" s="26" t="n">
        <v>51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1.1236</v>
      </c>
      <c r="AD4" s="24" t="inlineStr">
        <is>
          <t>2026-07-26T17:53:04.985644Z</t>
        </is>
      </c>
      <c r="AE4" s="31" t="inlineStr">
        <is>
          <t>Neutral Elo baseline; executable ask 0.6400 (market_slug=aec-cs2-wc-mglz-2026-07-26).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TheMongolz</t>
        </is>
      </c>
      <c r="AQ4" s="24" t="inlineStr">
        <is>
          <t>TheMongolz</t>
        </is>
      </c>
      <c r="AR4" s="24" t="inlineStr">
        <is>
          <t>TheMongolz</t>
        </is>
      </c>
      <c r="AS4" s="24" t="inlineStr">
        <is>
          <t>Wildcard</t>
        </is>
      </c>
      <c r="AT4" s="24" t="inlineStr">
        <is>
          <t>Wildcard</t>
        </is>
      </c>
      <c r="AU4" s="24" t="inlineStr">
        <is>
          <t>Wildcard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2026-07-26T12:49:46.102307Z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40692918b0c94676</t>
        </is>
      </c>
      <c r="B5" s="24" t="inlineStr">
        <is>
          <t>2026-07-26T12:50:13.208687Z</t>
        </is>
      </c>
      <c r="C5" s="24" t="inlineStr">
        <is>
          <t>2026-07-26T16:00:00Z</t>
        </is>
      </c>
      <c r="D5" s="24" t="inlineStr">
        <is>
          <t>61948</t>
        </is>
      </c>
      <c r="E5" s="24" t="inlineStr">
        <is>
          <t>CS2</t>
        </is>
      </c>
      <c r="F5" s="24" t="inlineStr">
        <is>
          <t>NIP</t>
        </is>
      </c>
      <c r="G5" s="24" t="inlineStr">
        <is>
          <t>magic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0.665479</v>
      </c>
      <c r="P5" s="28" t="n"/>
      <c r="Q5" s="28" t="n">
        <v>0.195995</v>
      </c>
      <c r="R5" s="26" t="n">
        <v>100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2.26</v>
      </c>
      <c r="AD5" s="24" t="inlineStr">
        <is>
          <t>2026-07-26T18:55:48.106512Z</t>
        </is>
      </c>
      <c r="AE5" s="31" t="inlineStr">
        <is>
          <t>Neutral Elo baseline; executable ask 0.4700 (market_slug=aec-cs2-mgc-nip-2026-07-26).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NIP</t>
        </is>
      </c>
      <c r="AQ5" s="24" t="inlineStr">
        <is>
          <t>NIP</t>
        </is>
      </c>
      <c r="AR5" s="24" t="inlineStr">
        <is>
          <t>NIP</t>
        </is>
      </c>
      <c r="AS5" s="24" t="inlineStr">
        <is>
          <t>magic</t>
        </is>
      </c>
      <c r="AT5" s="24" t="inlineStr">
        <is>
          <t>magic</t>
        </is>
      </c>
      <c r="AU5" s="24" t="inlineStr">
        <is>
          <t>magic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2026-07-26T12:49:49.664310Z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18212168114f4d40</t>
        </is>
      </c>
      <c r="B6" s="24" t="inlineStr">
        <is>
          <t>2026-07-26T12:50:13.208687Z</t>
        </is>
      </c>
      <c r="C6" s="24" t="inlineStr">
        <is>
          <t>2026-07-26T17:00:00Z</t>
        </is>
      </c>
      <c r="D6" s="24" t="inlineStr">
        <is>
          <t>62237</t>
        </is>
      </c>
      <c r="E6" s="24" t="inlineStr">
        <is>
          <t>CS2</t>
        </is>
      </c>
      <c r="F6" s="24" t="inlineStr">
        <is>
          <t>Privateer Gaming</t>
        </is>
      </c>
      <c r="G6" s="24" t="inlineStr">
        <is>
          <t>Honvéd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0.700097</v>
      </c>
      <c r="P6" s="28" t="n"/>
      <c r="Q6" s="28" t="n">
        <v>0.08032499999999999</v>
      </c>
      <c r="R6" s="26" t="n">
        <v>60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1.227</v>
      </c>
      <c r="AD6" s="24" t="inlineStr">
        <is>
          <t>2026-07-26T19:30:50.572444Z</t>
        </is>
      </c>
      <c r="AE6" s="31" t="inlineStr">
        <is>
          <t>Neutral Elo baseline; executable ask 0.6200 (market_slug=aec-cs2-hon-pg-2026-07-26).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Privateer Gaming</t>
        </is>
      </c>
      <c r="AQ6" s="24" t="inlineStr">
        <is>
          <t>Privateer Gaming</t>
        </is>
      </c>
      <c r="AR6" s="24" t="inlineStr">
        <is>
          <t>Privateer Gaming</t>
        </is>
      </c>
      <c r="AS6" s="24" t="inlineStr">
        <is>
          <t>Honvéd</t>
        </is>
      </c>
      <c r="AT6" s="24" t="inlineStr">
        <is>
          <t>Honvéd</t>
        </is>
      </c>
      <c r="AU6" s="24" t="inlineStr">
        <is>
          <t>Honvéd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2026-07-26T12:49:51.560831Z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d214d4e301eb402a</t>
        </is>
      </c>
      <c r="B7" s="24" t="inlineStr">
        <is>
          <t>2026-07-27T10:27:30.866418Z</t>
        </is>
      </c>
      <c r="C7" s="24" t="inlineStr">
        <is>
          <t>2026-07-27T11:00:00Z</t>
        </is>
      </c>
      <c r="D7" s="24" t="inlineStr">
        <is>
          <t>60732</t>
        </is>
      </c>
      <c r="E7" s="24" t="inlineStr">
        <is>
          <t>CS2</t>
        </is>
      </c>
      <c r="F7" s="24" t="inlineStr">
        <is>
          <t>Noir Verse</t>
        </is>
      </c>
      <c r="G7" s="24" t="inlineStr">
        <is>
          <t>ASTRAL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-203</v>
      </c>
      <c r="M7" s="27" t="n">
        <v>1.492611</v>
      </c>
      <c r="N7" s="28" t="n">
        <v>0.669967</v>
      </c>
      <c r="O7" s="28" t="n">
        <v>0.736846</v>
      </c>
      <c r="P7" s="28" t="n"/>
      <c r="Q7" s="28" t="n">
        <v>0.06687899999999999</v>
      </c>
      <c r="R7" s="26" t="n">
        <v>53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-2</v>
      </c>
      <c r="AD7" s="24" t="inlineStr">
        <is>
          <t>2026-07-27T13:28:05.785838Z</t>
        </is>
      </c>
      <c r="AE7" s="31" t="inlineStr">
        <is>
          <t>Neutral Elo baseline; executable ask 0.6700 (market_slug=aec-cs2-astr-nvo-2026-07-27).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Noir Verse</t>
        </is>
      </c>
      <c r="AQ7" s="24" t="inlineStr">
        <is>
          <t>Noir Verse</t>
        </is>
      </c>
      <c r="AR7" s="24" t="inlineStr">
        <is>
          <t>Noir Verse</t>
        </is>
      </c>
      <c r="AS7" s="24" t="inlineStr">
        <is>
          <t>ASTRAL</t>
        </is>
      </c>
      <c r="AT7" s="24" t="inlineStr">
        <is>
          <t>ASTRAL</t>
        </is>
      </c>
      <c r="AU7" s="24" t="inlineStr">
        <is>
          <t>ASTRAL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2026-07-27T10:27:02.394501Z</t>
        </is>
      </c>
      <c r="BI7" s="24" t="inlineStr">
        <is>
          <t>["same_event","same_team_same_day","same_league_same_day"]</t>
        </is>
      </c>
      <c r="BJ7" s="25" t="n"/>
      <c r="BK7" s="26" t="n">
        <v>-203</v>
      </c>
      <c r="BL7" s="27" t="n">
        <v>1.492611</v>
      </c>
      <c r="BM7" s="28" t="n">
        <v>0.669967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43fbd7ae8a454468</t>
        </is>
      </c>
      <c r="B8" s="24" t="inlineStr">
        <is>
          <t>2026-07-27T10:27:30.866418Z</t>
        </is>
      </c>
      <c r="C8" s="24" t="inlineStr">
        <is>
          <t>2026-07-27T11:00:00Z</t>
        </is>
      </c>
      <c r="D8" s="24" t="inlineStr">
        <is>
          <t>63352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ex-RUBY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0.862507</v>
      </c>
      <c r="P8" s="28" t="n"/>
      <c r="Q8" s="28" t="n">
        <v>0.253132</v>
      </c>
      <c r="R8" s="26" t="n">
        <v>100</v>
      </c>
      <c r="S8" s="29" t="n">
        <v>2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1.2821</v>
      </c>
      <c r="AD8" s="24" t="inlineStr">
        <is>
          <t>2026-07-27T13:28:06.987937Z</t>
        </is>
      </c>
      <c r="AE8" s="31" t="inlineStr">
        <is>
          <t>Neutral Elo baseline; executable ask 0.6100 (market_slug=aec-cs2-exruby-erx-2026-07-27).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ex-RUBY</t>
        </is>
      </c>
      <c r="AT8" s="24" t="inlineStr">
        <is>
          <t>ex-RUBY</t>
        </is>
      </c>
      <c r="AU8" s="24" t="inlineStr">
        <is>
          <t>ex-RUBY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2026-07-27T10:27:03.352513Z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4525ee5e7e904c7a</t>
        </is>
      </c>
      <c r="B9" s="24" t="inlineStr">
        <is>
          <t>2026-07-27T10:27:30.866418Z</t>
        </is>
      </c>
      <c r="C9" s="24" t="inlineStr">
        <is>
          <t>2026-07-27T12:00:00Z</t>
        </is>
      </c>
      <c r="D9" s="24" t="inlineStr">
        <is>
          <t>60736</t>
        </is>
      </c>
      <c r="E9" s="24" t="inlineStr">
        <is>
          <t>CS2</t>
        </is>
      </c>
      <c r="F9" s="24" t="inlineStr">
        <is>
          <t>Atputies</t>
        </is>
      </c>
      <c r="G9" s="24" t="inlineStr">
        <is>
          <t>Noir Verse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0.610293</v>
      </c>
      <c r="P9" s="28" t="n"/>
      <c r="Q9" s="28" t="n">
        <v>0.210293</v>
      </c>
      <c r="R9" s="26" t="n">
        <v>100</v>
      </c>
      <c r="S9" s="29" t="n">
        <v>1.5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-1.5</v>
      </c>
      <c r="AD9" s="24" t="inlineStr">
        <is>
          <t>2026-07-27T13:28:08.136051Z</t>
        </is>
      </c>
      <c r="AE9" s="31" t="inlineStr">
        <is>
          <t>Neutral Elo baseline; executable ask 0.4000 (market_slug=aec-cs2-nvo-atp-2026-07-27).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Atputies</t>
        </is>
      </c>
      <c r="AQ9" s="24" t="inlineStr">
        <is>
          <t>Atputies</t>
        </is>
      </c>
      <c r="AR9" s="24" t="inlineStr">
        <is>
          <t>Atputies</t>
        </is>
      </c>
      <c r="AS9" s="24" t="inlineStr">
        <is>
          <t>Noir Verse</t>
        </is>
      </c>
      <c r="AT9" s="24" t="inlineStr">
        <is>
          <t>Noir Verse</t>
        </is>
      </c>
      <c r="AU9" s="24" t="inlineStr">
        <is>
          <t>Noir Verse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2026-07-27T10:27:05.476395Z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269bbdff6793467f</t>
        </is>
      </c>
      <c r="B10" s="24" t="inlineStr">
        <is>
          <t>2026-07-27T13:31:52.156513Z</t>
        </is>
      </c>
      <c r="C10" s="24" t="inlineStr">
        <is>
          <t>2026-07-27T14:00:00Z</t>
        </is>
      </c>
      <c r="D10" s="24" t="inlineStr">
        <is>
          <t>63303</t>
        </is>
      </c>
      <c r="E10" s="24" t="inlineStr">
        <is>
          <t>CS2</t>
        </is>
      </c>
      <c r="F10" s="24" t="inlineStr">
        <is>
          <t>Inner Circle Academy</t>
        </is>
      </c>
      <c r="G10" s="24" t="inlineStr">
        <is>
          <t>ex-RUSTEC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-163</v>
      </c>
      <c r="M10" s="27" t="n">
        <v>1.613497</v>
      </c>
      <c r="N10" s="28" t="n">
        <v>0.619772</v>
      </c>
      <c r="O10" s="28" t="n">
        <v>0.652309</v>
      </c>
      <c r="P10" s="28" t="n"/>
      <c r="Q10" s="28" t="n">
        <v>0.032537</v>
      </c>
      <c r="R10" s="26" t="n">
        <v>36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-2</v>
      </c>
      <c r="AD10" s="24" t="inlineStr">
        <is>
          <t>2026-07-27T16:32:27.416588Z</t>
        </is>
      </c>
      <c r="AE10" s="31" t="inlineStr">
        <is>
          <t>Neutral Elo baseline; executable ask 0.6200 (market_slug=aec-cs2-erx-ica-2026-07-27).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Inner Circle Academy</t>
        </is>
      </c>
      <c r="AQ10" s="24" t="inlineStr">
        <is>
          <t>Inner Circle Academy</t>
        </is>
      </c>
      <c r="AR10" s="24" t="inlineStr">
        <is>
          <t>Inner Circle Academy</t>
        </is>
      </c>
      <c r="AS10" s="24" t="inlineStr">
        <is>
          <t>ex-RUSTEC</t>
        </is>
      </c>
      <c r="AT10" s="24" t="inlineStr">
        <is>
          <t>ex-RUSTEC</t>
        </is>
      </c>
      <c r="AU10" s="24" t="inlineStr">
        <is>
          <t>ex-RUSTEC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d55450e581d49c9cac62c08b0f9a47fad2adbce61565b9ce26f93fb0e665f4f9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d55450e581d49c9cac62c08b0f9a47fad2adbce61565b9ce26f93fb0e665f4f9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2026-07-27T13:31:26.771058Z</t>
        </is>
      </c>
      <c r="BI10" s="24" t="inlineStr">
        <is>
          <t>["same_event","same_team_same_day","same_league_same_day"]</t>
        </is>
      </c>
      <c r="BJ10" s="25" t="n"/>
      <c r="BK10" s="26" t="n">
        <v>-163</v>
      </c>
      <c r="BL10" s="27" t="n">
        <v>1.613497</v>
      </c>
      <c r="BM10" s="28" t="n">
        <v>0.619772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535821dca49e400c</t>
        </is>
      </c>
      <c r="B11" s="24" t="inlineStr">
        <is>
          <t>2026-07-27T13:31:52.156513Z</t>
        </is>
      </c>
      <c r="C11" s="24" t="inlineStr">
        <is>
          <t>2026-07-27T16:30:00Z</t>
        </is>
      </c>
      <c r="D11" s="24" t="inlineStr">
        <is>
          <t>60788</t>
        </is>
      </c>
      <c r="E11" s="24" t="inlineStr">
        <is>
          <t>CS2</t>
        </is>
      </c>
      <c r="F11" s="24" t="inlineStr">
        <is>
          <t>MOUZ NXT</t>
        </is>
      </c>
      <c r="G11" s="24" t="inlineStr">
        <is>
          <t>Brute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0.658722</v>
      </c>
      <c r="P11" s="28" t="n"/>
      <c r="Q11" s="28" t="n">
        <v>0.049347</v>
      </c>
      <c r="R11" s="26" t="n">
        <v>45</v>
      </c>
      <c r="S11" s="29" t="n">
        <v>2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1.2821</v>
      </c>
      <c r="AD11" s="24" t="inlineStr">
        <is>
          <t>2026-07-27T19:47:32.390954Z</t>
        </is>
      </c>
      <c r="AE11" s="31" t="inlineStr">
        <is>
          <t>Neutral Elo baseline; executable ask 0.6100 (market_slug=aec-cs2-brute-mouzn-2026-07-27).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 NXT</t>
        </is>
      </c>
      <c r="AQ11" s="24" t="inlineStr">
        <is>
          <t>MOUZ NXT</t>
        </is>
      </c>
      <c r="AR11" s="24" t="inlineStr">
        <is>
          <t>MOUZ NXT</t>
        </is>
      </c>
      <c r="AS11" s="24" t="inlineStr">
        <is>
          <t>Brute</t>
        </is>
      </c>
      <c r="AT11" s="24" t="inlineStr">
        <is>
          <t>Brute</t>
        </is>
      </c>
      <c r="AU11" s="24" t="inlineStr">
        <is>
          <t>Brute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d55450e581d49c9cac62c08b0f9a47fad2adbce61565b9ce26f93fb0e665f4f9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d55450e581d49c9cac62c08b0f9a47fad2adbce61565b9ce26f93fb0e665f4f9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2026-07-27T13:31:31.182868Z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59095b1c59d34be6</t>
        </is>
      </c>
      <c r="B12" s="24" t="inlineStr">
        <is>
          <t>2026-07-27T16:36:41.723874Z</t>
        </is>
      </c>
      <c r="C12" s="24" t="inlineStr">
        <is>
          <t>2026-07-27T17:00:00Z</t>
        </is>
      </c>
      <c r="D12" s="24" t="inlineStr">
        <is>
          <t>60795</t>
        </is>
      </c>
      <c r="E12" s="24" t="inlineStr">
        <is>
          <t>CS2</t>
        </is>
      </c>
      <c r="F12" s="24" t="inlineStr">
        <is>
          <t>Falcons Force</t>
        </is>
      </c>
      <c r="G12" s="24" t="inlineStr">
        <is>
          <t>Bebop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0.680315</v>
      </c>
      <c r="P12" s="28" t="n"/>
      <c r="Q12" s="28" t="n">
        <v>0.07094</v>
      </c>
      <c r="R12" s="26" t="n">
        <v>55</v>
      </c>
      <c r="S12" s="29" t="n">
        <v>2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-2</v>
      </c>
      <c r="AD12" s="24" t="inlineStr">
        <is>
          <t>2026-07-27T19:47:33.512127Z</t>
        </is>
      </c>
      <c r="AE12" s="31" t="inlineStr">
        <is>
          <t>Neutral Elo baseline; executable ask 0.6100 (market_slug=aec-cs2-bbp-falf-2026-07-27).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Falcons Force</t>
        </is>
      </c>
      <c r="AQ12" s="24" t="inlineStr">
        <is>
          <t>Falcons Force</t>
        </is>
      </c>
      <c r="AR12" s="24" t="inlineStr">
        <is>
          <t>Falcons Force</t>
        </is>
      </c>
      <c r="AS12" s="24" t="inlineStr">
        <is>
          <t>Bebop</t>
        </is>
      </c>
      <c r="AT12" s="24" t="inlineStr">
        <is>
          <t>Bebop</t>
        </is>
      </c>
      <c r="AU12" s="24" t="inlineStr">
        <is>
          <t>Bebop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6329bd3e425200846e7ff17d6fd62114a73b33dcf85796cbdc7cb776105e39da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6329bd3e425200846e7ff17d6fd62114a73b33dcf85796cbdc7cb776105e39da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2026-07-27T16:36:23.363578Z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26ac854df3564725</t>
        </is>
      </c>
      <c r="B13" s="24" t="inlineStr">
        <is>
          <t>2026-07-27T16:36:41.723874Z</t>
        </is>
      </c>
      <c r="C13" s="24" t="inlineStr">
        <is>
          <t>2026-07-27T17:00:00Z</t>
        </is>
      </c>
      <c r="D13" s="24" t="inlineStr">
        <is>
          <t>60794</t>
        </is>
      </c>
      <c r="E13" s="24" t="inlineStr">
        <is>
          <t>CS2</t>
        </is>
      </c>
      <c r="F13" s="24" t="inlineStr">
        <is>
          <t>HATERS</t>
        </is>
      </c>
      <c r="G13" s="24" t="inlineStr">
        <is>
          <t>Rush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186</v>
      </c>
      <c r="M13" s="27" t="n">
        <v>2.86</v>
      </c>
      <c r="N13" s="28" t="n">
        <v>0.34965</v>
      </c>
      <c r="O13" s="28" t="n">
        <v>0.506515</v>
      </c>
      <c r="P13" s="28" t="n"/>
      <c r="Q13" s="28" t="n">
        <v>0.156865</v>
      </c>
      <c r="R13" s="26" t="n">
        <v>98</v>
      </c>
      <c r="S13" s="29" t="n">
        <v>0.5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-0.5</v>
      </c>
      <c r="AD13" s="24" t="inlineStr">
        <is>
          <t>2026-07-27T22:52:04.146089Z</t>
        </is>
      </c>
      <c r="AE13" s="31" t="inlineStr">
        <is>
          <t>Neutral Elo baseline; executable ask 0.3500 (market_slug=aec-cs2-rush-hat-2026-07-27).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HATERS</t>
        </is>
      </c>
      <c r="AQ13" s="24" t="inlineStr">
        <is>
          <t>HATERS</t>
        </is>
      </c>
      <c r="AR13" s="24" t="inlineStr">
        <is>
          <t>HATERS</t>
        </is>
      </c>
      <c r="AS13" s="24" t="inlineStr">
        <is>
          <t>Rush</t>
        </is>
      </c>
      <c r="AT13" s="24" t="inlineStr">
        <is>
          <t>Rush</t>
        </is>
      </c>
      <c r="AU13" s="24" t="inlineStr">
        <is>
          <t>Rush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6329bd3e425200846e7ff17d6fd62114a73b33dcf85796cbdc7cb776105e39da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6329bd3e425200846e7ff17d6fd62114a73b33dcf85796cbdc7cb776105e39da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2026-07-27T16:36:24.863764Z</t>
        </is>
      </c>
      <c r="BI13" s="24" t="inlineStr">
        <is>
          <t>["same_event","same_team_same_day","same_league_same_day"]</t>
        </is>
      </c>
      <c r="BJ13" s="25" t="n"/>
      <c r="BK13" s="26" t="n">
        <v>186</v>
      </c>
      <c r="BL13" s="27" t="n">
        <v>2.86</v>
      </c>
      <c r="BM13" s="28" t="n">
        <v>0.34965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b009442629df4cc1</t>
        </is>
      </c>
      <c r="B14" s="24" t="inlineStr">
        <is>
          <t>2026-07-27T17:38:10.535886Z</t>
        </is>
      </c>
      <c r="C14" s="24" t="inlineStr">
        <is>
          <t>2026-07-27T18:15:00Z</t>
        </is>
      </c>
      <c r="D14" s="24" t="inlineStr">
        <is>
          <t>63492</t>
        </is>
      </c>
      <c r="E14" s="24" t="inlineStr">
        <is>
          <t>CS2</t>
        </is>
      </c>
      <c r="F14" s="24" t="inlineStr">
        <is>
          <t>mellren</t>
        </is>
      </c>
      <c r="G14" s="24" t="inlineStr">
        <is>
          <t>aimclub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-122</v>
      </c>
      <c r="M14" s="27" t="n">
        <v>1.819672</v>
      </c>
      <c r="N14" s="28" t="n">
        <v>0.54955</v>
      </c>
      <c r="O14" s="28" t="n">
        <v>0.65286</v>
      </c>
      <c r="P14" s="28" t="n"/>
      <c r="Q14" s="28" t="n">
        <v>0.10331</v>
      </c>
      <c r="R14" s="26" t="n">
        <v>72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1.6393</v>
      </c>
      <c r="AD14" s="24" t="inlineStr">
        <is>
          <t>2026-07-27T22:52:05.272028Z</t>
        </is>
      </c>
      <c r="AE14" s="31" t="inlineStr">
        <is>
          <t>Neutral Elo baseline; executable ask 0.5500 (market_slug=aec-cs2-aimc-mel-2026-07-27).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mellren</t>
        </is>
      </c>
      <c r="AQ14" s="24" t="inlineStr">
        <is>
          <t>mellren</t>
        </is>
      </c>
      <c r="AR14" s="24" t="inlineStr">
        <is>
          <t>mellren</t>
        </is>
      </c>
      <c r="AS14" s="24" t="inlineStr">
        <is>
          <t>aimclub</t>
        </is>
      </c>
      <c r="AT14" s="24" t="inlineStr">
        <is>
          <t>aimclub</t>
        </is>
      </c>
      <c r="AU14" s="24" t="inlineStr">
        <is>
          <t>aimclub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867870f5311168845ab98ba889eb7970c88200d6dbd0532dbd8a6a3de3837c1a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867870f5311168845ab98ba889eb7970c88200d6dbd0532dbd8a6a3de3837c1a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2026-07-27T17:37:55.611264Z</t>
        </is>
      </c>
      <c r="BI14" s="24" t="inlineStr">
        <is>
          <t>["same_event","same_team_same_day","same_league_same_day"]</t>
        </is>
      </c>
      <c r="BJ14" s="25" t="n"/>
      <c r="BK14" s="26" t="n">
        <v>-122</v>
      </c>
      <c r="BL14" s="27" t="n">
        <v>1.819672</v>
      </c>
      <c r="BM14" s="28" t="n">
        <v>0.54955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b130a7489baa41ec</t>
        </is>
      </c>
      <c r="B15" s="24" t="inlineStr">
        <is>
          <t>2026-07-28T05:05:50.168792Z</t>
        </is>
      </c>
      <c r="C15" s="24" t="inlineStr">
        <is>
          <t>2026-07-28T08:00:00Z</t>
        </is>
      </c>
      <c r="D15" s="24" t="inlineStr">
        <is>
          <t>63306</t>
        </is>
      </c>
      <c r="E15" s="24" t="inlineStr">
        <is>
          <t>CS2</t>
        </is>
      </c>
      <c r="F15" s="24" t="inlineStr">
        <is>
          <t>ENJOY</t>
        </is>
      </c>
      <c r="G15" s="24" t="inlineStr">
        <is>
          <t>Black Phoenix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0.710969</v>
      </c>
      <c r="P15" s="28" t="n"/>
      <c r="Q15" s="28" t="n">
        <v>0.25014</v>
      </c>
      <c r="R15" s="26" t="n">
        <v>100</v>
      </c>
      <c r="S15" s="29" t="n">
        <v>2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-2</v>
      </c>
      <c r="AD15" s="24" t="inlineStr">
        <is>
          <t>2026-07-28T11:12:40.671751Z</t>
        </is>
      </c>
      <c r="AE15" s="31" t="inlineStr">
        <is>
          <t>Neutral Elo baseline; executable ask 0.4600 (market_slug=aec-cs2-bpl-enjoy-2026-07-28).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ENJOY</t>
        </is>
      </c>
      <c r="AQ15" s="24" t="inlineStr">
        <is>
          <t>ENJOY</t>
        </is>
      </c>
      <c r="AR15" s="24" t="inlineStr">
        <is>
          <t>ENJOY</t>
        </is>
      </c>
      <c r="AS15" s="24" t="inlineStr">
        <is>
          <t>Black Phoenix</t>
        </is>
      </c>
      <c r="AT15" s="24" t="inlineStr">
        <is>
          <t>Black Phoenix</t>
        </is>
      </c>
      <c r="AU15" s="24" t="inlineStr">
        <is>
          <t>Black Phoenix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40c2937bc668bb862cf7af94b4e50bd7f49459da4b5b52e8a268f7bbef6d0377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40c2937bc668bb862cf7af94b4e50bd7f49459da4b5b52e8a268f7bbef6d0377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2026-07-28T05:05:25.710714Z</t>
        </is>
      </c>
      <c r="BI15" s="24" t="inlineStr">
        <is>
          <t>["same_event","same_team_same_day","same_league_same_day"]</t>
        </is>
      </c>
      <c r="BJ15" s="25" t="n"/>
      <c r="BK15" s="26" t="n">
        <v>117</v>
      </c>
      <c r="BL15" s="27" t="n">
        <v>2.17</v>
      </c>
      <c r="BM15" s="28" t="n">
        <v>0.460829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b3a9bdbbf6b748de</t>
        </is>
      </c>
      <c r="B16" s="24" t="inlineStr">
        <is>
          <t>2026-07-28T05:05:50.168792Z</t>
        </is>
      </c>
      <c r="C16" s="24" t="inlineStr">
        <is>
          <t>2026-07-28T08:00:00Z</t>
        </is>
      </c>
      <c r="D16" s="24" t="inlineStr">
        <is>
          <t>63706</t>
        </is>
      </c>
      <c r="E16" s="24" t="inlineStr">
        <is>
          <t>CS2</t>
        </is>
      </c>
      <c r="F16" s="24" t="inlineStr">
        <is>
          <t>Mai Tai</t>
        </is>
      </c>
      <c r="G16" s="24" t="inlineStr">
        <is>
          <t>Entropy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0.609287</v>
      </c>
      <c r="P16" s="28" t="n"/>
      <c r="Q16" s="28" t="n">
        <v>0.019123</v>
      </c>
      <c r="R16" s="26" t="n">
        <v>30</v>
      </c>
      <c r="S16" s="29" t="n">
        <v>1.5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1.0417</v>
      </c>
      <c r="AD16" s="24" t="inlineStr">
        <is>
          <t>2026-07-28T11:12:41.886189Z</t>
        </is>
      </c>
      <c r="AE16" s="31" t="inlineStr">
        <is>
          <t>Neutral Elo baseline; executable ask 0.5900 (market_slug=aec-cs2-ent-mta-2026-07-28).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Mai Tai</t>
        </is>
      </c>
      <c r="AQ16" s="24" t="inlineStr">
        <is>
          <t>Mai Tai</t>
        </is>
      </c>
      <c r="AR16" s="24" t="inlineStr">
        <is>
          <t>Mai Tai</t>
        </is>
      </c>
      <c r="AS16" s="24" t="inlineStr">
        <is>
          <t>Entropy</t>
        </is>
      </c>
      <c r="AT16" s="24" t="inlineStr">
        <is>
          <t>Entropy</t>
        </is>
      </c>
      <c r="AU16" s="24" t="inlineStr">
        <is>
          <t>Entropy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40c2937bc668bb862cf7af94b4e50bd7f49459da4b5b52e8a268f7bbef6d0377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40c2937bc668bb862cf7af94b4e50bd7f49459da4b5b52e8a268f7bbef6d0377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2026-07-28T05:05:26.235601Z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d680f0c63c144b2a</t>
        </is>
      </c>
      <c r="B17" s="24" t="inlineStr">
        <is>
          <t>2026-07-28T08:11:54.722189Z</t>
        </is>
      </c>
      <c r="C17" s="24" t="inlineStr">
        <is>
          <t>2026-07-28T10:00:00Z</t>
        </is>
      </c>
      <c r="D17" s="24" t="inlineStr">
        <is>
          <t>64432</t>
        </is>
      </c>
      <c r="E17" s="24" t="inlineStr">
        <is>
          <t>CS2</t>
        </is>
      </c>
      <c r="F17" s="24" t="inlineStr">
        <is>
          <t>MOUZ NXT</t>
        </is>
      </c>
      <c r="G17" s="24" t="inlineStr">
        <is>
          <t>Noir Verse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150</v>
      </c>
      <c r="M17" s="27" t="n">
        <v>2.5</v>
      </c>
      <c r="N17" s="28" t="n">
        <v>0.4</v>
      </c>
      <c r="O17" s="28" t="n">
        <v>0.509533</v>
      </c>
      <c r="P17" s="28" t="n"/>
      <c r="Q17" s="28" t="n">
        <v>0.109533</v>
      </c>
      <c r="R17" s="26" t="n">
        <v>75</v>
      </c>
      <c r="S17" s="29" t="n">
        <v>0.5</v>
      </c>
      <c r="T17" s="24" t="inlineStr">
        <is>
          <t>cs2-tiered-elo-v4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-0.5</v>
      </c>
      <c r="AD17" s="24" t="inlineStr">
        <is>
          <t>2026-07-28T14:18:45.452613Z</t>
        </is>
      </c>
      <c r="AE17" s="31" t="inlineStr">
        <is>
          <t>Neutral Elo baseline; executable ask 0.4000 (market_slug=aec-cs2-nvo-mouzn-2026-07-28).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MOUZ NXT</t>
        </is>
      </c>
      <c r="AQ17" s="24" t="inlineStr">
        <is>
          <t>MOUZ NXT</t>
        </is>
      </c>
      <c r="AR17" s="24" t="inlineStr">
        <is>
          <t>MOUZ NXT</t>
        </is>
      </c>
      <c r="AS17" s="24" t="inlineStr">
        <is>
          <t>Noir Verse</t>
        </is>
      </c>
      <c r="AT17" s="24" t="inlineStr">
        <is>
          <t>Noir Verse</t>
        </is>
      </c>
      <c r="AU17" s="24" t="inlineStr">
        <is>
          <t>Noir Verse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bc55e868a05b19a7a0abd9e0981ea1ca6d73030b07b9e89e745ea990df232cdb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bc55e868a05b19a7a0abd9e0981ea1ca6d73030b07b9e89e745ea990df232cdb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2026-07-28T08:11:31.472875Z</t>
        </is>
      </c>
      <c r="BI17" s="24" t="inlineStr">
        <is>
          <t>["same_event","same_team_same_day","same_league_same_day"]</t>
        </is>
      </c>
      <c r="BJ17" s="25" t="n"/>
      <c r="BK17" s="26" t="n">
        <v>150</v>
      </c>
      <c r="BL17" s="27" t="n">
        <v>2.5</v>
      </c>
      <c r="BM17" s="28" t="n">
        <v>0.4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1230e8ccb3f14468</t>
        </is>
      </c>
      <c r="B18" s="24" t="inlineStr">
        <is>
          <t>2026-07-28T08:11:54.722189Z</t>
        </is>
      </c>
      <c r="C18" s="24" t="inlineStr">
        <is>
          <t>2026-07-28T11:00:00Z</t>
        </is>
      </c>
      <c r="D18" s="24" t="inlineStr">
        <is>
          <t>63359</t>
        </is>
      </c>
      <c r="E18" s="24" t="inlineStr">
        <is>
          <t>CS2</t>
        </is>
      </c>
      <c r="F18" s="24" t="inlineStr">
        <is>
          <t>G2 Ares</t>
        </is>
      </c>
      <c r="G18" s="24" t="inlineStr">
        <is>
          <t>Butterfly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100</v>
      </c>
      <c r="M18" s="27" t="n">
        <v>2</v>
      </c>
      <c r="N18" s="28" t="n">
        <v>0.5</v>
      </c>
      <c r="O18" s="28" t="n">
        <v>0.589686</v>
      </c>
      <c r="P18" s="28" t="n"/>
      <c r="Q18" s="28" t="n">
        <v>0.089686</v>
      </c>
      <c r="R18" s="26" t="n">
        <v>65</v>
      </c>
      <c r="S18" s="29" t="n">
        <v>1.5</v>
      </c>
      <c r="T18" s="24" t="inlineStr">
        <is>
          <t>cs2-tiered-elo-v4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-1.5</v>
      </c>
      <c r="AD18" s="24" t="inlineStr">
        <is>
          <t>2026-07-28T14:18:46.743433Z</t>
        </is>
      </c>
      <c r="AE18" s="31" t="inlineStr">
        <is>
          <t>Neutral Elo baseline; executable ask 0.5000 (market_slug=aec-cs2-btf-g2a-2026-07-28).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G2 Ares</t>
        </is>
      </c>
      <c r="AQ18" s="24" t="inlineStr">
        <is>
          <t>G2 Ares</t>
        </is>
      </c>
      <c r="AR18" s="24" t="inlineStr">
        <is>
          <t>G2 Ares</t>
        </is>
      </c>
      <c r="AS18" s="24" t="inlineStr">
        <is>
          <t>Butterfly</t>
        </is>
      </c>
      <c r="AT18" s="24" t="inlineStr">
        <is>
          <t>Butterfly</t>
        </is>
      </c>
      <c r="AU18" s="24" t="inlineStr">
        <is>
          <t>Butterfly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bc55e868a05b19a7a0abd9e0981ea1ca6d73030b07b9e89e745ea990df232cdb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bc55e868a05b19a7a0abd9e0981ea1ca6d73030b07b9e89e745ea990df232cdb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2026-07-28T08:11:32.486834Z</t>
        </is>
      </c>
      <c r="BI18" s="24" t="inlineStr">
        <is>
          <t>["same_event","same_team_same_day","same_league_same_day"]</t>
        </is>
      </c>
      <c r="BJ18" s="25" t="n"/>
      <c r="BK18" s="26" t="n">
        <v>100</v>
      </c>
      <c r="BL18" s="27" t="n">
        <v>2</v>
      </c>
      <c r="BM18" s="28" t="n">
        <v>0.5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f939627a80c7422c</t>
        </is>
      </c>
      <c r="B19" s="24" t="inlineStr">
        <is>
          <t>2026-07-28T08:11:54.722189Z</t>
        </is>
      </c>
      <c r="C19" s="24" t="inlineStr">
        <is>
          <t>2026-07-28T11:00:00Z</t>
        </is>
      </c>
      <c r="D19" s="24" t="inlineStr">
        <is>
          <t>64367</t>
        </is>
      </c>
      <c r="E19" s="24" t="inlineStr">
        <is>
          <t>CS2</t>
        </is>
      </c>
      <c r="F19" s="24" t="inlineStr">
        <is>
          <t>Bebop</t>
        </is>
      </c>
      <c r="G19" s="24" t="inlineStr">
        <is>
          <t>Black Phoenix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0.525641</v>
      </c>
      <c r="P19" s="28" t="n"/>
      <c r="Q19" s="28" t="n">
        <v>0.056157</v>
      </c>
      <c r="R19" s="26" t="n">
        <v>48</v>
      </c>
      <c r="S19" s="29" t="n">
        <v>0.75</v>
      </c>
      <c r="T19" s="24" t="inlineStr">
        <is>
          <t>cs2-tiered-elo-v4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0.8475</v>
      </c>
      <c r="AD19" s="24" t="inlineStr">
        <is>
          <t>2026-07-28T14:18:47.865907Z</t>
        </is>
      </c>
      <c r="AE19" s="31" t="inlineStr">
        <is>
          <t>Neutral Elo baseline; executable ask 0.4700 (market_slug=aec-cs2-bpl-bbp-2026-07-28).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Bebop</t>
        </is>
      </c>
      <c r="AQ19" s="24" t="inlineStr">
        <is>
          <t>Bebop</t>
        </is>
      </c>
      <c r="AR19" s="24" t="inlineStr">
        <is>
          <t>Bebop</t>
        </is>
      </c>
      <c r="AS19" s="24" t="inlineStr">
        <is>
          <t>Black Phoenix</t>
        </is>
      </c>
      <c r="AT19" s="24" t="inlineStr">
        <is>
          <t>Black Phoenix</t>
        </is>
      </c>
      <c r="AU19" s="24" t="inlineStr">
        <is>
          <t>Black Phoenix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bc55e868a05b19a7a0abd9e0981ea1ca6d73030b07b9e89e745ea990df232cdb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bc55e868a05b19a7a0abd9e0981ea1ca6d73030b07b9e89e745ea990df232cdb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2026-07-28T08:11:33.028196Z</t>
        </is>
      </c>
      <c r="BI19" s="24" t="inlineStr">
        <is>
          <t>["same_event","same_team_same_day","same_league_same_day"]</t>
        </is>
      </c>
      <c r="BJ19" s="25" t="n"/>
      <c r="BK19" s="26" t="n">
        <v>113</v>
      </c>
      <c r="BL19" s="27" t="n">
        <v>2.13</v>
      </c>
      <c r="BM19" s="28" t="n">
        <v>0.469484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0961e2f1cea44460</t>
        </is>
      </c>
      <c r="B20" s="24" t="inlineStr">
        <is>
          <t>2026-07-28T11:17:59.302295Z</t>
        </is>
      </c>
      <c r="C20" s="24" t="inlineStr">
        <is>
          <t>2026-07-28T14:00:00Z</t>
        </is>
      </c>
      <c r="D20" s="24" t="inlineStr">
        <is>
          <t>63360</t>
        </is>
      </c>
      <c r="E20" s="24" t="inlineStr">
        <is>
          <t>CS2</t>
        </is>
      </c>
      <c r="F20" s="24" t="inlineStr">
        <is>
          <t>Just Players</t>
        </is>
      </c>
      <c r="G20" s="24" t="inlineStr">
        <is>
          <t>Butterfly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113</v>
      </c>
      <c r="M20" s="27" t="n">
        <v>2.13</v>
      </c>
      <c r="N20" s="28" t="n">
        <v>0.469484</v>
      </c>
      <c r="O20" s="28" t="n">
        <v>0.53772</v>
      </c>
      <c r="P20" s="28" t="n"/>
      <c r="Q20" s="28" t="n">
        <v>0.068236</v>
      </c>
      <c r="R20" s="26" t="n">
        <v>54</v>
      </c>
      <c r="S20" s="29" t="n">
        <v>1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-1</v>
      </c>
      <c r="AD20" s="24" t="inlineStr">
        <is>
          <t>2026-07-28T16:02:16.608746Z</t>
        </is>
      </c>
      <c r="AE20" s="31" t="inlineStr">
        <is>
          <t>Neutral Elo baseline; executable ask 0.4700 (market_slug=aec-cs2-btf-jpu-2026-07-28).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Just Players</t>
        </is>
      </c>
      <c r="AQ20" s="24" t="inlineStr">
        <is>
          <t>Just Players</t>
        </is>
      </c>
      <c r="AR20" s="24" t="inlineStr">
        <is>
          <t>Just Players</t>
        </is>
      </c>
      <c r="AS20" s="24" t="inlineStr">
        <is>
          <t>Butterfly</t>
        </is>
      </c>
      <c r="AT20" s="24" t="inlineStr">
        <is>
          <t>Butterfly</t>
        </is>
      </c>
      <c r="AU20" s="24" t="inlineStr">
        <is>
          <t>Butterfly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2b10a508f0b7c33f18d6ceeb867088d36516a5ff42abbccd848c68e2c7ca105c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2b10a508f0b7c33f18d6ceeb867088d36516a5ff42abbccd848c68e2c7ca105c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2026-07-28T11:17:40.063714Z</t>
        </is>
      </c>
      <c r="BI20" s="24" t="inlineStr">
        <is>
          <t>["same_event","same_team_same_day","same_league_same_day"]</t>
        </is>
      </c>
      <c r="BJ20" s="25" t="n"/>
      <c r="BK20" s="26" t="n">
        <v>113</v>
      </c>
      <c r="BL20" s="27" t="n">
        <v>2.13</v>
      </c>
      <c r="BM20" s="28" t="n">
        <v>0.469484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3ade7d7fea21469e</t>
        </is>
      </c>
      <c r="B21" s="24" t="inlineStr">
        <is>
          <t>2026-07-28T14:24:09.023643Z</t>
        </is>
      </c>
      <c r="C21" s="24" t="inlineStr">
        <is>
          <t>2026-07-28T15:00:00Z</t>
        </is>
      </c>
      <c r="D21" s="24" t="inlineStr">
        <is>
          <t>61517</t>
        </is>
      </c>
      <c r="E21" s="24" t="inlineStr">
        <is>
          <t>CS2</t>
        </is>
      </c>
      <c r="F21" s="24" t="inlineStr">
        <is>
          <t>BakS eSports</t>
        </is>
      </c>
      <c r="G21" s="24" t="inlineStr">
        <is>
          <t>TDK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0.907919</v>
      </c>
      <c r="P21" s="28" t="n"/>
      <c r="Q21" s="28" t="n">
        <v>0.248055</v>
      </c>
      <c r="R21" s="26" t="n">
        <v>100</v>
      </c>
      <c r="S21" s="29" t="n">
        <v>2</v>
      </c>
      <c r="T21" s="24" t="inlineStr">
        <is>
          <t>cs2-tiered-elo-v4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-2</v>
      </c>
      <c r="AD21" s="24" t="inlineStr">
        <is>
          <t>2026-07-28T16:36:05.414442Z</t>
        </is>
      </c>
      <c r="AE21" s="31" t="inlineStr">
        <is>
          <t>Neutral Elo baseline; executable ask 0.6600 (market_slug=aec-cs2-tdk-baks-2026-07-28).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BakS eSports</t>
        </is>
      </c>
      <c r="AQ21" s="24" t="inlineStr">
        <is>
          <t>BakS eSports</t>
        </is>
      </c>
      <c r="AR21" s="24" t="inlineStr">
        <is>
          <t>BakS eSports</t>
        </is>
      </c>
      <c r="AS21" s="24" t="inlineStr">
        <is>
          <t>TDK</t>
        </is>
      </c>
      <c r="AT21" s="24" t="inlineStr">
        <is>
          <t>TDK</t>
        </is>
      </c>
      <c r="AU21" s="24" t="inlineStr">
        <is>
          <t>TDK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b7be26981f98c7c049773609859384b830ed2600e5d283ac2efb1545695d5e3e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b7be26981f98c7c049773609859384b830ed2600e5d283ac2efb1545695d5e3e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2026-07-28T14:23:49.113149Z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8c640d9927714b73</t>
        </is>
      </c>
      <c r="B22" s="24" t="inlineStr">
        <is>
          <t>2026-07-28T16:35:31.142713Z</t>
        </is>
      </c>
      <c r="C22" s="24" t="inlineStr">
        <is>
          <t>2026-07-28T17:00:00Z</t>
        </is>
      </c>
      <c r="D22" s="24" t="inlineStr">
        <is>
          <t>63363</t>
        </is>
      </c>
      <c r="E22" s="24" t="inlineStr">
        <is>
          <t>CS2</t>
        </is>
      </c>
      <c r="F22" s="24" t="inlineStr">
        <is>
          <t>Lavked</t>
        </is>
      </c>
      <c r="G22" s="24" t="inlineStr">
        <is>
          <t>CYBERSHOKE Prospects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1.925926</v>
      </c>
      <c r="N22" s="28" t="n">
        <v>0.519231</v>
      </c>
      <c r="O22" s="28" t="n">
        <v>0.553323</v>
      </c>
      <c r="P22" s="28" t="n"/>
      <c r="Q22" s="28" t="n">
        <v>0.034092</v>
      </c>
      <c r="R22" s="26" t="n">
        <v>37</v>
      </c>
      <c r="S22" s="29" t="n">
        <v>1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2026-07-28T20:31:25.336265Z</t>
        </is>
      </c>
      <c r="AE22" s="31" t="inlineStr">
        <is>
          <t>Neutral Elo baseline; executable ask 0.5200 (market_slug=aec-cs2-cshp-lav-2026-07-28).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Lavked</t>
        </is>
      </c>
      <c r="AQ22" s="24" t="inlineStr">
        <is>
          <t>Lavked</t>
        </is>
      </c>
      <c r="AR22" s="24" t="inlineStr">
        <is>
          <t>Lavked</t>
        </is>
      </c>
      <c r="AS22" s="24" t="inlineStr">
        <is>
          <t>CYBERSHOKE Prospects</t>
        </is>
      </c>
      <c r="AT22" s="24" t="inlineStr">
        <is>
          <t>CYBERSHOKE Prospects</t>
        </is>
      </c>
      <c r="AU22" s="24" t="inlineStr">
        <is>
          <t>CYBERSHOKE Prospects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a894100d90025062e7ae51b5d1e6b0e815cc63c71796cf2c436fe1c50423a32c</t>
        </is>
      </c>
      <c r="BB22" s="24" t="inlineStr">
        <is>
          <t>neutral_elo</t>
        </is>
      </c>
      <c r="BC22" s="24" t="inlineStr">
        <is>
          <t>cs2-tiered-elo-v4</t>
        </is>
      </c>
      <c r="BD22" s="24" t="inlineStr">
        <is>
          <t>a894100d90025062e7ae51b5d1e6b0e815cc63c71796cf2c436fe1c50423a32c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cs2-tiered-elo-v4</t>
        </is>
      </c>
      <c r="BH22" s="24" t="inlineStr">
        <is>
          <t>2026-07-28T16:35:16.339835Z</t>
        </is>
      </c>
      <c r="BI22" s="24" t="inlineStr">
        <is>
          <t>["same_event","same_team_same_day","same_league_same_day"]</t>
        </is>
      </c>
      <c r="BJ22" s="25" t="n"/>
      <c r="BK22" s="26" t="n">
        <v>-108</v>
      </c>
      <c r="BL22" s="27" t="n">
        <v>1.925926</v>
      </c>
      <c r="BM22" s="28" t="n">
        <v>0.519231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ff3ef556fba44919</t>
        </is>
      </c>
      <c r="B23" s="24" t="inlineStr">
        <is>
          <t>2026-07-28T17:30:13.340663Z</t>
        </is>
      </c>
      <c r="C23" s="24" t="inlineStr">
        <is>
          <t>2026-07-28T18:00:00Z</t>
        </is>
      </c>
      <c r="D23" s="24" t="inlineStr">
        <is>
          <t>64499</t>
        </is>
      </c>
      <c r="E23" s="24" t="inlineStr">
        <is>
          <t>CS2</t>
        </is>
      </c>
      <c r="F23" s="24" t="inlineStr">
        <is>
          <t>eSuba</t>
        </is>
      </c>
      <c r="G23" s="24" t="inlineStr">
        <is>
          <t>GoldRashers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-127</v>
      </c>
      <c r="M23" s="27" t="n">
        <v>1.787402</v>
      </c>
      <c r="N23" s="28" t="n">
        <v>0.5594710000000001</v>
      </c>
      <c r="O23" s="28" t="n">
        <v>0.6616919999999999</v>
      </c>
      <c r="P23" s="28" t="n"/>
      <c r="Q23" s="28" t="n">
        <v>0.102221</v>
      </c>
      <c r="R23" s="26" t="n">
        <v>71</v>
      </c>
      <c r="S23" s="29" t="n">
        <v>2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push</t>
        </is>
      </c>
      <c r="W23" s="26" t="n"/>
      <c r="X23" s="26" t="n"/>
      <c r="Y23" s="25" t="n"/>
      <c r="Z23" s="26" t="n"/>
      <c r="AA23" s="28" t="n"/>
      <c r="AB23" s="28" t="n"/>
      <c r="AC23" s="30" t="n">
        <v>0</v>
      </c>
      <c r="AD23" s="24" t="inlineStr">
        <is>
          <t>2026-07-29T02:41:52.556129Z</t>
        </is>
      </c>
      <c r="AE23" s="31" t="inlineStr">
        <is>
          <t>Neutral Elo baseline; executable ask 0.5600 (market_slug=aec-cs2-gol-esb-2026-07-28).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eSuba</t>
        </is>
      </c>
      <c r="AQ23" s="24" t="inlineStr">
        <is>
          <t>eSuba</t>
        </is>
      </c>
      <c r="AR23" s="24" t="inlineStr">
        <is>
          <t>eSuba</t>
        </is>
      </c>
      <c r="AS23" s="24" t="inlineStr">
        <is>
          <t>GoldRashers</t>
        </is>
      </c>
      <c r="AT23" s="24" t="inlineStr">
        <is>
          <t>GoldRashers</t>
        </is>
      </c>
      <c r="AU23" s="24" t="inlineStr">
        <is>
          <t>GoldRashers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3487735e39e50be1fefee9192d509704c974ecc258edfc57a88a384c3d181528</t>
        </is>
      </c>
      <c r="BB23" s="24" t="inlineStr">
        <is>
          <t>neutral_elo</t>
        </is>
      </c>
      <c r="BC23" s="24" t="inlineStr">
        <is>
          <t>cs2-tiered-elo-v4</t>
        </is>
      </c>
      <c r="BD23" s="24" t="inlineStr">
        <is>
          <t>3487735e39e50be1fefee9192d509704c974ecc258edfc57a88a384c3d181528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cs2-tiered-elo-v4</t>
        </is>
      </c>
      <c r="BH23" s="24" t="inlineStr">
        <is>
          <t>2026-07-28T17:29:59.388422Z</t>
        </is>
      </c>
      <c r="BI23" s="24" t="inlineStr">
        <is>
          <t>["same_event","same_team_same_day","same_league_same_day"]</t>
        </is>
      </c>
      <c r="BJ23" s="25" t="n"/>
      <c r="BK23" s="26" t="n">
        <v>-127</v>
      </c>
      <c r="BL23" s="27" t="n">
        <v>1.787402</v>
      </c>
      <c r="BM23" s="28" t="n">
        <v>0.5594710000000001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inlineStr">
        <is>
          <t>esports market settled to a non-binary price (forfeit/postponement per market rules)</t>
        </is>
      </c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1fe0670e11e74f78</t>
        </is>
      </c>
      <c r="B24" s="24" t="inlineStr">
        <is>
          <t>2026-07-28T17:30:13.340663Z</t>
        </is>
      </c>
      <c r="C24" s="24" t="inlineStr">
        <is>
          <t>2026-07-28T18:30:00Z</t>
        </is>
      </c>
      <c r="D24" s="24" t="inlineStr">
        <is>
          <t>64504</t>
        </is>
      </c>
      <c r="E24" s="24" t="inlineStr">
        <is>
          <t>CS2</t>
        </is>
      </c>
      <c r="F24" s="24" t="inlineStr">
        <is>
          <t>Glitchtech Esports</t>
        </is>
      </c>
      <c r="G24" s="24" t="inlineStr">
        <is>
          <t>VP.Prodigy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-223</v>
      </c>
      <c r="M24" s="27" t="n">
        <v>1.44843</v>
      </c>
      <c r="N24" s="28" t="n">
        <v>0.690402</v>
      </c>
      <c r="O24" s="28" t="n">
        <v>0.723251</v>
      </c>
      <c r="P24" s="28" t="n"/>
      <c r="Q24" s="28" t="n">
        <v>0.032849</v>
      </c>
      <c r="R24" s="26" t="n">
        <v>36</v>
      </c>
      <c r="S24" s="29" t="n">
        <v>2</v>
      </c>
      <c r="T24" s="24" t="inlineStr">
        <is>
          <t>cs2-tiered-elo-v4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0.8969</v>
      </c>
      <c r="AD24" s="24" t="inlineStr">
        <is>
          <t>2026-07-28T20:31:27.659661Z</t>
        </is>
      </c>
      <c r="AE24" s="31" t="inlineStr">
        <is>
          <t>Neutral Elo baseline; executable ask 0.6900 (market_slug=aec-cs2-vpp-gel-2026-07-28).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Glitchtech Esports</t>
        </is>
      </c>
      <c r="AQ24" s="24" t="inlineStr">
        <is>
          <t>Glitchtech Esports</t>
        </is>
      </c>
      <c r="AR24" s="24" t="inlineStr">
        <is>
          <t>Glitchtech Esports</t>
        </is>
      </c>
      <c r="AS24" s="24" t="inlineStr">
        <is>
          <t>VP.Prodigy</t>
        </is>
      </c>
      <c r="AT24" s="24" t="inlineStr">
        <is>
          <t>VP.Prodigy</t>
        </is>
      </c>
      <c r="AU24" s="24" t="inlineStr">
        <is>
          <t>VP.Prodigy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3487735e39e50be1fefee9192d509704c974ecc258edfc57a88a384c3d181528</t>
        </is>
      </c>
      <c r="BB24" s="24" t="inlineStr">
        <is>
          <t>neutral_elo</t>
        </is>
      </c>
      <c r="BC24" s="24" t="inlineStr">
        <is>
          <t>cs2-tiered-elo-v4</t>
        </is>
      </c>
      <c r="BD24" s="24" t="inlineStr">
        <is>
          <t>3487735e39e50be1fefee9192d509704c974ecc258edfc57a88a384c3d181528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cs2-tiered-elo-v4</t>
        </is>
      </c>
      <c r="BH24" s="24" t="inlineStr">
        <is>
          <t>2026-07-28T17:30:01.551070Z</t>
        </is>
      </c>
      <c r="BI24" s="24" t="inlineStr">
        <is>
          <t>["same_event","same_team_same_day","same_league_same_day"]</t>
        </is>
      </c>
      <c r="BJ24" s="25" t="n"/>
      <c r="BK24" s="26" t="n">
        <v>-223</v>
      </c>
      <c r="BL24" s="27" t="n">
        <v>1.44843</v>
      </c>
      <c r="BM24" s="28" t="n">
        <v>0.690402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f75c8c524847499d</t>
        </is>
      </c>
      <c r="B25" s="24" t="inlineStr">
        <is>
          <t>2026-07-28T17:30:13.340663Z</t>
        </is>
      </c>
      <c r="C25" s="24" t="inlineStr">
        <is>
          <t>2026-07-28T18:30:00Z</t>
        </is>
      </c>
      <c r="D25" s="24" t="inlineStr">
        <is>
          <t>64505</t>
        </is>
      </c>
      <c r="E25" s="24" t="inlineStr">
        <is>
          <t>CS2</t>
        </is>
      </c>
      <c r="F25" s="24" t="inlineStr">
        <is>
          <t>OLDBOYS PL</t>
        </is>
      </c>
      <c r="G25" s="24" t="inlineStr">
        <is>
          <t>Fortress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0.661428</v>
      </c>
      <c r="P25" s="28" t="n"/>
      <c r="Q25" s="28" t="n">
        <v>0.011078</v>
      </c>
      <c r="R25" s="26" t="n">
        <v>26</v>
      </c>
      <c r="S25" s="29" t="n">
        <v>2</v>
      </c>
      <c r="T25" s="24" t="inlineStr">
        <is>
          <t>cs2-tiered-elo-v4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1.0753</v>
      </c>
      <c r="AD25" s="24" t="inlineStr">
        <is>
          <t>2026-07-28T20:31:28.882693Z</t>
        </is>
      </c>
      <c r="AE25" s="31" t="inlineStr">
        <is>
          <t>Neutral Elo baseline; executable ask 0.6500 (market_slug=aec-cs2-for-oldboyspl-2026-07-28).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OLDBOYS PL</t>
        </is>
      </c>
      <c r="AQ25" s="24" t="inlineStr">
        <is>
          <t>OLDBOYS PL</t>
        </is>
      </c>
      <c r="AR25" s="24" t="inlineStr">
        <is>
          <t>OLDBOYS PL</t>
        </is>
      </c>
      <c r="AS25" s="24" t="inlineStr">
        <is>
          <t>Fortress</t>
        </is>
      </c>
      <c r="AT25" s="24" t="inlineStr">
        <is>
          <t>Fortress</t>
        </is>
      </c>
      <c r="AU25" s="24" t="inlineStr">
        <is>
          <t>Fortress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3487735e39e50be1fefee9192d509704c974ecc258edfc57a88a384c3d181528</t>
        </is>
      </c>
      <c r="BB25" s="24" t="inlineStr">
        <is>
          <t>neutral_elo</t>
        </is>
      </c>
      <c r="BC25" s="24" t="inlineStr">
        <is>
          <t>cs2-tiered-elo-v4</t>
        </is>
      </c>
      <c r="BD25" s="24" t="inlineStr">
        <is>
          <t>3487735e39e50be1fefee9192d509704c974ecc258edfc57a88a384c3d181528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cs2-tiered-elo-v4</t>
        </is>
      </c>
      <c r="BH25" s="24" t="inlineStr">
        <is>
          <t>2026-07-28T17:30:04.306467Z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cb364912b7964036</t>
        </is>
      </c>
      <c r="B26" s="24" t="inlineStr">
        <is>
          <t>2026-07-28T17:30:13.340663Z</t>
        </is>
      </c>
      <c r="C26" s="24" t="inlineStr">
        <is>
          <t>2026-07-28T18:30:00Z</t>
        </is>
      </c>
      <c r="D26" s="24" t="inlineStr">
        <is>
          <t>64508</t>
        </is>
      </c>
      <c r="E26" s="24" t="inlineStr">
        <is>
          <t>CS2</t>
        </is>
      </c>
      <c r="F26" s="24" t="inlineStr">
        <is>
          <t>EvolupeGG</t>
        </is>
      </c>
      <c r="G26" s="24" t="inlineStr">
        <is>
          <t>TEAM_COPH9K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186</v>
      </c>
      <c r="M26" s="27" t="n">
        <v>2.86</v>
      </c>
      <c r="N26" s="28" t="n">
        <v>0.34965</v>
      </c>
      <c r="O26" s="28" t="n">
        <v>0.516993</v>
      </c>
      <c r="P26" s="28" t="n"/>
      <c r="Q26" s="28" t="n">
        <v>0.167343</v>
      </c>
      <c r="R26" s="26" t="n">
        <v>100</v>
      </c>
      <c r="S26" s="29" t="n">
        <v>0.75</v>
      </c>
      <c r="T26" s="24" t="inlineStr">
        <is>
          <t>cs2-tiered-elo-v4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1.395</v>
      </c>
      <c r="AD26" s="24" t="inlineStr">
        <is>
          <t>2026-07-28T20:31:30.121551Z</t>
        </is>
      </c>
      <c r="AE26" s="31" t="inlineStr">
        <is>
          <t>Neutral Elo baseline; executable ask 0.3500 (market_slug=aec-cs2-tck-evo-2026-07-28).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EvolupeGG</t>
        </is>
      </c>
      <c r="AQ26" s="24" t="inlineStr">
        <is>
          <t>EvolupeGG</t>
        </is>
      </c>
      <c r="AR26" s="24" t="inlineStr">
        <is>
          <t>EvolupeGG</t>
        </is>
      </c>
      <c r="AS26" s="24" t="inlineStr">
        <is>
          <t>TEAM_COPH9K</t>
        </is>
      </c>
      <c r="AT26" s="24" t="inlineStr">
        <is>
          <t>TEAM_COPH9K</t>
        </is>
      </c>
      <c r="AU26" s="24" t="inlineStr">
        <is>
          <t>TEAM_COPH9K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3487735e39e50be1fefee9192d509704c974ecc258edfc57a88a384c3d181528</t>
        </is>
      </c>
      <c r="BB26" s="24" t="inlineStr">
        <is>
          <t>neutral_elo</t>
        </is>
      </c>
      <c r="BC26" s="24" t="inlineStr">
        <is>
          <t>cs2-tiered-elo-v4</t>
        </is>
      </c>
      <c r="BD26" s="24" t="inlineStr">
        <is>
          <t>3487735e39e50be1fefee9192d509704c974ecc258edfc57a88a384c3d181528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cs2-tiered-elo-v4</t>
        </is>
      </c>
      <c r="BH26" s="24" t="inlineStr">
        <is>
          <t>2026-07-28T17:30:05.845373Z</t>
        </is>
      </c>
      <c r="BI26" s="24" t="inlineStr">
        <is>
          <t>["same_event","same_team_same_day","same_league_same_day"]</t>
        </is>
      </c>
      <c r="BJ26" s="25" t="n"/>
      <c r="BK26" s="26" t="n">
        <v>186</v>
      </c>
      <c r="BL26" s="27" t="n">
        <v>2.86</v>
      </c>
      <c r="BM26" s="28" t="n">
        <v>0.34965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685fe365d2dc43f3</t>
        </is>
      </c>
      <c r="B27" s="24" t="inlineStr">
        <is>
          <t>2026-07-29T05:51:03.041855Z</t>
        </is>
      </c>
      <c r="C27" s="24" t="inlineStr">
        <is>
          <t>2026-07-29T08:00:00Z</t>
        </is>
      </c>
      <c r="D27" s="24" t="inlineStr">
        <is>
          <t>65548</t>
        </is>
      </c>
      <c r="E27" s="24" t="inlineStr">
        <is>
          <t>CS2</t>
        </is>
      </c>
      <c r="F27" s="24" t="inlineStr">
        <is>
          <t>ex-MANA eSports</t>
        </is>
      </c>
      <c r="G27" s="24" t="inlineStr">
        <is>
          <t>los kogutos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133</v>
      </c>
      <c r="M27" s="27" t="n">
        <v>2.33</v>
      </c>
      <c r="N27" s="28" t="n">
        <v>0.429185</v>
      </c>
      <c r="O27" s="28" t="n">
        <v>0.5099089999999999</v>
      </c>
      <c r="P27" s="28" t="n"/>
      <c r="Q27" s="28" t="n">
        <v>0.080724</v>
      </c>
      <c r="R27" s="26" t="n">
        <v>60</v>
      </c>
      <c r="S27" s="29" t="n">
        <v>0.5</v>
      </c>
      <c r="T27" s="24" t="inlineStr">
        <is>
          <t>cs2-tiered-elo-v4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-0.5</v>
      </c>
      <c r="AD27" s="24" t="inlineStr">
        <is>
          <t>2026-07-29T11:58:23.359108Z</t>
        </is>
      </c>
      <c r="AE27" s="31" t="inlineStr">
        <is>
          <t>Neutral Elo baseline; executable ask 0.4300 (market_slug=aec-cs2-lk-exmana-2026-07-29).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ex-MANA eSports</t>
        </is>
      </c>
      <c r="AQ27" s="24" t="inlineStr">
        <is>
          <t>ex-MANA eSports</t>
        </is>
      </c>
      <c r="AR27" s="24" t="inlineStr">
        <is>
          <t>ex-MANA eSports</t>
        </is>
      </c>
      <c r="AS27" s="24" t="inlineStr">
        <is>
          <t>los kogutos</t>
        </is>
      </c>
      <c r="AT27" s="24" t="inlineStr">
        <is>
          <t>los kogutos</t>
        </is>
      </c>
      <c r="AU27" s="24" t="inlineStr">
        <is>
          <t>los kogutos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331ba95b99ee947a0e898747a2a477ca985dde406e5b809d8068d215db7072a3</t>
        </is>
      </c>
      <c r="BB27" s="24" t="inlineStr">
        <is>
          <t>neutral_elo</t>
        </is>
      </c>
      <c r="BC27" s="24" t="inlineStr">
        <is>
          <t>cs2-tiered-elo-v4</t>
        </is>
      </c>
      <c r="BD27" s="24" t="inlineStr">
        <is>
          <t>331ba95b99ee947a0e898747a2a477ca985dde406e5b809d8068d215db7072a3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cs2-tiered-elo-v4</t>
        </is>
      </c>
      <c r="BH27" s="24" t="inlineStr">
        <is>
          <t>2026-07-29T05:50:41.959611Z</t>
        </is>
      </c>
      <c r="BI27" s="24" t="inlineStr">
        <is>
          <t>["same_event","same_team_same_day","same_league_same_day"]</t>
        </is>
      </c>
      <c r="BJ27" s="25" t="n"/>
      <c r="BK27" s="26" t="n">
        <v>133</v>
      </c>
      <c r="BL27" s="27" t="n">
        <v>2.33</v>
      </c>
      <c r="BM27" s="28" t="n">
        <v>0.429185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9b1ad2d65d37451f</t>
        </is>
      </c>
      <c r="B28" s="24" t="inlineStr">
        <is>
          <t>2026-07-29T08:57:24.727857Z</t>
        </is>
      </c>
      <c r="C28" s="24" t="inlineStr">
        <is>
          <t>2026-07-29T11:00:00Z</t>
        </is>
      </c>
      <c r="D28" s="24" t="inlineStr">
        <is>
          <t>65518</t>
        </is>
      </c>
      <c r="E28" s="24" t="inlineStr">
        <is>
          <t>CS2</t>
        </is>
      </c>
      <c r="F28" s="24" t="inlineStr">
        <is>
          <t>Entropy</t>
        </is>
      </c>
      <c r="G28" s="24" t="inlineStr">
        <is>
          <t>Black Phoenix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144</v>
      </c>
      <c r="M28" s="27" t="n">
        <v>2.44</v>
      </c>
      <c r="N28" s="28" t="n">
        <v>0.409836</v>
      </c>
      <c r="O28" s="28" t="n">
        <v>0.637917</v>
      </c>
      <c r="P28" s="28" t="n"/>
      <c r="Q28" s="28" t="n">
        <v>0.228081</v>
      </c>
      <c r="R28" s="26" t="n">
        <v>100</v>
      </c>
      <c r="S28" s="29" t="n">
        <v>2</v>
      </c>
      <c r="T28" s="24" t="inlineStr">
        <is>
          <t>cs2-tiered-elo-v4</t>
        </is>
      </c>
      <c r="U28" s="24" t="inlineStr">
        <is>
          <t>settled</t>
        </is>
      </c>
      <c r="V28" s="24" t="inlineStr">
        <is>
          <t>loss</t>
        </is>
      </c>
      <c r="W28" s="26" t="n">
        <v>0</v>
      </c>
      <c r="X28" s="26" t="n">
        <v>1</v>
      </c>
      <c r="Y28" s="25" t="n"/>
      <c r="Z28" s="26" t="n"/>
      <c r="AA28" s="28" t="n"/>
      <c r="AB28" s="28" t="n"/>
      <c r="AC28" s="30" t="n">
        <v>-2</v>
      </c>
      <c r="AD28" s="24" t="inlineStr">
        <is>
          <t>2026-07-29T15:04:59.491975Z</t>
        </is>
      </c>
      <c r="AE28" s="31" t="inlineStr">
        <is>
          <t>Neutral Elo baseline; executable ask 0.4100 (market_slug=aec-cs2-bpl-ent-2026-07-29).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Entropy</t>
        </is>
      </c>
      <c r="AQ28" s="24" t="inlineStr">
        <is>
          <t>Entropy</t>
        </is>
      </c>
      <c r="AR28" s="24" t="inlineStr">
        <is>
          <t>Entropy</t>
        </is>
      </c>
      <c r="AS28" s="24" t="inlineStr">
        <is>
          <t>Black Phoenix</t>
        </is>
      </c>
      <c r="AT28" s="24" t="inlineStr">
        <is>
          <t>Black Phoenix</t>
        </is>
      </c>
      <c r="AU28" s="24" t="inlineStr">
        <is>
          <t>Black Phoenix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df6cf01ee246d66d6b106c2e0aff3fe9d9a841a07a91748c32850d7d5ddd6b60</t>
        </is>
      </c>
      <c r="BB28" s="24" t="inlineStr">
        <is>
          <t>neutral_elo</t>
        </is>
      </c>
      <c r="BC28" s="24" t="inlineStr">
        <is>
          <t>cs2-tiered-elo-v4</t>
        </is>
      </c>
      <c r="BD28" s="24" t="inlineStr">
        <is>
          <t>df6cf01ee246d66d6b106c2e0aff3fe9d9a841a07a91748c32850d7d5ddd6b60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cs2-tiered-elo-v4</t>
        </is>
      </c>
      <c r="BH28" s="24" t="inlineStr">
        <is>
          <t>2026-07-29T08:57:04.789386Z</t>
        </is>
      </c>
      <c r="BI28" s="24" t="inlineStr">
        <is>
          <t>["same_event","same_team_same_day","same_league_same_day"]</t>
        </is>
      </c>
      <c r="BJ28" s="25" t="n"/>
      <c r="BK28" s="26" t="n">
        <v>144</v>
      </c>
      <c r="BL28" s="27" t="n">
        <v>2.44</v>
      </c>
      <c r="BM28" s="28" t="n">
        <v>0.409836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8715975705754b06</t>
        </is>
      </c>
      <c r="B29" s="24" t="inlineStr">
        <is>
          <t>2026-07-29T08:57:24.727857Z</t>
        </is>
      </c>
      <c r="C29" s="24" t="inlineStr">
        <is>
          <t>2026-07-29T11:00:00Z</t>
        </is>
      </c>
      <c r="D29" s="24" t="inlineStr">
        <is>
          <t>65549</t>
        </is>
      </c>
      <c r="E29" s="24" t="inlineStr">
        <is>
          <t>CS2</t>
        </is>
      </c>
      <c r="F29" s="24" t="inlineStr">
        <is>
          <t>ENJOY</t>
        </is>
      </c>
      <c r="G29" s="24" t="inlineStr">
        <is>
          <t>Atreides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163</v>
      </c>
      <c r="M29" s="27" t="n">
        <v>2.63</v>
      </c>
      <c r="N29" s="28" t="n">
        <v>0.380228</v>
      </c>
      <c r="O29" s="28" t="n">
        <v>0.550969</v>
      </c>
      <c r="P29" s="28" t="n"/>
      <c r="Q29" s="28" t="n">
        <v>0.170741</v>
      </c>
      <c r="R29" s="26" t="n">
        <v>100</v>
      </c>
      <c r="S29" s="29" t="n">
        <v>1</v>
      </c>
      <c r="T29" s="24" t="inlineStr">
        <is>
          <t>cs2-tiered-elo-v4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2026-07-29T17:34:40.206589Z</t>
        </is>
      </c>
      <c r="AE29" s="31" t="inlineStr">
        <is>
          <t>Neutral Elo baseline; executable ask 0.3800 (market_slug=aec-cs2-atr-enjoy-2026-07-29).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ENJOY</t>
        </is>
      </c>
      <c r="AQ29" s="24" t="inlineStr">
        <is>
          <t>ENJOY</t>
        </is>
      </c>
      <c r="AR29" s="24" t="inlineStr">
        <is>
          <t>ENJOY</t>
        </is>
      </c>
      <c r="AS29" s="24" t="inlineStr">
        <is>
          <t>Atreides</t>
        </is>
      </c>
      <c r="AT29" s="24" t="inlineStr">
        <is>
          <t>Atreides</t>
        </is>
      </c>
      <c r="AU29" s="24" t="inlineStr">
        <is>
          <t>Atreides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df6cf01ee246d66d6b106c2e0aff3fe9d9a841a07a91748c32850d7d5ddd6b60</t>
        </is>
      </c>
      <c r="BB29" s="24" t="inlineStr">
        <is>
          <t>neutral_elo</t>
        </is>
      </c>
      <c r="BC29" s="24" t="inlineStr">
        <is>
          <t>cs2-tiered-elo-v4</t>
        </is>
      </c>
      <c r="BD29" s="24" t="inlineStr">
        <is>
          <t>df6cf01ee246d66d6b106c2e0aff3fe9d9a841a07a91748c32850d7d5ddd6b60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cs2-tiered-elo-v4</t>
        </is>
      </c>
      <c r="BH29" s="24" t="inlineStr">
        <is>
          <t>2026-07-29T08:57:05.243963Z</t>
        </is>
      </c>
      <c r="BI29" s="24" t="inlineStr">
        <is>
          <t>["same_event","same_team_same_day","same_league_same_day"]</t>
        </is>
      </c>
      <c r="BJ29" s="25" t="n"/>
      <c r="BK29" s="26" t="n">
        <v>163</v>
      </c>
      <c r="BL29" s="27" t="n">
        <v>2.63</v>
      </c>
      <c r="BM29" s="28" t="n">
        <v>0.380228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34d2087b8e024cd8</t>
        </is>
      </c>
      <c r="B30" s="24" t="inlineStr">
        <is>
          <t>2026-07-29T08:57:24.727857Z</t>
        </is>
      </c>
      <c r="C30" s="24" t="inlineStr">
        <is>
          <t>2026-07-29T11:00:00Z</t>
        </is>
      </c>
      <c r="D30" s="24" t="inlineStr">
        <is>
          <t>63014</t>
        </is>
      </c>
      <c r="E30" s="24" t="inlineStr">
        <is>
          <t>CS2</t>
        </is>
      </c>
      <c r="F30" s="24" t="inlineStr">
        <is>
          <t>los kogutos</t>
        </is>
      </c>
      <c r="G30" s="24" t="inlineStr">
        <is>
          <t>ex-MANA eSports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212</v>
      </c>
      <c r="M30" s="27" t="n">
        <v>3.12</v>
      </c>
      <c r="N30" s="28" t="n">
        <v>0.320513</v>
      </c>
      <c r="O30" s="28" t="n">
        <v>0.572318</v>
      </c>
      <c r="P30" s="28" t="n"/>
      <c r="Q30" s="28" t="n">
        <v>0.251805</v>
      </c>
      <c r="R30" s="26" t="n">
        <v>100</v>
      </c>
      <c r="S30" s="29" t="n">
        <v>1.25</v>
      </c>
      <c r="T30" s="24" t="inlineStr">
        <is>
          <t>cs2-tiered-elo-v4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2026-07-29T15:05:01.829173Z</t>
        </is>
      </c>
      <c r="AE30" s="31" t="inlineStr">
        <is>
          <t>Neutral Elo baseline; executable ask 0.3200 (market_slug=aec-cs2-exmana-lk-2026-07-29).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los kogutos</t>
        </is>
      </c>
      <c r="AQ30" s="24" t="inlineStr">
        <is>
          <t>los kogutos</t>
        </is>
      </c>
      <c r="AR30" s="24" t="inlineStr">
        <is>
          <t>los kogutos</t>
        </is>
      </c>
      <c r="AS30" s="24" t="inlineStr">
        <is>
          <t>ex-MANA eSports</t>
        </is>
      </c>
      <c r="AT30" s="24" t="inlineStr">
        <is>
          <t>ex-MANA eSports</t>
        </is>
      </c>
      <c r="AU30" s="24" t="inlineStr">
        <is>
          <t>ex-MANA eSports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df6cf01ee246d66d6b106c2e0aff3fe9d9a841a07a91748c32850d7d5ddd6b60</t>
        </is>
      </c>
      <c r="BB30" s="24" t="inlineStr">
        <is>
          <t>neutral_elo</t>
        </is>
      </c>
      <c r="BC30" s="24" t="inlineStr">
        <is>
          <t>cs2-tiered-elo-v4</t>
        </is>
      </c>
      <c r="BD30" s="24" t="inlineStr">
        <is>
          <t>df6cf01ee246d66d6b106c2e0aff3fe9d9a841a07a91748c32850d7d5ddd6b60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cs2-tiered-elo-v4</t>
        </is>
      </c>
      <c r="BH30" s="24" t="inlineStr">
        <is>
          <t>2026-07-29T08:57:05.792515Z</t>
        </is>
      </c>
      <c r="BI30" s="24" t="inlineStr">
        <is>
          <t>["same_event","same_team_same_day","same_league_same_day"]</t>
        </is>
      </c>
      <c r="BJ30" s="25" t="n"/>
      <c r="BK30" s="26" t="n">
        <v>212</v>
      </c>
      <c r="BL30" s="27" t="n">
        <v>3.12</v>
      </c>
      <c r="BM30" s="28" t="n">
        <v>0.320513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0d180ce010d84764</t>
        </is>
      </c>
      <c r="B31" s="24" t="inlineStr">
        <is>
          <t>2026-07-29T12:03:57.676631Z</t>
        </is>
      </c>
      <c r="C31" s="24" t="inlineStr">
        <is>
          <t>2026-07-29T14:00:00Z</t>
        </is>
      </c>
      <c r="D31" s="24" t="inlineStr">
        <is>
          <t>65405</t>
        </is>
      </c>
      <c r="E31" s="24" t="inlineStr">
        <is>
          <t>CS2</t>
        </is>
      </c>
      <c r="F31" s="24" t="inlineStr">
        <is>
          <t>GenOne</t>
        </is>
      </c>
      <c r="G31" s="24" t="inlineStr">
        <is>
          <t>ex-RUBY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-133</v>
      </c>
      <c r="M31" s="27" t="n">
        <v>1.75188</v>
      </c>
      <c r="N31" s="28" t="n">
        <v>0.570815</v>
      </c>
      <c r="O31" s="28" t="n">
        <v>0.699974</v>
      </c>
      <c r="P31" s="28" t="n"/>
      <c r="Q31" s="28" t="n">
        <v>0.129159</v>
      </c>
      <c r="R31" s="26" t="n">
        <v>85</v>
      </c>
      <c r="S31" s="29" t="n">
        <v>2</v>
      </c>
      <c r="T31" s="24" t="inlineStr">
        <is>
          <t>cs2-tiered-elo-v4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-2</v>
      </c>
      <c r="AD31" s="24" t="inlineStr">
        <is>
          <t>2026-07-29T17:34:41.346156Z</t>
        </is>
      </c>
      <c r="AE31" s="31" t="inlineStr">
        <is>
          <t>Neutral Elo baseline; executable ask 0.5700 (market_slug=aec-cs2-exruby-g1-2026-07-29).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GenOne</t>
        </is>
      </c>
      <c r="AQ31" s="24" t="inlineStr">
        <is>
          <t>GenOne</t>
        </is>
      </c>
      <c r="AR31" s="24" t="inlineStr">
        <is>
          <t>GenOne</t>
        </is>
      </c>
      <c r="AS31" s="24" t="inlineStr">
        <is>
          <t>ex-RUBY</t>
        </is>
      </c>
      <c r="AT31" s="24" t="inlineStr">
        <is>
          <t>ex-RUBY</t>
        </is>
      </c>
      <c r="AU31" s="24" t="inlineStr">
        <is>
          <t>ex-RUBY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2b0a5d82e2d88c2aecde06ec7d764f6cc92f55465bb2554ae26137088d6d7d2d</t>
        </is>
      </c>
      <c r="BB31" s="24" t="inlineStr">
        <is>
          <t>neutral_elo</t>
        </is>
      </c>
      <c r="BC31" s="24" t="inlineStr">
        <is>
          <t>cs2-tiered-elo-v4</t>
        </is>
      </c>
      <c r="BD31" s="24" t="inlineStr">
        <is>
          <t>2b0a5d82e2d88c2aecde06ec7d764f6cc92f55465bb2554ae26137088d6d7d2d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cs2-tiered-elo-v4</t>
        </is>
      </c>
      <c r="BH31" s="24" t="inlineStr">
        <is>
          <t>2026-07-29T12:03:39.629945Z</t>
        </is>
      </c>
      <c r="BI31" s="24" t="inlineStr">
        <is>
          <t>["same_event","same_team_same_day","same_league_same_day"]</t>
        </is>
      </c>
      <c r="BJ31" s="25" t="n"/>
      <c r="BK31" s="26" t="n">
        <v>-133</v>
      </c>
      <c r="BL31" s="27" t="n">
        <v>1.75188</v>
      </c>
      <c r="BM31" s="28" t="n">
        <v>0.570815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24a0f03e11414540</t>
        </is>
      </c>
      <c r="B32" s="24" t="inlineStr">
        <is>
          <t>2026-07-29T12:03:57.676631Z</t>
        </is>
      </c>
      <c r="C32" s="24" t="inlineStr">
        <is>
          <t>2026-07-29T14:00:00Z</t>
        </is>
      </c>
      <c r="D32" s="24" t="inlineStr">
        <is>
          <t>65507</t>
        </is>
      </c>
      <c r="E32" s="24" t="inlineStr">
        <is>
          <t>CS2</t>
        </is>
      </c>
      <c r="F32" s="24" t="inlineStr">
        <is>
          <t>Rune Eaters</t>
        </is>
      </c>
      <c r="G32" s="24" t="inlineStr">
        <is>
          <t>Atreides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100</v>
      </c>
      <c r="M32" s="27" t="n">
        <v>2</v>
      </c>
      <c r="N32" s="28" t="n">
        <v>0.5</v>
      </c>
      <c r="O32" s="28" t="n">
        <v>0.530154</v>
      </c>
      <c r="P32" s="28" t="n"/>
      <c r="Q32" s="28" t="n">
        <v>0.030154</v>
      </c>
      <c r="R32" s="26" t="n">
        <v>35</v>
      </c>
      <c r="S32" s="29" t="n">
        <v>0.75</v>
      </c>
      <c r="T32" s="24" t="inlineStr">
        <is>
          <t>cs2-tiered-elo-v4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0.75</v>
      </c>
      <c r="AD32" s="24" t="inlineStr">
        <is>
          <t>2026-07-29T17:34:42.635892Z</t>
        </is>
      </c>
      <c r="AE32" s="31" t="inlineStr">
        <is>
          <t>Neutral Elo baseline; executable ask 0.5000 (market_slug=aec-cs2-atr-re-2026-07-29).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Rune Eaters</t>
        </is>
      </c>
      <c r="AQ32" s="24" t="inlineStr">
        <is>
          <t>Rune Eaters</t>
        </is>
      </c>
      <c r="AR32" s="24" t="inlineStr">
        <is>
          <t>Rune Eaters</t>
        </is>
      </c>
      <c r="AS32" s="24" t="inlineStr">
        <is>
          <t>Atreides</t>
        </is>
      </c>
      <c r="AT32" s="24" t="inlineStr">
        <is>
          <t>Atreides</t>
        </is>
      </c>
      <c r="AU32" s="24" t="inlineStr">
        <is>
          <t>Atreides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2b0a5d82e2d88c2aecde06ec7d764f6cc92f55465bb2554ae26137088d6d7d2d</t>
        </is>
      </c>
      <c r="BB32" s="24" t="inlineStr">
        <is>
          <t>neutral_elo</t>
        </is>
      </c>
      <c r="BC32" s="24" t="inlineStr">
        <is>
          <t>cs2-tiered-elo-v4</t>
        </is>
      </c>
      <c r="BD32" s="24" t="inlineStr">
        <is>
          <t>2b0a5d82e2d88c2aecde06ec7d764f6cc92f55465bb2554ae26137088d6d7d2d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cs2-tiered-elo-v4</t>
        </is>
      </c>
      <c r="BH32" s="24" t="inlineStr">
        <is>
          <t>2026-07-29T12:03:40.083405Z</t>
        </is>
      </c>
      <c r="BI32" s="24" t="inlineStr">
        <is>
          <t>["same_event","same_team_same_day","same_league_same_day"]</t>
        </is>
      </c>
      <c r="BJ32" s="25" t="n"/>
      <c r="BK32" s="26" t="n">
        <v>100</v>
      </c>
      <c r="BL32" s="27" t="n">
        <v>2</v>
      </c>
      <c r="BM32" s="28" t="n">
        <v>0.5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048fcdfae4ea4117</t>
        </is>
      </c>
      <c r="B33" s="24" t="inlineStr">
        <is>
          <t>2026-07-29T12:03:57.676631Z</t>
        </is>
      </c>
      <c r="C33" s="24" t="inlineStr">
        <is>
          <t>2026-07-29T14:00:00Z</t>
        </is>
      </c>
      <c r="D33" s="24" t="inlineStr">
        <is>
          <t>65550</t>
        </is>
      </c>
      <c r="E33" s="24" t="inlineStr">
        <is>
          <t>CS2</t>
        </is>
      </c>
      <c r="F33" s="24" t="inlineStr">
        <is>
          <t>ex-Young Ninjas</t>
        </is>
      </c>
      <c r="G33" s="24" t="inlineStr">
        <is>
          <t>ex-RUSTEC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-194</v>
      </c>
      <c r="M33" s="27" t="n">
        <v>1.515464</v>
      </c>
      <c r="N33" s="28" t="n">
        <v>0.659864</v>
      </c>
      <c r="O33" s="28" t="n">
        <v>0.736619</v>
      </c>
      <c r="P33" s="28" t="n"/>
      <c r="Q33" s="28" t="n">
        <v>0.076755</v>
      </c>
      <c r="R33" s="26" t="n">
        <v>58</v>
      </c>
      <c r="S33" s="29" t="n">
        <v>2</v>
      </c>
      <c r="T33" s="24" t="inlineStr">
        <is>
          <t>cs2-tiered-elo-v4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-2</v>
      </c>
      <c r="AD33" s="24" t="inlineStr">
        <is>
          <t>2026-07-29T17:34:44.068143Z</t>
        </is>
      </c>
      <c r="AE33" s="31" t="inlineStr">
        <is>
          <t>Neutral Elo baseline; executable ask 0.6600 (market_slug=aec-cs2-erx-eyn-2026-07-29).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ex-Young Ninjas</t>
        </is>
      </c>
      <c r="AQ33" s="24" t="inlineStr">
        <is>
          <t>ex-Young Ninjas</t>
        </is>
      </c>
      <c r="AR33" s="24" t="inlineStr">
        <is>
          <t>ex-Young Ninjas</t>
        </is>
      </c>
      <c r="AS33" s="24" t="inlineStr">
        <is>
          <t>ex-RUSTEC</t>
        </is>
      </c>
      <c r="AT33" s="24" t="inlineStr">
        <is>
          <t>ex-RUSTEC</t>
        </is>
      </c>
      <c r="AU33" s="24" t="inlineStr">
        <is>
          <t>ex-RUSTEC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2b0a5d82e2d88c2aecde06ec7d764f6cc92f55465bb2554ae26137088d6d7d2d</t>
        </is>
      </c>
      <c r="BB33" s="24" t="inlineStr">
        <is>
          <t>neutral_elo</t>
        </is>
      </c>
      <c r="BC33" s="24" t="inlineStr">
        <is>
          <t>cs2-tiered-elo-v4</t>
        </is>
      </c>
      <c r="BD33" s="24" t="inlineStr">
        <is>
          <t>2b0a5d82e2d88c2aecde06ec7d764f6cc92f55465bb2554ae26137088d6d7d2d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cs2-tiered-elo-v4</t>
        </is>
      </c>
      <c r="BH33" s="24" t="inlineStr">
        <is>
          <t>2026-07-29T12:03:41.096546Z</t>
        </is>
      </c>
      <c r="BI33" s="24" t="inlineStr">
        <is>
          <t>["same_event","same_team_same_day","same_league_same_day"]</t>
        </is>
      </c>
      <c r="BJ33" s="25" t="n"/>
      <c r="BK33" s="26" t="n">
        <v>-194</v>
      </c>
      <c r="BL33" s="27" t="n">
        <v>1.515464</v>
      </c>
      <c r="BM33" s="28" t="n">
        <v>0.659864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3bf413f538a84cac</t>
        </is>
      </c>
      <c r="B34" s="24" t="inlineStr">
        <is>
          <t>2026-07-29T12:03:57.676631Z</t>
        </is>
      </c>
      <c r="C34" s="24" t="inlineStr">
        <is>
          <t>2026-07-29T15:00:00Z</t>
        </is>
      </c>
      <c r="D34" s="24" t="inlineStr">
        <is>
          <t>65774</t>
        </is>
      </c>
      <c r="E34" s="24" t="inlineStr">
        <is>
          <t>CS2</t>
        </is>
      </c>
      <c r="F34" s="24" t="inlineStr">
        <is>
          <t>TDK</t>
        </is>
      </c>
      <c r="G34" s="24" t="inlineStr">
        <is>
          <t>Nemiga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-127</v>
      </c>
      <c r="M34" s="27" t="n">
        <v>1.787402</v>
      </c>
      <c r="N34" s="28" t="n">
        <v>0.5594710000000001</v>
      </c>
      <c r="O34" s="28" t="n">
        <v>0.7117869999999999</v>
      </c>
      <c r="P34" s="28" t="n"/>
      <c r="Q34" s="28" t="n">
        <v>0.152316</v>
      </c>
      <c r="R34" s="26" t="n">
        <v>96</v>
      </c>
      <c r="S34" s="29" t="n">
        <v>2</v>
      </c>
      <c r="T34" s="24" t="inlineStr">
        <is>
          <t>cs2-tiered-elo-v4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1.5748</v>
      </c>
      <c r="AD34" s="24" t="inlineStr">
        <is>
          <t>2026-07-29T17:49:00.519999Z</t>
        </is>
      </c>
      <c r="AE34" s="31" t="inlineStr">
        <is>
          <t>Neutral Elo baseline; executable ask 0.5600 (market_slug=aec-cs2-nemi-tdk-2026-07-29).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TDK</t>
        </is>
      </c>
      <c r="AQ34" s="24" t="inlineStr">
        <is>
          <t>TDK</t>
        </is>
      </c>
      <c r="AR34" s="24" t="inlineStr">
        <is>
          <t>TDK</t>
        </is>
      </c>
      <c r="AS34" s="24" t="inlineStr">
        <is>
          <t>Nemiga</t>
        </is>
      </c>
      <c r="AT34" s="24" t="inlineStr">
        <is>
          <t>Nemiga</t>
        </is>
      </c>
      <c r="AU34" s="24" t="inlineStr">
        <is>
          <t>Nemiga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2b0a5d82e2d88c2aecde06ec7d764f6cc92f55465bb2554ae26137088d6d7d2d</t>
        </is>
      </c>
      <c r="BB34" s="24" t="inlineStr">
        <is>
          <t>neutral_elo</t>
        </is>
      </c>
      <c r="BC34" s="24" t="inlineStr">
        <is>
          <t>cs2-tiered-elo-v4</t>
        </is>
      </c>
      <c r="BD34" s="24" t="inlineStr">
        <is>
          <t>2b0a5d82e2d88c2aecde06ec7d764f6cc92f55465bb2554ae26137088d6d7d2d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cs2-tiered-elo-v4</t>
        </is>
      </c>
      <c r="BH34" s="24" t="inlineStr">
        <is>
          <t>2026-07-29T12:03:41.545071Z</t>
        </is>
      </c>
      <c r="BI34" s="24" t="inlineStr">
        <is>
          <t>["same_event","same_team_same_day","same_league_same_day"]</t>
        </is>
      </c>
      <c r="BJ34" s="25" t="n"/>
      <c r="BK34" s="26" t="n">
        <v>-127</v>
      </c>
      <c r="BL34" s="27" t="n">
        <v>1.787402</v>
      </c>
      <c r="BM34" s="28" t="n">
        <v>0.5594710000000001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fde3e4adf23b402f</t>
        </is>
      </c>
      <c r="B35" s="24" t="inlineStr">
        <is>
          <t>2026-07-29T15:09:39.463983Z</t>
        </is>
      </c>
      <c r="C35" s="24" t="inlineStr">
        <is>
          <t>2026-07-29T15:30:00Z</t>
        </is>
      </c>
      <c r="D35" s="24" t="inlineStr">
        <is>
          <t>65756</t>
        </is>
      </c>
      <c r="E35" s="24" t="inlineStr">
        <is>
          <t>CS2</t>
        </is>
      </c>
      <c r="F35" s="24" t="inlineStr">
        <is>
          <t>sleepers</t>
        </is>
      </c>
      <c r="G35" s="24" t="inlineStr">
        <is>
          <t>163ON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0.614162</v>
      </c>
      <c r="P35" s="28" t="n"/>
      <c r="Q35" s="28" t="n">
        <v>0.144678</v>
      </c>
      <c r="R35" s="26" t="n">
        <v>92</v>
      </c>
      <c r="S35" s="29" t="n">
        <v>1.75</v>
      </c>
      <c r="T35" s="24" t="inlineStr">
        <is>
          <t>cs2-tiered-elo-v4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2026-07-30T04:13:00.862281Z</t>
        </is>
      </c>
      <c r="AE35" s="31" t="inlineStr">
        <is>
          <t>Neutral Elo baseline; executable ask 0.4700 (market_slug=aec-cs2-163on-sle-2026-07-29).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sleepers</t>
        </is>
      </c>
      <c r="AQ35" s="24" t="inlineStr">
        <is>
          <t>sleepers</t>
        </is>
      </c>
      <c r="AR35" s="24" t="inlineStr">
        <is>
          <t>sleepers</t>
        </is>
      </c>
      <c r="AS35" s="24" t="inlineStr">
        <is>
          <t>163ON</t>
        </is>
      </c>
      <c r="AT35" s="24" t="inlineStr">
        <is>
          <t>163ON</t>
        </is>
      </c>
      <c r="AU35" s="24" t="inlineStr">
        <is>
          <t>163ON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30dbbef0997e6baef6c7233c91dc9398124e2ae54a7d47479fa663dd1fc3b7a3</t>
        </is>
      </c>
      <c r="BB35" s="24" t="inlineStr">
        <is>
          <t>neutral_elo</t>
        </is>
      </c>
      <c r="BC35" s="24" t="inlineStr">
        <is>
          <t>cs2-tiered-elo-v4</t>
        </is>
      </c>
      <c r="BD35" s="24" t="inlineStr">
        <is>
          <t>30dbbef0997e6baef6c7233c91dc9398124e2ae54a7d47479fa663dd1fc3b7a3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cs2-tiered-elo-v4</t>
        </is>
      </c>
      <c r="BH35" s="24" t="inlineStr">
        <is>
          <t>2026-07-29T15:09:23.491424Z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28fb97dc10564072</t>
        </is>
      </c>
      <c r="B36" s="24" t="inlineStr">
        <is>
          <t>2026-07-29T15:09:39.463983Z</t>
        </is>
      </c>
      <c r="C36" s="24" t="inlineStr">
        <is>
          <t>2026-07-29T15:30:00Z</t>
        </is>
      </c>
      <c r="D36" s="24" t="inlineStr">
        <is>
          <t>65755</t>
        </is>
      </c>
      <c r="E36" s="24" t="inlineStr">
        <is>
          <t>CS2</t>
        </is>
      </c>
      <c r="F36" s="24" t="inlineStr">
        <is>
          <t>VP.Prodigy</t>
        </is>
      </c>
      <c r="G36" s="24" t="inlineStr">
        <is>
          <t>mellren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-170</v>
      </c>
      <c r="M36" s="27" t="n">
        <v>1.588235</v>
      </c>
      <c r="N36" s="28" t="n">
        <v>0.62963</v>
      </c>
      <c r="O36" s="28" t="n">
        <v>0.640306</v>
      </c>
      <c r="P36" s="28" t="n"/>
      <c r="Q36" s="28" t="n">
        <v>0.010676</v>
      </c>
      <c r="R36" s="26" t="n">
        <v>25</v>
      </c>
      <c r="S36" s="29" t="n">
        <v>2</v>
      </c>
      <c r="T36" s="24" t="inlineStr">
        <is>
          <t>cs2-tiered-elo-v4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2026-07-30T04:13:01.886697Z</t>
        </is>
      </c>
      <c r="AE36" s="31" t="inlineStr">
        <is>
          <t>Neutral Elo baseline; executable ask 0.6300 (market_slug=aec-cs2-mel-vpp-2026-07-29).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VP.Prodigy</t>
        </is>
      </c>
      <c r="AQ36" s="24" t="inlineStr">
        <is>
          <t>VP.Prodigy</t>
        </is>
      </c>
      <c r="AR36" s="24" t="inlineStr">
        <is>
          <t>VP.Prodigy</t>
        </is>
      </c>
      <c r="AS36" s="24" t="inlineStr">
        <is>
          <t>mellren</t>
        </is>
      </c>
      <c r="AT36" s="24" t="inlineStr">
        <is>
          <t>mellren</t>
        </is>
      </c>
      <c r="AU36" s="24" t="inlineStr">
        <is>
          <t>mellren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30dbbef0997e6baef6c7233c91dc9398124e2ae54a7d47479fa663dd1fc3b7a3</t>
        </is>
      </c>
      <c r="BB36" s="24" t="inlineStr">
        <is>
          <t>neutral_elo</t>
        </is>
      </c>
      <c r="BC36" s="24" t="inlineStr">
        <is>
          <t>cs2-tiered-elo-v4</t>
        </is>
      </c>
      <c r="BD36" s="24" t="inlineStr">
        <is>
          <t>30dbbef0997e6baef6c7233c91dc9398124e2ae54a7d47479fa663dd1fc3b7a3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cs2-tiered-elo-v4</t>
        </is>
      </c>
      <c r="BH36" s="24" t="inlineStr">
        <is>
          <t>2026-07-29T15:09:24.100803Z</t>
        </is>
      </c>
      <c r="BI36" s="24" t="inlineStr">
        <is>
          <t>["same_event","same_team_same_day","same_league_same_day"]</t>
        </is>
      </c>
      <c r="BJ36" s="25" t="n"/>
      <c r="BK36" s="26" t="n">
        <v>-170</v>
      </c>
      <c r="BL36" s="27" t="n">
        <v>1.588235</v>
      </c>
      <c r="BM36" s="28" t="n">
        <v>0.62963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2ddf65a6e2044a18</t>
        </is>
      </c>
      <c r="B37" s="24" t="inlineStr">
        <is>
          <t>2026-07-29T15:09:39.463983Z</t>
        </is>
      </c>
      <c r="C37" s="24" t="inlineStr">
        <is>
          <t>2026-07-29T17:00:00Z</t>
        </is>
      </c>
      <c r="D37" s="24" t="inlineStr">
        <is>
          <t>65520</t>
        </is>
      </c>
      <c r="E37" s="24" t="inlineStr">
        <is>
          <t>CS2</t>
        </is>
      </c>
      <c r="F37" s="24" t="inlineStr">
        <is>
          <t>G2 Ares</t>
        </is>
      </c>
      <c r="G37" s="24" t="inlineStr">
        <is>
          <t>Just Players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1.819672</v>
      </c>
      <c r="N37" s="28" t="n">
        <v>0.54955</v>
      </c>
      <c r="O37" s="28" t="n">
        <v>0.581156</v>
      </c>
      <c r="P37" s="28" t="n"/>
      <c r="Q37" s="28" t="n">
        <v>0.031606</v>
      </c>
      <c r="R37" s="26" t="n">
        <v>36</v>
      </c>
      <c r="S37" s="29" t="n">
        <v>1.25</v>
      </c>
      <c r="T37" s="24" t="inlineStr">
        <is>
          <t>cs2-tiered-elo-v4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1.0246</v>
      </c>
      <c r="AD37" s="24" t="inlineStr">
        <is>
          <t>2026-07-30T04:13:02.990499Z</t>
        </is>
      </c>
      <c r="AE37" s="31" t="inlineStr">
        <is>
          <t>Neutral Elo baseline; executable ask 0.5500 (market_slug=aec-cs2-jpu-g2a-2026-07-29).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G2 Ares</t>
        </is>
      </c>
      <c r="AQ37" s="24" t="inlineStr">
        <is>
          <t>G2 Ares</t>
        </is>
      </c>
      <c r="AR37" s="24" t="inlineStr">
        <is>
          <t>G2 Ares</t>
        </is>
      </c>
      <c r="AS37" s="24" t="inlineStr">
        <is>
          <t>Just Players</t>
        </is>
      </c>
      <c r="AT37" s="24" t="inlineStr">
        <is>
          <t>Just Players</t>
        </is>
      </c>
      <c r="AU37" s="24" t="inlineStr">
        <is>
          <t>Just Players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30dbbef0997e6baef6c7233c91dc9398124e2ae54a7d47479fa663dd1fc3b7a3</t>
        </is>
      </c>
      <c r="BB37" s="24" t="inlineStr">
        <is>
          <t>neutral_elo</t>
        </is>
      </c>
      <c r="BC37" s="24" t="inlineStr">
        <is>
          <t>cs2-tiered-elo-v4</t>
        </is>
      </c>
      <c r="BD37" s="24" t="inlineStr">
        <is>
          <t>30dbbef0997e6baef6c7233c91dc9398124e2ae54a7d47479fa663dd1fc3b7a3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cs2-tiered-elo-v4</t>
        </is>
      </c>
      <c r="BH37" s="24" t="inlineStr">
        <is>
          <t>2026-07-29T15:09:25.127070Z</t>
        </is>
      </c>
      <c r="BI37" s="24" t="inlineStr">
        <is>
          <t>["same_event","same_team_same_day","same_league_same_day"]</t>
        </is>
      </c>
      <c r="BJ37" s="25" t="n"/>
      <c r="BK37" s="26" t="n">
        <v>-122</v>
      </c>
      <c r="BL37" s="27" t="n">
        <v>1.819672</v>
      </c>
      <c r="BM37" s="28" t="n">
        <v>0.54955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6be8116b035447d4</t>
        </is>
      </c>
      <c r="B38" s="24" t="inlineStr">
        <is>
          <t>2026-07-29T15:09:39.463983Z</t>
        </is>
      </c>
      <c r="C38" s="24" t="inlineStr">
        <is>
          <t>2026-07-29T17:00:00Z</t>
        </is>
      </c>
      <c r="D38" s="24" t="inlineStr">
        <is>
          <t>65631</t>
        </is>
      </c>
      <c r="E38" s="24" t="inlineStr">
        <is>
          <t>CS2</t>
        </is>
      </c>
      <c r="F38" s="24" t="inlineStr">
        <is>
          <t>Spirit Academy Green</t>
        </is>
      </c>
      <c r="G38" s="24" t="inlineStr">
        <is>
          <t>B8 Academy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-133</v>
      </c>
      <c r="M38" s="27" t="n">
        <v>1.75188</v>
      </c>
      <c r="N38" s="28" t="n">
        <v>0.570815</v>
      </c>
      <c r="O38" s="28" t="n">
        <v>0.720664</v>
      </c>
      <c r="P38" s="28" t="n"/>
      <c r="Q38" s="28" t="n">
        <v>0.149849</v>
      </c>
      <c r="R38" s="26" t="n">
        <v>95</v>
      </c>
      <c r="S38" s="29" t="n">
        <v>2</v>
      </c>
      <c r="T38" s="24" t="inlineStr">
        <is>
          <t>cs2-tiered-elo-v4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1.5038</v>
      </c>
      <c r="AD38" s="24" t="inlineStr">
        <is>
          <t>2026-07-30T04:13:05.584920Z</t>
        </is>
      </c>
      <c r="AE38" s="31" t="inlineStr">
        <is>
          <t>Neutral Elo baseline; executable ask 0.5700 (market_slug=aec-cs2-b8a-sag-2026-07-29).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Spirit Academy Green</t>
        </is>
      </c>
      <c r="AQ38" s="24" t="inlineStr">
        <is>
          <t>Spirit Academy Green</t>
        </is>
      </c>
      <c r="AR38" s="24" t="inlineStr">
        <is>
          <t>Spirit Academy Green</t>
        </is>
      </c>
      <c r="AS38" s="24" t="inlineStr">
        <is>
          <t>B8 Academy</t>
        </is>
      </c>
      <c r="AT38" s="24" t="inlineStr">
        <is>
          <t>B8 Academy</t>
        </is>
      </c>
      <c r="AU38" s="24" t="inlineStr">
        <is>
          <t>B8 Academy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30dbbef0997e6baef6c7233c91dc9398124e2ae54a7d47479fa663dd1fc3b7a3</t>
        </is>
      </c>
      <c r="BB38" s="24" t="inlineStr">
        <is>
          <t>neutral_elo</t>
        </is>
      </c>
      <c r="BC38" s="24" t="inlineStr">
        <is>
          <t>cs2-tiered-elo-v4</t>
        </is>
      </c>
      <c r="BD38" s="24" t="inlineStr">
        <is>
          <t>30dbbef0997e6baef6c7233c91dc9398124e2ae54a7d47479fa663dd1fc3b7a3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cs2-tiered-elo-v4</t>
        </is>
      </c>
      <c r="BH38" s="24" t="inlineStr">
        <is>
          <t>2026-07-29T15:09:26.110914Z</t>
        </is>
      </c>
      <c r="BI38" s="24" t="inlineStr">
        <is>
          <t>["same_event","same_team_same_day","same_league_same_day"]</t>
        </is>
      </c>
      <c r="BJ38" s="25" t="n"/>
      <c r="BK38" s="26" t="n">
        <v>-133</v>
      </c>
      <c r="BL38" s="27" t="n">
        <v>1.75188</v>
      </c>
      <c r="BM38" s="28" t="n">
        <v>0.570815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e4edc90f832a4790</t>
        </is>
      </c>
      <c r="B39" s="24" t="inlineStr">
        <is>
          <t>2026-07-29T17:48:13.954531Z</t>
        </is>
      </c>
      <c r="C39" s="24" t="inlineStr">
        <is>
          <t>2026-07-29T21:00:00Z</t>
        </is>
      </c>
      <c r="D39" s="24" t="inlineStr">
        <is>
          <t>65553</t>
        </is>
      </c>
      <c r="E39" s="24" t="inlineStr">
        <is>
          <t>CS2</t>
        </is>
      </c>
      <c r="F39" s="24" t="inlineStr">
        <is>
          <t>Bounty Hunters Esports</t>
        </is>
      </c>
      <c r="G39" s="24" t="inlineStr">
        <is>
          <t>Fluxo W7M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-203</v>
      </c>
      <c r="M39" s="27" t="n">
        <v>1.492611</v>
      </c>
      <c r="N39" s="28" t="n">
        <v>0.669967</v>
      </c>
      <c r="O39" s="28" t="n">
        <v>0.686423</v>
      </c>
      <c r="P39" s="28" t="n"/>
      <c r="Q39" s="28" t="n">
        <v>0.016456</v>
      </c>
      <c r="R39" s="26" t="n">
        <v>28</v>
      </c>
      <c r="S39" s="29" t="n">
        <v>2</v>
      </c>
      <c r="T39" s="24" t="inlineStr">
        <is>
          <t>cs2-tiered-elo-v4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0.9852</v>
      </c>
      <c r="AD39" s="24" t="inlineStr">
        <is>
          <t>2026-07-30T04:13:06.664764Z</t>
        </is>
      </c>
      <c r="AE39" s="31" t="inlineStr">
        <is>
          <t>Neutral Elo baseline; executable ask 0.6700 (market_slug=aec-cs2-fxw7-bhe-2026-07-29).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Bounty Hunters Esports</t>
        </is>
      </c>
      <c r="AQ39" s="24" t="inlineStr">
        <is>
          <t>Bounty Hunters Esports</t>
        </is>
      </c>
      <c r="AR39" s="24" t="inlineStr">
        <is>
          <t>Bounty Hunters Esports</t>
        </is>
      </c>
      <c r="AS39" s="24" t="inlineStr">
        <is>
          <t>Fluxo W7M</t>
        </is>
      </c>
      <c r="AT39" s="24" t="inlineStr">
        <is>
          <t>Fluxo W7M</t>
        </is>
      </c>
      <c r="AU39" s="24" t="inlineStr">
        <is>
          <t>Fluxo W7M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141f1943d576a594edb9557f232afa5bb61278cf91ecc5365b39d56e184e91fd</t>
        </is>
      </c>
      <c r="BB39" s="24" t="inlineStr">
        <is>
          <t>neutral_elo</t>
        </is>
      </c>
      <c r="BC39" s="24" t="inlineStr">
        <is>
          <t>cs2-tiered-elo-v4</t>
        </is>
      </c>
      <c r="BD39" s="24" t="inlineStr">
        <is>
          <t>141f1943d576a594edb9557f232afa5bb61278cf91ecc5365b39d56e184e91fd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cs2-tiered-elo-v4</t>
        </is>
      </c>
      <c r="BH39" s="24" t="inlineStr">
        <is>
          <t>2026-07-29T17:48:03.009886Z</t>
        </is>
      </c>
      <c r="BI39" s="24" t="inlineStr">
        <is>
          <t>["same_event","same_team_same_day","same_league_same_day"]</t>
        </is>
      </c>
      <c r="BJ39" s="25" t="n"/>
      <c r="BK39" s="26" t="n">
        <v>-203</v>
      </c>
      <c r="BL39" s="27" t="n">
        <v>1.492611</v>
      </c>
      <c r="BM39" s="28" t="n">
        <v>0.669967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d55d2f3f7f56437d</t>
        </is>
      </c>
      <c r="B40" s="24" t="inlineStr">
        <is>
          <t>2026-07-30T07:24:22.518512Z</t>
        </is>
      </c>
      <c r="C40" s="24" t="inlineStr">
        <is>
          <t>2026-07-30T08:00:00Z</t>
        </is>
      </c>
      <c r="D40" s="24" t="inlineStr">
        <is>
          <t>65406</t>
        </is>
      </c>
      <c r="E40" s="24" t="inlineStr">
        <is>
          <t>CS2</t>
        </is>
      </c>
      <c r="F40" s="24" t="inlineStr">
        <is>
          <t>Just Players</t>
        </is>
      </c>
      <c r="G40" s="24" t="inlineStr">
        <is>
          <t>SPARTA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138</v>
      </c>
      <c r="M40" s="27" t="n">
        <v>2.38</v>
      </c>
      <c r="N40" s="28" t="n">
        <v>0.420168</v>
      </c>
      <c r="O40" s="28" t="n">
        <v>0.438187</v>
      </c>
      <c r="P40" s="28" t="n"/>
      <c r="Q40" s="28" t="n">
        <v>0.018019</v>
      </c>
      <c r="R40" s="26" t="n">
        <v>29</v>
      </c>
      <c r="S40" s="29" t="n">
        <v>1</v>
      </c>
      <c r="T40" s="24" t="inlineStr">
        <is>
          <t>cs2-tiered-elo-v4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1.38</v>
      </c>
      <c r="AD40" s="24" t="inlineStr">
        <is>
          <t>2026-07-30T13:30:58.019499Z</t>
        </is>
      </c>
      <c r="AE40" s="31" t="inlineStr">
        <is>
          <t>Neutral Elo baseline; executable ask 0.4200 (market_slug=aec-cs2-sparta-jpu-2026-07-30).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Just Players</t>
        </is>
      </c>
      <c r="AQ40" s="24" t="inlineStr">
        <is>
          <t>Just Players</t>
        </is>
      </c>
      <c r="AR40" s="24" t="inlineStr">
        <is>
          <t>Just Players</t>
        </is>
      </c>
      <c r="AS40" s="24" t="inlineStr">
        <is>
          <t>SPARTA</t>
        </is>
      </c>
      <c r="AT40" s="24" t="inlineStr">
        <is>
          <t>SPARTA</t>
        </is>
      </c>
      <c r="AU40" s="24" t="inlineStr">
        <is>
          <t>SPARTA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5fcc750ae524e04c39a97b842ec3473441d6c6614e7b88704ac08bbf0df09d94</t>
        </is>
      </c>
      <c r="BB40" s="24" t="inlineStr">
        <is>
          <t>neutral_elo</t>
        </is>
      </c>
      <c r="BC40" s="24" t="inlineStr">
        <is>
          <t>cs2-tiered-elo-v4</t>
        </is>
      </c>
      <c r="BD40" s="24" t="inlineStr">
        <is>
          <t>5fcc750ae524e04c39a97b842ec3473441d6c6614e7b88704ac08bbf0df09d94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cs2-tiered-elo-v4</t>
        </is>
      </c>
      <c r="BH40" s="24" t="inlineStr">
        <is>
          <t>2026-07-30T07:23:48.825899Z</t>
        </is>
      </c>
      <c r="BI40" s="24" t="inlineStr">
        <is>
          <t>["same_event","same_team_same_day","same_league_same_day"]</t>
        </is>
      </c>
      <c r="BJ40" s="25" t="n"/>
      <c r="BK40" s="26" t="n">
        <v>138</v>
      </c>
      <c r="BL40" s="27" t="n">
        <v>2.38</v>
      </c>
      <c r="BM40" s="28" t="n">
        <v>0.420168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190d2ad09b364f92</t>
        </is>
      </c>
      <c r="B41" s="24" t="inlineStr">
        <is>
          <t>2026-07-30T07:24:22.518512Z</t>
        </is>
      </c>
      <c r="C41" s="24" t="inlineStr">
        <is>
          <t>2026-07-30T08:00:00Z</t>
        </is>
      </c>
      <c r="D41" s="24" t="inlineStr">
        <is>
          <t>65554</t>
        </is>
      </c>
      <c r="E41" s="24" t="inlineStr">
        <is>
          <t>CS2</t>
        </is>
      </c>
      <c r="F41" s="24" t="inlineStr">
        <is>
          <t>Mai Tai</t>
        </is>
      </c>
      <c r="G41" s="24" t="inlineStr">
        <is>
          <t>Black Phoenix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194</v>
      </c>
      <c r="M41" s="27" t="n">
        <v>2.94</v>
      </c>
      <c r="N41" s="28" t="n">
        <v>0.340136</v>
      </c>
      <c r="O41" s="28" t="n">
        <v>0.424596</v>
      </c>
      <c r="P41" s="28" t="n"/>
      <c r="Q41" s="28" t="n">
        <v>0.08445999999999999</v>
      </c>
      <c r="R41" s="26" t="n">
        <v>62</v>
      </c>
      <c r="S41" s="29" t="n">
        <v>1.25</v>
      </c>
      <c r="T41" s="24" t="inlineStr">
        <is>
          <t>cs2-tiered-elo-v4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2026-07-30T10:25:10.713065Z</t>
        </is>
      </c>
      <c r="AE41" s="31" t="inlineStr">
        <is>
          <t>Neutral Elo baseline; executable ask 0.3400 (market_slug=aec-cs2-bpl-mta-2026-07-30).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Mai Tai</t>
        </is>
      </c>
      <c r="AQ41" s="24" t="inlineStr">
        <is>
          <t>Mai Tai</t>
        </is>
      </c>
      <c r="AR41" s="24" t="inlineStr">
        <is>
          <t>Mai Tai</t>
        </is>
      </c>
      <c r="AS41" s="24" t="inlineStr">
        <is>
          <t>Black Phoenix</t>
        </is>
      </c>
      <c r="AT41" s="24" t="inlineStr">
        <is>
          <t>Black Phoenix</t>
        </is>
      </c>
      <c r="AU41" s="24" t="inlineStr">
        <is>
          <t>Black Phoenix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5fcc750ae524e04c39a97b842ec3473441d6c6614e7b88704ac08bbf0df09d94</t>
        </is>
      </c>
      <c r="BB41" s="24" t="inlineStr">
        <is>
          <t>neutral_elo</t>
        </is>
      </c>
      <c r="BC41" s="24" t="inlineStr">
        <is>
          <t>cs2-tiered-elo-v4</t>
        </is>
      </c>
      <c r="BD41" s="24" t="inlineStr">
        <is>
          <t>5fcc750ae524e04c39a97b842ec3473441d6c6614e7b88704ac08bbf0df09d94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cs2-tiered-elo-v4</t>
        </is>
      </c>
      <c r="BH41" s="24" t="inlineStr">
        <is>
          <t>2026-07-30T07:23:49.809522Z</t>
        </is>
      </c>
      <c r="BI41" s="24" t="inlineStr">
        <is>
          <t>["same_event","same_team_same_day","same_league_same_day"]</t>
        </is>
      </c>
      <c r="BJ41" s="25" t="n"/>
      <c r="BK41" s="26" t="n">
        <v>194</v>
      </c>
      <c r="BL41" s="27" t="n">
        <v>2.94</v>
      </c>
      <c r="BM41" s="28" t="n">
        <v>0.340136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943f7c607d354779</t>
        </is>
      </c>
      <c r="B42" s="24" t="inlineStr">
        <is>
          <t>2026-07-30T10:30:01.551146Z</t>
        </is>
      </c>
      <c r="C42" s="24" t="inlineStr">
        <is>
          <t>2026-07-30T11:00:00Z</t>
        </is>
      </c>
      <c r="D42" s="24" t="inlineStr">
        <is>
          <t>65407</t>
        </is>
      </c>
      <c r="E42" s="24" t="inlineStr">
        <is>
          <t>CS2</t>
        </is>
      </c>
      <c r="F42" s="24" t="inlineStr">
        <is>
          <t>Atreides</t>
        </is>
      </c>
      <c r="G42" s="24" t="inlineStr">
        <is>
          <t>Butterfly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-104</v>
      </c>
      <c r="M42" s="27" t="n">
        <v>1.961538</v>
      </c>
      <c r="N42" s="28" t="n">
        <v>0.509804</v>
      </c>
      <c r="O42" s="28" t="n">
        <v>0.696192</v>
      </c>
      <c r="P42" s="28" t="n"/>
      <c r="Q42" s="28" t="n">
        <v>0.186388</v>
      </c>
      <c r="R42" s="26" t="n">
        <v>100</v>
      </c>
      <c r="S42" s="29" t="n">
        <v>2</v>
      </c>
      <c r="T42" s="24" t="inlineStr">
        <is>
          <t>cs2-tiered-elo-v4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0.5100 (market_slug=aec-cs2-btf-atr-2026-07-30).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Atreides</t>
        </is>
      </c>
      <c r="AQ42" s="24" t="inlineStr">
        <is>
          <t>Atreides</t>
        </is>
      </c>
      <c r="AR42" s="24" t="inlineStr">
        <is>
          <t>Atreides</t>
        </is>
      </c>
      <c r="AS42" s="24" t="inlineStr">
        <is>
          <t>Butterfly</t>
        </is>
      </c>
      <c r="AT42" s="24" t="inlineStr">
        <is>
          <t>Butterfly</t>
        </is>
      </c>
      <c r="AU42" s="24" t="inlineStr">
        <is>
          <t>Butterfly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69cce4c904af97f73bf892fd5d38c166788adc49847b19df353482cedca97c6b</t>
        </is>
      </c>
      <c r="BB42" s="24" t="inlineStr">
        <is>
          <t>neutral_elo</t>
        </is>
      </c>
      <c r="BC42" s="24" t="inlineStr">
        <is>
          <t>cs2-tiered-elo-v4</t>
        </is>
      </c>
      <c r="BD42" s="24" t="inlineStr">
        <is>
          <t>69cce4c904af97f73bf892fd5d38c166788adc49847b19df353482cedca97c6b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cs2-tiered-elo-v4</t>
        </is>
      </c>
      <c r="BH42" s="24" t="inlineStr">
        <is>
          <t>2026-07-30T10:29:33.632649Z</t>
        </is>
      </c>
      <c r="BI42" s="24" t="inlineStr">
        <is>
          <t>["same_event","same_team_same_day","same_league_same_day"]</t>
        </is>
      </c>
      <c r="BJ42" s="25" t="n"/>
      <c r="BK42" s="26" t="n">
        <v>-104</v>
      </c>
      <c r="BL42" s="27" t="n">
        <v>1.961538</v>
      </c>
      <c r="BM42" s="28" t="n">
        <v>0.509804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c1dacaa69b3e4c75</t>
        </is>
      </c>
      <c r="B43" s="24" t="inlineStr">
        <is>
          <t>2026-07-30T10:30:01.551146Z</t>
        </is>
      </c>
      <c r="C43" s="24" t="inlineStr">
        <is>
          <t>2026-07-30T11:00:00Z</t>
        </is>
      </c>
      <c r="D43" s="24" t="inlineStr">
        <is>
          <t>66537</t>
        </is>
      </c>
      <c r="E43" s="24" t="inlineStr">
        <is>
          <t>CS2</t>
        </is>
      </c>
      <c r="F43" s="24" t="inlineStr">
        <is>
          <t>ex-RUSTEC</t>
        </is>
      </c>
      <c r="G43" s="24" t="inlineStr">
        <is>
          <t>GenOne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-170</v>
      </c>
      <c r="M43" s="27" t="n">
        <v>1.588235</v>
      </c>
      <c r="N43" s="28" t="n">
        <v>0.62963</v>
      </c>
      <c r="O43" s="28" t="n">
        <v>0.657463</v>
      </c>
      <c r="P43" s="28" t="n"/>
      <c r="Q43" s="28" t="n">
        <v>0.027833</v>
      </c>
      <c r="R43" s="26" t="n">
        <v>34</v>
      </c>
      <c r="S43" s="29" t="n">
        <v>2</v>
      </c>
      <c r="T43" s="24" t="inlineStr">
        <is>
          <t>cs2-tiered-elo-v4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1.1765</v>
      </c>
      <c r="AD43" s="24" t="inlineStr">
        <is>
          <t>2026-07-30T13:31:00.369173Z</t>
        </is>
      </c>
      <c r="AE43" s="31" t="inlineStr">
        <is>
          <t>Neutral Elo baseline; executable ask 0.6300 (market_slug=aec-cs2-g1-erx-2026-07-30).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ex-RUSTEC</t>
        </is>
      </c>
      <c r="AQ43" s="24" t="inlineStr">
        <is>
          <t>ex-RUSTEC</t>
        </is>
      </c>
      <c r="AR43" s="24" t="inlineStr">
        <is>
          <t>ex-RUSTEC</t>
        </is>
      </c>
      <c r="AS43" s="24" t="inlineStr">
        <is>
          <t>GenOne</t>
        </is>
      </c>
      <c r="AT43" s="24" t="inlineStr">
        <is>
          <t>GenOne</t>
        </is>
      </c>
      <c r="AU43" s="24" t="inlineStr">
        <is>
          <t>GenOne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69cce4c904af97f73bf892fd5d38c166788adc49847b19df353482cedca97c6b</t>
        </is>
      </c>
      <c r="BB43" s="24" t="inlineStr">
        <is>
          <t>neutral_elo</t>
        </is>
      </c>
      <c r="BC43" s="24" t="inlineStr">
        <is>
          <t>cs2-tiered-elo-v4</t>
        </is>
      </c>
      <c r="BD43" s="24" t="inlineStr">
        <is>
          <t>69cce4c904af97f73bf892fd5d38c166788adc49847b19df353482cedca97c6b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cs2-tiered-elo-v4</t>
        </is>
      </c>
      <c r="BH43" s="24" t="inlineStr">
        <is>
          <t>2026-07-30T10:29:34.086996Z</t>
        </is>
      </c>
      <c r="BI43" s="24" t="inlineStr">
        <is>
          <t>["same_event","same_team_same_day","same_league_same_day"]</t>
        </is>
      </c>
      <c r="BJ43" s="25" t="n"/>
      <c r="BK43" s="26" t="n">
        <v>-170</v>
      </c>
      <c r="BL43" s="27" t="n">
        <v>1.588235</v>
      </c>
      <c r="BM43" s="28" t="n">
        <v>0.62963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1c4dfee19ecd40d9</t>
        </is>
      </c>
      <c r="B44" s="24" t="inlineStr">
        <is>
          <t>2026-07-30T10:30:01.551146Z</t>
        </is>
      </c>
      <c r="C44" s="24" t="inlineStr">
        <is>
          <t>2026-07-30T12:00:00Z</t>
        </is>
      </c>
      <c r="D44" s="24" t="inlineStr">
        <is>
          <t>63673</t>
        </is>
      </c>
      <c r="E44" s="24" t="inlineStr">
        <is>
          <t>CS2</t>
        </is>
      </c>
      <c r="F44" s="24" t="inlineStr">
        <is>
          <t>BOJONG</t>
        </is>
      </c>
      <c r="G44" s="24" t="inlineStr">
        <is>
          <t>KUUSAMO.gg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133</v>
      </c>
      <c r="M44" s="27" t="n">
        <v>2.33</v>
      </c>
      <c r="N44" s="28" t="n">
        <v>0.429185</v>
      </c>
      <c r="O44" s="28" t="n">
        <v>0.5136500000000001</v>
      </c>
      <c r="P44" s="28" t="n"/>
      <c r="Q44" s="28" t="n">
        <v>0.084465</v>
      </c>
      <c r="R44" s="26" t="n">
        <v>62</v>
      </c>
      <c r="S44" s="29" t="n">
        <v>0.75</v>
      </c>
      <c r="T44" s="24" t="inlineStr">
        <is>
          <t>cs2-tiered-elo-v4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/>
      <c r="AA44" s="28" t="n"/>
      <c r="AB44" s="28" t="n"/>
      <c r="AC44" s="30" t="n">
        <v>-0.75</v>
      </c>
      <c r="AD44" s="24" t="inlineStr">
        <is>
          <t>2026-07-30T13:31:01.750318Z</t>
        </is>
      </c>
      <c r="AE44" s="31" t="inlineStr">
        <is>
          <t>Neutral Elo baseline; executable ask 0.4300 (market_slug=aec-cs2-ksm-bjng-2026-07-30).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BOJONG</t>
        </is>
      </c>
      <c r="AQ44" s="24" t="inlineStr">
        <is>
          <t>BOJONG</t>
        </is>
      </c>
      <c r="AR44" s="24" t="inlineStr">
        <is>
          <t>BOJONG</t>
        </is>
      </c>
      <c r="AS44" s="24" t="inlineStr">
        <is>
          <t>KUUSAMO.gg</t>
        </is>
      </c>
      <c r="AT44" s="24" t="inlineStr">
        <is>
          <t>KUUSAMO.gg</t>
        </is>
      </c>
      <c r="AU44" s="24" t="inlineStr">
        <is>
          <t>KUUSAMO.gg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69cce4c904af97f73bf892fd5d38c166788adc49847b19df353482cedca97c6b</t>
        </is>
      </c>
      <c r="BB44" s="24" t="inlineStr">
        <is>
          <t>neutral_elo</t>
        </is>
      </c>
      <c r="BC44" s="24" t="inlineStr">
        <is>
          <t>cs2-tiered-elo-v4</t>
        </is>
      </c>
      <c r="BD44" s="24" t="inlineStr">
        <is>
          <t>69cce4c904af97f73bf892fd5d38c166788adc49847b19df353482cedca97c6b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cs2-tiered-elo-v4</t>
        </is>
      </c>
      <c r="BH44" s="24" t="inlineStr">
        <is>
          <t>2026-07-30T10:29:34.634187Z</t>
        </is>
      </c>
      <c r="BI44" s="24" t="inlineStr">
        <is>
          <t>["same_event","same_team_same_day","same_league_same_day"]</t>
        </is>
      </c>
      <c r="BJ44" s="25" t="n"/>
      <c r="BK44" s="26" t="n">
        <v>133</v>
      </c>
      <c r="BL44" s="27" t="n">
        <v>2.33</v>
      </c>
      <c r="BM44" s="28" t="n">
        <v>0.429185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7f0f3e886f084d4a</t>
        </is>
      </c>
      <c r="B45" s="24" t="inlineStr">
        <is>
          <t>2026-07-30T13:35:54.175193Z</t>
        </is>
      </c>
      <c r="C45" s="24" t="inlineStr">
        <is>
          <t>2026-07-30T15:00:00Z</t>
        </is>
      </c>
      <c r="D45" s="24" t="inlineStr">
        <is>
          <t>66603</t>
        </is>
      </c>
      <c r="E45" s="24" t="inlineStr">
        <is>
          <t>CS2</t>
        </is>
      </c>
      <c r="F45" s="24" t="inlineStr">
        <is>
          <t>eSuba</t>
        </is>
      </c>
      <c r="G45" s="24" t="inlineStr">
        <is>
          <t>Bushido Wildcats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-108</v>
      </c>
      <c r="M45" s="27" t="n">
        <v>1.925926</v>
      </c>
      <c r="N45" s="28" t="n">
        <v>0.519231</v>
      </c>
      <c r="O45" s="28" t="n">
        <v>0.537044</v>
      </c>
      <c r="P45" s="28" t="n"/>
      <c r="Q45" s="28" t="n">
        <v>0.017813</v>
      </c>
      <c r="R45" s="26" t="n">
        <v>29</v>
      </c>
      <c r="S45" s="29" t="n">
        <v>0.75</v>
      </c>
      <c r="T45" s="24" t="inlineStr">
        <is>
          <t>cs2-tiered-elo-v4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0.6944</v>
      </c>
      <c r="AD45" s="24" t="inlineStr">
        <is>
          <t>2026-07-30T16:36:54.805628Z</t>
        </is>
      </c>
      <c r="AE45" s="31" t="inlineStr">
        <is>
          <t>Neutral Elo baseline; executable ask 0.5200 (market_slug=aec-cs2-bw-esb-2026-07-30).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eSuba</t>
        </is>
      </c>
      <c r="AQ45" s="24" t="inlineStr">
        <is>
          <t>eSuba</t>
        </is>
      </c>
      <c r="AR45" s="24" t="inlineStr">
        <is>
          <t>eSuba</t>
        </is>
      </c>
      <c r="AS45" s="24" t="inlineStr">
        <is>
          <t>Bushido Wildcats</t>
        </is>
      </c>
      <c r="AT45" s="24" t="inlineStr">
        <is>
          <t>Bushido Wildcats</t>
        </is>
      </c>
      <c r="AU45" s="24" t="inlineStr">
        <is>
          <t>Bushido Wildcats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28e7088513ece9a600d2691e9577a2ee05b7b4ff65bfa68d9f3126cca6bf62f6</t>
        </is>
      </c>
      <c r="BB45" s="24" t="inlineStr">
        <is>
          <t>neutral_elo</t>
        </is>
      </c>
      <c r="BC45" s="24" t="inlineStr">
        <is>
          <t>cs2-tiered-elo-v4</t>
        </is>
      </c>
      <c r="BD45" s="24" t="inlineStr">
        <is>
          <t>28e7088513ece9a600d2691e9577a2ee05b7b4ff65bfa68d9f3126cca6bf62f6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cs2-tiered-elo-v4</t>
        </is>
      </c>
      <c r="BH45" s="24" t="inlineStr">
        <is>
          <t>2026-07-30T13:35:28.915141Z</t>
        </is>
      </c>
      <c r="BI45" s="24" t="inlineStr">
        <is>
          <t>["same_event","same_team_same_day","same_league_same_day"]</t>
        </is>
      </c>
      <c r="BJ45" s="25" t="n"/>
      <c r="BK45" s="26" t="n">
        <v>-108</v>
      </c>
      <c r="BL45" s="27" t="n">
        <v>1.925926</v>
      </c>
      <c r="BM45" s="28" t="n">
        <v>0.519231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c3c8ec8c178441ba</t>
        </is>
      </c>
      <c r="B46" s="24" t="inlineStr">
        <is>
          <t>2026-07-30T13:35:54.175193Z</t>
        </is>
      </c>
      <c r="C46" s="24" t="inlineStr">
        <is>
          <t>2026-07-30T15:30:00Z</t>
        </is>
      </c>
      <c r="D46" s="24" t="inlineStr">
        <is>
          <t>66604</t>
        </is>
      </c>
      <c r="E46" s="24" t="inlineStr">
        <is>
          <t>CS2</t>
        </is>
      </c>
      <c r="F46" s="24" t="inlineStr">
        <is>
          <t>mellren</t>
        </is>
      </c>
      <c r="G46" s="24" t="inlineStr">
        <is>
          <t>GameSport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156</v>
      </c>
      <c r="M46" s="27" t="n">
        <v>2.56</v>
      </c>
      <c r="N46" s="28" t="n">
        <v>0.390625</v>
      </c>
      <c r="O46" s="28" t="n">
        <v>0.568631</v>
      </c>
      <c r="P46" s="28" t="n"/>
      <c r="Q46" s="28" t="n">
        <v>0.178006</v>
      </c>
      <c r="R46" s="26" t="n">
        <v>100</v>
      </c>
      <c r="S46" s="29" t="n">
        <v>1.25</v>
      </c>
      <c r="T46" s="24" t="inlineStr">
        <is>
          <t>cs2-tiered-elo-v4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-1.25</v>
      </c>
      <c r="AD46" s="24" t="inlineStr">
        <is>
          <t>2026-07-30T17:22:59.479570Z</t>
        </is>
      </c>
      <c r="AE46" s="31" t="inlineStr">
        <is>
          <t>Neutral Elo baseline; executable ask 0.3900 (market_slug=aec-cs2-gs-mel-2026-07-30).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mellren</t>
        </is>
      </c>
      <c r="AQ46" s="24" t="inlineStr">
        <is>
          <t>mellren</t>
        </is>
      </c>
      <c r="AR46" s="24" t="inlineStr">
        <is>
          <t>mellren</t>
        </is>
      </c>
      <c r="AS46" s="24" t="inlineStr">
        <is>
          <t>GameSport</t>
        </is>
      </c>
      <c r="AT46" s="24" t="inlineStr">
        <is>
          <t>GameSport</t>
        </is>
      </c>
      <c r="AU46" s="24" t="inlineStr">
        <is>
          <t>GameSport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28e7088513ece9a600d2691e9577a2ee05b7b4ff65bfa68d9f3126cca6bf62f6</t>
        </is>
      </c>
      <c r="BB46" s="24" t="inlineStr">
        <is>
          <t>neutral_elo</t>
        </is>
      </c>
      <c r="BC46" s="24" t="inlineStr">
        <is>
          <t>cs2-tiered-elo-v4</t>
        </is>
      </c>
      <c r="BD46" s="24" t="inlineStr">
        <is>
          <t>28e7088513ece9a600d2691e9577a2ee05b7b4ff65bfa68d9f3126cca6bf62f6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cs2-tiered-elo-v4</t>
        </is>
      </c>
      <c r="BH46" s="24" t="inlineStr">
        <is>
          <t>2026-07-30T13:35:29.410257Z</t>
        </is>
      </c>
      <c r="BI46" s="24" t="inlineStr">
        <is>
          <t>["same_event","same_team_same_day","same_league_same_day"]</t>
        </is>
      </c>
      <c r="BJ46" s="25" t="n"/>
      <c r="BK46" s="26" t="n">
        <v>156</v>
      </c>
      <c r="BL46" s="27" t="n">
        <v>2.56</v>
      </c>
      <c r="BM46" s="28" t="n">
        <v>0.390625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6984634d8d874140</t>
        </is>
      </c>
      <c r="B47" s="24" t="inlineStr">
        <is>
          <t>2026-07-30T13:35:54.175193Z</t>
        </is>
      </c>
      <c r="C47" s="24" t="inlineStr">
        <is>
          <t>2026-07-30T16:00:00Z</t>
        </is>
      </c>
      <c r="D47" s="24" t="inlineStr">
        <is>
          <t>66410</t>
        </is>
      </c>
      <c r="E47" s="24" t="inlineStr">
        <is>
          <t>CS2</t>
        </is>
      </c>
      <c r="F47" s="24" t="inlineStr">
        <is>
          <t>TheMongolz</t>
        </is>
      </c>
      <c r="G47" s="24" t="inlineStr">
        <is>
          <t>FaZe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144</v>
      </c>
      <c r="M47" s="27" t="n">
        <v>2.44</v>
      </c>
      <c r="N47" s="28" t="n">
        <v>0.409836</v>
      </c>
      <c r="O47" s="28" t="n">
        <v>0.552539</v>
      </c>
      <c r="P47" s="28" t="n"/>
      <c r="Q47" s="28" t="n">
        <v>0.142703</v>
      </c>
      <c r="R47" s="26" t="n">
        <v>91</v>
      </c>
      <c r="S47" s="29" t="n">
        <v>1</v>
      </c>
      <c r="T47" s="24" t="inlineStr">
        <is>
          <t>cs2-tiered-elo-v4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0.4100 (market_slug=aec-cs2-faze-mglz-2026-07-30).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TheMongolz</t>
        </is>
      </c>
      <c r="AQ47" s="24" t="inlineStr">
        <is>
          <t>TheMongolz</t>
        </is>
      </c>
      <c r="AR47" s="24" t="inlineStr">
        <is>
          <t>TheMongolz</t>
        </is>
      </c>
      <c r="AS47" s="24" t="inlineStr">
        <is>
          <t>FaZe</t>
        </is>
      </c>
      <c r="AT47" s="24" t="inlineStr">
        <is>
          <t>FaZe</t>
        </is>
      </c>
      <c r="AU47" s="24" t="inlineStr">
        <is>
          <t>FaZe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28e7088513ece9a600d2691e9577a2ee05b7b4ff65bfa68d9f3126cca6bf62f6</t>
        </is>
      </c>
      <c r="BB47" s="24" t="inlineStr">
        <is>
          <t>neutral_elo</t>
        </is>
      </c>
      <c r="BC47" s="24" t="inlineStr">
        <is>
          <t>cs2-tiered-elo-v4</t>
        </is>
      </c>
      <c r="BD47" s="24" t="inlineStr">
        <is>
          <t>28e7088513ece9a600d2691e9577a2ee05b7b4ff65bfa68d9f3126cca6bf62f6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cs2-tiered-elo-v4</t>
        </is>
      </c>
      <c r="BH47" s="24" t="inlineStr">
        <is>
          <t>2026-07-30T13:35:30.460260Z</t>
        </is>
      </c>
      <c r="BI47" s="24" t="inlineStr">
        <is>
          <t>["same_event","same_team_same_day","same_league_same_day"]</t>
        </is>
      </c>
      <c r="BJ47" s="25" t="n"/>
      <c r="BK47" s="26" t="n">
        <v>144</v>
      </c>
      <c r="BL47" s="27" t="n">
        <v>2.44</v>
      </c>
      <c r="BM47" s="28" t="n">
        <v>0.409836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2faac3a4dde7417c</t>
        </is>
      </c>
      <c r="B48" s="24" t="inlineStr">
        <is>
          <t>2026-07-30T13:35:54.175193Z</t>
        </is>
      </c>
      <c r="C48" s="24" t="inlineStr">
        <is>
          <t>2026-07-30T16:00:00Z</t>
        </is>
      </c>
      <c r="D48" s="24" t="inlineStr">
        <is>
          <t>63848</t>
        </is>
      </c>
      <c r="E48" s="24" t="inlineStr">
        <is>
          <t>CS2</t>
        </is>
      </c>
      <c r="F48" s="24" t="inlineStr">
        <is>
          <t>BOJONG</t>
        </is>
      </c>
      <c r="G48" s="24" t="inlineStr">
        <is>
          <t>SINQU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-108</v>
      </c>
      <c r="M48" s="27" t="n">
        <v>1.925926</v>
      </c>
      <c r="N48" s="28" t="n">
        <v>0.519231</v>
      </c>
      <c r="O48" s="28" t="n">
        <v>0.545053</v>
      </c>
      <c r="P48" s="28" t="n"/>
      <c r="Q48" s="28" t="n">
        <v>0.025822</v>
      </c>
      <c r="R48" s="26" t="n">
        <v>33</v>
      </c>
      <c r="S48" s="29" t="n">
        <v>1</v>
      </c>
      <c r="T48" s="24" t="inlineStr">
        <is>
          <t>cs2-tiered-elo-v4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2026-07-30T17:23:02.123784Z</t>
        </is>
      </c>
      <c r="AE48" s="31" t="inlineStr">
        <is>
          <t>Neutral Elo baseline; executable ask 0.5200 (market_slug=aec-cs2-sinqu-bjng-2026-07-30).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BOJONG</t>
        </is>
      </c>
      <c r="AQ48" s="24" t="inlineStr">
        <is>
          <t>BOJONG</t>
        </is>
      </c>
      <c r="AR48" s="24" t="inlineStr">
        <is>
          <t>BOJONG</t>
        </is>
      </c>
      <c r="AS48" s="24" t="inlineStr">
        <is>
          <t>SINQU</t>
        </is>
      </c>
      <c r="AT48" s="24" t="inlineStr">
        <is>
          <t>SINQU</t>
        </is>
      </c>
      <c r="AU48" s="24" t="inlineStr">
        <is>
          <t>SINQU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28e7088513ece9a600d2691e9577a2ee05b7b4ff65bfa68d9f3126cca6bf62f6</t>
        </is>
      </c>
      <c r="BB48" s="24" t="inlineStr">
        <is>
          <t>neutral_elo</t>
        </is>
      </c>
      <c r="BC48" s="24" t="inlineStr">
        <is>
          <t>cs2-tiered-elo-v4</t>
        </is>
      </c>
      <c r="BD48" s="24" t="inlineStr">
        <is>
          <t>28e7088513ece9a600d2691e9577a2ee05b7b4ff65bfa68d9f3126cca6bf62f6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cs2-tiered-elo-v4</t>
        </is>
      </c>
      <c r="BH48" s="24" t="inlineStr">
        <is>
          <t>2026-07-30T13:35:30.942556Z</t>
        </is>
      </c>
      <c r="BI48" s="24" t="inlineStr">
        <is>
          <t>["same_event","same_team_same_day","same_league_same_day"]</t>
        </is>
      </c>
      <c r="BJ48" s="25" t="n"/>
      <c r="BK48" s="26" t="n">
        <v>-108</v>
      </c>
      <c r="BL48" s="27" t="n">
        <v>1.925926</v>
      </c>
      <c r="BM48" s="28" t="n">
        <v>0.519231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a2f997370138408b</t>
        </is>
      </c>
      <c r="B49" s="24" t="inlineStr">
        <is>
          <t>2026-07-30T16:55:43.918344Z</t>
        </is>
      </c>
      <c r="C49" s="24" t="inlineStr">
        <is>
          <t>2026-07-30T17:00:00Z</t>
        </is>
      </c>
      <c r="D49" s="24" t="inlineStr">
        <is>
          <t>65560</t>
        </is>
      </c>
      <c r="E49" s="24" t="inlineStr">
        <is>
          <t>CS2</t>
        </is>
      </c>
      <c r="F49" s="24" t="inlineStr">
        <is>
          <t>Inner Circle Academy</t>
        </is>
      </c>
      <c r="G49" s="24" t="inlineStr">
        <is>
          <t>Just Players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-170</v>
      </c>
      <c r="M49" s="27" t="n">
        <v>1.588235</v>
      </c>
      <c r="N49" s="28" t="n">
        <v>0.62963</v>
      </c>
      <c r="O49" s="28" t="n">
        <v>0.676112</v>
      </c>
      <c r="P49" s="28" t="n"/>
      <c r="Q49" s="28" t="n">
        <v>0.046482</v>
      </c>
      <c r="R49" s="26" t="n">
        <v>43</v>
      </c>
      <c r="S49" s="29" t="n">
        <v>2</v>
      </c>
      <c r="T49" s="24" t="inlineStr">
        <is>
          <t>cs2-tiered-elo-v4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0.6300 (market_slug=aec-cs2-jpu-ica-2026-07-30).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Inner Circle Academy</t>
        </is>
      </c>
      <c r="AQ49" s="24" t="inlineStr">
        <is>
          <t>Inner Circle Academy</t>
        </is>
      </c>
      <c r="AR49" s="24" t="inlineStr">
        <is>
          <t>Inner Circle Academy</t>
        </is>
      </c>
      <c r="AS49" s="24" t="inlineStr">
        <is>
          <t>Just Players</t>
        </is>
      </c>
      <c r="AT49" s="24" t="inlineStr">
        <is>
          <t>Just Players</t>
        </is>
      </c>
      <c r="AU49" s="24" t="inlineStr">
        <is>
          <t>Just Players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20e27ad25c309367babd477909aaf456b3eeff4b6a3d4b27706d8f38244b6304</t>
        </is>
      </c>
      <c r="BB49" s="24" t="inlineStr">
        <is>
          <t>neutral_elo</t>
        </is>
      </c>
      <c r="BC49" s="24" t="inlineStr">
        <is>
          <t>cs2-tiered-elo-v4</t>
        </is>
      </c>
      <c r="BD49" s="24" t="inlineStr">
        <is>
          <t>20e27ad25c309367babd477909aaf456b3eeff4b6a3d4b27706d8f38244b6304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cs2-tiered-elo-v4</t>
        </is>
      </c>
      <c r="BH49" s="24" t="inlineStr">
        <is>
          <t>2026-07-30T16:55:24.925576Z</t>
        </is>
      </c>
      <c r="BI49" s="24" t="inlineStr">
        <is>
          <t>["same_event","same_team_same_day","same_league_same_day"]</t>
        </is>
      </c>
      <c r="BJ49" s="25" t="n"/>
      <c r="BK49" s="26" t="n">
        <v>-170</v>
      </c>
      <c r="BL49" s="27" t="n">
        <v>1.588235</v>
      </c>
      <c r="BM49" s="28" t="n">
        <v>0.62963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02449d5e150045ad</t>
        </is>
      </c>
      <c r="B50" s="24" t="inlineStr">
        <is>
          <t>2026-07-30T17:21:57.239232Z</t>
        </is>
      </c>
      <c r="C50" s="24" t="inlineStr">
        <is>
          <t>2026-07-30T17:30:00Z</t>
        </is>
      </c>
      <c r="D50" s="24" t="inlineStr">
        <is>
          <t>66609</t>
        </is>
      </c>
      <c r="E50" s="24" t="inlineStr">
        <is>
          <t>CS2</t>
        </is>
      </c>
      <c r="F50" s="24" t="inlineStr">
        <is>
          <t>Fraternity</t>
        </is>
      </c>
      <c r="G50" s="24" t="inlineStr">
        <is>
          <t>Sangal ALTERS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-108</v>
      </c>
      <c r="M50" s="27" t="n">
        <v>1.925926</v>
      </c>
      <c r="N50" s="28" t="n">
        <v>0.519231</v>
      </c>
      <c r="O50" s="28" t="n">
        <v>0.662039</v>
      </c>
      <c r="P50" s="28" t="n"/>
      <c r="Q50" s="28" t="n">
        <v>0.142808</v>
      </c>
      <c r="R50" s="26" t="n">
        <v>91</v>
      </c>
      <c r="S50" s="29" t="n">
        <v>2</v>
      </c>
      <c r="T50" s="24" t="inlineStr">
        <is>
          <t>cs2-tiered-elo-v4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0.5200 (market_slug=aec-cs2-sng-frt-2026-07-30).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Fraternity</t>
        </is>
      </c>
      <c r="AQ50" s="24" t="inlineStr">
        <is>
          <t>Fraternity</t>
        </is>
      </c>
      <c r="AR50" s="24" t="inlineStr">
        <is>
          <t>Fraternity</t>
        </is>
      </c>
      <c r="AS50" s="24" t="inlineStr">
        <is>
          <t>Sangal ALTERS</t>
        </is>
      </c>
      <c r="AT50" s="24" t="inlineStr">
        <is>
          <t>Sangal ALTERS</t>
        </is>
      </c>
      <c r="AU50" s="24" t="inlineStr">
        <is>
          <t>Sangal ALTERS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18d8584fd12db2518575a2d8c1f78fa5fe4fd17b7dabdb05853c15298a7d39d8</t>
        </is>
      </c>
      <c r="BB50" s="24" t="inlineStr">
        <is>
          <t>neutral_elo</t>
        </is>
      </c>
      <c r="BC50" s="24" t="inlineStr">
        <is>
          <t>cs2-tiered-elo-v4</t>
        </is>
      </c>
      <c r="BD50" s="24" t="inlineStr">
        <is>
          <t>18d8584fd12db2518575a2d8c1f78fa5fe4fd17b7dabdb05853c15298a7d39d8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cs2-tiered-elo-v4</t>
        </is>
      </c>
      <c r="BH50" s="24" t="inlineStr">
        <is>
          <t>2026-07-30T17:21:38.234981Z</t>
        </is>
      </c>
      <c r="BI50" s="24" t="inlineStr">
        <is>
          <t>["same_event","same_team_same_day","same_league_same_day"]</t>
        </is>
      </c>
      <c r="BJ50" s="25" t="n"/>
      <c r="BK50" s="26" t="n">
        <v>-108</v>
      </c>
      <c r="BL50" s="27" t="n">
        <v>1.925926</v>
      </c>
      <c r="BM50" s="28" t="n">
        <v>0.519231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a6fa3e5733c7458d</t>
        </is>
      </c>
      <c r="B51" s="24" t="inlineStr">
        <is>
          <t>2026-07-30T17:21:57.239232Z</t>
        </is>
      </c>
      <c r="C51" s="24" t="inlineStr">
        <is>
          <t>2026-07-30T18:30:00Z</t>
        </is>
      </c>
      <c r="D51" s="24" t="inlineStr">
        <is>
          <t>66613</t>
        </is>
      </c>
      <c r="E51" s="24" t="inlineStr">
        <is>
          <t>CS2</t>
        </is>
      </c>
      <c r="F51" s="24" t="inlineStr">
        <is>
          <t>Banger Gang</t>
        </is>
      </c>
      <c r="G51" s="24" t="inlineStr">
        <is>
          <t>Younglings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-117</v>
      </c>
      <c r="M51" s="27" t="n">
        <v>1.854701</v>
      </c>
      <c r="N51" s="28" t="n">
        <v>0.539171</v>
      </c>
      <c r="O51" s="28" t="n">
        <v>0.576671</v>
      </c>
      <c r="P51" s="28" t="n"/>
      <c r="Q51" s="28" t="n">
        <v>0.0375</v>
      </c>
      <c r="R51" s="26" t="n">
        <v>39</v>
      </c>
      <c r="S51" s="29" t="n">
        <v>1.25</v>
      </c>
      <c r="T51" s="24" t="inlineStr">
        <is>
          <t>cs2-tiered-elo-v4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0.5400 (market_slug=aec-cs2-yl-bg-2026-07-30).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Banger Gang</t>
        </is>
      </c>
      <c r="AQ51" s="24" t="inlineStr">
        <is>
          <t>Banger Gang</t>
        </is>
      </c>
      <c r="AR51" s="24" t="inlineStr">
        <is>
          <t>Banger Gang</t>
        </is>
      </c>
      <c r="AS51" s="24" t="inlineStr">
        <is>
          <t>Younglings</t>
        </is>
      </c>
      <c r="AT51" s="24" t="inlineStr">
        <is>
          <t>Younglings</t>
        </is>
      </c>
      <c r="AU51" s="24" t="inlineStr">
        <is>
          <t>Younglings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18d8584fd12db2518575a2d8c1f78fa5fe4fd17b7dabdb05853c15298a7d39d8</t>
        </is>
      </c>
      <c r="BB51" s="24" t="inlineStr">
        <is>
          <t>neutral_elo</t>
        </is>
      </c>
      <c r="BC51" s="24" t="inlineStr">
        <is>
          <t>cs2-tiered-elo-v4</t>
        </is>
      </c>
      <c r="BD51" s="24" t="inlineStr">
        <is>
          <t>18d8584fd12db2518575a2d8c1f78fa5fe4fd17b7dabdb05853c15298a7d39d8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cs2-tiered-elo-v4</t>
        </is>
      </c>
      <c r="BH51" s="24" t="inlineStr">
        <is>
          <t>2026-07-30T17:21:40.939739Z</t>
        </is>
      </c>
      <c r="BI51" s="24" t="inlineStr">
        <is>
          <t>["same_event","same_team_same_day","same_league_same_day"]</t>
        </is>
      </c>
      <c r="BJ51" s="25" t="n"/>
      <c r="BK51" s="26" t="n">
        <v>-117</v>
      </c>
      <c r="BL51" s="27" t="n">
        <v>1.854701</v>
      </c>
      <c r="BM51" s="28" t="n">
        <v>0.539171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fb2b6820f3f342cc</t>
        </is>
      </c>
      <c r="B52" s="24" t="inlineStr">
        <is>
          <t>2026-07-30T17:21:57.239232Z</t>
        </is>
      </c>
      <c r="C52" s="24" t="inlineStr">
        <is>
          <t>2026-07-30T18:30:00Z</t>
        </is>
      </c>
      <c r="D52" s="24" t="inlineStr">
        <is>
          <t>66614</t>
        </is>
      </c>
      <c r="E52" s="24" t="inlineStr">
        <is>
          <t>CS2</t>
        </is>
      </c>
      <c r="F52" s="24" t="inlineStr">
        <is>
          <t>NEXORA</t>
        </is>
      </c>
      <c r="G52" s="24" t="inlineStr">
        <is>
          <t>Strael-Bora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133</v>
      </c>
      <c r="M52" s="27" t="n">
        <v>2.33</v>
      </c>
      <c r="N52" s="28" t="n">
        <v>0.429185</v>
      </c>
      <c r="O52" s="28" t="n">
        <v>0.541314</v>
      </c>
      <c r="P52" s="28" t="n"/>
      <c r="Q52" s="28" t="n">
        <v>0.112129</v>
      </c>
      <c r="R52" s="26" t="n">
        <v>76</v>
      </c>
      <c r="S52" s="29" t="n">
        <v>1</v>
      </c>
      <c r="T52" s="24" t="inlineStr">
        <is>
          <t>cs2-tiered-elo-v4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0.4300 (market_slug=aec-cs2-sb-nexo-2026-07-30).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NEXORA</t>
        </is>
      </c>
      <c r="AQ52" s="24" t="inlineStr">
        <is>
          <t>NEXORA</t>
        </is>
      </c>
      <c r="AR52" s="24" t="inlineStr">
        <is>
          <t>NEXORA</t>
        </is>
      </c>
      <c r="AS52" s="24" t="inlineStr">
        <is>
          <t>Strael-Bora</t>
        </is>
      </c>
      <c r="AT52" s="24" t="inlineStr">
        <is>
          <t>Strael-Bora</t>
        </is>
      </c>
      <c r="AU52" s="24" t="inlineStr">
        <is>
          <t>Strael-Bora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18d8584fd12db2518575a2d8c1f78fa5fe4fd17b7dabdb05853c15298a7d39d8</t>
        </is>
      </c>
      <c r="BB52" s="24" t="inlineStr">
        <is>
          <t>neutral_elo</t>
        </is>
      </c>
      <c r="BC52" s="24" t="inlineStr">
        <is>
          <t>cs2-tiered-elo-v4</t>
        </is>
      </c>
      <c r="BD52" s="24" t="inlineStr">
        <is>
          <t>18d8584fd12db2518575a2d8c1f78fa5fe4fd17b7dabdb05853c15298a7d39d8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cs2-tiered-elo-v4</t>
        </is>
      </c>
      <c r="BH52" s="24" t="inlineStr">
        <is>
          <t>2026-07-30T17:21:41.486408Z</t>
        </is>
      </c>
      <c r="BI52" s="24" t="inlineStr">
        <is>
          <t>["same_event","same_team_same_day","same_league_same_day"]</t>
        </is>
      </c>
      <c r="BJ52" s="25" t="n"/>
      <c r="BK52" s="26" t="n">
        <v>133</v>
      </c>
      <c r="BL52" s="27" t="n">
        <v>2.33</v>
      </c>
      <c r="BM52" s="28" t="n">
        <v>0.429185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695c57972aeb4e55</t>
        </is>
      </c>
      <c r="B53" s="24" t="inlineStr">
        <is>
          <t>2026-07-30T17:21:57.239232Z</t>
        </is>
      </c>
      <c r="C53" s="24" t="inlineStr">
        <is>
          <t>2026-07-30T18:30:00Z</t>
        </is>
      </c>
      <c r="D53" s="24" t="inlineStr">
        <is>
          <t>66617</t>
        </is>
      </c>
      <c r="E53" s="24" t="inlineStr">
        <is>
          <t>CS2</t>
        </is>
      </c>
      <c r="F53" s="24" t="inlineStr">
        <is>
          <t>Hermine Esports Club</t>
        </is>
      </c>
      <c r="G53" s="24" t="inlineStr">
        <is>
          <t>mellren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0.5549500000000001</v>
      </c>
      <c r="P53" s="28" t="n"/>
      <c r="Q53" s="28" t="n">
        <v>0.045146</v>
      </c>
      <c r="R53" s="26" t="n">
        <v>43</v>
      </c>
      <c r="S53" s="29" t="n">
        <v>1</v>
      </c>
      <c r="T53" s="24" t="inlineStr">
        <is>
          <t>cs2-tiered-elo-v4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0.5100 (market_slug=aec-cs2-mel-hec-2026-07-30).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Hermine Esports Club</t>
        </is>
      </c>
      <c r="AQ53" s="24" t="inlineStr">
        <is>
          <t>Hermine Esports Club</t>
        </is>
      </c>
      <c r="AR53" s="24" t="inlineStr">
        <is>
          <t>Hermine Esports Club</t>
        </is>
      </c>
      <c r="AS53" s="24" t="inlineStr">
        <is>
          <t>mellren</t>
        </is>
      </c>
      <c r="AT53" s="24" t="inlineStr">
        <is>
          <t>mellren</t>
        </is>
      </c>
      <c r="AU53" s="24" t="inlineStr">
        <is>
          <t>mellren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18d8584fd12db2518575a2d8c1f78fa5fe4fd17b7dabdb05853c15298a7d39d8</t>
        </is>
      </c>
      <c r="BB53" s="24" t="inlineStr">
        <is>
          <t>neutral_elo</t>
        </is>
      </c>
      <c r="BC53" s="24" t="inlineStr">
        <is>
          <t>cs2-tiered-elo-v4</t>
        </is>
      </c>
      <c r="BD53" s="24" t="inlineStr">
        <is>
          <t>18d8584fd12db2518575a2d8c1f78fa5fe4fd17b7dabdb05853c15298a7d39d8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cs2-tiered-elo-v4</t>
        </is>
      </c>
      <c r="BH53" s="24" t="inlineStr">
        <is>
          <t>2026-07-30T17:21:42.057537Z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f3cc735549854f44</t>
        </is>
      </c>
      <c r="B54" s="24" t="inlineStr">
        <is>
          <t>2026-07-30T17:21:57.239232Z</t>
        </is>
      </c>
      <c r="C54" s="24" t="inlineStr">
        <is>
          <t>2026-07-31T01:00:00Z</t>
        </is>
      </c>
      <c r="D54" s="24" t="inlineStr">
        <is>
          <t>66561</t>
        </is>
      </c>
      <c r="E54" s="24" t="inlineStr">
        <is>
          <t>CS2</t>
        </is>
      </c>
      <c r="F54" s="24" t="inlineStr">
        <is>
          <t>Chicken Coop Esports</t>
        </is>
      </c>
      <c r="G54" s="24" t="inlineStr">
        <is>
          <t>regain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0.543193</v>
      </c>
      <c r="P54" s="28" t="n"/>
      <c r="Q54" s="28" t="n">
        <v>0.062424</v>
      </c>
      <c r="R54" s="26" t="n">
        <v>51</v>
      </c>
      <c r="S54" s="29" t="n">
        <v>1</v>
      </c>
      <c r="T54" s="24" t="inlineStr">
        <is>
          <t>cs2-tiered-elo-v4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0.4800 (market_slug=aec-cs2-regain-cce-2026-07-31).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Chicken Coop Esports</t>
        </is>
      </c>
      <c r="AQ54" s="24" t="inlineStr">
        <is>
          <t>Chicken Coop Esports</t>
        </is>
      </c>
      <c r="AR54" s="24" t="inlineStr">
        <is>
          <t>Chicken Coop Esports</t>
        </is>
      </c>
      <c r="AS54" s="24" t="inlineStr">
        <is>
          <t>regain</t>
        </is>
      </c>
      <c r="AT54" s="24" t="inlineStr">
        <is>
          <t>regain</t>
        </is>
      </c>
      <c r="AU54" s="24" t="inlineStr">
        <is>
          <t>regain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18d8584fd12db2518575a2d8c1f78fa5fe4fd17b7dabdb05853c15298a7d39d8</t>
        </is>
      </c>
      <c r="BB54" s="24" t="inlineStr">
        <is>
          <t>neutral_elo</t>
        </is>
      </c>
      <c r="BC54" s="24" t="inlineStr">
        <is>
          <t>cs2-tiered-elo-v4</t>
        </is>
      </c>
      <c r="BD54" s="24" t="inlineStr">
        <is>
          <t>18d8584fd12db2518575a2d8c1f78fa5fe4fd17b7dabdb05853c15298a7d39d8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cs2-tiered-elo-v4</t>
        </is>
      </c>
      <c r="BH54" s="24" t="inlineStr">
        <is>
          <t>2026-07-30T17:21:45.323638Z</t>
        </is>
      </c>
      <c r="BI54" s="24" t="inlineStr">
        <is>
          <t>["same_event","same_team_same_day","same_league_same_day"]</t>
        </is>
      </c>
      <c r="BJ54" s="25" t="n"/>
      <c r="BK54" s="26" t="n">
        <v>108</v>
      </c>
      <c r="BL54" s="27" t="n">
        <v>2.08</v>
      </c>
      <c r="BM54" s="28" t="n">
        <v>0.480769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9061aec8fb7b422a</t>
        </is>
      </c>
      <c r="B55" s="24" t="inlineStr">
        <is>
          <t>2026-07-30T17:21:57.239232Z</t>
        </is>
      </c>
      <c r="C55" s="24" t="inlineStr">
        <is>
          <t>2026-07-31T08:00:00Z</t>
        </is>
      </c>
      <c r="D55" s="24" t="inlineStr">
        <is>
          <t>66545</t>
        </is>
      </c>
      <c r="E55" s="24" t="inlineStr">
        <is>
          <t>CS2</t>
        </is>
      </c>
      <c r="F55" s="24" t="inlineStr">
        <is>
          <t>Lazer Cats</t>
        </is>
      </c>
      <c r="G55" s="24" t="inlineStr">
        <is>
          <t>BASEMENT BOYS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-108</v>
      </c>
      <c r="M55" s="27" t="n">
        <v>1.925926</v>
      </c>
      <c r="N55" s="28" t="n">
        <v>0.519231</v>
      </c>
      <c r="O55" s="28" t="n">
        <v>0.676465</v>
      </c>
      <c r="P55" s="28" t="n"/>
      <c r="Q55" s="28" t="n">
        <v>0.157234</v>
      </c>
      <c r="R55" s="26" t="n">
        <v>99</v>
      </c>
      <c r="S55" s="29" t="n">
        <v>2</v>
      </c>
      <c r="T55" s="24" t="inlineStr">
        <is>
          <t>cs2-tiered-elo-v4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0.5200 (market_slug=aec-cs2-bmb-lc-2026-07-31).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Lazer Cats</t>
        </is>
      </c>
      <c r="AQ55" s="24" t="inlineStr">
        <is>
          <t>Lazer Cats</t>
        </is>
      </c>
      <c r="AR55" s="24" t="inlineStr">
        <is>
          <t>Lazer Cats</t>
        </is>
      </c>
      <c r="AS55" s="24" t="inlineStr">
        <is>
          <t>BASEMENT BOYS</t>
        </is>
      </c>
      <c r="AT55" s="24" t="inlineStr">
        <is>
          <t>BASEMENT BOYS</t>
        </is>
      </c>
      <c r="AU55" s="24" t="inlineStr">
        <is>
          <t>BASEMENT BOYS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18d8584fd12db2518575a2d8c1f78fa5fe4fd17b7dabdb05853c15298a7d39d8</t>
        </is>
      </c>
      <c r="BB55" s="24" t="inlineStr">
        <is>
          <t>neutral_elo</t>
        </is>
      </c>
      <c r="BC55" s="24" t="inlineStr">
        <is>
          <t>cs2-tiered-elo-v4</t>
        </is>
      </c>
      <c r="BD55" s="24" t="inlineStr">
        <is>
          <t>18d8584fd12db2518575a2d8c1f78fa5fe4fd17b7dabdb05853c15298a7d39d8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cs2-tiered-elo-v4</t>
        </is>
      </c>
      <c r="BH55" s="24" t="inlineStr">
        <is>
          <t>2026-07-30T17:21:45.909267Z</t>
        </is>
      </c>
      <c r="BI55" s="24" t="inlineStr">
        <is>
          <t>["same_event","same_team_same_day","same_league_same_day"]</t>
        </is>
      </c>
      <c r="BJ55" s="25" t="n"/>
      <c r="BK55" s="26" t="n">
        <v>-108</v>
      </c>
      <c r="BL55" s="27" t="n">
        <v>1.925926</v>
      </c>
      <c r="BM55" s="28" t="n">
        <v>0.519231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a03df21bb3684a07</t>
        </is>
      </c>
      <c r="B56" s="24" t="inlineStr">
        <is>
          <t>2026-07-30T17:21:57.239232Z</t>
        </is>
      </c>
      <c r="C56" s="24" t="inlineStr">
        <is>
          <t>2026-07-31T08:00:00Z</t>
        </is>
      </c>
      <c r="D56" s="24" t="inlineStr">
        <is>
          <t>66535</t>
        </is>
      </c>
      <c r="E56" s="24" t="inlineStr">
        <is>
          <t>CS2</t>
        </is>
      </c>
      <c r="F56" s="24" t="inlineStr">
        <is>
          <t>SPARTA</t>
        </is>
      </c>
      <c r="G56" s="24" t="inlineStr">
        <is>
          <t>Infinite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0.688286</v>
      </c>
      <c r="P56" s="28" t="n"/>
      <c r="Q56" s="28" t="n">
        <v>0.128815</v>
      </c>
      <c r="R56" s="26" t="n">
        <v>84</v>
      </c>
      <c r="S56" s="29" t="n">
        <v>2</v>
      </c>
      <c r="T56" s="24" t="inlineStr">
        <is>
          <t>cs2-tiered-elo-v4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0.5600 (market_slug=aec-cs2-inf-sparta-2026-07-31).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SPARTA</t>
        </is>
      </c>
      <c r="AQ56" s="24" t="inlineStr">
        <is>
          <t>SPARTA</t>
        </is>
      </c>
      <c r="AR56" s="24" t="inlineStr">
        <is>
          <t>SPARTA</t>
        </is>
      </c>
      <c r="AS56" s="24" t="inlineStr">
        <is>
          <t>Infinite</t>
        </is>
      </c>
      <c r="AT56" s="24" t="inlineStr">
        <is>
          <t>Infinite</t>
        </is>
      </c>
      <c r="AU56" s="24" t="inlineStr">
        <is>
          <t>Infinite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18d8584fd12db2518575a2d8c1f78fa5fe4fd17b7dabdb05853c15298a7d39d8</t>
        </is>
      </c>
      <c r="BB56" s="24" t="inlineStr">
        <is>
          <t>neutral_elo</t>
        </is>
      </c>
      <c r="BC56" s="24" t="inlineStr">
        <is>
          <t>cs2-tiered-elo-v4</t>
        </is>
      </c>
      <c r="BD56" s="24" t="inlineStr">
        <is>
          <t>18d8584fd12db2518575a2d8c1f78fa5fe4fd17b7dabdb05853c15298a7d39d8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cs2-tiered-elo-v4</t>
        </is>
      </c>
      <c r="BH56" s="24" t="inlineStr">
        <is>
          <t>2026-07-30T17:21:47.628354Z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8f0e5f68168e4055</t>
        </is>
      </c>
      <c r="B57" s="24" t="inlineStr">
        <is>
          <t>2026-07-30T17:21:57.239232Z</t>
        </is>
      </c>
      <c r="C57" s="24" t="inlineStr">
        <is>
          <t>2026-07-31T10:00:00Z</t>
        </is>
      </c>
      <c r="D57" s="24" t="inlineStr">
        <is>
          <t>64778</t>
        </is>
      </c>
      <c r="E57" s="24" t="inlineStr">
        <is>
          <t>CS2</t>
        </is>
      </c>
      <c r="F57" s="24" t="inlineStr">
        <is>
          <t>G2 Ares</t>
        </is>
      </c>
      <c r="G57" s="24" t="inlineStr">
        <is>
          <t>Esport Academy Copenhagen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108</v>
      </c>
      <c r="M57" s="27" t="n">
        <v>2.08</v>
      </c>
      <c r="N57" s="28" t="n">
        <v>0.480769</v>
      </c>
      <c r="O57" s="28" t="n">
        <v>0.719348</v>
      </c>
      <c r="P57" s="28" t="n"/>
      <c r="Q57" s="28" t="n">
        <v>0.238579</v>
      </c>
      <c r="R57" s="26" t="n">
        <v>100</v>
      </c>
      <c r="S57" s="29" t="n">
        <v>2</v>
      </c>
      <c r="T57" s="24" t="inlineStr">
        <is>
          <t>cs2-tiered-elo-v4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0.4800 (market_slug=aec-cs2-eac-g2a-2026-07-31).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G2 Ares</t>
        </is>
      </c>
      <c r="AQ57" s="24" t="inlineStr">
        <is>
          <t>G2 Ares</t>
        </is>
      </c>
      <c r="AR57" s="24" t="inlineStr">
        <is>
          <t>G2 Ares</t>
        </is>
      </c>
      <c r="AS57" s="24" t="inlineStr">
        <is>
          <t>Esport Academy Copenhagen</t>
        </is>
      </c>
      <c r="AT57" s="24" t="inlineStr">
        <is>
          <t>Esport Academy Copenhagen</t>
        </is>
      </c>
      <c r="AU57" s="24" t="inlineStr">
        <is>
          <t>Esport Academy Copenhagen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18d8584fd12db2518575a2d8c1f78fa5fe4fd17b7dabdb05853c15298a7d39d8</t>
        </is>
      </c>
      <c r="BB57" s="24" t="inlineStr">
        <is>
          <t>neutral_elo</t>
        </is>
      </c>
      <c r="BC57" s="24" t="inlineStr">
        <is>
          <t>cs2-tiered-elo-v4</t>
        </is>
      </c>
      <c r="BD57" s="24" t="inlineStr">
        <is>
          <t>18d8584fd12db2518575a2d8c1f78fa5fe4fd17b7dabdb05853c15298a7d39d8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cs2-tiered-elo-v4</t>
        </is>
      </c>
      <c r="BH57" s="24" t="inlineStr">
        <is>
          <t>2026-07-30T17:21:49.268706Z</t>
        </is>
      </c>
      <c r="BI57" s="24" t="inlineStr">
        <is>
          <t>["same_event","same_team_same_day","same_league_same_day"]</t>
        </is>
      </c>
      <c r="BJ57" s="25" t="n"/>
      <c r="BK57" s="26" t="n">
        <v>108</v>
      </c>
      <c r="BL57" s="27" t="n">
        <v>2.08</v>
      </c>
      <c r="BM57" s="28" t="n">
        <v>0.480769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07cc2f64665a4723</t>
        </is>
      </c>
      <c r="B58" s="24" t="inlineStr">
        <is>
          <t>2026-07-30T17:21:57.239232Z</t>
        </is>
      </c>
      <c r="C58" s="24" t="inlineStr">
        <is>
          <t>2026-07-31T14:00:00Z</t>
        </is>
      </c>
      <c r="D58" s="24" t="inlineStr">
        <is>
          <t>66549</t>
        </is>
      </c>
      <c r="E58" s="24" t="inlineStr">
        <is>
          <t>CS2</t>
        </is>
      </c>
      <c r="F58" s="24" t="inlineStr">
        <is>
          <t>megoshort</t>
        </is>
      </c>
      <c r="G58" s="24" t="inlineStr">
        <is>
          <t>Lavked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-170</v>
      </c>
      <c r="M58" s="27" t="n">
        <v>1.588235</v>
      </c>
      <c r="N58" s="28" t="n">
        <v>0.62963</v>
      </c>
      <c r="O58" s="28" t="n">
        <v>0.698051</v>
      </c>
      <c r="P58" s="28" t="n"/>
      <c r="Q58" s="28" t="n">
        <v>0.068421</v>
      </c>
      <c r="R58" s="26" t="n">
        <v>54</v>
      </c>
      <c r="S58" s="29" t="n">
        <v>2</v>
      </c>
      <c r="T58" s="24" t="inlineStr">
        <is>
          <t>cs2-tiered-elo-v4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0.6300 (market_slug=aec-cs2-lav-mego-2026-07-31).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megoshort</t>
        </is>
      </c>
      <c r="AQ58" s="24" t="inlineStr">
        <is>
          <t>megoshort</t>
        </is>
      </c>
      <c r="AR58" s="24" t="inlineStr">
        <is>
          <t>megoshort</t>
        </is>
      </c>
      <c r="AS58" s="24" t="inlineStr">
        <is>
          <t>Lavked</t>
        </is>
      </c>
      <c r="AT58" s="24" t="inlineStr">
        <is>
          <t>Lavked</t>
        </is>
      </c>
      <c r="AU58" s="24" t="inlineStr">
        <is>
          <t>Lavked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18d8584fd12db2518575a2d8c1f78fa5fe4fd17b7dabdb05853c15298a7d39d8</t>
        </is>
      </c>
      <c r="BB58" s="24" t="inlineStr">
        <is>
          <t>neutral_elo</t>
        </is>
      </c>
      <c r="BC58" s="24" t="inlineStr">
        <is>
          <t>cs2-tiered-elo-v4</t>
        </is>
      </c>
      <c r="BD58" s="24" t="inlineStr">
        <is>
          <t>18d8584fd12db2518575a2d8c1f78fa5fe4fd17b7dabdb05853c15298a7d39d8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cs2-tiered-elo-v4</t>
        </is>
      </c>
      <c r="BH58" s="24" t="inlineStr">
        <is>
          <t>2026-07-30T17:21:54.000232Z</t>
        </is>
      </c>
      <c r="BI58" s="24" t="inlineStr">
        <is>
          <t>["same_event","same_team_same_day","same_league_same_day"]</t>
        </is>
      </c>
      <c r="BJ58" s="25" t="n"/>
      <c r="BK58" s="26" t="n">
        <v>-170</v>
      </c>
      <c r="BL58" s="27" t="n">
        <v>1.588235</v>
      </c>
      <c r="BM58" s="28" t="n">
        <v>0.62963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f23230eab8844796</t>
        </is>
      </c>
      <c r="B59" s="24" t="inlineStr">
        <is>
          <t>2026-07-30T17:21:57.239232Z</t>
        </is>
      </c>
      <c r="C59" s="24" t="inlineStr">
        <is>
          <t>2026-07-31T17:00:00Z</t>
        </is>
      </c>
      <c r="D59" s="24" t="inlineStr">
        <is>
          <t>66536</t>
        </is>
      </c>
      <c r="E59" s="24" t="inlineStr">
        <is>
          <t>CS2</t>
        </is>
      </c>
      <c r="F59" s="24" t="inlineStr">
        <is>
          <t>Black Phoenix</t>
        </is>
      </c>
      <c r="G59" s="24" t="inlineStr">
        <is>
          <t>JiJieHao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-213</v>
      </c>
      <c r="M59" s="27" t="n">
        <v>1.469484</v>
      </c>
      <c r="N59" s="28" t="n">
        <v>0.680511</v>
      </c>
      <c r="O59" s="28" t="n">
        <v>0.71083</v>
      </c>
      <c r="P59" s="28" t="n"/>
      <c r="Q59" s="28" t="n">
        <v>0.030319</v>
      </c>
      <c r="R59" s="26" t="n">
        <v>35</v>
      </c>
      <c r="S59" s="29" t="n">
        <v>2</v>
      </c>
      <c r="T59" s="24" t="inlineStr">
        <is>
          <t>cs2-tiered-elo-v4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0.6800 (market_slug=aec-cs2-jjh-bpl-2026-07-31).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Black Phoenix</t>
        </is>
      </c>
      <c r="AQ59" s="24" t="inlineStr">
        <is>
          <t>Black Phoenix</t>
        </is>
      </c>
      <c r="AR59" s="24" t="inlineStr">
        <is>
          <t>Black Phoenix</t>
        </is>
      </c>
      <c r="AS59" s="24" t="inlineStr">
        <is>
          <t>JiJieHao</t>
        </is>
      </c>
      <c r="AT59" s="24" t="inlineStr">
        <is>
          <t>JiJieHao</t>
        </is>
      </c>
      <c r="AU59" s="24" t="inlineStr">
        <is>
          <t>JiJieHao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18d8584fd12db2518575a2d8c1f78fa5fe4fd17b7dabdb05853c15298a7d39d8</t>
        </is>
      </c>
      <c r="BB59" s="24" t="inlineStr">
        <is>
          <t>neutral_elo</t>
        </is>
      </c>
      <c r="BC59" s="24" t="inlineStr">
        <is>
          <t>cs2-tiered-elo-v4</t>
        </is>
      </c>
      <c r="BD59" s="24" t="inlineStr">
        <is>
          <t>18d8584fd12db2518575a2d8c1f78fa5fe4fd17b7dabdb05853c15298a7d39d8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cs2-tiered-elo-v4</t>
        </is>
      </c>
      <c r="BH59" s="24" t="inlineStr">
        <is>
          <t>2026-07-30T17:21:54.989141Z</t>
        </is>
      </c>
      <c r="BI59" s="24" t="inlineStr">
        <is>
          <t>["same_event","same_team_same_day","same_league_same_day"]</t>
        </is>
      </c>
      <c r="BJ59" s="25" t="n"/>
      <c r="BK59" s="26" t="n">
        <v>-213</v>
      </c>
      <c r="BL59" s="27" t="n">
        <v>1.469484</v>
      </c>
      <c r="BM59" s="28" t="n">
        <v>0.680511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2026-07-30T17:23:02Z</dcterms:created>
  <dcterms:modified xsi:type="dcterms:W3CDTF">2026-07-30T17:23:02Z</dcterms:modified>
</cp:coreProperties>
</file>