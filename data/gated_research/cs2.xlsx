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6" headerRowCount="1">
  <autoFilter ref="A1:CQ1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COUNTA('Picks'!$A$2:$A$16)</f>
        <v/>
      </c>
      <c r="C4" s="6">
        <f>COUNTIF('Picks'!$U$2:$U$16,"open")</f>
        <v/>
      </c>
      <c r="E4" s="6">
        <f>COUNTIF('Picks'!$U$2:$U$16,"settled")</f>
        <v/>
      </c>
      <c r="G4" s="6">
        <f>IF(COUNTIFS('Picks'!$U$2:$U$16,"settled",'Picks'!$V$2:$V$16,"win")+COUNTIFS('Picks'!$U$2:$U$16,"settled",'Picks'!$V$2:$V$16,"loss")&gt;=$L$2,"Ready","Insufficient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COUNTIF('Picks'!$BX$2:$BX$16,"&gt;0")</f>
        <v/>
      </c>
      <c r="C7" s="6">
        <f>COUNTIFS('Picks'!$BX$2:$BX$16,"&gt;0",'Picks'!$V$2:$V$16,"win")&amp;"-"&amp;COUNTIFS('Picks'!$BX$2:$BX$16,"&gt;0",'Picks'!$V$2:$V$16,"loss")</f>
        <v/>
      </c>
      <c r="E7" s="7">
        <f>IFERROR(COUNTIFS('Picks'!$BX$2:$BX$16,"&gt;0",'Picks'!$V$2:$V$16,"win")/(COUNTIFS('Picks'!$BX$2:$BX$16,"&gt;0",'Picks'!$V$2:$V$16,"win")+COUNTIFS('Picks'!$BX$2:$BX$16,"&gt;0",'Picks'!$V$2:$V$16,"loss")),0)</f>
        <v/>
      </c>
      <c r="G7" s="7">
        <f>IFERROR(SUM('Picks'!$BY$2:$BY$16)/SUM('Picks'!$BX$2:$BX$16),0)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SUM('Picks'!$BY$2:$BY$16)</f>
        <v/>
      </c>
      <c r="C10" s="9">
        <f>IFERROR(AVERAGEIF('Picks'!$AB$2:$AB$16,"&lt;&gt;",'Picks'!$AB$2:$AB$16),0)</f>
        <v/>
      </c>
      <c r="E10" s="6">
        <f>COUNTIFS('Picks'!$AM$2:$AM$16,"QUALIFIED_SHADOW_CALL",'Picks'!$U$2:$U$16,"settled")</f>
        <v/>
      </c>
      <c r="G10" s="8">
        <f>SUMIFS('Picks'!$AC$2:$AC$16,'Picks'!$AM$2:$AM$16,"QUALIFIED_SHADOW_CALL")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COUNTIFS('Picks'!$H$2:$H$16,$A14,'Picks'!$U$2:$U$16,"settled")</f>
        <v/>
      </c>
      <c r="C14" s="13">
        <f>COUNTIFS('Picks'!$H$2:$H$16,$A14,'Picks'!$U$2:$U$16,"settled",'Picks'!$V$2:$V$16,"win")</f>
        <v/>
      </c>
      <c r="D14" s="13">
        <f>COUNTIFS('Picks'!$H$2:$H$16,$A14,'Picks'!$U$2:$U$16,"settled",'Picks'!$V$2:$V$16,"loss")</f>
        <v/>
      </c>
      <c r="E14" s="14">
        <f>IFERROR(C14/(C14+D14),0)</f>
        <v/>
      </c>
      <c r="F14" s="15">
        <f>SUMIFS('Picks'!$BY$2:$BY$16,'Picks'!$H$2:$H$16,$A14)</f>
        <v/>
      </c>
      <c r="G14" s="16">
        <f>IFERROR(AVERAGEIFS('Picks'!$AB$2:$AB$16,'Picks'!$H$2:$H$16,$A14,'Picks'!$U$2:$U$16,"settled"),0)</f>
        <v/>
      </c>
    </row>
    <row r="15">
      <c r="A15" s="17" t="inlineStr">
        <is>
          <t>spread</t>
        </is>
      </c>
      <c r="B15" s="18">
        <f>COUNTIFS('Picks'!$H$2:$H$16,$A15,'Picks'!$U$2:$U$16,"settled")</f>
        <v/>
      </c>
      <c r="C15" s="18">
        <f>COUNTIFS('Picks'!$H$2:$H$16,$A15,'Picks'!$U$2:$U$16,"settled",'Picks'!$V$2:$V$16,"win")</f>
        <v/>
      </c>
      <c r="D15" s="18">
        <f>COUNTIFS('Picks'!$H$2:$H$16,$A15,'Picks'!$U$2:$U$16,"settled",'Picks'!$V$2:$V$16,"loss")</f>
        <v/>
      </c>
      <c r="E15" s="19">
        <f>IFERROR(C15/(C15+D15),0)</f>
        <v/>
      </c>
      <c r="F15" s="20">
        <f>SUMIFS('Picks'!$BY$2:$BY$16,'Picks'!$H$2:$H$16,$A15)</f>
        <v/>
      </c>
      <c r="G15" s="21">
        <f>IFERROR(AVERAGEIFS('Picks'!$AB$2:$AB$16,'Picks'!$H$2:$H$16,$A15,'Picks'!$U$2:$U$16,"settled"),0)</f>
        <v/>
      </c>
    </row>
    <row r="16">
      <c r="A16" s="12" t="inlineStr">
        <is>
          <t>total</t>
        </is>
      </c>
      <c r="B16" s="13">
        <f>COUNTIFS('Picks'!$H$2:$H$16,$A16,'Picks'!$U$2:$U$16,"settled")</f>
        <v/>
      </c>
      <c r="C16" s="13">
        <f>COUNTIFS('Picks'!$H$2:$H$16,$A16,'Picks'!$U$2:$U$16,"settled",'Picks'!$V$2:$V$16,"win")</f>
        <v/>
      </c>
      <c r="D16" s="13">
        <f>COUNTIFS('Picks'!$H$2:$H$16,$A16,'Picks'!$U$2:$U$16,"settled",'Picks'!$V$2:$V$16,"loss")</f>
        <v/>
      </c>
      <c r="E16" s="14">
        <f>IFERROR(C16/(C16+D16),0)</f>
        <v/>
      </c>
      <c r="F16" s="15">
        <f>SUMIFS('Picks'!$BY$2:$BY$16,'Picks'!$H$2:$H$16,$A16)</f>
        <v/>
      </c>
      <c r="G16" s="16">
        <f>IFERROR(AVERAGEIFS('Picks'!$AB$2:$AB$16,'Picks'!$H$2:$H$16,$A16,'Picks'!$U$2:$U$16,"settled"),0)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527b87d97fca4de2</t>
        </is>
      </c>
      <c r="B15" s="24" t="inlineStr">
        <is>
          <t>2026-08-02T17:48:41.505470Z</t>
        </is>
      </c>
      <c r="C15" s="24" t="inlineStr">
        <is>
          <t>2026-08-03T10:00:00Z</t>
        </is>
      </c>
      <c r="D15" s="24" t="inlineStr">
        <is>
          <t>68289</t>
        </is>
      </c>
      <c r="E15" s="24" t="inlineStr">
        <is>
          <t>CS2</t>
        </is>
      </c>
      <c r="F15" s="24" t="inlineStr">
        <is>
          <t>FURY</t>
        </is>
      </c>
      <c r="G15" s="24" t="inlineStr">
        <is>
          <t>Mindfreak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0.599199</v>
      </c>
      <c r="P15" s="28" t="n"/>
      <c r="Q15" s="28" t="n">
        <v>0.019367</v>
      </c>
      <c r="R15" s="26" t="n">
        <v>30</v>
      </c>
      <c r="S15" s="29" t="n">
        <v>1.25</v>
      </c>
      <c r="T15" s="24" t="inlineStr">
        <is>
          <t>cs2-tiered-elo-v5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0.5800 (market_slug=aec-cs2-mf-fury-2026-08-03).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FURY</t>
        </is>
      </c>
      <c r="AQ15" s="24" t="inlineStr">
        <is>
          <t>FURY</t>
        </is>
      </c>
      <c r="AR15" s="24" t="inlineStr">
        <is>
          <t>FURY</t>
        </is>
      </c>
      <c r="AS15" s="24" t="inlineStr">
        <is>
          <t>Mindfreak</t>
        </is>
      </c>
      <c r="AT15" s="24" t="inlineStr">
        <is>
          <t>Mindfreak</t>
        </is>
      </c>
      <c r="AU15" s="24" t="inlineStr">
        <is>
          <t>Mindfreak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a4e21a1af368f0354dc5f9a4308bc7027cac0942d4270c2251f9210a7793ef91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a4e21a1af368f0354dc5f9a4308bc7027cac0942d4270c2251f9210a7793ef91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2026-08-02T17:48:31.821007Z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True</t>
        </is>
      </c>
    </row>
    <row r="16" ht="36" customHeight="1">
      <c r="A16" s="24" t="inlineStr">
        <is>
          <t>50897d877f614f10</t>
        </is>
      </c>
      <c r="B16" s="24" t="inlineStr">
        <is>
          <t>2026-08-02T17:48:41.505470Z</t>
        </is>
      </c>
      <c r="C16" s="24" t="inlineStr">
        <is>
          <t>2026-08-03T14:00:00Z</t>
        </is>
      </c>
      <c r="D16" s="24" t="inlineStr">
        <is>
          <t>69268</t>
        </is>
      </c>
      <c r="E16" s="24" t="inlineStr">
        <is>
          <t>CS2</t>
        </is>
      </c>
      <c r="F16" s="24" t="inlineStr">
        <is>
          <t>ex-Young Ninjas</t>
        </is>
      </c>
      <c r="G16" s="24" t="inlineStr">
        <is>
          <t>SPARTA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-178</v>
      </c>
      <c r="M16" s="27" t="n">
        <v>1.561798</v>
      </c>
      <c r="N16" s="28" t="n">
        <v>0.640288</v>
      </c>
      <c r="O16" s="28" t="n">
        <v>0.663041</v>
      </c>
      <c r="P16" s="28" t="n"/>
      <c r="Q16" s="28" t="n">
        <v>0.022753</v>
      </c>
      <c r="R16" s="26" t="n">
        <v>31</v>
      </c>
      <c r="S16" s="29" t="n">
        <v>1.75</v>
      </c>
      <c r="T16" s="24" t="inlineStr">
        <is>
          <t>cs2-tiered-elo-v5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0.6400 (market_slug=aec-cs2-sparta-eyn-2026-08-03).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ex-Young Ninjas</t>
        </is>
      </c>
      <c r="AQ16" s="24" t="inlineStr">
        <is>
          <t>ex-Young Ninjas</t>
        </is>
      </c>
      <c r="AR16" s="24" t="inlineStr">
        <is>
          <t>ex-Young Ninjas</t>
        </is>
      </c>
      <c r="AS16" s="24" t="inlineStr">
        <is>
          <t>SPARTA</t>
        </is>
      </c>
      <c r="AT16" s="24" t="inlineStr">
        <is>
          <t>SPARTA</t>
        </is>
      </c>
      <c r="AU16" s="24" t="inlineStr">
        <is>
          <t>SPARTA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a4e21a1af368f0354dc5f9a4308bc7027cac0942d4270c2251f9210a7793ef91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a4e21a1af368f0354dc5f9a4308bc7027cac0942d4270c2251f9210a7793ef91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2026-08-02T17:48:36.924167Z</t>
        </is>
      </c>
      <c r="BI16" s="24" t="inlineStr">
        <is>
          <t>["same_event","same_team_same_day","same_league_same_day"]</t>
        </is>
      </c>
      <c r="BJ16" s="25" t="n"/>
      <c r="BK16" s="26" t="n">
        <v>-178</v>
      </c>
      <c r="BL16" s="27" t="n">
        <v>1.561798</v>
      </c>
      <c r="BM16" s="28" t="n">
        <v>0.640288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2026-08-02T17:48:44Z</dcterms:created>
  <dcterms:modified xsi:type="dcterms:W3CDTF">2026-08-02T17:48:44Z</dcterms:modified>
</cp:coreProperties>
</file>