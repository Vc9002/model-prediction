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7" headerRowCount="1">
  <autoFilter ref="A1:CQ1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COUNTA('Picks'!$A$2:$A$17)</f>
        <v/>
      </c>
      <c r="C4" s="6">
        <f>COUNTIF('Picks'!$U$2:$U$17,"open")</f>
        <v/>
      </c>
      <c r="E4" s="6">
        <f>COUNTIF('Picks'!$U$2:$U$17,"settled")</f>
        <v/>
      </c>
      <c r="G4" s="6">
        <f>IF(COUNTIFS('Picks'!$U$2:$U$17,"settled",'Picks'!$V$2:$V$17,"win")+COUNTIFS('Picks'!$U$2:$U$17,"settled",'Picks'!$V$2:$V$17,"loss")&gt;=$L$2,"Ready","Insufficient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COUNTIF('Picks'!$BX$2:$BX$17,"&gt;0")</f>
        <v/>
      </c>
      <c r="C7" s="6">
        <f>COUNTIFS('Picks'!$BX$2:$BX$17,"&gt;0",'Picks'!$V$2:$V$17,"win")&amp;"-"&amp;COUNTIFS('Picks'!$BX$2:$BX$17,"&gt;0",'Picks'!$V$2:$V$17,"loss")</f>
        <v/>
      </c>
      <c r="E7" s="7">
        <f>IFERROR(COUNTIFS('Picks'!$BX$2:$BX$17,"&gt;0",'Picks'!$V$2:$V$17,"win")/(COUNTIFS('Picks'!$BX$2:$BX$17,"&gt;0",'Picks'!$V$2:$V$17,"win")+COUNTIFS('Picks'!$BX$2:$BX$17,"&gt;0",'Picks'!$V$2:$V$17,"loss")),0)</f>
        <v/>
      </c>
      <c r="G7" s="7">
        <f>IFERROR(SUM('Picks'!$BY$2:$BY$17)/SUM('Picks'!$BX$2:$BX$17),0)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SUM('Picks'!$BY$2:$BY$17)</f>
        <v/>
      </c>
      <c r="C10" s="9">
        <f>IFERROR(AVERAGEIF('Picks'!$AB$2:$AB$17,"&lt;&gt;",'Picks'!$AB$2:$AB$17),0)</f>
        <v/>
      </c>
      <c r="E10" s="6">
        <f>COUNTIFS('Picks'!$AM$2:$AM$17,"QUALIFIED_SHADOW_CALL",'Picks'!$U$2:$U$17,"settled")</f>
        <v/>
      </c>
      <c r="G10" s="8">
        <f>SUMIFS('Picks'!$AC$2:$AC$17,'Picks'!$AM$2:$AM$17,"QUALIFIED_SHADOW_CALL")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COUNTIFS('Picks'!$H$2:$H$17,$A14,'Picks'!$U$2:$U$17,"settled")</f>
        <v/>
      </c>
      <c r="C14" s="13">
        <f>COUNTIFS('Picks'!$H$2:$H$17,$A14,'Picks'!$U$2:$U$17,"settled",'Picks'!$V$2:$V$17,"win")</f>
        <v/>
      </c>
      <c r="D14" s="13">
        <f>COUNTIFS('Picks'!$H$2:$H$17,$A14,'Picks'!$U$2:$U$17,"settled",'Picks'!$V$2:$V$17,"loss")</f>
        <v/>
      </c>
      <c r="E14" s="14">
        <f>IFERROR(C14/(C14+D14),0)</f>
        <v/>
      </c>
      <c r="F14" s="15">
        <f>SUMIFS('Picks'!$BY$2:$BY$17,'Picks'!$H$2:$H$17,$A14)</f>
        <v/>
      </c>
      <c r="G14" s="16">
        <f>IFERROR(AVERAGEIFS('Picks'!$AB$2:$AB$17,'Picks'!$H$2:$H$17,$A14,'Picks'!$U$2:$U$17,"settled"),0)</f>
        <v/>
      </c>
    </row>
    <row r="15">
      <c r="A15" s="17" t="inlineStr">
        <is>
          <t>spread</t>
        </is>
      </c>
      <c r="B15" s="18">
        <f>COUNTIFS('Picks'!$H$2:$H$17,$A15,'Picks'!$U$2:$U$17,"settled")</f>
        <v/>
      </c>
      <c r="C15" s="18">
        <f>COUNTIFS('Picks'!$H$2:$H$17,$A15,'Picks'!$U$2:$U$17,"settled",'Picks'!$V$2:$V$17,"win")</f>
        <v/>
      </c>
      <c r="D15" s="18">
        <f>COUNTIFS('Picks'!$H$2:$H$17,$A15,'Picks'!$U$2:$U$17,"settled",'Picks'!$V$2:$V$17,"loss")</f>
        <v/>
      </c>
      <c r="E15" s="19">
        <f>IFERROR(C15/(C15+D15),0)</f>
        <v/>
      </c>
      <c r="F15" s="20">
        <f>SUMIFS('Picks'!$BY$2:$BY$17,'Picks'!$H$2:$H$17,$A15)</f>
        <v/>
      </c>
      <c r="G15" s="21">
        <f>IFERROR(AVERAGEIFS('Picks'!$AB$2:$AB$17,'Picks'!$H$2:$H$17,$A15,'Picks'!$U$2:$U$17,"settled"),0)</f>
        <v/>
      </c>
    </row>
    <row r="16">
      <c r="A16" s="12" t="inlineStr">
        <is>
          <t>total</t>
        </is>
      </c>
      <c r="B16" s="13">
        <f>COUNTIFS('Picks'!$H$2:$H$17,$A16,'Picks'!$U$2:$U$17,"settled")</f>
        <v/>
      </c>
      <c r="C16" s="13">
        <f>COUNTIFS('Picks'!$H$2:$H$17,$A16,'Picks'!$U$2:$U$17,"settled",'Picks'!$V$2:$V$17,"win")</f>
        <v/>
      </c>
      <c r="D16" s="13">
        <f>COUNTIFS('Picks'!$H$2:$H$17,$A16,'Picks'!$U$2:$U$17,"settled",'Picks'!$V$2:$V$17,"loss")</f>
        <v/>
      </c>
      <c r="E16" s="14">
        <f>IFERROR(C16/(C16+D16),0)</f>
        <v/>
      </c>
      <c r="F16" s="15">
        <f>SUMIFS('Picks'!$BY$2:$BY$17,'Picks'!$H$2:$H$17,$A16)</f>
        <v/>
      </c>
      <c r="G16" s="16">
        <f>IFERROR(AVERAGEIFS('Picks'!$AB$2:$AB$17,'Picks'!$H$2:$H$17,$A16,'Picks'!$U$2:$U$17,"settled"),0)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936b606e7d544e3c</t>
        </is>
      </c>
      <c r="B15" s="24" t="inlineStr">
        <is>
          <t>2026-08-02T18:08:55.998248Z</t>
        </is>
      </c>
      <c r="C15" s="24" t="inlineStr">
        <is>
          <t>2026-08-03T10:00:00Z</t>
        </is>
      </c>
      <c r="D15" s="24" t="inlineStr">
        <is>
          <t>68289</t>
        </is>
      </c>
      <c r="E15" s="24" t="inlineStr">
        <is>
          <t>CS2</t>
        </is>
      </c>
      <c r="F15" s="24" t="inlineStr">
        <is>
          <t>FURY</t>
        </is>
      </c>
      <c r="G15" s="24" t="inlineStr">
        <is>
          <t>Mindfreak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0.599199</v>
      </c>
      <c r="P15" s="28" t="n"/>
      <c r="Q15" s="28" t="n">
        <v>0.019367</v>
      </c>
      <c r="R15" s="26" t="n">
        <v>30</v>
      </c>
      <c r="S15" s="29" t="n">
        <v>1.25</v>
      </c>
      <c r="T15" s="24" t="inlineStr">
        <is>
          <t>cs2-tiered-elo-v5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0.5800 (market_slug=aec-cs2-mf-fury-2026-08-03).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FURY</t>
        </is>
      </c>
      <c r="AQ15" s="24" t="inlineStr">
        <is>
          <t>FURY</t>
        </is>
      </c>
      <c r="AR15" s="24" t="inlineStr">
        <is>
          <t>FURY</t>
        </is>
      </c>
      <c r="AS15" s="24" t="inlineStr">
        <is>
          <t>Mindfreak</t>
        </is>
      </c>
      <c r="AT15" s="24" t="inlineStr">
        <is>
          <t>Mindfreak</t>
        </is>
      </c>
      <c r="AU15" s="24" t="inlineStr">
        <is>
          <t>Mindfreak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d5fa90971ced522e0070399e9eeaba0b323d1e6ef1030b6470d86e8cb482d801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d5fa90971ced522e0070399e9eeaba0b323d1e6ef1030b6470d86e8cb482d801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2026-08-02T18:08:46.352076Z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  <row r="16" ht="36" customHeight="1">
      <c r="A16" s="24" t="inlineStr">
        <is>
          <t>db1dc943d75f40cf</t>
        </is>
      </c>
      <c r="B16" s="24" t="inlineStr">
        <is>
          <t>2026-08-02T18:08:55.998248Z</t>
        </is>
      </c>
      <c r="C16" s="24" t="inlineStr">
        <is>
          <t>2026-08-03T10:30:00Z</t>
        </is>
      </c>
      <c r="D16" s="24" t="inlineStr">
        <is>
          <t>67514</t>
        </is>
      </c>
      <c r="E16" s="24" t="inlineStr">
        <is>
          <t>CS2</t>
        </is>
      </c>
      <c r="F16" s="24" t="inlineStr">
        <is>
          <t>Passion Academy</t>
        </is>
      </c>
      <c r="G16" s="24" t="inlineStr">
        <is>
          <t>EAC Rising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0.639896</v>
      </c>
      <c r="P16" s="28" t="n"/>
      <c r="Q16" s="28" t="n">
        <v>0.020124</v>
      </c>
      <c r="R16" s="26" t="n">
        <v>30</v>
      </c>
      <c r="S16" s="29" t="n">
        <v>1.5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0.6200 (market_slug=aec-cs2-era-psna-2026-08-03).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Passion Academy</t>
        </is>
      </c>
      <c r="AQ16" s="24" t="inlineStr">
        <is>
          <t>Passion Academy</t>
        </is>
      </c>
      <c r="AR16" s="24" t="inlineStr">
        <is>
          <t>Passion Academy</t>
        </is>
      </c>
      <c r="AS16" s="24" t="inlineStr">
        <is>
          <t>EAC Rising</t>
        </is>
      </c>
      <c r="AT16" s="24" t="inlineStr">
        <is>
          <t>EAC Rising</t>
        </is>
      </c>
      <c r="AU16" s="24" t="inlineStr">
        <is>
          <t>EAC Rising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d5fa90971ced522e0070399e9eeaba0b323d1e6ef1030b6470d86e8cb482d801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d5fa90971ced522e0070399e9eeaba0b323d1e6ef1030b6470d86e8cb482d801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2026-08-02T18:08:48.789246Z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  <row r="17" ht="36" customHeight="1">
      <c r="A17" s="24" t="inlineStr">
        <is>
          <t>d60a6e820d4f4adc</t>
        </is>
      </c>
      <c r="B17" s="24" t="inlineStr">
        <is>
          <t>2026-08-02T18:08:55.998248Z</t>
        </is>
      </c>
      <c r="C17" s="24" t="inlineStr">
        <is>
          <t>2026-08-03T14:00:00Z</t>
        </is>
      </c>
      <c r="D17" s="24" t="inlineStr">
        <is>
          <t>69268</t>
        </is>
      </c>
      <c r="E17" s="24" t="inlineStr">
        <is>
          <t>CS2</t>
        </is>
      </c>
      <c r="F17" s="24" t="inlineStr">
        <is>
          <t>ex-Young Ninjas</t>
        </is>
      </c>
      <c r="G17" s="24" t="inlineStr">
        <is>
          <t>SPARTA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0.663041</v>
      </c>
      <c r="P17" s="28" t="n"/>
      <c r="Q17" s="28" t="n">
        <v>0.022753</v>
      </c>
      <c r="R17" s="26" t="n">
        <v>31</v>
      </c>
      <c r="S17" s="29" t="n">
        <v>1.75</v>
      </c>
      <c r="T17" s="24" t="inlineStr">
        <is>
          <t>cs2-tiered-elo-v5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0.6400 (market_slug=aec-cs2-sparta-eyn-2026-08-03).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ex-Young Ninjas</t>
        </is>
      </c>
      <c r="AQ17" s="24" t="inlineStr">
        <is>
          <t>ex-Young Ninjas</t>
        </is>
      </c>
      <c r="AR17" s="24" t="inlineStr">
        <is>
          <t>ex-Young Ninjas</t>
        </is>
      </c>
      <c r="AS17" s="24" t="inlineStr">
        <is>
          <t>SPARTA</t>
        </is>
      </c>
      <c r="AT17" s="24" t="inlineStr">
        <is>
          <t>SPARTA</t>
        </is>
      </c>
      <c r="AU17" s="24" t="inlineStr">
        <is>
          <t>SPARTA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d5fa90971ced522e0070399e9eeaba0b323d1e6ef1030b6470d86e8cb482d801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d5fa90971ced522e0070399e9eeaba0b323d1e6ef1030b6470d86e8cb482d801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2026-08-02T18:08:51.418739Z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2026-08-02T18:09:10Z</dcterms:created>
  <dcterms:modified xsi:type="dcterms:W3CDTF">2026-08-02T18:09:10Z</dcterms:modified>
</cp:coreProperties>
</file>