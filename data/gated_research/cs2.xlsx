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2" headerRowCount="1">
  <autoFilter ref="A1:CO12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COUNTA('Picks'!$A$2:$A$12)</f>
        <v/>
      </c>
      <c r="C4" s="6">
        <f>COUNTIF('Picks'!$U$2:$U$12,"open")</f>
        <v/>
      </c>
      <c r="E4" s="6">
        <f>COUNTIF('Picks'!$U$2:$U$12,"settled")</f>
        <v/>
      </c>
      <c r="G4" s="6">
        <f>IF(COUNTIFS('Picks'!$U$2:$U$12,"settled",'Picks'!$V$2:$V$12,"win")+COUNTIFS('Picks'!$U$2:$U$12,"settled",'Picks'!$V$2:$V$12,"loss")&gt;=$L$2,"Ready","Insufficient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COUNTIF('Picks'!$BX$2:$BX$12,"&gt;0")</f>
        <v/>
      </c>
      <c r="C7" s="6">
        <f>COUNTIFS('Picks'!$BX$2:$BX$12,"&gt;0",'Picks'!$V$2:$V$12,"win")&amp;"-"&amp;COUNTIFS('Picks'!$BX$2:$BX$12,"&gt;0",'Picks'!$V$2:$V$12,"loss")</f>
        <v/>
      </c>
      <c r="E7" s="7">
        <f>IFERROR(COUNTIFS('Picks'!$BX$2:$BX$12,"&gt;0",'Picks'!$V$2:$V$12,"win")/(COUNTIFS('Picks'!$BX$2:$BX$12,"&gt;0",'Picks'!$V$2:$V$12,"win")+COUNTIFS('Picks'!$BX$2:$BX$12,"&gt;0",'Picks'!$V$2:$V$12,"loss")),0)</f>
        <v/>
      </c>
      <c r="G7" s="7">
        <f>IFERROR(SUM('Picks'!$BY$2:$BY$12)/SUM('Picks'!$BX$2:$BX$12),0)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SUM('Picks'!$BY$2:$BY$12)</f>
        <v/>
      </c>
      <c r="C10" s="9">
        <f>IFERROR(AVERAGEIF('Picks'!$AB$2:$AB$12,"&lt;&gt;",'Picks'!$AB$2:$AB$12),0)</f>
        <v/>
      </c>
      <c r="E10" s="6">
        <f>COUNTIFS('Picks'!$AM$2:$AM$12,"QUALIFIED_SHADOW_CALL",'Picks'!$U$2:$U$12,"settled")</f>
        <v/>
      </c>
      <c r="G10" s="8">
        <f>SUMIFS('Picks'!$AC$2:$AC$12,'Picks'!$AM$2:$AM$12,"QUALIFIED_SHADOW_CALL")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COUNTIFS('Picks'!$H$2:$H$12,$A14,'Picks'!$U$2:$U$12,"settled")</f>
        <v/>
      </c>
      <c r="C14" s="13">
        <f>COUNTIFS('Picks'!$H$2:$H$12,$A14,'Picks'!$U$2:$U$12,"settled",'Picks'!$V$2:$V$12,"win")</f>
        <v/>
      </c>
      <c r="D14" s="13">
        <f>COUNTIFS('Picks'!$H$2:$H$12,$A14,'Picks'!$U$2:$U$12,"settled",'Picks'!$V$2:$V$12,"loss")</f>
        <v/>
      </c>
      <c r="E14" s="14">
        <f>IFERROR(C14/(C14+D14),0)</f>
        <v/>
      </c>
      <c r="F14" s="15">
        <f>SUMIFS('Picks'!$BY$2:$BY$12,'Picks'!$H$2:$H$12,$A14)</f>
        <v/>
      </c>
      <c r="G14" s="16">
        <f>IFERROR(AVERAGEIFS('Picks'!$AB$2:$AB$12,'Picks'!$H$2:$H$12,$A14,'Picks'!$U$2:$U$12,"settled"),0)</f>
        <v/>
      </c>
    </row>
    <row r="15">
      <c r="A15" s="17" t="inlineStr">
        <is>
          <t>spread</t>
        </is>
      </c>
      <c r="B15" s="18">
        <f>COUNTIFS('Picks'!$H$2:$H$12,$A15,'Picks'!$U$2:$U$12,"settled")</f>
        <v/>
      </c>
      <c r="C15" s="18">
        <f>COUNTIFS('Picks'!$H$2:$H$12,$A15,'Picks'!$U$2:$U$12,"settled",'Picks'!$V$2:$V$12,"win")</f>
        <v/>
      </c>
      <c r="D15" s="18">
        <f>COUNTIFS('Picks'!$H$2:$H$12,$A15,'Picks'!$U$2:$U$12,"settled",'Picks'!$V$2:$V$12,"loss")</f>
        <v/>
      </c>
      <c r="E15" s="19">
        <f>IFERROR(C15/(C15+D15),0)</f>
        <v/>
      </c>
      <c r="F15" s="20">
        <f>SUMIFS('Picks'!$BY$2:$BY$12,'Picks'!$H$2:$H$12,$A15)</f>
        <v/>
      </c>
      <c r="G15" s="21">
        <f>IFERROR(AVERAGEIFS('Picks'!$AB$2:$AB$12,'Picks'!$H$2:$H$12,$A15,'Picks'!$U$2:$U$12,"settled"),0)</f>
        <v/>
      </c>
    </row>
    <row r="16">
      <c r="A16" s="12" t="inlineStr">
        <is>
          <t>total</t>
        </is>
      </c>
      <c r="B16" s="13">
        <f>COUNTIFS('Picks'!$H$2:$H$12,$A16,'Picks'!$U$2:$U$12,"settled")</f>
        <v/>
      </c>
      <c r="C16" s="13">
        <f>COUNTIFS('Picks'!$H$2:$H$12,$A16,'Picks'!$U$2:$U$12,"settled",'Picks'!$V$2:$V$12,"win")</f>
        <v/>
      </c>
      <c r="D16" s="13">
        <f>COUNTIFS('Picks'!$H$2:$H$12,$A16,'Picks'!$U$2:$U$12,"settled",'Picks'!$V$2:$V$12,"loss")</f>
        <v/>
      </c>
      <c r="E16" s="14">
        <f>IFERROR(C16/(C16+D16),0)</f>
        <v/>
      </c>
      <c r="F16" s="15">
        <f>SUMIFS('Picks'!$BY$2:$BY$12,'Picks'!$H$2:$H$12,$A16)</f>
        <v/>
      </c>
      <c r="G16" s="16">
        <f>IFERROR(AVERAGEIFS('Picks'!$AB$2:$AB$12,'Picks'!$H$2:$H$12,$A16,'Picks'!$U$2:$U$12,"settled"),0)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f4ab16fa3d694661</t>
        </is>
      </c>
      <c r="B11" s="24" t="inlineStr">
        <is>
          <t>2026-08-01T21:24:25.937290Z</t>
        </is>
      </c>
      <c r="C11" s="24" t="inlineStr">
        <is>
          <t>2026-08-02T10:00:00Z</t>
        </is>
      </c>
      <c r="D11" s="24" t="inlineStr">
        <is>
          <t>66809</t>
        </is>
      </c>
      <c r="E11" s="24" t="inlineStr">
        <is>
          <t>CS2</t>
        </is>
      </c>
      <c r="F11" s="24" t="inlineStr">
        <is>
          <t>Brute</t>
        </is>
      </c>
      <c r="G11" s="24" t="inlineStr">
        <is>
          <t>9INE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223</v>
      </c>
      <c r="M11" s="27" t="n">
        <v>3.23</v>
      </c>
      <c r="N11" s="28" t="n">
        <v>0.309598</v>
      </c>
      <c r="O11" s="28" t="n">
        <v>0.53149</v>
      </c>
      <c r="P11" s="28" t="n"/>
      <c r="Q11" s="28" t="n">
        <v>0.221892</v>
      </c>
      <c r="R11" s="26" t="n">
        <v>100</v>
      </c>
      <c r="S11" s="29" t="n">
        <v>1</v>
      </c>
      <c r="T11" s="24" t="inlineStr">
        <is>
          <t>cs2-tiered-elo-v5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0.3100 (market_slug=aec-cs2-9ine-brute-2026-08-02).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Brute</t>
        </is>
      </c>
      <c r="AQ11" s="24" t="inlineStr">
        <is>
          <t>Brute</t>
        </is>
      </c>
      <c r="AR11" s="24" t="inlineStr">
        <is>
          <t>Brute</t>
        </is>
      </c>
      <c r="AS11" s="24" t="inlineStr">
        <is>
          <t>9INE</t>
        </is>
      </c>
      <c r="AT11" s="24" t="inlineStr">
        <is>
          <t>9INE</t>
        </is>
      </c>
      <c r="AU11" s="24" t="inlineStr">
        <is>
          <t>9INE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d50792bb506a20912e2f4121c3471394498423e61f3d19bf1b2285fb92c74388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d50792bb506a20912e2f4121c3471394498423e61f3d19bf1b2285fb92c74388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2026-08-01T21:24:08.292176Z</t>
        </is>
      </c>
      <c r="BI11" s="24" t="inlineStr">
        <is>
          <t>["same_event","same_team_same_day","same_league_same_day"]</t>
        </is>
      </c>
      <c r="BJ11" s="25" t="n"/>
      <c r="BK11" s="26" t="n">
        <v>223</v>
      </c>
      <c r="BL11" s="27" t="n">
        <v>3.23</v>
      </c>
      <c r="BM11" s="28" t="n">
        <v>0.309598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cdaa5ae202224ee4</t>
        </is>
      </c>
      <c r="B12" s="24" t="inlineStr">
        <is>
          <t>2026-08-01T21:24:25.937290Z</t>
        </is>
      </c>
      <c r="C12" s="24" t="inlineStr">
        <is>
          <t>2026-08-02T13:00:00Z</t>
        </is>
      </c>
      <c r="D12" s="24" t="inlineStr">
        <is>
          <t>68255</t>
        </is>
      </c>
      <c r="E12" s="24" t="inlineStr">
        <is>
          <t>CS2</t>
        </is>
      </c>
      <c r="F12" s="24" t="inlineStr">
        <is>
          <t>WBT</t>
        </is>
      </c>
      <c r="G12" s="24" t="inlineStr">
        <is>
          <t>MOUZ NXT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0.543527</v>
      </c>
      <c r="P12" s="28" t="n"/>
      <c r="Q12" s="28" t="n">
        <v>0.033723</v>
      </c>
      <c r="R12" s="26" t="n">
        <v>37</v>
      </c>
      <c r="S12" s="29" t="n">
        <v>1</v>
      </c>
      <c r="T12" s="24" t="inlineStr">
        <is>
          <t>cs2-tiered-elo-v5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0.5100 (market_slug=aec-cs2-mouzn-wba-2026-08-02).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WBT</t>
        </is>
      </c>
      <c r="AQ12" s="24" t="inlineStr">
        <is>
          <t>WBT</t>
        </is>
      </c>
      <c r="AR12" s="24" t="inlineStr">
        <is>
          <t>WBT</t>
        </is>
      </c>
      <c r="AS12" s="24" t="inlineStr">
        <is>
          <t>MOUZ NXT</t>
        </is>
      </c>
      <c r="AT12" s="24" t="inlineStr">
        <is>
          <t>MOUZ NXT</t>
        </is>
      </c>
      <c r="AU12" s="24" t="inlineStr">
        <is>
          <t>MOUZ NXT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d50792bb506a20912e2f4121c3471394498423e61f3d19bf1b2285fb92c74388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d50792bb506a20912e2f4121c3471394498423e61f3d19bf1b2285fb92c74388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2026-08-01T21:24:12.835583Z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2026-08-01T21:24:26Z</dcterms:created>
  <dcterms:modified xsi:type="dcterms:W3CDTF">2026-08-01T21:24:26Z</dcterms:modified>
</cp:coreProperties>
</file>