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2" headerRowCount="1">
  <autoFilter ref="A1:CO1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COUNTA('Picks'!$A$2:$A$12)</f>
        <v/>
      </c>
      <c r="C4" s="6">
        <f>COUNTIF('Picks'!$U$2:$U$12,"open")</f>
        <v/>
      </c>
      <c r="E4" s="6">
        <f>COUNTIF('Picks'!$U$2:$U$12,"settled")</f>
        <v/>
      </c>
      <c r="G4" s="6">
        <f>IF(COUNTIFS('Picks'!$U$2:$U$12,"settled",'Picks'!$V$2:$V$12,"win")+COUNTIFS('Picks'!$U$2:$U$12,"settled",'Picks'!$V$2:$V$12,"loss")&gt;=$L$2,"Ready","Insufficient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COUNTIF('Picks'!$BX$2:$BX$12,"&gt;0")</f>
        <v/>
      </c>
      <c r="C7" s="6">
        <f>COUNTIFS('Picks'!$BX$2:$BX$12,"&gt;0",'Picks'!$V$2:$V$12,"win")&amp;"-"&amp;COUNTIFS('Picks'!$BX$2:$BX$12,"&gt;0",'Picks'!$V$2:$V$12,"loss")</f>
        <v/>
      </c>
      <c r="E7" s="7">
        <f>IFERROR(COUNTIFS('Picks'!$BX$2:$BX$12,"&gt;0",'Picks'!$V$2:$V$12,"win")/(COUNTIFS('Picks'!$BX$2:$BX$12,"&gt;0",'Picks'!$V$2:$V$12,"win")+COUNTIFS('Picks'!$BX$2:$BX$12,"&gt;0",'Picks'!$V$2:$V$12,"loss")),0)</f>
        <v/>
      </c>
      <c r="G7" s="7">
        <f>IFERROR(SUM('Picks'!$BY$2:$BY$12)/SUM('Picks'!$BX$2:$BX$12),0)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SUM('Picks'!$BY$2:$BY$12)</f>
        <v/>
      </c>
      <c r="C10" s="9">
        <f>IFERROR(AVERAGEIF('Picks'!$AB$2:$AB$12,"&lt;&gt;",'Picks'!$AB$2:$AB$12),0)</f>
        <v/>
      </c>
      <c r="E10" s="6">
        <f>COUNTIFS('Picks'!$AM$2:$AM$12,"QUALIFIED_SHADOW_CALL",'Picks'!$U$2:$U$12,"settled")</f>
        <v/>
      </c>
      <c r="G10" s="8">
        <f>SUMIFS('Picks'!$AC$2:$AC$12,'Picks'!$AM$2:$AM$12,"QUALIFIED_SHADOW_CALL")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COUNTIFS('Picks'!$H$2:$H$12,$A14,'Picks'!$U$2:$U$12,"settled")</f>
        <v/>
      </c>
      <c r="C14" s="13">
        <f>COUNTIFS('Picks'!$H$2:$H$12,$A14,'Picks'!$U$2:$U$12,"settled",'Picks'!$V$2:$V$12,"win")</f>
        <v/>
      </c>
      <c r="D14" s="13">
        <f>COUNTIFS('Picks'!$H$2:$H$12,$A14,'Picks'!$U$2:$U$12,"settled",'Picks'!$V$2:$V$12,"loss")</f>
        <v/>
      </c>
      <c r="E14" s="14">
        <f>IFERROR(C14/(C14+D14),0)</f>
        <v/>
      </c>
      <c r="F14" s="15">
        <f>SUMIFS('Picks'!$BY$2:$BY$12,'Picks'!$H$2:$H$12,$A14)</f>
        <v/>
      </c>
      <c r="G14" s="16">
        <f>IFERROR(AVERAGEIFS('Picks'!$AB$2:$AB$12,'Picks'!$H$2:$H$12,$A14,'Picks'!$U$2:$U$12,"settled"),0)</f>
        <v/>
      </c>
    </row>
    <row r="15">
      <c r="A15" s="17" t="inlineStr">
        <is>
          <t>spread</t>
        </is>
      </c>
      <c r="B15" s="18">
        <f>COUNTIFS('Picks'!$H$2:$H$12,$A15,'Picks'!$U$2:$U$12,"settled")</f>
        <v/>
      </c>
      <c r="C15" s="18">
        <f>COUNTIFS('Picks'!$H$2:$H$12,$A15,'Picks'!$U$2:$U$12,"settled",'Picks'!$V$2:$V$12,"win")</f>
        <v/>
      </c>
      <c r="D15" s="18">
        <f>COUNTIFS('Picks'!$H$2:$H$12,$A15,'Picks'!$U$2:$U$12,"settled",'Picks'!$V$2:$V$12,"loss")</f>
        <v/>
      </c>
      <c r="E15" s="19">
        <f>IFERROR(C15/(C15+D15),0)</f>
        <v/>
      </c>
      <c r="F15" s="20">
        <f>SUMIFS('Picks'!$BY$2:$BY$12,'Picks'!$H$2:$H$12,$A15)</f>
        <v/>
      </c>
      <c r="G15" s="21">
        <f>IFERROR(AVERAGEIFS('Picks'!$AB$2:$AB$12,'Picks'!$H$2:$H$12,$A15,'Picks'!$U$2:$U$12,"settled"),0)</f>
        <v/>
      </c>
    </row>
    <row r="16">
      <c r="A16" s="12" t="inlineStr">
        <is>
          <t>total</t>
        </is>
      </c>
      <c r="B16" s="13">
        <f>COUNTIFS('Picks'!$H$2:$H$12,$A16,'Picks'!$U$2:$U$12,"settled")</f>
        <v/>
      </c>
      <c r="C16" s="13">
        <f>COUNTIFS('Picks'!$H$2:$H$12,$A16,'Picks'!$U$2:$U$12,"settled",'Picks'!$V$2:$V$12,"win")</f>
        <v/>
      </c>
      <c r="D16" s="13">
        <f>COUNTIFS('Picks'!$H$2:$H$12,$A16,'Picks'!$U$2:$U$12,"settled",'Picks'!$V$2:$V$12,"loss")</f>
        <v/>
      </c>
      <c r="E16" s="14">
        <f>IFERROR(C16/(C16+D16),0)</f>
        <v/>
      </c>
      <c r="F16" s="15">
        <f>SUMIFS('Picks'!$BY$2:$BY$12,'Picks'!$H$2:$H$12,$A16)</f>
        <v/>
      </c>
      <c r="G16" s="16">
        <f>IFERROR(AVERAGEIFS('Picks'!$AB$2:$AB$12,'Picks'!$H$2:$H$12,$A16,'Picks'!$U$2:$U$12,"settled"),0)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cbcaf934fa5848e5</t>
        </is>
      </c>
      <c r="B2" s="24" t="inlineStr">
        <is>
          <t>2026-07-26T08:22:32.657968Z</t>
        </is>
      </c>
      <c r="C2" s="24" t="inlineStr">
        <is>
          <t>2026-07-26T11:00:00Z</t>
        </is>
      </c>
      <c r="D2" s="24" t="inlineStr">
        <is>
          <t>61824</t>
        </is>
      </c>
      <c r="E2" s="24" t="inlineStr">
        <is>
          <t>CS2</t>
        </is>
      </c>
      <c r="F2" s="24" t="inlineStr">
        <is>
          <t>ex-MANA eSports</t>
        </is>
      </c>
      <c r="G2" s="24" t="inlineStr">
        <is>
          <t>NEW VISION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-113</v>
      </c>
      <c r="M2" s="27" t="n">
        <v>1.884956</v>
      </c>
      <c r="N2" s="28" t="n">
        <v>0.530516</v>
      </c>
      <c r="O2" s="28" t="n">
        <v>0.621956</v>
      </c>
      <c r="P2" s="28" t="n"/>
      <c r="Q2" s="28" t="n">
        <v>0.09143999999999999</v>
      </c>
      <c r="R2" s="26" t="n">
        <v>66</v>
      </c>
      <c r="S2" s="29" t="n">
        <v>1.75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1.5487</v>
      </c>
      <c r="AD2" s="24" t="inlineStr">
        <is>
          <t>2026-07-26T17:52:55.837413Z</t>
        </is>
      </c>
      <c r="AE2" s="31" t="inlineStr">
        <is>
          <t>Neutral Elo baseline; executable ask 0.5300 (market_slug=aec-cs2-nve-exmana-2026-07-26).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ex-MANA eSports</t>
        </is>
      </c>
      <c r="AQ2" s="24" t="inlineStr">
        <is>
          <t>ex-MANA eSports</t>
        </is>
      </c>
      <c r="AR2" s="24" t="inlineStr">
        <is>
          <t>ex-MANA eSports</t>
        </is>
      </c>
      <c r="AS2" s="24" t="inlineStr">
        <is>
          <t>NEW VISION</t>
        </is>
      </c>
      <c r="AT2" s="24" t="inlineStr">
        <is>
          <t>NEW VISION</t>
        </is>
      </c>
      <c r="AU2" s="24" t="inlineStr">
        <is>
          <t>NEW 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2026-07-26T08:21:51.887770Z</t>
        </is>
      </c>
      <c r="BI2" s="24" t="inlineStr">
        <is>
          <t>["same_event","same_team_same_day","same_league_same_day"]</t>
        </is>
      </c>
      <c r="BJ2" s="25" t="n"/>
      <c r="BK2" s="26" t="n">
        <v>-113</v>
      </c>
      <c r="BL2" s="27" t="n">
        <v>1.884956</v>
      </c>
      <c r="BM2" s="28" t="n">
        <v>0.530516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04eaa9b94d3542cb</t>
        </is>
      </c>
      <c r="B3" s="24" t="inlineStr">
        <is>
          <t>2026-07-26T12:50:13.208687Z</t>
        </is>
      </c>
      <c r="C3" s="24" t="inlineStr">
        <is>
          <t>2026-07-26T14:00:00Z</t>
        </is>
      </c>
      <c r="D3" s="24" t="inlineStr">
        <is>
          <t>61440</t>
        </is>
      </c>
      <c r="E3" s="24" t="inlineStr">
        <is>
          <t>CS2</t>
        </is>
      </c>
      <c r="F3" s="24" t="inlineStr">
        <is>
          <t>Lazer Cats</t>
        </is>
      </c>
      <c r="G3" s="24" t="inlineStr">
        <is>
          <t>STATE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0.769302</v>
      </c>
      <c r="P3" s="28" t="n"/>
      <c r="Q3" s="28" t="n">
        <v>0.269302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2026-07-26T17:53:02.090518Z</t>
        </is>
      </c>
      <c r="AE3" s="31" t="inlineStr">
        <is>
          <t>Neutral Elo baseline; executable ask 0.5000 (market_slug=aec-cs2-sta-lc-2026-07-26).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Lazer Cats</t>
        </is>
      </c>
      <c r="AQ3" s="24" t="inlineStr">
        <is>
          <t>Lazer Cats</t>
        </is>
      </c>
      <c r="AR3" s="24" t="inlineStr">
        <is>
          <t>Lazer Cats</t>
        </is>
      </c>
      <c r="AS3" s="24" t="inlineStr">
        <is>
          <t>STATE</t>
        </is>
      </c>
      <c r="AT3" s="24" t="inlineStr">
        <is>
          <t>STATE</t>
        </is>
      </c>
      <c r="AU3" s="24" t="inlineStr">
        <is>
          <t>STATE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2026-07-26T12:49:44.422167Z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caef081f30c24894</t>
        </is>
      </c>
      <c r="B4" s="24" t="inlineStr">
        <is>
          <t>2026-07-26T12:50:13.208687Z</t>
        </is>
      </c>
      <c r="C4" s="24" t="inlineStr">
        <is>
          <t>2026-07-26T15:00:00Z</t>
        </is>
      </c>
      <c r="D4" s="24" t="inlineStr">
        <is>
          <t>61219</t>
        </is>
      </c>
      <c r="E4" s="24" t="inlineStr">
        <is>
          <t>CS2</t>
        </is>
      </c>
      <c r="F4" s="24" t="inlineStr">
        <is>
          <t>TheMongolz</t>
        </is>
      </c>
      <c r="G4" s="24" t="inlineStr">
        <is>
          <t>Wildcard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0.702966</v>
      </c>
      <c r="P4" s="28" t="n"/>
      <c r="Q4" s="28" t="n">
        <v>0.062678</v>
      </c>
      <c r="R4" s="26" t="n">
        <v>51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1.1236</v>
      </c>
      <c r="AD4" s="24" t="inlineStr">
        <is>
          <t>2026-07-26T17:53:04.985644Z</t>
        </is>
      </c>
      <c r="AE4" s="31" t="inlineStr">
        <is>
          <t>Neutral Elo baseline; executable ask 0.6400 (market_slug=aec-cs2-wc-mglz-2026-07-26).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TheMongolz</t>
        </is>
      </c>
      <c r="AQ4" s="24" t="inlineStr">
        <is>
          <t>TheMongolz</t>
        </is>
      </c>
      <c r="AR4" s="24" t="inlineStr">
        <is>
          <t>TheMongolz</t>
        </is>
      </c>
      <c r="AS4" s="24" t="inlineStr">
        <is>
          <t>Wildcard</t>
        </is>
      </c>
      <c r="AT4" s="24" t="inlineStr">
        <is>
          <t>Wildcard</t>
        </is>
      </c>
      <c r="AU4" s="24" t="inlineStr">
        <is>
          <t>Wildcard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2026-07-26T12:49:46.102307Z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40692918b0c94676</t>
        </is>
      </c>
      <c r="B5" s="24" t="inlineStr">
        <is>
          <t>2026-07-26T12:50:13.208687Z</t>
        </is>
      </c>
      <c r="C5" s="24" t="inlineStr">
        <is>
          <t>2026-07-26T16:00:00Z</t>
        </is>
      </c>
      <c r="D5" s="24" t="inlineStr">
        <is>
          <t>61948</t>
        </is>
      </c>
      <c r="E5" s="24" t="inlineStr">
        <is>
          <t>CS2</t>
        </is>
      </c>
      <c r="F5" s="24" t="inlineStr">
        <is>
          <t>NIP</t>
        </is>
      </c>
      <c r="G5" s="24" t="inlineStr">
        <is>
          <t>magic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0.665479</v>
      </c>
      <c r="P5" s="28" t="n"/>
      <c r="Q5" s="28" t="n">
        <v>0.195995</v>
      </c>
      <c r="R5" s="26" t="n">
        <v>100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2.26</v>
      </c>
      <c r="AD5" s="24" t="inlineStr">
        <is>
          <t>2026-07-26T18:55:48.106512Z</t>
        </is>
      </c>
      <c r="AE5" s="31" t="inlineStr">
        <is>
          <t>Neutral Elo baseline; executable ask 0.4700 (market_slug=aec-cs2-mgc-nip-2026-07-26).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NIP</t>
        </is>
      </c>
      <c r="AQ5" s="24" t="inlineStr">
        <is>
          <t>NIP</t>
        </is>
      </c>
      <c r="AR5" s="24" t="inlineStr">
        <is>
          <t>NIP</t>
        </is>
      </c>
      <c r="AS5" s="24" t="inlineStr">
        <is>
          <t>magic</t>
        </is>
      </c>
      <c r="AT5" s="24" t="inlineStr">
        <is>
          <t>magic</t>
        </is>
      </c>
      <c r="AU5" s="24" t="inlineStr">
        <is>
          <t>magic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2026-07-26T12:49:49.664310Z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18212168114f4d40</t>
        </is>
      </c>
      <c r="B6" s="24" t="inlineStr">
        <is>
          <t>2026-07-26T12:50:13.208687Z</t>
        </is>
      </c>
      <c r="C6" s="24" t="inlineStr">
        <is>
          <t>2026-07-26T17:00:00Z</t>
        </is>
      </c>
      <c r="D6" s="24" t="inlineStr">
        <is>
          <t>62237</t>
        </is>
      </c>
      <c r="E6" s="24" t="inlineStr">
        <is>
          <t>CS2</t>
        </is>
      </c>
      <c r="F6" s="24" t="inlineStr">
        <is>
          <t>Privateer Gaming</t>
        </is>
      </c>
      <c r="G6" s="24" t="inlineStr">
        <is>
          <t>Honvéd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0.700097</v>
      </c>
      <c r="P6" s="28" t="n"/>
      <c r="Q6" s="28" t="n">
        <v>0.08032499999999999</v>
      </c>
      <c r="R6" s="26" t="n">
        <v>60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1.227</v>
      </c>
      <c r="AD6" s="24" t="inlineStr">
        <is>
          <t>2026-07-26T19:30:50.572444Z</t>
        </is>
      </c>
      <c r="AE6" s="31" t="inlineStr">
        <is>
          <t>Neutral Elo baseline; executable ask 0.6200 (market_slug=aec-cs2-hon-pg-2026-07-26).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Privateer Gaming</t>
        </is>
      </c>
      <c r="AQ6" s="24" t="inlineStr">
        <is>
          <t>Privateer Gaming</t>
        </is>
      </c>
      <c r="AR6" s="24" t="inlineStr">
        <is>
          <t>Privateer Gaming</t>
        </is>
      </c>
      <c r="AS6" s="24" t="inlineStr">
        <is>
          <t>Honvéd</t>
        </is>
      </c>
      <c r="AT6" s="24" t="inlineStr">
        <is>
          <t>Honvéd</t>
        </is>
      </c>
      <c r="AU6" s="24" t="inlineStr">
        <is>
          <t>Honvéd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2026-07-26T12:49:51.560831Z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851644f016cd4f3d</t>
        </is>
      </c>
      <c r="B7" s="24" t="inlineStr">
        <is>
          <t>2026-07-26T19:32:20.623550Z</t>
        </is>
      </c>
      <c r="C7" s="24" t="inlineStr">
        <is>
          <t>2026-07-27T08:00:00Z</t>
        </is>
      </c>
      <c r="D7" s="24" t="inlineStr">
        <is>
          <t>60702</t>
        </is>
      </c>
      <c r="E7" s="24" t="inlineStr">
        <is>
          <t>CS2</t>
        </is>
      </c>
      <c r="F7" s="24" t="inlineStr">
        <is>
          <t>Entropy</t>
        </is>
      </c>
      <c r="G7" s="24" t="inlineStr">
        <is>
          <t>ex-RUSTEC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163</v>
      </c>
      <c r="M7" s="27" t="n">
        <v>2.63</v>
      </c>
      <c r="N7" s="28" t="n">
        <v>0.380228</v>
      </c>
      <c r="O7" s="28" t="n">
        <v>0.607321</v>
      </c>
      <c r="P7" s="28" t="n"/>
      <c r="Q7" s="28" t="n">
        <v>0.227093</v>
      </c>
      <c r="R7" s="26" t="n">
        <v>100</v>
      </c>
      <c r="S7" s="29" t="n">
        <v>1.5</v>
      </c>
      <c r="T7" s="24" t="inlineStr">
        <is>
          <t>cs2-tiered-elo-v4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0.3800 (market_slug=aec-cs2-erx-ent-2026-07-27).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Entropy</t>
        </is>
      </c>
      <c r="AQ7" s="24" t="inlineStr">
        <is>
          <t>Entropy</t>
        </is>
      </c>
      <c r="AR7" s="24" t="inlineStr">
        <is>
          <t>Entropy</t>
        </is>
      </c>
      <c r="AS7" s="24" t="inlineStr">
        <is>
          <t>ex-RUSTEC</t>
        </is>
      </c>
      <c r="AT7" s="24" t="inlineStr">
        <is>
          <t>ex-RUSTEC</t>
        </is>
      </c>
      <c r="AU7" s="24" t="inlineStr">
        <is>
          <t>ex-RUSTEC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2026-07-26T19:32:11.610199Z</t>
        </is>
      </c>
      <c r="BI7" s="24" t="inlineStr">
        <is>
          <t>["same_event","same_team_same_day","same_league_same_day"]</t>
        </is>
      </c>
      <c r="BJ7" s="25" t="n"/>
      <c r="BK7" s="26" t="n">
        <v>163</v>
      </c>
      <c r="BL7" s="27" t="n">
        <v>2.63</v>
      </c>
      <c r="BM7" s="28" t="n">
        <v>0.380228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13eb741cf39f44b6</t>
        </is>
      </c>
      <c r="B8" s="24" t="inlineStr">
        <is>
          <t>2026-07-26T19:32:20.623550Z</t>
        </is>
      </c>
      <c r="C8" s="24" t="inlineStr">
        <is>
          <t>2026-07-27T11:00:00Z</t>
        </is>
      </c>
      <c r="D8" s="24" t="inlineStr">
        <is>
          <t>60732</t>
        </is>
      </c>
      <c r="E8" s="24" t="inlineStr">
        <is>
          <t>CS2</t>
        </is>
      </c>
      <c r="F8" s="24" t="inlineStr">
        <is>
          <t>Noir Verse</t>
        </is>
      </c>
      <c r="G8" s="24" t="inlineStr">
        <is>
          <t>ASTRAL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0.736846</v>
      </c>
      <c r="P8" s="28" t="n"/>
      <c r="Q8" s="28" t="n">
        <v>0.107216</v>
      </c>
      <c r="R8" s="26" t="n">
        <v>74</v>
      </c>
      <c r="S8" s="29" t="n">
        <v>2</v>
      </c>
      <c r="T8" s="24" t="inlineStr">
        <is>
          <t>cs2-tiered-elo-v4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0.6300 (market_slug=aec-cs2-astr-nvo-2026-07-27).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Noir Verse</t>
        </is>
      </c>
      <c r="AQ8" s="24" t="inlineStr">
        <is>
          <t>Noir Verse</t>
        </is>
      </c>
      <c r="AR8" s="24" t="inlineStr">
        <is>
          <t>Noir Verse</t>
        </is>
      </c>
      <c r="AS8" s="24" t="inlineStr">
        <is>
          <t>ASTRAL</t>
        </is>
      </c>
      <c r="AT8" s="24" t="inlineStr">
        <is>
          <t>ASTRAL</t>
        </is>
      </c>
      <c r="AU8" s="24" t="inlineStr">
        <is>
          <t>ASTRAL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2026-07-26T19:32:12.664245Z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577cc1bfbaf04804</t>
        </is>
      </c>
      <c r="B9" s="24" t="inlineStr">
        <is>
          <t>2026-07-26T19:32:20.623550Z</t>
        </is>
      </c>
      <c r="C9" s="24" t="inlineStr">
        <is>
          <t>2026-07-27T15:30:00Z</t>
        </is>
      </c>
      <c r="D9" s="24" t="inlineStr">
        <is>
          <t>60764</t>
        </is>
      </c>
      <c r="E9" s="24" t="inlineStr">
        <is>
          <t>CS2</t>
        </is>
      </c>
      <c r="F9" s="24" t="inlineStr">
        <is>
          <t>NAVI Junior</t>
        </is>
      </c>
      <c r="G9" s="24" t="inlineStr">
        <is>
          <t>Brute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-194</v>
      </c>
      <c r="M9" s="27" t="n">
        <v>1.515464</v>
      </c>
      <c r="N9" s="28" t="n">
        <v>0.659864</v>
      </c>
      <c r="O9" s="28" t="n">
        <v>0.735192</v>
      </c>
      <c r="P9" s="28" t="n"/>
      <c r="Q9" s="28" t="n">
        <v>0.07532800000000001</v>
      </c>
      <c r="R9" s="26" t="n">
        <v>58</v>
      </c>
      <c r="S9" s="29" t="n">
        <v>2</v>
      </c>
      <c r="T9" s="24" t="inlineStr">
        <is>
          <t>cs2-tiered-elo-v4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0.6600 (market_slug=aec-cs2-brute-navij-2026-07-27).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NAVI Junior</t>
        </is>
      </c>
      <c r="AQ9" s="24" t="inlineStr">
        <is>
          <t>NAVI Junior</t>
        </is>
      </c>
      <c r="AR9" s="24" t="inlineStr">
        <is>
          <t>NAVI Junior</t>
        </is>
      </c>
      <c r="AS9" s="24" t="inlineStr">
        <is>
          <t>Brute</t>
        </is>
      </c>
      <c r="AT9" s="24" t="inlineStr">
        <is>
          <t>Brute</t>
        </is>
      </c>
      <c r="AU9" s="24" t="inlineStr">
        <is>
          <t>Brute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2026-07-26T19:32:17.438646Z</t>
        </is>
      </c>
      <c r="BI9" s="24" t="inlineStr">
        <is>
          <t>["same_event","same_team_same_day","same_league_same_day"]</t>
        </is>
      </c>
      <c r="BJ9" s="25" t="n"/>
      <c r="BK9" s="26" t="n">
        <v>-194</v>
      </c>
      <c r="BL9" s="27" t="n">
        <v>1.515464</v>
      </c>
      <c r="BM9" s="28" t="n">
        <v>0.659864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a5db31543d9941f6</t>
        </is>
      </c>
      <c r="B10" s="24" t="inlineStr">
        <is>
          <t>2026-07-26T19:32:20.623550Z</t>
        </is>
      </c>
      <c r="C10" s="24" t="inlineStr">
        <is>
          <t>2026-07-27T16:30:00Z</t>
        </is>
      </c>
      <c r="D10" s="24" t="inlineStr">
        <is>
          <t>60788</t>
        </is>
      </c>
      <c r="E10" s="24" t="inlineStr">
        <is>
          <t>CS2</t>
        </is>
      </c>
      <c r="F10" s="24" t="inlineStr">
        <is>
          <t>MOUZ NXT</t>
        </is>
      </c>
      <c r="G10" s="24" t="inlineStr">
        <is>
          <t>Brute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0.659512</v>
      </c>
      <c r="P10" s="28" t="n"/>
      <c r="Q10" s="28" t="n">
        <v>0.050137</v>
      </c>
      <c r="R10" s="26" t="n">
        <v>45</v>
      </c>
      <c r="S10" s="29" t="n">
        <v>2</v>
      </c>
      <c r="T10" s="24" t="inlineStr">
        <is>
          <t>cs2-tiered-elo-v4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0.6100 (market_slug=aec-cs2-brute-mouzn-2026-07-27).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MOUZ NXT</t>
        </is>
      </c>
      <c r="AQ10" s="24" t="inlineStr">
        <is>
          <t>MOUZ NXT</t>
        </is>
      </c>
      <c r="AR10" s="24" t="inlineStr">
        <is>
          <t>MOUZ NXT</t>
        </is>
      </c>
      <c r="AS10" s="24" t="inlineStr">
        <is>
          <t>Brute</t>
        </is>
      </c>
      <c r="AT10" s="24" t="inlineStr">
        <is>
          <t>Brute</t>
        </is>
      </c>
      <c r="AU10" s="24" t="inlineStr">
        <is>
          <t>Brute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e9c327ce15d79aaa8ed5032a6fb86929aaa479e14a8bc9a35686411400dd6b91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e9c327ce15d79aaa8ed5032a6fb86929aaa479e14a8bc9a35686411400dd6b91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2026-07-26T19:32:17.953712Z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a0beb7bad3134fda</t>
        </is>
      </c>
      <c r="B11" s="24" t="inlineStr">
        <is>
          <t>2026-07-26T19:32:20.623550Z</t>
        </is>
      </c>
      <c r="C11" s="24" t="inlineStr">
        <is>
          <t>2026-07-27T17:00:00Z</t>
        </is>
      </c>
      <c r="D11" s="24" t="inlineStr">
        <is>
          <t>60795</t>
        </is>
      </c>
      <c r="E11" s="24" t="inlineStr">
        <is>
          <t>CS2</t>
        </is>
      </c>
      <c r="F11" s="24" t="inlineStr">
        <is>
          <t>Falcons Force</t>
        </is>
      </c>
      <c r="G11" s="24" t="inlineStr">
        <is>
          <t>Bebop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-163</v>
      </c>
      <c r="M11" s="27" t="n">
        <v>1.613497</v>
      </c>
      <c r="N11" s="28" t="n">
        <v>0.619772</v>
      </c>
      <c r="O11" s="28" t="n">
        <v>0.70196</v>
      </c>
      <c r="P11" s="28" t="n"/>
      <c r="Q11" s="28" t="n">
        <v>0.082188</v>
      </c>
      <c r="R11" s="26" t="n">
        <v>61</v>
      </c>
      <c r="S11" s="29" t="n">
        <v>2</v>
      </c>
      <c r="T11" s="24" t="inlineStr">
        <is>
          <t>cs2-tiered-elo-v4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0.6200 (market_slug=aec-cs2-bbp-falf-2026-07-27).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Falcons Force</t>
        </is>
      </c>
      <c r="AQ11" s="24" t="inlineStr">
        <is>
          <t>Falcons Force</t>
        </is>
      </c>
      <c r="AR11" s="24" t="inlineStr">
        <is>
          <t>Falcons Force</t>
        </is>
      </c>
      <c r="AS11" s="24" t="inlineStr">
        <is>
          <t>Bebop</t>
        </is>
      </c>
      <c r="AT11" s="24" t="inlineStr">
        <is>
          <t>Bebop</t>
        </is>
      </c>
      <c r="AU11" s="24" t="inlineStr">
        <is>
          <t>Bebop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e9c327ce15d79aaa8ed5032a6fb86929aaa479e14a8bc9a35686411400dd6b91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e9c327ce15d79aaa8ed5032a6fb86929aaa479e14a8bc9a35686411400dd6b91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2026-07-26T19:32:18.459256Z</t>
        </is>
      </c>
      <c r="BI11" s="24" t="inlineStr">
        <is>
          <t>["same_event","same_team_same_day","same_league_same_day"]</t>
        </is>
      </c>
      <c r="BJ11" s="25" t="n"/>
      <c r="BK11" s="26" t="n">
        <v>-163</v>
      </c>
      <c r="BL11" s="27" t="n">
        <v>1.613497</v>
      </c>
      <c r="BM11" s="28" t="n">
        <v>0.619772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c3d7c5b84e5f45ae</t>
        </is>
      </c>
      <c r="B12" s="24" t="inlineStr">
        <is>
          <t>2026-07-26T19:32:20.623550Z</t>
        </is>
      </c>
      <c r="C12" s="24" t="inlineStr">
        <is>
          <t>2026-07-27T17:00:00Z</t>
        </is>
      </c>
      <c r="D12" s="24" t="inlineStr">
        <is>
          <t>60794</t>
        </is>
      </c>
      <c r="E12" s="24" t="inlineStr">
        <is>
          <t>CS2</t>
        </is>
      </c>
      <c r="F12" s="24" t="inlineStr">
        <is>
          <t>HATERS</t>
        </is>
      </c>
      <c r="G12" s="24" t="inlineStr">
        <is>
          <t>Rush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178</v>
      </c>
      <c r="M12" s="27" t="n">
        <v>2.78</v>
      </c>
      <c r="N12" s="28" t="n">
        <v>0.359712</v>
      </c>
      <c r="O12" s="28" t="n">
        <v>0.573171</v>
      </c>
      <c r="P12" s="28" t="n"/>
      <c r="Q12" s="28" t="n">
        <v>0.213459</v>
      </c>
      <c r="R12" s="26" t="n">
        <v>100</v>
      </c>
      <c r="S12" s="29" t="n">
        <v>1.25</v>
      </c>
      <c r="T12" s="24" t="inlineStr">
        <is>
          <t>cs2-tiered-elo-v4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0.3600 (market_slug=aec-cs2-rush-hat-2026-07-27).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HATERS</t>
        </is>
      </c>
      <c r="AQ12" s="24" t="inlineStr">
        <is>
          <t>HATERS</t>
        </is>
      </c>
      <c r="AR12" s="24" t="inlineStr">
        <is>
          <t>HATERS</t>
        </is>
      </c>
      <c r="AS12" s="24" t="inlineStr">
        <is>
          <t>Rush</t>
        </is>
      </c>
      <c r="AT12" s="24" t="inlineStr">
        <is>
          <t>Rush</t>
        </is>
      </c>
      <c r="AU12" s="24" t="inlineStr">
        <is>
          <t>Rush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e9c327ce15d79aaa8ed5032a6fb86929aaa479e14a8bc9a35686411400dd6b91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e9c327ce15d79aaa8ed5032a6fb86929aaa479e14a8bc9a35686411400dd6b91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2026-07-26T19:32:18.919041Z</t>
        </is>
      </c>
      <c r="BI12" s="24" t="inlineStr">
        <is>
          <t>["same_event","same_team_same_day","same_league_same_day"]</t>
        </is>
      </c>
      <c r="BJ12" s="25" t="n"/>
      <c r="BK12" s="26" t="n">
        <v>178</v>
      </c>
      <c r="BL12" s="27" t="n">
        <v>2.78</v>
      </c>
      <c r="BM12" s="28" t="n">
        <v>0.359712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2026-07-26T19:32:21Z</dcterms:created>
  <dcterms:modified xsi:type="dcterms:W3CDTF">2026-07-26T19:32:21Z</dcterms:modified>
</cp:coreProperties>
</file>