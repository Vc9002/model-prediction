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22" headerRowCount="1">
  <autoFilter ref="A1:CO22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COUNTA('Picks'!$A$2:$A$22)</f>
        <v/>
      </c>
      <c r="C4" s="6">
        <f>COUNTIF('Picks'!$U$2:$U$22,"open")</f>
        <v/>
      </c>
      <c r="E4" s="6">
        <f>COUNTIF('Picks'!$U$2:$U$22,"settled")</f>
        <v/>
      </c>
      <c r="G4" s="6">
        <f>IF(COUNTIFS('Picks'!$U$2:$U$22,"settled",'Picks'!$V$2:$V$22,"win")+COUNTIFS('Picks'!$U$2:$U$22,"settled",'Picks'!$V$2:$V$22,"loss")&gt;=$L$2,"Ready","Insufficient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COUNTIF('Picks'!$BX$2:$BX$22,"&gt;0")</f>
        <v/>
      </c>
      <c r="C7" s="6">
        <f>COUNTIFS('Picks'!$BX$2:$BX$22,"&gt;0",'Picks'!$V$2:$V$22,"win")&amp;"-"&amp;COUNTIFS('Picks'!$BX$2:$BX$22,"&gt;0",'Picks'!$V$2:$V$22,"loss")</f>
        <v/>
      </c>
      <c r="E7" s="7">
        <f>IFERROR(COUNTIFS('Picks'!$BX$2:$BX$22,"&gt;0",'Picks'!$V$2:$V$22,"win")/(COUNTIFS('Picks'!$BX$2:$BX$22,"&gt;0",'Picks'!$V$2:$V$22,"win")+COUNTIFS('Picks'!$BX$2:$BX$22,"&gt;0",'Picks'!$V$2:$V$22,"loss")),0)</f>
        <v/>
      </c>
      <c r="G7" s="7">
        <f>IFERROR(SUM('Picks'!$BY$2:$BY$22)/SUM('Picks'!$BX$2:$BX$22),0)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SUM('Picks'!$BY$2:$BY$22)</f>
        <v/>
      </c>
      <c r="C10" s="9">
        <f>IFERROR(AVERAGEIF('Picks'!$AB$2:$AB$22,"&lt;&gt;",'Picks'!$AB$2:$AB$22),0)</f>
        <v/>
      </c>
      <c r="E10" s="6">
        <f>COUNTIFS('Picks'!$AM$2:$AM$22,"QUALIFIED_SHADOW_CALL",'Picks'!$U$2:$U$22,"settled")</f>
        <v/>
      </c>
      <c r="G10" s="8">
        <f>SUMIFS('Picks'!$AC$2:$AC$22,'Picks'!$AM$2:$AM$22,"QUALIFIED_SHADOW_CALL")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COUNTIFS('Picks'!$H$2:$H$22,$A14,'Picks'!$U$2:$U$22,"settled")</f>
        <v/>
      </c>
      <c r="C14" s="13">
        <f>COUNTIFS('Picks'!$H$2:$H$22,$A14,'Picks'!$U$2:$U$22,"settled",'Picks'!$V$2:$V$22,"win")</f>
        <v/>
      </c>
      <c r="D14" s="13">
        <f>COUNTIFS('Picks'!$H$2:$H$22,$A14,'Picks'!$U$2:$U$22,"settled",'Picks'!$V$2:$V$22,"loss")</f>
        <v/>
      </c>
      <c r="E14" s="14">
        <f>IFERROR(C14/(C14+D14),0)</f>
        <v/>
      </c>
      <c r="F14" s="15">
        <f>SUMIFS('Picks'!$BY$2:$BY$22,'Picks'!$H$2:$H$22,$A14)</f>
        <v/>
      </c>
      <c r="G14" s="16">
        <f>IFERROR(AVERAGEIFS('Picks'!$AB$2:$AB$22,'Picks'!$H$2:$H$22,$A14,'Picks'!$U$2:$U$22,"settled"),0)</f>
        <v/>
      </c>
    </row>
    <row r="15">
      <c r="A15" s="17" t="inlineStr">
        <is>
          <t>spread</t>
        </is>
      </c>
      <c r="B15" s="18">
        <f>COUNTIFS('Picks'!$H$2:$H$22,$A15,'Picks'!$U$2:$U$22,"settled")</f>
        <v/>
      </c>
      <c r="C15" s="18">
        <f>COUNTIFS('Picks'!$H$2:$H$22,$A15,'Picks'!$U$2:$U$22,"settled",'Picks'!$V$2:$V$22,"win")</f>
        <v/>
      </c>
      <c r="D15" s="18">
        <f>COUNTIFS('Picks'!$H$2:$H$22,$A15,'Picks'!$U$2:$U$22,"settled",'Picks'!$V$2:$V$22,"loss")</f>
        <v/>
      </c>
      <c r="E15" s="19">
        <f>IFERROR(C15/(C15+D15),0)</f>
        <v/>
      </c>
      <c r="F15" s="20">
        <f>SUMIFS('Picks'!$BY$2:$BY$22,'Picks'!$H$2:$H$22,$A15)</f>
        <v/>
      </c>
      <c r="G15" s="21">
        <f>IFERROR(AVERAGEIFS('Picks'!$AB$2:$AB$22,'Picks'!$H$2:$H$22,$A15,'Picks'!$U$2:$U$22,"settled"),0)</f>
        <v/>
      </c>
    </row>
    <row r="16">
      <c r="A16" s="12" t="inlineStr">
        <is>
          <t>total</t>
        </is>
      </c>
      <c r="B16" s="13">
        <f>COUNTIFS('Picks'!$H$2:$H$22,$A16,'Picks'!$U$2:$U$22,"settled")</f>
        <v/>
      </c>
      <c r="C16" s="13">
        <f>COUNTIFS('Picks'!$H$2:$H$22,$A16,'Picks'!$U$2:$U$22,"settled",'Picks'!$V$2:$V$22,"win")</f>
        <v/>
      </c>
      <c r="D16" s="13">
        <f>COUNTIFS('Picks'!$H$2:$H$22,$A16,'Picks'!$U$2:$U$22,"settled",'Picks'!$V$2:$V$22,"loss")</f>
        <v/>
      </c>
      <c r="E16" s="14">
        <f>IFERROR(C16/(C16+D16),0)</f>
        <v/>
      </c>
      <c r="F16" s="15">
        <f>SUMIFS('Picks'!$BY$2:$BY$22,'Picks'!$H$2:$H$22,$A16)</f>
        <v/>
      </c>
      <c r="G16" s="16">
        <f>IFERROR(AVERAGEIFS('Picks'!$AB$2:$AB$22,'Picks'!$H$2:$H$22,$A16,'Picks'!$U$2:$U$22,"settled"),0)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cbcaf934fa5848e5</t>
        </is>
      </c>
      <c r="B2" s="24" t="inlineStr">
        <is>
          <t>2026-07-26T08:22:32.657968Z</t>
        </is>
      </c>
      <c r="C2" s="24" t="inlineStr">
        <is>
          <t>2026-07-26T11:00:00Z</t>
        </is>
      </c>
      <c r="D2" s="24" t="inlineStr">
        <is>
          <t>61824</t>
        </is>
      </c>
      <c r="E2" s="24" t="inlineStr">
        <is>
          <t>CS2</t>
        </is>
      </c>
      <c r="F2" s="24" t="inlineStr">
        <is>
          <t>ex-MANA eSports</t>
        </is>
      </c>
      <c r="G2" s="24" t="inlineStr">
        <is>
          <t>NEW VISION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-113</v>
      </c>
      <c r="M2" s="27" t="n">
        <v>1.884956</v>
      </c>
      <c r="N2" s="28" t="n">
        <v>0.530516</v>
      </c>
      <c r="O2" s="28" t="n">
        <v>0.621956</v>
      </c>
      <c r="P2" s="28" t="n"/>
      <c r="Q2" s="28" t="n">
        <v>0.09143999999999999</v>
      </c>
      <c r="R2" s="26" t="n">
        <v>66</v>
      </c>
      <c r="S2" s="29" t="n">
        <v>1.75</v>
      </c>
      <c r="T2" s="24" t="inlineStr">
        <is>
          <t>cs2-tiered-elo-v4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1.5487</v>
      </c>
      <c r="AD2" s="24" t="inlineStr">
        <is>
          <t>2026-07-26T17:52:55.837413Z</t>
        </is>
      </c>
      <c r="AE2" s="31" t="inlineStr">
        <is>
          <t>Neutral Elo baseline; executable ask 0.5300 (market_slug=aec-cs2-nve-exmana-2026-07-26).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ex-MANA eSports</t>
        </is>
      </c>
      <c r="AQ2" s="24" t="inlineStr">
        <is>
          <t>ex-MANA eSports</t>
        </is>
      </c>
      <c r="AR2" s="24" t="inlineStr">
        <is>
          <t>ex-MANA eSports</t>
        </is>
      </c>
      <c r="AS2" s="24" t="inlineStr">
        <is>
          <t>NEW VISION</t>
        </is>
      </c>
      <c r="AT2" s="24" t="inlineStr">
        <is>
          <t>NEW VISION</t>
        </is>
      </c>
      <c r="AU2" s="24" t="inlineStr">
        <is>
          <t>NEW VISION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e9c327ce15d79aaa8ed5032a6fb86929aaa479e14a8bc9a35686411400dd6b91</t>
        </is>
      </c>
      <c r="BB2" s="24" t="inlineStr">
        <is>
          <t>neutral_elo</t>
        </is>
      </c>
      <c r="BC2" s="24" t="inlineStr">
        <is>
          <t>cs2-tiered-elo-v4</t>
        </is>
      </c>
      <c r="BD2" s="24" t="inlineStr">
        <is>
          <t>e9c327ce15d79aaa8ed5032a6fb86929aaa479e14a8bc9a35686411400dd6b91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cs2-tiered-elo-v4</t>
        </is>
      </c>
      <c r="BH2" s="24" t="inlineStr">
        <is>
          <t>2026-07-26T08:21:51.887770Z</t>
        </is>
      </c>
      <c r="BI2" s="24" t="inlineStr">
        <is>
          <t>["same_event","same_team_same_day","same_league_same_day"]</t>
        </is>
      </c>
      <c r="BJ2" s="25" t="n"/>
      <c r="BK2" s="26" t="n">
        <v>-113</v>
      </c>
      <c r="BL2" s="27" t="n">
        <v>1.884956</v>
      </c>
      <c r="BM2" s="28" t="n">
        <v>0.530516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04eaa9b94d3542cb</t>
        </is>
      </c>
      <c r="B3" s="24" t="inlineStr">
        <is>
          <t>2026-07-26T12:50:13.208687Z</t>
        </is>
      </c>
      <c r="C3" s="24" t="inlineStr">
        <is>
          <t>2026-07-26T14:00:00Z</t>
        </is>
      </c>
      <c r="D3" s="24" t="inlineStr">
        <is>
          <t>61440</t>
        </is>
      </c>
      <c r="E3" s="24" t="inlineStr">
        <is>
          <t>CS2</t>
        </is>
      </c>
      <c r="F3" s="24" t="inlineStr">
        <is>
          <t>Lazer Cats</t>
        </is>
      </c>
      <c r="G3" s="24" t="inlineStr">
        <is>
          <t>STATE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0.769302</v>
      </c>
      <c r="P3" s="28" t="n"/>
      <c r="Q3" s="28" t="n">
        <v>0.269302</v>
      </c>
      <c r="R3" s="26" t="n">
        <v>100</v>
      </c>
      <c r="S3" s="29" t="n">
        <v>2</v>
      </c>
      <c r="T3" s="24" t="inlineStr">
        <is>
          <t>cs2-tiered-elo-v4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-2</v>
      </c>
      <c r="AD3" s="24" t="inlineStr">
        <is>
          <t>2026-07-26T17:53:02.090518Z</t>
        </is>
      </c>
      <c r="AE3" s="31" t="inlineStr">
        <is>
          <t>Neutral Elo baseline; executable ask 0.5000 (market_slug=aec-cs2-sta-lc-2026-07-26).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Lazer Cats</t>
        </is>
      </c>
      <c r="AQ3" s="24" t="inlineStr">
        <is>
          <t>Lazer Cats</t>
        </is>
      </c>
      <c r="AR3" s="24" t="inlineStr">
        <is>
          <t>Lazer Cats</t>
        </is>
      </c>
      <c r="AS3" s="24" t="inlineStr">
        <is>
          <t>STATE</t>
        </is>
      </c>
      <c r="AT3" s="24" t="inlineStr">
        <is>
          <t>STATE</t>
        </is>
      </c>
      <c r="AU3" s="24" t="inlineStr">
        <is>
          <t>STATE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e9c327ce15d79aaa8ed5032a6fb86929aaa479e14a8bc9a35686411400dd6b91</t>
        </is>
      </c>
      <c r="BB3" s="24" t="inlineStr">
        <is>
          <t>neutral_elo</t>
        </is>
      </c>
      <c r="BC3" s="24" t="inlineStr">
        <is>
          <t>cs2-tiered-elo-v4</t>
        </is>
      </c>
      <c r="BD3" s="24" t="inlineStr">
        <is>
          <t>e9c327ce15d79aaa8ed5032a6fb86929aaa479e14a8bc9a35686411400dd6b91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cs2-tiered-elo-v4</t>
        </is>
      </c>
      <c r="BH3" s="24" t="inlineStr">
        <is>
          <t>2026-07-26T12:49:44.422167Z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caef081f30c24894</t>
        </is>
      </c>
      <c r="B4" s="24" t="inlineStr">
        <is>
          <t>2026-07-26T12:50:13.208687Z</t>
        </is>
      </c>
      <c r="C4" s="24" t="inlineStr">
        <is>
          <t>2026-07-26T15:00:00Z</t>
        </is>
      </c>
      <c r="D4" s="24" t="inlineStr">
        <is>
          <t>61219</t>
        </is>
      </c>
      <c r="E4" s="24" t="inlineStr">
        <is>
          <t>CS2</t>
        </is>
      </c>
      <c r="F4" s="24" t="inlineStr">
        <is>
          <t>TheMongolz</t>
        </is>
      </c>
      <c r="G4" s="24" t="inlineStr">
        <is>
          <t>Wildcard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0.702966</v>
      </c>
      <c r="P4" s="28" t="n"/>
      <c r="Q4" s="28" t="n">
        <v>0.062678</v>
      </c>
      <c r="R4" s="26" t="n">
        <v>51</v>
      </c>
      <c r="S4" s="29" t="n">
        <v>2</v>
      </c>
      <c r="T4" s="24" t="inlineStr">
        <is>
          <t>cs2-tiered-elo-v4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1.1236</v>
      </c>
      <c r="AD4" s="24" t="inlineStr">
        <is>
          <t>2026-07-26T17:53:04.985644Z</t>
        </is>
      </c>
      <c r="AE4" s="31" t="inlineStr">
        <is>
          <t>Neutral Elo baseline; executable ask 0.6400 (market_slug=aec-cs2-wc-mglz-2026-07-26).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TheMongolz</t>
        </is>
      </c>
      <c r="AQ4" s="24" t="inlineStr">
        <is>
          <t>TheMongolz</t>
        </is>
      </c>
      <c r="AR4" s="24" t="inlineStr">
        <is>
          <t>TheMongolz</t>
        </is>
      </c>
      <c r="AS4" s="24" t="inlineStr">
        <is>
          <t>Wildcard</t>
        </is>
      </c>
      <c r="AT4" s="24" t="inlineStr">
        <is>
          <t>Wildcard</t>
        </is>
      </c>
      <c r="AU4" s="24" t="inlineStr">
        <is>
          <t>Wildcard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e9c327ce15d79aaa8ed5032a6fb86929aaa479e14a8bc9a35686411400dd6b91</t>
        </is>
      </c>
      <c r="BB4" s="24" t="inlineStr">
        <is>
          <t>neutral_elo</t>
        </is>
      </c>
      <c r="BC4" s="24" t="inlineStr">
        <is>
          <t>cs2-tiered-elo-v4</t>
        </is>
      </c>
      <c r="BD4" s="24" t="inlineStr">
        <is>
          <t>e9c327ce15d79aaa8ed5032a6fb86929aaa479e14a8bc9a35686411400dd6b91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cs2-tiered-elo-v4</t>
        </is>
      </c>
      <c r="BH4" s="24" t="inlineStr">
        <is>
          <t>2026-07-26T12:49:46.102307Z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40692918b0c94676</t>
        </is>
      </c>
      <c r="B5" s="24" t="inlineStr">
        <is>
          <t>2026-07-26T12:50:13.208687Z</t>
        </is>
      </c>
      <c r="C5" s="24" t="inlineStr">
        <is>
          <t>2026-07-26T16:00:00Z</t>
        </is>
      </c>
      <c r="D5" s="24" t="inlineStr">
        <is>
          <t>61948</t>
        </is>
      </c>
      <c r="E5" s="24" t="inlineStr">
        <is>
          <t>CS2</t>
        </is>
      </c>
      <c r="F5" s="24" t="inlineStr">
        <is>
          <t>NIP</t>
        </is>
      </c>
      <c r="G5" s="24" t="inlineStr">
        <is>
          <t>magic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113</v>
      </c>
      <c r="M5" s="27" t="n">
        <v>2.13</v>
      </c>
      <c r="N5" s="28" t="n">
        <v>0.469484</v>
      </c>
      <c r="O5" s="28" t="n">
        <v>0.665479</v>
      </c>
      <c r="P5" s="28" t="n"/>
      <c r="Q5" s="28" t="n">
        <v>0.195995</v>
      </c>
      <c r="R5" s="26" t="n">
        <v>100</v>
      </c>
      <c r="S5" s="29" t="n">
        <v>2</v>
      </c>
      <c r="T5" s="24" t="inlineStr">
        <is>
          <t>cs2-tiered-elo-v4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/>
      <c r="AA5" s="28" t="n"/>
      <c r="AB5" s="28" t="n"/>
      <c r="AC5" s="30" t="n">
        <v>2.26</v>
      </c>
      <c r="AD5" s="24" t="inlineStr">
        <is>
          <t>2026-07-26T18:55:48.106512Z</t>
        </is>
      </c>
      <c r="AE5" s="31" t="inlineStr">
        <is>
          <t>Neutral Elo baseline; executable ask 0.4700 (market_slug=aec-cs2-mgc-nip-2026-07-26).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NIP</t>
        </is>
      </c>
      <c r="AQ5" s="24" t="inlineStr">
        <is>
          <t>NIP</t>
        </is>
      </c>
      <c r="AR5" s="24" t="inlineStr">
        <is>
          <t>NIP</t>
        </is>
      </c>
      <c r="AS5" s="24" t="inlineStr">
        <is>
          <t>magic</t>
        </is>
      </c>
      <c r="AT5" s="24" t="inlineStr">
        <is>
          <t>magic</t>
        </is>
      </c>
      <c r="AU5" s="24" t="inlineStr">
        <is>
          <t>magic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e9c327ce15d79aaa8ed5032a6fb86929aaa479e14a8bc9a35686411400dd6b91</t>
        </is>
      </c>
      <c r="BB5" s="24" t="inlineStr">
        <is>
          <t>neutral_elo</t>
        </is>
      </c>
      <c r="BC5" s="24" t="inlineStr">
        <is>
          <t>cs2-tiered-elo-v4</t>
        </is>
      </c>
      <c r="BD5" s="24" t="inlineStr">
        <is>
          <t>e9c327ce15d79aaa8ed5032a6fb86929aaa479e14a8bc9a35686411400dd6b91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cs2-tiered-elo-v4</t>
        </is>
      </c>
      <c r="BH5" s="24" t="inlineStr">
        <is>
          <t>2026-07-26T12:49:49.664310Z</t>
        </is>
      </c>
      <c r="BI5" s="24" t="inlineStr">
        <is>
          <t>["same_event","same_team_same_day","same_league_same_day"]</t>
        </is>
      </c>
      <c r="BJ5" s="25" t="n"/>
      <c r="BK5" s="26" t="n">
        <v>113</v>
      </c>
      <c r="BL5" s="27" t="n">
        <v>2.13</v>
      </c>
      <c r="BM5" s="28" t="n">
        <v>0.469484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18212168114f4d40</t>
        </is>
      </c>
      <c r="B6" s="24" t="inlineStr">
        <is>
          <t>2026-07-26T12:50:13.208687Z</t>
        </is>
      </c>
      <c r="C6" s="24" t="inlineStr">
        <is>
          <t>2026-07-26T17:00:00Z</t>
        </is>
      </c>
      <c r="D6" s="24" t="inlineStr">
        <is>
          <t>62237</t>
        </is>
      </c>
      <c r="E6" s="24" t="inlineStr">
        <is>
          <t>CS2</t>
        </is>
      </c>
      <c r="F6" s="24" t="inlineStr">
        <is>
          <t>Privateer Gaming</t>
        </is>
      </c>
      <c r="G6" s="24" t="inlineStr">
        <is>
          <t>Honvéd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-163</v>
      </c>
      <c r="M6" s="27" t="n">
        <v>1.613497</v>
      </c>
      <c r="N6" s="28" t="n">
        <v>0.619772</v>
      </c>
      <c r="O6" s="28" t="n">
        <v>0.700097</v>
      </c>
      <c r="P6" s="28" t="n"/>
      <c r="Q6" s="28" t="n">
        <v>0.08032499999999999</v>
      </c>
      <c r="R6" s="26" t="n">
        <v>60</v>
      </c>
      <c r="S6" s="29" t="n">
        <v>2</v>
      </c>
      <c r="T6" s="24" t="inlineStr">
        <is>
          <t>cs2-tiered-elo-v4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1.227</v>
      </c>
      <c r="AD6" s="24" t="inlineStr">
        <is>
          <t>2026-07-26T19:30:50.572444Z</t>
        </is>
      </c>
      <c r="AE6" s="31" t="inlineStr">
        <is>
          <t>Neutral Elo baseline; executable ask 0.6200 (market_slug=aec-cs2-hon-pg-2026-07-26).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Privateer Gaming</t>
        </is>
      </c>
      <c r="AQ6" s="24" t="inlineStr">
        <is>
          <t>Privateer Gaming</t>
        </is>
      </c>
      <c r="AR6" s="24" t="inlineStr">
        <is>
          <t>Privateer Gaming</t>
        </is>
      </c>
      <c r="AS6" s="24" t="inlineStr">
        <is>
          <t>Honvéd</t>
        </is>
      </c>
      <c r="AT6" s="24" t="inlineStr">
        <is>
          <t>Honvéd</t>
        </is>
      </c>
      <c r="AU6" s="24" t="inlineStr">
        <is>
          <t>Honvéd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e9c327ce15d79aaa8ed5032a6fb86929aaa479e14a8bc9a35686411400dd6b91</t>
        </is>
      </c>
      <c r="BB6" s="24" t="inlineStr">
        <is>
          <t>neutral_elo</t>
        </is>
      </c>
      <c r="BC6" s="24" t="inlineStr">
        <is>
          <t>cs2-tiered-elo-v4</t>
        </is>
      </c>
      <c r="BD6" s="24" t="inlineStr">
        <is>
          <t>e9c327ce15d79aaa8ed5032a6fb86929aaa479e14a8bc9a35686411400dd6b91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cs2-tiered-elo-v4</t>
        </is>
      </c>
      <c r="BH6" s="24" t="inlineStr">
        <is>
          <t>2026-07-26T12:49:51.560831Z</t>
        </is>
      </c>
      <c r="BI6" s="24" t="inlineStr">
        <is>
          <t>["same_event","same_team_same_day","same_league_same_day"]</t>
        </is>
      </c>
      <c r="BJ6" s="25" t="n"/>
      <c r="BK6" s="26" t="n">
        <v>-163</v>
      </c>
      <c r="BL6" s="27" t="n">
        <v>1.613497</v>
      </c>
      <c r="BM6" s="28" t="n">
        <v>0.619772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d214d4e301eb402a</t>
        </is>
      </c>
      <c r="B7" s="24" t="inlineStr">
        <is>
          <t>2026-07-27T10:27:30.866418Z</t>
        </is>
      </c>
      <c r="C7" s="24" t="inlineStr">
        <is>
          <t>2026-07-27T11:00:00Z</t>
        </is>
      </c>
      <c r="D7" s="24" t="inlineStr">
        <is>
          <t>60732</t>
        </is>
      </c>
      <c r="E7" s="24" t="inlineStr">
        <is>
          <t>CS2</t>
        </is>
      </c>
      <c r="F7" s="24" t="inlineStr">
        <is>
          <t>Noir Verse</t>
        </is>
      </c>
      <c r="G7" s="24" t="inlineStr">
        <is>
          <t>ASTRAL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-203</v>
      </c>
      <c r="M7" s="27" t="n">
        <v>1.492611</v>
      </c>
      <c r="N7" s="28" t="n">
        <v>0.669967</v>
      </c>
      <c r="O7" s="28" t="n">
        <v>0.736846</v>
      </c>
      <c r="P7" s="28" t="n"/>
      <c r="Q7" s="28" t="n">
        <v>0.06687899999999999</v>
      </c>
      <c r="R7" s="26" t="n">
        <v>53</v>
      </c>
      <c r="S7" s="29" t="n">
        <v>2</v>
      </c>
      <c r="T7" s="24" t="inlineStr">
        <is>
          <t>cs2-tiered-elo-v4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-2</v>
      </c>
      <c r="AD7" s="24" t="inlineStr">
        <is>
          <t>2026-07-27T13:28:05.785838Z</t>
        </is>
      </c>
      <c r="AE7" s="31" t="inlineStr">
        <is>
          <t>Neutral Elo baseline; executable ask 0.6700 (market_slug=aec-cs2-astr-nvo-2026-07-27).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Noir Verse</t>
        </is>
      </c>
      <c r="AQ7" s="24" t="inlineStr">
        <is>
          <t>Noir Verse</t>
        </is>
      </c>
      <c r="AR7" s="24" t="inlineStr">
        <is>
          <t>Noir Verse</t>
        </is>
      </c>
      <c r="AS7" s="24" t="inlineStr">
        <is>
          <t>ASTRAL</t>
        </is>
      </c>
      <c r="AT7" s="24" t="inlineStr">
        <is>
          <t>ASTRAL</t>
        </is>
      </c>
      <c r="AU7" s="24" t="inlineStr">
        <is>
          <t>ASTRAL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e9c327ce15d79aaa8ed5032a6fb86929aaa479e14a8bc9a35686411400dd6b91</t>
        </is>
      </c>
      <c r="BB7" s="24" t="inlineStr">
        <is>
          <t>neutral_elo</t>
        </is>
      </c>
      <c r="BC7" s="24" t="inlineStr">
        <is>
          <t>cs2-tiered-elo-v4</t>
        </is>
      </c>
      <c r="BD7" s="24" t="inlineStr">
        <is>
          <t>e9c327ce15d79aaa8ed5032a6fb86929aaa479e14a8bc9a35686411400dd6b91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cs2-tiered-elo-v4</t>
        </is>
      </c>
      <c r="BH7" s="24" t="inlineStr">
        <is>
          <t>2026-07-27T10:27:02.394501Z</t>
        </is>
      </c>
      <c r="BI7" s="24" t="inlineStr">
        <is>
          <t>["same_event","same_team_same_day","same_league_same_day"]</t>
        </is>
      </c>
      <c r="BJ7" s="25" t="n"/>
      <c r="BK7" s="26" t="n">
        <v>-203</v>
      </c>
      <c r="BL7" s="27" t="n">
        <v>1.492611</v>
      </c>
      <c r="BM7" s="28" t="n">
        <v>0.669967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43fbd7ae8a454468</t>
        </is>
      </c>
      <c r="B8" s="24" t="inlineStr">
        <is>
          <t>2026-07-27T10:27:30.866418Z</t>
        </is>
      </c>
      <c r="C8" s="24" t="inlineStr">
        <is>
          <t>2026-07-27T11:00:00Z</t>
        </is>
      </c>
      <c r="D8" s="24" t="inlineStr">
        <is>
          <t>63352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ex-RUBY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-156</v>
      </c>
      <c r="M8" s="27" t="n">
        <v>1.641026</v>
      </c>
      <c r="N8" s="28" t="n">
        <v>0.609375</v>
      </c>
      <c r="O8" s="28" t="n">
        <v>0.862507</v>
      </c>
      <c r="P8" s="28" t="n"/>
      <c r="Q8" s="28" t="n">
        <v>0.253132</v>
      </c>
      <c r="R8" s="26" t="n">
        <v>100</v>
      </c>
      <c r="S8" s="29" t="n">
        <v>2</v>
      </c>
      <c r="T8" s="24" t="inlineStr">
        <is>
          <t>cs2-tiered-elo-v4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1.2821</v>
      </c>
      <c r="AD8" s="24" t="inlineStr">
        <is>
          <t>2026-07-27T13:28:06.987937Z</t>
        </is>
      </c>
      <c r="AE8" s="31" t="inlineStr">
        <is>
          <t>Neutral Elo baseline; executable ask 0.6100 (market_slug=aec-cs2-exruby-erx-2026-07-27).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ex-RUBY</t>
        </is>
      </c>
      <c r="AT8" s="24" t="inlineStr">
        <is>
          <t>ex-RUBY</t>
        </is>
      </c>
      <c r="AU8" s="24" t="inlineStr">
        <is>
          <t>ex-RUBY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e9c327ce15d79aaa8ed5032a6fb86929aaa479e14a8bc9a35686411400dd6b91</t>
        </is>
      </c>
      <c r="BB8" s="24" t="inlineStr">
        <is>
          <t>neutral_elo</t>
        </is>
      </c>
      <c r="BC8" s="24" t="inlineStr">
        <is>
          <t>cs2-tiered-elo-v4</t>
        </is>
      </c>
      <c r="BD8" s="24" t="inlineStr">
        <is>
          <t>e9c327ce15d79aaa8ed5032a6fb86929aaa479e14a8bc9a35686411400dd6b91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cs2-tiered-elo-v4</t>
        </is>
      </c>
      <c r="BH8" s="24" t="inlineStr">
        <is>
          <t>2026-07-27T10:27:03.352513Z</t>
        </is>
      </c>
      <c r="BI8" s="24" t="inlineStr">
        <is>
          <t>["same_event","same_team_same_day","same_league_same_day"]</t>
        </is>
      </c>
      <c r="BJ8" s="25" t="n"/>
      <c r="BK8" s="26" t="n">
        <v>-156</v>
      </c>
      <c r="BL8" s="27" t="n">
        <v>1.641026</v>
      </c>
      <c r="BM8" s="28" t="n">
        <v>0.609375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4525ee5e7e904c7a</t>
        </is>
      </c>
      <c r="B9" s="24" t="inlineStr">
        <is>
          <t>2026-07-27T10:27:30.866418Z</t>
        </is>
      </c>
      <c r="C9" s="24" t="inlineStr">
        <is>
          <t>2026-07-27T12:00:00Z</t>
        </is>
      </c>
      <c r="D9" s="24" t="inlineStr">
        <is>
          <t>60736</t>
        </is>
      </c>
      <c r="E9" s="24" t="inlineStr">
        <is>
          <t>CS2</t>
        </is>
      </c>
      <c r="F9" s="24" t="inlineStr">
        <is>
          <t>Atputies</t>
        </is>
      </c>
      <c r="G9" s="24" t="inlineStr">
        <is>
          <t>Noir Verse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0.610293</v>
      </c>
      <c r="P9" s="28" t="n"/>
      <c r="Q9" s="28" t="n">
        <v>0.210293</v>
      </c>
      <c r="R9" s="26" t="n">
        <v>100</v>
      </c>
      <c r="S9" s="29" t="n">
        <v>1.5</v>
      </c>
      <c r="T9" s="24" t="inlineStr">
        <is>
          <t>cs2-tiered-elo-v4</t>
        </is>
      </c>
      <c r="U9" s="24" t="inlineStr">
        <is>
          <t>settled</t>
        </is>
      </c>
      <c r="V9" s="24" t="inlineStr">
        <is>
          <t>loss</t>
        </is>
      </c>
      <c r="W9" s="26" t="n">
        <v>1</v>
      </c>
      <c r="X9" s="26" t="n">
        <v>0</v>
      </c>
      <c r="Y9" s="25" t="n"/>
      <c r="Z9" s="26" t="n"/>
      <c r="AA9" s="28" t="n"/>
      <c r="AB9" s="28" t="n"/>
      <c r="AC9" s="30" t="n">
        <v>-1.5</v>
      </c>
      <c r="AD9" s="24" t="inlineStr">
        <is>
          <t>2026-07-27T13:28:08.136051Z</t>
        </is>
      </c>
      <c r="AE9" s="31" t="inlineStr">
        <is>
          <t>Neutral Elo baseline; executable ask 0.4000 (market_slug=aec-cs2-nvo-atp-2026-07-27).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Atputies</t>
        </is>
      </c>
      <c r="AQ9" s="24" t="inlineStr">
        <is>
          <t>Atputies</t>
        </is>
      </c>
      <c r="AR9" s="24" t="inlineStr">
        <is>
          <t>Atputies</t>
        </is>
      </c>
      <c r="AS9" s="24" t="inlineStr">
        <is>
          <t>Noir Verse</t>
        </is>
      </c>
      <c r="AT9" s="24" t="inlineStr">
        <is>
          <t>Noir Verse</t>
        </is>
      </c>
      <c r="AU9" s="24" t="inlineStr">
        <is>
          <t>Noir Verse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e9c327ce15d79aaa8ed5032a6fb86929aaa479e14a8bc9a35686411400dd6b91</t>
        </is>
      </c>
      <c r="BB9" s="24" t="inlineStr">
        <is>
          <t>neutral_elo</t>
        </is>
      </c>
      <c r="BC9" s="24" t="inlineStr">
        <is>
          <t>cs2-tiered-elo-v4</t>
        </is>
      </c>
      <c r="BD9" s="24" t="inlineStr">
        <is>
          <t>e9c327ce15d79aaa8ed5032a6fb86929aaa479e14a8bc9a35686411400dd6b91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cs2-tiered-elo-v4</t>
        </is>
      </c>
      <c r="BH9" s="24" t="inlineStr">
        <is>
          <t>2026-07-27T10:27:05.476395Z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269bbdff6793467f</t>
        </is>
      </c>
      <c r="B10" s="24" t="inlineStr">
        <is>
          <t>2026-07-27T13:31:52.156513Z</t>
        </is>
      </c>
      <c r="C10" s="24" t="inlineStr">
        <is>
          <t>2026-07-27T14:00:00Z</t>
        </is>
      </c>
      <c r="D10" s="24" t="inlineStr">
        <is>
          <t>63303</t>
        </is>
      </c>
      <c r="E10" s="24" t="inlineStr">
        <is>
          <t>CS2</t>
        </is>
      </c>
      <c r="F10" s="24" t="inlineStr">
        <is>
          <t>Inner Circle Academy</t>
        </is>
      </c>
      <c r="G10" s="24" t="inlineStr">
        <is>
          <t>ex-RUSTEC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-163</v>
      </c>
      <c r="M10" s="27" t="n">
        <v>1.613497</v>
      </c>
      <c r="N10" s="28" t="n">
        <v>0.619772</v>
      </c>
      <c r="O10" s="28" t="n">
        <v>0.652309</v>
      </c>
      <c r="P10" s="28" t="n"/>
      <c r="Q10" s="28" t="n">
        <v>0.032537</v>
      </c>
      <c r="R10" s="26" t="n">
        <v>36</v>
      </c>
      <c r="S10" s="29" t="n">
        <v>2</v>
      </c>
      <c r="T10" s="24" t="inlineStr">
        <is>
          <t>cs2-tiered-elo-v4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-2</v>
      </c>
      <c r="AD10" s="24" t="inlineStr">
        <is>
          <t>2026-07-27T16:32:27.416588Z</t>
        </is>
      </c>
      <c r="AE10" s="31" t="inlineStr">
        <is>
          <t>Neutral Elo baseline; executable ask 0.6200 (market_slug=aec-cs2-erx-ica-2026-07-27).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Inner Circle Academy</t>
        </is>
      </c>
      <c r="AQ10" s="24" t="inlineStr">
        <is>
          <t>Inner Circle Academy</t>
        </is>
      </c>
      <c r="AR10" s="24" t="inlineStr">
        <is>
          <t>Inner Circle Academy</t>
        </is>
      </c>
      <c r="AS10" s="24" t="inlineStr">
        <is>
          <t>ex-RUSTEC</t>
        </is>
      </c>
      <c r="AT10" s="24" t="inlineStr">
        <is>
          <t>ex-RUSTEC</t>
        </is>
      </c>
      <c r="AU10" s="24" t="inlineStr">
        <is>
          <t>ex-RUSTEC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d55450e581d49c9cac62c08b0f9a47fad2adbce61565b9ce26f93fb0e665f4f9</t>
        </is>
      </c>
      <c r="BB10" s="24" t="inlineStr">
        <is>
          <t>neutral_elo</t>
        </is>
      </c>
      <c r="BC10" s="24" t="inlineStr">
        <is>
          <t>cs2-tiered-elo-v4</t>
        </is>
      </c>
      <c r="BD10" s="24" t="inlineStr">
        <is>
          <t>d55450e581d49c9cac62c08b0f9a47fad2adbce61565b9ce26f93fb0e665f4f9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cs2-tiered-elo-v4</t>
        </is>
      </c>
      <c r="BH10" s="24" t="inlineStr">
        <is>
          <t>2026-07-27T13:31:26.771058Z</t>
        </is>
      </c>
      <c r="BI10" s="24" t="inlineStr">
        <is>
          <t>["same_event","same_team_same_day","same_league_same_day"]</t>
        </is>
      </c>
      <c r="BJ10" s="25" t="n"/>
      <c r="BK10" s="26" t="n">
        <v>-163</v>
      </c>
      <c r="BL10" s="27" t="n">
        <v>1.613497</v>
      </c>
      <c r="BM10" s="28" t="n">
        <v>0.619772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535821dca49e400c</t>
        </is>
      </c>
      <c r="B11" s="24" t="inlineStr">
        <is>
          <t>2026-07-27T13:31:52.156513Z</t>
        </is>
      </c>
      <c r="C11" s="24" t="inlineStr">
        <is>
          <t>2026-07-27T16:30:00Z</t>
        </is>
      </c>
      <c r="D11" s="24" t="inlineStr">
        <is>
          <t>60788</t>
        </is>
      </c>
      <c r="E11" s="24" t="inlineStr">
        <is>
          <t>CS2</t>
        </is>
      </c>
      <c r="F11" s="24" t="inlineStr">
        <is>
          <t>MOUZ NXT</t>
        </is>
      </c>
      <c r="G11" s="24" t="inlineStr">
        <is>
          <t>Brute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0.658722</v>
      </c>
      <c r="P11" s="28" t="n"/>
      <c r="Q11" s="28" t="n">
        <v>0.049347</v>
      </c>
      <c r="R11" s="26" t="n">
        <v>45</v>
      </c>
      <c r="S11" s="29" t="n">
        <v>2</v>
      </c>
      <c r="T11" s="24" t="inlineStr">
        <is>
          <t>cs2-tiered-elo-v4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1</v>
      </c>
      <c r="Y11" s="25" t="n"/>
      <c r="Z11" s="26" t="n"/>
      <c r="AA11" s="28" t="n"/>
      <c r="AB11" s="28" t="n"/>
      <c r="AC11" s="30" t="n">
        <v>1.2821</v>
      </c>
      <c r="AD11" s="24" t="inlineStr">
        <is>
          <t>2026-07-27T19:47:32.390954Z</t>
        </is>
      </c>
      <c r="AE11" s="31" t="inlineStr">
        <is>
          <t>Neutral Elo baseline; executable ask 0.6100 (market_slug=aec-cs2-brute-mouzn-2026-07-27).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MOUZ NXT</t>
        </is>
      </c>
      <c r="AQ11" s="24" t="inlineStr">
        <is>
          <t>MOUZ NXT</t>
        </is>
      </c>
      <c r="AR11" s="24" t="inlineStr">
        <is>
          <t>MOUZ NXT</t>
        </is>
      </c>
      <c r="AS11" s="24" t="inlineStr">
        <is>
          <t>Brute</t>
        </is>
      </c>
      <c r="AT11" s="24" t="inlineStr">
        <is>
          <t>Brute</t>
        </is>
      </c>
      <c r="AU11" s="24" t="inlineStr">
        <is>
          <t>Brute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d55450e581d49c9cac62c08b0f9a47fad2adbce61565b9ce26f93fb0e665f4f9</t>
        </is>
      </c>
      <c r="BB11" s="24" t="inlineStr">
        <is>
          <t>neutral_elo</t>
        </is>
      </c>
      <c r="BC11" s="24" t="inlineStr">
        <is>
          <t>cs2-tiered-elo-v4</t>
        </is>
      </c>
      <c r="BD11" s="24" t="inlineStr">
        <is>
          <t>d55450e581d49c9cac62c08b0f9a47fad2adbce61565b9ce26f93fb0e665f4f9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cs2-tiered-elo-v4</t>
        </is>
      </c>
      <c r="BH11" s="24" t="inlineStr">
        <is>
          <t>2026-07-27T13:31:31.182868Z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59095b1c59d34be6</t>
        </is>
      </c>
      <c r="B12" s="24" t="inlineStr">
        <is>
          <t>2026-07-27T16:36:41.723874Z</t>
        </is>
      </c>
      <c r="C12" s="24" t="inlineStr">
        <is>
          <t>2026-07-27T17:00:00Z</t>
        </is>
      </c>
      <c r="D12" s="24" t="inlineStr">
        <is>
          <t>60795</t>
        </is>
      </c>
      <c r="E12" s="24" t="inlineStr">
        <is>
          <t>CS2</t>
        </is>
      </c>
      <c r="F12" s="24" t="inlineStr">
        <is>
          <t>Falcons Force</t>
        </is>
      </c>
      <c r="G12" s="24" t="inlineStr">
        <is>
          <t>Bebop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-156</v>
      </c>
      <c r="M12" s="27" t="n">
        <v>1.641026</v>
      </c>
      <c r="N12" s="28" t="n">
        <v>0.609375</v>
      </c>
      <c r="O12" s="28" t="n">
        <v>0.680315</v>
      </c>
      <c r="P12" s="28" t="n"/>
      <c r="Q12" s="28" t="n">
        <v>0.07094</v>
      </c>
      <c r="R12" s="26" t="n">
        <v>55</v>
      </c>
      <c r="S12" s="29" t="n">
        <v>2</v>
      </c>
      <c r="T12" s="24" t="inlineStr">
        <is>
          <t>cs2-tiered-elo-v4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/>
      <c r="AA12" s="28" t="n"/>
      <c r="AB12" s="28" t="n"/>
      <c r="AC12" s="30" t="n">
        <v>-2</v>
      </c>
      <c r="AD12" s="24" t="inlineStr">
        <is>
          <t>2026-07-27T19:47:33.512127Z</t>
        </is>
      </c>
      <c r="AE12" s="31" t="inlineStr">
        <is>
          <t>Neutral Elo baseline; executable ask 0.6100 (market_slug=aec-cs2-bbp-falf-2026-07-27).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Falcons Force</t>
        </is>
      </c>
      <c r="AQ12" s="24" t="inlineStr">
        <is>
          <t>Falcons Force</t>
        </is>
      </c>
      <c r="AR12" s="24" t="inlineStr">
        <is>
          <t>Falcons Force</t>
        </is>
      </c>
      <c r="AS12" s="24" t="inlineStr">
        <is>
          <t>Bebop</t>
        </is>
      </c>
      <c r="AT12" s="24" t="inlineStr">
        <is>
          <t>Bebop</t>
        </is>
      </c>
      <c r="AU12" s="24" t="inlineStr">
        <is>
          <t>Bebop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6329bd3e425200846e7ff17d6fd62114a73b33dcf85796cbdc7cb776105e39da</t>
        </is>
      </c>
      <c r="BB12" s="24" t="inlineStr">
        <is>
          <t>neutral_elo</t>
        </is>
      </c>
      <c r="BC12" s="24" t="inlineStr">
        <is>
          <t>cs2-tiered-elo-v4</t>
        </is>
      </c>
      <c r="BD12" s="24" t="inlineStr">
        <is>
          <t>6329bd3e425200846e7ff17d6fd62114a73b33dcf85796cbdc7cb776105e39da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cs2-tiered-elo-v4</t>
        </is>
      </c>
      <c r="BH12" s="24" t="inlineStr">
        <is>
          <t>2026-07-27T16:36:23.363578Z</t>
        </is>
      </c>
      <c r="BI12" s="24" t="inlineStr">
        <is>
          <t>["same_event","same_team_same_day","same_league_same_day"]</t>
        </is>
      </c>
      <c r="BJ12" s="25" t="n"/>
      <c r="BK12" s="26" t="n">
        <v>-156</v>
      </c>
      <c r="BL12" s="27" t="n">
        <v>1.641026</v>
      </c>
      <c r="BM12" s="28" t="n">
        <v>0.609375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26ac854df3564725</t>
        </is>
      </c>
      <c r="B13" s="24" t="inlineStr">
        <is>
          <t>2026-07-27T16:36:41.723874Z</t>
        </is>
      </c>
      <c r="C13" s="24" t="inlineStr">
        <is>
          <t>2026-07-27T17:00:00Z</t>
        </is>
      </c>
      <c r="D13" s="24" t="inlineStr">
        <is>
          <t>60794</t>
        </is>
      </c>
      <c r="E13" s="24" t="inlineStr">
        <is>
          <t>CS2</t>
        </is>
      </c>
      <c r="F13" s="24" t="inlineStr">
        <is>
          <t>HATERS</t>
        </is>
      </c>
      <c r="G13" s="24" t="inlineStr">
        <is>
          <t>Rush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186</v>
      </c>
      <c r="M13" s="27" t="n">
        <v>2.86</v>
      </c>
      <c r="N13" s="28" t="n">
        <v>0.34965</v>
      </c>
      <c r="O13" s="28" t="n">
        <v>0.506515</v>
      </c>
      <c r="P13" s="28" t="n"/>
      <c r="Q13" s="28" t="n">
        <v>0.156865</v>
      </c>
      <c r="R13" s="26" t="n">
        <v>98</v>
      </c>
      <c r="S13" s="29" t="n">
        <v>0.5</v>
      </c>
      <c r="T13" s="24" t="inlineStr">
        <is>
          <t>cs2-tiered-elo-v4</t>
        </is>
      </c>
      <c r="U13" s="24" t="inlineStr">
        <is>
          <t>settled</t>
        </is>
      </c>
      <c r="V13" s="24" t="inlineStr">
        <is>
          <t>loss</t>
        </is>
      </c>
      <c r="W13" s="26" t="n">
        <v>0</v>
      </c>
      <c r="X13" s="26" t="n">
        <v>1</v>
      </c>
      <c r="Y13" s="25" t="n"/>
      <c r="Z13" s="26" t="n"/>
      <c r="AA13" s="28" t="n"/>
      <c r="AB13" s="28" t="n"/>
      <c r="AC13" s="30" t="n">
        <v>-0.5</v>
      </c>
      <c r="AD13" s="24" t="inlineStr">
        <is>
          <t>2026-07-27T22:52:04.146089Z</t>
        </is>
      </c>
      <c r="AE13" s="31" t="inlineStr">
        <is>
          <t>Neutral Elo baseline; executable ask 0.3500 (market_slug=aec-cs2-rush-hat-2026-07-27).</t>
        </is>
      </c>
      <c r="AF13" s="31" t="inlineStr">
        <is>
          <t>Config-promoted esports baseline; gates enforced at log time.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HATERS</t>
        </is>
      </c>
      <c r="AQ13" s="24" t="inlineStr">
        <is>
          <t>HATERS</t>
        </is>
      </c>
      <c r="AR13" s="24" t="inlineStr">
        <is>
          <t>HATERS</t>
        </is>
      </c>
      <c r="AS13" s="24" t="inlineStr">
        <is>
          <t>Rush</t>
        </is>
      </c>
      <c r="AT13" s="24" t="inlineStr">
        <is>
          <t>Rush</t>
        </is>
      </c>
      <c r="AU13" s="24" t="inlineStr">
        <is>
          <t>Rush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6329bd3e425200846e7ff17d6fd62114a73b33dcf85796cbdc7cb776105e39da</t>
        </is>
      </c>
      <c r="BB13" s="24" t="inlineStr">
        <is>
          <t>neutral_elo</t>
        </is>
      </c>
      <c r="BC13" s="24" t="inlineStr">
        <is>
          <t>cs2-tiered-elo-v4</t>
        </is>
      </c>
      <c r="BD13" s="24" t="inlineStr">
        <is>
          <t>6329bd3e425200846e7ff17d6fd62114a73b33dcf85796cbdc7cb776105e39da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cs2-tiered-elo-v4</t>
        </is>
      </c>
      <c r="BH13" s="24" t="inlineStr">
        <is>
          <t>2026-07-27T16:36:24.863764Z</t>
        </is>
      </c>
      <c r="BI13" s="24" t="inlineStr">
        <is>
          <t>["same_event","same_team_same_day","same_league_same_day"]</t>
        </is>
      </c>
      <c r="BJ13" s="25" t="n"/>
      <c r="BK13" s="26" t="n">
        <v>186</v>
      </c>
      <c r="BL13" s="27" t="n">
        <v>2.86</v>
      </c>
      <c r="BM13" s="28" t="n">
        <v>0.34965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b009442629df4cc1</t>
        </is>
      </c>
      <c r="B14" s="24" t="inlineStr">
        <is>
          <t>2026-07-27T17:38:10.535886Z</t>
        </is>
      </c>
      <c r="C14" s="24" t="inlineStr">
        <is>
          <t>2026-07-27T18:15:00Z</t>
        </is>
      </c>
      <c r="D14" s="24" t="inlineStr">
        <is>
          <t>63492</t>
        </is>
      </c>
      <c r="E14" s="24" t="inlineStr">
        <is>
          <t>CS2</t>
        </is>
      </c>
      <c r="F14" s="24" t="inlineStr">
        <is>
          <t>mellren</t>
        </is>
      </c>
      <c r="G14" s="24" t="inlineStr">
        <is>
          <t>aimclub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-122</v>
      </c>
      <c r="M14" s="27" t="n">
        <v>1.819672</v>
      </c>
      <c r="N14" s="28" t="n">
        <v>0.54955</v>
      </c>
      <c r="O14" s="28" t="n">
        <v>0.65286</v>
      </c>
      <c r="P14" s="28" t="n"/>
      <c r="Q14" s="28" t="n">
        <v>0.10331</v>
      </c>
      <c r="R14" s="26" t="n">
        <v>72</v>
      </c>
      <c r="S14" s="29" t="n">
        <v>2</v>
      </c>
      <c r="T14" s="24" t="inlineStr">
        <is>
          <t>cs2-tiered-elo-v4</t>
        </is>
      </c>
      <c r="U14" s="24" t="inlineStr">
        <is>
          <t>settled</t>
        </is>
      </c>
      <c r="V14" s="24" t="inlineStr">
        <is>
          <t>win</t>
        </is>
      </c>
      <c r="W14" s="26" t="n">
        <v>0</v>
      </c>
      <c r="X14" s="26" t="n">
        <v>1</v>
      </c>
      <c r="Y14" s="25" t="n"/>
      <c r="Z14" s="26" t="n"/>
      <c r="AA14" s="28" t="n"/>
      <c r="AB14" s="28" t="n"/>
      <c r="AC14" s="30" t="n">
        <v>1.6393</v>
      </c>
      <c r="AD14" s="24" t="inlineStr">
        <is>
          <t>2026-07-27T22:52:05.272028Z</t>
        </is>
      </c>
      <c r="AE14" s="31" t="inlineStr">
        <is>
          <t>Neutral Elo baseline; executable ask 0.5500 (market_slug=aec-cs2-aimc-mel-2026-07-27).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mellren</t>
        </is>
      </c>
      <c r="AQ14" s="24" t="inlineStr">
        <is>
          <t>mellren</t>
        </is>
      </c>
      <c r="AR14" s="24" t="inlineStr">
        <is>
          <t>mellren</t>
        </is>
      </c>
      <c r="AS14" s="24" t="inlineStr">
        <is>
          <t>aimclub</t>
        </is>
      </c>
      <c r="AT14" s="24" t="inlineStr">
        <is>
          <t>aimclub</t>
        </is>
      </c>
      <c r="AU14" s="24" t="inlineStr">
        <is>
          <t>aimclub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867870f5311168845ab98ba889eb7970c88200d6dbd0532dbd8a6a3de3837c1a</t>
        </is>
      </c>
      <c r="BB14" s="24" t="inlineStr">
        <is>
          <t>neutral_elo</t>
        </is>
      </c>
      <c r="BC14" s="24" t="inlineStr">
        <is>
          <t>cs2-tiered-elo-v4</t>
        </is>
      </c>
      <c r="BD14" s="24" t="inlineStr">
        <is>
          <t>867870f5311168845ab98ba889eb7970c88200d6dbd0532dbd8a6a3de3837c1a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cs2-tiered-elo-v4</t>
        </is>
      </c>
      <c r="BH14" s="24" t="inlineStr">
        <is>
          <t>2026-07-27T17:37:55.611264Z</t>
        </is>
      </c>
      <c r="BI14" s="24" t="inlineStr">
        <is>
          <t>["same_event","same_team_same_day","same_league_same_day"]</t>
        </is>
      </c>
      <c r="BJ14" s="25" t="n"/>
      <c r="BK14" s="26" t="n">
        <v>-122</v>
      </c>
      <c r="BL14" s="27" t="n">
        <v>1.819672</v>
      </c>
      <c r="BM14" s="28" t="n">
        <v>0.54955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7681c20815f547e4</t>
        </is>
      </c>
      <c r="B15" s="24" t="inlineStr">
        <is>
          <t>2026-07-28T02:00:01.501477Z</t>
        </is>
      </c>
      <c r="C15" s="24" t="inlineStr">
        <is>
          <t>2026-07-28T08:00:00Z</t>
        </is>
      </c>
      <c r="D15" s="24" t="inlineStr">
        <is>
          <t>63306</t>
        </is>
      </c>
      <c r="E15" s="24" t="inlineStr">
        <is>
          <t>CS2</t>
        </is>
      </c>
      <c r="F15" s="24" t="inlineStr">
        <is>
          <t>ENJOY</t>
        </is>
      </c>
      <c r="G15" s="24" t="inlineStr">
        <is>
          <t>Black Phoenix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117</v>
      </c>
      <c r="M15" s="27" t="n">
        <v>2.17</v>
      </c>
      <c r="N15" s="28" t="n">
        <v>0.460829</v>
      </c>
      <c r="O15" s="28" t="n">
        <v>0.710969</v>
      </c>
      <c r="P15" s="28" t="n"/>
      <c r="Q15" s="28" t="n">
        <v>0.25014</v>
      </c>
      <c r="R15" s="26" t="n">
        <v>100</v>
      </c>
      <c r="S15" s="29" t="n">
        <v>2</v>
      </c>
      <c r="T15" s="24" t="inlineStr">
        <is>
          <t>cs2-tiered-elo-v4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0.4600 (market_slug=aec-cs2-bpl-enjoy-2026-07-28).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ENJOY</t>
        </is>
      </c>
      <c r="AQ15" s="24" t="inlineStr">
        <is>
          <t>ENJOY</t>
        </is>
      </c>
      <c r="AR15" s="24" t="inlineStr">
        <is>
          <t>ENJOY</t>
        </is>
      </c>
      <c r="AS15" s="24" t="inlineStr">
        <is>
          <t>Black Phoenix</t>
        </is>
      </c>
      <c r="AT15" s="24" t="inlineStr">
        <is>
          <t>Black Phoenix</t>
        </is>
      </c>
      <c r="AU15" s="24" t="inlineStr">
        <is>
          <t>Black Phoenix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da5537802607ba1fbdae985f92f1b67c327aaa91913ae14bcd767a484004f207</t>
        </is>
      </c>
      <c r="BB15" s="24" t="inlineStr">
        <is>
          <t>neutral_elo</t>
        </is>
      </c>
      <c r="BC15" s="24" t="inlineStr">
        <is>
          <t>cs2-tiered-elo-v4</t>
        </is>
      </c>
      <c r="BD15" s="24" t="inlineStr">
        <is>
          <t>da5537802607ba1fbdae985f92f1b67c327aaa91913ae14bcd767a484004f207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cs2-tiered-elo-v4</t>
        </is>
      </c>
      <c r="BH15" s="24" t="inlineStr">
        <is>
          <t>2026-07-28T01:59:39.784703Z</t>
        </is>
      </c>
      <c r="BI15" s="24" t="inlineStr">
        <is>
          <t>["same_event","same_team_same_day","same_league_same_day"]</t>
        </is>
      </c>
      <c r="BJ15" s="25" t="n"/>
      <c r="BK15" s="26" t="n">
        <v>117</v>
      </c>
      <c r="BL15" s="27" t="n">
        <v>2.17</v>
      </c>
      <c r="BM15" s="28" t="n">
        <v>0.460829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  <row r="16" ht="36" customHeight="1">
      <c r="A16" s="24" t="inlineStr">
        <is>
          <t>6a4e6e1f199546c9</t>
        </is>
      </c>
      <c r="B16" s="24" t="inlineStr">
        <is>
          <t>2026-07-28T02:00:01.501477Z</t>
        </is>
      </c>
      <c r="C16" s="24" t="inlineStr">
        <is>
          <t>2026-07-28T10:00:00Z</t>
        </is>
      </c>
      <c r="D16" s="24" t="inlineStr">
        <is>
          <t>64432</t>
        </is>
      </c>
      <c r="E16" s="24" t="inlineStr">
        <is>
          <t>CS2</t>
        </is>
      </c>
      <c r="F16" s="24" t="inlineStr">
        <is>
          <t>MOUZ NXT</t>
        </is>
      </c>
      <c r="G16" s="24" t="inlineStr">
        <is>
          <t>Noir Verse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186</v>
      </c>
      <c r="M16" s="27" t="n">
        <v>2.86</v>
      </c>
      <c r="N16" s="28" t="n">
        <v>0.34965</v>
      </c>
      <c r="O16" s="28" t="n">
        <v>0.509533</v>
      </c>
      <c r="P16" s="28" t="n"/>
      <c r="Q16" s="28" t="n">
        <v>0.159883</v>
      </c>
      <c r="R16" s="26" t="n">
        <v>100</v>
      </c>
      <c r="S16" s="29" t="n">
        <v>0.5</v>
      </c>
      <c r="T16" s="24" t="inlineStr">
        <is>
          <t>cs2-tiered-elo-v4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0.3500 (market_slug=aec-cs2-nvo-mouzn-2026-07-28).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MOUZ NXT</t>
        </is>
      </c>
      <c r="AQ16" s="24" t="inlineStr">
        <is>
          <t>MOUZ NXT</t>
        </is>
      </c>
      <c r="AR16" s="24" t="inlineStr">
        <is>
          <t>MOUZ NXT</t>
        </is>
      </c>
      <c r="AS16" s="24" t="inlineStr">
        <is>
          <t>Noir Verse</t>
        </is>
      </c>
      <c r="AT16" s="24" t="inlineStr">
        <is>
          <t>Noir Verse</t>
        </is>
      </c>
      <c r="AU16" s="24" t="inlineStr">
        <is>
          <t>Noir Verse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da5537802607ba1fbdae985f92f1b67c327aaa91913ae14bcd767a484004f207</t>
        </is>
      </c>
      <c r="BB16" s="24" t="inlineStr">
        <is>
          <t>neutral_elo</t>
        </is>
      </c>
      <c r="BC16" s="24" t="inlineStr">
        <is>
          <t>cs2-tiered-elo-v4</t>
        </is>
      </c>
      <c r="BD16" s="24" t="inlineStr">
        <is>
          <t>da5537802607ba1fbdae985f92f1b67c327aaa91913ae14bcd767a484004f207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cs2-tiered-elo-v4</t>
        </is>
      </c>
      <c r="BH16" s="24" t="inlineStr">
        <is>
          <t>2026-07-28T01:59:40.889369Z</t>
        </is>
      </c>
      <c r="BI16" s="24" t="inlineStr">
        <is>
          <t>["same_event","same_team_same_day","same_league_same_day"]</t>
        </is>
      </c>
      <c r="BJ16" s="25" t="n"/>
      <c r="BK16" s="26" t="n">
        <v>186</v>
      </c>
      <c r="BL16" s="27" t="n">
        <v>2.86</v>
      </c>
      <c r="BM16" s="28" t="n">
        <v>0.34965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</row>
    <row r="17" ht="36" customHeight="1">
      <c r="A17" s="24" t="inlineStr">
        <is>
          <t>8b7742d48b154a4c</t>
        </is>
      </c>
      <c r="B17" s="24" t="inlineStr">
        <is>
          <t>2026-07-28T02:00:01.501477Z</t>
        </is>
      </c>
      <c r="C17" s="24" t="inlineStr">
        <is>
          <t>2026-07-28T11:00:00Z</t>
        </is>
      </c>
      <c r="D17" s="24" t="inlineStr">
        <is>
          <t>63359</t>
        </is>
      </c>
      <c r="E17" s="24" t="inlineStr">
        <is>
          <t>CS2</t>
        </is>
      </c>
      <c r="F17" s="24" t="inlineStr">
        <is>
          <t>G2 Ares</t>
        </is>
      </c>
      <c r="G17" s="24" t="inlineStr">
        <is>
          <t>Butterfly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polymarket_us</t>
        </is>
      </c>
      <c r="L17" s="26" t="n">
        <v>-108</v>
      </c>
      <c r="M17" s="27" t="n">
        <v>1.925926</v>
      </c>
      <c r="N17" s="28" t="n">
        <v>0.519231</v>
      </c>
      <c r="O17" s="28" t="n">
        <v>0.589686</v>
      </c>
      <c r="P17" s="28" t="n"/>
      <c r="Q17" s="28" t="n">
        <v>0.070455</v>
      </c>
      <c r="R17" s="26" t="n">
        <v>55</v>
      </c>
      <c r="S17" s="29" t="n">
        <v>1.5</v>
      </c>
      <c r="T17" s="24" t="inlineStr">
        <is>
          <t>cs2-tiered-elo-v4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0.5200 (market_slug=aec-cs2-btf-g2a-2026-07-28).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G2 Ares</t>
        </is>
      </c>
      <c r="AQ17" s="24" t="inlineStr">
        <is>
          <t>G2 Ares</t>
        </is>
      </c>
      <c r="AR17" s="24" t="inlineStr">
        <is>
          <t>G2 Ares</t>
        </is>
      </c>
      <c r="AS17" s="24" t="inlineStr">
        <is>
          <t>Butterfly</t>
        </is>
      </c>
      <c r="AT17" s="24" t="inlineStr">
        <is>
          <t>Butterfly</t>
        </is>
      </c>
      <c r="AU17" s="24" t="inlineStr">
        <is>
          <t>Butterfly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da5537802607ba1fbdae985f92f1b67c327aaa91913ae14bcd767a484004f207</t>
        </is>
      </c>
      <c r="BB17" s="24" t="inlineStr">
        <is>
          <t>neutral_elo</t>
        </is>
      </c>
      <c r="BC17" s="24" t="inlineStr">
        <is>
          <t>cs2-tiered-elo-v4</t>
        </is>
      </c>
      <c r="BD17" s="24" t="inlineStr">
        <is>
          <t>da5537802607ba1fbdae985f92f1b67c327aaa91913ae14bcd767a484004f207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cs2-tiered-elo-v4</t>
        </is>
      </c>
      <c r="BH17" s="24" t="inlineStr">
        <is>
          <t>2026-07-28T01:59:42.419976Z</t>
        </is>
      </c>
      <c r="BI17" s="24" t="inlineStr">
        <is>
          <t>["same_event","same_team_same_day","same_league_same_day"]</t>
        </is>
      </c>
      <c r="BJ17" s="25" t="n"/>
      <c r="BK17" s="26" t="n">
        <v>-108</v>
      </c>
      <c r="BL17" s="27" t="n">
        <v>1.925926</v>
      </c>
      <c r="BM17" s="28" t="n">
        <v>0.519231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</row>
    <row r="18" ht="36" customHeight="1">
      <c r="A18" s="24" t="inlineStr">
        <is>
          <t>f01f527cad484709</t>
        </is>
      </c>
      <c r="B18" s="24" t="inlineStr">
        <is>
          <t>2026-07-28T02:00:01.501477Z</t>
        </is>
      </c>
      <c r="C18" s="24" t="inlineStr">
        <is>
          <t>2026-07-28T11:00:00Z</t>
        </is>
      </c>
      <c r="D18" s="24" t="inlineStr">
        <is>
          <t>64367</t>
        </is>
      </c>
      <c r="E18" s="24" t="inlineStr">
        <is>
          <t>CS2</t>
        </is>
      </c>
      <c r="F18" s="24" t="inlineStr">
        <is>
          <t>Bebop</t>
        </is>
      </c>
      <c r="G18" s="24" t="inlineStr">
        <is>
          <t>Black Phoenix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0.525641</v>
      </c>
      <c r="P18" s="28" t="n"/>
      <c r="Q18" s="28" t="n">
        <v>0.06481199999999999</v>
      </c>
      <c r="R18" s="26" t="n">
        <v>52</v>
      </c>
      <c r="S18" s="29" t="n">
        <v>0.75</v>
      </c>
      <c r="T18" s="24" t="inlineStr">
        <is>
          <t>cs2-tiered-elo-v4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0.4600 (market_slug=aec-cs2-bpl-bbp-2026-07-28).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Bebop</t>
        </is>
      </c>
      <c r="AQ18" s="24" t="inlineStr">
        <is>
          <t>Bebop</t>
        </is>
      </c>
      <c r="AR18" s="24" t="inlineStr">
        <is>
          <t>Bebop</t>
        </is>
      </c>
      <c r="AS18" s="24" t="inlineStr">
        <is>
          <t>Black Phoenix</t>
        </is>
      </c>
      <c r="AT18" s="24" t="inlineStr">
        <is>
          <t>Black Phoenix</t>
        </is>
      </c>
      <c r="AU18" s="24" t="inlineStr">
        <is>
          <t>Black Phoenix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da5537802607ba1fbdae985f92f1b67c327aaa91913ae14bcd767a484004f207</t>
        </is>
      </c>
      <c r="BB18" s="24" t="inlineStr">
        <is>
          <t>neutral_elo</t>
        </is>
      </c>
      <c r="BC18" s="24" t="inlineStr">
        <is>
          <t>cs2-tiered-elo-v4</t>
        </is>
      </c>
      <c r="BD18" s="24" t="inlineStr">
        <is>
          <t>da5537802607ba1fbdae985f92f1b67c327aaa91913ae14bcd767a484004f207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cs2-tiered-elo-v4</t>
        </is>
      </c>
      <c r="BH18" s="24" t="inlineStr">
        <is>
          <t>2026-07-28T01:59:42.912018Z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</row>
    <row r="19" ht="36" customHeight="1">
      <c r="A19" s="24" t="inlineStr">
        <is>
          <t>a1ff007a7d104399</t>
        </is>
      </c>
      <c r="B19" s="24" t="inlineStr">
        <is>
          <t>2026-07-28T02:00:01.501477Z</t>
        </is>
      </c>
      <c r="C19" s="24" t="inlineStr">
        <is>
          <t>2026-07-28T14:00:00Z</t>
        </is>
      </c>
      <c r="D19" s="24" t="inlineStr">
        <is>
          <t>63360</t>
        </is>
      </c>
      <c r="E19" s="24" t="inlineStr">
        <is>
          <t>CS2</t>
        </is>
      </c>
      <c r="F19" s="24" t="inlineStr">
        <is>
          <t>Just Players</t>
        </is>
      </c>
      <c r="G19" s="24" t="inlineStr">
        <is>
          <t>Butterfly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108</v>
      </c>
      <c r="M19" s="27" t="n">
        <v>2.08</v>
      </c>
      <c r="N19" s="28" t="n">
        <v>0.480769</v>
      </c>
      <c r="O19" s="28" t="n">
        <v>0.53791</v>
      </c>
      <c r="P19" s="28" t="n"/>
      <c r="Q19" s="28" t="n">
        <v>0.057141</v>
      </c>
      <c r="R19" s="26" t="n">
        <v>49</v>
      </c>
      <c r="S19" s="29" t="n">
        <v>1</v>
      </c>
      <c r="T19" s="24" t="inlineStr">
        <is>
          <t>cs2-tiered-elo-v4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0.4800 (market_slug=aec-cs2-btf-jpu-2026-07-28).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Just Players</t>
        </is>
      </c>
      <c r="AQ19" s="24" t="inlineStr">
        <is>
          <t>Just Players</t>
        </is>
      </c>
      <c r="AR19" s="24" t="inlineStr">
        <is>
          <t>Just Players</t>
        </is>
      </c>
      <c r="AS19" s="24" t="inlineStr">
        <is>
          <t>Butterfly</t>
        </is>
      </c>
      <c r="AT19" s="24" t="inlineStr">
        <is>
          <t>Butterfly</t>
        </is>
      </c>
      <c r="AU19" s="24" t="inlineStr">
        <is>
          <t>Butterfly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da5537802607ba1fbdae985f92f1b67c327aaa91913ae14bcd767a484004f207</t>
        </is>
      </c>
      <c r="BB19" s="24" t="inlineStr">
        <is>
          <t>neutral_elo</t>
        </is>
      </c>
      <c r="BC19" s="24" t="inlineStr">
        <is>
          <t>cs2-tiered-elo-v4</t>
        </is>
      </c>
      <c r="BD19" s="24" t="inlineStr">
        <is>
          <t>da5537802607ba1fbdae985f92f1b67c327aaa91913ae14bcd767a484004f207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cs2-tiered-elo-v4</t>
        </is>
      </c>
      <c r="BH19" s="24" t="inlineStr">
        <is>
          <t>2026-07-28T01:59:45.363088Z</t>
        </is>
      </c>
      <c r="BI19" s="24" t="inlineStr">
        <is>
          <t>["same_event","same_team_same_day","same_league_same_day"]</t>
        </is>
      </c>
      <c r="BJ19" s="25" t="n"/>
      <c r="BK19" s="26" t="n">
        <v>108</v>
      </c>
      <c r="BL19" s="27" t="n">
        <v>2.08</v>
      </c>
      <c r="BM19" s="28" t="n">
        <v>0.480769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</row>
    <row r="20" ht="36" customHeight="1">
      <c r="A20" s="24" t="inlineStr">
        <is>
          <t>147b001ceaa24335</t>
        </is>
      </c>
      <c r="B20" s="24" t="inlineStr">
        <is>
          <t>2026-07-28T02:00:01.501477Z</t>
        </is>
      </c>
      <c r="C20" s="24" t="inlineStr">
        <is>
          <t>2026-07-28T17:00:00Z</t>
        </is>
      </c>
      <c r="D20" s="24" t="inlineStr">
        <is>
          <t>63362</t>
        </is>
      </c>
      <c r="E20" s="24" t="inlineStr">
        <is>
          <t>CS2</t>
        </is>
      </c>
      <c r="F20" s="24" t="inlineStr">
        <is>
          <t>G2 Ares</t>
        </is>
      </c>
      <c r="G20" s="24" t="inlineStr">
        <is>
          <t>SPARTA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127</v>
      </c>
      <c r="M20" s="27" t="n">
        <v>2.27</v>
      </c>
      <c r="N20" s="28" t="n">
        <v>0.440529</v>
      </c>
      <c r="O20" s="28" t="n">
        <v>0.548241</v>
      </c>
      <c r="P20" s="28" t="n"/>
      <c r="Q20" s="28" t="n">
        <v>0.107712</v>
      </c>
      <c r="R20" s="26" t="n">
        <v>74</v>
      </c>
      <c r="S20" s="29" t="n">
        <v>1</v>
      </c>
      <c r="T20" s="24" t="inlineStr">
        <is>
          <t>cs2-tiered-elo-v4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0.4400 (market_slug=aec-cs2-sparta-g2a-2026-07-28).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G2 Ares</t>
        </is>
      </c>
      <c r="AQ20" s="24" t="inlineStr">
        <is>
          <t>G2 Ares</t>
        </is>
      </c>
      <c r="AR20" s="24" t="inlineStr">
        <is>
          <t>G2 Ares</t>
        </is>
      </c>
      <c r="AS20" s="24" t="inlineStr">
        <is>
          <t>SPARTA</t>
        </is>
      </c>
      <c r="AT20" s="24" t="inlineStr">
        <is>
          <t>SPARTA</t>
        </is>
      </c>
      <c r="AU20" s="24" t="inlineStr">
        <is>
          <t>SPARTA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da5537802607ba1fbdae985f92f1b67c327aaa91913ae14bcd767a484004f207</t>
        </is>
      </c>
      <c r="BB20" s="24" t="inlineStr">
        <is>
          <t>neutral_elo</t>
        </is>
      </c>
      <c r="BC20" s="24" t="inlineStr">
        <is>
          <t>cs2-tiered-elo-v4</t>
        </is>
      </c>
      <c r="BD20" s="24" t="inlineStr">
        <is>
          <t>da5537802607ba1fbdae985f92f1b67c327aaa91913ae14bcd767a484004f207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cs2-tiered-elo-v4</t>
        </is>
      </c>
      <c r="BH20" s="24" t="inlineStr">
        <is>
          <t>2026-07-28T01:59:47.940507Z</t>
        </is>
      </c>
      <c r="BI20" s="24" t="inlineStr">
        <is>
          <t>["same_event","same_team_same_day","same_league_same_day"]</t>
        </is>
      </c>
      <c r="BJ20" s="25" t="n"/>
      <c r="BK20" s="26" t="n">
        <v>127</v>
      </c>
      <c r="BL20" s="27" t="n">
        <v>2.27</v>
      </c>
      <c r="BM20" s="28" t="n">
        <v>0.440529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</row>
    <row r="21" ht="36" customHeight="1">
      <c r="A21" s="24" t="inlineStr">
        <is>
          <t>2b723c7fba9643ee</t>
        </is>
      </c>
      <c r="B21" s="24" t="inlineStr">
        <is>
          <t>2026-07-28T02:00:01.501477Z</t>
        </is>
      </c>
      <c r="C21" s="24" t="inlineStr">
        <is>
          <t>2026-07-28T17:00:00Z</t>
        </is>
      </c>
      <c r="D21" s="24" t="inlineStr">
        <is>
          <t>63363</t>
        </is>
      </c>
      <c r="E21" s="24" t="inlineStr">
        <is>
          <t>CS2</t>
        </is>
      </c>
      <c r="F21" s="24" t="inlineStr">
        <is>
          <t>Lavked</t>
        </is>
      </c>
      <c r="G21" s="24" t="inlineStr">
        <is>
          <t>CYBERSHOKE Prospects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113</v>
      </c>
      <c r="M21" s="27" t="n">
        <v>2.13</v>
      </c>
      <c r="N21" s="28" t="n">
        <v>0.469484</v>
      </c>
      <c r="O21" s="28" t="n">
        <v>0.553566</v>
      </c>
      <c r="P21" s="28" t="n"/>
      <c r="Q21" s="28" t="n">
        <v>0.084082</v>
      </c>
      <c r="R21" s="26" t="n">
        <v>62</v>
      </c>
      <c r="S21" s="29" t="n">
        <v>1</v>
      </c>
      <c r="T21" s="24" t="inlineStr">
        <is>
          <t>cs2-tiered-elo-v4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0.4700 (market_slug=aec-cs2-cshp-lav-2026-07-28).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Lavked</t>
        </is>
      </c>
      <c r="AQ21" s="24" t="inlineStr">
        <is>
          <t>Lavked</t>
        </is>
      </c>
      <c r="AR21" s="24" t="inlineStr">
        <is>
          <t>Lavked</t>
        </is>
      </c>
      <c r="AS21" s="24" t="inlineStr">
        <is>
          <t>CYBERSHOKE Prospects</t>
        </is>
      </c>
      <c r="AT21" s="24" t="inlineStr">
        <is>
          <t>CYBERSHOKE Prospects</t>
        </is>
      </c>
      <c r="AU21" s="24" t="inlineStr">
        <is>
          <t>CYBERSHOKE Prospects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da5537802607ba1fbdae985f92f1b67c327aaa91913ae14bcd767a484004f207</t>
        </is>
      </c>
      <c r="BB21" s="24" t="inlineStr">
        <is>
          <t>neutral_elo</t>
        </is>
      </c>
      <c r="BC21" s="24" t="inlineStr">
        <is>
          <t>cs2-tiered-elo-v4</t>
        </is>
      </c>
      <c r="BD21" s="24" t="inlineStr">
        <is>
          <t>da5537802607ba1fbdae985f92f1b67c327aaa91913ae14bcd767a484004f207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cs2-tiered-elo-v4</t>
        </is>
      </c>
      <c r="BH21" s="24" t="inlineStr">
        <is>
          <t>2026-07-28T01:59:49.411771Z</t>
        </is>
      </c>
      <c r="BI21" s="24" t="inlineStr">
        <is>
          <t>["same_event","same_team_same_day","same_league_same_day"]</t>
        </is>
      </c>
      <c r="BJ21" s="25" t="n"/>
      <c r="BK21" s="26" t="n">
        <v>113</v>
      </c>
      <c r="BL21" s="27" t="n">
        <v>2.13</v>
      </c>
      <c r="BM21" s="28" t="n">
        <v>0.469484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</row>
    <row r="22" ht="36" customHeight="1">
      <c r="A22" s="24" t="inlineStr">
        <is>
          <t>98542e97ce3841ee</t>
        </is>
      </c>
      <c r="B22" s="24" t="inlineStr">
        <is>
          <t>2026-07-28T02:08:42.519814Z</t>
        </is>
      </c>
      <c r="C22" s="24" t="inlineStr">
        <is>
          <t>2026-07-28T08:00:00Z</t>
        </is>
      </c>
      <c r="D22" s="24" t="inlineStr">
        <is>
          <t>63706</t>
        </is>
      </c>
      <c r="E22" s="24" t="inlineStr">
        <is>
          <t>CS2</t>
        </is>
      </c>
      <c r="F22" s="24" t="inlineStr">
        <is>
          <t>Mai Tai</t>
        </is>
      </c>
      <c r="G22" s="24" t="inlineStr">
        <is>
          <t>Entropy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-138</v>
      </c>
      <c r="M22" s="27" t="n">
        <v>1.724638</v>
      </c>
      <c r="N22" s="28" t="n">
        <v>0.579832</v>
      </c>
      <c r="O22" s="28" t="n">
        <v>0.609287</v>
      </c>
      <c r="P22" s="28" t="n"/>
      <c r="Q22" s="28" t="n">
        <v>0.029455</v>
      </c>
      <c r="R22" s="26" t="n">
        <v>35</v>
      </c>
      <c r="S22" s="29" t="n">
        <v>1.5</v>
      </c>
      <c r="T22" s="24" t="inlineStr">
        <is>
          <t>cs2-tiered-elo-v4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0.5800 (market_slug=aec-cs2-ent-mta-2026-07-28).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Mai Tai</t>
        </is>
      </c>
      <c r="AQ22" s="24" t="inlineStr">
        <is>
          <t>Mai Tai</t>
        </is>
      </c>
      <c r="AR22" s="24" t="inlineStr">
        <is>
          <t>Mai Tai</t>
        </is>
      </c>
      <c r="AS22" s="24" t="inlineStr">
        <is>
          <t>Entropy</t>
        </is>
      </c>
      <c r="AT22" s="24" t="inlineStr">
        <is>
          <t>Entropy</t>
        </is>
      </c>
      <c r="AU22" s="24" t="inlineStr">
        <is>
          <t>Entropy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083967481304d1dc27bfb10e14bb394ac08ceeda4b7f4e87080bc0131a2aed37</t>
        </is>
      </c>
      <c r="BB22" s="24" t="inlineStr">
        <is>
          <t>neutral_elo</t>
        </is>
      </c>
      <c r="BC22" s="24" t="inlineStr">
        <is>
          <t>cs2-tiered-elo-v4</t>
        </is>
      </c>
      <c r="BD22" s="24" t="inlineStr">
        <is>
          <t>083967481304d1dc27bfb10e14bb394ac08ceeda4b7f4e87080bc0131a2aed37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cs2-tiered-elo-v4</t>
        </is>
      </c>
      <c r="BH22" s="24" t="inlineStr">
        <is>
          <t>2026-07-28T02:08:19.728443Z</t>
        </is>
      </c>
      <c r="BI22" s="24" t="inlineStr">
        <is>
          <t>["same_event","same_team_same_day","same_league_same_day"]</t>
        </is>
      </c>
      <c r="BJ22" s="25" t="n"/>
      <c r="BK22" s="26" t="n">
        <v>-138</v>
      </c>
      <c r="BL22" s="27" t="n">
        <v>1.724638</v>
      </c>
      <c r="BM22" s="28" t="n">
        <v>0.579832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2026-07-28T02:08:43Z</dcterms:created>
  <dcterms:modified xsi:type="dcterms:W3CDTF">2026-07-28T02:08:43Z</dcterms:modified>
</cp:coreProperties>
</file>