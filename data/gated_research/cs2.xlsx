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8" headerRowCount="1">
  <autoFilter ref="A1:CO18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COUNTA('Picks'!$A$2:$A$18)</f>
        <v/>
      </c>
      <c r="C4" s="6">
        <f>COUNTIF('Picks'!$U$2:$U$18,"open")</f>
        <v/>
      </c>
      <c r="E4" s="6">
        <f>COUNTIF('Picks'!$U$2:$U$18,"settled")</f>
        <v/>
      </c>
      <c r="G4" s="6">
        <f>IF(COUNTIFS('Picks'!$U$2:$U$18,"settled",'Picks'!$V$2:$V$18,"win")+COUNTIFS('Picks'!$U$2:$U$18,"settled",'Picks'!$V$2:$V$18,"loss")&gt;=$L$2,"Ready","Insufficient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COUNTIF('Picks'!$BX$2:$BX$18,"&gt;0")</f>
        <v/>
      </c>
      <c r="C7" s="6">
        <f>COUNTIFS('Picks'!$BX$2:$BX$18,"&gt;0",'Picks'!$V$2:$V$18,"win")&amp;"-"&amp;COUNTIFS('Picks'!$BX$2:$BX$18,"&gt;0",'Picks'!$V$2:$V$18,"loss")</f>
        <v/>
      </c>
      <c r="E7" s="7">
        <f>IFERROR(COUNTIFS('Picks'!$BX$2:$BX$18,"&gt;0",'Picks'!$V$2:$V$18,"win")/(COUNTIFS('Picks'!$BX$2:$BX$18,"&gt;0",'Picks'!$V$2:$V$18,"win")+COUNTIFS('Picks'!$BX$2:$BX$18,"&gt;0",'Picks'!$V$2:$V$18,"loss")),0)</f>
        <v/>
      </c>
      <c r="G7" s="7">
        <f>IFERROR(SUM('Picks'!$BY$2:$BY$18)/SUM('Picks'!$BX$2:$BX$18),0)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SUM('Picks'!$BY$2:$BY$18)</f>
        <v/>
      </c>
      <c r="C10" s="9">
        <f>IFERROR(AVERAGEIF('Picks'!$AB$2:$AB$18,"&lt;&gt;",'Picks'!$AB$2:$AB$18),0)</f>
        <v/>
      </c>
      <c r="E10" s="6">
        <f>COUNTIFS('Picks'!$AM$2:$AM$18,"QUALIFIED_SHADOW_CALL",'Picks'!$U$2:$U$18,"settled")</f>
        <v/>
      </c>
      <c r="G10" s="8">
        <f>SUMIFS('Picks'!$AC$2:$AC$18,'Picks'!$AM$2:$AM$18,"QUALIFIED_SHADOW_CALL")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COUNTIFS('Picks'!$H$2:$H$18,$A14,'Picks'!$U$2:$U$18,"settled")</f>
        <v/>
      </c>
      <c r="C14" s="13">
        <f>COUNTIFS('Picks'!$H$2:$H$18,$A14,'Picks'!$U$2:$U$18,"settled",'Picks'!$V$2:$V$18,"win")</f>
        <v/>
      </c>
      <c r="D14" s="13">
        <f>COUNTIFS('Picks'!$H$2:$H$18,$A14,'Picks'!$U$2:$U$18,"settled",'Picks'!$V$2:$V$18,"loss")</f>
        <v/>
      </c>
      <c r="E14" s="14">
        <f>IFERROR(C14/(C14+D14),0)</f>
        <v/>
      </c>
      <c r="F14" s="15">
        <f>SUMIFS('Picks'!$BY$2:$BY$18,'Picks'!$H$2:$H$18,$A14)</f>
        <v/>
      </c>
      <c r="G14" s="16">
        <f>IFERROR(AVERAGEIFS('Picks'!$AB$2:$AB$18,'Picks'!$H$2:$H$18,$A14,'Picks'!$U$2:$U$18,"settled"),0)</f>
        <v/>
      </c>
    </row>
    <row r="15">
      <c r="A15" s="17" t="inlineStr">
        <is>
          <t>spread</t>
        </is>
      </c>
      <c r="B15" s="18">
        <f>COUNTIFS('Picks'!$H$2:$H$18,$A15,'Picks'!$U$2:$U$18,"settled")</f>
        <v/>
      </c>
      <c r="C15" s="18">
        <f>COUNTIFS('Picks'!$H$2:$H$18,$A15,'Picks'!$U$2:$U$18,"settled",'Picks'!$V$2:$V$18,"win")</f>
        <v/>
      </c>
      <c r="D15" s="18">
        <f>COUNTIFS('Picks'!$H$2:$H$18,$A15,'Picks'!$U$2:$U$18,"settled",'Picks'!$V$2:$V$18,"loss")</f>
        <v/>
      </c>
      <c r="E15" s="19">
        <f>IFERROR(C15/(C15+D15),0)</f>
        <v/>
      </c>
      <c r="F15" s="20">
        <f>SUMIFS('Picks'!$BY$2:$BY$18,'Picks'!$H$2:$H$18,$A15)</f>
        <v/>
      </c>
      <c r="G15" s="21">
        <f>IFERROR(AVERAGEIFS('Picks'!$AB$2:$AB$18,'Picks'!$H$2:$H$18,$A15,'Picks'!$U$2:$U$18,"settled"),0)</f>
        <v/>
      </c>
    </row>
    <row r="16">
      <c r="A16" s="12" t="inlineStr">
        <is>
          <t>total</t>
        </is>
      </c>
      <c r="B16" s="13">
        <f>COUNTIFS('Picks'!$H$2:$H$18,$A16,'Picks'!$U$2:$U$18,"settled")</f>
        <v/>
      </c>
      <c r="C16" s="13">
        <f>COUNTIFS('Picks'!$H$2:$H$18,$A16,'Picks'!$U$2:$U$18,"settled",'Picks'!$V$2:$V$18,"win")</f>
        <v/>
      </c>
      <c r="D16" s="13">
        <f>COUNTIFS('Picks'!$H$2:$H$18,$A16,'Picks'!$U$2:$U$18,"settled",'Picks'!$V$2:$V$18,"loss")</f>
        <v/>
      </c>
      <c r="E16" s="14">
        <f>IFERROR(C16/(C16+D16),0)</f>
        <v/>
      </c>
      <c r="F16" s="15">
        <f>SUMIFS('Picks'!$BY$2:$BY$18,'Picks'!$H$2:$H$18,$A16)</f>
        <v/>
      </c>
      <c r="G16" s="16">
        <f>IFERROR(AVERAGEIFS('Picks'!$AB$2:$AB$18,'Picks'!$H$2:$H$18,$A16,'Picks'!$U$2:$U$18,"settled"),0)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d1b7bcbcd2784259</t>
        </is>
      </c>
      <c r="B11" s="24" t="inlineStr">
        <is>
          <t>2026-08-01T23:54:53.636521Z</t>
        </is>
      </c>
      <c r="C11" s="24" t="inlineStr">
        <is>
          <t>2026-08-02T00:30:00Z</t>
        </is>
      </c>
      <c r="D11" s="24" t="inlineStr">
        <is>
          <t>68172</t>
        </is>
      </c>
      <c r="E11" s="24" t="inlineStr">
        <is>
          <t>CS2</t>
        </is>
      </c>
      <c r="F11" s="24" t="inlineStr">
        <is>
          <t>Marsborne</t>
        </is>
      </c>
      <c r="G11" s="24" t="inlineStr">
        <is>
          <t>SportsBetExpert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0.600127</v>
      </c>
      <c r="P11" s="28" t="n"/>
      <c r="Q11" s="28" t="n">
        <v>0.040656</v>
      </c>
      <c r="R11" s="26" t="n">
        <v>40</v>
      </c>
      <c r="S11" s="29" t="n">
        <v>1.25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-127</v>
      </c>
      <c r="AA11" s="28" t="n">
        <v>0.5600000000000001</v>
      </c>
      <c r="AB11" s="28" t="n">
        <v>0.000529</v>
      </c>
      <c r="AC11" s="30" t="n">
        <v>-1.25</v>
      </c>
      <c r="AD11" s="24" t="inlineStr">
        <is>
          <t>2026-08-02T03:26:24.451346Z</t>
        </is>
      </c>
      <c r="AE11" s="31" t="inlineStr">
        <is>
          <t>Neutral Elo baseline; executable ask 0.5600 (market_slug=aec-cs2-spo-mars-2026-08-02).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Marsborne</t>
        </is>
      </c>
      <c r="AQ11" s="24" t="inlineStr">
        <is>
          <t>Marsborne</t>
        </is>
      </c>
      <c r="AR11" s="24" t="inlineStr">
        <is>
          <t>Marsborne</t>
        </is>
      </c>
      <c r="AS11" s="24" t="inlineStr">
        <is>
          <t>SportsBetExpert</t>
        </is>
      </c>
      <c r="AT11" s="24" t="inlineStr">
        <is>
          <t>SportsBetExpert</t>
        </is>
      </c>
      <c r="AU11" s="24" t="inlineStr">
        <is>
          <t>SportsBetExpert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124bb01c66650940a67a9125e9f0677482f15aec343dc7b3e847d2027a63cccc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124bb01c66650940a67a9125e9f0677482f15aec343dc7b3e847d2027a63cccc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2026-08-01T23:54:40.651895Z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>
        <v>1.787402</v>
      </c>
      <c r="BR11" s="28" t="n">
        <v>0.5600000000000001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c66d7f408ffc42c6</t>
        </is>
      </c>
      <c r="B12" s="24" t="inlineStr">
        <is>
          <t>2026-08-02T08:19:31.181747Z</t>
        </is>
      </c>
      <c r="C12" s="24" t="inlineStr">
        <is>
          <t>2026-08-02T10:00:00Z</t>
        </is>
      </c>
      <c r="D12" s="24" t="inlineStr">
        <is>
          <t>69413</t>
        </is>
      </c>
      <c r="E12" s="24" t="inlineStr">
        <is>
          <t>CS2</t>
        </is>
      </c>
      <c r="F12" s="24" t="inlineStr">
        <is>
          <t>ex-1win</t>
        </is>
      </c>
      <c r="G12" s="24" t="inlineStr">
        <is>
          <t>Lazer Cats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-213</v>
      </c>
      <c r="M12" s="27" t="n">
        <v>1.469484</v>
      </c>
      <c r="N12" s="28" t="n">
        <v>0.680511</v>
      </c>
      <c r="O12" s="28" t="n">
        <v>0.714926</v>
      </c>
      <c r="P12" s="28" t="n"/>
      <c r="Q12" s="28" t="n">
        <v>0.034415</v>
      </c>
      <c r="R12" s="26" t="n">
        <v>37</v>
      </c>
      <c r="S12" s="29" t="n">
        <v>2</v>
      </c>
      <c r="T12" s="24" t="inlineStr">
        <is>
          <t>cs2-tiered-elo-v5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0.6800 (market_slug=aec-cs2-lc-ewx-2026-08-02).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ex-1win</t>
        </is>
      </c>
      <c r="AQ12" s="24" t="inlineStr">
        <is>
          <t>ex-1win</t>
        </is>
      </c>
      <c r="AR12" s="24" t="inlineStr">
        <is>
          <t>ex-1win</t>
        </is>
      </c>
      <c r="AS12" s="24" t="inlineStr">
        <is>
          <t>Lazer Cats</t>
        </is>
      </c>
      <c r="AT12" s="24" t="inlineStr">
        <is>
          <t>Lazer Cats</t>
        </is>
      </c>
      <c r="AU12" s="24" t="inlineStr">
        <is>
          <t>Lazer Cats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a52e05351d357192c8fca202e5be339611d036af46f5d6cce585d03967334b2a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a52e05351d357192c8fca202e5be339611d036af46f5d6cce585d03967334b2a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2026-08-02T08:19:08.739294Z</t>
        </is>
      </c>
      <c r="BI12" s="24" t="inlineStr">
        <is>
          <t>["same_event","same_team_same_day","same_league_same_day"]</t>
        </is>
      </c>
      <c r="BJ12" s="25" t="n"/>
      <c r="BK12" s="26" t="n">
        <v>-213</v>
      </c>
      <c r="BL12" s="27" t="n">
        <v>1.469484</v>
      </c>
      <c r="BM12" s="28" t="n">
        <v>0.680511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29c4171eb02043a5</t>
        </is>
      </c>
      <c r="B13" s="24" t="inlineStr">
        <is>
          <t>2026-08-02T08:19:31.181747Z</t>
        </is>
      </c>
      <c r="C13" s="24" t="inlineStr">
        <is>
          <t>2026-08-02T10:00:00Z</t>
        </is>
      </c>
      <c r="D13" s="24" t="inlineStr">
        <is>
          <t>66809</t>
        </is>
      </c>
      <c r="E13" s="24" t="inlineStr">
        <is>
          <t>CS2</t>
        </is>
      </c>
      <c r="F13" s="24" t="inlineStr">
        <is>
          <t>Brute</t>
        </is>
      </c>
      <c r="G13" s="24" t="inlineStr">
        <is>
          <t>9INE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203</v>
      </c>
      <c r="M13" s="27" t="n">
        <v>3.03</v>
      </c>
      <c r="N13" s="28" t="n">
        <v>0.330033</v>
      </c>
      <c r="O13" s="28" t="n">
        <v>0.531394</v>
      </c>
      <c r="P13" s="28" t="n"/>
      <c r="Q13" s="28" t="n">
        <v>0.201361</v>
      </c>
      <c r="R13" s="26" t="n">
        <v>100</v>
      </c>
      <c r="S13" s="29" t="n">
        <v>1</v>
      </c>
      <c r="T13" s="24" t="inlineStr">
        <is>
          <t>cs2-tiered-elo-v5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0.3300 (market_slug=aec-cs2-9ine-brute-2026-08-02).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Brute</t>
        </is>
      </c>
      <c r="AQ13" s="24" t="inlineStr">
        <is>
          <t>Brute</t>
        </is>
      </c>
      <c r="AR13" s="24" t="inlineStr">
        <is>
          <t>Brute</t>
        </is>
      </c>
      <c r="AS13" s="24" t="inlineStr">
        <is>
          <t>9INE</t>
        </is>
      </c>
      <c r="AT13" s="24" t="inlineStr">
        <is>
          <t>9INE</t>
        </is>
      </c>
      <c r="AU13" s="24" t="inlineStr">
        <is>
          <t>9INE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a52e05351d357192c8fca202e5be339611d036af46f5d6cce585d03967334b2a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a52e05351d357192c8fca202e5be339611d036af46f5d6cce585d03967334b2a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2026-08-02T08:19:09.283371Z</t>
        </is>
      </c>
      <c r="BI13" s="24" t="inlineStr">
        <is>
          <t>["same_event","same_team_same_day","same_league_same_day"]</t>
        </is>
      </c>
      <c r="BJ13" s="25" t="n"/>
      <c r="BK13" s="26" t="n">
        <v>203</v>
      </c>
      <c r="BL13" s="27" t="n">
        <v>3.03</v>
      </c>
      <c r="BM13" s="28" t="n">
        <v>0.330033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d5f6cb7d4ea245ba</t>
        </is>
      </c>
      <c r="B14" s="24" t="inlineStr">
        <is>
          <t>2026-08-02T08:19:31.181747Z</t>
        </is>
      </c>
      <c r="C14" s="24" t="inlineStr">
        <is>
          <t>2026-08-02T10:30:00Z</t>
        </is>
      </c>
      <c r="D14" s="24" t="inlineStr">
        <is>
          <t>66836</t>
        </is>
      </c>
      <c r="E14" s="24" t="inlineStr">
        <is>
          <t>CS2</t>
        </is>
      </c>
      <c r="F14" s="24" t="inlineStr">
        <is>
          <t>Sangal ALTERS</t>
        </is>
      </c>
      <c r="G14" s="24" t="inlineStr">
        <is>
          <t>Teletubisie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0.690561</v>
      </c>
      <c r="P14" s="28" t="n"/>
      <c r="Q14" s="28" t="n">
        <v>0.180757</v>
      </c>
      <c r="R14" s="26" t="n">
        <v>100</v>
      </c>
      <c r="S14" s="29" t="n">
        <v>2</v>
      </c>
      <c r="T14" s="24" t="inlineStr">
        <is>
          <t>cs2-tiered-elo-v5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0.5100 (market_slug=aec-cs2-ttbs-sng-2026-08-02).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Sangal ALTERS</t>
        </is>
      </c>
      <c r="AQ14" s="24" t="inlineStr">
        <is>
          <t>Sangal ALTERS</t>
        </is>
      </c>
      <c r="AR14" s="24" t="inlineStr">
        <is>
          <t>Sangal ALTERS</t>
        </is>
      </c>
      <c r="AS14" s="24" t="inlineStr">
        <is>
          <t>Teletubisie</t>
        </is>
      </c>
      <c r="AT14" s="24" t="inlineStr">
        <is>
          <t>Teletubisie</t>
        </is>
      </c>
      <c r="AU14" s="24" t="inlineStr">
        <is>
          <t>Teletubisie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a52e05351d357192c8fca202e5be339611d036af46f5d6cce585d03967334b2a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a52e05351d357192c8fca202e5be339611d036af46f5d6cce585d03967334b2a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2026-08-02T08:19:10.390430Z</t>
        </is>
      </c>
      <c r="BI14" s="24" t="inlineStr">
        <is>
          <t>["same_event","same_team_same_day","same_league_same_day"]</t>
        </is>
      </c>
      <c r="BJ14" s="25" t="n"/>
      <c r="BK14" s="26" t="n">
        <v>-104</v>
      </c>
      <c r="BL14" s="27" t="n">
        <v>1.961538</v>
      </c>
      <c r="BM14" s="28" t="n">
        <v>0.509804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a3f58499dd6d4c06</t>
        </is>
      </c>
      <c r="B15" s="24" t="inlineStr">
        <is>
          <t>2026-08-02T08:19:31.181747Z</t>
        </is>
      </c>
      <c r="C15" s="24" t="inlineStr">
        <is>
          <t>2026-08-02T13:00:00Z</t>
        </is>
      </c>
      <c r="D15" s="24" t="inlineStr">
        <is>
          <t>68257</t>
        </is>
      </c>
      <c r="E15" s="24" t="inlineStr">
        <is>
          <t>CS2</t>
        </is>
      </c>
      <c r="F15" s="24" t="inlineStr">
        <is>
          <t>Fortress</t>
        </is>
      </c>
      <c r="G15" s="24" t="inlineStr">
        <is>
          <t>DragonClaw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-104</v>
      </c>
      <c r="M15" s="27" t="n">
        <v>1.961538</v>
      </c>
      <c r="N15" s="28" t="n">
        <v>0.509804</v>
      </c>
      <c r="O15" s="28" t="n">
        <v>0.676069</v>
      </c>
      <c r="P15" s="28" t="n"/>
      <c r="Q15" s="28" t="n">
        <v>0.166265</v>
      </c>
      <c r="R15" s="26" t="n">
        <v>100</v>
      </c>
      <c r="S15" s="29" t="n">
        <v>1.75</v>
      </c>
      <c r="T15" s="24" t="inlineStr">
        <is>
          <t>cs2-tiered-elo-v5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0.5100 (market_slug=aec-cs2-dc-for-2026-08-02).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Fortress</t>
        </is>
      </c>
      <c r="AQ15" s="24" t="inlineStr">
        <is>
          <t>Fortress</t>
        </is>
      </c>
      <c r="AR15" s="24" t="inlineStr">
        <is>
          <t>Fortress</t>
        </is>
      </c>
      <c r="AS15" s="24" t="inlineStr">
        <is>
          <t>DragonClaw</t>
        </is>
      </c>
      <c r="AT15" s="24" t="inlineStr">
        <is>
          <t>DragonClaw</t>
        </is>
      </c>
      <c r="AU15" s="24" t="inlineStr">
        <is>
          <t>DragonClaw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a52e05351d357192c8fca202e5be339611d036af46f5d6cce585d03967334b2a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a52e05351d357192c8fca202e5be339611d036af46f5d6cce585d03967334b2a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2026-08-02T08:19:12.784904Z</t>
        </is>
      </c>
      <c r="BI15" s="24" t="inlineStr">
        <is>
          <t>["same_event","same_team_same_day","same_league_same_day"]</t>
        </is>
      </c>
      <c r="BJ15" s="25" t="n"/>
      <c r="BK15" s="26" t="n">
        <v>-104</v>
      </c>
      <c r="BL15" s="27" t="n">
        <v>1.961538</v>
      </c>
      <c r="BM15" s="28" t="n">
        <v>0.509804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e4990fed2bb6430d</t>
        </is>
      </c>
      <c r="B16" s="24" t="inlineStr">
        <is>
          <t>2026-08-02T08:19:31.181747Z</t>
        </is>
      </c>
      <c r="C16" s="24" t="inlineStr">
        <is>
          <t>2026-08-02T14:00:00Z</t>
        </is>
      </c>
      <c r="D16" s="24" t="inlineStr">
        <is>
          <t>69254</t>
        </is>
      </c>
      <c r="E16" s="24" t="inlineStr">
        <is>
          <t>CS2</t>
        </is>
      </c>
      <c r="F16" s="24" t="inlineStr">
        <is>
          <t>Honvéd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-163</v>
      </c>
      <c r="M16" s="27" t="n">
        <v>1.613497</v>
      </c>
      <c r="N16" s="28" t="n">
        <v>0.619772</v>
      </c>
      <c r="O16" s="28" t="n">
        <v>0.662043</v>
      </c>
      <c r="P16" s="28" t="n"/>
      <c r="Q16" s="28" t="n">
        <v>0.042271</v>
      </c>
      <c r="R16" s="26" t="n">
        <v>41</v>
      </c>
      <c r="S16" s="29" t="n">
        <v>1.75</v>
      </c>
      <c r="T16" s="24" t="inlineStr">
        <is>
          <t>cs2-tiered-elo-v5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0.6200 (market_slug=aec-cs2-erx-hon-2026-08-02).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Honvéd</t>
        </is>
      </c>
      <c r="AQ16" s="24" t="inlineStr">
        <is>
          <t>Honvéd</t>
        </is>
      </c>
      <c r="AR16" s="24" t="inlineStr">
        <is>
          <t>Honvéd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a52e05351d357192c8fca202e5be339611d036af46f5d6cce585d03967334b2a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a52e05351d357192c8fca202e5be339611d036af46f5d6cce585d03967334b2a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2026-08-02T08:19:16.117377Z</t>
        </is>
      </c>
      <c r="BI16" s="24" t="inlineStr">
        <is>
          <t>["same_event","same_team_same_day","same_league_same_day"]</t>
        </is>
      </c>
      <c r="BJ16" s="25" t="n"/>
      <c r="BK16" s="26" t="n">
        <v>-163</v>
      </c>
      <c r="BL16" s="27" t="n">
        <v>1.613497</v>
      </c>
      <c r="BM16" s="28" t="n">
        <v>0.619772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9787fa9db23445ca</t>
        </is>
      </c>
      <c r="B17" s="24" t="inlineStr">
        <is>
          <t>2026-08-02T08:19:31.181747Z</t>
        </is>
      </c>
      <c r="C17" s="24" t="inlineStr">
        <is>
          <t>2026-08-02T17:00:00Z</t>
        </is>
      </c>
      <c r="D17" s="24" t="inlineStr">
        <is>
          <t>69263</t>
        </is>
      </c>
      <c r="E17" s="24" t="inlineStr">
        <is>
          <t>CS2</t>
        </is>
      </c>
      <c r="F17" s="24" t="inlineStr">
        <is>
          <t>ENJOY</t>
        </is>
      </c>
      <c r="G17" s="24" t="inlineStr">
        <is>
          <t>Mai Tai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-156</v>
      </c>
      <c r="M17" s="27" t="n">
        <v>1.641026</v>
      </c>
      <c r="N17" s="28" t="n">
        <v>0.609375</v>
      </c>
      <c r="O17" s="28" t="n">
        <v>0.66636</v>
      </c>
      <c r="P17" s="28" t="n"/>
      <c r="Q17" s="28" t="n">
        <v>0.056985</v>
      </c>
      <c r="R17" s="26" t="n">
        <v>48</v>
      </c>
      <c r="S17" s="29" t="n">
        <v>1.75</v>
      </c>
      <c r="T17" s="24" t="inlineStr">
        <is>
          <t>cs2-tiered-elo-v5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0.6100 (market_slug=aec-cs2-mta-enjoy-2026-08-02).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ENJOY</t>
        </is>
      </c>
      <c r="AQ17" s="24" t="inlineStr">
        <is>
          <t>ENJOY</t>
        </is>
      </c>
      <c r="AR17" s="24" t="inlineStr">
        <is>
          <t>ENJOY</t>
        </is>
      </c>
      <c r="AS17" s="24" t="inlineStr">
        <is>
          <t>Mai Tai</t>
        </is>
      </c>
      <c r="AT17" s="24" t="inlineStr">
        <is>
          <t>Mai Tai</t>
        </is>
      </c>
      <c r="AU17" s="24" t="inlineStr">
        <is>
          <t>Mai Tai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a52e05351d357192c8fca202e5be339611d036af46f5d6cce585d03967334b2a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a52e05351d357192c8fca202e5be339611d036af46f5d6cce585d03967334b2a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2026-08-02T08:19:17.713467Z</t>
        </is>
      </c>
      <c r="BI17" s="24" t="inlineStr">
        <is>
          <t>["same_event","same_team_same_day","same_league_same_day"]</t>
        </is>
      </c>
      <c r="BJ17" s="25" t="n"/>
      <c r="BK17" s="26" t="n">
        <v>-156</v>
      </c>
      <c r="BL17" s="27" t="n">
        <v>1.641026</v>
      </c>
      <c r="BM17" s="28" t="n">
        <v>0.609375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ab595cea5fe44559</t>
        </is>
      </c>
      <c r="B18" s="24" t="inlineStr">
        <is>
          <t>2026-08-02T08:19:31.181747Z</t>
        </is>
      </c>
      <c r="C18" s="24" t="inlineStr">
        <is>
          <t>2026-08-03T10:30:00Z</t>
        </is>
      </c>
      <c r="D18" s="24" t="inlineStr">
        <is>
          <t>67514</t>
        </is>
      </c>
      <c r="E18" s="24" t="inlineStr">
        <is>
          <t>CS2</t>
        </is>
      </c>
      <c r="F18" s="24" t="inlineStr">
        <is>
          <t>Passion Academy</t>
        </is>
      </c>
      <c r="G18" s="24" t="inlineStr">
        <is>
          <t>EAC Rising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-122</v>
      </c>
      <c r="M18" s="27" t="n">
        <v>1.819672</v>
      </c>
      <c r="N18" s="28" t="n">
        <v>0.54955</v>
      </c>
      <c r="O18" s="28" t="n">
        <v>0.640228</v>
      </c>
      <c r="P18" s="28" t="n"/>
      <c r="Q18" s="28" t="n">
        <v>0.09067799999999999</v>
      </c>
      <c r="R18" s="26" t="n">
        <v>65</v>
      </c>
      <c r="S18" s="29" t="n">
        <v>1.5</v>
      </c>
      <c r="T18" s="24" t="inlineStr">
        <is>
          <t>cs2-tiered-elo-v5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0.5500 (market_slug=aec-cs2-era-psna-2026-08-03).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Passion Academy</t>
        </is>
      </c>
      <c r="AQ18" s="24" t="inlineStr">
        <is>
          <t>Passion Academy</t>
        </is>
      </c>
      <c r="AR18" s="24" t="inlineStr">
        <is>
          <t>Passion Academy</t>
        </is>
      </c>
      <c r="AS18" s="24" t="inlineStr">
        <is>
          <t>EAC Rising</t>
        </is>
      </c>
      <c r="AT18" s="24" t="inlineStr">
        <is>
          <t>EAC Rising</t>
        </is>
      </c>
      <c r="AU18" s="24" t="inlineStr">
        <is>
          <t>EAC Rising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a52e05351d357192c8fca202e5be339611d036af46f5d6cce585d03967334b2a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a52e05351d357192c8fca202e5be339611d036af46f5d6cce585d03967334b2a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2026-08-02T08:19:23.793481Z</t>
        </is>
      </c>
      <c r="BI18" s="24" t="inlineStr">
        <is>
          <t>["same_event","same_team_same_day","same_league_same_day"]</t>
        </is>
      </c>
      <c r="BJ18" s="25" t="n"/>
      <c r="BK18" s="26" t="n">
        <v>-122</v>
      </c>
      <c r="BL18" s="27" t="n">
        <v>1.819672</v>
      </c>
      <c r="BM18" s="28" t="n">
        <v>0.54955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2026-08-02T08:19:38Z</dcterms:created>
  <dcterms:modified xsi:type="dcterms:W3CDTF">2026-08-02T08:19:38Z</dcterms:modified>
</cp:coreProperties>
</file>