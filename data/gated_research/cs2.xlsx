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25" headerRowCount="1">
  <autoFilter ref="A1:CS25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COUNTA('Picks'!$A$2:$A$25)</f>
        <v/>
      </c>
      <c r="C4" s="6">
        <f>COUNTIF('Picks'!$U$2:$U$25,"open")</f>
        <v/>
      </c>
      <c r="E4" s="6">
        <f>COUNTIF('Picks'!$U$2:$U$25,"settled")</f>
        <v/>
      </c>
      <c r="G4" s="6">
        <f>IF(COUNTIFS('Picks'!$U$2:$U$25,"settled",'Picks'!$V$2:$V$25,"win")+COUNTIFS('Picks'!$U$2:$U$25,"settled",'Picks'!$V$2:$V$25,"loss")&gt;=$L$2,"Ready","Insufficient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COUNTIF('Picks'!$BX$2:$BX$25,"&gt;0")</f>
        <v/>
      </c>
      <c r="C7" s="6">
        <f>COUNTIFS('Picks'!$BX$2:$BX$25,"&gt;0",'Picks'!$V$2:$V$25,"win")&amp;"-"&amp;COUNTIFS('Picks'!$BX$2:$BX$25,"&gt;0",'Picks'!$V$2:$V$25,"loss")</f>
        <v/>
      </c>
      <c r="E7" s="7">
        <f>IFERROR(COUNTIFS('Picks'!$BX$2:$BX$25,"&gt;0",'Picks'!$V$2:$V$25,"win")/(COUNTIFS('Picks'!$BX$2:$BX$25,"&gt;0",'Picks'!$V$2:$V$25,"win")+COUNTIFS('Picks'!$BX$2:$BX$25,"&gt;0",'Picks'!$V$2:$V$25,"loss")),0)</f>
        <v/>
      </c>
      <c r="G7" s="7">
        <f>IFERROR(SUM('Picks'!$BY$2:$BY$25)/SUM('Picks'!$BX$2:$BX$25),0)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SUM('Picks'!$BY$2:$BY$25)</f>
        <v/>
      </c>
      <c r="C10" s="9">
        <f>IFERROR(AVERAGEIF('Picks'!$AB$2:$AB$25,"&lt;&gt;",'Picks'!$AB$2:$AB$25),0)</f>
        <v/>
      </c>
      <c r="E10" s="6">
        <f>COUNTIFS('Picks'!$AM$2:$AM$25,"QUALIFIED_SHADOW_CALL",'Picks'!$U$2:$U$25,"settled")</f>
        <v/>
      </c>
      <c r="G10" s="8">
        <f>SUMIFS('Picks'!$AC$2:$AC$25,'Picks'!$AM$2:$AM$25,"QUALIFIED_SHADOW_CALL")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COUNTIFS('Picks'!$H$2:$H$25,$A14,'Picks'!$U$2:$U$25,"settled")</f>
        <v/>
      </c>
      <c r="C14" s="13">
        <f>COUNTIFS('Picks'!$H$2:$H$25,$A14,'Picks'!$U$2:$U$25,"settled",'Picks'!$V$2:$V$25,"win")</f>
        <v/>
      </c>
      <c r="D14" s="13">
        <f>COUNTIFS('Picks'!$H$2:$H$25,$A14,'Picks'!$U$2:$U$25,"settled",'Picks'!$V$2:$V$25,"loss")</f>
        <v/>
      </c>
      <c r="E14" s="14">
        <f>IFERROR(C14/(C14+D14),0)</f>
        <v/>
      </c>
      <c r="F14" s="15">
        <f>SUMIFS('Picks'!$BY$2:$BY$25,'Picks'!$H$2:$H$25,$A14)</f>
        <v/>
      </c>
      <c r="G14" s="16">
        <f>IFERROR(AVERAGEIFS('Picks'!$AB$2:$AB$25,'Picks'!$H$2:$H$25,$A14,'Picks'!$U$2:$U$25,"settled"),0)</f>
        <v/>
      </c>
    </row>
    <row r="15">
      <c r="A15" s="17" t="inlineStr">
        <is>
          <t>spread</t>
        </is>
      </c>
      <c r="B15" s="18">
        <f>COUNTIFS('Picks'!$H$2:$H$25,$A15,'Picks'!$U$2:$U$25,"settled")</f>
        <v/>
      </c>
      <c r="C15" s="18">
        <f>COUNTIFS('Picks'!$H$2:$H$25,$A15,'Picks'!$U$2:$U$25,"settled",'Picks'!$V$2:$V$25,"win")</f>
        <v/>
      </c>
      <c r="D15" s="18">
        <f>COUNTIFS('Picks'!$H$2:$H$25,$A15,'Picks'!$U$2:$U$25,"settled",'Picks'!$V$2:$V$25,"loss")</f>
        <v/>
      </c>
      <c r="E15" s="19">
        <f>IFERROR(C15/(C15+D15),0)</f>
        <v/>
      </c>
      <c r="F15" s="20">
        <f>SUMIFS('Picks'!$BY$2:$BY$25,'Picks'!$H$2:$H$25,$A15)</f>
        <v/>
      </c>
      <c r="G15" s="21">
        <f>IFERROR(AVERAGEIFS('Picks'!$AB$2:$AB$25,'Picks'!$H$2:$H$25,$A15,'Picks'!$U$2:$U$25,"settled"),0)</f>
        <v/>
      </c>
    </row>
    <row r="16">
      <c r="A16" s="12" t="inlineStr">
        <is>
          <t>total</t>
        </is>
      </c>
      <c r="B16" s="13">
        <f>COUNTIFS('Picks'!$H$2:$H$25,$A16,'Picks'!$U$2:$U$25,"settled")</f>
        <v/>
      </c>
      <c r="C16" s="13">
        <f>COUNTIFS('Picks'!$H$2:$H$25,$A16,'Picks'!$U$2:$U$25,"settled",'Picks'!$V$2:$V$25,"win")</f>
        <v/>
      </c>
      <c r="D16" s="13">
        <f>COUNTIFS('Picks'!$H$2:$H$25,$A16,'Picks'!$U$2:$U$25,"settled",'Picks'!$V$2:$V$25,"loss")</f>
        <v/>
      </c>
      <c r="E16" s="14">
        <f>IFERROR(C16/(C16+D16),0)</f>
        <v/>
      </c>
      <c r="F16" s="15">
        <f>SUMIFS('Picks'!$BY$2:$BY$25,'Picks'!$H$2:$H$25,$A16)</f>
        <v/>
      </c>
      <c r="G16" s="16">
        <f>IFERROR(AVERAGEIFS('Picks'!$AB$2:$AB$25,'Picks'!$H$2:$H$25,$A16,'Picks'!$U$2:$U$25,"settled"),0)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c11cae45031b41a1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66549</t>
        </is>
      </c>
      <c r="E2" s="24" t="inlineStr">
        <is>
          <t>CS2</t>
        </is>
      </c>
      <c r="F2" s="24" t="inlineStr">
        <is>
          <t>megoshort</t>
        </is>
      </c>
      <c r="G2" s="24" t="inlineStr">
        <is>
          <t>Lavked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0.751067</v>
      </c>
      <c r="P2" s="28" t="n"/>
      <c r="Q2" s="28" t="n">
        <v>0.270298</v>
      </c>
      <c r="R2" s="26" t="n">
        <v>100</v>
      </c>
      <c r="S2" s="29" t="n">
        <v>2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104</v>
      </c>
      <c r="AA2" s="28" t="n">
        <v>0.49</v>
      </c>
      <c r="AB2" s="28" t="n">
        <v>0.009231</v>
      </c>
      <c r="AC2" s="30" t="n">
        <v>-2</v>
      </c>
      <c r="AD2" s="24" t="inlineStr">
        <is>
          <t>2026-07-31T19:51:23.716338Z</t>
        </is>
      </c>
      <c r="AE2" s="31" t="inlineStr">
        <is>
          <t>Neutral Elo baseline; executable ask 0.4800 (market_slug=aec-cs2-lav-mego-2026-07-31).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megoshort</t>
        </is>
      </c>
      <c r="AQ2" s="24" t="inlineStr">
        <is>
          <t>megoshort</t>
        </is>
      </c>
      <c r="AR2" s="24" t="inlineStr">
        <is>
          <t>megoshort</t>
        </is>
      </c>
      <c r="AS2" s="24" t="inlineStr">
        <is>
          <t>Lavked</t>
        </is>
      </c>
      <c r="AT2" s="24" t="inlineStr">
        <is>
          <t>Lavked</t>
        </is>
      </c>
      <c r="AU2" s="24" t="inlineStr">
        <is>
          <t>Lavked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2026-07-31T13:43:39.001447Z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/>
      <c r="BO2" s="28" t="n"/>
      <c r="BP2" s="25" t="n"/>
      <c r="BQ2" s="27" t="n">
        <v>2.04</v>
      </c>
      <c r="BR2" s="28" t="n">
        <v>0.49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36eb60bb22a24273</t>
        </is>
      </c>
      <c r="B3" s="24" t="inlineStr">
        <is>
          <t>2026-07-31T16:50:14.974472Z</t>
        </is>
      </c>
      <c r="C3" s="24" t="inlineStr">
        <is>
          <t>2026-07-31T17:00:00Z</t>
        </is>
      </c>
      <c r="D3" s="24" t="inlineStr">
        <is>
          <t>65110</t>
        </is>
      </c>
      <c r="E3" s="24" t="inlineStr">
        <is>
          <t>CS2</t>
        </is>
      </c>
      <c r="F3" s="24" t="inlineStr">
        <is>
          <t>ROUNDS</t>
        </is>
      </c>
      <c r="G3" s="24" t="inlineStr">
        <is>
          <t>HAVU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150</v>
      </c>
      <c r="M3" s="27" t="n">
        <v>2.5</v>
      </c>
      <c r="N3" s="28" t="n">
        <v>0.4</v>
      </c>
      <c r="O3" s="28" t="n">
        <v>0.621796</v>
      </c>
      <c r="P3" s="28" t="n"/>
      <c r="Q3" s="28" t="n">
        <v>0.221796</v>
      </c>
      <c r="R3" s="26" t="n">
        <v>100</v>
      </c>
      <c r="S3" s="29" t="n">
        <v>1.5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-138</v>
      </c>
      <c r="AA3" s="28" t="n">
        <v>0.58</v>
      </c>
      <c r="AB3" s="28" t="n">
        <v>0.18</v>
      </c>
      <c r="AC3" s="30" t="n">
        <v>2.25</v>
      </c>
      <c r="AD3" s="24" t="inlineStr">
        <is>
          <t>2026-07-31T19:51:24.927753Z</t>
        </is>
      </c>
      <c r="AE3" s="31" t="inlineStr">
        <is>
          <t>Neutral Elo baseline; executable ask 0.4000 (market_slug=aec-cs2-havu-rgg-2026-07-31).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ROUNDS</t>
        </is>
      </c>
      <c r="AQ3" s="24" t="inlineStr">
        <is>
          <t>ROUNDS</t>
        </is>
      </c>
      <c r="AR3" s="24" t="inlineStr">
        <is>
          <t>ROUNDS</t>
        </is>
      </c>
      <c r="AS3" s="24" t="inlineStr">
        <is>
          <t>HAVU</t>
        </is>
      </c>
      <c r="AT3" s="24" t="inlineStr">
        <is>
          <t>HAVU</t>
        </is>
      </c>
      <c r="AU3" s="24" t="inlineStr">
        <is>
          <t>HAVU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3981a6f1ff351e4f03c636f79be9ecb402557b48007a6dd60f0cf4134cf24ffc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3981a6f1ff351e4f03c636f79be9ecb402557b48007a6dd60f0cf4134cf24ffc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2026-07-31T16:49:59.297187Z</t>
        </is>
      </c>
      <c r="BI3" s="24" t="inlineStr">
        <is>
          <t>["same_event","same_team_same_day","same_league_same_day"]</t>
        </is>
      </c>
      <c r="BJ3" s="25" t="n"/>
      <c r="BK3" s="26" t="n">
        <v>150</v>
      </c>
      <c r="BL3" s="27" t="n">
        <v>2.5</v>
      </c>
      <c r="BM3" s="28" t="n">
        <v>0.4</v>
      </c>
      <c r="BN3" s="28" t="n"/>
      <c r="BO3" s="28" t="n"/>
      <c r="BP3" s="25" t="n"/>
      <c r="BQ3" s="27" t="n">
        <v>1.724638</v>
      </c>
      <c r="BR3" s="28" t="n">
        <v>0.58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7944d7567d6d40b8</t>
        </is>
      </c>
      <c r="B4" s="24" t="inlineStr">
        <is>
          <t>2026-07-31T16:50:14.974472Z</t>
        </is>
      </c>
      <c r="C4" s="24" t="inlineStr">
        <is>
          <t>2026-07-31T17:00:00Z</t>
        </is>
      </c>
      <c r="D4" s="24" t="inlineStr">
        <is>
          <t>67438</t>
        </is>
      </c>
      <c r="E4" s="24" t="inlineStr">
        <is>
          <t>CS2</t>
        </is>
      </c>
      <c r="F4" s="24" t="inlineStr">
        <is>
          <t>JUMBO TEAM</t>
        </is>
      </c>
      <c r="G4" s="24" t="inlineStr">
        <is>
          <t>Fraternity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0.65581</v>
      </c>
      <c r="P4" s="28" t="n"/>
      <c r="Q4" s="28" t="n">
        <v>0.28544</v>
      </c>
      <c r="R4" s="26" t="n">
        <v>100</v>
      </c>
      <c r="S4" s="29" t="n">
        <v>1.75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170</v>
      </c>
      <c r="AA4" s="28" t="n">
        <v>0.37</v>
      </c>
      <c r="AB4" s="28" t="n">
        <v>-0.00037</v>
      </c>
      <c r="AC4" s="30" t="n">
        <v>2.975</v>
      </c>
      <c r="AD4" s="24" t="inlineStr">
        <is>
          <t>2026-07-31T19:51:26.098420Z</t>
        </is>
      </c>
      <c r="AE4" s="31" t="inlineStr">
        <is>
          <t>Neutral Elo baseline; executable ask 0.3700 (market_slug=aec-cs2-frt-jumbo-2026-07-31).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JUMBO TEAM</t>
        </is>
      </c>
      <c r="AQ4" s="24" t="inlineStr">
        <is>
          <t>JUMBO TEAM</t>
        </is>
      </c>
      <c r="AR4" s="24" t="inlineStr">
        <is>
          <t>JUMBO TEAM</t>
        </is>
      </c>
      <c r="AS4" s="24" t="inlineStr">
        <is>
          <t>Fraternity</t>
        </is>
      </c>
      <c r="AT4" s="24" t="inlineStr">
        <is>
          <t>Fraternity</t>
        </is>
      </c>
      <c r="AU4" s="24" t="inlineStr">
        <is>
          <t>Fraternity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3981a6f1ff351e4f03c636f79be9ecb402557b48007a6dd60f0cf4134cf24ffc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3981a6f1ff351e4f03c636f79be9ecb402557b48007a6dd60f0cf4134cf24ffc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2026-07-31T16:49:59.882471Z</t>
        </is>
      </c>
      <c r="BI4" s="24" t="inlineStr">
        <is>
          <t>["same_event","same_team_same_day","same_league_same_day"]</t>
        </is>
      </c>
      <c r="BJ4" s="25" t="n"/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>
        <v>2.7</v>
      </c>
      <c r="BR4" s="28" t="n">
        <v>0.37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0d043c6d477241cf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66536</t>
        </is>
      </c>
      <c r="E5" s="24" t="inlineStr">
        <is>
          <t>CS2</t>
        </is>
      </c>
      <c r="F5" s="24" t="inlineStr">
        <is>
          <t>Black Phoenix</t>
        </is>
      </c>
      <c r="G5" s="24" t="inlineStr">
        <is>
          <t>JiJieHao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0.772177</v>
      </c>
      <c r="P5" s="28" t="n"/>
      <c r="Q5" s="28" t="n">
        <v>0.10221</v>
      </c>
      <c r="R5" s="26" t="n">
        <v>71</v>
      </c>
      <c r="S5" s="29" t="n">
        <v>2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-203</v>
      </c>
      <c r="AA5" s="28" t="n">
        <v>0.67</v>
      </c>
      <c r="AB5" s="28" t="n">
        <v>3.3e-05</v>
      </c>
      <c r="AC5" s="30" t="n">
        <v>-2</v>
      </c>
      <c r="AD5" s="24" t="inlineStr">
        <is>
          <t>2026-07-31T21:03:40.371960Z</t>
        </is>
      </c>
      <c r="AE5" s="31" t="inlineStr">
        <is>
          <t>Neutral Elo baseline; executable ask 0.6700 (market_slug=aec-cs2-jjh-bpl-2026-07-31).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Black Phoenix</t>
        </is>
      </c>
      <c r="AQ5" s="24" t="inlineStr">
        <is>
          <t>Black Phoenix</t>
        </is>
      </c>
      <c r="AR5" s="24" t="inlineStr">
        <is>
          <t>Black Phoenix</t>
        </is>
      </c>
      <c r="AS5" s="24" t="inlineStr">
        <is>
          <t>JiJieHao</t>
        </is>
      </c>
      <c r="AT5" s="24" t="inlineStr">
        <is>
          <t>JiJieHao</t>
        </is>
      </c>
      <c r="AU5" s="24" t="inlineStr">
        <is>
          <t>JiJieHao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2026-07-31T16:50:01.394322Z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>
        <v>1.492611</v>
      </c>
      <c r="BR5" s="28" t="n">
        <v>0.67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125339241ad9451e</t>
        </is>
      </c>
      <c r="B6" s="24" t="inlineStr">
        <is>
          <t>2026-08-01T06:42:08.952242Z</t>
        </is>
      </c>
      <c r="C6" s="24" t="inlineStr">
        <is>
          <t>2026-08-01T08:00:00Z</t>
        </is>
      </c>
      <c r="D6" s="24" t="inlineStr">
        <is>
          <t>67671</t>
        </is>
      </c>
      <c r="E6" s="24" t="inlineStr">
        <is>
          <t>CS2</t>
        </is>
      </c>
      <c r="F6" s="24" t="inlineStr">
        <is>
          <t>HAVU</t>
        </is>
      </c>
      <c r="G6" s="24" t="inlineStr">
        <is>
          <t>ENCE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0.719921</v>
      </c>
      <c r="P6" s="28" t="n"/>
      <c r="Q6" s="28" t="n">
        <v>0.16045</v>
      </c>
      <c r="R6" s="26" t="n">
        <v>100</v>
      </c>
      <c r="S6" s="29" t="n">
        <v>2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1.5748</v>
      </c>
      <c r="AD6" s="24" t="inlineStr">
        <is>
          <t>2026-08-01T10:16:03.419145Z</t>
        </is>
      </c>
      <c r="AE6" s="31" t="inlineStr">
        <is>
          <t>Neutral Elo baseline; executable ask 0.5600 (market_slug=aec-cs2-ence-havu-2026-08-01).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HAVU</t>
        </is>
      </c>
      <c r="AQ6" s="24" t="inlineStr">
        <is>
          <t>HAVU</t>
        </is>
      </c>
      <c r="AR6" s="24" t="inlineStr">
        <is>
          <t>HAVU</t>
        </is>
      </c>
      <c r="AS6" s="24" t="inlineStr">
        <is>
          <t>ENCE</t>
        </is>
      </c>
      <c r="AT6" s="24" t="inlineStr">
        <is>
          <t>ENCE</t>
        </is>
      </c>
      <c r="AU6" s="24" t="inlineStr">
        <is>
          <t>ENCE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99f60c4478ad78f02b9bb97fae5fb480114a267e349d541594964e1dd7daa69c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99f60c4478ad78f02b9bb97fae5fb480114a267e349d541594964e1dd7daa69c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2026-08-01T06:41:50.350236Z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c40a4abbd3564079</t>
        </is>
      </c>
      <c r="B7" s="24" t="inlineStr">
        <is>
          <t>2026-08-01T06:42:08.952242Z</t>
        </is>
      </c>
      <c r="C7" s="24" t="inlineStr">
        <is>
          <t>2026-08-01T08:00:00Z</t>
        </is>
      </c>
      <c r="D7" s="24" t="inlineStr">
        <is>
          <t>67547</t>
        </is>
      </c>
      <c r="E7" s="24" t="inlineStr">
        <is>
          <t>CS2</t>
        </is>
      </c>
      <c r="F7" s="24" t="inlineStr">
        <is>
          <t>Sinners</t>
        </is>
      </c>
      <c r="G7" s="24" t="inlineStr">
        <is>
          <t>INOX Division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144</v>
      </c>
      <c r="M7" s="27" t="n">
        <v>2.44</v>
      </c>
      <c r="N7" s="28" t="n">
        <v>0.409836</v>
      </c>
      <c r="O7" s="28" t="n">
        <v>0.639934</v>
      </c>
      <c r="P7" s="28" t="n"/>
      <c r="Q7" s="28" t="n">
        <v>0.230098</v>
      </c>
      <c r="R7" s="26" t="n">
        <v>100</v>
      </c>
      <c r="S7" s="29" t="n">
        <v>1.5</v>
      </c>
      <c r="T7" s="24" t="inlineStr">
        <is>
          <t>cs2-tiered-elo-v5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144</v>
      </c>
      <c r="AA7" s="28" t="n">
        <v>0.41</v>
      </c>
      <c r="AB7" s="28" t="n">
        <v>0.000164</v>
      </c>
      <c r="AC7" s="30" t="n">
        <v>-1.5</v>
      </c>
      <c r="AD7" s="24" t="inlineStr">
        <is>
          <t>2026-08-01T16:48:19.424540Z</t>
        </is>
      </c>
      <c r="AE7" s="31" t="inlineStr">
        <is>
          <t>Neutral Elo baseline; executable ask 0.4100 (market_slug=aec-cs2-inox-sin-2026-08-01).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Sinners</t>
        </is>
      </c>
      <c r="AQ7" s="24" t="inlineStr">
        <is>
          <t>Sinners</t>
        </is>
      </c>
      <c r="AR7" s="24" t="inlineStr">
        <is>
          <t>Sinners</t>
        </is>
      </c>
      <c r="AS7" s="24" t="inlineStr">
        <is>
          <t>INOX Division</t>
        </is>
      </c>
      <c r="AT7" s="24" t="inlineStr">
        <is>
          <t>INOX Division</t>
        </is>
      </c>
      <c r="AU7" s="24" t="inlineStr">
        <is>
          <t>INOX Division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99f60c4478ad78f02b9bb97fae5fb480114a267e349d541594964e1dd7daa69c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99f60c4478ad78f02b9bb97fae5fb480114a267e349d541594964e1dd7daa69c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2026-08-01T06:41:50.964355Z</t>
        </is>
      </c>
      <c r="BI7" s="24" t="inlineStr">
        <is>
          <t>["same_event","same_team_same_day","same_league_same_day"]</t>
        </is>
      </c>
      <c r="BJ7" s="25" t="n"/>
      <c r="BK7" s="26" t="n">
        <v>144</v>
      </c>
      <c r="BL7" s="27" t="n">
        <v>2.44</v>
      </c>
      <c r="BM7" s="28" t="n">
        <v>0.409836</v>
      </c>
      <c r="BN7" s="28" t="n"/>
      <c r="BO7" s="28" t="n"/>
      <c r="BP7" s="25" t="n"/>
      <c r="BQ7" s="27" t="n">
        <v>2.44</v>
      </c>
      <c r="BR7" s="28" t="n">
        <v>0.41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58431ae9ca0b4636</t>
        </is>
      </c>
      <c r="B8" s="24" t="inlineStr">
        <is>
          <t>2026-08-01T06:42:08.952242Z</t>
        </is>
      </c>
      <c r="C8" s="24" t="inlineStr">
        <is>
          <t>2026-08-01T08:00:00Z</t>
        </is>
      </c>
      <c r="D8" s="24" t="inlineStr">
        <is>
          <t>66924</t>
        </is>
      </c>
      <c r="E8" s="24" t="inlineStr">
        <is>
          <t>CS2</t>
        </is>
      </c>
      <c r="F8" s="24" t="inlineStr">
        <is>
          <t>JiJieHao</t>
        </is>
      </c>
      <c r="G8" s="24" t="inlineStr">
        <is>
          <t>GenOne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127</v>
      </c>
      <c r="M8" s="27" t="n">
        <v>2.27</v>
      </c>
      <c r="N8" s="28" t="n">
        <v>0.440529</v>
      </c>
      <c r="O8" s="28" t="n">
        <v>0.550293</v>
      </c>
      <c r="P8" s="28" t="n"/>
      <c r="Q8" s="28" t="n">
        <v>0.109764</v>
      </c>
      <c r="R8" s="26" t="n">
        <v>75</v>
      </c>
      <c r="S8" s="29" t="n">
        <v>1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127</v>
      </c>
      <c r="AA8" s="28" t="n">
        <v>0.44</v>
      </c>
      <c r="AB8" s="28" t="n">
        <v>-0.000529</v>
      </c>
      <c r="AC8" s="30" t="n">
        <v>1.27</v>
      </c>
      <c r="AD8" s="24" t="inlineStr">
        <is>
          <t>2026-08-01T16:48:20.526220Z</t>
        </is>
      </c>
      <c r="AE8" s="31" t="inlineStr">
        <is>
          <t>Neutral Elo baseline; executable ask 0.4400 (market_slug=aec-cs2-g1-jjh-2026-08-01).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JiJieHao</t>
        </is>
      </c>
      <c r="AQ8" s="24" t="inlineStr">
        <is>
          <t>JiJieHao</t>
        </is>
      </c>
      <c r="AR8" s="24" t="inlineStr">
        <is>
          <t>JiJieHao</t>
        </is>
      </c>
      <c r="AS8" s="24" t="inlineStr">
        <is>
          <t>GenOne</t>
        </is>
      </c>
      <c r="AT8" s="24" t="inlineStr">
        <is>
          <t>GenOne</t>
        </is>
      </c>
      <c r="AU8" s="24" t="inlineStr">
        <is>
          <t>GenOne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99f60c4478ad78f02b9bb97fae5fb480114a267e349d541594964e1dd7daa69c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99f60c4478ad78f02b9bb97fae5fb480114a267e349d541594964e1dd7daa69c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2026-08-01T06:41:51.950370Z</t>
        </is>
      </c>
      <c r="BI8" s="24" t="inlineStr">
        <is>
          <t>["same_event","same_team_same_day","same_league_same_day"]</t>
        </is>
      </c>
      <c r="BJ8" s="25" t="n"/>
      <c r="BK8" s="26" t="n">
        <v>127</v>
      </c>
      <c r="BL8" s="27" t="n">
        <v>2.27</v>
      </c>
      <c r="BM8" s="28" t="n">
        <v>0.440529</v>
      </c>
      <c r="BN8" s="28" t="n"/>
      <c r="BO8" s="28" t="n"/>
      <c r="BP8" s="25" t="n"/>
      <c r="BQ8" s="27" t="n">
        <v>2.27</v>
      </c>
      <c r="BR8" s="28" t="n">
        <v>0.44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a8661bcab2b34922</t>
        </is>
      </c>
      <c r="B9" s="24" t="inlineStr">
        <is>
          <t>2026-08-01T13:46:43.837828Z</t>
        </is>
      </c>
      <c r="C9" s="24" t="inlineStr">
        <is>
          <t>2026-08-01T14:00:00Z</t>
        </is>
      </c>
      <c r="D9" s="24" t="inlineStr">
        <is>
          <t>67303</t>
        </is>
      </c>
      <c r="E9" s="24" t="inlineStr">
        <is>
          <t>CS2</t>
        </is>
      </c>
      <c r="F9" s="24" t="inlineStr">
        <is>
          <t>Rune Eaters</t>
        </is>
      </c>
      <c r="G9" s="24" t="inlineStr">
        <is>
          <t>SPARTA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-138</v>
      </c>
      <c r="M9" s="27" t="n">
        <v>1.724638</v>
      </c>
      <c r="N9" s="28" t="n">
        <v>0.579832</v>
      </c>
      <c r="O9" s="28" t="n">
        <v>0.613873</v>
      </c>
      <c r="P9" s="28" t="n"/>
      <c r="Q9" s="28" t="n">
        <v>0.034041</v>
      </c>
      <c r="R9" s="26" t="n">
        <v>37</v>
      </c>
      <c r="S9" s="29" t="n">
        <v>1.5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-138</v>
      </c>
      <c r="AA9" s="28" t="n">
        <v>0.58</v>
      </c>
      <c r="AB9" s="28" t="n">
        <v>0.000168</v>
      </c>
      <c r="AC9" s="30" t="n">
        <v>-1.5</v>
      </c>
      <c r="AD9" s="24" t="inlineStr">
        <is>
          <t>2026-08-01T18:35:42.451730Z</t>
        </is>
      </c>
      <c r="AE9" s="31" t="inlineStr">
        <is>
          <t>Neutral Elo baseline; executable ask 0.5800 (market_slug=aec-cs2-sparta-re-2026-08-01).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Rune Eaters</t>
        </is>
      </c>
      <c r="AQ9" s="24" t="inlineStr">
        <is>
          <t>Rune Eaters</t>
        </is>
      </c>
      <c r="AR9" s="24" t="inlineStr">
        <is>
          <t>Rune Eaters</t>
        </is>
      </c>
      <c r="AS9" s="24" t="inlineStr">
        <is>
          <t>SPARTA</t>
        </is>
      </c>
      <c r="AT9" s="24" t="inlineStr">
        <is>
          <t>SPARTA</t>
        </is>
      </c>
      <c r="AU9" s="24" t="inlineStr">
        <is>
          <t>SPARTA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76d65080af75e0c3856de1f3b1c11380883507c146c1117ef81f1d19eb30d4f0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76d65080af75e0c3856de1f3b1c11380883507c146c1117ef81f1d19eb30d4f0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2026-08-01T13:46:30.443267Z</t>
        </is>
      </c>
      <c r="BI9" s="24" t="inlineStr">
        <is>
          <t>["same_event","same_team_same_day","same_league_same_day"]</t>
        </is>
      </c>
      <c r="BJ9" s="25" t="n"/>
      <c r="BK9" s="26" t="n">
        <v>-138</v>
      </c>
      <c r="BL9" s="27" t="n">
        <v>1.724638</v>
      </c>
      <c r="BM9" s="28" t="n">
        <v>0.579832</v>
      </c>
      <c r="BN9" s="28" t="n"/>
      <c r="BO9" s="28" t="n"/>
      <c r="BP9" s="25" t="n"/>
      <c r="BQ9" s="27" t="n">
        <v>1.724638</v>
      </c>
      <c r="BR9" s="28" t="n">
        <v>0.58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7e5cfa1784484860</t>
        </is>
      </c>
      <c r="B10" s="24" t="inlineStr">
        <is>
          <t>2026-08-01T13:46:43.837828Z</t>
        </is>
      </c>
      <c r="C10" s="24" t="inlineStr">
        <is>
          <t>2026-08-01T15:30:00Z</t>
        </is>
      </c>
      <c r="D10" s="24" t="inlineStr">
        <is>
          <t>67317</t>
        </is>
      </c>
      <c r="E10" s="24" t="inlineStr">
        <is>
          <t>CS2</t>
        </is>
      </c>
      <c r="F10" s="24" t="inlineStr">
        <is>
          <t>aimclub</t>
        </is>
      </c>
      <c r="G10" s="24" t="inlineStr">
        <is>
          <t>Young TigeRES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186</v>
      </c>
      <c r="M10" s="27" t="n">
        <v>2.86</v>
      </c>
      <c r="N10" s="28" t="n">
        <v>0.34965</v>
      </c>
      <c r="O10" s="28" t="n">
        <v>0.603676</v>
      </c>
      <c r="P10" s="28" t="n"/>
      <c r="Q10" s="28" t="n">
        <v>0.254026</v>
      </c>
      <c r="R10" s="26" t="n">
        <v>100</v>
      </c>
      <c r="S10" s="29" t="n">
        <v>1.25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178</v>
      </c>
      <c r="AA10" s="28" t="n">
        <v>0.36</v>
      </c>
      <c r="AB10" s="28" t="n">
        <v>0.01035</v>
      </c>
      <c r="AC10" s="30" t="n">
        <v>-1.25</v>
      </c>
      <c r="AD10" s="24" t="inlineStr">
        <is>
          <t>2026-08-01T18:35:43.575176Z</t>
        </is>
      </c>
      <c r="AE10" s="31" t="inlineStr">
        <is>
          <t>Neutral Elo baseline; executable ask 0.3500 (market_slug=aec-cs2-ytigeres-aimc-2026-08-01).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aimclub</t>
        </is>
      </c>
      <c r="AQ10" s="24" t="inlineStr">
        <is>
          <t>aimclub</t>
        </is>
      </c>
      <c r="AR10" s="24" t="inlineStr">
        <is>
          <t>aimclub</t>
        </is>
      </c>
      <c r="AS10" s="24" t="inlineStr">
        <is>
          <t>Young TigeRES</t>
        </is>
      </c>
      <c r="AT10" s="24" t="inlineStr">
        <is>
          <t>Young TigeRES</t>
        </is>
      </c>
      <c r="AU10" s="24" t="inlineStr">
        <is>
          <t>Young TigeRES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76d65080af75e0c3856de1f3b1c11380883507c146c1117ef81f1d19eb30d4f0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76d65080af75e0c3856de1f3b1c11380883507c146c1117ef81f1d19eb30d4f0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2026-08-01T13:46:30.967278Z</t>
        </is>
      </c>
      <c r="BI10" s="24" t="inlineStr">
        <is>
          <t>["same_event","same_team_same_day","same_league_same_day"]</t>
        </is>
      </c>
      <c r="BJ10" s="25" t="n"/>
      <c r="BK10" s="26" t="n">
        <v>186</v>
      </c>
      <c r="BL10" s="27" t="n">
        <v>2.86</v>
      </c>
      <c r="BM10" s="28" t="n">
        <v>0.34965</v>
      </c>
      <c r="BN10" s="28" t="n"/>
      <c r="BO10" s="28" t="n"/>
      <c r="BP10" s="25" t="n"/>
      <c r="BQ10" s="27" t="n">
        <v>2.78</v>
      </c>
      <c r="BR10" s="28" t="n">
        <v>0.36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d1b7bcbcd2784259</t>
        </is>
      </c>
      <c r="B11" s="24" t="inlineStr">
        <is>
          <t>2026-08-01T23:54:53.636521Z</t>
        </is>
      </c>
      <c r="C11" s="24" t="inlineStr">
        <is>
          <t>2026-08-02T00:30:00Z</t>
        </is>
      </c>
      <c r="D11" s="24" t="inlineStr">
        <is>
          <t>68172</t>
        </is>
      </c>
      <c r="E11" s="24" t="inlineStr">
        <is>
          <t>CS2</t>
        </is>
      </c>
      <c r="F11" s="24" t="inlineStr">
        <is>
          <t>Marsborne</t>
        </is>
      </c>
      <c r="G11" s="24" t="inlineStr">
        <is>
          <t>SportsBetExpert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-127</v>
      </c>
      <c r="M11" s="27" t="n">
        <v>1.787402</v>
      </c>
      <c r="N11" s="28" t="n">
        <v>0.5594710000000001</v>
      </c>
      <c r="O11" s="28" t="n">
        <v>0.600127</v>
      </c>
      <c r="P11" s="28" t="n"/>
      <c r="Q11" s="28" t="n">
        <v>0.040656</v>
      </c>
      <c r="R11" s="26" t="n">
        <v>40</v>
      </c>
      <c r="S11" s="29" t="n">
        <v>1.25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-127</v>
      </c>
      <c r="AA11" s="28" t="n">
        <v>0.5600000000000001</v>
      </c>
      <c r="AB11" s="28" t="n">
        <v>0.000529</v>
      </c>
      <c r="AC11" s="30" t="n">
        <v>-1.25</v>
      </c>
      <c r="AD11" s="24" t="inlineStr">
        <is>
          <t>2026-08-02T03:26:24.451346Z</t>
        </is>
      </c>
      <c r="AE11" s="31" t="inlineStr">
        <is>
          <t>Neutral Elo baseline; executable ask 0.5600 (market_slug=aec-cs2-spo-mars-2026-08-02).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Marsborne</t>
        </is>
      </c>
      <c r="AQ11" s="24" t="inlineStr">
        <is>
          <t>Marsborne</t>
        </is>
      </c>
      <c r="AR11" s="24" t="inlineStr">
        <is>
          <t>Marsborne</t>
        </is>
      </c>
      <c r="AS11" s="24" t="inlineStr">
        <is>
          <t>SportsBetExpert</t>
        </is>
      </c>
      <c r="AT11" s="24" t="inlineStr">
        <is>
          <t>SportsBetExpert</t>
        </is>
      </c>
      <c r="AU11" s="24" t="inlineStr">
        <is>
          <t>SportsBetExpert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124bb01c66650940a67a9125e9f0677482f15aec343dc7b3e847d2027a63cccc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124bb01c66650940a67a9125e9f0677482f15aec343dc7b3e847d2027a63cccc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2026-08-01T23:54:40.651895Z</t>
        </is>
      </c>
      <c r="BI11" s="24" t="inlineStr">
        <is>
          <t>["same_event","same_team_same_day","same_league_same_day"]</t>
        </is>
      </c>
      <c r="BJ11" s="25" t="n"/>
      <c r="BK11" s="26" t="n">
        <v>-127</v>
      </c>
      <c r="BL11" s="27" t="n">
        <v>1.787402</v>
      </c>
      <c r="BM11" s="28" t="n">
        <v>0.5594710000000001</v>
      </c>
      <c r="BN11" s="28" t="n"/>
      <c r="BO11" s="28" t="n"/>
      <c r="BP11" s="25" t="n"/>
      <c r="BQ11" s="27" t="n">
        <v>1.787402</v>
      </c>
      <c r="BR11" s="28" t="n">
        <v>0.5600000000000001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871fce3506474811</t>
        </is>
      </c>
      <c r="B12" s="24" t="inlineStr">
        <is>
          <t>2026-08-02T10:00:04.561525Z</t>
        </is>
      </c>
      <c r="C12" s="24" t="inlineStr">
        <is>
          <t>2026-08-02T10:30:00Z</t>
        </is>
      </c>
      <c r="D12" s="24" t="inlineStr">
        <is>
          <t>66836</t>
        </is>
      </c>
      <c r="E12" s="24" t="inlineStr">
        <is>
          <t>CS2</t>
        </is>
      </c>
      <c r="F12" s="24" t="inlineStr">
        <is>
          <t>Sangal ALTERS</t>
        </is>
      </c>
      <c r="G12" s="24" t="inlineStr">
        <is>
          <t>Teletubisie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0.690561</v>
      </c>
      <c r="P12" s="28" t="n"/>
      <c r="Q12" s="28" t="n">
        <v>0.180757</v>
      </c>
      <c r="R12" s="26" t="n">
        <v>100</v>
      </c>
      <c r="S12" s="29" t="n">
        <v>2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push</t>
        </is>
      </c>
      <c r="W12" s="26" t="n"/>
      <c r="X12" s="26" t="n"/>
      <c r="Y12" s="25" t="n"/>
      <c r="Z12" s="26" t="n"/>
      <c r="AA12" s="28" t="n"/>
      <c r="AB12" s="28" t="n"/>
      <c r="AC12" s="30" t="n">
        <v>0</v>
      </c>
      <c r="AD12" s="24" t="inlineStr">
        <is>
          <t>2026-08-02T15:53:33.702018Z</t>
        </is>
      </c>
      <c r="AE12" s="31" t="inlineStr">
        <is>
          <t>Neutral Elo baseline; executable ask 0.5100 (market_slug=aec-cs2-ttbs-sng-2026-08-02).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Sangal ALTERS</t>
        </is>
      </c>
      <c r="AQ12" s="24" t="inlineStr">
        <is>
          <t>Sangal ALTERS</t>
        </is>
      </c>
      <c r="AR12" s="24" t="inlineStr">
        <is>
          <t>Sangal ALTERS</t>
        </is>
      </c>
      <c r="AS12" s="24" t="inlineStr">
        <is>
          <t>Teletubisie</t>
        </is>
      </c>
      <c r="AT12" s="24" t="inlineStr">
        <is>
          <t>Teletubisie</t>
        </is>
      </c>
      <c r="AU12" s="24" t="inlineStr">
        <is>
          <t>Teletubisie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06138ffc8334cb69044b84c6e2b37aa9a4e0b6bd4f08ef7c62950d9e210f4364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06138ffc8334cb69044b84c6e2b37aa9a4e0b6bd4f08ef7c62950d9e210f4364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2026-08-02T09:59:44.064703Z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inlineStr">
        <is>
          <t>esports market settled to a non-binary price (forfeit/postponement per market rules)</t>
        </is>
      </c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1890098872ae4443</t>
        </is>
      </c>
      <c r="B13" s="24" t="inlineStr">
        <is>
          <t>2026-08-02T12:30:33.225632Z</t>
        </is>
      </c>
      <c r="C13" s="24" t="inlineStr">
        <is>
          <t>2026-08-02T13:00:00Z</t>
        </is>
      </c>
      <c r="D13" s="24" t="inlineStr">
        <is>
          <t>68257</t>
        </is>
      </c>
      <c r="E13" s="24" t="inlineStr">
        <is>
          <t>CS2</t>
        </is>
      </c>
      <c r="F13" s="24" t="inlineStr">
        <is>
          <t>Fortress</t>
        </is>
      </c>
      <c r="G13" s="24" t="inlineStr">
        <is>
          <t>DragonClaw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0.67594</v>
      </c>
      <c r="P13" s="28" t="n"/>
      <c r="Q13" s="28" t="n">
        <v>0.145424</v>
      </c>
      <c r="R13" s="26" t="n">
        <v>93</v>
      </c>
      <c r="S13" s="29" t="n">
        <v>1.75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push</t>
        </is>
      </c>
      <c r="W13" s="26" t="n"/>
      <c r="X13" s="26" t="n"/>
      <c r="Y13" s="25" t="n"/>
      <c r="Z13" s="26" t="n"/>
      <c r="AA13" s="28" t="n"/>
      <c r="AB13" s="28" t="n"/>
      <c r="AC13" s="30" t="n">
        <v>0</v>
      </c>
      <c r="AD13" s="24" t="inlineStr">
        <is>
          <t>2026-08-03T02:34:48.118824Z</t>
        </is>
      </c>
      <c r="AE13" s="31" t="inlineStr">
        <is>
          <t>Neutral Elo baseline; executable ask 0.5300 (market_slug=aec-cs2-dc-for-2026-08-02).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Fortress</t>
        </is>
      </c>
      <c r="AQ13" s="24" t="inlineStr">
        <is>
          <t>Fortress</t>
        </is>
      </c>
      <c r="AR13" s="24" t="inlineStr">
        <is>
          <t>Fortress</t>
        </is>
      </c>
      <c r="AS13" s="24" t="inlineStr">
        <is>
          <t>DragonClaw</t>
        </is>
      </c>
      <c r="AT13" s="24" t="inlineStr">
        <is>
          <t>DragonClaw</t>
        </is>
      </c>
      <c r="AU13" s="24" t="inlineStr">
        <is>
          <t>DragonClaw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bd7b44b2e86615e932309b2497f806ee2b5567367d785a2c9653f7a6fe2215fb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bd7b44b2e86615e932309b2497f806ee2b5567367d785a2c9653f7a6fe2215fb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2026-08-02T12:30:14.025736Z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inlineStr">
        <is>
          <t>esports market settled to a non-binary price (forfeit/postponement per market rules)</t>
        </is>
      </c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d46b1c6c074d4d79</t>
        </is>
      </c>
      <c r="B14" s="24" t="inlineStr">
        <is>
          <t>2026-08-02T16:53:33.678893Z</t>
        </is>
      </c>
      <c r="C14" s="24" t="inlineStr">
        <is>
          <t>2026-08-02T17:00:00Z</t>
        </is>
      </c>
      <c r="D14" s="24" t="inlineStr">
        <is>
          <t>69263</t>
        </is>
      </c>
      <c r="E14" s="24" t="inlineStr">
        <is>
          <t>CS2</t>
        </is>
      </c>
      <c r="F14" s="24" t="inlineStr">
        <is>
          <t>ENJOY</t>
        </is>
      </c>
      <c r="G14" s="24" t="inlineStr">
        <is>
          <t>Mai Tai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-194</v>
      </c>
      <c r="M14" s="27" t="n">
        <v>1.515464</v>
      </c>
      <c r="N14" s="28" t="n">
        <v>0.659864</v>
      </c>
      <c r="O14" s="28" t="n">
        <v>0.68024</v>
      </c>
      <c r="P14" s="28" t="n"/>
      <c r="Q14" s="28" t="n">
        <v>0.020376</v>
      </c>
      <c r="R14" s="26" t="n">
        <v>30</v>
      </c>
      <c r="S14" s="29" t="n">
        <v>1.75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push</t>
        </is>
      </c>
      <c r="W14" s="26" t="n"/>
      <c r="X14" s="26" t="n"/>
      <c r="Y14" s="25" t="n"/>
      <c r="Z14" s="26" t="n"/>
      <c r="AA14" s="28" t="n"/>
      <c r="AB14" s="28" t="n"/>
      <c r="AC14" s="30" t="n">
        <v>0</v>
      </c>
      <c r="AD14" s="24" t="inlineStr">
        <is>
          <t>2026-08-03T02:34:49.249923Z</t>
        </is>
      </c>
      <c r="AE14" s="31" t="inlineStr">
        <is>
          <t>Neutral Elo baseline; executable ask 0.6600 (market_slug=aec-cs2-mta-enjoy-2026-08-02).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ENJOY</t>
        </is>
      </c>
      <c r="AQ14" s="24" t="inlineStr">
        <is>
          <t>ENJOY</t>
        </is>
      </c>
      <c r="AR14" s="24" t="inlineStr">
        <is>
          <t>ENJOY</t>
        </is>
      </c>
      <c r="AS14" s="24" t="inlineStr">
        <is>
          <t>Mai Tai</t>
        </is>
      </c>
      <c r="AT14" s="24" t="inlineStr">
        <is>
          <t>Mai Tai</t>
        </is>
      </c>
      <c r="AU14" s="24" t="inlineStr">
        <is>
          <t>Mai Tai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4c897e659ec9db491c18706ace7c94ba8af6df222c16d377d3bd7391aba18f91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4c897e659ec9db491c18706ace7c94ba8af6df222c16d377d3bd7391aba18f91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2026-08-02T16:53:19.829844Z</t>
        </is>
      </c>
      <c r="BI14" s="24" t="inlineStr">
        <is>
          <t>["same_event","same_team_same_day","same_league_same_day"]</t>
        </is>
      </c>
      <c r="BJ14" s="25" t="n"/>
      <c r="BK14" s="26" t="n">
        <v>-194</v>
      </c>
      <c r="BL14" s="27" t="n">
        <v>1.515464</v>
      </c>
      <c r="BM14" s="28" t="n">
        <v>0.659864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inlineStr">
        <is>
          <t>esports market settled to a non-binary price (forfeit/postponement per market rules)</t>
        </is>
      </c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3e5ca2341bea45d1</t>
        </is>
      </c>
      <c r="B15" s="24" t="inlineStr">
        <is>
          <t>2026-08-03T10:14:59.378487Z</t>
        </is>
      </c>
      <c r="C15" s="24" t="inlineStr">
        <is>
          <t>2026-08-03T10:30:00Z</t>
        </is>
      </c>
      <c r="D15" s="24" t="inlineStr">
        <is>
          <t>67514</t>
        </is>
      </c>
      <c r="E15" s="24" t="inlineStr">
        <is>
          <t>CS2</t>
        </is>
      </c>
      <c r="F15" s="24" t="inlineStr">
        <is>
          <t>Passion Academy</t>
        </is>
      </c>
      <c r="G15" s="24" t="inlineStr">
        <is>
          <t>EAC Rising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-156</v>
      </c>
      <c r="M15" s="27" t="n">
        <v>1.641026</v>
      </c>
      <c r="N15" s="28" t="n">
        <v>0.609375</v>
      </c>
      <c r="O15" s="28" t="n">
        <v>0.639821</v>
      </c>
      <c r="P15" s="28" t="n"/>
      <c r="Q15" s="28" t="n">
        <v>0.030446</v>
      </c>
      <c r="R15" s="26" t="n">
        <v>35</v>
      </c>
      <c r="S15" s="29" t="n">
        <v>1.5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-156</v>
      </c>
      <c r="AA15" s="28" t="n">
        <v>0.61</v>
      </c>
      <c r="AB15" s="28" t="n">
        <v>0.000625</v>
      </c>
      <c r="AC15" s="30" t="n">
        <v>0.9615</v>
      </c>
      <c r="AD15" s="24" t="inlineStr">
        <is>
          <t>2026-08-03T13:27:35.671440Z</t>
        </is>
      </c>
      <c r="AE15" s="31" t="inlineStr">
        <is>
          <t>Neutral Elo baseline; executable ask 0.6100 (market_slug=aec-cs2-era-psna-2026-08-03).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Passion Academy</t>
        </is>
      </c>
      <c r="AQ15" s="24" t="inlineStr">
        <is>
          <t>Passion Academy</t>
        </is>
      </c>
      <c r="AR15" s="24" t="inlineStr">
        <is>
          <t>Passion Academy</t>
        </is>
      </c>
      <c r="AS15" s="24" t="inlineStr">
        <is>
          <t>EAC Rising</t>
        </is>
      </c>
      <c r="AT15" s="24" t="inlineStr">
        <is>
          <t>EAC Rising</t>
        </is>
      </c>
      <c r="AU15" s="24" t="inlineStr">
        <is>
          <t>EAC Rising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a67b482e0cc299818c9d6a6183162092d6b3cbeea4f974054606da1c44c3bd99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a67b482e0cc299818c9d6a6183162092d6b3cbeea4f974054606da1c44c3bd99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2026-08-03T10:14:38.370048Z</t>
        </is>
      </c>
      <c r="BI15" s="24" t="inlineStr">
        <is>
          <t>["same_event","same_team_same_day","same_league_same_day"]</t>
        </is>
      </c>
      <c r="BJ15" s="25" t="n"/>
      <c r="BK15" s="26" t="n">
        <v>-156</v>
      </c>
      <c r="BL15" s="27" t="n">
        <v>1.641026</v>
      </c>
      <c r="BM15" s="28" t="n">
        <v>0.609375</v>
      </c>
      <c r="BN15" s="28" t="n"/>
      <c r="BO15" s="28" t="n"/>
      <c r="BP15" s="25" t="n"/>
      <c r="BQ15" s="27" t="n">
        <v>1.641026</v>
      </c>
      <c r="BR15" s="28" t="n">
        <v>0.61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02ebc095ca494cd9</t>
        </is>
      </c>
      <c r="B16" s="24" t="inlineStr">
        <is>
          <t>2026-08-03T19:54:57.645683Z</t>
        </is>
      </c>
      <c r="C16" s="24" t="inlineStr">
        <is>
          <t>2026-08-03T21:00:00Z</t>
        </is>
      </c>
      <c r="D16" s="24" t="inlineStr">
        <is>
          <t>70532</t>
        </is>
      </c>
      <c r="E16" s="24" t="inlineStr">
        <is>
          <t>CS2</t>
        </is>
      </c>
      <c r="F16" s="24" t="inlineStr">
        <is>
          <t>RED Canids Academy</t>
        </is>
      </c>
      <c r="G16" s="24" t="inlineStr">
        <is>
          <t>ODDIK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-150</v>
      </c>
      <c r="M16" s="27" t="n">
        <v>1.666667</v>
      </c>
      <c r="N16" s="28" t="n">
        <v>0.6</v>
      </c>
      <c r="O16" s="28" t="n">
        <v>0.6304380000000001</v>
      </c>
      <c r="P16" s="28" t="n"/>
      <c r="Q16" s="28" t="n">
        <v>0.030438</v>
      </c>
      <c r="R16" s="26" t="n">
        <v>35</v>
      </c>
      <c r="S16" s="29" t="n">
        <v>1.5</v>
      </c>
      <c r="T16" s="24" t="inlineStr">
        <is>
          <t>cs2-tiered-elo-v5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0.6000 (market_slug=aec-cs2-odk-reda-2026-08-03).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RED Canids Academy</t>
        </is>
      </c>
      <c r="AQ16" s="24" t="inlineStr">
        <is>
          <t>RED Canids Academy</t>
        </is>
      </c>
      <c r="AR16" s="24" t="inlineStr">
        <is>
          <t>RED Canids Academy</t>
        </is>
      </c>
      <c r="AS16" s="24" t="inlineStr">
        <is>
          <t>ODDIK</t>
        </is>
      </c>
      <c r="AT16" s="24" t="inlineStr">
        <is>
          <t>ODDIK</t>
        </is>
      </c>
      <c r="AU16" s="24" t="inlineStr">
        <is>
          <t>ODDIK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49e72bc47e8b746259057b18a0727b3402ae02f53069edfae5b6532757438c2c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49e72bc47e8b746259057b18a0727b3402ae02f53069edfae5b6532757438c2c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2026-08-03T19:54:46.268393Z</t>
        </is>
      </c>
      <c r="BI16" s="24" t="inlineStr">
        <is>
          <t>["same_event","same_team_same_day","same_league_same_day"]</t>
        </is>
      </c>
      <c r="BJ16" s="25" t="n"/>
      <c r="BK16" s="26" t="n">
        <v>-150</v>
      </c>
      <c r="BL16" s="27" t="n">
        <v>1.666667</v>
      </c>
      <c r="BM16" s="28" t="n">
        <v>0.6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e17b52861cea4d2b</t>
        </is>
      </c>
      <c r="B17" s="24" t="inlineStr">
        <is>
          <t>2026-08-04T08:56:55.041466Z</t>
        </is>
      </c>
      <c r="C17" s="24" t="inlineStr">
        <is>
          <t>2026-08-04T11:00:00Z</t>
        </is>
      </c>
      <c r="D17" s="24" t="inlineStr">
        <is>
          <t>68302</t>
        </is>
      </c>
      <c r="E17" s="24" t="inlineStr">
        <is>
          <t>CS2</t>
        </is>
      </c>
      <c r="F17" s="24" t="inlineStr">
        <is>
          <t>Phantom</t>
        </is>
      </c>
      <c r="G17" s="24" t="inlineStr">
        <is>
          <t>Sashi Esport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0.551011</v>
      </c>
      <c r="P17" s="28" t="n"/>
      <c r="Q17" s="28" t="n">
        <v>0.060815</v>
      </c>
      <c r="R17" s="26" t="n">
        <v>50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104</v>
      </c>
      <c r="AA17" s="28" t="n">
        <v>0.49</v>
      </c>
      <c r="AB17" s="28" t="n">
        <v>-0.000196</v>
      </c>
      <c r="AC17" s="30" t="n">
        <v>1.04</v>
      </c>
      <c r="AD17" s="24" t="inlineStr">
        <is>
          <t>2026-08-04T14:03:59.228709Z</t>
        </is>
      </c>
      <c r="AE17" s="31" t="inlineStr">
        <is>
          <t>Neutral Elo baseline; executable ask 0.4900 (market_slug=aec-cs2-sashi-pha-2026-08-04).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Phantom</t>
        </is>
      </c>
      <c r="AQ17" s="24" t="inlineStr">
        <is>
          <t>Phantom</t>
        </is>
      </c>
      <c r="AR17" s="24" t="inlineStr">
        <is>
          <t>Phantom</t>
        </is>
      </c>
      <c r="AS17" s="24" t="inlineStr">
        <is>
          <t>Sashi Esport</t>
        </is>
      </c>
      <c r="AT17" s="24" t="inlineStr">
        <is>
          <t>Sashi Esport</t>
        </is>
      </c>
      <c r="AU17" s="24" t="inlineStr">
        <is>
          <t>Sashi Esport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2e5d465a17379306940528ff103c7508aad908ecb9a4879bb8031bb88a86443c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2e5d465a17379306940528ff103c7508aad908ecb9a4879bb8031bb88a86443c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2026-08-04T08:56:24.737438Z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>
        <v>2.04</v>
      </c>
      <c r="BR17" s="28" t="n">
        <v>0.49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c8aec1582044472d</t>
        </is>
      </c>
      <c r="B18" s="24" t="inlineStr">
        <is>
          <t>2026-08-04T08:56:55.041466Z</t>
        </is>
      </c>
      <c r="C18" s="24" t="inlineStr">
        <is>
          <t>2026-08-04T11:00:00Z</t>
        </is>
      </c>
      <c r="D18" s="24" t="inlineStr">
        <is>
          <t>71501</t>
        </is>
      </c>
      <c r="E18" s="24" t="inlineStr">
        <is>
          <t>CS2</t>
        </is>
      </c>
      <c r="F18" s="24" t="inlineStr">
        <is>
          <t>Betclic Apogee Esports</t>
        </is>
      </c>
      <c r="G18" s="24" t="inlineStr">
        <is>
          <t>Acend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-138</v>
      </c>
      <c r="M18" s="27" t="n">
        <v>1.724638</v>
      </c>
      <c r="N18" s="28" t="n">
        <v>0.579832</v>
      </c>
      <c r="O18" s="28" t="n">
        <v>0.691594</v>
      </c>
      <c r="P18" s="28" t="n"/>
      <c r="Q18" s="28" t="n">
        <v>0.111762</v>
      </c>
      <c r="R18" s="26" t="n">
        <v>76</v>
      </c>
      <c r="S18" s="29" t="n">
        <v>2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-138</v>
      </c>
      <c r="AA18" s="28" t="n">
        <v>0.58</v>
      </c>
      <c r="AB18" s="28" t="n">
        <v>0.000168</v>
      </c>
      <c r="AC18" s="30" t="n">
        <v>-2</v>
      </c>
      <c r="AD18" s="24" t="inlineStr">
        <is>
          <t>2026-08-04T14:04:00.544032Z</t>
        </is>
      </c>
      <c r="AE18" s="31" t="inlineStr">
        <is>
          <t>Neutral Elo baseline; executable ask 0.5800 (market_slug=aec-cs2-ace-bca-2026-08-04).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Betclic Apogee Esports</t>
        </is>
      </c>
      <c r="AQ18" s="24" t="inlineStr">
        <is>
          <t>Betclic Apogee Esports</t>
        </is>
      </c>
      <c r="AR18" s="24" t="inlineStr">
        <is>
          <t>Betclic Apogee Esports</t>
        </is>
      </c>
      <c r="AS18" s="24" t="inlineStr">
        <is>
          <t>Acend</t>
        </is>
      </c>
      <c r="AT18" s="24" t="inlineStr">
        <is>
          <t>Acend</t>
        </is>
      </c>
      <c r="AU18" s="24" t="inlineStr">
        <is>
          <t>Acend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2e5d465a17379306940528ff103c7508aad908ecb9a4879bb8031bb88a86443c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2e5d465a17379306940528ff103c7508aad908ecb9a4879bb8031bb88a86443c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2026-08-04T08:56:25.971824Z</t>
        </is>
      </c>
      <c r="BI18" s="24" t="inlineStr">
        <is>
          <t>["same_event","same_team_same_day","same_league_same_day"]</t>
        </is>
      </c>
      <c r="BJ18" s="25" t="n"/>
      <c r="BK18" s="26" t="n">
        <v>-138</v>
      </c>
      <c r="BL18" s="27" t="n">
        <v>1.724638</v>
      </c>
      <c r="BM18" s="28" t="n">
        <v>0.579832</v>
      </c>
      <c r="BN18" s="28" t="n"/>
      <c r="BO18" s="28" t="n"/>
      <c r="BP18" s="25" t="n"/>
      <c r="BQ18" s="27" t="n">
        <v>1.724638</v>
      </c>
      <c r="BR18" s="28" t="n">
        <v>0.58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6683be048cab49e5</t>
        </is>
      </c>
      <c r="B19" s="24" t="inlineStr">
        <is>
          <t>2026-08-04T14:27:03.198804Z</t>
        </is>
      </c>
      <c r="C19" s="24" t="inlineStr">
        <is>
          <t>2026-08-04T17:00:00Z</t>
        </is>
      </c>
      <c r="D19" s="24" t="inlineStr">
        <is>
          <t>71337</t>
        </is>
      </c>
      <c r="E19" s="24" t="inlineStr">
        <is>
          <t>CS2</t>
        </is>
      </c>
      <c r="F19" s="24" t="inlineStr">
        <is>
          <t>A Great Chaos</t>
        </is>
      </c>
      <c r="G19" s="24" t="inlineStr">
        <is>
          <t>Fortress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-122</v>
      </c>
      <c r="M19" s="27" t="n">
        <v>1.819672</v>
      </c>
      <c r="N19" s="28" t="n">
        <v>0.54955</v>
      </c>
      <c r="O19" s="28" t="n">
        <v>0.571449</v>
      </c>
      <c r="P19" s="28" t="n"/>
      <c r="Q19" s="28" t="n">
        <v>0.021899</v>
      </c>
      <c r="R19" s="26" t="n">
        <v>31</v>
      </c>
      <c r="S19" s="29" t="n">
        <v>1.25</v>
      </c>
      <c r="T19" s="24" t="inlineStr">
        <is>
          <t>cs2-tiered-elo-v5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0.5500 (market_slug=aec-cs2-for-agc-2026-08-04).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A Great Chaos</t>
        </is>
      </c>
      <c r="AQ19" s="24" t="inlineStr">
        <is>
          <t>A Great Chaos</t>
        </is>
      </c>
      <c r="AR19" s="24" t="inlineStr">
        <is>
          <t>A Great Chaos</t>
        </is>
      </c>
      <c r="AS19" s="24" t="inlineStr">
        <is>
          <t>Fortress</t>
        </is>
      </c>
      <c r="AT19" s="24" t="inlineStr">
        <is>
          <t>Fortress</t>
        </is>
      </c>
      <c r="AU19" s="24" t="inlineStr">
        <is>
          <t>Fortress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00cdf82f3d57942970af15209b096125d6c9c414d900ca7bc63b9b6d0234f3e3</t>
        </is>
      </c>
      <c r="BB19" s="24" t="inlineStr">
        <is>
          <t>neutral_elo</t>
        </is>
      </c>
      <c r="BC19" s="24" t="inlineStr">
        <is>
          <t>cs2-tiered-elo-v5</t>
        </is>
      </c>
      <c r="BD19" s="24" t="inlineStr">
        <is>
          <t>00cdf82f3d57942970af15209b096125d6c9c414d900ca7bc63b9b6d0234f3e3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cs2-tiered-elo-v5</t>
        </is>
      </c>
      <c r="BH19" s="24" t="inlineStr">
        <is>
          <t>2026-08-04T14:26:42.351782Z</t>
        </is>
      </c>
      <c r="BI19" s="24" t="inlineStr">
        <is>
          <t>["same_event","same_team_same_day","same_league_same_day"]</t>
        </is>
      </c>
      <c r="BJ19" s="25" t="n"/>
      <c r="BK19" s="26" t="n">
        <v>-122</v>
      </c>
      <c r="BL19" s="27" t="n">
        <v>1.819672</v>
      </c>
      <c r="BM19" s="28" t="n">
        <v>0.54955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3fb6607edd904d03</t>
        </is>
      </c>
      <c r="B20" s="24" t="inlineStr">
        <is>
          <t>2026-08-04T14:27:03.198804Z</t>
        </is>
      </c>
      <c r="C20" s="24" t="inlineStr">
        <is>
          <t>2026-08-04T17:15:00Z</t>
        </is>
      </c>
      <c r="D20" s="24" t="inlineStr">
        <is>
          <t>71339</t>
        </is>
      </c>
      <c r="E20" s="24" t="inlineStr">
        <is>
          <t>CS2</t>
        </is>
      </c>
      <c r="F20" s="24" t="inlineStr">
        <is>
          <t>OLDBOYS PL</t>
        </is>
      </c>
      <c r="G20" s="24" t="inlineStr">
        <is>
          <t>XI Esport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-203</v>
      </c>
      <c r="M20" s="27" t="n">
        <v>1.492611</v>
      </c>
      <c r="N20" s="28" t="n">
        <v>0.669967</v>
      </c>
      <c r="O20" s="28" t="n">
        <v>0.681734</v>
      </c>
      <c r="P20" s="28" t="n"/>
      <c r="Q20" s="28" t="n">
        <v>0.011767</v>
      </c>
      <c r="R20" s="26" t="n">
        <v>26</v>
      </c>
      <c r="S20" s="29" t="n">
        <v>2</v>
      </c>
      <c r="T20" s="24" t="inlineStr">
        <is>
          <t>cs2-tiered-elo-v5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0.6700 (market_slug=aec-cs2-xi-oldboyspl-2026-08-04).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OLDBOYS PL</t>
        </is>
      </c>
      <c r="AQ20" s="24" t="inlineStr">
        <is>
          <t>OLDBOYS PL</t>
        </is>
      </c>
      <c r="AR20" s="24" t="inlineStr">
        <is>
          <t>OLDBOYS PL</t>
        </is>
      </c>
      <c r="AS20" s="24" t="inlineStr">
        <is>
          <t>XI Esport</t>
        </is>
      </c>
      <c r="AT20" s="24" t="inlineStr">
        <is>
          <t>XI Esport</t>
        </is>
      </c>
      <c r="AU20" s="24" t="inlineStr">
        <is>
          <t>XI Esport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00cdf82f3d57942970af15209b096125d6c9c414d900ca7bc63b9b6d0234f3e3</t>
        </is>
      </c>
      <c r="BB20" s="24" t="inlineStr">
        <is>
          <t>neutral_elo</t>
        </is>
      </c>
      <c r="BC20" s="24" t="inlineStr">
        <is>
          <t>cs2-tiered-elo-v5</t>
        </is>
      </c>
      <c r="BD20" s="24" t="inlineStr">
        <is>
          <t>00cdf82f3d57942970af15209b096125d6c9c414d900ca7bc63b9b6d0234f3e3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cs2-tiered-elo-v5</t>
        </is>
      </c>
      <c r="BH20" s="24" t="inlineStr">
        <is>
          <t>2026-08-04T14:26:44.028305Z</t>
        </is>
      </c>
      <c r="BI20" s="24" t="inlineStr">
        <is>
          <t>["same_event","same_team_same_day","same_league_same_day"]</t>
        </is>
      </c>
      <c r="BJ20" s="25" t="n"/>
      <c r="BK20" s="26" t="n">
        <v>-203</v>
      </c>
      <c r="BL20" s="27" t="n">
        <v>1.492611</v>
      </c>
      <c r="BM20" s="28" t="n">
        <v>0.669967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93e601c336a54c31</t>
        </is>
      </c>
      <c r="B21" s="24" t="inlineStr">
        <is>
          <t>2026-08-04T14:27:03.198804Z</t>
        </is>
      </c>
      <c r="C21" s="24" t="inlineStr">
        <is>
          <t>2026-08-04T18:30:00Z</t>
        </is>
      </c>
      <c r="D21" s="24" t="inlineStr">
        <is>
          <t>71382</t>
        </is>
      </c>
      <c r="E21" s="24" t="inlineStr">
        <is>
          <t>CS2</t>
        </is>
      </c>
      <c r="F21" s="24" t="inlineStr">
        <is>
          <t>JUMBO TEAM</t>
        </is>
      </c>
      <c r="G21" s="24" t="inlineStr">
        <is>
          <t>Benched gods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-144</v>
      </c>
      <c r="M21" s="27" t="n">
        <v>1.694444</v>
      </c>
      <c r="N21" s="28" t="n">
        <v>0.590164</v>
      </c>
      <c r="O21" s="28" t="n">
        <v>0.67486</v>
      </c>
      <c r="P21" s="28" t="n"/>
      <c r="Q21" s="28" t="n">
        <v>0.08469599999999999</v>
      </c>
      <c r="R21" s="26" t="n">
        <v>62</v>
      </c>
      <c r="S21" s="29" t="n">
        <v>1.75</v>
      </c>
      <c r="T21" s="24" t="inlineStr">
        <is>
          <t>cs2-tiered-elo-v5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0.5900 (market_slug=aec-cs2-bge-jumbo-2026-08-04).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JUMBO TEAM</t>
        </is>
      </c>
      <c r="AQ21" s="24" t="inlineStr">
        <is>
          <t>JUMBO TEAM</t>
        </is>
      </c>
      <c r="AR21" s="24" t="inlineStr">
        <is>
          <t>JUMBO TEAM</t>
        </is>
      </c>
      <c r="AS21" s="24" t="inlineStr">
        <is>
          <t>Benched gods</t>
        </is>
      </c>
      <c r="AT21" s="24" t="inlineStr">
        <is>
          <t>Benched gods</t>
        </is>
      </c>
      <c r="AU21" s="24" t="inlineStr">
        <is>
          <t>Benched gods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00cdf82f3d57942970af15209b096125d6c9c414d900ca7bc63b9b6d0234f3e3</t>
        </is>
      </c>
      <c r="BB21" s="24" t="inlineStr">
        <is>
          <t>neutral_elo</t>
        </is>
      </c>
      <c r="BC21" s="24" t="inlineStr">
        <is>
          <t>cs2-tiered-elo-v5</t>
        </is>
      </c>
      <c r="BD21" s="24" t="inlineStr">
        <is>
          <t>00cdf82f3d57942970af15209b096125d6c9c414d900ca7bc63b9b6d0234f3e3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cs2-tiered-elo-v5</t>
        </is>
      </c>
      <c r="BH21" s="24" t="inlineStr">
        <is>
          <t>2026-08-04T14:26:45.147234Z</t>
        </is>
      </c>
      <c r="BI21" s="24" t="inlineStr">
        <is>
          <t>["same_event","same_team_same_day","same_league_same_day"]</t>
        </is>
      </c>
      <c r="BJ21" s="25" t="n"/>
      <c r="BK21" s="26" t="n">
        <v>-144</v>
      </c>
      <c r="BL21" s="27" t="n">
        <v>1.694444</v>
      </c>
      <c r="BM21" s="28" t="n">
        <v>0.590164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4feb73288bdc4623</t>
        </is>
      </c>
      <c r="B22" s="24" t="inlineStr">
        <is>
          <t>2026-08-04T14:27:03.198804Z</t>
        </is>
      </c>
      <c r="C22" s="24" t="inlineStr">
        <is>
          <t>2026-08-04T18:30:00Z</t>
        </is>
      </c>
      <c r="D22" s="24" t="inlineStr">
        <is>
          <t>71391</t>
        </is>
      </c>
      <c r="E22" s="24" t="inlineStr">
        <is>
          <t>CS2</t>
        </is>
      </c>
      <c r="F22" s="24" t="inlineStr">
        <is>
          <t>A Great Chaos</t>
        </is>
      </c>
      <c r="G22" s="24" t="inlineStr">
        <is>
          <t>FAST LAYNERS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100</v>
      </c>
      <c r="M22" s="27" t="n">
        <v>2</v>
      </c>
      <c r="N22" s="28" t="n">
        <v>0.5</v>
      </c>
      <c r="O22" s="28" t="n">
        <v>0.645876</v>
      </c>
      <c r="P22" s="28" t="n"/>
      <c r="Q22" s="28" t="n">
        <v>0.145876</v>
      </c>
      <c r="R22" s="26" t="n">
        <v>93</v>
      </c>
      <c r="S22" s="29" t="n">
        <v>1.75</v>
      </c>
      <c r="T22" s="24" t="inlineStr">
        <is>
          <t>cs2-tiered-elo-v5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0.5000 (market_slug=aec-cs2-fla-agc-2026-08-04).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A Great Chaos</t>
        </is>
      </c>
      <c r="AQ22" s="24" t="inlineStr">
        <is>
          <t>A Great Chaos</t>
        </is>
      </c>
      <c r="AR22" s="24" t="inlineStr">
        <is>
          <t>A Great Chaos</t>
        </is>
      </c>
      <c r="AS22" s="24" t="inlineStr">
        <is>
          <t>FAST LAYNERS</t>
        </is>
      </c>
      <c r="AT22" s="24" t="inlineStr">
        <is>
          <t>FAST LAYNERS</t>
        </is>
      </c>
      <c r="AU22" s="24" t="inlineStr">
        <is>
          <t>FAST LAYNERS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00cdf82f3d57942970af15209b096125d6c9c414d900ca7bc63b9b6d0234f3e3</t>
        </is>
      </c>
      <c r="BB22" s="24" t="inlineStr">
        <is>
          <t>neutral_elo</t>
        </is>
      </c>
      <c r="BC22" s="24" t="inlineStr">
        <is>
          <t>cs2-tiered-elo-v5</t>
        </is>
      </c>
      <c r="BD22" s="24" t="inlineStr">
        <is>
          <t>00cdf82f3d57942970af15209b096125d6c9c414d900ca7bc63b9b6d0234f3e3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cs2-tiered-elo-v5</t>
        </is>
      </c>
      <c r="BH22" s="24" t="inlineStr">
        <is>
          <t>2026-08-04T14:26:46.831301Z</t>
        </is>
      </c>
      <c r="BI22" s="24" t="inlineStr">
        <is>
          <t>["same_event","same_team_same_day","same_league_same_day"]</t>
        </is>
      </c>
      <c r="BJ22" s="25" t="n"/>
      <c r="BK22" s="26" t="n">
        <v>100</v>
      </c>
      <c r="BL22" s="27" t="n">
        <v>2</v>
      </c>
      <c r="BM22" s="28" t="n">
        <v>0.5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eeec8b8412654053</t>
        </is>
      </c>
      <c r="B23" s="24" t="inlineStr">
        <is>
          <t>2026-08-04T14:27:03.198804Z</t>
        </is>
      </c>
      <c r="C23" s="24" t="inlineStr">
        <is>
          <t>2026-08-04T18:30:00Z</t>
        </is>
      </c>
      <c r="D23" s="24" t="inlineStr">
        <is>
          <t>71388</t>
        </is>
      </c>
      <c r="E23" s="24" t="inlineStr">
        <is>
          <t>CS2</t>
        </is>
      </c>
      <c r="F23" s="24" t="inlineStr">
        <is>
          <t>Fraternity</t>
        </is>
      </c>
      <c r="G23" s="24" t="inlineStr">
        <is>
          <t>PURE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-108</v>
      </c>
      <c r="M23" s="27" t="n">
        <v>1.925926</v>
      </c>
      <c r="N23" s="28" t="n">
        <v>0.519231</v>
      </c>
      <c r="O23" s="28" t="n">
        <v>0.556024</v>
      </c>
      <c r="P23" s="28" t="n"/>
      <c r="Q23" s="28" t="n">
        <v>0.036793</v>
      </c>
      <c r="R23" s="26" t="n">
        <v>38</v>
      </c>
      <c r="S23" s="29" t="n">
        <v>1</v>
      </c>
      <c r="T23" s="24" t="inlineStr">
        <is>
          <t>cs2-tiered-elo-v5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0.5200 (market_slug=aec-cs2-pure-frt-2026-08-04).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Fraternity</t>
        </is>
      </c>
      <c r="AQ23" s="24" t="inlineStr">
        <is>
          <t>Fraternity</t>
        </is>
      </c>
      <c r="AR23" s="24" t="inlineStr">
        <is>
          <t>Fraternity</t>
        </is>
      </c>
      <c r="AS23" s="24" t="inlineStr">
        <is>
          <t>PURE</t>
        </is>
      </c>
      <c r="AT23" s="24" t="inlineStr">
        <is>
          <t>PURE</t>
        </is>
      </c>
      <c r="AU23" s="24" t="inlineStr">
        <is>
          <t>PURE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00cdf82f3d57942970af15209b096125d6c9c414d900ca7bc63b9b6d0234f3e3</t>
        </is>
      </c>
      <c r="BB23" s="24" t="inlineStr">
        <is>
          <t>neutral_elo</t>
        </is>
      </c>
      <c r="BC23" s="24" t="inlineStr">
        <is>
          <t>cs2-tiered-elo-v5</t>
        </is>
      </c>
      <c r="BD23" s="24" t="inlineStr">
        <is>
          <t>00cdf82f3d57942970af15209b096125d6c9c414d900ca7bc63b9b6d0234f3e3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cs2-tiered-elo-v5</t>
        </is>
      </c>
      <c r="BH23" s="24" t="inlineStr">
        <is>
          <t>2026-08-04T14:26:48.498248Z</t>
        </is>
      </c>
      <c r="BI23" s="24" t="inlineStr">
        <is>
          <t>["same_event","same_team_same_day","same_league_same_day"]</t>
        </is>
      </c>
      <c r="BJ23" s="25" t="n"/>
      <c r="BK23" s="26" t="n">
        <v>-108</v>
      </c>
      <c r="BL23" s="27" t="n">
        <v>1.925926</v>
      </c>
      <c r="BM23" s="28" t="n">
        <v>0.519231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c5c573ac5be14f59</t>
        </is>
      </c>
      <c r="B24" s="24" t="inlineStr">
        <is>
          <t>2026-08-04T14:27:03.198804Z</t>
        </is>
      </c>
      <c r="C24" s="24" t="inlineStr">
        <is>
          <t>2026-08-04T18:30:00Z</t>
        </is>
      </c>
      <c r="D24" s="24" t="inlineStr">
        <is>
          <t>71389</t>
        </is>
      </c>
      <c r="E24" s="24" t="inlineStr">
        <is>
          <t>CS2</t>
        </is>
      </c>
      <c r="F24" s="24" t="inlineStr">
        <is>
          <t>Banger Gang</t>
        </is>
      </c>
      <c r="G24" s="24" t="inlineStr">
        <is>
          <t>Arch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100</v>
      </c>
      <c r="M24" s="27" t="n">
        <v>2</v>
      </c>
      <c r="N24" s="28" t="n">
        <v>0.5</v>
      </c>
      <c r="O24" s="28" t="n">
        <v>0.698177</v>
      </c>
      <c r="P24" s="28" t="n"/>
      <c r="Q24" s="28" t="n">
        <v>0.198177</v>
      </c>
      <c r="R24" s="26" t="n">
        <v>100</v>
      </c>
      <c r="S24" s="29" t="n">
        <v>2</v>
      </c>
      <c r="T24" s="24" t="inlineStr">
        <is>
          <t>cs2-tiered-elo-v5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0.5000 (market_slug=aec-cs2-arch-bg-2026-08-04).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Banger Gang</t>
        </is>
      </c>
      <c r="AQ24" s="24" t="inlineStr">
        <is>
          <t>Banger Gang</t>
        </is>
      </c>
      <c r="AR24" s="24" t="inlineStr">
        <is>
          <t>Banger Gang</t>
        </is>
      </c>
      <c r="AS24" s="24" t="inlineStr">
        <is>
          <t>Arch</t>
        </is>
      </c>
      <c r="AT24" s="24" t="inlineStr">
        <is>
          <t>Arch</t>
        </is>
      </c>
      <c r="AU24" s="24" t="inlineStr">
        <is>
          <t>Arch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00cdf82f3d57942970af15209b096125d6c9c414d900ca7bc63b9b6d0234f3e3</t>
        </is>
      </c>
      <c r="BB24" s="24" t="inlineStr">
        <is>
          <t>neutral_elo</t>
        </is>
      </c>
      <c r="BC24" s="24" t="inlineStr">
        <is>
          <t>cs2-tiered-elo-v5</t>
        </is>
      </c>
      <c r="BD24" s="24" t="inlineStr">
        <is>
          <t>00cdf82f3d57942970af15209b096125d6c9c414d900ca7bc63b9b6d0234f3e3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cs2-tiered-elo-v5</t>
        </is>
      </c>
      <c r="BH24" s="24" t="inlineStr">
        <is>
          <t>2026-08-04T14:26:49.093007Z</t>
        </is>
      </c>
      <c r="BI24" s="24" t="inlineStr">
        <is>
          <t>["same_event","same_team_same_day","same_league_same_day"]</t>
        </is>
      </c>
      <c r="BJ24" s="25" t="n"/>
      <c r="BK24" s="26" t="n">
        <v>100</v>
      </c>
      <c r="BL24" s="27" t="n">
        <v>2</v>
      </c>
      <c r="BM24" s="28" t="n">
        <v>0.5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eb5c0f2876c14b6b</t>
        </is>
      </c>
      <c r="B25" s="24" t="inlineStr">
        <is>
          <t>2026-08-04T14:27:03.198804Z</t>
        </is>
      </c>
      <c r="C25" s="24" t="inlineStr">
        <is>
          <t>2026-08-04T18:30:00Z</t>
        </is>
      </c>
      <c r="D25" s="24" t="inlineStr">
        <is>
          <t>71387</t>
        </is>
      </c>
      <c r="E25" s="24" t="inlineStr">
        <is>
          <t>CS2</t>
        </is>
      </c>
      <c r="F25" s="24" t="inlineStr">
        <is>
          <t>OLDBOYS PL</t>
        </is>
      </c>
      <c r="G25" s="24" t="inlineStr">
        <is>
          <t>eSuba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-138</v>
      </c>
      <c r="M25" s="27" t="n">
        <v>1.724638</v>
      </c>
      <c r="N25" s="28" t="n">
        <v>0.579832</v>
      </c>
      <c r="O25" s="28" t="n">
        <v>0.614141</v>
      </c>
      <c r="P25" s="28" t="n"/>
      <c r="Q25" s="28" t="n">
        <v>0.034309</v>
      </c>
      <c r="R25" s="26" t="n">
        <v>37</v>
      </c>
      <c r="S25" s="29" t="n">
        <v>1.5</v>
      </c>
      <c r="T25" s="24" t="inlineStr">
        <is>
          <t>cs2-tiered-elo-v5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0.5800 (market_slug=aec-cs2-esb-oldboyspl-2026-08-04).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OLDBOYS PL</t>
        </is>
      </c>
      <c r="AQ25" s="24" t="inlineStr">
        <is>
          <t>OLDBOYS PL</t>
        </is>
      </c>
      <c r="AR25" s="24" t="inlineStr">
        <is>
          <t>OLDBOYS PL</t>
        </is>
      </c>
      <c r="AS25" s="24" t="inlineStr">
        <is>
          <t>eSuba</t>
        </is>
      </c>
      <c r="AT25" s="24" t="inlineStr">
        <is>
          <t>eSuba</t>
        </is>
      </c>
      <c r="AU25" s="24" t="inlineStr">
        <is>
          <t>eSuba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00cdf82f3d57942970af15209b096125d6c9c414d900ca7bc63b9b6d0234f3e3</t>
        </is>
      </c>
      <c r="BB25" s="24" t="inlineStr">
        <is>
          <t>neutral_elo</t>
        </is>
      </c>
      <c r="BC25" s="24" t="inlineStr">
        <is>
          <t>cs2-tiered-elo-v5</t>
        </is>
      </c>
      <c r="BD25" s="24" t="inlineStr">
        <is>
          <t>00cdf82f3d57942970af15209b096125d6c9c414d900ca7bc63b9b6d0234f3e3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cs2-tiered-elo-v5</t>
        </is>
      </c>
      <c r="BH25" s="24" t="inlineStr">
        <is>
          <t>2026-08-04T14:26:50.211130Z</t>
        </is>
      </c>
      <c r="BI25" s="24" t="inlineStr">
        <is>
          <t>["same_event","same_team_same_day","same_league_same_day"]</t>
        </is>
      </c>
      <c r="BJ25" s="25" t="n"/>
      <c r="BK25" s="26" t="n">
        <v>-138</v>
      </c>
      <c r="BL25" s="27" t="n">
        <v>1.724638</v>
      </c>
      <c r="BM25" s="28" t="n">
        <v>0.579832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2026-08-04T14:28:04Z</dcterms:created>
  <dcterms:modified xsi:type="dcterms:W3CDTF">2026-08-04T14:28:04Z</dcterms:modified>
</cp:coreProperties>
</file>