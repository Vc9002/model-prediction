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3" headerRowCount="1">
  <autoFilter ref="A1:CS3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COUNTA('Picks'!$A$2:$A$33)</f>
        <v/>
      </c>
      <c r="C4" s="6">
        <f>COUNTIF('Picks'!$U$2:$U$33,"open")</f>
        <v/>
      </c>
      <c r="E4" s="6">
        <f>COUNTIF('Picks'!$U$2:$U$33,"settled")</f>
        <v/>
      </c>
      <c r="G4" s="6">
        <f>IF(COUNTIFS('Picks'!$U$2:$U$33,"settled",'Picks'!$V$2:$V$33,"win")+COUNTIFS('Picks'!$U$2:$U$33,"settled",'Picks'!$V$2:$V$33,"loss")&gt;=$L$2,"Ready","Insufficient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COUNTIF('Picks'!$BX$2:$BX$33,"&gt;0")</f>
        <v/>
      </c>
      <c r="C7" s="6">
        <f>COUNTIFS('Picks'!$BX$2:$BX$33,"&gt;0",'Picks'!$V$2:$V$33,"win")&amp;"-"&amp;COUNTIFS('Picks'!$BX$2:$BX$33,"&gt;0",'Picks'!$V$2:$V$33,"loss")</f>
        <v/>
      </c>
      <c r="E7" s="7">
        <f>IFERROR(COUNTIFS('Picks'!$BX$2:$BX$33,"&gt;0",'Picks'!$V$2:$V$33,"win")/(COUNTIFS('Picks'!$BX$2:$BX$33,"&gt;0",'Picks'!$V$2:$V$33,"win")+COUNTIFS('Picks'!$BX$2:$BX$33,"&gt;0",'Picks'!$V$2:$V$33,"loss")),0)</f>
        <v/>
      </c>
      <c r="G7" s="7">
        <f>IFERROR(SUM('Picks'!$BY$2:$BY$33)/SUM('Picks'!$BX$2:$BX$33),0)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SUM('Picks'!$BY$2:$BY$33)</f>
        <v/>
      </c>
      <c r="C10" s="9">
        <f>IFERROR(AVERAGEIF('Picks'!$AB$2:$AB$33,"&lt;&gt;",'Picks'!$AB$2:$AB$33),0)</f>
        <v/>
      </c>
      <c r="E10" s="6">
        <f>COUNTIFS('Picks'!$AM$2:$AM$33,"QUALIFIED_SHADOW_CALL",'Picks'!$U$2:$U$33,"settled")</f>
        <v/>
      </c>
      <c r="G10" s="8">
        <f>SUMIFS('Picks'!$AC$2:$AC$33,'Picks'!$AM$2:$AM$33,"QUALIFIED_SHADOW_CALL")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COUNTIFS('Picks'!$H$2:$H$33,$A14,'Picks'!$U$2:$U$33,"settled")</f>
        <v/>
      </c>
      <c r="C14" s="13">
        <f>COUNTIFS('Picks'!$H$2:$H$33,$A14,'Picks'!$U$2:$U$33,"settled",'Picks'!$V$2:$V$33,"win")</f>
        <v/>
      </c>
      <c r="D14" s="13">
        <f>COUNTIFS('Picks'!$H$2:$H$33,$A14,'Picks'!$U$2:$U$33,"settled",'Picks'!$V$2:$V$33,"loss")</f>
        <v/>
      </c>
      <c r="E14" s="14">
        <f>IFERROR(C14/(C14+D14),0)</f>
        <v/>
      </c>
      <c r="F14" s="15">
        <f>SUMIFS('Picks'!$BY$2:$BY$33,'Picks'!$H$2:$H$33,$A14)</f>
        <v/>
      </c>
      <c r="G14" s="16">
        <f>IFERROR(AVERAGEIFS('Picks'!$AB$2:$AB$33,'Picks'!$H$2:$H$33,$A14,'Picks'!$U$2:$U$33,"settled"),0)</f>
        <v/>
      </c>
    </row>
    <row r="15">
      <c r="A15" s="17" t="inlineStr">
        <is>
          <t>spread</t>
        </is>
      </c>
      <c r="B15" s="18">
        <f>COUNTIFS('Picks'!$H$2:$H$33,$A15,'Picks'!$U$2:$U$33,"settled")</f>
        <v/>
      </c>
      <c r="C15" s="18">
        <f>COUNTIFS('Picks'!$H$2:$H$33,$A15,'Picks'!$U$2:$U$33,"settled",'Picks'!$V$2:$V$33,"win")</f>
        <v/>
      </c>
      <c r="D15" s="18">
        <f>COUNTIFS('Picks'!$H$2:$H$33,$A15,'Picks'!$U$2:$U$33,"settled",'Picks'!$V$2:$V$33,"loss")</f>
        <v/>
      </c>
      <c r="E15" s="19">
        <f>IFERROR(C15/(C15+D15),0)</f>
        <v/>
      </c>
      <c r="F15" s="20">
        <f>SUMIFS('Picks'!$BY$2:$BY$33,'Picks'!$H$2:$H$33,$A15)</f>
        <v/>
      </c>
      <c r="G15" s="21">
        <f>IFERROR(AVERAGEIFS('Picks'!$AB$2:$AB$33,'Picks'!$H$2:$H$33,$A15,'Picks'!$U$2:$U$33,"settled"),0)</f>
        <v/>
      </c>
    </row>
    <row r="16">
      <c r="A16" s="12" t="inlineStr">
        <is>
          <t>total</t>
        </is>
      </c>
      <c r="B16" s="13">
        <f>COUNTIFS('Picks'!$H$2:$H$33,$A16,'Picks'!$U$2:$U$33,"settled")</f>
        <v/>
      </c>
      <c r="C16" s="13">
        <f>COUNTIFS('Picks'!$H$2:$H$33,$A16,'Picks'!$U$2:$U$33,"settled",'Picks'!$V$2:$V$33,"win")</f>
        <v/>
      </c>
      <c r="D16" s="13">
        <f>COUNTIFS('Picks'!$H$2:$H$33,$A16,'Picks'!$U$2:$U$33,"settled",'Picks'!$V$2:$V$33,"loss")</f>
        <v/>
      </c>
      <c r="E16" s="14">
        <f>IFERROR(C16/(C16+D16),0)</f>
        <v/>
      </c>
      <c r="F16" s="15">
        <f>SUMIFS('Picks'!$BY$2:$BY$33,'Picks'!$H$2:$H$33,$A16)</f>
        <v/>
      </c>
      <c r="G16" s="16">
        <f>IFERROR(AVERAGEIFS('Picks'!$AB$2:$AB$33,'Picks'!$H$2:$H$33,$A16,'Picks'!$U$2:$U$33,"settled"),0)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156</v>
      </c>
      <c r="AA25" s="28" t="n">
        <v>0.39</v>
      </c>
      <c r="AB25" s="28" t="n">
        <v>-0.000625</v>
      </c>
      <c r="AC25" s="30" t="n">
        <v>-1</v>
      </c>
      <c r="AD25" s="24" t="inlineStr">
        <is>
          <t>2026-08-05T13:51:52.669190Z</t>
        </is>
      </c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>
        <v>2.56</v>
      </c>
      <c r="BR25" s="28" t="n">
        <v>0.39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9c70e97e2fa54b07</t>
        </is>
      </c>
      <c r="B26" s="24" t="inlineStr">
        <is>
          <t>2026-08-05T13:56:36.539226Z</t>
        </is>
      </c>
      <c r="C26" s="24" t="inlineStr">
        <is>
          <t>2026-08-05T16:30:00Z</t>
        </is>
      </c>
      <c r="D26" s="24" t="inlineStr">
        <is>
          <t>72533</t>
        </is>
      </c>
      <c r="E26" s="24" t="inlineStr">
        <is>
          <t>CS2</t>
        </is>
      </c>
      <c r="F26" s="24" t="inlineStr">
        <is>
          <t>XI Esport</t>
        </is>
      </c>
      <c r="G26" s="24" t="inlineStr">
        <is>
          <t>Esport BERG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0.633758</v>
      </c>
      <c r="P26" s="28" t="n"/>
      <c r="Q26" s="28" t="n">
        <v>0.21359</v>
      </c>
      <c r="R26" s="26" t="n">
        <v>100</v>
      </c>
      <c r="S26" s="29" t="n">
        <v>1.5</v>
      </c>
      <c r="T26" s="24" t="inlineStr">
        <is>
          <t>cs2-tiered-elo-v6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0.4200 (market_slug=aec-cs2-berg-xi-2026-08-05).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XI Esport</t>
        </is>
      </c>
      <c r="AQ26" s="24" t="inlineStr">
        <is>
          <t>XI Esport</t>
        </is>
      </c>
      <c r="AR26" s="24" t="inlineStr">
        <is>
          <t>XI Esport</t>
        </is>
      </c>
      <c r="AS26" s="24" t="inlineStr">
        <is>
          <t>Esport BERG</t>
        </is>
      </c>
      <c r="AT26" s="24" t="inlineStr">
        <is>
          <t>Esport BERG</t>
        </is>
      </c>
      <c r="AU26" s="24" t="inlineStr">
        <is>
          <t>Esport BERG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95ef3685860928d3c12125a00cdf074ac4e628138aac112a58082f0ead77ffde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95ef3685860928d3c12125a00cdf074ac4e628138aac112a58082f0ead77ffde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2026-08-05T13:56:11.868130Z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f3cf5ec67dea499b</t>
        </is>
      </c>
      <c r="B27" s="24" t="inlineStr">
        <is>
          <t>2026-08-05T13:56:36.539226Z</t>
        </is>
      </c>
      <c r="C27" s="24" t="inlineStr">
        <is>
          <t>2026-08-05T17:00:00Z</t>
        </is>
      </c>
      <c r="D27" s="24" t="inlineStr">
        <is>
          <t>72534</t>
        </is>
      </c>
      <c r="E27" s="24" t="inlineStr">
        <is>
          <t>CS2</t>
        </is>
      </c>
      <c r="F27" s="24" t="inlineStr">
        <is>
          <t>Spirit Academy Green</t>
        </is>
      </c>
      <c r="G27" s="24" t="inlineStr">
        <is>
          <t>Falcons Force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0.647084</v>
      </c>
      <c r="P27" s="28" t="n"/>
      <c r="Q27" s="28" t="n">
        <v>0.017454</v>
      </c>
      <c r="R27" s="26" t="n">
        <v>29</v>
      </c>
      <c r="S27" s="29" t="n">
        <v>1.75</v>
      </c>
      <c r="T27" s="24" t="inlineStr">
        <is>
          <t>cs2-tiered-elo-v6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0.6300 (market_slug=aec-cs2-falf-sag-2026-08-05).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Spirit Academy Green</t>
        </is>
      </c>
      <c r="AQ27" s="24" t="inlineStr">
        <is>
          <t>Spirit Academy Green</t>
        </is>
      </c>
      <c r="AR27" s="24" t="inlineStr">
        <is>
          <t>Spirit Academy Green</t>
        </is>
      </c>
      <c r="AS27" s="24" t="inlineStr">
        <is>
          <t>Falcons Force</t>
        </is>
      </c>
      <c r="AT27" s="24" t="inlineStr">
        <is>
          <t>Falcons Force</t>
        </is>
      </c>
      <c r="AU27" s="24" t="inlineStr">
        <is>
          <t>Falcons Force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95ef3685860928d3c12125a00cdf074ac4e628138aac112a58082f0ead77ffde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95ef3685860928d3c12125a00cdf074ac4e628138aac112a58082f0ead77ffde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2026-08-05T13:56:13.589736Z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590bc13276b8452a</t>
        </is>
      </c>
      <c r="B28" s="24" t="inlineStr">
        <is>
          <t>2026-08-05T13:56:36.539226Z</t>
        </is>
      </c>
      <c r="C28" s="24" t="inlineStr">
        <is>
          <t>2026-08-05T18:30:00Z</t>
        </is>
      </c>
      <c r="D28" s="24" t="inlineStr">
        <is>
          <t>72537</t>
        </is>
      </c>
      <c r="E28" s="24" t="inlineStr">
        <is>
          <t>CS2</t>
        </is>
      </c>
      <c r="F28" s="24" t="inlineStr">
        <is>
          <t>Drama eSports</t>
        </is>
      </c>
      <c r="G28" s="24" t="inlineStr">
        <is>
          <t>PURE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108</v>
      </c>
      <c r="M28" s="27" t="n">
        <v>2.08</v>
      </c>
      <c r="N28" s="28" t="n">
        <v>0.480769</v>
      </c>
      <c r="O28" s="28" t="n">
        <v>0.748624</v>
      </c>
      <c r="P28" s="28" t="n"/>
      <c r="Q28" s="28" t="n">
        <v>0.267855</v>
      </c>
      <c r="R28" s="26" t="n">
        <v>100</v>
      </c>
      <c r="S28" s="29" t="n">
        <v>2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0.4800 (market_slug=aec-cs2-pure-drama-2026-08-05).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Drama eSports</t>
        </is>
      </c>
      <c r="AQ28" s="24" t="inlineStr">
        <is>
          <t>Drama eSports</t>
        </is>
      </c>
      <c r="AR28" s="24" t="inlineStr">
        <is>
          <t>Drama eSports</t>
        </is>
      </c>
      <c r="AS28" s="24" t="inlineStr">
        <is>
          <t>PURE</t>
        </is>
      </c>
      <c r="AT28" s="24" t="inlineStr">
        <is>
          <t>PURE</t>
        </is>
      </c>
      <c r="AU28" s="24" t="inlineStr">
        <is>
          <t>PURE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95ef3685860928d3c12125a00cdf074ac4e628138aac112a58082f0ead77ffde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95ef3685860928d3c12125a00cdf074ac4e628138aac112a58082f0ead77ffde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2026-08-05T13:56:19.555277Z</t>
        </is>
      </c>
      <c r="BI28" s="24" t="inlineStr">
        <is>
          <t>["same_event","same_team_same_day","same_league_same_day"]</t>
        </is>
      </c>
      <c r="BJ28" s="25" t="n"/>
      <c r="BK28" s="26" t="n">
        <v>108</v>
      </c>
      <c r="BL28" s="27" t="n">
        <v>2.08</v>
      </c>
      <c r="BM28" s="28" t="n">
        <v>0.480769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ca5840fb1db34889</t>
        </is>
      </c>
      <c r="B29" s="24" t="inlineStr">
        <is>
          <t>2026-08-05T13:56:36.539226Z</t>
        </is>
      </c>
      <c r="C29" s="24" t="inlineStr">
        <is>
          <t>2026-08-06T08:00:00Z</t>
        </is>
      </c>
      <c r="D29" s="24" t="inlineStr">
        <is>
          <t>72490</t>
        </is>
      </c>
      <c r="E29" s="24" t="inlineStr">
        <is>
          <t>CS2</t>
        </is>
      </c>
      <c r="F29" s="24" t="inlineStr">
        <is>
          <t>Black Phoenix</t>
        </is>
      </c>
      <c r="G29" s="24" t="inlineStr">
        <is>
          <t>Lavked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0.530945</v>
      </c>
      <c r="P29" s="28" t="n"/>
      <c r="Q29" s="28" t="n">
        <v>0.110777</v>
      </c>
      <c r="R29" s="26" t="n">
        <v>75</v>
      </c>
      <c r="S29" s="29" t="n">
        <v>1</v>
      </c>
      <c r="T29" s="24" t="inlineStr">
        <is>
          <t>cs2-tiered-elo-v6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0.4200 (market_slug=aec-cs2-lav-bpl-2026-08-06).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Black Phoenix</t>
        </is>
      </c>
      <c r="AQ29" s="24" t="inlineStr">
        <is>
          <t>Black Phoenix</t>
        </is>
      </c>
      <c r="AR29" s="24" t="inlineStr">
        <is>
          <t>Black Phoenix</t>
        </is>
      </c>
      <c r="AS29" s="24" t="inlineStr">
        <is>
          <t>Lavked</t>
        </is>
      </c>
      <c r="AT29" s="24" t="inlineStr">
        <is>
          <t>Lavked</t>
        </is>
      </c>
      <c r="AU29" s="24" t="inlineStr">
        <is>
          <t>Lavked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95ef3685860928d3c12125a00cdf074ac4e628138aac112a58082f0ead77ffde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95ef3685860928d3c12125a00cdf074ac4e628138aac112a58082f0ead77ffde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2026-08-05T13:56:22.532084Z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502da86df76d4f01</t>
        </is>
      </c>
      <c r="B30" s="24" t="inlineStr">
        <is>
          <t>2026-08-05T13:56:36.539226Z</t>
        </is>
      </c>
      <c r="C30" s="24" t="inlineStr">
        <is>
          <t>2026-08-06T08:00:00Z</t>
        </is>
      </c>
      <c r="D30" s="24" t="inlineStr">
        <is>
          <t>70562</t>
        </is>
      </c>
      <c r="E30" s="24" t="inlineStr">
        <is>
          <t>CS2</t>
        </is>
      </c>
      <c r="F30" s="24" t="inlineStr">
        <is>
          <t>Teletubisie</t>
        </is>
      </c>
      <c r="G30" s="24" t="inlineStr">
        <is>
          <t>WRAITH PCIFIC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122</v>
      </c>
      <c r="M30" s="27" t="n">
        <v>2.22</v>
      </c>
      <c r="N30" s="28" t="n">
        <v>0.45045</v>
      </c>
      <c r="O30" s="28" t="n">
        <v>0.606164</v>
      </c>
      <c r="P30" s="28" t="n"/>
      <c r="Q30" s="28" t="n">
        <v>0.155714</v>
      </c>
      <c r="R30" s="26" t="n">
        <v>98</v>
      </c>
      <c r="S30" s="29" t="n">
        <v>1.25</v>
      </c>
      <c r="T30" s="24" t="inlineStr">
        <is>
          <t>cs2-tiered-elo-v6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0.4500 (market_slug=aec-cs2-pcific-ttbs-2026-08-06).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Teletubisie</t>
        </is>
      </c>
      <c r="AQ30" s="24" t="inlineStr">
        <is>
          <t>Teletubisie</t>
        </is>
      </c>
      <c r="AR30" s="24" t="inlineStr">
        <is>
          <t>Teletubisie</t>
        </is>
      </c>
      <c r="AS30" s="24" t="inlineStr">
        <is>
          <t>WRAITH PCIFIC</t>
        </is>
      </c>
      <c r="AT30" s="24" t="inlineStr">
        <is>
          <t>WRAITH PCIFIC</t>
        </is>
      </c>
      <c r="AU30" s="24" t="inlineStr">
        <is>
          <t>WRAITH PCIFIC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95ef3685860928d3c12125a00cdf074ac4e628138aac112a58082f0ead77ffde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95ef3685860928d3c12125a00cdf074ac4e628138aac112a58082f0ead77ffde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2026-08-05T13:56:23.683454Z</t>
        </is>
      </c>
      <c r="BI30" s="24" t="inlineStr">
        <is>
          <t>["same_event","same_team_same_day","same_league_same_day"]</t>
        </is>
      </c>
      <c r="BJ30" s="25" t="n"/>
      <c r="BK30" s="26" t="n">
        <v>122</v>
      </c>
      <c r="BL30" s="27" t="n">
        <v>2.22</v>
      </c>
      <c r="BM30" s="28" t="n">
        <v>0.45045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db86a6b057344de5</t>
        </is>
      </c>
      <c r="B31" s="24" t="inlineStr">
        <is>
          <t>2026-08-05T13:56:36.539226Z</t>
        </is>
      </c>
      <c r="C31" s="24" t="inlineStr">
        <is>
          <t>2026-08-06T10:30:00Z</t>
        </is>
      </c>
      <c r="D31" s="24" t="inlineStr">
        <is>
          <t>70787</t>
        </is>
      </c>
      <c r="E31" s="24" t="inlineStr">
        <is>
          <t>CS2</t>
        </is>
      </c>
      <c r="F31" s="24" t="inlineStr">
        <is>
          <t>Eternal Fire Academy</t>
        </is>
      </c>
      <c r="G31" s="24" t="inlineStr">
        <is>
          <t>EAC Rising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0.607715</v>
      </c>
      <c r="P31" s="28" t="n"/>
      <c r="Q31" s="28" t="n">
        <v>0.0369</v>
      </c>
      <c r="R31" s="26" t="n">
        <v>38</v>
      </c>
      <c r="S31" s="29" t="n">
        <v>1.5</v>
      </c>
      <c r="T31" s="24" t="inlineStr">
        <is>
          <t>cs2-tiered-elo-v6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0.5700 (market_slug=aec-cs2-era-efa-2026-08-06).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Eternal Fire Academy</t>
        </is>
      </c>
      <c r="AQ31" s="24" t="inlineStr">
        <is>
          <t>Eternal Fire Academy</t>
        </is>
      </c>
      <c r="AR31" s="24" t="inlineStr">
        <is>
          <t>Eternal Fire Academy</t>
        </is>
      </c>
      <c r="AS31" s="24" t="inlineStr">
        <is>
          <t>EAC Rising</t>
        </is>
      </c>
      <c r="AT31" s="24" t="inlineStr">
        <is>
          <t>EAC Rising</t>
        </is>
      </c>
      <c r="AU31" s="24" t="inlineStr">
        <is>
          <t>EAC Rising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95ef3685860928d3c12125a00cdf074ac4e628138aac112a58082f0ead77ffde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95ef3685860928d3c12125a00cdf074ac4e628138aac112a58082f0ead77ffde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2026-08-05T13:56:26.353887Z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990e0ba190de46ce</t>
        </is>
      </c>
      <c r="B32" s="24" t="inlineStr">
        <is>
          <t>2026-08-05T13:56:36.539226Z</t>
        </is>
      </c>
      <c r="C32" s="24" t="inlineStr">
        <is>
          <t>2026-08-06T17:00:00Z</t>
        </is>
      </c>
      <c r="D32" s="24" t="inlineStr">
        <is>
          <t>72651</t>
        </is>
      </c>
      <c r="E32" s="24" t="inlineStr">
        <is>
          <t>CS2</t>
        </is>
      </c>
      <c r="F32" s="24" t="inlineStr">
        <is>
          <t>Yawara Esports</t>
        </is>
      </c>
      <c r="G32" s="24" t="inlineStr">
        <is>
          <t>Isurus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-150</v>
      </c>
      <c r="M32" s="27" t="n">
        <v>1.666667</v>
      </c>
      <c r="N32" s="28" t="n">
        <v>0.6</v>
      </c>
      <c r="O32" s="28" t="n">
        <v>0.746375</v>
      </c>
      <c r="P32" s="28" t="n"/>
      <c r="Q32" s="28" t="n">
        <v>0.146375</v>
      </c>
      <c r="R32" s="26" t="n">
        <v>93</v>
      </c>
      <c r="S32" s="29" t="n">
        <v>2</v>
      </c>
      <c r="T32" s="24" t="inlineStr">
        <is>
          <t>cs2-tiered-elo-v6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0.6000 (market_slug=aec-cs2-isg-yaw-2026-08-06).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Yawara Esports</t>
        </is>
      </c>
      <c r="AQ32" s="24" t="inlineStr">
        <is>
          <t>Yawara Esports</t>
        </is>
      </c>
      <c r="AR32" s="24" t="inlineStr">
        <is>
          <t>Yawara Esports</t>
        </is>
      </c>
      <c r="AS32" s="24" t="inlineStr">
        <is>
          <t>Isurus</t>
        </is>
      </c>
      <c r="AT32" s="24" t="inlineStr">
        <is>
          <t>Isurus</t>
        </is>
      </c>
      <c r="AU32" s="24" t="inlineStr">
        <is>
          <t>Isurus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95ef3685860928d3c12125a00cdf074ac4e628138aac112a58082f0ead77ffde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95ef3685860928d3c12125a00cdf074ac4e628138aac112a58082f0ead77ffde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2026-08-05T13:56:34.073375Z</t>
        </is>
      </c>
      <c r="BI32" s="24" t="inlineStr">
        <is>
          <t>["same_event","same_team_same_day","same_league_same_day"]</t>
        </is>
      </c>
      <c r="BJ32" s="25" t="n"/>
      <c r="BK32" s="26" t="n">
        <v>-150</v>
      </c>
      <c r="BL32" s="27" t="n">
        <v>1.666667</v>
      </c>
      <c r="BM32" s="28" t="n">
        <v>0.6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d89c179c211c48b3</t>
        </is>
      </c>
      <c r="B33" s="24" t="inlineStr">
        <is>
          <t>2026-08-05T13:56:36.539226Z</t>
        </is>
      </c>
      <c r="C33" s="24" t="inlineStr">
        <is>
          <t>2026-08-06T20:00:00Z</t>
        </is>
      </c>
      <c r="D33" s="24" t="inlineStr">
        <is>
          <t>72652</t>
        </is>
      </c>
      <c r="E33" s="24" t="inlineStr">
        <is>
          <t>CS2</t>
        </is>
      </c>
      <c r="F33" s="24" t="inlineStr">
        <is>
          <t>Procyon Gaming</t>
        </is>
      </c>
      <c r="G33" s="24" t="inlineStr">
        <is>
          <t>METANOIA WOLVES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122</v>
      </c>
      <c r="M33" s="27" t="n">
        <v>2.22</v>
      </c>
      <c r="N33" s="28" t="n">
        <v>0.45045</v>
      </c>
      <c r="O33" s="28" t="n">
        <v>0.543196</v>
      </c>
      <c r="P33" s="28" t="n"/>
      <c r="Q33" s="28" t="n">
        <v>0.092746</v>
      </c>
      <c r="R33" s="26" t="n">
        <v>66</v>
      </c>
      <c r="S33" s="29" t="n">
        <v>1</v>
      </c>
      <c r="T33" s="24" t="inlineStr">
        <is>
          <t>cs2-tiered-elo-v6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0.4500 (market_slug=aec-cs2-mw-pcy-2026-08-06).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Procyon Gaming</t>
        </is>
      </c>
      <c r="AQ33" s="24" t="inlineStr">
        <is>
          <t>Procyon Gaming</t>
        </is>
      </c>
      <c r="AR33" s="24" t="inlineStr">
        <is>
          <t>Procyon Gaming</t>
        </is>
      </c>
      <c r="AS33" s="24" t="inlineStr">
        <is>
          <t>METANOIA WOLVES</t>
        </is>
      </c>
      <c r="AT33" s="24" t="inlineStr">
        <is>
          <t>METANOIA WOLVES</t>
        </is>
      </c>
      <c r="AU33" s="24" t="inlineStr">
        <is>
          <t>METANOIA WOLVES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95ef3685860928d3c12125a00cdf074ac4e628138aac112a58082f0ead77ffde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95ef3685860928d3c12125a00cdf074ac4e628138aac112a58082f0ead77ffde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2026-08-05T13:56:35.923759Z</t>
        </is>
      </c>
      <c r="BI33" s="24" t="inlineStr">
        <is>
          <t>["same_event","same_team_same_day","same_league_same_day"]</t>
        </is>
      </c>
      <c r="BJ33" s="25" t="n"/>
      <c r="BK33" s="26" t="n">
        <v>122</v>
      </c>
      <c r="BL33" s="27" t="n">
        <v>2.22</v>
      </c>
      <c r="BM33" s="28" t="n">
        <v>0.45045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2026-08-05T13:59:00Z</dcterms:created>
  <dcterms:modified xmlns:dcterms="http://purl.org/dc/terms/" xmlns:xsi="http://www.w3.org/2001/XMLSchema-instance" xsi:type="dcterms:W3CDTF">2026-08-05T13:59:00Z</dcterms:modified>
</cp:coreProperties>
</file>