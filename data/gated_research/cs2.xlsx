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6" headerRowCount="1">
  <autoFilter ref="A1:CS36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COUNTA('Picks'!$A$2:$A$36)</f>
        <v/>
      </c>
      <c r="C4" s="6">
        <f>COUNTIF('Picks'!$U$2:$U$36,"open")</f>
        <v/>
      </c>
      <c r="E4" s="6">
        <f>COUNTIF('Picks'!$U$2:$U$36,"settled")</f>
        <v/>
      </c>
      <c r="G4" s="6">
        <f>IF(COUNTIFS('Picks'!$U$2:$U$36,"settled",'Picks'!$V$2:$V$36,"win")+COUNTIFS('Picks'!$U$2:$U$36,"settled",'Picks'!$V$2:$V$36,"loss")&gt;=$L$2,"Ready","Insufficient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COUNTIF('Picks'!$BX$2:$BX$36,"&gt;0")</f>
        <v/>
      </c>
      <c r="C7" s="6">
        <f>COUNTIFS('Picks'!$BX$2:$BX$36,"&gt;0",'Picks'!$V$2:$V$36,"win")&amp;"-"&amp;COUNTIFS('Picks'!$BX$2:$BX$36,"&gt;0",'Picks'!$V$2:$V$36,"loss")</f>
        <v/>
      </c>
      <c r="E7" s="7">
        <f>IFERROR(COUNTIFS('Picks'!$BX$2:$BX$36,"&gt;0",'Picks'!$V$2:$V$36,"win")/(COUNTIFS('Picks'!$BX$2:$BX$36,"&gt;0",'Picks'!$V$2:$V$36,"win")+COUNTIFS('Picks'!$BX$2:$BX$36,"&gt;0",'Picks'!$V$2:$V$36,"loss")),0)</f>
        <v/>
      </c>
      <c r="G7" s="7">
        <f>IFERROR(SUM('Picks'!$BY$2:$BY$36)/SUM('Picks'!$BX$2:$BX$36),0)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SUM('Picks'!$BY$2:$BY$36)</f>
        <v/>
      </c>
      <c r="C10" s="9">
        <f>IFERROR(AVERAGEIF('Picks'!$AB$2:$AB$36,"&lt;&gt;",'Picks'!$AB$2:$AB$36),0)</f>
        <v/>
      </c>
      <c r="E10" s="6">
        <f>COUNTIFS('Picks'!$AM$2:$AM$36,"QUALIFIED_SHADOW_CALL",'Picks'!$U$2:$U$36,"settled")</f>
        <v/>
      </c>
      <c r="G10" s="8">
        <f>SUMIFS('Picks'!$AC$2:$AC$36,'Picks'!$AM$2:$AM$36,"QUALIFIED_SHADOW_CALL")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COUNTIFS('Picks'!$H$2:$H$36,$A14,'Picks'!$U$2:$U$36,"settled")</f>
        <v/>
      </c>
      <c r="C14" s="13">
        <f>COUNTIFS('Picks'!$H$2:$H$36,$A14,'Picks'!$U$2:$U$36,"settled",'Picks'!$V$2:$V$36,"win")</f>
        <v/>
      </c>
      <c r="D14" s="13">
        <f>COUNTIFS('Picks'!$H$2:$H$36,$A14,'Picks'!$U$2:$U$36,"settled",'Picks'!$V$2:$V$36,"loss")</f>
        <v/>
      </c>
      <c r="E14" s="14">
        <f>IFERROR(C14/(C14+D14),0)</f>
        <v/>
      </c>
      <c r="F14" s="15">
        <f>SUMIFS('Picks'!$BY$2:$BY$36,'Picks'!$H$2:$H$36,$A14)</f>
        <v/>
      </c>
      <c r="G14" s="16">
        <f>IFERROR(AVERAGEIFS('Picks'!$AB$2:$AB$36,'Picks'!$H$2:$H$36,$A14,'Picks'!$U$2:$U$36,"settled"),0)</f>
        <v/>
      </c>
    </row>
    <row r="15">
      <c r="A15" s="17" t="inlineStr">
        <is>
          <t>spread</t>
        </is>
      </c>
      <c r="B15" s="18">
        <f>COUNTIFS('Picks'!$H$2:$H$36,$A15,'Picks'!$U$2:$U$36,"settled")</f>
        <v/>
      </c>
      <c r="C15" s="18">
        <f>COUNTIFS('Picks'!$H$2:$H$36,$A15,'Picks'!$U$2:$U$36,"settled",'Picks'!$V$2:$V$36,"win")</f>
        <v/>
      </c>
      <c r="D15" s="18">
        <f>COUNTIFS('Picks'!$H$2:$H$36,$A15,'Picks'!$U$2:$U$36,"settled",'Picks'!$V$2:$V$36,"loss")</f>
        <v/>
      </c>
      <c r="E15" s="19">
        <f>IFERROR(C15/(C15+D15),0)</f>
        <v/>
      </c>
      <c r="F15" s="20">
        <f>SUMIFS('Picks'!$BY$2:$BY$36,'Picks'!$H$2:$H$36,$A15)</f>
        <v/>
      </c>
      <c r="G15" s="21">
        <f>IFERROR(AVERAGEIFS('Picks'!$AB$2:$AB$36,'Picks'!$H$2:$H$36,$A15,'Picks'!$U$2:$U$36,"settled"),0)</f>
        <v/>
      </c>
    </row>
    <row r="16">
      <c r="A16" s="12" t="inlineStr">
        <is>
          <t>total</t>
        </is>
      </c>
      <c r="B16" s="13">
        <f>COUNTIFS('Picks'!$H$2:$H$36,$A16,'Picks'!$U$2:$U$36,"settled")</f>
        <v/>
      </c>
      <c r="C16" s="13">
        <f>COUNTIFS('Picks'!$H$2:$H$36,$A16,'Picks'!$U$2:$U$36,"settled",'Picks'!$V$2:$V$36,"win")</f>
        <v/>
      </c>
      <c r="D16" s="13">
        <f>COUNTIFS('Picks'!$H$2:$H$36,$A16,'Picks'!$U$2:$U$36,"settled",'Picks'!$V$2:$V$36,"loss")</f>
        <v/>
      </c>
      <c r="E16" s="14">
        <f>IFERROR(C16/(C16+D16),0)</f>
        <v/>
      </c>
      <c r="F16" s="15">
        <f>SUMIFS('Picks'!$BY$2:$BY$36,'Picks'!$H$2:$H$36,$A16)</f>
        <v/>
      </c>
      <c r="G16" s="16">
        <f>IFERROR(AVERAGEIFS('Picks'!$AB$2:$AB$36,'Picks'!$H$2:$H$36,$A16,'Picks'!$U$2:$U$36,"settled"),0)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2026-08-03T02:34:48.118824Z</t>
        </is>
      </c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esports market settled to a non-binary price (forfeit/postponement per market rules)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2026-08-03T02:34:49.249923Z</t>
        </is>
      </c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esports market settled to a non-binary price (forfeit/postponement per market rules)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3e5ca2341bea45d1</t>
        </is>
      </c>
      <c r="B15" s="24" t="inlineStr">
        <is>
          <t>2026-08-03T10:14:59.378487Z</t>
        </is>
      </c>
      <c r="C15" s="24" t="inlineStr">
        <is>
          <t>2026-08-03T10:30:00Z</t>
        </is>
      </c>
      <c r="D15" s="24" t="inlineStr">
        <is>
          <t>67514</t>
        </is>
      </c>
      <c r="E15" s="24" t="inlineStr">
        <is>
          <t>CS2</t>
        </is>
      </c>
      <c r="F15" s="24" t="inlineStr">
        <is>
          <t>Passion Academy</t>
        </is>
      </c>
      <c r="G15" s="24" t="inlineStr">
        <is>
          <t>EAC Rising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-156</v>
      </c>
      <c r="M15" s="27" t="n">
        <v>1.641026</v>
      </c>
      <c r="N15" s="28" t="n">
        <v>0.609375</v>
      </c>
      <c r="O15" s="28" t="n">
        <v>0.639821</v>
      </c>
      <c r="P15" s="28" t="n"/>
      <c r="Q15" s="28" t="n">
        <v>0.030446</v>
      </c>
      <c r="R15" s="26" t="n">
        <v>35</v>
      </c>
      <c r="S15" s="29" t="n">
        <v>1.5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-156</v>
      </c>
      <c r="AA15" s="28" t="n">
        <v>0.61</v>
      </c>
      <c r="AB15" s="28" t="n">
        <v>0.000625</v>
      </c>
      <c r="AC15" s="30" t="n">
        <v>0.9615</v>
      </c>
      <c r="AD15" s="24" t="inlineStr">
        <is>
          <t>2026-08-03T13:27:35.671440Z</t>
        </is>
      </c>
      <c r="AE15" s="31" t="inlineStr">
        <is>
          <t>Neutral Elo baseline; executable ask 0.6100 (market_slug=aec-cs2-era-psna-2026-08-03).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Passion Academy</t>
        </is>
      </c>
      <c r="AQ15" s="24" t="inlineStr">
        <is>
          <t>Passion Academy</t>
        </is>
      </c>
      <c r="AR15" s="24" t="inlineStr">
        <is>
          <t>Passion Academy</t>
        </is>
      </c>
      <c r="AS15" s="24" t="inlineStr">
        <is>
          <t>EAC Rising</t>
        </is>
      </c>
      <c r="AT15" s="24" t="inlineStr">
        <is>
          <t>EAC Rising</t>
        </is>
      </c>
      <c r="AU15" s="24" t="inlineStr">
        <is>
          <t>EAC Rising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a67b482e0cc299818c9d6a6183162092d6b3cbeea4f974054606da1c44c3bd99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a67b482e0cc299818c9d6a6183162092d6b3cbeea4f974054606da1c44c3bd99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2026-08-03T10:14:38.370048Z</t>
        </is>
      </c>
      <c r="BI15" s="24" t="inlineStr">
        <is>
          <t>["same_event","same_team_same_day","same_league_same_day"]</t>
        </is>
      </c>
      <c r="BJ15" s="25" t="n"/>
      <c r="BK15" s="26" t="n">
        <v>-156</v>
      </c>
      <c r="BL15" s="27" t="n">
        <v>1.641026</v>
      </c>
      <c r="BM15" s="28" t="n">
        <v>0.609375</v>
      </c>
      <c r="BN15" s="28" t="n"/>
      <c r="BO15" s="28" t="n"/>
      <c r="BP15" s="25" t="n"/>
      <c r="BQ15" s="27" t="n">
        <v>1.641026</v>
      </c>
      <c r="BR15" s="28" t="n">
        <v>0.61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02ebc095ca494cd9</t>
        </is>
      </c>
      <c r="B16" s="24" t="inlineStr">
        <is>
          <t>2026-08-03T19:54:57.645683Z</t>
        </is>
      </c>
      <c r="C16" s="24" t="inlineStr">
        <is>
          <t>2026-08-03T21:00:00Z</t>
        </is>
      </c>
      <c r="D16" s="24" t="inlineStr">
        <is>
          <t>70532</t>
        </is>
      </c>
      <c r="E16" s="24" t="inlineStr">
        <is>
          <t>CS2</t>
        </is>
      </c>
      <c r="F16" s="24" t="inlineStr">
        <is>
          <t>RED Canids Academy</t>
        </is>
      </c>
      <c r="G16" s="24" t="inlineStr">
        <is>
          <t>ODDIK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-150</v>
      </c>
      <c r="M16" s="27" t="n">
        <v>1.666667</v>
      </c>
      <c r="N16" s="28" t="n">
        <v>0.6</v>
      </c>
      <c r="O16" s="28" t="n">
        <v>0.6304380000000001</v>
      </c>
      <c r="P16" s="28" t="n"/>
      <c r="Q16" s="28" t="n">
        <v>0.030438</v>
      </c>
      <c r="R16" s="26" t="n">
        <v>35</v>
      </c>
      <c r="S16" s="29" t="n">
        <v>1.5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-150</v>
      </c>
      <c r="AA16" s="28" t="n">
        <v>0.6</v>
      </c>
      <c r="AB16" s="28" t="n">
        <v>0</v>
      </c>
      <c r="AC16" s="30" t="n">
        <v>1</v>
      </c>
      <c r="AD16" s="24" t="inlineStr">
        <is>
          <t>2026-08-05T01:06:35.233639Z</t>
        </is>
      </c>
      <c r="AE16" s="31" t="inlineStr">
        <is>
          <t>Neutral Elo baseline; executable ask 0.6000 (market_slug=aec-cs2-odk-reda-2026-08-03).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RED Canids Academy</t>
        </is>
      </c>
      <c r="AQ16" s="24" t="inlineStr">
        <is>
          <t>RED Canids Academy</t>
        </is>
      </c>
      <c r="AR16" s="24" t="inlineStr">
        <is>
          <t>RED Canids Academy</t>
        </is>
      </c>
      <c r="AS16" s="24" t="inlineStr">
        <is>
          <t>ODDIK</t>
        </is>
      </c>
      <c r="AT16" s="24" t="inlineStr">
        <is>
          <t>ODDIK</t>
        </is>
      </c>
      <c r="AU16" s="24" t="inlineStr">
        <is>
          <t>ODDIK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49e72bc47e8b746259057b18a0727b3402ae02f53069edfae5b6532757438c2c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49e72bc47e8b746259057b18a0727b3402ae02f53069edfae5b6532757438c2c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2026-08-03T19:54:46.268393Z</t>
        </is>
      </c>
      <c r="BI16" s="24" t="inlineStr">
        <is>
          <t>["same_event","same_team_same_day","same_league_same_day"]</t>
        </is>
      </c>
      <c r="BJ16" s="25" t="n"/>
      <c r="BK16" s="26" t="n">
        <v>-150</v>
      </c>
      <c r="BL16" s="27" t="n">
        <v>1.666667</v>
      </c>
      <c r="BM16" s="28" t="n">
        <v>0.6</v>
      </c>
      <c r="BN16" s="28" t="n"/>
      <c r="BO16" s="28" t="n"/>
      <c r="BP16" s="25" t="n"/>
      <c r="BQ16" s="27" t="n">
        <v>1.666667</v>
      </c>
      <c r="BR16" s="28" t="n">
        <v>0.6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e17b52861cea4d2b</t>
        </is>
      </c>
      <c r="B17" s="24" t="inlineStr">
        <is>
          <t>2026-08-04T08:56:55.041466Z</t>
        </is>
      </c>
      <c r="C17" s="24" t="inlineStr">
        <is>
          <t>2026-08-04T11:00:00Z</t>
        </is>
      </c>
      <c r="D17" s="24" t="inlineStr">
        <is>
          <t>68302</t>
        </is>
      </c>
      <c r="E17" s="24" t="inlineStr">
        <is>
          <t>CS2</t>
        </is>
      </c>
      <c r="F17" s="24" t="inlineStr">
        <is>
          <t>Phantom</t>
        </is>
      </c>
      <c r="G17" s="24" t="inlineStr">
        <is>
          <t>Sashi Esport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0.551011</v>
      </c>
      <c r="P17" s="28" t="n"/>
      <c r="Q17" s="28" t="n">
        <v>0.060815</v>
      </c>
      <c r="R17" s="26" t="n">
        <v>50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1.04</v>
      </c>
      <c r="AD17" s="24" t="inlineStr">
        <is>
          <t>2026-08-04T14:03:59.228709Z</t>
        </is>
      </c>
      <c r="AE17" s="31" t="inlineStr">
        <is>
          <t>Neutral Elo baseline; executable ask 0.4900 (market_slug=aec-cs2-sashi-pha-2026-08-04).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Phantom</t>
        </is>
      </c>
      <c r="AQ17" s="24" t="inlineStr">
        <is>
          <t>Phantom</t>
        </is>
      </c>
      <c r="AR17" s="24" t="inlineStr">
        <is>
          <t>Phantom</t>
        </is>
      </c>
      <c r="AS17" s="24" t="inlineStr">
        <is>
          <t>Sashi Esport</t>
        </is>
      </c>
      <c r="AT17" s="24" t="inlineStr">
        <is>
          <t>Sashi Esport</t>
        </is>
      </c>
      <c r="AU17" s="24" t="inlineStr">
        <is>
          <t>Sashi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2e5d465a17379306940528ff103c7508aad908ecb9a4879bb8031bb88a86443c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2e5d465a17379306940528ff103c7508aad908ecb9a4879bb8031bb88a86443c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2026-08-04T08:56:24.737438Z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c8aec1582044472d</t>
        </is>
      </c>
      <c r="B18" s="24" t="inlineStr">
        <is>
          <t>2026-08-04T08:56:55.041466Z</t>
        </is>
      </c>
      <c r="C18" s="24" t="inlineStr">
        <is>
          <t>2026-08-04T11:00:00Z</t>
        </is>
      </c>
      <c r="D18" s="24" t="inlineStr">
        <is>
          <t>71501</t>
        </is>
      </c>
      <c r="E18" s="24" t="inlineStr">
        <is>
          <t>CS2</t>
        </is>
      </c>
      <c r="F18" s="24" t="inlineStr">
        <is>
          <t>Betclic Apogee Esports</t>
        </is>
      </c>
      <c r="G18" s="24" t="inlineStr">
        <is>
          <t>Acend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0.691594</v>
      </c>
      <c r="P18" s="28" t="n"/>
      <c r="Q18" s="28" t="n">
        <v>0.111762</v>
      </c>
      <c r="R18" s="26" t="n">
        <v>76</v>
      </c>
      <c r="S18" s="29" t="n">
        <v>2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-138</v>
      </c>
      <c r="AA18" s="28" t="n">
        <v>0.58</v>
      </c>
      <c r="AB18" s="28" t="n">
        <v>0.000168</v>
      </c>
      <c r="AC18" s="30" t="n">
        <v>-2</v>
      </c>
      <c r="AD18" s="24" t="inlineStr">
        <is>
          <t>2026-08-04T14:04:00.544032Z</t>
        </is>
      </c>
      <c r="AE18" s="31" t="inlineStr">
        <is>
          <t>Neutral Elo baseline; executable ask 0.5800 (market_slug=aec-cs2-ace-bca-2026-08-04).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Betclic Apogee Esports</t>
        </is>
      </c>
      <c r="AQ18" s="24" t="inlineStr">
        <is>
          <t>Betclic Apogee Esports</t>
        </is>
      </c>
      <c r="AR18" s="24" t="inlineStr">
        <is>
          <t>Betclic Apogee Esports</t>
        </is>
      </c>
      <c r="AS18" s="24" t="inlineStr">
        <is>
          <t>Acend</t>
        </is>
      </c>
      <c r="AT18" s="24" t="inlineStr">
        <is>
          <t>Acend</t>
        </is>
      </c>
      <c r="AU18" s="24" t="inlineStr">
        <is>
          <t>Acend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2e5d465a17379306940528ff103c7508aad908ecb9a4879bb8031bb88a86443c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2e5d465a17379306940528ff103c7508aad908ecb9a4879bb8031bb88a86443c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2026-08-04T08:56:25.971824Z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>
        <v>1.724638</v>
      </c>
      <c r="BR18" s="28" t="n">
        <v>0.58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c8987915a30b4168</t>
        </is>
      </c>
      <c r="B19" s="24" t="inlineStr">
        <is>
          <t>2026-08-04T16:54:42.280324Z</t>
        </is>
      </c>
      <c r="C19" s="24" t="inlineStr">
        <is>
          <t>2026-08-04T17:00:00Z</t>
        </is>
      </c>
      <c r="D19" s="24" t="inlineStr">
        <is>
          <t>71337</t>
        </is>
      </c>
      <c r="E19" s="24" t="inlineStr">
        <is>
          <t>CS2</t>
        </is>
      </c>
      <c r="F19" s="24" t="inlineStr">
        <is>
          <t>A Great Chaos</t>
        </is>
      </c>
      <c r="G19" s="24" t="inlineStr">
        <is>
          <t>Fortress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-127</v>
      </c>
      <c r="M19" s="27" t="n">
        <v>1.787402</v>
      </c>
      <c r="N19" s="28" t="n">
        <v>0.5594710000000001</v>
      </c>
      <c r="O19" s="28" t="n">
        <v>0.580391</v>
      </c>
      <c r="P19" s="28" t="n"/>
      <c r="Q19" s="28" t="n">
        <v>0.02092</v>
      </c>
      <c r="R19" s="26" t="n">
        <v>30</v>
      </c>
      <c r="S19" s="29" t="n">
        <v>1.25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-127</v>
      </c>
      <c r="AA19" s="28" t="n">
        <v>0.5600000000000001</v>
      </c>
      <c r="AB19" s="28" t="n">
        <v>0.000529</v>
      </c>
      <c r="AC19" s="30" t="n">
        <v>0.9843</v>
      </c>
      <c r="AD19" s="24" t="inlineStr">
        <is>
          <t>2026-08-04T18:04:49.354797Z</t>
        </is>
      </c>
      <c r="AE19" s="31" t="inlineStr">
        <is>
          <t>Neutral Elo baseline; executable ask 0.5600 (market_slug=aec-cs2-for-agc-2026-08-04).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A Great Chaos</t>
        </is>
      </c>
      <c r="AQ19" s="24" t="inlineStr">
        <is>
          <t>A Great Chaos</t>
        </is>
      </c>
      <c r="AR19" s="24" t="inlineStr">
        <is>
          <t>A Great Chaos</t>
        </is>
      </c>
      <c r="AS19" s="24" t="inlineStr">
        <is>
          <t>Fortress</t>
        </is>
      </c>
      <c r="AT19" s="24" t="inlineStr">
        <is>
          <t>Fortress</t>
        </is>
      </c>
      <c r="AU19" s="24" t="inlineStr">
        <is>
          <t>Fortress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87e73f3e8c33751dbc7005b4404d0ee0ac9b9f8c3869a8f2e7fbc367004c2f64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87e73f3e8c33751dbc7005b4404d0ee0ac9b9f8c3869a8f2e7fbc367004c2f64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2026-08-04T16:54:14.340644Z</t>
        </is>
      </c>
      <c r="BI19" s="24" t="inlineStr">
        <is>
          <t>["same_event","same_team_same_day","same_league_same_day"]</t>
        </is>
      </c>
      <c r="BJ19" s="25" t="n"/>
      <c r="BK19" s="26" t="n">
        <v>-127</v>
      </c>
      <c r="BL19" s="27" t="n">
        <v>1.787402</v>
      </c>
      <c r="BM19" s="28" t="n">
        <v>0.5594710000000001</v>
      </c>
      <c r="BN19" s="28" t="n"/>
      <c r="BO19" s="28" t="n"/>
      <c r="BP19" s="25" t="n"/>
      <c r="BQ19" s="27" t="n">
        <v>1.787402</v>
      </c>
      <c r="BR19" s="28" t="n">
        <v>0.5600000000000001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c1476e72f76d4983</t>
        </is>
      </c>
      <c r="B20" s="24" t="inlineStr">
        <is>
          <t>2026-08-04T18:08:37.067138Z</t>
        </is>
      </c>
      <c r="C20" s="24" t="inlineStr">
        <is>
          <t>2026-08-04T18:30:00Z</t>
        </is>
      </c>
      <c r="D20" s="24" t="inlineStr">
        <is>
          <t>71391</t>
        </is>
      </c>
      <c r="E20" s="24" t="inlineStr">
        <is>
          <t>CS2</t>
        </is>
      </c>
      <c r="F20" s="24" t="inlineStr">
        <is>
          <t>A Great Chaos</t>
        </is>
      </c>
      <c r="G20" s="24" t="inlineStr">
        <is>
          <t>FAST LAYNERS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0.633669</v>
      </c>
      <c r="P20" s="28" t="n"/>
      <c r="Q20" s="28" t="n">
        <v>0.074198</v>
      </c>
      <c r="R20" s="26" t="n">
        <v>57</v>
      </c>
      <c r="S20" s="29" t="n">
        <v>1.5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-127</v>
      </c>
      <c r="AA20" s="28" t="n">
        <v>0.5600000000000001</v>
      </c>
      <c r="AB20" s="28" t="n">
        <v>0.000529</v>
      </c>
      <c r="AC20" s="30" t="n">
        <v>-1.5</v>
      </c>
      <c r="AD20" s="24" t="inlineStr">
        <is>
          <t>2026-08-04T22:00:01.153467Z</t>
        </is>
      </c>
      <c r="AE20" s="31" t="inlineStr">
        <is>
          <t>Neutral Elo baseline; executable ask 0.5600 (market_slug=aec-cs2-fla-agc-2026-08-04).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 Great Chaos</t>
        </is>
      </c>
      <c r="AQ20" s="24" t="inlineStr">
        <is>
          <t>A Great Chaos</t>
        </is>
      </c>
      <c r="AR20" s="24" t="inlineStr">
        <is>
          <t>A Great Chaos</t>
        </is>
      </c>
      <c r="AS20" s="24" t="inlineStr">
        <is>
          <t>FAST LAYNERS</t>
        </is>
      </c>
      <c r="AT20" s="24" t="inlineStr">
        <is>
          <t>FAST LAYNERS</t>
        </is>
      </c>
      <c r="AU20" s="24" t="inlineStr">
        <is>
          <t>FAST LAYNERS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3d3dc6a4f0641cb9aa015aaf4ccd2f260230dfea2e1b613f3ccdb860b2230f3e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3d3dc6a4f0641cb9aa015aaf4ccd2f260230dfea2e1b613f3ccdb860b2230f3e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2026-08-04T18:08:12.712388Z</t>
        </is>
      </c>
      <c r="BI20" s="24" t="inlineStr">
        <is>
          <t>["same_event","same_team_same_day","same_league_same_day"]</t>
        </is>
      </c>
      <c r="BJ20" s="25" t="n"/>
      <c r="BK20" s="26" t="n">
        <v>-127</v>
      </c>
      <c r="BL20" s="27" t="n">
        <v>1.787402</v>
      </c>
      <c r="BM20" s="28" t="n">
        <v>0.5594710000000001</v>
      </c>
      <c r="BN20" s="28" t="n"/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4ca8334d2c034365</t>
        </is>
      </c>
      <c r="B21" s="24" t="inlineStr">
        <is>
          <t>2026-08-04T18:08:37.067138Z</t>
        </is>
      </c>
      <c r="C21" s="24" t="inlineStr">
        <is>
          <t>2026-08-04T18:30:00Z</t>
        </is>
      </c>
      <c r="D21" s="24" t="inlineStr">
        <is>
          <t>71389</t>
        </is>
      </c>
      <c r="E21" s="24" t="inlineStr">
        <is>
          <t>CS2</t>
        </is>
      </c>
      <c r="F21" s="24" t="inlineStr">
        <is>
          <t>Banger Gang</t>
        </is>
      </c>
      <c r="G21" s="24" t="inlineStr">
        <is>
          <t>Arch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0.684275</v>
      </c>
      <c r="P21" s="28" t="n"/>
      <c r="Q21" s="28" t="n">
        <v>0.174471</v>
      </c>
      <c r="R21" s="26" t="n">
        <v>100</v>
      </c>
      <c r="S21" s="29" t="n">
        <v>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-104</v>
      </c>
      <c r="AA21" s="28" t="n">
        <v>0.51</v>
      </c>
      <c r="AB21" s="28" t="n">
        <v>0.000196</v>
      </c>
      <c r="AC21" s="30" t="n">
        <v>-2</v>
      </c>
      <c r="AD21" s="24" t="inlineStr">
        <is>
          <t>2026-08-05T01:06:37.190424Z</t>
        </is>
      </c>
      <c r="AE21" s="31" t="inlineStr">
        <is>
          <t>Neutral Elo baseline; executable ask 0.5100 (market_slug=aec-cs2-arch-bg-2026-08-04).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Banger Gang</t>
        </is>
      </c>
      <c r="AQ21" s="24" t="inlineStr">
        <is>
          <t>Banger Gang</t>
        </is>
      </c>
      <c r="AR21" s="24" t="inlineStr">
        <is>
          <t>Banger Gang</t>
        </is>
      </c>
      <c r="AS21" s="24" t="inlineStr">
        <is>
          <t>Arch</t>
        </is>
      </c>
      <c r="AT21" s="24" t="inlineStr">
        <is>
          <t>Arch</t>
        </is>
      </c>
      <c r="AU21" s="24" t="inlineStr">
        <is>
          <t>Arch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3d3dc6a4f0641cb9aa015aaf4ccd2f260230dfea2e1b613f3ccdb860b2230f3e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3d3dc6a4f0641cb9aa015aaf4ccd2f260230dfea2e1b613f3ccdb860b2230f3e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2026-08-04T18:08:14.227023Z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/>
      <c r="BO21" s="28" t="n"/>
      <c r="BP21" s="25" t="n"/>
      <c r="BQ21" s="27" t="n">
        <v>1.961538</v>
      </c>
      <c r="BR21" s="28" t="n">
        <v>0.51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a3bc7316012e44cf</t>
        </is>
      </c>
      <c r="B22" s="24" t="inlineStr">
        <is>
          <t>2026-08-04T18:08:37.067138Z</t>
        </is>
      </c>
      <c r="C22" s="24" t="inlineStr">
        <is>
          <t>2026-08-04T18:30:00Z</t>
        </is>
      </c>
      <c r="D22" s="24" t="inlineStr">
        <is>
          <t>71388</t>
        </is>
      </c>
      <c r="E22" s="24" t="inlineStr">
        <is>
          <t>CS2</t>
        </is>
      </c>
      <c r="F22" s="24" t="inlineStr">
        <is>
          <t>Fraternity</t>
        </is>
      </c>
      <c r="G22" s="24" t="inlineStr">
        <is>
          <t>PURE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0.556272</v>
      </c>
      <c r="P22" s="28" t="n"/>
      <c r="Q22" s="28" t="n">
        <v>0.025756</v>
      </c>
      <c r="R22" s="26" t="n">
        <v>33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0.885</v>
      </c>
      <c r="AD22" s="24" t="inlineStr">
        <is>
          <t>2026-08-04T22:00:03.473429Z</t>
        </is>
      </c>
      <c r="AE22" s="31" t="inlineStr">
        <is>
          <t>Neutral Elo baseline; executable ask 0.5300 (market_slug=aec-cs2-pure-frt-2026-08-04).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Fraternity</t>
        </is>
      </c>
      <c r="AQ22" s="24" t="inlineStr">
        <is>
          <t>Fraternity</t>
        </is>
      </c>
      <c r="AR22" s="24" t="inlineStr">
        <is>
          <t>Fraternity</t>
        </is>
      </c>
      <c r="AS22" s="24" t="inlineStr">
        <is>
          <t>PURE</t>
        </is>
      </c>
      <c r="AT22" s="24" t="inlineStr">
        <is>
          <t>PURE</t>
        </is>
      </c>
      <c r="AU22" s="24" t="inlineStr">
        <is>
          <t>PURE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3d3dc6a4f0641cb9aa015aaf4ccd2f260230dfea2e1b613f3ccdb860b2230f3e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3d3dc6a4f0641cb9aa015aaf4ccd2f260230dfea2e1b613f3ccdb860b2230f3e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2026-08-04T18:08:15.431614Z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0ec6b33176e14a00</t>
        </is>
      </c>
      <c r="B23" s="24" t="inlineStr">
        <is>
          <t>2026-08-04T18:08:37.067138Z</t>
        </is>
      </c>
      <c r="C23" s="24" t="inlineStr">
        <is>
          <t>2026-08-04T18:30:00Z</t>
        </is>
      </c>
      <c r="D23" s="24" t="inlineStr">
        <is>
          <t>71387</t>
        </is>
      </c>
      <c r="E23" s="24" t="inlineStr">
        <is>
          <t>CS2</t>
        </is>
      </c>
      <c r="F23" s="24" t="inlineStr">
        <is>
          <t>OLDBOYS PL</t>
        </is>
      </c>
      <c r="G23" s="24" t="inlineStr">
        <is>
          <t>eSuba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0.595428</v>
      </c>
      <c r="P23" s="28" t="n"/>
      <c r="Q23" s="28" t="n">
        <v>0.015596</v>
      </c>
      <c r="R23" s="26" t="n">
        <v>28</v>
      </c>
      <c r="S23" s="29" t="n">
        <v>1.25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-138</v>
      </c>
      <c r="AA23" s="28" t="n">
        <v>0.58</v>
      </c>
      <c r="AB23" s="28" t="n">
        <v>0.000168</v>
      </c>
      <c r="AC23" s="30" t="n">
        <v>0.9058</v>
      </c>
      <c r="AD23" s="24" t="inlineStr">
        <is>
          <t>2026-08-06T18:56:55.373994Z</t>
        </is>
      </c>
      <c r="AE23" s="31" t="inlineStr">
        <is>
          <t>Neutral Elo baseline; executable ask 0.5800 (market_slug=aec-cs2-esb-oldboyspl-2026-08-04).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OLDBOYS PL</t>
        </is>
      </c>
      <c r="AQ23" s="24" t="inlineStr">
        <is>
          <t>OLDBOYS PL</t>
        </is>
      </c>
      <c r="AR23" s="24" t="inlineStr">
        <is>
          <t>OLDBOYS PL</t>
        </is>
      </c>
      <c r="AS23" s="24" t="inlineStr">
        <is>
          <t>eSuba</t>
        </is>
      </c>
      <c r="AT23" s="24" t="inlineStr">
        <is>
          <t>eSuba</t>
        </is>
      </c>
      <c r="AU23" s="24" t="inlineStr">
        <is>
          <t>eSuba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3d3dc6a4f0641cb9aa015aaf4ccd2f260230dfea2e1b613f3ccdb860b2230f3e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3d3dc6a4f0641cb9aa015aaf4ccd2f260230dfea2e1b613f3ccdb860b2230f3e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2026-08-04T18:08:16.175127Z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>
        <v>1.724638</v>
      </c>
      <c r="BR23" s="28" t="n">
        <v>0.58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b9491e32cfde4c99</t>
        </is>
      </c>
      <c r="B24" s="24" t="inlineStr">
        <is>
          <t>2026-08-04T18:08:37.067138Z</t>
        </is>
      </c>
      <c r="C24" s="24" t="inlineStr">
        <is>
          <t>2026-08-04T18:30:00Z</t>
        </is>
      </c>
      <c r="D24" s="24" t="inlineStr">
        <is>
          <t>71382</t>
        </is>
      </c>
      <c r="E24" s="24" t="inlineStr">
        <is>
          <t>CS2</t>
        </is>
      </c>
      <c r="F24" s="24" t="inlineStr">
        <is>
          <t>JUMBO TEAM</t>
        </is>
      </c>
      <c r="G24" s="24" t="inlineStr">
        <is>
          <t>Benched gods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117</v>
      </c>
      <c r="M24" s="27" t="n">
        <v>2.17</v>
      </c>
      <c r="N24" s="28" t="n">
        <v>0.460829</v>
      </c>
      <c r="O24" s="28" t="n">
        <v>0.674864</v>
      </c>
      <c r="P24" s="28" t="n"/>
      <c r="Q24" s="28" t="n">
        <v>0.214035</v>
      </c>
      <c r="R24" s="26" t="n">
        <v>100</v>
      </c>
      <c r="S24" s="29" t="n">
        <v>1.75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117</v>
      </c>
      <c r="AA24" s="28" t="n">
        <v>0.46</v>
      </c>
      <c r="AB24" s="28" t="n">
        <v>-0.000829</v>
      </c>
      <c r="AC24" s="30" t="n">
        <v>-1.75</v>
      </c>
      <c r="AD24" s="24" t="inlineStr">
        <is>
          <t>2026-08-04T22:00:05.758684Z</t>
        </is>
      </c>
      <c r="AE24" s="31" t="inlineStr">
        <is>
          <t>Neutral Elo baseline; executable ask 0.4600 (market_slug=aec-cs2-bge-jumbo-2026-08-04).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JUMBO TEAM</t>
        </is>
      </c>
      <c r="AQ24" s="24" t="inlineStr">
        <is>
          <t>JUMBO TEAM</t>
        </is>
      </c>
      <c r="AR24" s="24" t="inlineStr">
        <is>
          <t>JUMBO TEAM</t>
        </is>
      </c>
      <c r="AS24" s="24" t="inlineStr">
        <is>
          <t>Benched gods</t>
        </is>
      </c>
      <c r="AT24" s="24" t="inlineStr">
        <is>
          <t>Benched gods</t>
        </is>
      </c>
      <c r="AU24" s="24" t="inlineStr">
        <is>
          <t>Benched gods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3d3dc6a4f0641cb9aa015aaf4ccd2f260230dfea2e1b613f3ccdb860b2230f3e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3d3dc6a4f0641cb9aa015aaf4ccd2f260230dfea2e1b613f3ccdb860b2230f3e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2026-08-04T18:08:19.220614Z</t>
        </is>
      </c>
      <c r="BI24" s="24" t="inlineStr">
        <is>
          <t>["same_event","same_team_same_day","same_league_same_day"]</t>
        </is>
      </c>
      <c r="BJ24" s="25" t="n"/>
      <c r="BK24" s="26" t="n">
        <v>117</v>
      </c>
      <c r="BL24" s="27" t="n">
        <v>2.17</v>
      </c>
      <c r="BM24" s="28" t="n">
        <v>0.460829</v>
      </c>
      <c r="BN24" s="28" t="n"/>
      <c r="BO24" s="28" t="n"/>
      <c r="BP24" s="25" t="n"/>
      <c r="BQ24" s="27" t="n">
        <v>2.17</v>
      </c>
      <c r="BR24" s="28" t="n">
        <v>0.46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14721795855848fd</t>
        </is>
      </c>
      <c r="B25" s="24" t="inlineStr">
        <is>
          <t>2026-08-05T04:39:04.512717Z</t>
        </is>
      </c>
      <c r="C25" s="24" t="inlineStr">
        <is>
          <t>2026-08-05T10:00:00Z</t>
        </is>
      </c>
      <c r="D25" s="24" t="inlineStr">
        <is>
          <t>71795</t>
        </is>
      </c>
      <c r="E25" s="24" t="inlineStr">
        <is>
          <t>CS2</t>
        </is>
      </c>
      <c r="F25" s="24" t="inlineStr">
        <is>
          <t>Betclic Apogee Esports</t>
        </is>
      </c>
      <c r="G25" s="24" t="inlineStr">
        <is>
          <t>Johnny Speeds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156</v>
      </c>
      <c r="M25" s="27" t="n">
        <v>2.56</v>
      </c>
      <c r="N25" s="28" t="n">
        <v>0.390625</v>
      </c>
      <c r="O25" s="28" t="n">
        <v>0.5349</v>
      </c>
      <c r="P25" s="28" t="n"/>
      <c r="Q25" s="28" t="n">
        <v>0.144275</v>
      </c>
      <c r="R25" s="26" t="n">
        <v>92</v>
      </c>
      <c r="S25" s="29" t="n">
        <v>1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156</v>
      </c>
      <c r="AA25" s="28" t="n">
        <v>0.39</v>
      </c>
      <c r="AB25" s="28" t="n">
        <v>-0.000625</v>
      </c>
      <c r="AC25" s="30" t="n">
        <v>-1</v>
      </c>
      <c r="AD25" s="24" t="inlineStr">
        <is>
          <t>2026-08-05T13:51:52.669190Z</t>
        </is>
      </c>
      <c r="AE25" s="31" t="inlineStr">
        <is>
          <t>Neutral Elo baseline; executable ask 0.3900 (market_slug=aec-cs2-js-bca-2026-08-05).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Betclic Apogee Esports</t>
        </is>
      </c>
      <c r="AQ25" s="24" t="inlineStr">
        <is>
          <t>Betclic Apogee Esports</t>
        </is>
      </c>
      <c r="AR25" s="24" t="inlineStr">
        <is>
          <t>Betclic Apogee Esports</t>
        </is>
      </c>
      <c r="AS25" s="24" t="inlineStr">
        <is>
          <t>Johnny Speeds</t>
        </is>
      </c>
      <c r="AT25" s="24" t="inlineStr">
        <is>
          <t>Johnny Speeds</t>
        </is>
      </c>
      <c r="AU25" s="24" t="inlineStr">
        <is>
          <t>Johnny Speeds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79b38f494ba89a56e3ba1ee48b9a2a5937958160c434a13516c1eb8ec97a91aa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79b38f494ba89a56e3ba1ee48b9a2a5937958160c434a13516c1eb8ec97a91aa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2026-08-05T04:38:15.635268Z</t>
        </is>
      </c>
      <c r="BI25" s="24" t="inlineStr">
        <is>
          <t>["same_event","same_team_same_day","same_league_same_day"]</t>
        </is>
      </c>
      <c r="BJ25" s="25" t="n"/>
      <c r="BK25" s="26" t="n">
        <v>156</v>
      </c>
      <c r="BL25" s="27" t="n">
        <v>2.56</v>
      </c>
      <c r="BM25" s="28" t="n">
        <v>0.390625</v>
      </c>
      <c r="BN25" s="28" t="n"/>
      <c r="BO25" s="28" t="n"/>
      <c r="BP25" s="25" t="n"/>
      <c r="BQ25" s="27" t="n">
        <v>2.56</v>
      </c>
      <c r="BR25" s="28" t="n">
        <v>0.39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9c70e97e2fa54b07</t>
        </is>
      </c>
      <c r="B26" s="24" t="inlineStr">
        <is>
          <t>2026-08-05T13:56:36.539226Z</t>
        </is>
      </c>
      <c r="C26" s="24" t="inlineStr">
        <is>
          <t>2026-08-05T16:30:00Z</t>
        </is>
      </c>
      <c r="D26" s="24" t="inlineStr">
        <is>
          <t>72533</t>
        </is>
      </c>
      <c r="E26" s="24" t="inlineStr">
        <is>
          <t>CS2</t>
        </is>
      </c>
      <c r="F26" s="24" t="inlineStr">
        <is>
          <t>XI Esport</t>
        </is>
      </c>
      <c r="G26" s="24" t="inlineStr">
        <is>
          <t>Esport BERG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0.633758</v>
      </c>
      <c r="P26" s="28" t="n"/>
      <c r="Q26" s="28" t="n">
        <v>0.21359</v>
      </c>
      <c r="R26" s="26" t="n">
        <v>100</v>
      </c>
      <c r="S26" s="29" t="n">
        <v>1.5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2.07</v>
      </c>
      <c r="AD26" s="24" t="inlineStr">
        <is>
          <t>2026-08-05T21:00:22.772699Z</t>
        </is>
      </c>
      <c r="AE26" s="31" t="inlineStr">
        <is>
          <t>Neutral Elo baseline; executable ask 0.4200 (market_slug=aec-cs2-berg-xi-2026-08-05).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XI Esport</t>
        </is>
      </c>
      <c r="AQ26" s="24" t="inlineStr">
        <is>
          <t>XI Esport</t>
        </is>
      </c>
      <c r="AR26" s="24" t="inlineStr">
        <is>
          <t>XI Esport</t>
        </is>
      </c>
      <c r="AS26" s="24" t="inlineStr">
        <is>
          <t>Esport BERG</t>
        </is>
      </c>
      <c r="AT26" s="24" t="inlineStr">
        <is>
          <t>Esport BERG</t>
        </is>
      </c>
      <c r="AU26" s="24" t="inlineStr">
        <is>
          <t>Esport BERG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95ef3685860928d3c12125a00cdf074ac4e628138aac112a58082f0ead77ffde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95ef3685860928d3c12125a00cdf074ac4e628138aac112a58082f0ead77ffde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2026-08-05T13:56:11.868130Z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f3cf5ec67dea499b</t>
        </is>
      </c>
      <c r="B27" s="24" t="inlineStr">
        <is>
          <t>2026-08-05T13:56:36.539226Z</t>
        </is>
      </c>
      <c r="C27" s="24" t="inlineStr">
        <is>
          <t>2026-08-05T17:00:00Z</t>
        </is>
      </c>
      <c r="D27" s="24" t="inlineStr">
        <is>
          <t>72534</t>
        </is>
      </c>
      <c r="E27" s="24" t="inlineStr">
        <is>
          <t>CS2</t>
        </is>
      </c>
      <c r="F27" s="24" t="inlineStr">
        <is>
          <t>Spirit Academy Green</t>
        </is>
      </c>
      <c r="G27" s="24" t="inlineStr">
        <is>
          <t>Falcons Force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0.647084</v>
      </c>
      <c r="P27" s="28" t="n"/>
      <c r="Q27" s="28" t="n">
        <v>0.017454</v>
      </c>
      <c r="R27" s="26" t="n">
        <v>29</v>
      </c>
      <c r="S27" s="29" t="n">
        <v>1.75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1.0294</v>
      </c>
      <c r="AD27" s="24" t="inlineStr">
        <is>
          <t>2026-08-05T21:00:24.139997Z</t>
        </is>
      </c>
      <c r="AE27" s="31" t="inlineStr">
        <is>
          <t>Neutral Elo baseline; executable ask 0.6300 (market_slug=aec-cs2-falf-sag-2026-08-05).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Spirit Academy Green</t>
        </is>
      </c>
      <c r="AQ27" s="24" t="inlineStr">
        <is>
          <t>Spirit Academy Green</t>
        </is>
      </c>
      <c r="AR27" s="24" t="inlineStr">
        <is>
          <t>Spirit Academy Green</t>
        </is>
      </c>
      <c r="AS27" s="24" t="inlineStr">
        <is>
          <t>Falcons Force</t>
        </is>
      </c>
      <c r="AT27" s="24" t="inlineStr">
        <is>
          <t>Falcons Force</t>
        </is>
      </c>
      <c r="AU27" s="24" t="inlineStr">
        <is>
          <t>Falcons Force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95ef3685860928d3c12125a00cdf074ac4e628138aac112a58082f0ead77ffde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95ef3685860928d3c12125a00cdf074ac4e628138aac112a58082f0ead77ffde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2026-08-05T13:56:13.589736Z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700dc7eb172049f7</t>
        </is>
      </c>
      <c r="B28" s="24" t="inlineStr">
        <is>
          <t>2026-08-05T17:05:00.161606Z</t>
        </is>
      </c>
      <c r="C28" s="24" t="inlineStr">
        <is>
          <t>2026-08-05T18:30:00Z</t>
        </is>
      </c>
      <c r="D28" s="24" t="inlineStr">
        <is>
          <t>72537</t>
        </is>
      </c>
      <c r="E28" s="24" t="inlineStr">
        <is>
          <t>CS2</t>
        </is>
      </c>
      <c r="F28" s="24" t="inlineStr">
        <is>
          <t>Drama eSports</t>
        </is>
      </c>
      <c r="G28" s="24" t="inlineStr">
        <is>
          <t>PURE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0.74863</v>
      </c>
      <c r="P28" s="28" t="n"/>
      <c r="Q28" s="28" t="n">
        <v>0.177815</v>
      </c>
      <c r="R28" s="26" t="n">
        <v>100</v>
      </c>
      <c r="S28" s="29" t="n">
        <v>2</v>
      </c>
      <c r="T28" s="24" t="inlineStr">
        <is>
          <t>cs2-tiered-elo-v6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0.5700 (market_slug=aec-cs2-pure-drama-2026-08-05).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Drama eSports</t>
        </is>
      </c>
      <c r="AQ28" s="24" t="inlineStr">
        <is>
          <t>Drama eSports</t>
        </is>
      </c>
      <c r="AR28" s="24" t="inlineStr">
        <is>
          <t>Drama eSports</t>
        </is>
      </c>
      <c r="AS28" s="24" t="inlineStr">
        <is>
          <t>PURE</t>
        </is>
      </c>
      <c r="AT28" s="24" t="inlineStr">
        <is>
          <t>PURE</t>
        </is>
      </c>
      <c r="AU28" s="24" t="inlineStr">
        <is>
          <t>PURE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19e41252784d7f0fb30ba60bf91a0e18dad6024caa2bc77a8c0649a56dcc9142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19e41252784d7f0fb30ba60bf91a0e18dad6024caa2bc77a8c0649a56dcc9142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2026-08-05T17:04:43.266243Z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fc9a348be3044e45</t>
        </is>
      </c>
      <c r="B29" s="24" t="inlineStr">
        <is>
          <t>2026-08-06T00:24:54.248921Z</t>
        </is>
      </c>
      <c r="C29" s="24" t="inlineStr">
        <is>
          <t>2026-08-06T08:00:00Z</t>
        </is>
      </c>
      <c r="D29" s="24" t="inlineStr">
        <is>
          <t>70562</t>
        </is>
      </c>
      <c r="E29" s="24" t="inlineStr">
        <is>
          <t>CS2</t>
        </is>
      </c>
      <c r="F29" s="24" t="inlineStr">
        <is>
          <t>Teletubisie</t>
        </is>
      </c>
      <c r="G29" s="24" t="inlineStr">
        <is>
          <t>WRAITH PCIFIC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117</v>
      </c>
      <c r="M29" s="27" t="n">
        <v>2.17</v>
      </c>
      <c r="N29" s="28" t="n">
        <v>0.460829</v>
      </c>
      <c r="O29" s="28" t="n">
        <v>0.605841</v>
      </c>
      <c r="P29" s="28" t="n"/>
      <c r="Q29" s="28" t="n">
        <v>0.145012</v>
      </c>
      <c r="R29" s="26" t="n">
        <v>93</v>
      </c>
      <c r="S29" s="29" t="n">
        <v>1.25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-1.25</v>
      </c>
      <c r="AD29" s="24" t="inlineStr">
        <is>
          <t>2026-08-06T18:56:58.366762Z</t>
        </is>
      </c>
      <c r="AE29" s="31" t="inlineStr">
        <is>
          <t>Neutral Elo baseline; executable ask 0.4600 (market_slug=aec-cs2-pcific-ttbs-2026-08-06).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Teletubisie</t>
        </is>
      </c>
      <c r="AQ29" s="24" t="inlineStr">
        <is>
          <t>Teletubisie</t>
        </is>
      </c>
      <c r="AR29" s="24" t="inlineStr">
        <is>
          <t>Teletubisie</t>
        </is>
      </c>
      <c r="AS29" s="24" t="inlineStr">
        <is>
          <t>WRAITH PCIFIC</t>
        </is>
      </c>
      <c r="AT29" s="24" t="inlineStr">
        <is>
          <t>WRAITH PCIFIC</t>
        </is>
      </c>
      <c r="AU29" s="24" t="inlineStr">
        <is>
          <t>WRAITH PCIFIC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95c0b03a7dffafd85c27ca9ed669e331e7385a1d064329e5a50c6fe806eb56d1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95c0b03a7dffafd85c27ca9ed669e331e7385a1d064329e5a50c6fe806eb56d1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2026-08-06T00:24:37.231379Z</t>
        </is>
      </c>
      <c r="BI29" s="24" t="inlineStr">
        <is>
          <t>["same_event","same_team_same_day","same_league_same_day"]</t>
        </is>
      </c>
      <c r="BJ29" s="25" t="n"/>
      <c r="BK29" s="26" t="n">
        <v>117</v>
      </c>
      <c r="BL29" s="27" t="n">
        <v>2.17</v>
      </c>
      <c r="BM29" s="28" t="n">
        <v>0.460829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0c1c2c0e06274713</t>
        </is>
      </c>
      <c r="B30" s="24" t="inlineStr">
        <is>
          <t>2026-08-06T00:24:54.248921Z</t>
        </is>
      </c>
      <c r="C30" s="24" t="inlineStr">
        <is>
          <t>2026-08-06T08:00:00Z</t>
        </is>
      </c>
      <c r="D30" s="24" t="inlineStr">
        <is>
          <t>72490</t>
        </is>
      </c>
      <c r="E30" s="24" t="inlineStr">
        <is>
          <t>CS2</t>
        </is>
      </c>
      <c r="F30" s="24" t="inlineStr">
        <is>
          <t>Black Phoenix</t>
        </is>
      </c>
      <c r="G30" s="24" t="inlineStr">
        <is>
          <t>Lavked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0.5310550000000001</v>
      </c>
      <c r="P30" s="28" t="n"/>
      <c r="Q30" s="28" t="n">
        <v>0.110887</v>
      </c>
      <c r="R30" s="26" t="n">
        <v>75</v>
      </c>
      <c r="S30" s="29" t="n">
        <v>1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-1</v>
      </c>
      <c r="AD30" s="24" t="inlineStr">
        <is>
          <t>2026-08-06T18:57:00.154478Z</t>
        </is>
      </c>
      <c r="AE30" s="31" t="inlineStr">
        <is>
          <t>Neutral Elo baseline; executable ask 0.4200 (market_slug=aec-cs2-lav-bpl-2026-08-06).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Black Phoenix</t>
        </is>
      </c>
      <c r="AQ30" s="24" t="inlineStr">
        <is>
          <t>Black Phoenix</t>
        </is>
      </c>
      <c r="AR30" s="24" t="inlineStr">
        <is>
          <t>Black Phoenix</t>
        </is>
      </c>
      <c r="AS30" s="24" t="inlineStr">
        <is>
          <t>Lavked</t>
        </is>
      </c>
      <c r="AT30" s="24" t="inlineStr">
        <is>
          <t>Lavked</t>
        </is>
      </c>
      <c r="AU30" s="24" t="inlineStr">
        <is>
          <t>Lavked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95c0b03a7dffafd85c27ca9ed669e331e7385a1d064329e5a50c6fe806eb56d1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95c0b03a7dffafd85c27ca9ed669e331e7385a1d064329e5a50c6fe806eb56d1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2026-08-06T00:24:37.738828Z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3b760535fa614d51</t>
        </is>
      </c>
      <c r="B31" s="24" t="inlineStr">
        <is>
          <t>2026-08-06T00:24:54.248921Z</t>
        </is>
      </c>
      <c r="C31" s="24" t="inlineStr">
        <is>
          <t>2026-08-06T17:00:00Z</t>
        </is>
      </c>
      <c r="D31" s="24" t="inlineStr">
        <is>
          <t>72651</t>
        </is>
      </c>
      <c r="E31" s="24" t="inlineStr">
        <is>
          <t>CS2</t>
        </is>
      </c>
      <c r="F31" s="24" t="inlineStr">
        <is>
          <t>Yawara Esports</t>
        </is>
      </c>
      <c r="G31" s="24" t="inlineStr">
        <is>
          <t>Isurus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-133</v>
      </c>
      <c r="M31" s="27" t="n">
        <v>1.75188</v>
      </c>
      <c r="N31" s="28" t="n">
        <v>0.570815</v>
      </c>
      <c r="O31" s="28" t="n">
        <v>0.745356</v>
      </c>
      <c r="P31" s="28" t="n"/>
      <c r="Q31" s="28" t="n">
        <v>0.174541</v>
      </c>
      <c r="R31" s="26" t="n">
        <v>100</v>
      </c>
      <c r="S31" s="29" t="n">
        <v>2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-2</v>
      </c>
      <c r="AD31" s="24" t="inlineStr">
        <is>
          <t>2026-08-07T06:01:51.262807Z</t>
        </is>
      </c>
      <c r="AE31" s="31" t="inlineStr">
        <is>
          <t>Neutral Elo baseline; executable ask 0.5700 (market_slug=aec-cs2-isg-yaw-2026-08-06).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Yawara Esports</t>
        </is>
      </c>
      <c r="AQ31" s="24" t="inlineStr">
        <is>
          <t>Yawara Esports</t>
        </is>
      </c>
      <c r="AR31" s="24" t="inlineStr">
        <is>
          <t>Yawara Esports</t>
        </is>
      </c>
      <c r="AS31" s="24" t="inlineStr">
        <is>
          <t>Isurus</t>
        </is>
      </c>
      <c r="AT31" s="24" t="inlineStr">
        <is>
          <t>Isurus</t>
        </is>
      </c>
      <c r="AU31" s="24" t="inlineStr">
        <is>
          <t>Isurus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95c0b03a7dffafd85c27ca9ed669e331e7385a1d064329e5a50c6fe806eb56d1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95c0b03a7dffafd85c27ca9ed669e331e7385a1d064329e5a50c6fe806eb56d1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2026-08-06T00:24:47.216028Z</t>
        </is>
      </c>
      <c r="BI31" s="24" t="inlineStr">
        <is>
          <t>["same_event","same_team_same_day","same_league_same_day"]</t>
        </is>
      </c>
      <c r="BJ31" s="25" t="n"/>
      <c r="BK31" s="26" t="n">
        <v>-133</v>
      </c>
      <c r="BL31" s="27" t="n">
        <v>1.75188</v>
      </c>
      <c r="BM31" s="28" t="n">
        <v>0.570815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6e8f0b9c0ce949b1</t>
        </is>
      </c>
      <c r="B32" s="24" t="inlineStr">
        <is>
          <t>2026-08-06T03:30:48.016807Z</t>
        </is>
      </c>
      <c r="C32" s="24" t="inlineStr">
        <is>
          <t>2026-08-06T08:00:00Z</t>
        </is>
      </c>
      <c r="D32" s="24" t="inlineStr">
        <is>
          <t>70561</t>
        </is>
      </c>
      <c r="E32" s="24" t="inlineStr">
        <is>
          <t>CS2</t>
        </is>
      </c>
      <c r="F32" s="24" t="inlineStr">
        <is>
          <t>Esport Academy Copenhagen</t>
        </is>
      </c>
      <c r="G32" s="24" t="inlineStr">
        <is>
          <t>Eternal Fire Academy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0.672341</v>
      </c>
      <c r="P32" s="28" t="n"/>
      <c r="Q32" s="28" t="n">
        <v>0.09250899999999999</v>
      </c>
      <c r="R32" s="26" t="n">
        <v>66</v>
      </c>
      <c r="S32" s="29" t="n">
        <v>1.75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-1.75</v>
      </c>
      <c r="AD32" s="24" t="inlineStr">
        <is>
          <t>2026-08-06T18:57:02.991757Z</t>
        </is>
      </c>
      <c r="AE32" s="31" t="inlineStr">
        <is>
          <t>Neutral Elo baseline; executable ask 0.5800 (market_slug=aec-cs2-efa-eac-2026-08-06).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Esport Academy Copenhagen</t>
        </is>
      </c>
      <c r="AQ32" s="24" t="inlineStr">
        <is>
          <t>Esport Academy Copenhagen</t>
        </is>
      </c>
      <c r="AR32" s="24" t="inlineStr">
        <is>
          <t>Esport Academy Copenhagen</t>
        </is>
      </c>
      <c r="AS32" s="24" t="inlineStr">
        <is>
          <t>Eternal Fire Academy</t>
        </is>
      </c>
      <c r="AT32" s="24" t="inlineStr">
        <is>
          <t>Eternal Fire Academy</t>
        </is>
      </c>
      <c r="AU32" s="24" t="inlineStr">
        <is>
          <t>Eternal Fire Academy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fe03335fd93db1544dba21d90e64b614b66d4504f6b07bd760b4633bb3785ef9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fe03335fd93db1544dba21d90e64b614b66d4504f6b07bd760b4633bb3785ef9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2026-08-06T03:30:28.428004Z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e001d63af3fa4b19</t>
        </is>
      </c>
      <c r="B33" s="24" t="inlineStr">
        <is>
          <t>2026-08-06T19:00:44.109783Z</t>
        </is>
      </c>
      <c r="C33" s="24" t="inlineStr">
        <is>
          <t>2026-08-06T20:00:00Z</t>
        </is>
      </c>
      <c r="D33" s="24" t="inlineStr">
        <is>
          <t>72652</t>
        </is>
      </c>
      <c r="E33" s="24" t="inlineStr">
        <is>
          <t>CS2</t>
        </is>
      </c>
      <c r="F33" s="24" t="inlineStr">
        <is>
          <t>Procyon Gaming</t>
        </is>
      </c>
      <c r="G33" s="24" t="inlineStr">
        <is>
          <t>METANOIA WOLVES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0.542916</v>
      </c>
      <c r="P33" s="28" t="n"/>
      <c r="Q33" s="28" t="n">
        <v>0.13308</v>
      </c>
      <c r="R33" s="26" t="n">
        <v>87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>
        <v>144</v>
      </c>
      <c r="AA33" s="28" t="n">
        <v>0.41</v>
      </c>
      <c r="AB33" s="28" t="n">
        <v>0.000164</v>
      </c>
      <c r="AC33" s="30" t="n">
        <v>1.44</v>
      </c>
      <c r="AD33" s="24" t="inlineStr">
        <is>
          <t>2026-08-07T06:01:52.708995Z</t>
        </is>
      </c>
      <c r="AE33" s="31" t="inlineStr">
        <is>
          <t>Neutral Elo baseline; executable ask 0.4100 (market_slug=aec-cs2-mw-pcy-2026-08-06).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Procyon Gaming</t>
        </is>
      </c>
      <c r="AQ33" s="24" t="inlineStr">
        <is>
          <t>Procyon Gaming</t>
        </is>
      </c>
      <c r="AR33" s="24" t="inlineStr">
        <is>
          <t>Procyon Gaming</t>
        </is>
      </c>
      <c r="AS33" s="24" t="inlineStr">
        <is>
          <t>METANOIA WOLVES</t>
        </is>
      </c>
      <c r="AT33" s="24" t="inlineStr">
        <is>
          <t>METANOIA WOLVES</t>
        </is>
      </c>
      <c r="AU33" s="24" t="inlineStr">
        <is>
          <t>METANOIA WOLVES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ba62d4174c52c7a2934bcbd8b028649e6d31b496f5b9eab70ce8b6a17fb58aa6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ba62d4174c52c7a2934bcbd8b028649e6d31b496f5b9eab70ce8b6a17fb58aa6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2026-08-06T19:00:13.521189Z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>
        <v>2.44</v>
      </c>
      <c r="BR33" s="28" t="n">
        <v>0.41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66d551cf890f4729</t>
        </is>
      </c>
      <c r="B34" s="24" t="inlineStr">
        <is>
          <t>2026-08-07T15:24:16.691798Z</t>
        </is>
      </c>
      <c r="C34" s="24" t="inlineStr">
        <is>
          <t>2026-08-07T17:00:00Z</t>
        </is>
      </c>
      <c r="D34" s="24" t="inlineStr">
        <is>
          <t>74184</t>
        </is>
      </c>
      <c r="E34" s="24" t="inlineStr">
        <is>
          <t>CS2</t>
        </is>
      </c>
      <c r="F34" s="24" t="inlineStr">
        <is>
          <t>ENRAGE</t>
        </is>
      </c>
      <c r="G34" s="24" t="inlineStr">
        <is>
          <t>PURE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0.651856</v>
      </c>
      <c r="P34" s="28" t="n"/>
      <c r="Q34" s="28" t="n">
        <v>0.16166</v>
      </c>
      <c r="R34" s="26" t="n">
        <v>100</v>
      </c>
      <c r="S34" s="29" t="n">
        <v>1.75</v>
      </c>
      <c r="T34" s="24" t="inlineStr">
        <is>
          <t>cs2-tiered-elo-v6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0.4900 (market_slug=aec-cs2-pure-enr-2026-08-07).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ENRAGE</t>
        </is>
      </c>
      <c r="AQ34" s="24" t="inlineStr">
        <is>
          <t>ENRAGE</t>
        </is>
      </c>
      <c r="AR34" s="24" t="inlineStr">
        <is>
          <t>ENRAGE</t>
        </is>
      </c>
      <c r="AS34" s="24" t="inlineStr">
        <is>
          <t>PURE</t>
        </is>
      </c>
      <c r="AT34" s="24" t="inlineStr">
        <is>
          <t>PURE</t>
        </is>
      </c>
      <c r="AU34" s="24" t="inlineStr">
        <is>
          <t>PURE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b8dea04ff55d1b5077c8587b9b9ed16ddeb7be47d75c96d6954498aa5ae37cd0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b8dea04ff55d1b5077c8587b9b9ed16ddeb7be47d75c96d6954498aa5ae37cd0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2026-08-07T15:24:04.782971Z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048ce170928043f6</t>
        </is>
      </c>
      <c r="B35" s="24" t="inlineStr">
        <is>
          <t>2026-08-07T15:24:16.691798Z</t>
        </is>
      </c>
      <c r="C35" s="24" t="inlineStr">
        <is>
          <t>2026-08-07T18:30:00Z</t>
        </is>
      </c>
      <c r="D35" s="24" t="inlineStr">
        <is>
          <t>74187</t>
        </is>
      </c>
      <c r="E35" s="24" t="inlineStr">
        <is>
          <t>CS2</t>
        </is>
      </c>
      <c r="F35" s="24" t="inlineStr">
        <is>
          <t>Fortress</t>
        </is>
      </c>
      <c r="G35" s="24" t="inlineStr">
        <is>
          <t>ENRAGE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150</v>
      </c>
      <c r="M35" s="27" t="n">
        <v>2.5</v>
      </c>
      <c r="N35" s="28" t="n">
        <v>0.4</v>
      </c>
      <c r="O35" s="28" t="n">
        <v>0.584786</v>
      </c>
      <c r="P35" s="28" t="n"/>
      <c r="Q35" s="28" t="n">
        <v>0.184786</v>
      </c>
      <c r="R35" s="26" t="n">
        <v>100</v>
      </c>
      <c r="S35" s="29" t="n">
        <v>1.25</v>
      </c>
      <c r="T35" s="24" t="inlineStr">
        <is>
          <t>cs2-tiered-elo-v6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0.4000 (market_slug=aec-cs2-enr-for-2026-08-07).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Fortress</t>
        </is>
      </c>
      <c r="AQ35" s="24" t="inlineStr">
        <is>
          <t>Fortress</t>
        </is>
      </c>
      <c r="AR35" s="24" t="inlineStr">
        <is>
          <t>Fortress</t>
        </is>
      </c>
      <c r="AS35" s="24" t="inlineStr">
        <is>
          <t>ENRAGE</t>
        </is>
      </c>
      <c r="AT35" s="24" t="inlineStr">
        <is>
          <t>ENRAGE</t>
        </is>
      </c>
      <c r="AU35" s="24" t="inlineStr">
        <is>
          <t>ENRAGE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b8dea04ff55d1b5077c8587b9b9ed16ddeb7be47d75c96d6954498aa5ae37cd0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b8dea04ff55d1b5077c8587b9b9ed16ddeb7be47d75c96d6954498aa5ae37cd0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2026-08-07T15:24:06.305684Z</t>
        </is>
      </c>
      <c r="BI35" s="24" t="inlineStr">
        <is>
          <t>["same_event","same_team_same_day","same_league_same_day"]</t>
        </is>
      </c>
      <c r="BJ35" s="25" t="n"/>
      <c r="BK35" s="26" t="n">
        <v>150</v>
      </c>
      <c r="BL35" s="27" t="n">
        <v>2.5</v>
      </c>
      <c r="BM35" s="28" t="n">
        <v>0.4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9c28594db33c465c</t>
        </is>
      </c>
      <c r="B36" s="24" t="inlineStr">
        <is>
          <t>2026-08-07T15:24:16.691798Z</t>
        </is>
      </c>
      <c r="C36" s="24" t="inlineStr">
        <is>
          <t>2026-08-08T08:00:00Z</t>
        </is>
      </c>
      <c r="D36" s="24" t="inlineStr">
        <is>
          <t>72721</t>
        </is>
      </c>
      <c r="E36" s="24" t="inlineStr">
        <is>
          <t>CS2</t>
        </is>
      </c>
      <c r="F36" s="24" t="inlineStr">
        <is>
          <t>SINQU Rehti</t>
        </is>
      </c>
      <c r="G36" s="24" t="inlineStr">
        <is>
          <t>Passion Academy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117</v>
      </c>
      <c r="M36" s="27" t="n">
        <v>2.17</v>
      </c>
      <c r="N36" s="28" t="n">
        <v>0.460829</v>
      </c>
      <c r="O36" s="28" t="n">
        <v>0.584222</v>
      </c>
      <c r="P36" s="28" t="n"/>
      <c r="Q36" s="28" t="n">
        <v>0.123393</v>
      </c>
      <c r="R36" s="26" t="n">
        <v>82</v>
      </c>
      <c r="S36" s="29" t="n">
        <v>1.25</v>
      </c>
      <c r="T36" s="24" t="inlineStr">
        <is>
          <t>cs2-tiered-elo-v6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0.4600 (market_slug=aec-cs2-psna-sri-2026-08-08).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SINQU Rehti</t>
        </is>
      </c>
      <c r="AQ36" s="24" t="inlineStr">
        <is>
          <t>SINQU Rehti</t>
        </is>
      </c>
      <c r="AR36" s="24" t="inlineStr">
        <is>
          <t>SINQU Rehti</t>
        </is>
      </c>
      <c r="AS36" s="24" t="inlineStr">
        <is>
          <t>Passion Academy</t>
        </is>
      </c>
      <c r="AT36" s="24" t="inlineStr">
        <is>
          <t>Passion Academy</t>
        </is>
      </c>
      <c r="AU36" s="24" t="inlineStr">
        <is>
          <t>Passion Academy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b8dea04ff55d1b5077c8587b9b9ed16ddeb7be47d75c96d6954498aa5ae37cd0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b8dea04ff55d1b5077c8587b9b9ed16ddeb7be47d75c96d6954498aa5ae37cd0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2026-08-07T15:24:08.265612Z</t>
        </is>
      </c>
      <c r="BI36" s="24" t="inlineStr">
        <is>
          <t>["same_event","same_team_same_day","same_league_same_day"]</t>
        </is>
      </c>
      <c r="BJ36" s="25" t="n"/>
      <c r="BK36" s="26" t="n">
        <v>117</v>
      </c>
      <c r="BL36" s="27" t="n">
        <v>2.17</v>
      </c>
      <c r="BM36" s="28" t="n">
        <v>0.460829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2026-08-07T15:24:54Z</dcterms:created>
  <dcterms:modified xmlns:dcterms="http://purl.org/dc/terms/" xmlns:xsi="http://www.w3.org/2001/XMLSchema-instance" xsi:type="dcterms:W3CDTF">2026-08-07T15:24:54Z</dcterms:modified>
</cp:coreProperties>
</file>