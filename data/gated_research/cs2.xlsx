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29" headerRowCount="1">
  <autoFilter ref="A1:CS29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COUNTA('Picks'!$A$2:$A$29)</f>
        <v/>
      </c>
      <c r="C4" s="6">
        <f>COUNTIF('Picks'!$U$2:$U$29,"open")</f>
        <v/>
      </c>
      <c r="E4" s="6">
        <f>COUNTIF('Picks'!$U$2:$U$29,"settled")</f>
        <v/>
      </c>
      <c r="G4" s="6">
        <f>IF(COUNTIFS('Picks'!$U$2:$U$29,"settled",'Picks'!$V$2:$V$29,"win")+COUNTIFS('Picks'!$U$2:$U$29,"settled",'Picks'!$V$2:$V$29,"loss")&gt;=$L$2,"Ready","Insufficient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COUNTIF('Picks'!$BX$2:$BX$29,"&gt;0")</f>
        <v/>
      </c>
      <c r="C7" s="6">
        <f>COUNTIFS('Picks'!$BX$2:$BX$29,"&gt;0",'Picks'!$V$2:$V$29,"win")&amp;"-"&amp;COUNTIFS('Picks'!$BX$2:$BX$29,"&gt;0",'Picks'!$V$2:$V$29,"loss")</f>
        <v/>
      </c>
      <c r="E7" s="7">
        <f>IFERROR(COUNTIFS('Picks'!$BX$2:$BX$29,"&gt;0",'Picks'!$V$2:$V$29,"win")/(COUNTIFS('Picks'!$BX$2:$BX$29,"&gt;0",'Picks'!$V$2:$V$29,"win")+COUNTIFS('Picks'!$BX$2:$BX$29,"&gt;0",'Picks'!$V$2:$V$29,"loss")),0)</f>
        <v/>
      </c>
      <c r="G7" s="7">
        <f>IFERROR(SUM('Picks'!$BY$2:$BY$29)/SUM('Picks'!$BX$2:$BX$29),0)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SUM('Picks'!$BY$2:$BY$29)</f>
        <v/>
      </c>
      <c r="C10" s="9">
        <f>IFERROR(AVERAGEIF('Picks'!$AB$2:$AB$29,"&lt;&gt;",'Picks'!$AB$2:$AB$29),0)</f>
        <v/>
      </c>
      <c r="E10" s="6">
        <f>COUNTIFS('Picks'!$AM$2:$AM$29,"QUALIFIED_SHADOW_CALL",'Picks'!$U$2:$U$29,"settled")</f>
        <v/>
      </c>
      <c r="G10" s="8">
        <f>SUMIFS('Picks'!$AC$2:$AC$29,'Picks'!$AM$2:$AM$29,"QUALIFIED_SHADOW_CALL")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COUNTIFS('Picks'!$H$2:$H$29,$A14,'Picks'!$U$2:$U$29,"settled")</f>
        <v/>
      </c>
      <c r="C14" s="13">
        <f>COUNTIFS('Picks'!$H$2:$H$29,$A14,'Picks'!$U$2:$U$29,"settled",'Picks'!$V$2:$V$29,"win")</f>
        <v/>
      </c>
      <c r="D14" s="13">
        <f>COUNTIFS('Picks'!$H$2:$H$29,$A14,'Picks'!$U$2:$U$29,"settled",'Picks'!$V$2:$V$29,"loss")</f>
        <v/>
      </c>
      <c r="E14" s="14">
        <f>IFERROR(C14/(C14+D14),0)</f>
        <v/>
      </c>
      <c r="F14" s="15">
        <f>SUMIFS('Picks'!$BY$2:$BY$29,'Picks'!$H$2:$H$29,$A14)</f>
        <v/>
      </c>
      <c r="G14" s="16">
        <f>IFERROR(AVERAGEIFS('Picks'!$AB$2:$AB$29,'Picks'!$H$2:$H$29,$A14,'Picks'!$U$2:$U$29,"settled"),0)</f>
        <v/>
      </c>
    </row>
    <row r="15">
      <c r="A15" s="17" t="inlineStr">
        <is>
          <t>spread</t>
        </is>
      </c>
      <c r="B15" s="18">
        <f>COUNTIFS('Picks'!$H$2:$H$29,$A15,'Picks'!$U$2:$U$29,"settled")</f>
        <v/>
      </c>
      <c r="C15" s="18">
        <f>COUNTIFS('Picks'!$H$2:$H$29,$A15,'Picks'!$U$2:$U$29,"settled",'Picks'!$V$2:$V$29,"win")</f>
        <v/>
      </c>
      <c r="D15" s="18">
        <f>COUNTIFS('Picks'!$H$2:$H$29,$A15,'Picks'!$U$2:$U$29,"settled",'Picks'!$V$2:$V$29,"loss")</f>
        <v/>
      </c>
      <c r="E15" s="19">
        <f>IFERROR(C15/(C15+D15),0)</f>
        <v/>
      </c>
      <c r="F15" s="20">
        <f>SUMIFS('Picks'!$BY$2:$BY$29,'Picks'!$H$2:$H$29,$A15)</f>
        <v/>
      </c>
      <c r="G15" s="21">
        <f>IFERROR(AVERAGEIFS('Picks'!$AB$2:$AB$29,'Picks'!$H$2:$H$29,$A15,'Picks'!$U$2:$U$29,"settled"),0)</f>
        <v/>
      </c>
    </row>
    <row r="16">
      <c r="A16" s="12" t="inlineStr">
        <is>
          <t>total</t>
        </is>
      </c>
      <c r="B16" s="13">
        <f>COUNTIFS('Picks'!$H$2:$H$29,$A16,'Picks'!$U$2:$U$29,"settled")</f>
        <v/>
      </c>
      <c r="C16" s="13">
        <f>COUNTIFS('Picks'!$H$2:$H$29,$A16,'Picks'!$U$2:$U$29,"settled",'Picks'!$V$2:$V$29,"win")</f>
        <v/>
      </c>
      <c r="D16" s="13">
        <f>COUNTIFS('Picks'!$H$2:$H$29,$A16,'Picks'!$U$2:$U$29,"settled",'Picks'!$V$2:$V$29,"loss")</f>
        <v/>
      </c>
      <c r="E16" s="14">
        <f>IFERROR(C16/(C16+D16),0)</f>
        <v/>
      </c>
      <c r="F16" s="15">
        <f>SUMIFS('Picks'!$BY$2:$BY$29,'Picks'!$H$2:$H$29,$A16)</f>
        <v/>
      </c>
      <c r="G16" s="16">
        <f>IFERROR(AVERAGEIFS('Picks'!$AB$2:$AB$29,'Picks'!$H$2:$H$29,$A16,'Picks'!$U$2:$U$29,"settled"),0)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2026-08-03T02:34:48.118824Z</t>
        </is>
      </c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esports market settled to a non-binary price (forfeit/postponement per market rules)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2026-08-03T02:34:49.249923Z</t>
        </is>
      </c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esports market settled to a non-binary price (forfeit/postponement per market rules)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3e5ca2341bea45d1</t>
        </is>
      </c>
      <c r="B15" s="24" t="inlineStr">
        <is>
          <t>2026-08-03T10:14:59.378487Z</t>
        </is>
      </c>
      <c r="C15" s="24" t="inlineStr">
        <is>
          <t>2026-08-03T10:30:00Z</t>
        </is>
      </c>
      <c r="D15" s="24" t="inlineStr">
        <is>
          <t>67514</t>
        </is>
      </c>
      <c r="E15" s="24" t="inlineStr">
        <is>
          <t>CS2</t>
        </is>
      </c>
      <c r="F15" s="24" t="inlineStr">
        <is>
          <t>Passion Academy</t>
        </is>
      </c>
      <c r="G15" s="24" t="inlineStr">
        <is>
          <t>EAC Rising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-156</v>
      </c>
      <c r="M15" s="27" t="n">
        <v>1.641026</v>
      </c>
      <c r="N15" s="28" t="n">
        <v>0.609375</v>
      </c>
      <c r="O15" s="28" t="n">
        <v>0.639821</v>
      </c>
      <c r="P15" s="28" t="n"/>
      <c r="Q15" s="28" t="n">
        <v>0.030446</v>
      </c>
      <c r="R15" s="26" t="n">
        <v>35</v>
      </c>
      <c r="S15" s="29" t="n">
        <v>1.5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-156</v>
      </c>
      <c r="AA15" s="28" t="n">
        <v>0.61</v>
      </c>
      <c r="AB15" s="28" t="n">
        <v>0.000625</v>
      </c>
      <c r="AC15" s="30" t="n">
        <v>0.9615</v>
      </c>
      <c r="AD15" s="24" t="inlineStr">
        <is>
          <t>2026-08-03T13:27:35.671440Z</t>
        </is>
      </c>
      <c r="AE15" s="31" t="inlineStr">
        <is>
          <t>Neutral Elo baseline; executable ask 0.6100 (market_slug=aec-cs2-era-psna-2026-08-03).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Passion Academy</t>
        </is>
      </c>
      <c r="AQ15" s="24" t="inlineStr">
        <is>
          <t>Passion Academy</t>
        </is>
      </c>
      <c r="AR15" s="24" t="inlineStr">
        <is>
          <t>Passion Academy</t>
        </is>
      </c>
      <c r="AS15" s="24" t="inlineStr">
        <is>
          <t>EAC Rising</t>
        </is>
      </c>
      <c r="AT15" s="24" t="inlineStr">
        <is>
          <t>EAC Rising</t>
        </is>
      </c>
      <c r="AU15" s="24" t="inlineStr">
        <is>
          <t>EAC Rising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a67b482e0cc299818c9d6a6183162092d6b3cbeea4f974054606da1c44c3bd99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a67b482e0cc299818c9d6a6183162092d6b3cbeea4f974054606da1c44c3bd99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2026-08-03T10:14:38.370048Z</t>
        </is>
      </c>
      <c r="BI15" s="24" t="inlineStr">
        <is>
          <t>["same_event","same_team_same_day","same_league_same_day"]</t>
        </is>
      </c>
      <c r="BJ15" s="25" t="n"/>
      <c r="BK15" s="26" t="n">
        <v>-156</v>
      </c>
      <c r="BL15" s="27" t="n">
        <v>1.641026</v>
      </c>
      <c r="BM15" s="28" t="n">
        <v>0.609375</v>
      </c>
      <c r="BN15" s="28" t="n"/>
      <c r="BO15" s="28" t="n"/>
      <c r="BP15" s="25" t="n"/>
      <c r="BQ15" s="27" t="n">
        <v>1.641026</v>
      </c>
      <c r="BR15" s="28" t="n">
        <v>0.61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02ebc095ca494cd9</t>
        </is>
      </c>
      <c r="B16" s="24" t="inlineStr">
        <is>
          <t>2026-08-03T19:54:57.645683Z</t>
        </is>
      </c>
      <c r="C16" s="24" t="inlineStr">
        <is>
          <t>2026-08-03T21:00:00Z</t>
        </is>
      </c>
      <c r="D16" s="24" t="inlineStr">
        <is>
          <t>70532</t>
        </is>
      </c>
      <c r="E16" s="24" t="inlineStr">
        <is>
          <t>CS2</t>
        </is>
      </c>
      <c r="F16" s="24" t="inlineStr">
        <is>
          <t>RED Canids Academy</t>
        </is>
      </c>
      <c r="G16" s="24" t="inlineStr">
        <is>
          <t>ODDIK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-150</v>
      </c>
      <c r="M16" s="27" t="n">
        <v>1.666667</v>
      </c>
      <c r="N16" s="28" t="n">
        <v>0.6</v>
      </c>
      <c r="O16" s="28" t="n">
        <v>0.6304380000000001</v>
      </c>
      <c r="P16" s="28" t="n"/>
      <c r="Q16" s="28" t="n">
        <v>0.030438</v>
      </c>
      <c r="R16" s="26" t="n">
        <v>35</v>
      </c>
      <c r="S16" s="29" t="n">
        <v>1.5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-150</v>
      </c>
      <c r="AA16" s="28" t="n">
        <v>0.6</v>
      </c>
      <c r="AB16" s="28" t="n">
        <v>0</v>
      </c>
      <c r="AC16" s="30" t="n">
        <v>1</v>
      </c>
      <c r="AD16" s="24" t="inlineStr">
        <is>
          <t>2026-08-05T01:06:35.233639Z</t>
        </is>
      </c>
      <c r="AE16" s="31" t="inlineStr">
        <is>
          <t>Neutral Elo baseline; executable ask 0.6000 (market_slug=aec-cs2-odk-reda-2026-08-03).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RED Canids Academy</t>
        </is>
      </c>
      <c r="AQ16" s="24" t="inlineStr">
        <is>
          <t>RED Canids Academy</t>
        </is>
      </c>
      <c r="AR16" s="24" t="inlineStr">
        <is>
          <t>RED Canids Academy</t>
        </is>
      </c>
      <c r="AS16" s="24" t="inlineStr">
        <is>
          <t>ODDIK</t>
        </is>
      </c>
      <c r="AT16" s="24" t="inlineStr">
        <is>
          <t>ODDIK</t>
        </is>
      </c>
      <c r="AU16" s="24" t="inlineStr">
        <is>
          <t>ODDIK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49e72bc47e8b746259057b18a0727b3402ae02f53069edfae5b6532757438c2c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49e72bc47e8b746259057b18a0727b3402ae02f53069edfae5b6532757438c2c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2026-08-03T19:54:46.268393Z</t>
        </is>
      </c>
      <c r="BI16" s="24" t="inlineStr">
        <is>
          <t>["same_event","same_team_same_day","same_league_same_day"]</t>
        </is>
      </c>
      <c r="BJ16" s="25" t="n"/>
      <c r="BK16" s="26" t="n">
        <v>-150</v>
      </c>
      <c r="BL16" s="27" t="n">
        <v>1.666667</v>
      </c>
      <c r="BM16" s="28" t="n">
        <v>0.6</v>
      </c>
      <c r="BN16" s="28" t="n"/>
      <c r="BO16" s="28" t="n"/>
      <c r="BP16" s="25" t="n"/>
      <c r="BQ16" s="27" t="n">
        <v>1.666667</v>
      </c>
      <c r="BR16" s="28" t="n">
        <v>0.6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e17b52861cea4d2b</t>
        </is>
      </c>
      <c r="B17" s="24" t="inlineStr">
        <is>
          <t>2026-08-04T08:56:55.041466Z</t>
        </is>
      </c>
      <c r="C17" s="24" t="inlineStr">
        <is>
          <t>2026-08-04T11:00:00Z</t>
        </is>
      </c>
      <c r="D17" s="24" t="inlineStr">
        <is>
          <t>68302</t>
        </is>
      </c>
      <c r="E17" s="24" t="inlineStr">
        <is>
          <t>CS2</t>
        </is>
      </c>
      <c r="F17" s="24" t="inlineStr">
        <is>
          <t>Phantom</t>
        </is>
      </c>
      <c r="G17" s="24" t="inlineStr">
        <is>
          <t>Sashi Esport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0.551011</v>
      </c>
      <c r="P17" s="28" t="n"/>
      <c r="Q17" s="28" t="n">
        <v>0.060815</v>
      </c>
      <c r="R17" s="26" t="n">
        <v>50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1.04</v>
      </c>
      <c r="AD17" s="24" t="inlineStr">
        <is>
          <t>2026-08-04T14:03:59.228709Z</t>
        </is>
      </c>
      <c r="AE17" s="31" t="inlineStr">
        <is>
          <t>Neutral Elo baseline; executable ask 0.4900 (market_slug=aec-cs2-sashi-pha-2026-08-04).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Phantom</t>
        </is>
      </c>
      <c r="AQ17" s="24" t="inlineStr">
        <is>
          <t>Phantom</t>
        </is>
      </c>
      <c r="AR17" s="24" t="inlineStr">
        <is>
          <t>Phantom</t>
        </is>
      </c>
      <c r="AS17" s="24" t="inlineStr">
        <is>
          <t>Sashi Esport</t>
        </is>
      </c>
      <c r="AT17" s="24" t="inlineStr">
        <is>
          <t>Sashi Esport</t>
        </is>
      </c>
      <c r="AU17" s="24" t="inlineStr">
        <is>
          <t>Sashi Esport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2e5d465a17379306940528ff103c7508aad908ecb9a4879bb8031bb88a86443c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2e5d465a17379306940528ff103c7508aad908ecb9a4879bb8031bb88a86443c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2026-08-04T08:56:24.737438Z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c8aec1582044472d</t>
        </is>
      </c>
      <c r="B18" s="24" t="inlineStr">
        <is>
          <t>2026-08-04T08:56:55.041466Z</t>
        </is>
      </c>
      <c r="C18" s="24" t="inlineStr">
        <is>
          <t>2026-08-04T11:00:00Z</t>
        </is>
      </c>
      <c r="D18" s="24" t="inlineStr">
        <is>
          <t>71501</t>
        </is>
      </c>
      <c r="E18" s="24" t="inlineStr">
        <is>
          <t>CS2</t>
        </is>
      </c>
      <c r="F18" s="24" t="inlineStr">
        <is>
          <t>Betclic Apogee Esports</t>
        </is>
      </c>
      <c r="G18" s="24" t="inlineStr">
        <is>
          <t>Acend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0.691594</v>
      </c>
      <c r="P18" s="28" t="n"/>
      <c r="Q18" s="28" t="n">
        <v>0.111762</v>
      </c>
      <c r="R18" s="26" t="n">
        <v>76</v>
      </c>
      <c r="S18" s="29" t="n">
        <v>2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-138</v>
      </c>
      <c r="AA18" s="28" t="n">
        <v>0.58</v>
      </c>
      <c r="AB18" s="28" t="n">
        <v>0.000168</v>
      </c>
      <c r="AC18" s="30" t="n">
        <v>-2</v>
      </c>
      <c r="AD18" s="24" t="inlineStr">
        <is>
          <t>2026-08-04T14:04:00.544032Z</t>
        </is>
      </c>
      <c r="AE18" s="31" t="inlineStr">
        <is>
          <t>Neutral Elo baseline; executable ask 0.5800 (market_slug=aec-cs2-ace-bca-2026-08-04).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Betclic Apogee Esports</t>
        </is>
      </c>
      <c r="AQ18" s="24" t="inlineStr">
        <is>
          <t>Betclic Apogee Esports</t>
        </is>
      </c>
      <c r="AR18" s="24" t="inlineStr">
        <is>
          <t>Betclic Apogee Esports</t>
        </is>
      </c>
      <c r="AS18" s="24" t="inlineStr">
        <is>
          <t>Acend</t>
        </is>
      </c>
      <c r="AT18" s="24" t="inlineStr">
        <is>
          <t>Acend</t>
        </is>
      </c>
      <c r="AU18" s="24" t="inlineStr">
        <is>
          <t>Acend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2e5d465a17379306940528ff103c7508aad908ecb9a4879bb8031bb88a86443c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2e5d465a17379306940528ff103c7508aad908ecb9a4879bb8031bb88a86443c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2026-08-04T08:56:25.971824Z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>
        <v>1.724638</v>
      </c>
      <c r="BR18" s="28" t="n">
        <v>0.58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c8987915a30b4168</t>
        </is>
      </c>
      <c r="B19" s="24" t="inlineStr">
        <is>
          <t>2026-08-04T16:54:42.280324Z</t>
        </is>
      </c>
      <c r="C19" s="24" t="inlineStr">
        <is>
          <t>2026-08-04T17:00:00Z</t>
        </is>
      </c>
      <c r="D19" s="24" t="inlineStr">
        <is>
          <t>71337</t>
        </is>
      </c>
      <c r="E19" s="24" t="inlineStr">
        <is>
          <t>CS2</t>
        </is>
      </c>
      <c r="F19" s="24" t="inlineStr">
        <is>
          <t>A Great Chaos</t>
        </is>
      </c>
      <c r="G19" s="24" t="inlineStr">
        <is>
          <t>Fortress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-127</v>
      </c>
      <c r="M19" s="27" t="n">
        <v>1.787402</v>
      </c>
      <c r="N19" s="28" t="n">
        <v>0.5594710000000001</v>
      </c>
      <c r="O19" s="28" t="n">
        <v>0.580391</v>
      </c>
      <c r="P19" s="28" t="n"/>
      <c r="Q19" s="28" t="n">
        <v>0.02092</v>
      </c>
      <c r="R19" s="26" t="n">
        <v>30</v>
      </c>
      <c r="S19" s="29" t="n">
        <v>1.25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-127</v>
      </c>
      <c r="AA19" s="28" t="n">
        <v>0.5600000000000001</v>
      </c>
      <c r="AB19" s="28" t="n">
        <v>0.000529</v>
      </c>
      <c r="AC19" s="30" t="n">
        <v>0.9843</v>
      </c>
      <c r="AD19" s="24" t="inlineStr">
        <is>
          <t>2026-08-04T18:04:49.354797Z</t>
        </is>
      </c>
      <c r="AE19" s="31" t="inlineStr">
        <is>
          <t>Neutral Elo baseline; executable ask 0.5600 (market_slug=aec-cs2-for-agc-2026-08-04).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A Great Chaos</t>
        </is>
      </c>
      <c r="AQ19" s="24" t="inlineStr">
        <is>
          <t>A Great Chaos</t>
        </is>
      </c>
      <c r="AR19" s="24" t="inlineStr">
        <is>
          <t>A Great Chaos</t>
        </is>
      </c>
      <c r="AS19" s="24" t="inlineStr">
        <is>
          <t>Fortress</t>
        </is>
      </c>
      <c r="AT19" s="24" t="inlineStr">
        <is>
          <t>Fortress</t>
        </is>
      </c>
      <c r="AU19" s="24" t="inlineStr">
        <is>
          <t>Fortress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87e73f3e8c33751dbc7005b4404d0ee0ac9b9f8c3869a8f2e7fbc367004c2f64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87e73f3e8c33751dbc7005b4404d0ee0ac9b9f8c3869a8f2e7fbc367004c2f64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2026-08-04T16:54:14.340644Z</t>
        </is>
      </c>
      <c r="BI19" s="24" t="inlineStr">
        <is>
          <t>["same_event","same_team_same_day","same_league_same_day"]</t>
        </is>
      </c>
      <c r="BJ19" s="25" t="n"/>
      <c r="BK19" s="26" t="n">
        <v>-127</v>
      </c>
      <c r="BL19" s="27" t="n">
        <v>1.787402</v>
      </c>
      <c r="BM19" s="28" t="n">
        <v>0.5594710000000001</v>
      </c>
      <c r="BN19" s="28" t="n"/>
      <c r="BO19" s="28" t="n"/>
      <c r="BP19" s="25" t="n"/>
      <c r="BQ19" s="27" t="n">
        <v>1.787402</v>
      </c>
      <c r="BR19" s="28" t="n">
        <v>0.5600000000000001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c1476e72f76d4983</t>
        </is>
      </c>
      <c r="B20" s="24" t="inlineStr">
        <is>
          <t>2026-08-04T18:08:37.067138Z</t>
        </is>
      </c>
      <c r="C20" s="24" t="inlineStr">
        <is>
          <t>2026-08-04T18:30:00Z</t>
        </is>
      </c>
      <c r="D20" s="24" t="inlineStr">
        <is>
          <t>71391</t>
        </is>
      </c>
      <c r="E20" s="24" t="inlineStr">
        <is>
          <t>CS2</t>
        </is>
      </c>
      <c r="F20" s="24" t="inlineStr">
        <is>
          <t>A Great Chaos</t>
        </is>
      </c>
      <c r="G20" s="24" t="inlineStr">
        <is>
          <t>FAST LAYNERS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0.633669</v>
      </c>
      <c r="P20" s="28" t="n"/>
      <c r="Q20" s="28" t="n">
        <v>0.074198</v>
      </c>
      <c r="R20" s="26" t="n">
        <v>57</v>
      </c>
      <c r="S20" s="29" t="n">
        <v>1.5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-127</v>
      </c>
      <c r="AA20" s="28" t="n">
        <v>0.5600000000000001</v>
      </c>
      <c r="AB20" s="28" t="n">
        <v>0.000529</v>
      </c>
      <c r="AC20" s="30" t="n">
        <v>-1.5</v>
      </c>
      <c r="AD20" s="24" t="inlineStr">
        <is>
          <t>2026-08-04T22:00:01.153467Z</t>
        </is>
      </c>
      <c r="AE20" s="31" t="inlineStr">
        <is>
          <t>Neutral Elo baseline; executable ask 0.5600 (market_slug=aec-cs2-fla-agc-2026-08-04).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 Great Chaos</t>
        </is>
      </c>
      <c r="AQ20" s="24" t="inlineStr">
        <is>
          <t>A Great Chaos</t>
        </is>
      </c>
      <c r="AR20" s="24" t="inlineStr">
        <is>
          <t>A Great Chaos</t>
        </is>
      </c>
      <c r="AS20" s="24" t="inlineStr">
        <is>
          <t>FAST LAYNERS</t>
        </is>
      </c>
      <c r="AT20" s="24" t="inlineStr">
        <is>
          <t>FAST LAYNERS</t>
        </is>
      </c>
      <c r="AU20" s="24" t="inlineStr">
        <is>
          <t>FAST LAYNERS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3d3dc6a4f0641cb9aa015aaf4ccd2f260230dfea2e1b613f3ccdb860b2230f3e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3d3dc6a4f0641cb9aa015aaf4ccd2f260230dfea2e1b613f3ccdb860b2230f3e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2026-08-04T18:08:12.712388Z</t>
        </is>
      </c>
      <c r="BI20" s="24" t="inlineStr">
        <is>
          <t>["same_event","same_team_same_day","same_league_same_day"]</t>
        </is>
      </c>
      <c r="BJ20" s="25" t="n"/>
      <c r="BK20" s="26" t="n">
        <v>-127</v>
      </c>
      <c r="BL20" s="27" t="n">
        <v>1.787402</v>
      </c>
      <c r="BM20" s="28" t="n">
        <v>0.5594710000000001</v>
      </c>
      <c r="BN20" s="28" t="n"/>
      <c r="BO20" s="28" t="n"/>
      <c r="BP20" s="25" t="n"/>
      <c r="BQ20" s="27" t="n">
        <v>1.787402</v>
      </c>
      <c r="BR20" s="28" t="n">
        <v>0.5600000000000001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4ca8334d2c034365</t>
        </is>
      </c>
      <c r="B21" s="24" t="inlineStr">
        <is>
          <t>2026-08-04T18:08:37.067138Z</t>
        </is>
      </c>
      <c r="C21" s="24" t="inlineStr">
        <is>
          <t>2026-08-04T18:30:00Z</t>
        </is>
      </c>
      <c r="D21" s="24" t="inlineStr">
        <is>
          <t>71389</t>
        </is>
      </c>
      <c r="E21" s="24" t="inlineStr">
        <is>
          <t>CS2</t>
        </is>
      </c>
      <c r="F21" s="24" t="inlineStr">
        <is>
          <t>Banger Gang</t>
        </is>
      </c>
      <c r="G21" s="24" t="inlineStr">
        <is>
          <t>Arch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0.684275</v>
      </c>
      <c r="P21" s="28" t="n"/>
      <c r="Q21" s="28" t="n">
        <v>0.174471</v>
      </c>
      <c r="R21" s="26" t="n">
        <v>100</v>
      </c>
      <c r="S21" s="29" t="n">
        <v>2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-104</v>
      </c>
      <c r="AA21" s="28" t="n">
        <v>0.51</v>
      </c>
      <c r="AB21" s="28" t="n">
        <v>0.000196</v>
      </c>
      <c r="AC21" s="30" t="n">
        <v>-2</v>
      </c>
      <c r="AD21" s="24" t="inlineStr">
        <is>
          <t>2026-08-05T01:06:37.190424Z</t>
        </is>
      </c>
      <c r="AE21" s="31" t="inlineStr">
        <is>
          <t>Neutral Elo baseline; executable ask 0.5100 (market_slug=aec-cs2-arch-bg-2026-08-04).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Banger Gang</t>
        </is>
      </c>
      <c r="AQ21" s="24" t="inlineStr">
        <is>
          <t>Banger Gang</t>
        </is>
      </c>
      <c r="AR21" s="24" t="inlineStr">
        <is>
          <t>Banger Gang</t>
        </is>
      </c>
      <c r="AS21" s="24" t="inlineStr">
        <is>
          <t>Arch</t>
        </is>
      </c>
      <c r="AT21" s="24" t="inlineStr">
        <is>
          <t>Arch</t>
        </is>
      </c>
      <c r="AU21" s="24" t="inlineStr">
        <is>
          <t>Arch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3d3dc6a4f0641cb9aa015aaf4ccd2f260230dfea2e1b613f3ccdb860b2230f3e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3d3dc6a4f0641cb9aa015aaf4ccd2f260230dfea2e1b613f3ccdb860b2230f3e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2026-08-04T18:08:14.227023Z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/>
      <c r="BO21" s="28" t="n"/>
      <c r="BP21" s="25" t="n"/>
      <c r="BQ21" s="27" t="n">
        <v>1.961538</v>
      </c>
      <c r="BR21" s="28" t="n">
        <v>0.51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a3bc7316012e44cf</t>
        </is>
      </c>
      <c r="B22" s="24" t="inlineStr">
        <is>
          <t>2026-08-04T18:08:37.067138Z</t>
        </is>
      </c>
      <c r="C22" s="24" t="inlineStr">
        <is>
          <t>2026-08-04T18:30:00Z</t>
        </is>
      </c>
      <c r="D22" s="24" t="inlineStr">
        <is>
          <t>71388</t>
        </is>
      </c>
      <c r="E22" s="24" t="inlineStr">
        <is>
          <t>CS2</t>
        </is>
      </c>
      <c r="F22" s="24" t="inlineStr">
        <is>
          <t>Fraternity</t>
        </is>
      </c>
      <c r="G22" s="24" t="inlineStr">
        <is>
          <t>PURE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0.556272</v>
      </c>
      <c r="P22" s="28" t="n"/>
      <c r="Q22" s="28" t="n">
        <v>0.025756</v>
      </c>
      <c r="R22" s="26" t="n">
        <v>33</v>
      </c>
      <c r="S22" s="29" t="n">
        <v>1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0.885</v>
      </c>
      <c r="AD22" s="24" t="inlineStr">
        <is>
          <t>2026-08-04T22:00:03.473429Z</t>
        </is>
      </c>
      <c r="AE22" s="31" t="inlineStr">
        <is>
          <t>Neutral Elo baseline; executable ask 0.5300 (market_slug=aec-cs2-pure-frt-2026-08-04).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Fraternity</t>
        </is>
      </c>
      <c r="AQ22" s="24" t="inlineStr">
        <is>
          <t>Fraternity</t>
        </is>
      </c>
      <c r="AR22" s="24" t="inlineStr">
        <is>
          <t>Fraternity</t>
        </is>
      </c>
      <c r="AS22" s="24" t="inlineStr">
        <is>
          <t>PURE</t>
        </is>
      </c>
      <c r="AT22" s="24" t="inlineStr">
        <is>
          <t>PURE</t>
        </is>
      </c>
      <c r="AU22" s="24" t="inlineStr">
        <is>
          <t>PURE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3d3dc6a4f0641cb9aa015aaf4ccd2f260230dfea2e1b613f3ccdb860b2230f3e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3d3dc6a4f0641cb9aa015aaf4ccd2f260230dfea2e1b613f3ccdb860b2230f3e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2026-08-04T18:08:15.431614Z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0ec6b33176e14a00</t>
        </is>
      </c>
      <c r="B23" s="24" t="inlineStr">
        <is>
          <t>2026-08-04T18:08:37.067138Z</t>
        </is>
      </c>
      <c r="C23" s="24" t="inlineStr">
        <is>
          <t>2026-08-04T18:30:00Z</t>
        </is>
      </c>
      <c r="D23" s="24" t="inlineStr">
        <is>
          <t>71387</t>
        </is>
      </c>
      <c r="E23" s="24" t="inlineStr">
        <is>
          <t>CS2</t>
        </is>
      </c>
      <c r="F23" s="24" t="inlineStr">
        <is>
          <t>OLDBOYS PL</t>
        </is>
      </c>
      <c r="G23" s="24" t="inlineStr">
        <is>
          <t>eSuba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0.595428</v>
      </c>
      <c r="P23" s="28" t="n"/>
      <c r="Q23" s="28" t="n">
        <v>0.015596</v>
      </c>
      <c r="R23" s="26" t="n">
        <v>28</v>
      </c>
      <c r="S23" s="29" t="n">
        <v>1.25</v>
      </c>
      <c r="T23" s="24" t="inlineStr">
        <is>
          <t>cs2-tiered-elo-v6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0.5800 (market_slug=aec-cs2-esb-oldboyspl-2026-08-04).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OLDBOYS PL</t>
        </is>
      </c>
      <c r="AQ23" s="24" t="inlineStr">
        <is>
          <t>OLDBOYS PL</t>
        </is>
      </c>
      <c r="AR23" s="24" t="inlineStr">
        <is>
          <t>OLDBOYS PL</t>
        </is>
      </c>
      <c r="AS23" s="24" t="inlineStr">
        <is>
          <t>eSuba</t>
        </is>
      </c>
      <c r="AT23" s="24" t="inlineStr">
        <is>
          <t>eSuba</t>
        </is>
      </c>
      <c r="AU23" s="24" t="inlineStr">
        <is>
          <t>eSuba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3d3dc6a4f0641cb9aa015aaf4ccd2f260230dfea2e1b613f3ccdb860b2230f3e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3d3dc6a4f0641cb9aa015aaf4ccd2f260230dfea2e1b613f3ccdb860b2230f3e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2026-08-04T18:08:16.175127Z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b9491e32cfde4c99</t>
        </is>
      </c>
      <c r="B24" s="24" t="inlineStr">
        <is>
          <t>2026-08-04T18:08:37.067138Z</t>
        </is>
      </c>
      <c r="C24" s="24" t="inlineStr">
        <is>
          <t>2026-08-04T18:30:00Z</t>
        </is>
      </c>
      <c r="D24" s="24" t="inlineStr">
        <is>
          <t>71382</t>
        </is>
      </c>
      <c r="E24" s="24" t="inlineStr">
        <is>
          <t>CS2</t>
        </is>
      </c>
      <c r="F24" s="24" t="inlineStr">
        <is>
          <t>JUMBO TEAM</t>
        </is>
      </c>
      <c r="G24" s="24" t="inlineStr">
        <is>
          <t>Benched gods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117</v>
      </c>
      <c r="M24" s="27" t="n">
        <v>2.17</v>
      </c>
      <c r="N24" s="28" t="n">
        <v>0.460829</v>
      </c>
      <c r="O24" s="28" t="n">
        <v>0.674864</v>
      </c>
      <c r="P24" s="28" t="n"/>
      <c r="Q24" s="28" t="n">
        <v>0.214035</v>
      </c>
      <c r="R24" s="26" t="n">
        <v>100</v>
      </c>
      <c r="S24" s="29" t="n">
        <v>1.75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117</v>
      </c>
      <c r="AA24" s="28" t="n">
        <v>0.46</v>
      </c>
      <c r="AB24" s="28" t="n">
        <v>-0.000829</v>
      </c>
      <c r="AC24" s="30" t="n">
        <v>-1.75</v>
      </c>
      <c r="AD24" s="24" t="inlineStr">
        <is>
          <t>2026-08-04T22:00:05.758684Z</t>
        </is>
      </c>
      <c r="AE24" s="31" t="inlineStr">
        <is>
          <t>Neutral Elo baseline; executable ask 0.4600 (market_slug=aec-cs2-bge-jumbo-2026-08-04).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JUMBO TEAM</t>
        </is>
      </c>
      <c r="AQ24" s="24" t="inlineStr">
        <is>
          <t>JUMBO TEAM</t>
        </is>
      </c>
      <c r="AR24" s="24" t="inlineStr">
        <is>
          <t>JUMBO TEAM</t>
        </is>
      </c>
      <c r="AS24" s="24" t="inlineStr">
        <is>
          <t>Benched gods</t>
        </is>
      </c>
      <c r="AT24" s="24" t="inlineStr">
        <is>
          <t>Benched gods</t>
        </is>
      </c>
      <c r="AU24" s="24" t="inlineStr">
        <is>
          <t>Benched gods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3d3dc6a4f0641cb9aa015aaf4ccd2f260230dfea2e1b613f3ccdb860b2230f3e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3d3dc6a4f0641cb9aa015aaf4ccd2f260230dfea2e1b613f3ccdb860b2230f3e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2026-08-04T18:08:19.220614Z</t>
        </is>
      </c>
      <c r="BI24" s="24" t="inlineStr">
        <is>
          <t>["same_event","same_team_same_day","same_league_same_day"]</t>
        </is>
      </c>
      <c r="BJ24" s="25" t="n"/>
      <c r="BK24" s="26" t="n">
        <v>117</v>
      </c>
      <c r="BL24" s="27" t="n">
        <v>2.17</v>
      </c>
      <c r="BM24" s="28" t="n">
        <v>0.460829</v>
      </c>
      <c r="BN24" s="28" t="n"/>
      <c r="BO24" s="28" t="n"/>
      <c r="BP24" s="25" t="n"/>
      <c r="BQ24" s="27" t="n">
        <v>2.17</v>
      </c>
      <c r="BR24" s="28" t="n">
        <v>0.46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14721795855848fd</t>
        </is>
      </c>
      <c r="B25" s="24" t="inlineStr">
        <is>
          <t>2026-08-05T04:39:04.512717Z</t>
        </is>
      </c>
      <c r="C25" s="24" t="inlineStr">
        <is>
          <t>2026-08-05T10:00:00Z</t>
        </is>
      </c>
      <c r="D25" s="24" t="inlineStr">
        <is>
          <t>71795</t>
        </is>
      </c>
      <c r="E25" s="24" t="inlineStr">
        <is>
          <t>CS2</t>
        </is>
      </c>
      <c r="F25" s="24" t="inlineStr">
        <is>
          <t>Betclic Apogee Esports</t>
        </is>
      </c>
      <c r="G25" s="24" t="inlineStr">
        <is>
          <t>Johnny Speeds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156</v>
      </c>
      <c r="M25" s="27" t="n">
        <v>2.56</v>
      </c>
      <c r="N25" s="28" t="n">
        <v>0.390625</v>
      </c>
      <c r="O25" s="28" t="n">
        <v>0.5349</v>
      </c>
      <c r="P25" s="28" t="n"/>
      <c r="Q25" s="28" t="n">
        <v>0.144275</v>
      </c>
      <c r="R25" s="26" t="n">
        <v>92</v>
      </c>
      <c r="S25" s="29" t="n">
        <v>1</v>
      </c>
      <c r="T25" s="24" t="inlineStr">
        <is>
          <t>cs2-tiered-elo-v6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0.3900 (market_slug=aec-cs2-js-bca-2026-08-05).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Betclic Apogee Esports</t>
        </is>
      </c>
      <c r="AQ25" s="24" t="inlineStr">
        <is>
          <t>Betclic Apogee Esports</t>
        </is>
      </c>
      <c r="AR25" s="24" t="inlineStr">
        <is>
          <t>Betclic Apogee Esports</t>
        </is>
      </c>
      <c r="AS25" s="24" t="inlineStr">
        <is>
          <t>Johnny Speeds</t>
        </is>
      </c>
      <c r="AT25" s="24" t="inlineStr">
        <is>
          <t>Johnny Speeds</t>
        </is>
      </c>
      <c r="AU25" s="24" t="inlineStr">
        <is>
          <t>Johnny Speeds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79b38f494ba89a56e3ba1ee48b9a2a5937958160c434a13516c1eb8ec97a91aa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79b38f494ba89a56e3ba1ee48b9a2a5937958160c434a13516c1eb8ec97a91aa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2026-08-05T04:38:15.635268Z</t>
        </is>
      </c>
      <c r="BI25" s="24" t="inlineStr">
        <is>
          <t>["same_event","same_team_same_day","same_league_same_day"]</t>
        </is>
      </c>
      <c r="BJ25" s="25" t="n"/>
      <c r="BK25" s="26" t="n">
        <v>156</v>
      </c>
      <c r="BL25" s="27" t="n">
        <v>2.56</v>
      </c>
      <c r="BM25" s="28" t="n">
        <v>0.390625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4e180e0f330b4726</t>
        </is>
      </c>
      <c r="B26" s="24" t="inlineStr">
        <is>
          <t>2026-08-05T04:39:04.512717Z</t>
        </is>
      </c>
      <c r="C26" s="24" t="inlineStr">
        <is>
          <t>2026-08-05T14:00:00Z</t>
        </is>
      </c>
      <c r="D26" s="24" t="inlineStr">
        <is>
          <t>72488</t>
        </is>
      </c>
      <c r="E26" s="24" t="inlineStr">
        <is>
          <t>CS2</t>
        </is>
      </c>
      <c r="F26" s="24" t="inlineStr">
        <is>
          <t>GenOne</t>
        </is>
      </c>
      <c r="G26" s="24" t="inlineStr">
        <is>
          <t xml:space="preserve">Nordic Partners Gaming 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-203</v>
      </c>
      <c r="M26" s="27" t="n">
        <v>1.492611</v>
      </c>
      <c r="N26" s="28" t="n">
        <v>0.669967</v>
      </c>
      <c r="O26" s="28" t="n">
        <v>0.6973470000000001</v>
      </c>
      <c r="P26" s="28" t="n"/>
      <c r="Q26" s="28" t="n">
        <v>0.02738</v>
      </c>
      <c r="R26" s="26" t="n">
        <v>34</v>
      </c>
      <c r="S26" s="29" t="n">
        <v>2</v>
      </c>
      <c r="T26" s="24" t="inlineStr">
        <is>
          <t>cs2-tiered-elo-v6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0.6700 (market_slug=aec-cs2-npg-g1-2026-08-05).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GenOne</t>
        </is>
      </c>
      <c r="AQ26" s="24" t="inlineStr">
        <is>
          <t>GenOne</t>
        </is>
      </c>
      <c r="AR26" s="24" t="inlineStr">
        <is>
          <t>GenOne</t>
        </is>
      </c>
      <c r="AS26" s="24" t="inlineStr">
        <is>
          <t xml:space="preserve">Nordic Partners Gaming </t>
        </is>
      </c>
      <c r="AT26" s="24" t="inlineStr">
        <is>
          <t xml:space="preserve">Nordic Partners Gaming </t>
        </is>
      </c>
      <c r="AU26" s="24" t="inlineStr">
        <is>
          <t xml:space="preserve">Nordic Partners Gaming 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79b38f494ba89a56e3ba1ee48b9a2a5937958160c434a13516c1eb8ec97a91aa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79b38f494ba89a56e3ba1ee48b9a2a5937958160c434a13516c1eb8ec97a91aa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2026-08-05T04:38:28.087442Z</t>
        </is>
      </c>
      <c r="BI26" s="24" t="inlineStr">
        <is>
          <t>["same_event","same_team_same_day","same_league_same_day"]</t>
        </is>
      </c>
      <c r="BJ26" s="25" t="n"/>
      <c r="BK26" s="26" t="n">
        <v>-203</v>
      </c>
      <c r="BL26" s="27" t="n">
        <v>1.492611</v>
      </c>
      <c r="BM26" s="28" t="n">
        <v>0.669967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b705e0f1ebb449bf</t>
        </is>
      </c>
      <c r="B27" s="24" t="inlineStr">
        <is>
          <t>2026-08-05T04:39:04.512717Z</t>
        </is>
      </c>
      <c r="C27" s="24" t="inlineStr">
        <is>
          <t>2026-08-05T16:30:00Z</t>
        </is>
      </c>
      <c r="D27" s="24" t="inlineStr">
        <is>
          <t>72533</t>
        </is>
      </c>
      <c r="E27" s="24" t="inlineStr">
        <is>
          <t>CS2</t>
        </is>
      </c>
      <c r="F27" s="24" t="inlineStr">
        <is>
          <t>XI Esport</t>
        </is>
      </c>
      <c r="G27" s="24" t="inlineStr">
        <is>
          <t>Esport BERG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0.63446</v>
      </c>
      <c r="P27" s="28" t="n"/>
      <c r="Q27" s="28" t="n">
        <v>0.18401</v>
      </c>
      <c r="R27" s="26" t="n">
        <v>100</v>
      </c>
      <c r="S27" s="29" t="n">
        <v>1.5</v>
      </c>
      <c r="T27" s="24" t="inlineStr">
        <is>
          <t>cs2-tiered-elo-v6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0.4500 (market_slug=aec-cs2-berg-xi-2026-08-05).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XI Esport</t>
        </is>
      </c>
      <c r="AQ27" s="24" t="inlineStr">
        <is>
          <t>XI Esport</t>
        </is>
      </c>
      <c r="AR27" s="24" t="inlineStr">
        <is>
          <t>XI Esport</t>
        </is>
      </c>
      <c r="AS27" s="24" t="inlineStr">
        <is>
          <t>Esport BERG</t>
        </is>
      </c>
      <c r="AT27" s="24" t="inlineStr">
        <is>
          <t>Esport BERG</t>
        </is>
      </c>
      <c r="AU27" s="24" t="inlineStr">
        <is>
          <t>Esport BERG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79b38f494ba89a56e3ba1ee48b9a2a5937958160c434a13516c1eb8ec97a91aa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79b38f494ba89a56e3ba1ee48b9a2a5937958160c434a13516c1eb8ec97a91aa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2026-08-05T04:38:29.742606Z</t>
        </is>
      </c>
      <c r="BI27" s="24" t="inlineStr">
        <is>
          <t>["same_event","same_team_same_day","same_league_same_day"]</t>
        </is>
      </c>
      <c r="BJ27" s="25" t="n"/>
      <c r="BK27" s="26" t="n">
        <v>122</v>
      </c>
      <c r="BL27" s="27" t="n">
        <v>2.22</v>
      </c>
      <c r="BM27" s="28" t="n">
        <v>0.45045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e57dee7b2aee4309</t>
        </is>
      </c>
      <c r="B28" s="24" t="inlineStr">
        <is>
          <t>2026-08-05T04:39:04.512717Z</t>
        </is>
      </c>
      <c r="C28" s="24" t="inlineStr">
        <is>
          <t>2026-08-06T08:00:00Z</t>
        </is>
      </c>
      <c r="D28" s="24" t="inlineStr">
        <is>
          <t>70562</t>
        </is>
      </c>
      <c r="E28" s="24" t="inlineStr">
        <is>
          <t>CS2</t>
        </is>
      </c>
      <c r="F28" s="24" t="inlineStr">
        <is>
          <t>Teletubisie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127</v>
      </c>
      <c r="M28" s="27" t="n">
        <v>2.27</v>
      </c>
      <c r="N28" s="28" t="n">
        <v>0.440529</v>
      </c>
      <c r="O28" s="28" t="n">
        <v>0.606734</v>
      </c>
      <c r="P28" s="28" t="n"/>
      <c r="Q28" s="28" t="n">
        <v>0.166205</v>
      </c>
      <c r="R28" s="26" t="n">
        <v>100</v>
      </c>
      <c r="S28" s="29" t="n">
        <v>1.5</v>
      </c>
      <c r="T28" s="24" t="inlineStr">
        <is>
          <t>cs2-tiered-elo-v6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0.4400 (market_slug=aec-cs2-pcific-ttbs-2026-08-06).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Teletubisie</t>
        </is>
      </c>
      <c r="AQ28" s="24" t="inlineStr">
        <is>
          <t>Teletubisie</t>
        </is>
      </c>
      <c r="AR28" s="24" t="inlineStr">
        <is>
          <t>Teletubisie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79b38f494ba89a56e3ba1ee48b9a2a5937958160c434a13516c1eb8ec97a91aa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79b38f494ba89a56e3ba1ee48b9a2a5937958160c434a13516c1eb8ec97a91aa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2026-08-05T04:38:44.309251Z</t>
        </is>
      </c>
      <c r="BI28" s="24" t="inlineStr">
        <is>
          <t>["same_event","same_team_same_day","same_league_same_day"]</t>
        </is>
      </c>
      <c r="BJ28" s="25" t="n"/>
      <c r="BK28" s="26" t="n">
        <v>127</v>
      </c>
      <c r="BL28" s="27" t="n">
        <v>2.27</v>
      </c>
      <c r="BM28" s="28" t="n">
        <v>0.440529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61896a12a7194a73</t>
        </is>
      </c>
      <c r="B29" s="24" t="inlineStr">
        <is>
          <t>2026-08-05T04:39:04.512717Z</t>
        </is>
      </c>
      <c r="C29" s="24" t="inlineStr">
        <is>
          <t>2026-08-06T10:30:00Z</t>
        </is>
      </c>
      <c r="D29" s="24" t="inlineStr">
        <is>
          <t>70787</t>
        </is>
      </c>
      <c r="E29" s="24" t="inlineStr">
        <is>
          <t>CS2</t>
        </is>
      </c>
      <c r="F29" s="24" t="inlineStr">
        <is>
          <t>Eternal Fire Academy</t>
        </is>
      </c>
      <c r="G29" s="24" t="inlineStr">
        <is>
          <t>EAC Rising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-133</v>
      </c>
      <c r="M29" s="27" t="n">
        <v>1.75188</v>
      </c>
      <c r="N29" s="28" t="n">
        <v>0.570815</v>
      </c>
      <c r="O29" s="28" t="n">
        <v>0.6083229999999999</v>
      </c>
      <c r="P29" s="28" t="n"/>
      <c r="Q29" s="28" t="n">
        <v>0.037508</v>
      </c>
      <c r="R29" s="26" t="n">
        <v>39</v>
      </c>
      <c r="S29" s="29" t="n">
        <v>1.5</v>
      </c>
      <c r="T29" s="24" t="inlineStr">
        <is>
          <t>cs2-tiered-elo-v6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0.5700 (market_slug=aec-cs2-era-efa-2026-08-06).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Eternal Fire Academy</t>
        </is>
      </c>
      <c r="AQ29" s="24" t="inlineStr">
        <is>
          <t>Eternal Fire Academy</t>
        </is>
      </c>
      <c r="AR29" s="24" t="inlineStr">
        <is>
          <t>Eternal Fire Academy</t>
        </is>
      </c>
      <c r="AS29" s="24" t="inlineStr">
        <is>
          <t>EAC Rising</t>
        </is>
      </c>
      <c r="AT29" s="24" t="inlineStr">
        <is>
          <t>EAC Rising</t>
        </is>
      </c>
      <c r="AU29" s="24" t="inlineStr">
        <is>
          <t>EAC Rising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79b38f494ba89a56e3ba1ee48b9a2a5937958160c434a13516c1eb8ec97a91aa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79b38f494ba89a56e3ba1ee48b9a2a5937958160c434a13516c1eb8ec97a91aa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2026-08-05T04:38:48.579124Z</t>
        </is>
      </c>
      <c r="BI29" s="24" t="inlineStr">
        <is>
          <t>["same_event","same_team_same_day","same_league_same_day"]</t>
        </is>
      </c>
      <c r="BJ29" s="25" t="n"/>
      <c r="BK29" s="26" t="n">
        <v>-133</v>
      </c>
      <c r="BL29" s="27" t="n">
        <v>1.75188</v>
      </c>
      <c r="BM29" s="28" t="n">
        <v>0.570815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2026-08-05T04:39:59Z</dcterms:created>
  <dcterms:modified xsi:type="dcterms:W3CDTF">2026-08-05T04:39:59Z</dcterms:modified>
</cp:coreProperties>
</file>