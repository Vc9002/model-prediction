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9" headerRowCount="1">
  <autoFilter ref="A1:CP9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COUNTA('Picks'!$A$2:$A$9)</f>
        <v/>
      </c>
      <c r="C4" s="6">
        <f>COUNTIF('Picks'!$U$2:$U$9,"open")</f>
        <v/>
      </c>
      <c r="E4" s="6">
        <f>COUNTIF('Picks'!$U$2:$U$9,"settled")</f>
        <v/>
      </c>
      <c r="G4" s="6">
        <f>IF(COUNTIFS('Picks'!$U$2:$U$9,"settled",'Picks'!$V$2:$V$9,"win")+COUNTIFS('Picks'!$U$2:$U$9,"settled",'Picks'!$V$2:$V$9,"loss")&gt;=$L$2,"Ready","Insufficient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COUNTIF('Picks'!$BX$2:$BX$9,"&gt;0")</f>
        <v/>
      </c>
      <c r="C7" s="6">
        <f>COUNTIFS('Picks'!$BX$2:$BX$9,"&gt;0",'Picks'!$V$2:$V$9,"win")&amp;"-"&amp;COUNTIFS('Picks'!$BX$2:$BX$9,"&gt;0",'Picks'!$V$2:$V$9,"loss")</f>
        <v/>
      </c>
      <c r="E7" s="7">
        <f>IFERROR(COUNTIFS('Picks'!$BX$2:$BX$9,"&gt;0",'Picks'!$V$2:$V$9,"win")/(COUNTIFS('Picks'!$BX$2:$BX$9,"&gt;0",'Picks'!$V$2:$V$9,"win")+COUNTIFS('Picks'!$BX$2:$BX$9,"&gt;0",'Picks'!$V$2:$V$9,"loss")),0)</f>
        <v/>
      </c>
      <c r="G7" s="7">
        <f>IFERROR(SUM('Picks'!$BY$2:$BY$9)/SUM('Picks'!$BX$2:$BX$9),0)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SUM('Picks'!$BY$2:$BY$9)</f>
        <v/>
      </c>
      <c r="C10" s="9">
        <f>IFERROR(AVERAGEIF('Picks'!$AB$2:$AB$9,"&lt;&gt;",'Picks'!$AB$2:$AB$9),0)</f>
        <v/>
      </c>
      <c r="E10" s="6">
        <f>COUNTIFS('Picks'!$AM$2:$AM$9,"QUALIFIED_SHADOW_CALL",'Picks'!$U$2:$U$9,"settled")</f>
        <v/>
      </c>
      <c r="G10" s="8">
        <f>SUMIFS('Picks'!$AC$2:$AC$9,'Picks'!$AM$2:$AM$9,"QUALIFIED_SHADOW_CALL")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COUNTIFS('Picks'!$H$2:$H$9,$A14,'Picks'!$U$2:$U$9,"settled")</f>
        <v/>
      </c>
      <c r="C14" s="13">
        <f>COUNTIFS('Picks'!$H$2:$H$9,$A14,'Picks'!$U$2:$U$9,"settled",'Picks'!$V$2:$V$9,"win")</f>
        <v/>
      </c>
      <c r="D14" s="13">
        <f>COUNTIFS('Picks'!$H$2:$H$9,$A14,'Picks'!$U$2:$U$9,"settled",'Picks'!$V$2:$V$9,"loss")</f>
        <v/>
      </c>
      <c r="E14" s="14">
        <f>IFERROR(C14/(C14+D14),0)</f>
        <v/>
      </c>
      <c r="F14" s="15">
        <f>SUMIFS('Picks'!$BY$2:$BY$9,'Picks'!$H$2:$H$9,$A14)</f>
        <v/>
      </c>
      <c r="G14" s="16">
        <f>IFERROR(AVERAGEIFS('Picks'!$AB$2:$AB$9,'Picks'!$H$2:$H$9,$A14,'Picks'!$U$2:$U$9,"settled"),0)</f>
        <v/>
      </c>
    </row>
    <row r="15">
      <c r="A15" s="17" t="inlineStr">
        <is>
          <t>spread</t>
        </is>
      </c>
      <c r="B15" s="18">
        <f>COUNTIFS('Picks'!$H$2:$H$9,$A15,'Picks'!$U$2:$U$9,"settled")</f>
        <v/>
      </c>
      <c r="C15" s="18">
        <f>COUNTIFS('Picks'!$H$2:$H$9,$A15,'Picks'!$U$2:$U$9,"settled",'Picks'!$V$2:$V$9,"win")</f>
        <v/>
      </c>
      <c r="D15" s="18">
        <f>COUNTIFS('Picks'!$H$2:$H$9,$A15,'Picks'!$U$2:$U$9,"settled",'Picks'!$V$2:$V$9,"loss")</f>
        <v/>
      </c>
      <c r="E15" s="19">
        <f>IFERROR(C15/(C15+D15),0)</f>
        <v/>
      </c>
      <c r="F15" s="20">
        <f>SUMIFS('Picks'!$BY$2:$BY$9,'Picks'!$H$2:$H$9,$A15)</f>
        <v/>
      </c>
      <c r="G15" s="21">
        <f>IFERROR(AVERAGEIFS('Picks'!$AB$2:$AB$9,'Picks'!$H$2:$H$9,$A15,'Picks'!$U$2:$U$9,"settled"),0)</f>
        <v/>
      </c>
    </row>
    <row r="16">
      <c r="A16" s="12" t="inlineStr">
        <is>
          <t>total</t>
        </is>
      </c>
      <c r="B16" s="13">
        <f>COUNTIFS('Picks'!$H$2:$H$9,$A16,'Picks'!$U$2:$U$9,"settled")</f>
        <v/>
      </c>
      <c r="C16" s="13">
        <f>COUNTIFS('Picks'!$H$2:$H$9,$A16,'Picks'!$U$2:$U$9,"settled",'Picks'!$V$2:$V$9,"win")</f>
        <v/>
      </c>
      <c r="D16" s="13">
        <f>COUNTIFS('Picks'!$H$2:$H$9,$A16,'Picks'!$U$2:$U$9,"settled",'Picks'!$V$2:$V$9,"loss")</f>
        <v/>
      </c>
      <c r="E16" s="14">
        <f>IFERROR(C16/(C16+D16),0)</f>
        <v/>
      </c>
      <c r="F16" s="15">
        <f>SUMIFS('Picks'!$BY$2:$BY$9,'Picks'!$H$2:$H$9,$A16)</f>
        <v/>
      </c>
      <c r="G16" s="16">
        <f>IFERROR(AVERAGEIFS('Picks'!$AB$2:$AB$9,'Picks'!$H$2:$H$9,$A16,'Picks'!$U$2:$U$9,"settled"),0)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127</v>
      </c>
      <c r="AA7" s="28" t="n">
        <v>0.44</v>
      </c>
      <c r="AB7" s="28" t="n">
        <v>-0.000529</v>
      </c>
      <c r="AC7" s="30" t="n">
        <v>-1.25</v>
      </c>
      <c r="AD7" s="24" t="inlineStr">
        <is>
          <t>2026-08-02T15:53:37.832218Z</t>
        </is>
      </c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>
        <v>2.27</v>
      </c>
      <c r="BR7" s="28" t="n">
        <v>0.44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74d7b0ae490e40d2</t>
        </is>
      </c>
      <c r="B8" s="24" t="inlineStr">
        <is>
          <t>2026-08-02T10:00:11.648885Z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d60687e602976b4a2779a4ff6a5f8f825a178fa4df1e53dc8ee5e3eeffcc3d8b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d60687e602976b4a2779a4ff6a5f8f825a178fa4df1e53dc8ee5e3eeffcc3d8b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2026-08-02T10:00:10.645047Z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d174431a4b8248b1</t>
        </is>
      </c>
      <c r="B9" s="24" t="inlineStr">
        <is>
          <t>2026-08-02T15:51:47.398301Z</t>
        </is>
      </c>
      <c r="C9" s="24" t="inlineStr">
        <is>
          <t>2026-08-03T05:00:00Z</t>
        </is>
      </c>
      <c r="D9" s="24" t="inlineStr">
        <is>
          <t>69530</t>
        </is>
      </c>
      <c r="E9" s="24" t="inlineStr">
        <is>
          <t>DOTA2</t>
        </is>
      </c>
      <c r="F9" s="24" t="inlineStr">
        <is>
          <t>GLYPH</t>
        </is>
      </c>
      <c r="G9" s="24" t="inlineStr">
        <is>
          <t>PlayTime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-127</v>
      </c>
      <c r="M9" s="27" t="n">
        <v>1.787402</v>
      </c>
      <c r="N9" s="28" t="n">
        <v>0.5594710000000001</v>
      </c>
      <c r="O9" s="28" t="n">
        <v>0.68794</v>
      </c>
      <c r="P9" s="28" t="n"/>
      <c r="Q9" s="28" t="n">
        <v>0.128469</v>
      </c>
      <c r="R9" s="26" t="n">
        <v>84</v>
      </c>
      <c r="S9" s="29" t="n">
        <v>2</v>
      </c>
      <c r="T9" s="24" t="inlineStr">
        <is>
          <t>dota2-tiered-elo-v5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0.5600 (market_slug=aec-dota2-pla-glyph-2026-08-03).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GLYPH</t>
        </is>
      </c>
      <c r="AQ9" s="24" t="inlineStr">
        <is>
          <t>GLYPH</t>
        </is>
      </c>
      <c r="AR9" s="24" t="inlineStr">
        <is>
          <t>GLYPH</t>
        </is>
      </c>
      <c r="AS9" s="24" t="inlineStr">
        <is>
          <t>PlayTime</t>
        </is>
      </c>
      <c r="AT9" s="24" t="inlineStr">
        <is>
          <t>PlayTime</t>
        </is>
      </c>
      <c r="AU9" s="24" t="inlineStr">
        <is>
          <t>PlayTime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f0fcbc1453d1a656a25d9f456c501ac849c71b8ef6259b2f4e05c512bd7040ac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f0fcbc1453d1a656a25d9f456c501ac849c71b8ef6259b2f4e05c512bd7040ac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2026-08-02T15:51:46.912541Z</t>
        </is>
      </c>
      <c r="BI9" s="24" t="inlineStr">
        <is>
          <t>["same_event","same_team_same_day","same_league_same_day"]</t>
        </is>
      </c>
      <c r="BJ9" s="25" t="n"/>
      <c r="BK9" s="26" t="n">
        <v>-127</v>
      </c>
      <c r="BL9" s="27" t="n">
        <v>1.787402</v>
      </c>
      <c r="BM9" s="28" t="n">
        <v>0.5594710000000001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2026-08-02T15:53:37Z</dcterms:created>
  <dcterms:modified xsi:type="dcterms:W3CDTF">2026-08-02T15:53:37Z</dcterms:modified>
</cp:coreProperties>
</file>