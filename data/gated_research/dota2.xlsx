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14" headerRowCount="1">
  <autoFilter ref="A1:CR14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COUNTA('Picks'!$A$2:$A$14)</f>
        <v/>
      </c>
      <c r="C4" s="6">
        <f>COUNTIF('Picks'!$U$2:$U$14,"open")</f>
        <v/>
      </c>
      <c r="E4" s="6">
        <f>COUNTIF('Picks'!$U$2:$U$14,"settled")</f>
        <v/>
      </c>
      <c r="G4" s="6">
        <f>IF(COUNTIFS('Picks'!$U$2:$U$14,"settled",'Picks'!$V$2:$V$14,"win")+COUNTIFS('Picks'!$U$2:$U$14,"settled",'Picks'!$V$2:$V$14,"loss")&gt;=$L$2,"Ready","Insufficient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COUNTIF('Picks'!$BX$2:$BX$14,"&gt;0")</f>
        <v/>
      </c>
      <c r="C7" s="6">
        <f>COUNTIFS('Picks'!$BX$2:$BX$14,"&gt;0",'Picks'!$V$2:$V$14,"win")&amp;"-"&amp;COUNTIFS('Picks'!$BX$2:$BX$14,"&gt;0",'Picks'!$V$2:$V$14,"loss")</f>
        <v/>
      </c>
      <c r="E7" s="7">
        <f>IFERROR(COUNTIFS('Picks'!$BX$2:$BX$14,"&gt;0",'Picks'!$V$2:$V$14,"win")/(COUNTIFS('Picks'!$BX$2:$BX$14,"&gt;0",'Picks'!$V$2:$V$14,"win")+COUNTIFS('Picks'!$BX$2:$BX$14,"&gt;0",'Picks'!$V$2:$V$14,"loss")),0)</f>
        <v/>
      </c>
      <c r="G7" s="7">
        <f>IFERROR(SUM('Picks'!$BY$2:$BY$14)/SUM('Picks'!$BX$2:$BX$14),0)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SUM('Picks'!$BY$2:$BY$14)</f>
        <v/>
      </c>
      <c r="C10" s="9">
        <f>IFERROR(AVERAGEIF('Picks'!$AB$2:$AB$14,"&lt;&gt;",'Picks'!$AB$2:$AB$14),0)</f>
        <v/>
      </c>
      <c r="E10" s="6">
        <f>COUNTIFS('Picks'!$AM$2:$AM$14,"QUALIFIED_SHADOW_CALL",'Picks'!$U$2:$U$14,"settled")</f>
        <v/>
      </c>
      <c r="G10" s="8">
        <f>SUMIFS('Picks'!$AC$2:$AC$14,'Picks'!$AM$2:$AM$14,"QUALIFIED_SHADOW_CALL")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COUNTIFS('Picks'!$H$2:$H$14,$A14,'Picks'!$U$2:$U$14,"settled")</f>
        <v/>
      </c>
      <c r="C14" s="13">
        <f>COUNTIFS('Picks'!$H$2:$H$14,$A14,'Picks'!$U$2:$U$14,"settled",'Picks'!$V$2:$V$14,"win")</f>
        <v/>
      </c>
      <c r="D14" s="13">
        <f>COUNTIFS('Picks'!$H$2:$H$14,$A14,'Picks'!$U$2:$U$14,"settled",'Picks'!$V$2:$V$14,"loss")</f>
        <v/>
      </c>
      <c r="E14" s="14">
        <f>IFERROR(C14/(C14+D14),0)</f>
        <v/>
      </c>
      <c r="F14" s="15">
        <f>SUMIFS('Picks'!$BY$2:$BY$14,'Picks'!$H$2:$H$14,$A14)</f>
        <v/>
      </c>
      <c r="G14" s="16">
        <f>IFERROR(AVERAGEIFS('Picks'!$AB$2:$AB$14,'Picks'!$H$2:$H$14,$A14,'Picks'!$U$2:$U$14,"settled"),0)</f>
        <v/>
      </c>
    </row>
    <row r="15">
      <c r="A15" s="17" t="inlineStr">
        <is>
          <t>spread</t>
        </is>
      </c>
      <c r="B15" s="18">
        <f>COUNTIFS('Picks'!$H$2:$H$14,$A15,'Picks'!$U$2:$U$14,"settled")</f>
        <v/>
      </c>
      <c r="C15" s="18">
        <f>COUNTIFS('Picks'!$H$2:$H$14,$A15,'Picks'!$U$2:$U$14,"settled",'Picks'!$V$2:$V$14,"win")</f>
        <v/>
      </c>
      <c r="D15" s="18">
        <f>COUNTIFS('Picks'!$H$2:$H$14,$A15,'Picks'!$U$2:$U$14,"settled",'Picks'!$V$2:$V$14,"loss")</f>
        <v/>
      </c>
      <c r="E15" s="19">
        <f>IFERROR(C15/(C15+D15),0)</f>
        <v/>
      </c>
      <c r="F15" s="20">
        <f>SUMIFS('Picks'!$BY$2:$BY$14,'Picks'!$H$2:$H$14,$A15)</f>
        <v/>
      </c>
      <c r="G15" s="21">
        <f>IFERROR(AVERAGEIFS('Picks'!$AB$2:$AB$14,'Picks'!$H$2:$H$14,$A15,'Picks'!$U$2:$U$14,"settled"),0)</f>
        <v/>
      </c>
    </row>
    <row r="16">
      <c r="A16" s="12" t="inlineStr">
        <is>
          <t>total</t>
        </is>
      </c>
      <c r="B16" s="13">
        <f>COUNTIFS('Picks'!$H$2:$H$14,$A16,'Picks'!$U$2:$U$14,"settled")</f>
        <v/>
      </c>
      <c r="C16" s="13">
        <f>COUNTIFS('Picks'!$H$2:$H$14,$A16,'Picks'!$U$2:$U$14,"settled",'Picks'!$V$2:$V$14,"win")</f>
        <v/>
      </c>
      <c r="D16" s="13">
        <f>COUNTIFS('Picks'!$H$2:$H$14,$A16,'Picks'!$U$2:$U$14,"settled",'Picks'!$V$2:$V$14,"loss")</f>
        <v/>
      </c>
      <c r="E16" s="14">
        <f>IFERROR(C16/(C16+D16),0)</f>
        <v/>
      </c>
      <c r="F16" s="15">
        <f>SUMIFS('Picks'!$BY$2:$BY$14,'Picks'!$H$2:$H$14,$A16)</f>
        <v/>
      </c>
      <c r="G16" s="16">
        <f>IFERROR(AVERAGEIFS('Picks'!$AB$2:$AB$14,'Picks'!$H$2:$H$14,$A16,'Picks'!$U$2:$U$14,"settled"),0)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104</v>
      </c>
      <c r="AA8" s="28" t="n">
        <v>0.49</v>
      </c>
      <c r="AB8" s="28" t="n">
        <v>-0.000196</v>
      </c>
      <c r="AC8" s="30" t="n">
        <v>-2</v>
      </c>
      <c r="AD8" s="24" t="inlineStr">
        <is>
          <t>2026-08-02T19:26:56.858449Z</t>
        </is>
      </c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>
        <v>2.04</v>
      </c>
      <c r="BR8" s="28" t="n">
        <v>0.49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56abab72389b4452</t>
        </is>
      </c>
      <c r="B9" s="24" t="inlineStr">
        <is>
          <t>2026-08-03T04:20:25.162543Z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-170</v>
      </c>
      <c r="M9" s="27" t="n">
        <v>1.588235</v>
      </c>
      <c r="N9" s="28" t="n">
        <v>0.62963</v>
      </c>
      <c r="O9" s="28" t="n">
        <v>0.688438</v>
      </c>
      <c r="P9" s="28" t="n"/>
      <c r="Q9" s="28" t="n">
        <v>0.058808</v>
      </c>
      <c r="R9" s="26" t="n">
        <v>49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-170</v>
      </c>
      <c r="AA9" s="28" t="n">
        <v>0.63</v>
      </c>
      <c r="AB9" s="28" t="n">
        <v>0.00037</v>
      </c>
      <c r="AC9" s="30" t="n">
        <v>1.1765</v>
      </c>
      <c r="AD9" s="24" t="inlineStr">
        <is>
          <t>2026-08-03T10:06:56.862820Z</t>
        </is>
      </c>
      <c r="AE9" s="31" t="inlineStr">
        <is>
          <t>Neutral Elo baseline; executable ask 0.6300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bf20998d8a70c3832fd09ea459020acc93ce47c0fe8f683c0d8face894c2cb28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bf20998d8a70c3832fd09ea459020acc93ce47c0fe8f683c0d8face894c2cb28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2026-08-03T04:20:21.088131Z</t>
        </is>
      </c>
      <c r="BI9" s="24" t="inlineStr">
        <is>
          <t>["same_event","same_team_same_day","same_league_same_day"]</t>
        </is>
      </c>
      <c r="BJ9" s="25" t="n"/>
      <c r="BK9" s="26" t="n">
        <v>-170</v>
      </c>
      <c r="BL9" s="27" t="n">
        <v>1.588235</v>
      </c>
      <c r="BM9" s="28" t="n">
        <v>0.62963</v>
      </c>
      <c r="BN9" s="28" t="n"/>
      <c r="BO9" s="28" t="n"/>
      <c r="BP9" s="25" t="n"/>
      <c r="BQ9" s="27" t="n">
        <v>1.588235</v>
      </c>
      <c r="BR9" s="28" t="n">
        <v>0.63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inlineStr">
        <is>
          <t>True</t>
        </is>
      </c>
    </row>
    <row r="10" ht="36" customHeight="1">
      <c r="A10" s="24" t="inlineStr">
        <is>
          <t>38208d33e6cc491d</t>
        </is>
      </c>
      <c r="B10" s="24" t="inlineStr">
        <is>
          <t>2026-08-03T06:32:33.049242Z</t>
        </is>
      </c>
      <c r="C10" s="24" t="inlineStr">
        <is>
          <t>2026-08-03T09:00:00Z</t>
        </is>
      </c>
      <c r="D10" s="24" t="inlineStr">
        <is>
          <t>70303</t>
        </is>
      </c>
      <c r="E10" s="24" t="inlineStr">
        <is>
          <t>DOTA2</t>
        </is>
      </c>
      <c r="F10" s="24" t="inlineStr">
        <is>
          <t>1win</t>
        </is>
      </c>
      <c r="G10" s="24" t="inlineStr">
        <is>
          <t>LGD Gaming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156</v>
      </c>
      <c r="M10" s="27" t="n">
        <v>2.56</v>
      </c>
      <c r="N10" s="28" t="n">
        <v>0.390625</v>
      </c>
      <c r="O10" s="28" t="n">
        <v>0.622594</v>
      </c>
      <c r="P10" s="28" t="n"/>
      <c r="Q10" s="28" t="n">
        <v>0.231969</v>
      </c>
      <c r="R10" s="26" t="n">
        <v>100</v>
      </c>
      <c r="S10" s="29" t="n">
        <v>1.5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156</v>
      </c>
      <c r="AA10" s="28" t="n">
        <v>0.39</v>
      </c>
      <c r="AB10" s="28" t="n">
        <v>-0.000625</v>
      </c>
      <c r="AC10" s="30" t="n">
        <v>-1.5</v>
      </c>
      <c r="AD10" s="24" t="inlineStr">
        <is>
          <t>2026-08-03T10:56:06.930565Z</t>
        </is>
      </c>
      <c r="AE10" s="31" t="inlineStr">
        <is>
          <t>Neutral Elo baseline; executable ask 0.3900 (market_slug=aec-dota2-lgd-1win-2026-08-03).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1win</t>
        </is>
      </c>
      <c r="AQ10" s="24" t="inlineStr">
        <is>
          <t>1win</t>
        </is>
      </c>
      <c r="AR10" s="24" t="inlineStr">
        <is>
          <t>1win</t>
        </is>
      </c>
      <c r="AS10" s="24" t="inlineStr">
        <is>
          <t>LGD Gaming</t>
        </is>
      </c>
      <c r="AT10" s="24" t="inlineStr">
        <is>
          <t>LGD Gaming</t>
        </is>
      </c>
      <c r="AU10" s="24" t="inlineStr">
        <is>
          <t>LGD Gaming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533fea08f6899886856a22c8b82fe2bc1d4c49576971024283434d4b7315bbc9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533fea08f6899886856a22c8b82fe2bc1d4c49576971024283434d4b7315bbc9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2026-08-03T06:32:30.412423Z</t>
        </is>
      </c>
      <c r="BI10" s="24" t="inlineStr">
        <is>
          <t>["same_event","same_team_same_day","same_league_same_day"]</t>
        </is>
      </c>
      <c r="BJ10" s="25" t="n"/>
      <c r="BK10" s="26" t="n">
        <v>156</v>
      </c>
      <c r="BL10" s="27" t="n">
        <v>2.56</v>
      </c>
      <c r="BM10" s="28" t="n">
        <v>0.390625</v>
      </c>
      <c r="BN10" s="28" t="n"/>
      <c r="BO10" s="28" t="n"/>
      <c r="BP10" s="25" t="n"/>
      <c r="BQ10" s="27" t="n">
        <v>2.56</v>
      </c>
      <c r="BR10" s="28" t="n">
        <v>0.39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inlineStr">
        <is>
          <t>True</t>
        </is>
      </c>
    </row>
    <row r="11" ht="36" customHeight="1">
      <c r="A11" s="24" t="inlineStr">
        <is>
          <t>570983c1503a4b3b</t>
        </is>
      </c>
      <c r="B11" s="24" t="inlineStr">
        <is>
          <t>2026-08-03T13:30:35.070004Z</t>
        </is>
      </c>
      <c r="C11" s="24" t="inlineStr">
        <is>
          <t>2026-08-03T14:00:00Z</t>
        </is>
      </c>
      <c r="D11" s="24" t="inlineStr">
        <is>
          <t>70380</t>
        </is>
      </c>
      <c r="E11" s="24" t="inlineStr">
        <is>
          <t>DOTA2</t>
        </is>
      </c>
      <c r="F11" s="24" t="inlineStr">
        <is>
          <t>LGD Gaming</t>
        </is>
      </c>
      <c r="G11" s="24" t="inlineStr">
        <is>
          <t>Rune Eaters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-233</v>
      </c>
      <c r="M11" s="27" t="n">
        <v>1.429185</v>
      </c>
      <c r="N11" s="28" t="n">
        <v>0.6997</v>
      </c>
      <c r="O11" s="28" t="n">
        <v>0.75532</v>
      </c>
      <c r="P11" s="28" t="n"/>
      <c r="Q11" s="28" t="n">
        <v>0.05562</v>
      </c>
      <c r="R11" s="26" t="n">
        <v>48</v>
      </c>
      <c r="S11" s="29" t="n">
        <v>2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-233</v>
      </c>
      <c r="AA11" s="28" t="n">
        <v>0.7</v>
      </c>
      <c r="AB11" s="28" t="n">
        <v>0.0003</v>
      </c>
      <c r="AC11" s="30" t="n">
        <v>-2</v>
      </c>
      <c r="AD11" s="24" t="inlineStr">
        <is>
          <t>2026-08-03T22:55:47.665015Z</t>
        </is>
      </c>
      <c r="AE11" s="31" t="inlineStr">
        <is>
          <t>Neutral Elo baseline; executable ask 0.7000 (market_slug=aec-dota2-re-lgd-2026-08-03).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LGD Gaming</t>
        </is>
      </c>
      <c r="AQ11" s="24" t="inlineStr">
        <is>
          <t>LGD Gaming</t>
        </is>
      </c>
      <c r="AR11" s="24" t="inlineStr">
        <is>
          <t>LGD Gaming</t>
        </is>
      </c>
      <c r="AS11" s="24" t="inlineStr">
        <is>
          <t>Rune Eaters</t>
        </is>
      </c>
      <c r="AT11" s="24" t="inlineStr">
        <is>
          <t>Rune Eaters</t>
        </is>
      </c>
      <c r="AU11" s="24" t="inlineStr">
        <is>
          <t>Rune Eaters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9f83c860ce6adddad784676b2958b8c4421adf6e3abacd5545efbed1bb0cde1d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9f83c860ce6adddad784676b2958b8c4421adf6e3abacd5545efbed1bb0cde1d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2026-08-03T13:30:33.121525Z</t>
        </is>
      </c>
      <c r="BI11" s="24" t="inlineStr">
        <is>
          <t>["same_event","same_team_same_day","same_league_same_day"]</t>
        </is>
      </c>
      <c r="BJ11" s="25" t="n"/>
      <c r="BK11" s="26" t="n">
        <v>-233</v>
      </c>
      <c r="BL11" s="27" t="n">
        <v>1.429185</v>
      </c>
      <c r="BM11" s="28" t="n">
        <v>0.6997</v>
      </c>
      <c r="BN11" s="28" t="n"/>
      <c r="BO11" s="28" t="n"/>
      <c r="BP11" s="25" t="n"/>
      <c r="BQ11" s="27" t="n">
        <v>1.429185</v>
      </c>
      <c r="BR11" s="28" t="n">
        <v>0.7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inlineStr">
        <is>
          <t>True</t>
        </is>
      </c>
    </row>
    <row r="12" ht="36" customHeight="1">
      <c r="A12" s="24" t="inlineStr">
        <is>
          <t>adc2bab7d75c44b7</t>
        </is>
      </c>
      <c r="B12" s="24" t="inlineStr">
        <is>
          <t>2026-08-03T13:30:35.070004Z</t>
        </is>
      </c>
      <c r="C12" s="24" t="inlineStr">
        <is>
          <t>2026-08-03T15:00:00Z</t>
        </is>
      </c>
      <c r="D12" s="24" t="inlineStr">
        <is>
          <t>70305</t>
        </is>
      </c>
      <c r="E12" s="24" t="inlineStr">
        <is>
          <t>DOTA2</t>
        </is>
      </c>
      <c r="F12" s="24" t="inlineStr">
        <is>
          <t>BetBoom Team</t>
        </is>
      </c>
      <c r="G12" s="24" t="inlineStr">
        <is>
          <t>Team Falcons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0.571416</v>
      </c>
      <c r="P12" s="28" t="n"/>
      <c r="Q12" s="28" t="n">
        <v>0.0409</v>
      </c>
      <c r="R12" s="26" t="n">
        <v>40</v>
      </c>
      <c r="S12" s="29" t="n">
        <v>1.25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-1.25</v>
      </c>
      <c r="AD12" s="24" t="inlineStr">
        <is>
          <t>2026-08-03T19:52:16.043408Z</t>
        </is>
      </c>
      <c r="AE12" s="31" t="inlineStr">
        <is>
          <t>Neutral Elo baseline; executable ask 0.5300 (market_slug=aec-dota2-flc-bb-2026-08-03).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BetBoom Team</t>
        </is>
      </c>
      <c r="AQ12" s="24" t="inlineStr">
        <is>
          <t>BetBoom Team</t>
        </is>
      </c>
      <c r="AR12" s="24" t="inlineStr">
        <is>
          <t>BetBoom Team</t>
        </is>
      </c>
      <c r="AS12" s="24" t="inlineStr">
        <is>
          <t>Team Falcons</t>
        </is>
      </c>
      <c r="AT12" s="24" t="inlineStr">
        <is>
          <t>Team Falcons</t>
        </is>
      </c>
      <c r="AU12" s="24" t="inlineStr">
        <is>
          <t>Team Falcons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9f83c860ce6adddad784676b2958b8c4421adf6e3abacd5545efbed1bb0cde1d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9f83c860ce6adddad784676b2958b8c4421adf6e3abacd5545efbed1bb0cde1d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2026-08-03T13:30:33.684542Z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True</t>
        </is>
      </c>
    </row>
    <row r="13" ht="36" customHeight="1">
      <c r="A13" s="24" t="inlineStr">
        <is>
          <t>b607d71b19bc4d92</t>
        </is>
      </c>
      <c r="B13" s="24" t="inlineStr">
        <is>
          <t>2026-08-04T08:56:24.176296Z</t>
        </is>
      </c>
      <c r="C13" s="24" t="inlineStr">
        <is>
          <t>2026-08-04T11:00:00Z</t>
        </is>
      </c>
      <c r="D13" s="24" t="inlineStr">
        <is>
          <t>70684</t>
        </is>
      </c>
      <c r="E13" s="24" t="inlineStr">
        <is>
          <t>DOTA2</t>
        </is>
      </c>
      <c r="F13" s="24" t="inlineStr">
        <is>
          <t>Team Resilience</t>
        </is>
      </c>
      <c r="G13" s="24" t="inlineStr">
        <is>
          <t>PlayTime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-138</v>
      </c>
      <c r="M13" s="27" t="n">
        <v>1.724638</v>
      </c>
      <c r="N13" s="28" t="n">
        <v>0.579832</v>
      </c>
      <c r="O13" s="28" t="n">
        <v>0.701803</v>
      </c>
      <c r="P13" s="28" t="n"/>
      <c r="Q13" s="28" t="n">
        <v>0.121971</v>
      </c>
      <c r="R13" s="26" t="n">
        <v>81</v>
      </c>
      <c r="S13" s="29" t="n">
        <v>2</v>
      </c>
      <c r="T13" s="24" t="inlineStr">
        <is>
          <t>dota2-tiered-elo-v5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0.5800 (market_slug=aec-dota2-pla-tr-2026-08-04).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Team Resilience</t>
        </is>
      </c>
      <c r="AQ13" s="24" t="inlineStr">
        <is>
          <t>Team Resilience</t>
        </is>
      </c>
      <c r="AR13" s="24" t="inlineStr">
        <is>
          <t>Team Resilience</t>
        </is>
      </c>
      <c r="AS13" s="24" t="inlineStr">
        <is>
          <t>PlayTime</t>
        </is>
      </c>
      <c r="AT13" s="24" t="inlineStr">
        <is>
          <t>PlayTime</t>
        </is>
      </c>
      <c r="AU13" s="24" t="inlineStr">
        <is>
          <t>PlayTime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97107a1d2e9f7b705ead2c5fce1c23807f8dd72b6d4856d7fd17103d4393ae99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97107a1d2e9f7b705ead2c5fce1c23807f8dd72b6d4856d7fd17103d4393ae99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2026-08-04T08:56:22.344795Z</t>
        </is>
      </c>
      <c r="BI13" s="24" t="inlineStr">
        <is>
          <t>["same_event","same_team_same_day","same_league_same_day"]</t>
        </is>
      </c>
      <c r="BJ13" s="25" t="n"/>
      <c r="BK13" s="26" t="n">
        <v>-138</v>
      </c>
      <c r="BL13" s="27" t="n">
        <v>1.724638</v>
      </c>
      <c r="BM13" s="28" t="n">
        <v>0.579832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True</t>
        </is>
      </c>
    </row>
    <row r="14" ht="36" customHeight="1">
      <c r="A14" s="24" t="inlineStr">
        <is>
          <t>fb8a0f1fa69e44b5</t>
        </is>
      </c>
      <c r="B14" s="24" t="inlineStr">
        <is>
          <t>2026-08-04T08:56:24.176296Z</t>
        </is>
      </c>
      <c r="C14" s="24" t="inlineStr">
        <is>
          <t>2026-08-04T14:00:00Z</t>
        </is>
      </c>
      <c r="D14" s="24" t="inlineStr">
        <is>
          <t>71323</t>
        </is>
      </c>
      <c r="E14" s="24" t="inlineStr">
        <is>
          <t>DOTA2</t>
        </is>
      </c>
      <c r="F14" s="24" t="inlineStr">
        <is>
          <t>Rune Eaters</t>
        </is>
      </c>
      <c r="G14" s="24" t="inlineStr">
        <is>
          <t>Yakult Brothers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-150</v>
      </c>
      <c r="M14" s="27" t="n">
        <v>1.666667</v>
      </c>
      <c r="N14" s="28" t="n">
        <v>0.6</v>
      </c>
      <c r="O14" s="28" t="n">
        <v>0.63019</v>
      </c>
      <c r="P14" s="28" t="n"/>
      <c r="Q14" s="28" t="n">
        <v>0.03019</v>
      </c>
      <c r="R14" s="26" t="n">
        <v>35</v>
      </c>
      <c r="S14" s="29" t="n">
        <v>1.5</v>
      </c>
      <c r="T14" s="24" t="inlineStr">
        <is>
          <t>dota2-tiered-elo-v5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0.6000 (market_slug=aec-dota2-yb-re-2026-08-04).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Rune Eaters</t>
        </is>
      </c>
      <c r="AQ14" s="24" t="inlineStr">
        <is>
          <t>Rune Eaters</t>
        </is>
      </c>
      <c r="AR14" s="24" t="inlineStr">
        <is>
          <t>Rune Eaters</t>
        </is>
      </c>
      <c r="AS14" s="24" t="inlineStr">
        <is>
          <t>Yakult Brothers</t>
        </is>
      </c>
      <c r="AT14" s="24" t="inlineStr">
        <is>
          <t>Yakult Brothers</t>
        </is>
      </c>
      <c r="AU14" s="24" t="inlineStr">
        <is>
          <t>Yakult Brothers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97107a1d2e9f7b705ead2c5fce1c23807f8dd72b6d4856d7fd17103d4393ae99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97107a1d2e9f7b705ead2c5fce1c23807f8dd72b6d4856d7fd17103d4393ae99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2026-08-04T08:56:23.442743Z</t>
        </is>
      </c>
      <c r="BI14" s="24" t="inlineStr">
        <is>
          <t>["same_event","same_team_same_day","same_league_same_day"]</t>
        </is>
      </c>
      <c r="BJ14" s="25" t="n"/>
      <c r="BK14" s="26" t="n">
        <v>-150</v>
      </c>
      <c r="BL14" s="27" t="n">
        <v>1.666667</v>
      </c>
      <c r="BM14" s="28" t="n">
        <v>0.6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2026-08-04T08:56:26Z</dcterms:created>
  <dcterms:modified xsi:type="dcterms:W3CDTF">2026-08-04T08:56:26Z</dcterms:modified>
</cp:coreProperties>
</file>