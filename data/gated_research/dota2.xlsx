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19" headerRowCount="1">
  <autoFilter ref="A1:CS1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COUNTA('Picks'!$A$2:$A$19)</f>
        <v/>
      </c>
      <c r="C4" s="6">
        <f>COUNTIF('Picks'!$U$2:$U$19,"open")</f>
        <v/>
      </c>
      <c r="E4" s="6">
        <f>COUNTIF('Picks'!$U$2:$U$19,"settled")</f>
        <v/>
      </c>
      <c r="G4" s="6">
        <f>IF(COUNTIFS('Picks'!$U$2:$U$19,"settled",'Picks'!$V$2:$V$19,"win")+COUNTIFS('Picks'!$U$2:$U$19,"settled",'Picks'!$V$2:$V$19,"loss")&gt;=$L$2,"Ready","Insufficient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COUNTIF('Picks'!$BX$2:$BX$19,"&gt;0")</f>
        <v/>
      </c>
      <c r="C7" s="6">
        <f>COUNTIFS('Picks'!$BX$2:$BX$19,"&gt;0",'Picks'!$V$2:$V$19,"win")&amp;"-"&amp;COUNTIFS('Picks'!$BX$2:$BX$19,"&gt;0",'Picks'!$V$2:$V$19,"loss")</f>
        <v/>
      </c>
      <c r="E7" s="7">
        <f>IFERROR(COUNTIFS('Picks'!$BX$2:$BX$19,"&gt;0",'Picks'!$V$2:$V$19,"win")/(COUNTIFS('Picks'!$BX$2:$BX$19,"&gt;0",'Picks'!$V$2:$V$19,"win")+COUNTIFS('Picks'!$BX$2:$BX$19,"&gt;0",'Picks'!$V$2:$V$19,"loss")),0)</f>
        <v/>
      </c>
      <c r="G7" s="7">
        <f>IFERROR(SUM('Picks'!$BY$2:$BY$19)/SUM('Picks'!$BX$2:$BX$19),0)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SUM('Picks'!$BY$2:$BY$19)</f>
        <v/>
      </c>
      <c r="C10" s="9">
        <f>IFERROR(AVERAGEIF('Picks'!$AB$2:$AB$19,"&lt;&gt;",'Picks'!$AB$2:$AB$19),0)</f>
        <v/>
      </c>
      <c r="E10" s="6">
        <f>COUNTIFS('Picks'!$AM$2:$AM$19,"QUALIFIED_SHADOW_CALL",'Picks'!$U$2:$U$19,"settled")</f>
        <v/>
      </c>
      <c r="G10" s="8">
        <f>SUMIFS('Picks'!$AC$2:$AC$19,'Picks'!$AM$2:$AM$19,"QUALIFIED_SHADOW_CALL")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COUNTIFS('Picks'!$H$2:$H$19,$A14,'Picks'!$U$2:$U$19,"settled")</f>
        <v/>
      </c>
      <c r="C14" s="13">
        <f>COUNTIFS('Picks'!$H$2:$H$19,$A14,'Picks'!$U$2:$U$19,"settled",'Picks'!$V$2:$V$19,"win")</f>
        <v/>
      </c>
      <c r="D14" s="13">
        <f>COUNTIFS('Picks'!$H$2:$H$19,$A14,'Picks'!$U$2:$U$19,"settled",'Picks'!$V$2:$V$19,"loss")</f>
        <v/>
      </c>
      <c r="E14" s="14">
        <f>IFERROR(C14/(C14+D14),0)</f>
        <v/>
      </c>
      <c r="F14" s="15">
        <f>SUMIFS('Picks'!$BY$2:$BY$19,'Picks'!$H$2:$H$19,$A14)</f>
        <v/>
      </c>
      <c r="G14" s="16">
        <f>IFERROR(AVERAGEIFS('Picks'!$AB$2:$AB$19,'Picks'!$H$2:$H$19,$A14,'Picks'!$U$2:$U$19,"settled"),0)</f>
        <v/>
      </c>
    </row>
    <row r="15">
      <c r="A15" s="17" t="inlineStr">
        <is>
          <t>spread</t>
        </is>
      </c>
      <c r="B15" s="18">
        <f>COUNTIFS('Picks'!$H$2:$H$19,$A15,'Picks'!$U$2:$U$19,"settled")</f>
        <v/>
      </c>
      <c r="C15" s="18">
        <f>COUNTIFS('Picks'!$H$2:$H$19,$A15,'Picks'!$U$2:$U$19,"settled",'Picks'!$V$2:$V$19,"win")</f>
        <v/>
      </c>
      <c r="D15" s="18">
        <f>COUNTIFS('Picks'!$H$2:$H$19,$A15,'Picks'!$U$2:$U$19,"settled",'Picks'!$V$2:$V$19,"loss")</f>
        <v/>
      </c>
      <c r="E15" s="19">
        <f>IFERROR(C15/(C15+D15),0)</f>
        <v/>
      </c>
      <c r="F15" s="20">
        <f>SUMIFS('Picks'!$BY$2:$BY$19,'Picks'!$H$2:$H$19,$A15)</f>
        <v/>
      </c>
      <c r="G15" s="21">
        <f>IFERROR(AVERAGEIFS('Picks'!$AB$2:$AB$19,'Picks'!$H$2:$H$19,$A15,'Picks'!$U$2:$U$19,"settled"),0)</f>
        <v/>
      </c>
    </row>
    <row r="16">
      <c r="A16" s="12" t="inlineStr">
        <is>
          <t>total</t>
        </is>
      </c>
      <c r="B16" s="13">
        <f>COUNTIFS('Picks'!$H$2:$H$19,$A16,'Picks'!$U$2:$U$19,"settled")</f>
        <v/>
      </c>
      <c r="C16" s="13">
        <f>COUNTIFS('Picks'!$H$2:$H$19,$A16,'Picks'!$U$2:$U$19,"settled",'Picks'!$V$2:$V$19,"win")</f>
        <v/>
      </c>
      <c r="D16" s="13">
        <f>COUNTIFS('Picks'!$H$2:$H$19,$A16,'Picks'!$U$2:$U$19,"settled",'Picks'!$V$2:$V$19,"loss")</f>
        <v/>
      </c>
      <c r="E16" s="14">
        <f>IFERROR(C16/(C16+D16),0)</f>
        <v/>
      </c>
      <c r="F16" s="15">
        <f>SUMIFS('Picks'!$BY$2:$BY$19,'Picks'!$H$2:$H$19,$A16)</f>
        <v/>
      </c>
      <c r="G16" s="16">
        <f>IFERROR(AVERAGEIFS('Picks'!$AB$2:$AB$19,'Picks'!$H$2:$H$19,$A16,'Picks'!$U$2:$U$19,"settled"),0)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b607d71b19bc4d92</t>
        </is>
      </c>
      <c r="B13" s="24" t="inlineStr">
        <is>
          <t>2026-08-04T08:56:24.176296Z</t>
        </is>
      </c>
      <c r="C13" s="24" t="inlineStr">
        <is>
          <t>2026-08-04T11:00:00Z</t>
        </is>
      </c>
      <c r="D13" s="24" t="inlineStr">
        <is>
          <t>70684</t>
        </is>
      </c>
      <c r="E13" s="24" t="inlineStr">
        <is>
          <t>DOTA2</t>
        </is>
      </c>
      <c r="F13" s="24" t="inlineStr">
        <is>
          <t>Team Resilience</t>
        </is>
      </c>
      <c r="G13" s="24" t="inlineStr">
        <is>
          <t>PlayTime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0.701803</v>
      </c>
      <c r="P13" s="28" t="n"/>
      <c r="Q13" s="28" t="n">
        <v>0.121971</v>
      </c>
      <c r="R13" s="26" t="n">
        <v>81</v>
      </c>
      <c r="S13" s="29" t="n">
        <v>2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1.4493</v>
      </c>
      <c r="AD13" s="24" t="inlineStr">
        <is>
          <t>2026-08-04T14:04:01.804516Z</t>
        </is>
      </c>
      <c r="AE13" s="31" t="inlineStr">
        <is>
          <t>Neutral Elo baseline; executable ask 0.5800 (market_slug=aec-dota2-pla-tr-2026-08-04).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Team Resilience</t>
        </is>
      </c>
      <c r="AQ13" s="24" t="inlineStr">
        <is>
          <t>Team Resilience</t>
        </is>
      </c>
      <c r="AR13" s="24" t="inlineStr">
        <is>
          <t>Team Resilience</t>
        </is>
      </c>
      <c r="AS13" s="24" t="inlineStr">
        <is>
          <t>PlayTime</t>
        </is>
      </c>
      <c r="AT13" s="24" t="inlineStr">
        <is>
          <t>PlayTime</t>
        </is>
      </c>
      <c r="AU13" s="24" t="inlineStr">
        <is>
          <t>PlayTime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97107a1d2e9f7b705ead2c5fce1c23807f8dd72b6d4856d7fd17103d4393ae99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97107a1d2e9f7b705ead2c5fce1c23807f8dd72b6d4856d7fd17103d4393ae99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2026-08-04T08:56:22.344795Z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0a6ddeb773844727</t>
        </is>
      </c>
      <c r="B14" s="24" t="inlineStr">
        <is>
          <t>2026-08-04T12:01:37.365629Z</t>
        </is>
      </c>
      <c r="C14" s="24" t="inlineStr">
        <is>
          <t>2026-08-04T14:00:00Z</t>
        </is>
      </c>
      <c r="D14" s="24" t="inlineStr">
        <is>
          <t>71323</t>
        </is>
      </c>
      <c r="E14" s="24" t="inlineStr">
        <is>
          <t>DOTA2</t>
        </is>
      </c>
      <c r="F14" s="24" t="inlineStr">
        <is>
          <t>Rune Eaters</t>
        </is>
      </c>
      <c r="G14" s="24" t="inlineStr">
        <is>
          <t>Yakult Brothers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-150</v>
      </c>
      <c r="M14" s="27" t="n">
        <v>1.666667</v>
      </c>
      <c r="N14" s="28" t="n">
        <v>0.6</v>
      </c>
      <c r="O14" s="28" t="n">
        <v>0.63019</v>
      </c>
      <c r="P14" s="28" t="n"/>
      <c r="Q14" s="28" t="n">
        <v>0.03019</v>
      </c>
      <c r="R14" s="26" t="n">
        <v>35</v>
      </c>
      <c r="S14" s="29" t="n">
        <v>1.5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-150</v>
      </c>
      <c r="AA14" s="28" t="n">
        <v>0.6</v>
      </c>
      <c r="AB14" s="28" t="n">
        <v>0</v>
      </c>
      <c r="AC14" s="30" t="n">
        <v>-1.5</v>
      </c>
      <c r="AD14" s="24" t="inlineStr">
        <is>
          <t>2026-08-04T18:04:50.618209Z</t>
        </is>
      </c>
      <c r="AE14" s="31" t="inlineStr">
        <is>
          <t>Neutral Elo baseline; executable ask 0.6000 (market_slug=aec-dota2-yb-re-2026-08-04).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Rune Eaters</t>
        </is>
      </c>
      <c r="AQ14" s="24" t="inlineStr">
        <is>
          <t>Rune Eaters</t>
        </is>
      </c>
      <c r="AR14" s="24" t="inlineStr">
        <is>
          <t>Rune Eaters</t>
        </is>
      </c>
      <c r="AS14" s="24" t="inlineStr">
        <is>
          <t>Yakult Brothers</t>
        </is>
      </c>
      <c r="AT14" s="24" t="inlineStr">
        <is>
          <t>Yakult Brothers</t>
        </is>
      </c>
      <c r="AU14" s="24" t="inlineStr">
        <is>
          <t>Yakult Brothers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a6c9607e653da0963c1aedbfdf02df93d0e81f5e712085073f323442476b541d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a6c9607e653da0963c1aedbfdf02df93d0e81f5e712085073f323442476b541d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2026-08-04T12:01:36.421980Z</t>
        </is>
      </c>
      <c r="BI14" s="24" t="inlineStr">
        <is>
          <t>["same_event","same_team_same_day","same_league_same_day"]</t>
        </is>
      </c>
      <c r="BJ14" s="25" t="n"/>
      <c r="BK14" s="26" t="n">
        <v>-150</v>
      </c>
      <c r="BL14" s="27" t="n">
        <v>1.666667</v>
      </c>
      <c r="BM14" s="28" t="n">
        <v>0.6</v>
      </c>
      <c r="BN14" s="28" t="n"/>
      <c r="BO14" s="28" t="n"/>
      <c r="BP14" s="25" t="n"/>
      <c r="BQ14" s="27" t="n">
        <v>1.666667</v>
      </c>
      <c r="BR14" s="28" t="n">
        <v>0.6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77b840baaab6494f</t>
        </is>
      </c>
      <c r="B15" s="24" t="inlineStr">
        <is>
          <t>2026-08-05T04:38:12.341207Z</t>
        </is>
      </c>
      <c r="C15" s="24" t="inlineStr">
        <is>
          <t>2026-08-05T08:00:00Z</t>
        </is>
      </c>
      <c r="D15" s="24" t="inlineStr">
        <is>
          <t>72079</t>
        </is>
      </c>
      <c r="E15" s="24" t="inlineStr">
        <is>
          <t>DOTA2</t>
        </is>
      </c>
      <c r="F15" s="24" t="inlineStr">
        <is>
          <t>Rune Eaters</t>
        </is>
      </c>
      <c r="G15" s="24" t="inlineStr">
        <is>
          <t>Team Resilience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122</v>
      </c>
      <c r="M15" s="27" t="n">
        <v>2.22</v>
      </c>
      <c r="N15" s="28" t="n">
        <v>0.45045</v>
      </c>
      <c r="O15" s="28" t="n">
        <v>0.500216</v>
      </c>
      <c r="P15" s="28" t="n"/>
      <c r="Q15" s="28" t="n">
        <v>0.049766</v>
      </c>
      <c r="R15" s="26" t="n">
        <v>45</v>
      </c>
      <c r="S15" s="29" t="n">
        <v>1</v>
      </c>
      <c r="T15" s="24" t="inlineStr">
        <is>
          <t>dota2-tiered-elo-v6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0.4500 (market_slug=aec-dota2-tr-re-2026-08-05).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Rune Eaters</t>
        </is>
      </c>
      <c r="AQ15" s="24" t="inlineStr">
        <is>
          <t>Rune Eaters</t>
        </is>
      </c>
      <c r="AR15" s="24" t="inlineStr">
        <is>
          <t>Rune Eaters</t>
        </is>
      </c>
      <c r="AS15" s="24" t="inlineStr">
        <is>
          <t>Team Resilience</t>
        </is>
      </c>
      <c r="AT15" s="24" t="inlineStr">
        <is>
          <t>Team Resilience</t>
        </is>
      </c>
      <c r="AU15" s="24" t="inlineStr">
        <is>
          <t>Team Resilience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2375429151111a3cb0937a48db93b740727ff54a7bd88a5e4f97e0362efce045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2375429151111a3cb0937a48db93b740727ff54a7bd88a5e4f97e0362efce045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2026-08-05T04:38:08.611098Z</t>
        </is>
      </c>
      <c r="BI15" s="24" t="inlineStr">
        <is>
          <t>["same_event","same_team_same_day","same_league_same_day"]</t>
        </is>
      </c>
      <c r="BJ15" s="25" t="n"/>
      <c r="BK15" s="26" t="n">
        <v>122</v>
      </c>
      <c r="BL15" s="27" t="n">
        <v>2.22</v>
      </c>
      <c r="BM15" s="28" t="n">
        <v>0.45045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b5b4e021955b45bc</t>
        </is>
      </c>
      <c r="B16" s="24" t="inlineStr">
        <is>
          <t>2026-08-05T04:38:12.341207Z</t>
        </is>
      </c>
      <c r="C16" s="24" t="inlineStr">
        <is>
          <t>2026-08-05T09:00:00Z</t>
        </is>
      </c>
      <c r="D16" s="24" t="inlineStr">
        <is>
          <t>71970</t>
        </is>
      </c>
      <c r="E16" s="24" t="inlineStr">
        <is>
          <t>DOTA2</t>
        </is>
      </c>
      <c r="F16" s="24" t="inlineStr">
        <is>
          <t>BetBoom Team</t>
        </is>
      </c>
      <c r="G16" s="24" t="inlineStr">
        <is>
          <t>1win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0.658681</v>
      </c>
      <c r="P16" s="28" t="n"/>
      <c r="Q16" s="28" t="n">
        <v>0.128165</v>
      </c>
      <c r="R16" s="26" t="n">
        <v>84</v>
      </c>
      <c r="S16" s="29" t="n">
        <v>1.75</v>
      </c>
      <c r="T16" s="24" t="inlineStr">
        <is>
          <t>dota2-tiered-elo-v6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0.5300 (market_slug=aec-dota2-1win-bb-2026-08-05).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BetBoom Team</t>
        </is>
      </c>
      <c r="AQ16" s="24" t="inlineStr">
        <is>
          <t>BetBoom Team</t>
        </is>
      </c>
      <c r="AR16" s="24" t="inlineStr">
        <is>
          <t>BetBoom Team</t>
        </is>
      </c>
      <c r="AS16" s="24" t="inlineStr">
        <is>
          <t>1win</t>
        </is>
      </c>
      <c r="AT16" s="24" t="inlineStr">
        <is>
          <t>1win</t>
        </is>
      </c>
      <c r="AU16" s="24" t="inlineStr">
        <is>
          <t>1win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2375429151111a3cb0937a48db93b740727ff54a7bd88a5e4f97e0362efce045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2375429151111a3cb0937a48db93b740727ff54a7bd88a5e4f97e0362efce045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2026-08-05T04:38:09.196950Z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603347ca47634cff</t>
        </is>
      </c>
      <c r="B17" s="24" t="inlineStr">
        <is>
          <t>2026-08-05T04:38:12.341207Z</t>
        </is>
      </c>
      <c r="C17" s="24" t="inlineStr">
        <is>
          <t>2026-08-05T12:00:00Z</t>
        </is>
      </c>
      <c r="D17" s="24" t="inlineStr">
        <is>
          <t>72080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PlayTime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-223</v>
      </c>
      <c r="M17" s="27" t="n">
        <v>1.44843</v>
      </c>
      <c r="N17" s="28" t="n">
        <v>0.690402</v>
      </c>
      <c r="O17" s="28" t="n">
        <v>0.806217</v>
      </c>
      <c r="P17" s="28" t="n"/>
      <c r="Q17" s="28" t="n">
        <v>0.115815</v>
      </c>
      <c r="R17" s="26" t="n">
        <v>78</v>
      </c>
      <c r="S17" s="29" t="n">
        <v>2</v>
      </c>
      <c r="T17" s="24" t="inlineStr">
        <is>
          <t>dota2-tiered-elo-v6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0.6900 (market_slug=aec-dota2-pla-yb-2026-08-05).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PlayTime</t>
        </is>
      </c>
      <c r="AT17" s="24" t="inlineStr">
        <is>
          <t>PlayTime</t>
        </is>
      </c>
      <c r="AU17" s="24" t="inlineStr">
        <is>
          <t>PlayTime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2375429151111a3cb0937a48db93b740727ff54a7bd88a5e4f97e0362efce045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2375429151111a3cb0937a48db93b740727ff54a7bd88a5e4f97e0362efce045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2026-08-05T04:38:09.769926Z</t>
        </is>
      </c>
      <c r="BI17" s="24" t="inlineStr">
        <is>
          <t>["same_event","same_team_same_day","same_league_same_day"]</t>
        </is>
      </c>
      <c r="BJ17" s="25" t="n"/>
      <c r="BK17" s="26" t="n">
        <v>-223</v>
      </c>
      <c r="BL17" s="27" t="n">
        <v>1.44843</v>
      </c>
      <c r="BM17" s="28" t="n">
        <v>0.690402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25db571091f54b2a</t>
        </is>
      </c>
      <c r="B18" s="24" t="inlineStr">
        <is>
          <t>2026-08-05T04:38:12.341207Z</t>
        </is>
      </c>
      <c r="C18" s="24" t="inlineStr">
        <is>
          <t>2026-08-06T09:00:00Z</t>
        </is>
      </c>
      <c r="D18" s="24" t="inlineStr">
        <is>
          <t>70575</t>
        </is>
      </c>
      <c r="E18" s="24" t="inlineStr">
        <is>
          <t>DOTA2</t>
        </is>
      </c>
      <c r="F18" s="24" t="inlineStr">
        <is>
          <t>RE.Arise</t>
        </is>
      </c>
      <c r="G18" s="24" t="inlineStr">
        <is>
          <t>Level UP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0.528647</v>
      </c>
      <c r="P18" s="28" t="n"/>
      <c r="Q18" s="28" t="n">
        <v>0.078197</v>
      </c>
      <c r="R18" s="26" t="n">
        <v>59</v>
      </c>
      <c r="S18" s="29" t="n">
        <v>1</v>
      </c>
      <c r="T18" s="24" t="inlineStr">
        <is>
          <t>dota2-tiered-elo-v6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0.4500 (market_slug=aec-dota2-lvlup-rae-2026-08-06).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RE.Arise</t>
        </is>
      </c>
      <c r="AQ18" s="24" t="inlineStr">
        <is>
          <t>RE.Arise</t>
        </is>
      </c>
      <c r="AR18" s="24" t="inlineStr">
        <is>
          <t>RE.Arise</t>
        </is>
      </c>
      <c r="AS18" s="24" t="inlineStr">
        <is>
          <t>Level UP</t>
        </is>
      </c>
      <c r="AT18" s="24" t="inlineStr">
        <is>
          <t>Level UP</t>
        </is>
      </c>
      <c r="AU18" s="24" t="inlineStr">
        <is>
          <t>Level UP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2375429151111a3cb0937a48db93b740727ff54a7bd88a5e4f97e0362efce045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2375429151111a3cb0937a48db93b740727ff54a7bd88a5e4f97e0362efce045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2026-08-05T04:38:10.316562Z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da12cff095434235</t>
        </is>
      </c>
      <c r="B19" s="24" t="inlineStr">
        <is>
          <t>2026-08-05T04:38:12.341207Z</t>
        </is>
      </c>
      <c r="C19" s="24" t="inlineStr">
        <is>
          <t>2026-08-06T12:00:00Z</t>
        </is>
      </c>
      <c r="D19" s="24" t="inlineStr">
        <is>
          <t>70648</t>
        </is>
      </c>
      <c r="E19" s="24" t="inlineStr">
        <is>
          <t>DOTA2</t>
        </is>
      </c>
      <c r="F19" s="24" t="inlineStr">
        <is>
          <t>No Hoodwink</t>
        </is>
      </c>
      <c r="G19" s="24" t="inlineStr">
        <is>
          <t>RE.Arise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150</v>
      </c>
      <c r="M19" s="27" t="n">
        <v>2.5</v>
      </c>
      <c r="N19" s="28" t="n">
        <v>0.4</v>
      </c>
      <c r="O19" s="28" t="n">
        <v>0.611725</v>
      </c>
      <c r="P19" s="28" t="n"/>
      <c r="Q19" s="28" t="n">
        <v>0.211725</v>
      </c>
      <c r="R19" s="26" t="n">
        <v>100</v>
      </c>
      <c r="S19" s="29" t="n">
        <v>1.5</v>
      </c>
      <c r="T19" s="24" t="inlineStr">
        <is>
          <t>dota2-tiered-elo-v6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0.4000 (market_slug=aec-dota2-rae-nh-2026-08-06).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No Hoodwink</t>
        </is>
      </c>
      <c r="AQ19" s="24" t="inlineStr">
        <is>
          <t>No Hoodwink</t>
        </is>
      </c>
      <c r="AR19" s="24" t="inlineStr">
        <is>
          <t>No Hoodwink</t>
        </is>
      </c>
      <c r="AS19" s="24" t="inlineStr">
        <is>
          <t>RE.Arise</t>
        </is>
      </c>
      <c r="AT19" s="24" t="inlineStr">
        <is>
          <t>RE.Arise</t>
        </is>
      </c>
      <c r="AU19" s="24" t="inlineStr">
        <is>
          <t>RE.Arise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2375429151111a3cb0937a48db93b740727ff54a7bd88a5e4f97e0362efce045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2375429151111a3cb0937a48db93b740727ff54a7bd88a5e4f97e0362efce045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2026-08-05T04:38:10.870839Z</t>
        </is>
      </c>
      <c r="BI19" s="24" t="inlineStr">
        <is>
          <t>["same_event","same_team_same_day","same_league_same_day"]</t>
        </is>
      </c>
      <c r="BJ19" s="25" t="n"/>
      <c r="BK19" s="26" t="n">
        <v>150</v>
      </c>
      <c r="BL19" s="27" t="n">
        <v>2.5</v>
      </c>
      <c r="BM19" s="28" t="n">
        <v>0.4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2026-08-05T04:38:13Z</dcterms:created>
  <dcterms:modified xsi:type="dcterms:W3CDTF">2026-08-05T04:38:13Z</dcterms:modified>
</cp:coreProperties>
</file>