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3" headerRowCount="1">
  <autoFilter ref="A1:CO13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COUNTA('Picks'!$A$2:$A$13)</f>
        <v/>
      </c>
      <c r="C4" s="6">
        <f>COUNTIF('Picks'!$U$2:$U$13,"open")</f>
        <v/>
      </c>
      <c r="E4" s="6">
        <f>COUNTIF('Picks'!$U$2:$U$13,"settled")</f>
        <v/>
      </c>
      <c r="G4" s="6">
        <f>IF(COUNTIFS('Picks'!$U$2:$U$13,"settled",'Picks'!$V$2:$V$13,"win")+COUNTIFS('Picks'!$U$2:$U$13,"settled",'Picks'!$V$2:$V$13,"loss")&gt;=$L$2,"Ready","Insufficient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COUNTIF('Picks'!$BX$2:$BX$13,"&gt;0")</f>
        <v/>
      </c>
      <c r="C7" s="6">
        <f>COUNTIFS('Picks'!$BX$2:$BX$13,"&gt;0",'Picks'!$V$2:$V$13,"win")&amp;"-"&amp;COUNTIFS('Picks'!$BX$2:$BX$13,"&gt;0",'Picks'!$V$2:$V$13,"loss")</f>
        <v/>
      </c>
      <c r="E7" s="7">
        <f>IFERROR(COUNTIFS('Picks'!$BX$2:$BX$13,"&gt;0",'Picks'!$V$2:$V$13,"win")/(COUNTIFS('Picks'!$BX$2:$BX$13,"&gt;0",'Picks'!$V$2:$V$13,"win")+COUNTIFS('Picks'!$BX$2:$BX$13,"&gt;0",'Picks'!$V$2:$V$13,"loss")),0)</f>
        <v/>
      </c>
      <c r="G7" s="7">
        <f>IFERROR(SUM('Picks'!$BY$2:$BY$13)/SUM('Picks'!$BX$2:$BX$13),0)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SUM('Picks'!$BY$2:$BY$13)</f>
        <v/>
      </c>
      <c r="C10" s="9">
        <f>IFERROR(AVERAGEIF('Picks'!$AB$2:$AB$13,"&lt;&gt;",'Picks'!$AB$2:$AB$13),0)</f>
        <v/>
      </c>
      <c r="E10" s="6">
        <f>COUNTIFS('Picks'!$AM$2:$AM$13,"QUALIFIED_SHADOW_CALL",'Picks'!$U$2:$U$13,"settled")</f>
        <v/>
      </c>
      <c r="G10" s="8">
        <f>SUMIFS('Picks'!$AC$2:$AC$13,'Picks'!$AM$2:$AM$13,"QUALIFIED_SHADOW_CALL")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COUNTIFS('Picks'!$H$2:$H$13,$A14,'Picks'!$U$2:$U$13,"settled")</f>
        <v/>
      </c>
      <c r="C14" s="13">
        <f>COUNTIFS('Picks'!$H$2:$H$13,$A14,'Picks'!$U$2:$U$13,"settled",'Picks'!$V$2:$V$13,"win")</f>
        <v/>
      </c>
      <c r="D14" s="13">
        <f>COUNTIFS('Picks'!$H$2:$H$13,$A14,'Picks'!$U$2:$U$13,"settled",'Picks'!$V$2:$V$13,"loss")</f>
        <v/>
      </c>
      <c r="E14" s="14">
        <f>IFERROR(C14/(C14+D14),0)</f>
        <v/>
      </c>
      <c r="F14" s="15">
        <f>SUMIFS('Picks'!$BY$2:$BY$13,'Picks'!$H$2:$H$13,$A14)</f>
        <v/>
      </c>
      <c r="G14" s="16">
        <f>IFERROR(AVERAGEIFS('Picks'!$AB$2:$AB$13,'Picks'!$H$2:$H$13,$A14,'Picks'!$U$2:$U$13,"settled"),0)</f>
        <v/>
      </c>
    </row>
    <row r="15">
      <c r="A15" s="17" t="inlineStr">
        <is>
          <t>spread</t>
        </is>
      </c>
      <c r="B15" s="18">
        <f>COUNTIFS('Picks'!$H$2:$H$13,$A15,'Picks'!$U$2:$U$13,"settled")</f>
        <v/>
      </c>
      <c r="C15" s="18">
        <f>COUNTIFS('Picks'!$H$2:$H$13,$A15,'Picks'!$U$2:$U$13,"settled",'Picks'!$V$2:$V$13,"win")</f>
        <v/>
      </c>
      <c r="D15" s="18">
        <f>COUNTIFS('Picks'!$H$2:$H$13,$A15,'Picks'!$U$2:$U$13,"settled",'Picks'!$V$2:$V$13,"loss")</f>
        <v/>
      </c>
      <c r="E15" s="19">
        <f>IFERROR(C15/(C15+D15),0)</f>
        <v/>
      </c>
      <c r="F15" s="20">
        <f>SUMIFS('Picks'!$BY$2:$BY$13,'Picks'!$H$2:$H$13,$A15)</f>
        <v/>
      </c>
      <c r="G15" s="21">
        <f>IFERROR(AVERAGEIFS('Picks'!$AB$2:$AB$13,'Picks'!$H$2:$H$13,$A15,'Picks'!$U$2:$U$13,"settled"),0)</f>
        <v/>
      </c>
    </row>
    <row r="16">
      <c r="A16" s="12" t="inlineStr">
        <is>
          <t>total</t>
        </is>
      </c>
      <c r="B16" s="13">
        <f>COUNTIFS('Picks'!$H$2:$H$13,$A16,'Picks'!$U$2:$U$13,"settled")</f>
        <v/>
      </c>
      <c r="C16" s="13">
        <f>COUNTIFS('Picks'!$H$2:$H$13,$A16,'Picks'!$U$2:$U$13,"settled",'Picks'!$V$2:$V$13,"win")</f>
        <v/>
      </c>
      <c r="D16" s="13">
        <f>COUNTIFS('Picks'!$H$2:$H$13,$A16,'Picks'!$U$2:$U$13,"settled",'Picks'!$V$2:$V$13,"loss")</f>
        <v/>
      </c>
      <c r="E16" s="14">
        <f>IFERROR(C16/(C16+D16),0)</f>
        <v/>
      </c>
      <c r="F16" s="15">
        <f>SUMIFS('Picks'!$BY$2:$BY$13,'Picks'!$H$2:$H$13,$A16)</f>
        <v/>
      </c>
      <c r="G16" s="16">
        <f>IFERROR(AVERAGEIFS('Picks'!$AB$2:$AB$13,'Picks'!$H$2:$H$13,$A16,'Picks'!$U$2:$U$13,"settled"),0)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a896c47e709542e0</t>
        </is>
      </c>
      <c r="B2" s="24" t="inlineStr">
        <is>
          <t>2026-07-27T17:38:19.923501Z</t>
        </is>
      </c>
      <c r="C2" s="24" t="inlineStr">
        <is>
          <t>2026-07-27T18:00:00Z</t>
        </is>
      </c>
      <c r="D2" s="24" t="inlineStr">
        <is>
          <t>62513</t>
        </is>
      </c>
      <c r="E2" s="24" t="inlineStr">
        <is>
          <t>DOTA2</t>
        </is>
      </c>
      <c r="F2" s="24" t="inlineStr">
        <is>
          <t>KW</t>
        </is>
      </c>
      <c r="G2" s="24" t="inlineStr">
        <is>
          <t>Team Bald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-122</v>
      </c>
      <c r="M2" s="27" t="n">
        <v>1.819672</v>
      </c>
      <c r="N2" s="28" t="n">
        <v>0.54955</v>
      </c>
      <c r="O2" s="28" t="n">
        <v>0.643378</v>
      </c>
      <c r="P2" s="28" t="n"/>
      <c r="Q2" s="28" t="n">
        <v>0.09382799999999999</v>
      </c>
      <c r="R2" s="26" t="n">
        <v>67</v>
      </c>
      <c r="S2" s="29" t="n">
        <v>2</v>
      </c>
      <c r="T2" s="24" t="inlineStr">
        <is>
          <t>dota2-tiered-elo-v4</t>
        </is>
      </c>
      <c r="U2" s="24" t="inlineStr">
        <is>
          <t>settled</t>
        </is>
      </c>
      <c r="V2" s="24" t="inlineStr">
        <is>
          <t>push</t>
        </is>
      </c>
      <c r="W2" s="26" t="n"/>
      <c r="X2" s="26" t="n"/>
      <c r="Y2" s="25" t="n"/>
      <c r="Z2" s="26" t="n"/>
      <c r="AA2" s="28" t="n"/>
      <c r="AB2" s="28" t="n"/>
      <c r="AC2" s="30" t="n">
        <v>0</v>
      </c>
      <c r="AD2" s="24" t="inlineStr">
        <is>
          <t>2026-07-28T01:57:19.057098Z</t>
        </is>
      </c>
      <c r="AE2" s="31" t="inlineStr">
        <is>
          <t>Neutral Elo baseline; executable ask 0.5500 (market_slug=aec-dota2-bald-kw-2026-07-27).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KW</t>
        </is>
      </c>
      <c r="AQ2" s="24" t="inlineStr">
        <is>
          <t>KW</t>
        </is>
      </c>
      <c r="AR2" s="24" t="inlineStr">
        <is>
          <t>KW</t>
        </is>
      </c>
      <c r="AS2" s="24" t="inlineStr">
        <is>
          <t>Team Bald</t>
        </is>
      </c>
      <c r="AT2" s="24" t="inlineStr">
        <is>
          <t>Team Bald</t>
        </is>
      </c>
      <c r="AU2" s="24" t="inlineStr">
        <is>
          <t>Team Bald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713355eeac1c7f851a8fe35e939969377fe0747dd60b1ddb9f28fd4faae96635</t>
        </is>
      </c>
      <c r="BB2" s="24" t="inlineStr">
        <is>
          <t>neutral_elo</t>
        </is>
      </c>
      <c r="BC2" s="24" t="inlineStr">
        <is>
          <t>dota2-tiered-elo-v4</t>
        </is>
      </c>
      <c r="BD2" s="24" t="inlineStr">
        <is>
          <t>713355eeac1c7f851a8fe35e939969377fe0747dd60b1ddb9f28fd4faae96635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dota2-tiered-elo-v4</t>
        </is>
      </c>
      <c r="BH2" s="24" t="inlineStr">
        <is>
          <t>2026-07-27T17:38:14.567529Z</t>
        </is>
      </c>
      <c r="BI2" s="24" t="inlineStr">
        <is>
          <t>["same_event","same_team_same_day","same_league_same_day"]</t>
        </is>
      </c>
      <c r="BJ2" s="25" t="n"/>
      <c r="BK2" s="26" t="n">
        <v>-122</v>
      </c>
      <c r="BL2" s="27" t="n">
        <v>1.819672</v>
      </c>
      <c r="BM2" s="28" t="n">
        <v>0.54955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inlineStr">
        <is>
          <t>esports market settled to a non-binary price (forfeit/postponement per market rules)</t>
        </is>
      </c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951623d4fee64f5a</t>
        </is>
      </c>
      <c r="B3" s="24" t="inlineStr">
        <is>
          <t>2026-07-28T11:18:10.759539Z</t>
        </is>
      </c>
      <c r="C3" s="24" t="inlineStr">
        <is>
          <t>2026-07-28T12:00:00Z</t>
        </is>
      </c>
      <c r="D3" s="24" t="inlineStr">
        <is>
          <t>62515</t>
        </is>
      </c>
      <c r="E3" s="24" t="inlineStr">
        <is>
          <t>DOTA2</t>
        </is>
      </c>
      <c r="F3" s="24" t="inlineStr">
        <is>
          <t>Level UP</t>
        </is>
      </c>
      <c r="G3" s="24" t="inlineStr">
        <is>
          <t>Team Bald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100</v>
      </c>
      <c r="M3" s="27" t="n">
        <v>2</v>
      </c>
      <c r="N3" s="28" t="n">
        <v>0.5</v>
      </c>
      <c r="O3" s="28" t="n">
        <v>0.523841</v>
      </c>
      <c r="P3" s="28" t="n"/>
      <c r="Q3" s="28" t="n">
        <v>0.023841</v>
      </c>
      <c r="R3" s="26" t="n">
        <v>32</v>
      </c>
      <c r="S3" s="29" t="n">
        <v>0.75</v>
      </c>
      <c r="T3" s="24" t="inlineStr">
        <is>
          <t>dota2-tiered-elo-v4</t>
        </is>
      </c>
      <c r="U3" s="24" t="inlineStr">
        <is>
          <t>settled</t>
        </is>
      </c>
      <c r="V3" s="24" t="inlineStr">
        <is>
          <t>push</t>
        </is>
      </c>
      <c r="W3" s="26" t="n"/>
      <c r="X3" s="26" t="n"/>
      <c r="Y3" s="25" t="n"/>
      <c r="Z3" s="26" t="n"/>
      <c r="AA3" s="28" t="n"/>
      <c r="AB3" s="28" t="n"/>
      <c r="AC3" s="30" t="n">
        <v>0</v>
      </c>
      <c r="AD3" s="24" t="inlineStr">
        <is>
          <t>2026-07-28T20:31:31.201568Z</t>
        </is>
      </c>
      <c r="AE3" s="31" t="inlineStr">
        <is>
          <t>Neutral Elo baseline; executable ask 0.5000 (market_slug=aec-dota2-bald-lvlup-2026-07-28).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Level UP</t>
        </is>
      </c>
      <c r="AQ3" s="24" t="inlineStr">
        <is>
          <t>Level UP</t>
        </is>
      </c>
      <c r="AR3" s="24" t="inlineStr">
        <is>
          <t>Level UP</t>
        </is>
      </c>
      <c r="AS3" s="24" t="inlineStr">
        <is>
          <t>Team Bald</t>
        </is>
      </c>
      <c r="AT3" s="24" t="inlineStr">
        <is>
          <t>Team Bald</t>
        </is>
      </c>
      <c r="AU3" s="24" t="inlineStr">
        <is>
          <t>Team Bald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2eec6caa3ac9ef66f075873fd68ca2373e4c3dc3d989a802f3e79917f2c19f1e</t>
        </is>
      </c>
      <c r="BB3" s="24" t="inlineStr">
        <is>
          <t>neutral_elo</t>
        </is>
      </c>
      <c r="BC3" s="24" t="inlineStr">
        <is>
          <t>dota2-tiered-elo-v4</t>
        </is>
      </c>
      <c r="BD3" s="24" t="inlineStr">
        <is>
          <t>2eec6caa3ac9ef66f075873fd68ca2373e4c3dc3d989a802f3e79917f2c19f1e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dota2-tiered-elo-v4</t>
        </is>
      </c>
      <c r="BH3" s="24" t="inlineStr">
        <is>
          <t>2026-07-28T11:18:04.530689Z</t>
        </is>
      </c>
      <c r="BI3" s="24" t="inlineStr">
        <is>
          <t>["same_event","same_team_same_day","same_league_same_day"]</t>
        </is>
      </c>
      <c r="BJ3" s="25" t="n"/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inlineStr">
        <is>
          <t>esports market settled to a non-binary price (forfeit/postponement per market rules)</t>
        </is>
      </c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675cfea603ef49ca</t>
        </is>
      </c>
      <c r="B4" s="24" t="inlineStr">
        <is>
          <t>2026-07-28T17:30:23.509787Z</t>
        </is>
      </c>
      <c r="C4" s="24" t="inlineStr">
        <is>
          <t>2026-07-28T18:00:00Z</t>
        </is>
      </c>
      <c r="D4" s="24" t="inlineStr">
        <is>
          <t>62517</t>
        </is>
      </c>
      <c r="E4" s="24" t="inlineStr">
        <is>
          <t>DOTA2</t>
        </is>
      </c>
      <c r="F4" s="24" t="inlineStr">
        <is>
          <t>Team Jenz</t>
        </is>
      </c>
      <c r="G4" s="24" t="inlineStr">
        <is>
          <t>Amaru Gaming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0.639298</v>
      </c>
      <c r="P4" s="28" t="n"/>
      <c r="Q4" s="28" t="n">
        <v>0.108782</v>
      </c>
      <c r="R4" s="26" t="n">
        <v>74</v>
      </c>
      <c r="S4" s="29" t="n">
        <v>2</v>
      </c>
      <c r="T4" s="24" t="inlineStr">
        <is>
          <t>dota2-tiered-elo-v4</t>
        </is>
      </c>
      <c r="U4" s="24" t="inlineStr">
        <is>
          <t>settled</t>
        </is>
      </c>
      <c r="V4" s="24" t="inlineStr">
        <is>
          <t>push</t>
        </is>
      </c>
      <c r="W4" s="26" t="n"/>
      <c r="X4" s="26" t="n"/>
      <c r="Y4" s="25" t="n"/>
      <c r="Z4" s="26" t="n"/>
      <c r="AA4" s="28" t="n"/>
      <c r="AB4" s="28" t="n"/>
      <c r="AC4" s="30" t="n">
        <v>0</v>
      </c>
      <c r="AD4" s="24" t="inlineStr">
        <is>
          <t>2026-07-29T17:34:50.765009Z</t>
        </is>
      </c>
      <c r="AE4" s="31" t="inlineStr">
        <is>
          <t>Neutral Elo baseline; executable ask 0.5300 (market_slug=aec-dota2-agm-tje-2026-07-28).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Team Jenz</t>
        </is>
      </c>
      <c r="AQ4" s="24" t="inlineStr">
        <is>
          <t>Team Jenz</t>
        </is>
      </c>
      <c r="AR4" s="24" t="inlineStr">
        <is>
          <t>Team Jenz</t>
        </is>
      </c>
      <c r="AS4" s="24" t="inlineStr">
        <is>
          <t>Amaru Gaming</t>
        </is>
      </c>
      <c r="AT4" s="24" t="inlineStr">
        <is>
          <t>Amaru Gaming</t>
        </is>
      </c>
      <c r="AU4" s="24" t="inlineStr">
        <is>
          <t>Amaru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d5654d4f52e87448d68cdf73205dec099fa0dc5a5637072a26a63fb8afd8476d</t>
        </is>
      </c>
      <c r="BB4" s="24" t="inlineStr">
        <is>
          <t>neutral_elo</t>
        </is>
      </c>
      <c r="BC4" s="24" t="inlineStr">
        <is>
          <t>dota2-tiered-elo-v4</t>
        </is>
      </c>
      <c r="BD4" s="24" t="inlineStr">
        <is>
          <t>d5654d4f52e87448d68cdf73205dec099fa0dc5a5637072a26a63fb8afd8476d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dota2-tiered-elo-v4</t>
        </is>
      </c>
      <c r="BH4" s="24" t="inlineStr">
        <is>
          <t>2026-07-28T17:30:19.772763Z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inlineStr">
        <is>
          <t>esports market settled to a non-binary price (forfeit/postponement per market rules)</t>
        </is>
      </c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34dc8a8e407b4e13</t>
        </is>
      </c>
      <c r="B5" s="24" t="inlineStr">
        <is>
          <t>2026-07-29T08:57:41.131320Z</t>
        </is>
      </c>
      <c r="C5" s="24" t="inlineStr">
        <is>
          <t>2026-07-29T12:00:00Z</t>
        </is>
      </c>
      <c r="D5" s="24" t="inlineStr">
        <is>
          <t>62625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RE.Arise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-104</v>
      </c>
      <c r="M5" s="27" t="n">
        <v>1.961538</v>
      </c>
      <c r="N5" s="28" t="n">
        <v>0.509804</v>
      </c>
      <c r="O5" s="28" t="n">
        <v>0.545326</v>
      </c>
      <c r="P5" s="28" t="n"/>
      <c r="Q5" s="28" t="n">
        <v>0.035522</v>
      </c>
      <c r="R5" s="26" t="n">
        <v>38</v>
      </c>
      <c r="S5" s="29" t="n">
        <v>1</v>
      </c>
      <c r="T5" s="24" t="inlineStr">
        <is>
          <t>dota2-tiered-elo-v4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-1</v>
      </c>
      <c r="AD5" s="24" t="inlineStr">
        <is>
          <t>2026-07-29T15:05:08.365028Z</t>
        </is>
      </c>
      <c r="AE5" s="31" t="inlineStr">
        <is>
          <t>Neutral Elo baseline; executable ask 0.5100 (market_slug=aec-dota2-rae-z10-2026-07-29).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RE.Arise</t>
        </is>
      </c>
      <c r="AT5" s="24" t="inlineStr">
        <is>
          <t>RE.Arise</t>
        </is>
      </c>
      <c r="AU5" s="24" t="inlineStr">
        <is>
          <t>RE.Arise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ea4069f9fa26716d37364f94a04d40c374520e264563d131060f068b82243fc0</t>
        </is>
      </c>
      <c r="BB5" s="24" t="inlineStr">
        <is>
          <t>neutral_elo</t>
        </is>
      </c>
      <c r="BC5" s="24" t="inlineStr">
        <is>
          <t>dota2-tiered-elo-v4</t>
        </is>
      </c>
      <c r="BD5" s="24" t="inlineStr">
        <is>
          <t>ea4069f9fa26716d37364f94a04d40c374520e264563d131060f068b82243fc0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dota2-tiered-elo-v4</t>
        </is>
      </c>
      <c r="BH5" s="24" t="inlineStr">
        <is>
          <t>2026-07-29T08:57:35.327439Z</t>
        </is>
      </c>
      <c r="BI5" s="24" t="inlineStr">
        <is>
          <t>["same_event","same_team_same_day","same_league_same_day"]</t>
        </is>
      </c>
      <c r="BJ5" s="25" t="n"/>
      <c r="BK5" s="26" t="n">
        <v>-104</v>
      </c>
      <c r="BL5" s="27" t="n">
        <v>1.961538</v>
      </c>
      <c r="BM5" s="28" t="n">
        <v>0.509804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bf169b35b9b8478a</t>
        </is>
      </c>
      <c r="B6" s="24" t="inlineStr">
        <is>
          <t>2026-07-29T12:04:11.833269Z</t>
        </is>
      </c>
      <c r="C6" s="24" t="inlineStr">
        <is>
          <t>2026-07-29T15:00:00Z</t>
        </is>
      </c>
      <c r="D6" s="24" t="inlineStr">
        <is>
          <t>62691</t>
        </is>
      </c>
      <c r="E6" s="24" t="inlineStr">
        <is>
          <t>DOTA2</t>
        </is>
      </c>
      <c r="F6" s="24" t="inlineStr">
        <is>
          <t>Nemiga Gaming</t>
        </is>
      </c>
      <c r="G6" s="24" t="inlineStr">
        <is>
          <t>Amaru Gaming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178</v>
      </c>
      <c r="M6" s="27" t="n">
        <v>2.78</v>
      </c>
      <c r="N6" s="28" t="n">
        <v>0.359712</v>
      </c>
      <c r="O6" s="28" t="n">
        <v>0.783842</v>
      </c>
      <c r="P6" s="28" t="n"/>
      <c r="Q6" s="28" t="n">
        <v>0.42413</v>
      </c>
      <c r="R6" s="26" t="n">
        <v>100</v>
      </c>
      <c r="S6" s="29" t="n">
        <v>2</v>
      </c>
      <c r="T6" s="24" t="inlineStr">
        <is>
          <t>dota2-tiered-elo-v4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-2</v>
      </c>
      <c r="AD6" s="24" t="inlineStr">
        <is>
          <t>2026-07-30T04:13:07.864236Z</t>
        </is>
      </c>
      <c r="AE6" s="31" t="inlineStr">
        <is>
          <t>Neutral Elo baseline; executable ask 0.3600 (market_slug=aec-dota2-agm-nemiga-2026-07-29).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Nemiga Gaming</t>
        </is>
      </c>
      <c r="AQ6" s="24" t="inlineStr">
        <is>
          <t>Nemiga Gaming</t>
        </is>
      </c>
      <c r="AR6" s="24" t="inlineStr">
        <is>
          <t>Nemiga Gaming</t>
        </is>
      </c>
      <c r="AS6" s="24" t="inlineStr">
        <is>
          <t>Amaru Gaming</t>
        </is>
      </c>
      <c r="AT6" s="24" t="inlineStr">
        <is>
          <t>Amaru Gaming</t>
        </is>
      </c>
      <c r="AU6" s="24" t="inlineStr">
        <is>
          <t>Amaru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1975149062e5ce6b992f64d64cd516228ceab5b0d4760dfd8a040fce4af22aeb</t>
        </is>
      </c>
      <c r="BB6" s="24" t="inlineStr">
        <is>
          <t>neutral_elo</t>
        </is>
      </c>
      <c r="BC6" s="24" t="inlineStr">
        <is>
          <t>dota2-tiered-elo-v4</t>
        </is>
      </c>
      <c r="BD6" s="24" t="inlineStr">
        <is>
          <t>1975149062e5ce6b992f64d64cd516228ceab5b0d4760dfd8a040fce4af22aeb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dota2-tiered-elo-v4</t>
        </is>
      </c>
      <c r="BH6" s="24" t="inlineStr">
        <is>
          <t>2026-07-29T12:04:07.620398Z</t>
        </is>
      </c>
      <c r="BI6" s="24" t="inlineStr">
        <is>
          <t>["same_event","same_team_same_day","same_league_same_day"]</t>
        </is>
      </c>
      <c r="BJ6" s="25" t="n"/>
      <c r="BK6" s="26" t="n">
        <v>178</v>
      </c>
      <c r="BL6" s="27" t="n">
        <v>2.78</v>
      </c>
      <c r="BM6" s="28" t="n">
        <v>0.359712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62e6c3c7b23b45ba</t>
        </is>
      </c>
      <c r="B7" s="24" t="inlineStr">
        <is>
          <t>2026-07-30T10:30:19.883158Z</t>
        </is>
      </c>
      <c r="C7" s="24" t="inlineStr">
        <is>
          <t>2026-07-30T12:00:00Z</t>
        </is>
      </c>
      <c r="D7" s="24" t="inlineStr">
        <is>
          <t>63691</t>
        </is>
      </c>
      <c r="E7" s="24" t="inlineStr">
        <is>
          <t>DOTA2</t>
        </is>
      </c>
      <c r="F7" s="24" t="inlineStr">
        <is>
          <t>Zero Tenacity</t>
        </is>
      </c>
      <c r="G7" s="24" t="inlineStr">
        <is>
          <t>Level UP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122</v>
      </c>
      <c r="M7" s="27" t="n">
        <v>2.22</v>
      </c>
      <c r="N7" s="28" t="n">
        <v>0.45045</v>
      </c>
      <c r="O7" s="28" t="n">
        <v>0.574553</v>
      </c>
      <c r="P7" s="28" t="n"/>
      <c r="Q7" s="28" t="n">
        <v>0.124103</v>
      </c>
      <c r="R7" s="26" t="n">
        <v>82</v>
      </c>
      <c r="S7" s="29" t="n">
        <v>1.25</v>
      </c>
      <c r="T7" s="24" t="inlineStr">
        <is>
          <t>dota2-tiered-elo-v4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-1.25</v>
      </c>
      <c r="AD7" s="24" t="inlineStr">
        <is>
          <t>2026-07-30T16:01:12.820826Z</t>
        </is>
      </c>
      <c r="AE7" s="31" t="inlineStr">
        <is>
          <t>Neutral Elo baseline; executable ask 0.4500 (market_slug=aec-dota2-lvlup-z10-2026-07-30).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Zero Tenacity</t>
        </is>
      </c>
      <c r="AQ7" s="24" t="inlineStr">
        <is>
          <t>Zero Tenacity</t>
        </is>
      </c>
      <c r="AR7" s="24" t="inlineStr">
        <is>
          <t>Zero Tenacity</t>
        </is>
      </c>
      <c r="AS7" s="24" t="inlineStr">
        <is>
          <t>Level UP</t>
        </is>
      </c>
      <c r="AT7" s="24" t="inlineStr">
        <is>
          <t>Level UP</t>
        </is>
      </c>
      <c r="AU7" s="24" t="inlineStr">
        <is>
          <t>Level UP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3bcd1fbb498942b21a2e085eda89faf5557d0f6661ee26a8410d8dba9769a397</t>
        </is>
      </c>
      <c r="BB7" s="24" t="inlineStr">
        <is>
          <t>neutral_elo</t>
        </is>
      </c>
      <c r="BC7" s="24" t="inlineStr">
        <is>
          <t>dota2-tiered-elo-v4</t>
        </is>
      </c>
      <c r="BD7" s="24" t="inlineStr">
        <is>
          <t>3bcd1fbb498942b21a2e085eda89faf5557d0f6661ee26a8410d8dba9769a397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dota2-tiered-elo-v4</t>
        </is>
      </c>
      <c r="BH7" s="24" t="inlineStr">
        <is>
          <t>2026-07-30T10:30:13.979212Z</t>
        </is>
      </c>
      <c r="BI7" s="24" t="inlineStr">
        <is>
          <t>["same_event","same_team_same_day","same_league_same_day"]</t>
        </is>
      </c>
      <c r="BJ7" s="25" t="n"/>
      <c r="BK7" s="26" t="n">
        <v>122</v>
      </c>
      <c r="BL7" s="27" t="n">
        <v>2.22</v>
      </c>
      <c r="BM7" s="28" t="n">
        <v>0.45045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19a3c157d0b145d6</t>
        </is>
      </c>
      <c r="B8" s="24" t="inlineStr">
        <is>
          <t>2026-07-30T16:56:10.595951Z</t>
        </is>
      </c>
      <c r="C8" s="24" t="inlineStr">
        <is>
          <t>2026-07-31T05:00:00Z</t>
        </is>
      </c>
      <c r="D8" s="24" t="inlineStr">
        <is>
          <t>64671</t>
        </is>
      </c>
      <c r="E8" s="24" t="inlineStr">
        <is>
          <t>DOTA2</t>
        </is>
      </c>
      <c r="F8" s="24" t="inlineStr">
        <is>
          <t>Midas Club</t>
        </is>
      </c>
      <c r="G8" s="24" t="inlineStr">
        <is>
          <t>Rune Eaters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-163</v>
      </c>
      <c r="M8" s="27" t="n">
        <v>1.613497</v>
      </c>
      <c r="N8" s="28" t="n">
        <v>0.619772</v>
      </c>
      <c r="O8" s="28" t="n">
        <v>0.747717</v>
      </c>
      <c r="P8" s="28" t="n"/>
      <c r="Q8" s="28" t="n">
        <v>0.127945</v>
      </c>
      <c r="R8" s="26" t="n">
        <v>84</v>
      </c>
      <c r="S8" s="29" t="n">
        <v>2</v>
      </c>
      <c r="T8" s="24" t="inlineStr">
        <is>
          <t>dota2-tiered-elo-v4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0.6200 (market_slug=aec-dota2-re-midas-2026-07-31).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Midas Club</t>
        </is>
      </c>
      <c r="AQ8" s="24" t="inlineStr">
        <is>
          <t>Midas Club</t>
        </is>
      </c>
      <c r="AR8" s="24" t="inlineStr">
        <is>
          <t>Midas Club</t>
        </is>
      </c>
      <c r="AS8" s="24" t="inlineStr">
        <is>
          <t>Rune Eaters</t>
        </is>
      </c>
      <c r="AT8" s="24" t="inlineStr">
        <is>
          <t>Rune Eaters</t>
        </is>
      </c>
      <c r="AU8" s="24" t="inlineStr">
        <is>
          <t>Rune Eaters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e26af3cd0f446cfff3c995c2e8ad9ebb3019f15f33af3fcadfb25b344b7aa502</t>
        </is>
      </c>
      <c r="BB8" s="24" t="inlineStr">
        <is>
          <t>neutral_elo</t>
        </is>
      </c>
      <c r="BC8" s="24" t="inlineStr">
        <is>
          <t>dota2-tiered-elo-v4</t>
        </is>
      </c>
      <c r="BD8" s="24" t="inlineStr">
        <is>
          <t>e26af3cd0f446cfff3c995c2e8ad9ebb3019f15f33af3fcadfb25b344b7aa502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dota2-tiered-elo-v4</t>
        </is>
      </c>
      <c r="BH8" s="24" t="inlineStr">
        <is>
          <t>2026-07-30T16:56:06.676111Z</t>
        </is>
      </c>
      <c r="BI8" s="24" t="inlineStr">
        <is>
          <t>["same_event","same_team_same_day","same_league_same_day"]</t>
        </is>
      </c>
      <c r="BJ8" s="25" t="n"/>
      <c r="BK8" s="26" t="n">
        <v>-163</v>
      </c>
      <c r="BL8" s="27" t="n">
        <v>1.613497</v>
      </c>
      <c r="BM8" s="28" t="n">
        <v>0.619772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36b183817611490c</t>
        </is>
      </c>
      <c r="B9" s="24" t="inlineStr">
        <is>
          <t>2026-07-30T16:56:10.595951Z</t>
        </is>
      </c>
      <c r="C9" s="24" t="inlineStr">
        <is>
          <t>2026-07-31T05:00:00Z</t>
        </is>
      </c>
      <c r="D9" s="24" t="inlineStr">
        <is>
          <t>64672</t>
        </is>
      </c>
      <c r="E9" s="24" t="inlineStr">
        <is>
          <t>DOTA2</t>
        </is>
      </c>
      <c r="F9" s="24" t="inlineStr">
        <is>
          <t>Execration</t>
        </is>
      </c>
      <c r="G9" s="24" t="inlineStr">
        <is>
          <t>Yellow Submarine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-122</v>
      </c>
      <c r="M9" s="27" t="n">
        <v>1.819672</v>
      </c>
      <c r="N9" s="28" t="n">
        <v>0.54955</v>
      </c>
      <c r="O9" s="28" t="n">
        <v>0.598287</v>
      </c>
      <c r="P9" s="28" t="n"/>
      <c r="Q9" s="28" t="n">
        <v>0.048737</v>
      </c>
      <c r="R9" s="26" t="n">
        <v>44</v>
      </c>
      <c r="S9" s="29" t="n">
        <v>1.5</v>
      </c>
      <c r="T9" s="24" t="inlineStr">
        <is>
          <t>dota2-tiered-elo-v4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0.5500 (market_slug=aec-dota2-yes-xctn-2026-07-31).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Execration</t>
        </is>
      </c>
      <c r="AQ9" s="24" t="inlineStr">
        <is>
          <t>Execration</t>
        </is>
      </c>
      <c r="AR9" s="24" t="inlineStr">
        <is>
          <t>Execration</t>
        </is>
      </c>
      <c r="AS9" s="24" t="inlineStr">
        <is>
          <t>Yellow Submarine</t>
        </is>
      </c>
      <c r="AT9" s="24" t="inlineStr">
        <is>
          <t>Yellow Submarine</t>
        </is>
      </c>
      <c r="AU9" s="24" t="inlineStr">
        <is>
          <t>Yellow Submarine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e26af3cd0f446cfff3c995c2e8ad9ebb3019f15f33af3fcadfb25b344b7aa502</t>
        </is>
      </c>
      <c r="BB9" s="24" t="inlineStr">
        <is>
          <t>neutral_elo</t>
        </is>
      </c>
      <c r="BC9" s="24" t="inlineStr">
        <is>
          <t>dota2-tiered-elo-v4</t>
        </is>
      </c>
      <c r="BD9" s="24" t="inlineStr">
        <is>
          <t>e26af3cd0f446cfff3c995c2e8ad9ebb3019f15f33af3fcadfb25b344b7aa502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dota2-tiered-elo-v4</t>
        </is>
      </c>
      <c r="BH9" s="24" t="inlineStr">
        <is>
          <t>2026-07-30T16:56:07.226095Z</t>
        </is>
      </c>
      <c r="BI9" s="24" t="inlineStr">
        <is>
          <t>["same_event","same_team_same_day","same_league_same_day"]</t>
        </is>
      </c>
      <c r="BJ9" s="25" t="n"/>
      <c r="BK9" s="26" t="n">
        <v>-122</v>
      </c>
      <c r="BL9" s="27" t="n">
        <v>1.819672</v>
      </c>
      <c r="BM9" s="28" t="n">
        <v>0.54955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7e84c1d1488b42b3</t>
        </is>
      </c>
      <c r="B10" s="24" t="inlineStr">
        <is>
          <t>2026-07-30T16:56:10.595951Z</t>
        </is>
      </c>
      <c r="C10" s="24" t="inlineStr">
        <is>
          <t>2026-07-31T08:00:00Z</t>
        </is>
      </c>
      <c r="D10" s="24" t="inlineStr">
        <is>
          <t>64735</t>
        </is>
      </c>
      <c r="E10" s="24" t="inlineStr">
        <is>
          <t>DOTA2</t>
        </is>
      </c>
      <c r="F10" s="24" t="inlineStr">
        <is>
          <t>PlayTime</t>
        </is>
      </c>
      <c r="G10" s="24" t="inlineStr">
        <is>
          <t>Team Resilience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-144</v>
      </c>
      <c r="M10" s="27" t="n">
        <v>1.694444</v>
      </c>
      <c r="N10" s="28" t="n">
        <v>0.590164</v>
      </c>
      <c r="O10" s="28" t="n">
        <v>0.6120679999999999</v>
      </c>
      <c r="P10" s="28" t="n"/>
      <c r="Q10" s="28" t="n">
        <v>0.021904</v>
      </c>
      <c r="R10" s="26" t="n">
        <v>31</v>
      </c>
      <c r="S10" s="29" t="n">
        <v>1.5</v>
      </c>
      <c r="T10" s="24" t="inlineStr">
        <is>
          <t>dota2-tiered-elo-v4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0.5900 (market_slug=aec-dota2-tr-pla-2026-07-31).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PlayTime</t>
        </is>
      </c>
      <c r="AQ10" s="24" t="inlineStr">
        <is>
          <t>PlayTime</t>
        </is>
      </c>
      <c r="AR10" s="24" t="inlineStr">
        <is>
          <t>PlayTime</t>
        </is>
      </c>
      <c r="AS10" s="24" t="inlineStr">
        <is>
          <t>Team Resilience</t>
        </is>
      </c>
      <c r="AT10" s="24" t="inlineStr">
        <is>
          <t>Team Resilience</t>
        </is>
      </c>
      <c r="AU10" s="24" t="inlineStr">
        <is>
          <t>Team Resilience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e26af3cd0f446cfff3c995c2e8ad9ebb3019f15f33af3fcadfb25b344b7aa502</t>
        </is>
      </c>
      <c r="BB10" s="24" t="inlineStr">
        <is>
          <t>neutral_elo</t>
        </is>
      </c>
      <c r="BC10" s="24" t="inlineStr">
        <is>
          <t>dota2-tiered-elo-v4</t>
        </is>
      </c>
      <c r="BD10" s="24" t="inlineStr">
        <is>
          <t>e26af3cd0f446cfff3c995c2e8ad9ebb3019f15f33af3fcadfb25b344b7aa502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dota2-tiered-elo-v4</t>
        </is>
      </c>
      <c r="BH10" s="24" t="inlineStr">
        <is>
          <t>2026-07-30T16:56:07.804702Z</t>
        </is>
      </c>
      <c r="BI10" s="24" t="inlineStr">
        <is>
          <t>["same_event","same_team_same_day","same_league_same_day"]</t>
        </is>
      </c>
      <c r="BJ10" s="25" t="n"/>
      <c r="BK10" s="26" t="n">
        <v>-144</v>
      </c>
      <c r="BL10" s="27" t="n">
        <v>1.694444</v>
      </c>
      <c r="BM10" s="28" t="n">
        <v>0.590164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6183f78884904843</t>
        </is>
      </c>
      <c r="B11" s="24" t="inlineStr">
        <is>
          <t>2026-07-30T16:56:10.595951Z</t>
        </is>
      </c>
      <c r="C11" s="24" t="inlineStr">
        <is>
          <t>2026-07-31T11:00:00Z</t>
        </is>
      </c>
      <c r="D11" s="24" t="inlineStr">
        <is>
          <t>64818</t>
        </is>
      </c>
      <c r="E11" s="24" t="inlineStr">
        <is>
          <t>DOTA2</t>
        </is>
      </c>
      <c r="F11" s="24" t="inlineStr">
        <is>
          <t>GLYPH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117</v>
      </c>
      <c r="M11" s="27" t="n">
        <v>2.17</v>
      </c>
      <c r="N11" s="28" t="n">
        <v>0.460829</v>
      </c>
      <c r="O11" s="28" t="n">
        <v>0.605405</v>
      </c>
      <c r="P11" s="28" t="n"/>
      <c r="Q11" s="28" t="n">
        <v>0.144576</v>
      </c>
      <c r="R11" s="26" t="n">
        <v>92</v>
      </c>
      <c r="S11" s="29" t="n">
        <v>1.5</v>
      </c>
      <c r="T11" s="24" t="inlineStr">
        <is>
          <t>dota2-tiered-elo-v4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0.4600 (market_slug=aec-dota2-enjoy-glyph-2026-07-31).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GLYPH</t>
        </is>
      </c>
      <c r="AQ11" s="24" t="inlineStr">
        <is>
          <t>GLYPH</t>
        </is>
      </c>
      <c r="AR11" s="24" t="inlineStr">
        <is>
          <t>GLYPH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e26af3cd0f446cfff3c995c2e8ad9ebb3019f15f33af3fcadfb25b344b7aa502</t>
        </is>
      </c>
      <c r="BB11" s="24" t="inlineStr">
        <is>
          <t>neutral_elo</t>
        </is>
      </c>
      <c r="BC11" s="24" t="inlineStr">
        <is>
          <t>dota2-tiered-elo-v4</t>
        </is>
      </c>
      <c r="BD11" s="24" t="inlineStr">
        <is>
          <t>e26af3cd0f446cfff3c995c2e8ad9ebb3019f15f33af3fcadfb25b344b7aa502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dota2-tiered-elo-v4</t>
        </is>
      </c>
      <c r="BH11" s="24" t="inlineStr">
        <is>
          <t>2026-07-30T16:56:09.456160Z</t>
        </is>
      </c>
      <c r="BI11" s="24" t="inlineStr">
        <is>
          <t>["same_event","same_team_same_day","same_league_same_day"]</t>
        </is>
      </c>
      <c r="BJ11" s="25" t="n"/>
      <c r="BK11" s="26" t="n">
        <v>117</v>
      </c>
      <c r="BL11" s="27" t="n">
        <v>2.17</v>
      </c>
      <c r="BM11" s="28" t="n">
        <v>0.460829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05e3b1e509154dd1</t>
        </is>
      </c>
      <c r="B12" s="24" t="inlineStr">
        <is>
          <t>2026-07-30T16:56:10.595951Z</t>
        </is>
      </c>
      <c r="C12" s="24" t="inlineStr">
        <is>
          <t>2026-07-31T14:00:00Z</t>
        </is>
      </c>
      <c r="D12" s="24" t="inlineStr">
        <is>
          <t>64928</t>
        </is>
      </c>
      <c r="E12" s="24" t="inlineStr">
        <is>
          <t>DOTA2</t>
        </is>
      </c>
      <c r="F12" s="24" t="inlineStr">
        <is>
          <t>LGD Gaming</t>
        </is>
      </c>
      <c r="G12" s="24" t="inlineStr">
        <is>
          <t>Xtreme Gaming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-170</v>
      </c>
      <c r="M12" s="27" t="n">
        <v>1.588235</v>
      </c>
      <c r="N12" s="28" t="n">
        <v>0.62963</v>
      </c>
      <c r="O12" s="28" t="n">
        <v>0.70634</v>
      </c>
      <c r="P12" s="28" t="n"/>
      <c r="Q12" s="28" t="n">
        <v>0.07671</v>
      </c>
      <c r="R12" s="26" t="n">
        <v>58</v>
      </c>
      <c r="S12" s="29" t="n">
        <v>2</v>
      </c>
      <c r="T12" s="24" t="inlineStr">
        <is>
          <t>dota2-tiered-elo-v4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0.6300 (market_slug=aec-dota2-xtreme-lgd-2026-07-31).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LGD Gaming</t>
        </is>
      </c>
      <c r="AQ12" s="24" t="inlineStr">
        <is>
          <t>LGD Gaming</t>
        </is>
      </c>
      <c r="AR12" s="24" t="inlineStr">
        <is>
          <t>LGD Gaming</t>
        </is>
      </c>
      <c r="AS12" s="24" t="inlineStr">
        <is>
          <t>Xtreme Gaming</t>
        </is>
      </c>
      <c r="AT12" s="24" t="inlineStr">
        <is>
          <t>Xtreme Gaming</t>
        </is>
      </c>
      <c r="AU12" s="24" t="inlineStr">
        <is>
          <t>Xtreme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e26af3cd0f446cfff3c995c2e8ad9ebb3019f15f33af3fcadfb25b344b7aa502</t>
        </is>
      </c>
      <c r="BB12" s="24" t="inlineStr">
        <is>
          <t>neutral_elo</t>
        </is>
      </c>
      <c r="BC12" s="24" t="inlineStr">
        <is>
          <t>dota2-tiered-elo-v4</t>
        </is>
      </c>
      <c r="BD12" s="24" t="inlineStr">
        <is>
          <t>e26af3cd0f446cfff3c995c2e8ad9ebb3019f15f33af3fcadfb25b344b7aa502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dota2-tiered-elo-v4</t>
        </is>
      </c>
      <c r="BH12" s="24" t="inlineStr">
        <is>
          <t>2026-07-30T16:56:10.047707Z</t>
        </is>
      </c>
      <c r="BI12" s="24" t="inlineStr">
        <is>
          <t>["same_event","same_team_same_day","same_league_same_day"]</t>
        </is>
      </c>
      <c r="BJ12" s="25" t="n"/>
      <c r="BK12" s="26" t="n">
        <v>-170</v>
      </c>
      <c r="BL12" s="27" t="n">
        <v>1.588235</v>
      </c>
      <c r="BM12" s="28" t="n">
        <v>0.62963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9dfaf074bb4749c9</t>
        </is>
      </c>
      <c r="B13" s="24" t="inlineStr">
        <is>
          <t>2026-07-30T16:56:10.595951Z</t>
        </is>
      </c>
      <c r="C13" s="24" t="inlineStr">
        <is>
          <t>2026-07-31T14:00:00Z</t>
        </is>
      </c>
      <c r="D13" s="24" t="inlineStr">
        <is>
          <t>64929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Yakult Brothers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186</v>
      </c>
      <c r="M13" s="27" t="n">
        <v>2.86</v>
      </c>
      <c r="N13" s="28" t="n">
        <v>0.34965</v>
      </c>
      <c r="O13" s="28" t="n">
        <v>0.611965</v>
      </c>
      <c r="P13" s="28" t="n"/>
      <c r="Q13" s="28" t="n">
        <v>0.262315</v>
      </c>
      <c r="R13" s="26" t="n">
        <v>100</v>
      </c>
      <c r="S13" s="29" t="n">
        <v>1.5</v>
      </c>
      <c r="T13" s="24" t="inlineStr">
        <is>
          <t>dota2-tiered-elo-v4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0.3500 (market_slug=aec-dota2-yb-z10-2026-07-31).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Yakult Brothers</t>
        </is>
      </c>
      <c r="AT13" s="24" t="inlineStr">
        <is>
          <t>Yakult Brothers</t>
        </is>
      </c>
      <c r="AU13" s="24" t="inlineStr">
        <is>
          <t>Yakult Brothers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e26af3cd0f446cfff3c995c2e8ad9ebb3019f15f33af3fcadfb25b344b7aa502</t>
        </is>
      </c>
      <c r="BB13" s="24" t="inlineStr">
        <is>
          <t>neutral_elo</t>
        </is>
      </c>
      <c r="BC13" s="24" t="inlineStr">
        <is>
          <t>dota2-tiered-elo-v4</t>
        </is>
      </c>
      <c r="BD13" s="24" t="inlineStr">
        <is>
          <t>e26af3cd0f446cfff3c995c2e8ad9ebb3019f15f33af3fcadfb25b344b7aa502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dota2-tiered-elo-v4</t>
        </is>
      </c>
      <c r="BH13" s="24" t="inlineStr">
        <is>
          <t>2026-07-30T16:56:10.594126Z</t>
        </is>
      </c>
      <c r="BI13" s="24" t="inlineStr">
        <is>
          <t>["same_event","same_team_same_day","same_league_same_day"]</t>
        </is>
      </c>
      <c r="BJ13" s="25" t="n"/>
      <c r="BK13" s="26" t="n">
        <v>186</v>
      </c>
      <c r="BL13" s="27" t="n">
        <v>2.86</v>
      </c>
      <c r="BM13" s="28" t="n">
        <v>0.34965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2026-07-30T16:56:12Z</dcterms:created>
  <dcterms:modified xsi:type="dcterms:W3CDTF">2026-07-30T16:56:12Z</dcterms:modified>
</cp:coreProperties>
</file>