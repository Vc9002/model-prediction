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3" headerRowCount="1">
  <autoFilter ref="A1:CO3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COUNTA('Picks'!$A$2:$A$3)</f>
        <v/>
      </c>
      <c r="C4" s="6">
        <f>COUNTIF('Picks'!$U$2:$U$3,"open")</f>
        <v/>
      </c>
      <c r="E4" s="6">
        <f>COUNTIF('Picks'!$U$2:$U$3,"settled")</f>
        <v/>
      </c>
      <c r="G4" s="6">
        <f>IF(COUNTIFS('Picks'!$U$2:$U$3,"settled",'Picks'!$V$2:$V$3,"win")+COUNTIFS('Picks'!$U$2:$U$3,"settled",'Picks'!$V$2:$V$3,"loss")&gt;=$L$2,"Ready","Insufficient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COUNTIF('Picks'!$BX$2:$BX$3,"&gt;0")</f>
        <v/>
      </c>
      <c r="C7" s="6">
        <f>COUNTIFS('Picks'!$BX$2:$BX$3,"&gt;0",'Picks'!$V$2:$V$3,"win")&amp;"-"&amp;COUNTIFS('Picks'!$BX$2:$BX$3,"&gt;0",'Picks'!$V$2:$V$3,"loss")</f>
        <v/>
      </c>
      <c r="E7" s="7">
        <f>IFERROR(COUNTIFS('Picks'!$BX$2:$BX$3,"&gt;0",'Picks'!$V$2:$V$3,"win")/(COUNTIFS('Picks'!$BX$2:$BX$3,"&gt;0",'Picks'!$V$2:$V$3,"win")+COUNTIFS('Picks'!$BX$2:$BX$3,"&gt;0",'Picks'!$V$2:$V$3,"loss")),0)</f>
        <v/>
      </c>
      <c r="G7" s="7">
        <f>IFERROR(SUM('Picks'!$BY$2:$BY$3)/SUM('Picks'!$BX$2:$BX$3),0)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SUM('Picks'!$BY$2:$BY$3)</f>
        <v/>
      </c>
      <c r="C10" s="9">
        <f>IFERROR(AVERAGEIF('Picks'!$AB$2:$AB$3,"&lt;&gt;",'Picks'!$AB$2:$AB$3),0)</f>
        <v/>
      </c>
      <c r="E10" s="6">
        <f>COUNTIFS('Picks'!$AM$2:$AM$3,"QUALIFIED_SHADOW_CALL",'Picks'!$U$2:$U$3,"settled")</f>
        <v/>
      </c>
      <c r="G10" s="8">
        <f>SUMIFS('Picks'!$AC$2:$AC$3,'Picks'!$AM$2:$AM$3,"QUALIFIED_SHADOW_CALL")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COUNTIFS('Picks'!$H$2:$H$3,$A14,'Picks'!$U$2:$U$3,"settled")</f>
        <v/>
      </c>
      <c r="C14" s="13">
        <f>COUNTIFS('Picks'!$H$2:$H$3,$A14,'Picks'!$U$2:$U$3,"settled",'Picks'!$V$2:$V$3,"win")</f>
        <v/>
      </c>
      <c r="D14" s="13">
        <f>COUNTIFS('Picks'!$H$2:$H$3,$A14,'Picks'!$U$2:$U$3,"settled",'Picks'!$V$2:$V$3,"loss")</f>
        <v/>
      </c>
      <c r="E14" s="14">
        <f>IFERROR(C14/(C14+D14),0)</f>
        <v/>
      </c>
      <c r="F14" s="15">
        <f>SUMIFS('Picks'!$BY$2:$BY$3,'Picks'!$H$2:$H$3,$A14)</f>
        <v/>
      </c>
      <c r="G14" s="16">
        <f>IFERROR(AVERAGEIFS('Picks'!$AB$2:$AB$3,'Picks'!$H$2:$H$3,$A14,'Picks'!$U$2:$U$3,"settled"),0)</f>
        <v/>
      </c>
    </row>
    <row r="15">
      <c r="A15" s="17" t="inlineStr">
        <is>
          <t>spread</t>
        </is>
      </c>
      <c r="B15" s="18">
        <f>COUNTIFS('Picks'!$H$2:$H$3,$A15,'Picks'!$U$2:$U$3,"settled")</f>
        <v/>
      </c>
      <c r="C15" s="18">
        <f>COUNTIFS('Picks'!$H$2:$H$3,$A15,'Picks'!$U$2:$U$3,"settled",'Picks'!$V$2:$V$3,"win")</f>
        <v/>
      </c>
      <c r="D15" s="18">
        <f>COUNTIFS('Picks'!$H$2:$H$3,$A15,'Picks'!$U$2:$U$3,"settled",'Picks'!$V$2:$V$3,"loss")</f>
        <v/>
      </c>
      <c r="E15" s="19">
        <f>IFERROR(C15/(C15+D15),0)</f>
        <v/>
      </c>
      <c r="F15" s="20">
        <f>SUMIFS('Picks'!$BY$2:$BY$3,'Picks'!$H$2:$H$3,$A15)</f>
        <v/>
      </c>
      <c r="G15" s="21">
        <f>IFERROR(AVERAGEIFS('Picks'!$AB$2:$AB$3,'Picks'!$H$2:$H$3,$A15,'Picks'!$U$2:$U$3,"settled"),0)</f>
        <v/>
      </c>
    </row>
    <row r="16">
      <c r="A16" s="12" t="inlineStr">
        <is>
          <t>total</t>
        </is>
      </c>
      <c r="B16" s="13">
        <f>COUNTIFS('Picks'!$H$2:$H$3,$A16,'Picks'!$U$2:$U$3,"settled")</f>
        <v/>
      </c>
      <c r="C16" s="13">
        <f>COUNTIFS('Picks'!$H$2:$H$3,$A16,'Picks'!$U$2:$U$3,"settled",'Picks'!$V$2:$V$3,"win")</f>
        <v/>
      </c>
      <c r="D16" s="13">
        <f>COUNTIFS('Picks'!$H$2:$H$3,$A16,'Picks'!$U$2:$U$3,"settled",'Picks'!$V$2:$V$3,"loss")</f>
        <v/>
      </c>
      <c r="E16" s="14">
        <f>IFERROR(C16/(C16+D16),0)</f>
        <v/>
      </c>
      <c r="F16" s="15">
        <f>SUMIFS('Picks'!$BY$2:$BY$3,'Picks'!$H$2:$H$3,$A16)</f>
        <v/>
      </c>
      <c r="G16" s="16">
        <f>IFERROR(AVERAGEIFS('Picks'!$AB$2:$AB$3,'Picks'!$H$2:$H$3,$A16,'Picks'!$U$2:$U$3,"settled"),0)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a896c47e709542e0</t>
        </is>
      </c>
      <c r="B2" s="24" t="inlineStr">
        <is>
          <t>2026-07-27T17:38:19.923501Z</t>
        </is>
      </c>
      <c r="C2" s="24" t="inlineStr">
        <is>
          <t>2026-07-27T18:00:00Z</t>
        </is>
      </c>
      <c r="D2" s="24" t="inlineStr">
        <is>
          <t>62513</t>
        </is>
      </c>
      <c r="E2" s="24" t="inlineStr">
        <is>
          <t>DOTA2</t>
        </is>
      </c>
      <c r="F2" s="24" t="inlineStr">
        <is>
          <t>KW</t>
        </is>
      </c>
      <c r="G2" s="24" t="inlineStr">
        <is>
          <t>Team Bald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-122</v>
      </c>
      <c r="M2" s="27" t="n">
        <v>1.819672</v>
      </c>
      <c r="N2" s="28" t="n">
        <v>0.54955</v>
      </c>
      <c r="O2" s="28" t="n">
        <v>0.643378</v>
      </c>
      <c r="P2" s="28" t="n"/>
      <c r="Q2" s="28" t="n">
        <v>0.09382799999999999</v>
      </c>
      <c r="R2" s="26" t="n">
        <v>67</v>
      </c>
      <c r="S2" s="29" t="n">
        <v>2</v>
      </c>
      <c r="T2" s="24" t="inlineStr">
        <is>
          <t>dota2-tiered-elo-v4</t>
        </is>
      </c>
      <c r="U2" s="24" t="inlineStr">
        <is>
          <t>settled</t>
        </is>
      </c>
      <c r="V2" s="24" t="inlineStr">
        <is>
          <t>push</t>
        </is>
      </c>
      <c r="W2" s="26" t="n"/>
      <c r="X2" s="26" t="n"/>
      <c r="Y2" s="25" t="n"/>
      <c r="Z2" s="26" t="n"/>
      <c r="AA2" s="28" t="n"/>
      <c r="AB2" s="28" t="n"/>
      <c r="AC2" s="30" t="n">
        <v>0</v>
      </c>
      <c r="AD2" s="24" t="inlineStr">
        <is>
          <t>2026-07-28T01:57:19.057098Z</t>
        </is>
      </c>
      <c r="AE2" s="31" t="inlineStr">
        <is>
          <t>Neutral Elo baseline; executable ask 0.5500 (market_slug=aec-dota2-bald-kw-2026-07-27).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KW</t>
        </is>
      </c>
      <c r="AQ2" s="24" t="inlineStr">
        <is>
          <t>KW</t>
        </is>
      </c>
      <c r="AR2" s="24" t="inlineStr">
        <is>
          <t>KW</t>
        </is>
      </c>
      <c r="AS2" s="24" t="inlineStr">
        <is>
          <t>Team Bald</t>
        </is>
      </c>
      <c r="AT2" s="24" t="inlineStr">
        <is>
          <t>Team Bald</t>
        </is>
      </c>
      <c r="AU2" s="24" t="inlineStr">
        <is>
          <t>Team Bald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713355eeac1c7f851a8fe35e939969377fe0747dd60b1ddb9f28fd4faae96635</t>
        </is>
      </c>
      <c r="BB2" s="24" t="inlineStr">
        <is>
          <t>neutral_elo</t>
        </is>
      </c>
      <c r="BC2" s="24" t="inlineStr">
        <is>
          <t>dota2-tiered-elo-v4</t>
        </is>
      </c>
      <c r="BD2" s="24" t="inlineStr">
        <is>
          <t>713355eeac1c7f851a8fe35e939969377fe0747dd60b1ddb9f28fd4faae96635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dota2-tiered-elo-v4</t>
        </is>
      </c>
      <c r="BH2" s="24" t="inlineStr">
        <is>
          <t>2026-07-27T17:38:14.567529Z</t>
        </is>
      </c>
      <c r="BI2" s="24" t="inlineStr">
        <is>
          <t>["same_event","same_team_same_day","same_league_same_day"]</t>
        </is>
      </c>
      <c r="BJ2" s="25" t="n"/>
      <c r="BK2" s="26" t="n">
        <v>-122</v>
      </c>
      <c r="BL2" s="27" t="n">
        <v>1.819672</v>
      </c>
      <c r="BM2" s="28" t="n">
        <v>0.54955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inlineStr">
        <is>
          <t>esports market settled to a non-binary price (forfeit/postponement per market rules)</t>
        </is>
      </c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951623d4fee64f5a</t>
        </is>
      </c>
      <c r="B3" s="24" t="inlineStr">
        <is>
          <t>2026-07-28T11:18:10.759539Z</t>
        </is>
      </c>
      <c r="C3" s="24" t="inlineStr">
        <is>
          <t>2026-07-28T12:00:00Z</t>
        </is>
      </c>
      <c r="D3" s="24" t="inlineStr">
        <is>
          <t>62515</t>
        </is>
      </c>
      <c r="E3" s="24" t="inlineStr">
        <is>
          <t>DOTA2</t>
        </is>
      </c>
      <c r="F3" s="24" t="inlineStr">
        <is>
          <t>Level UP</t>
        </is>
      </c>
      <c r="G3" s="24" t="inlineStr">
        <is>
          <t>Team Bald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100</v>
      </c>
      <c r="M3" s="27" t="n">
        <v>2</v>
      </c>
      <c r="N3" s="28" t="n">
        <v>0.5</v>
      </c>
      <c r="O3" s="28" t="n">
        <v>0.523841</v>
      </c>
      <c r="P3" s="28" t="n"/>
      <c r="Q3" s="28" t="n">
        <v>0.023841</v>
      </c>
      <c r="R3" s="26" t="n">
        <v>32</v>
      </c>
      <c r="S3" s="29" t="n">
        <v>0.75</v>
      </c>
      <c r="T3" s="24" t="inlineStr">
        <is>
          <t>dota2-tiered-elo-v4</t>
        </is>
      </c>
      <c r="U3" s="24" t="inlineStr">
        <is>
          <t>open</t>
        </is>
      </c>
      <c r="V3" s="24" t="n"/>
      <c r="W3" s="26" t="n"/>
      <c r="X3" s="26" t="n"/>
      <c r="Y3" s="25" t="n"/>
      <c r="Z3" s="26" t="n"/>
      <c r="AA3" s="28" t="n"/>
      <c r="AB3" s="28" t="n"/>
      <c r="AC3" s="30" t="n"/>
      <c r="AD3" s="24" t="n"/>
      <c r="AE3" s="31" t="inlineStr">
        <is>
          <t>Neutral Elo baseline; executable ask 0.5000 (market_slug=aec-dota2-bald-lvlup-2026-07-28).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Level UP</t>
        </is>
      </c>
      <c r="AQ3" s="24" t="inlineStr">
        <is>
          <t>Level UP</t>
        </is>
      </c>
      <c r="AR3" s="24" t="inlineStr">
        <is>
          <t>Level UP</t>
        </is>
      </c>
      <c r="AS3" s="24" t="inlineStr">
        <is>
          <t>Team Bald</t>
        </is>
      </c>
      <c r="AT3" s="24" t="inlineStr">
        <is>
          <t>Team Bald</t>
        </is>
      </c>
      <c r="AU3" s="24" t="inlineStr">
        <is>
          <t>Team Bald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2eec6caa3ac9ef66f075873fd68ca2373e4c3dc3d989a802f3e79917f2c19f1e</t>
        </is>
      </c>
      <c r="BB3" s="24" t="inlineStr">
        <is>
          <t>neutral_elo</t>
        </is>
      </c>
      <c r="BC3" s="24" t="inlineStr">
        <is>
          <t>dota2-tiered-elo-v4</t>
        </is>
      </c>
      <c r="BD3" s="24" t="inlineStr">
        <is>
          <t>2eec6caa3ac9ef66f075873fd68ca2373e4c3dc3d989a802f3e79917f2c19f1e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dota2-tiered-elo-v4</t>
        </is>
      </c>
      <c r="BH3" s="24" t="inlineStr">
        <is>
          <t>2026-07-28T11:18:04.530689Z</t>
        </is>
      </c>
      <c r="BI3" s="24" t="inlineStr">
        <is>
          <t>["same_event","same_team_same_day","same_league_same_day"]</t>
        </is>
      </c>
      <c r="BJ3" s="25" t="n"/>
      <c r="BK3" s="26" t="n">
        <v>100</v>
      </c>
      <c r="BL3" s="27" t="n">
        <v>2</v>
      </c>
      <c r="BM3" s="28" t="n">
        <v>0.5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2026-07-28T15:00:51Z</dcterms:created>
  <dcterms:modified xsi:type="dcterms:W3CDTF">2026-07-28T15:00:51Z</dcterms:modified>
</cp:coreProperties>
</file>