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9" headerRowCount="1">
  <autoFilter ref="A1:CQ9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COUNTA('Picks'!$A$2:$A$9)</f>
        <v/>
      </c>
      <c r="C4" s="6">
        <f>COUNTIF('Picks'!$U$2:$U$9,"open")</f>
        <v/>
      </c>
      <c r="E4" s="6">
        <f>COUNTIF('Picks'!$U$2:$U$9,"settled")</f>
        <v/>
      </c>
      <c r="G4" s="6">
        <f>IF(COUNTIFS('Picks'!$U$2:$U$9,"settled",'Picks'!$V$2:$V$9,"win")+COUNTIFS('Picks'!$U$2:$U$9,"settled",'Picks'!$V$2:$V$9,"loss")&gt;=$L$2,"Ready","Insufficient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COUNTIF('Picks'!$BX$2:$BX$9,"&gt;0")</f>
        <v/>
      </c>
      <c r="C7" s="6">
        <f>COUNTIFS('Picks'!$BX$2:$BX$9,"&gt;0",'Picks'!$V$2:$V$9,"win")&amp;"-"&amp;COUNTIFS('Picks'!$BX$2:$BX$9,"&gt;0",'Picks'!$V$2:$V$9,"loss")</f>
        <v/>
      </c>
      <c r="E7" s="7">
        <f>IFERROR(COUNTIFS('Picks'!$BX$2:$BX$9,"&gt;0",'Picks'!$V$2:$V$9,"win")/(COUNTIFS('Picks'!$BX$2:$BX$9,"&gt;0",'Picks'!$V$2:$V$9,"win")+COUNTIFS('Picks'!$BX$2:$BX$9,"&gt;0",'Picks'!$V$2:$V$9,"loss")),0)</f>
        <v/>
      </c>
      <c r="G7" s="7">
        <f>IFERROR(SUM('Picks'!$BY$2:$BY$9)/SUM('Picks'!$BX$2:$BX$9),0)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SUM('Picks'!$BY$2:$BY$9)</f>
        <v/>
      </c>
      <c r="C10" s="9">
        <f>IFERROR(AVERAGEIF('Picks'!$AB$2:$AB$9,"&lt;&gt;",'Picks'!$AB$2:$AB$9),0)</f>
        <v/>
      </c>
      <c r="E10" s="6">
        <f>COUNTIFS('Picks'!$AM$2:$AM$9,"QUALIFIED_SHADOW_CALL",'Picks'!$U$2:$U$9,"settled")</f>
        <v/>
      </c>
      <c r="G10" s="8">
        <f>SUMIFS('Picks'!$AC$2:$AC$9,'Picks'!$AM$2:$AM$9,"QUALIFIED_SHADOW_CALL")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COUNTIFS('Picks'!$H$2:$H$9,$A14,'Picks'!$U$2:$U$9,"settled")</f>
        <v/>
      </c>
      <c r="C14" s="13">
        <f>COUNTIFS('Picks'!$H$2:$H$9,$A14,'Picks'!$U$2:$U$9,"settled",'Picks'!$V$2:$V$9,"win")</f>
        <v/>
      </c>
      <c r="D14" s="13">
        <f>COUNTIFS('Picks'!$H$2:$H$9,$A14,'Picks'!$U$2:$U$9,"settled",'Picks'!$V$2:$V$9,"loss")</f>
        <v/>
      </c>
      <c r="E14" s="14">
        <f>IFERROR(C14/(C14+D14),0)</f>
        <v/>
      </c>
      <c r="F14" s="15">
        <f>SUMIFS('Picks'!$BY$2:$BY$9,'Picks'!$H$2:$H$9,$A14)</f>
        <v/>
      </c>
      <c r="G14" s="16">
        <f>IFERROR(AVERAGEIFS('Picks'!$AB$2:$AB$9,'Picks'!$H$2:$H$9,$A14,'Picks'!$U$2:$U$9,"settled"),0)</f>
        <v/>
      </c>
    </row>
    <row r="15">
      <c r="A15" s="17" t="inlineStr">
        <is>
          <t>spread</t>
        </is>
      </c>
      <c r="B15" s="18">
        <f>COUNTIFS('Picks'!$H$2:$H$9,$A15,'Picks'!$U$2:$U$9,"settled")</f>
        <v/>
      </c>
      <c r="C15" s="18">
        <f>COUNTIFS('Picks'!$H$2:$H$9,$A15,'Picks'!$U$2:$U$9,"settled",'Picks'!$V$2:$V$9,"win")</f>
        <v/>
      </c>
      <c r="D15" s="18">
        <f>COUNTIFS('Picks'!$H$2:$H$9,$A15,'Picks'!$U$2:$U$9,"settled",'Picks'!$V$2:$V$9,"loss")</f>
        <v/>
      </c>
      <c r="E15" s="19">
        <f>IFERROR(C15/(C15+D15),0)</f>
        <v/>
      </c>
      <c r="F15" s="20">
        <f>SUMIFS('Picks'!$BY$2:$BY$9,'Picks'!$H$2:$H$9,$A15)</f>
        <v/>
      </c>
      <c r="G15" s="21">
        <f>IFERROR(AVERAGEIFS('Picks'!$AB$2:$AB$9,'Picks'!$H$2:$H$9,$A15,'Picks'!$U$2:$U$9,"settled"),0)</f>
        <v/>
      </c>
    </row>
    <row r="16">
      <c r="A16" s="12" t="inlineStr">
        <is>
          <t>total</t>
        </is>
      </c>
      <c r="B16" s="13">
        <f>COUNTIFS('Picks'!$H$2:$H$9,$A16,'Picks'!$U$2:$U$9,"settled")</f>
        <v/>
      </c>
      <c r="C16" s="13">
        <f>COUNTIFS('Picks'!$H$2:$H$9,$A16,'Picks'!$U$2:$U$9,"settled",'Picks'!$V$2:$V$9,"win")</f>
        <v/>
      </c>
      <c r="D16" s="13">
        <f>COUNTIFS('Picks'!$H$2:$H$9,$A16,'Picks'!$U$2:$U$9,"settled",'Picks'!$V$2:$V$9,"loss")</f>
        <v/>
      </c>
      <c r="E16" s="14">
        <f>IFERROR(C16/(C16+D16),0)</f>
        <v/>
      </c>
      <c r="F16" s="15">
        <f>SUMIFS('Picks'!$BY$2:$BY$9,'Picks'!$H$2:$H$9,$A16)</f>
        <v/>
      </c>
      <c r="G16" s="16">
        <f>IFERROR(AVERAGEIFS('Picks'!$AB$2:$AB$9,'Picks'!$H$2:$H$9,$A16,'Picks'!$U$2:$U$9,"settled"),0)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e5513af8c76d4b03</t>
        </is>
      </c>
      <c r="B2" s="24" t="inlineStr">
        <is>
          <t>2026-07-31T10:46:51.141594Z</t>
        </is>
      </c>
      <c r="C2" s="24" t="inlineStr">
        <is>
          <t>2026-07-31T11:00:00Z</t>
        </is>
      </c>
      <c r="D2" s="24" t="inlineStr">
        <is>
          <t>64818</t>
        </is>
      </c>
      <c r="E2" s="24" t="inlineStr">
        <is>
          <t>DOTA2</t>
        </is>
      </c>
      <c r="F2" s="24" t="inlineStr">
        <is>
          <t>GLYPH</t>
        </is>
      </c>
      <c r="G2" s="24" t="inlineStr">
        <is>
          <t>Enjoy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0.675115</v>
      </c>
      <c r="P2" s="28" t="n"/>
      <c r="Q2" s="28" t="n">
        <v>0.214286</v>
      </c>
      <c r="R2" s="26" t="n">
        <v>100</v>
      </c>
      <c r="S2" s="29" t="n">
        <v>2</v>
      </c>
      <c r="T2" s="24" t="inlineStr">
        <is>
          <t>dota2-tiered-elo-v5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>
        <v>117</v>
      </c>
      <c r="AA2" s="28" t="n">
        <v>0.46</v>
      </c>
      <c r="AB2" s="28" t="n">
        <v>-0.000829</v>
      </c>
      <c r="AC2" s="30" t="n">
        <v>2.34</v>
      </c>
      <c r="AD2" s="24" t="inlineStr">
        <is>
          <t>2026-07-31T16:45:02.553574Z</t>
        </is>
      </c>
      <c r="AE2" s="31" t="inlineStr">
        <is>
          <t>Neutral Elo baseline; executable ask 0.4600 (market_slug=aec-dota2-enjoy-glyph-2026-07-31).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GLYPH</t>
        </is>
      </c>
      <c r="AQ2" s="24" t="inlineStr">
        <is>
          <t>GLYPH</t>
        </is>
      </c>
      <c r="AR2" s="24" t="inlineStr">
        <is>
          <t>GLYPH</t>
        </is>
      </c>
      <c r="AS2" s="24" t="inlineStr">
        <is>
          <t>Enjoy</t>
        </is>
      </c>
      <c r="AT2" s="24" t="inlineStr">
        <is>
          <t>Enjoy</t>
        </is>
      </c>
      <c r="AU2" s="24" t="inlineStr">
        <is>
          <t>Enjoy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def433bd75610fad2e6504afeb97fc726ca47b86cda4e8e2a0e49fa44868309d</t>
        </is>
      </c>
      <c r="BB2" s="24" t="inlineStr">
        <is>
          <t>neutral_elo</t>
        </is>
      </c>
      <c r="BC2" s="24" t="inlineStr">
        <is>
          <t>dota2-tiered-elo-v5</t>
        </is>
      </c>
      <c r="BD2" s="24" t="inlineStr">
        <is>
          <t>def433bd75610fad2e6504afeb97fc726ca47b86cda4e8e2a0e49fa44868309d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dota2-tiered-elo-v5</t>
        </is>
      </c>
      <c r="BH2" s="24" t="inlineStr">
        <is>
          <t>2026-07-31T10:46:49.443966Z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720d6ff896f64777</t>
        </is>
      </c>
      <c r="B3" s="24" t="inlineStr">
        <is>
          <t>2026-07-31T13:44:01.315844Z</t>
        </is>
      </c>
      <c r="C3" s="24" t="inlineStr">
        <is>
          <t>2026-07-31T14:00:00Z</t>
        </is>
      </c>
      <c r="D3" s="24" t="inlineStr">
        <is>
          <t>64929</t>
        </is>
      </c>
      <c r="E3" s="24" t="inlineStr">
        <is>
          <t>DOTA2</t>
        </is>
      </c>
      <c r="F3" s="24" t="inlineStr">
        <is>
          <t>Zero Tenacity</t>
        </is>
      </c>
      <c r="G3" s="24" t="inlineStr">
        <is>
          <t>Yakult Brothers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156</v>
      </c>
      <c r="M3" s="27" t="n">
        <v>2.56</v>
      </c>
      <c r="N3" s="28" t="n">
        <v>0.390625</v>
      </c>
      <c r="O3" s="28" t="n">
        <v>0.610359</v>
      </c>
      <c r="P3" s="28" t="n"/>
      <c r="Q3" s="28" t="n">
        <v>0.219734</v>
      </c>
      <c r="R3" s="26" t="n">
        <v>100</v>
      </c>
      <c r="S3" s="29" t="n">
        <v>1.5</v>
      </c>
      <c r="T3" s="24" t="inlineStr">
        <is>
          <t>dota2-tiered-elo-v5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156</v>
      </c>
      <c r="AA3" s="28" t="n">
        <v>0.39</v>
      </c>
      <c r="AB3" s="28" t="n">
        <v>-0.000625</v>
      </c>
      <c r="AC3" s="30" t="n">
        <v>2.34</v>
      </c>
      <c r="AD3" s="24" t="inlineStr">
        <is>
          <t>2026-07-31T19:51:28.507069Z</t>
        </is>
      </c>
      <c r="AE3" s="31" t="inlineStr">
        <is>
          <t>Neutral Elo baseline; executable ask 0.3900 (market_slug=aec-dota2-yb-z10-2026-07-31).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Zero Tenacity</t>
        </is>
      </c>
      <c r="AQ3" s="24" t="inlineStr">
        <is>
          <t>Zero Tenacity</t>
        </is>
      </c>
      <c r="AR3" s="24" t="inlineStr">
        <is>
          <t>Zero Tenacity</t>
        </is>
      </c>
      <c r="AS3" s="24" t="inlineStr">
        <is>
          <t>Yakult Brothers</t>
        </is>
      </c>
      <c r="AT3" s="24" t="inlineStr">
        <is>
          <t>Yakult Brothers</t>
        </is>
      </c>
      <c r="AU3" s="24" t="inlineStr">
        <is>
          <t>Yakult Brothers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b5798e8e2d651ab79c8db316f3ec8a564cab27653a02daab82555f6e9f330ac3</t>
        </is>
      </c>
      <c r="BB3" s="24" t="inlineStr">
        <is>
          <t>neutral_elo</t>
        </is>
      </c>
      <c r="BC3" s="24" t="inlineStr">
        <is>
          <t>dota2-tiered-elo-v5</t>
        </is>
      </c>
      <c r="BD3" s="24" t="inlineStr">
        <is>
          <t>b5798e8e2d651ab79c8db316f3ec8a564cab27653a02daab82555f6e9f330ac3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dota2-tiered-elo-v5</t>
        </is>
      </c>
      <c r="BH3" s="24" t="inlineStr">
        <is>
          <t>2026-07-31T13:43:57.933952Z</t>
        </is>
      </c>
      <c r="BI3" s="24" t="inlineStr">
        <is>
          <t>["same_event","same_team_same_day","same_league_same_day"]</t>
        </is>
      </c>
      <c r="BJ3" s="25" t="n"/>
      <c r="BK3" s="26" t="n">
        <v>156</v>
      </c>
      <c r="BL3" s="27" t="n">
        <v>2.56</v>
      </c>
      <c r="BM3" s="28" t="n">
        <v>0.390625</v>
      </c>
      <c r="BN3" s="28" t="n"/>
      <c r="BO3" s="28" t="n"/>
      <c r="BP3" s="25" t="n"/>
      <c r="BQ3" s="27" t="n">
        <v>2.56</v>
      </c>
      <c r="BR3" s="28" t="n">
        <v>0.39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0938e25298a64dae</t>
        </is>
      </c>
      <c r="B4" s="24" t="inlineStr">
        <is>
          <t>2026-07-31T13:44:01.315844Z</t>
        </is>
      </c>
      <c r="C4" s="24" t="inlineStr">
        <is>
          <t>2026-07-31T14:00:00Z</t>
        </is>
      </c>
      <c r="D4" s="24" t="inlineStr">
        <is>
          <t>64928</t>
        </is>
      </c>
      <c r="E4" s="24" t="inlineStr">
        <is>
          <t>DOTA2</t>
        </is>
      </c>
      <c r="F4" s="24" t="inlineStr">
        <is>
          <t>LGD Gaming</t>
        </is>
      </c>
      <c r="G4" s="24" t="inlineStr">
        <is>
          <t>Xtreme Gaming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-127</v>
      </c>
      <c r="M4" s="27" t="n">
        <v>1.787402</v>
      </c>
      <c r="N4" s="28" t="n">
        <v>0.5594710000000001</v>
      </c>
      <c r="O4" s="28" t="n">
        <v>0.701925</v>
      </c>
      <c r="P4" s="28" t="n"/>
      <c r="Q4" s="28" t="n">
        <v>0.142454</v>
      </c>
      <c r="R4" s="26" t="n">
        <v>91</v>
      </c>
      <c r="S4" s="29" t="n">
        <v>2</v>
      </c>
      <c r="T4" s="24" t="inlineStr">
        <is>
          <t>dota2-tiered-elo-v5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-127</v>
      </c>
      <c r="AA4" s="28" t="n">
        <v>0.5600000000000001</v>
      </c>
      <c r="AB4" s="28" t="n">
        <v>0.000529</v>
      </c>
      <c r="AC4" s="30" t="n">
        <v>-2</v>
      </c>
      <c r="AD4" s="24" t="inlineStr">
        <is>
          <t>2026-07-31T23:28:46.755247Z</t>
        </is>
      </c>
      <c r="AE4" s="31" t="inlineStr">
        <is>
          <t>Neutral Elo baseline; executable ask 0.5600 (market_slug=aec-dota2-xtreme-lgd-2026-07-31).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LGD Gaming</t>
        </is>
      </c>
      <c r="AQ4" s="24" t="inlineStr">
        <is>
          <t>LGD Gaming</t>
        </is>
      </c>
      <c r="AR4" s="24" t="inlineStr">
        <is>
          <t>LGD Gaming</t>
        </is>
      </c>
      <c r="AS4" s="24" t="inlineStr">
        <is>
          <t>Xtreme Gaming</t>
        </is>
      </c>
      <c r="AT4" s="24" t="inlineStr">
        <is>
          <t>Xtreme Gaming</t>
        </is>
      </c>
      <c r="AU4" s="24" t="inlineStr">
        <is>
          <t>Xtreme Gaming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b5798e8e2d651ab79c8db316f3ec8a564cab27653a02daab82555f6e9f330ac3</t>
        </is>
      </c>
      <c r="BB4" s="24" t="inlineStr">
        <is>
          <t>neutral_elo</t>
        </is>
      </c>
      <c r="BC4" s="24" t="inlineStr">
        <is>
          <t>dota2-tiered-elo-v5</t>
        </is>
      </c>
      <c r="BD4" s="24" t="inlineStr">
        <is>
          <t>b5798e8e2d651ab79c8db316f3ec8a564cab27653a02daab82555f6e9f330ac3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dota2-tiered-elo-v5</t>
        </is>
      </c>
      <c r="BH4" s="24" t="inlineStr">
        <is>
          <t>2026-07-31T13:43:58.701955Z</t>
        </is>
      </c>
      <c r="BI4" s="24" t="inlineStr">
        <is>
          <t>["same_event","same_team_same_day","same_league_same_day"]</t>
        </is>
      </c>
      <c r="BJ4" s="25" t="n"/>
      <c r="BK4" s="26" t="n">
        <v>-127</v>
      </c>
      <c r="BL4" s="27" t="n">
        <v>1.787402</v>
      </c>
      <c r="BM4" s="28" t="n">
        <v>0.5594710000000001</v>
      </c>
      <c r="BN4" s="28" t="n"/>
      <c r="BO4" s="28" t="n"/>
      <c r="BP4" s="25" t="n"/>
      <c r="BQ4" s="27" t="n">
        <v>1.787402</v>
      </c>
      <c r="BR4" s="28" t="n">
        <v>0.5600000000000001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631326b56379473e</t>
        </is>
      </c>
      <c r="B5" s="24" t="inlineStr">
        <is>
          <t>2026-08-01T03:02:50.460010Z</t>
        </is>
      </c>
      <c r="C5" s="24" t="inlineStr">
        <is>
          <t>2026-08-01T05:00:00Z</t>
        </is>
      </c>
      <c r="D5" s="24" t="inlineStr">
        <is>
          <t>67530</t>
        </is>
      </c>
      <c r="E5" s="24" t="inlineStr">
        <is>
          <t>DOTA2</t>
        </is>
      </c>
      <c r="F5" s="24" t="inlineStr">
        <is>
          <t>Team Resilience</t>
        </is>
      </c>
      <c r="G5" s="24" t="inlineStr">
        <is>
          <t>Midas Club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0.630791</v>
      </c>
      <c r="P5" s="28" t="n"/>
      <c r="Q5" s="28" t="n">
        <v>0.030791</v>
      </c>
      <c r="R5" s="26" t="n">
        <v>35</v>
      </c>
      <c r="S5" s="29" t="n">
        <v>1.5</v>
      </c>
      <c r="T5" s="24" t="inlineStr">
        <is>
          <t>dota2-tiered-elo-v5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2026-08-01T10:16:06.748137Z</t>
        </is>
      </c>
      <c r="AE5" s="31" t="inlineStr">
        <is>
          <t>Neutral Elo baseline; executable ask 0.6000 (market_slug=aec-dota2-midas-tr-2026-08-01).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Team Resilience</t>
        </is>
      </c>
      <c r="AQ5" s="24" t="inlineStr">
        <is>
          <t>Team Resilience</t>
        </is>
      </c>
      <c r="AR5" s="24" t="inlineStr">
        <is>
          <t>Team Resilience</t>
        </is>
      </c>
      <c r="AS5" s="24" t="inlineStr">
        <is>
          <t>Midas Club</t>
        </is>
      </c>
      <c r="AT5" s="24" t="inlineStr">
        <is>
          <t>Midas Club</t>
        </is>
      </c>
      <c r="AU5" s="24" t="inlineStr">
        <is>
          <t>Midas Club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70c4a9b222a6dac9c1b0737621af569fa1e0e955085795442f7ac4d19191488f</t>
        </is>
      </c>
      <c r="BB5" s="24" t="inlineStr">
        <is>
          <t>neutral_elo</t>
        </is>
      </c>
      <c r="BC5" s="24" t="inlineStr">
        <is>
          <t>dota2-tiered-elo-v5</t>
        </is>
      </c>
      <c r="BD5" s="24" t="inlineStr">
        <is>
          <t>70c4a9b222a6dac9c1b0737621af569fa1e0e955085795442f7ac4d19191488f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dota2-tiered-elo-v5</t>
        </is>
      </c>
      <c r="BH5" s="24" t="inlineStr">
        <is>
          <t>2026-08-01T03:02:45.273136Z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9518099e84cd4bb6</t>
        </is>
      </c>
      <c r="B6" s="24" t="inlineStr">
        <is>
          <t>2026-08-01T06:42:17.908342Z</t>
        </is>
      </c>
      <c r="C6" s="24" t="inlineStr">
        <is>
          <t>2026-08-01T08:00:00Z</t>
        </is>
      </c>
      <c r="D6" s="24" t="inlineStr">
        <is>
          <t>67531</t>
        </is>
      </c>
      <c r="E6" s="24" t="inlineStr">
        <is>
          <t>DOTA2</t>
        </is>
      </c>
      <c r="F6" s="24" t="inlineStr">
        <is>
          <t>PlayTime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0.685333</v>
      </c>
      <c r="P6" s="28" t="n"/>
      <c r="Q6" s="28" t="n">
        <v>0.045045</v>
      </c>
      <c r="R6" s="26" t="n">
        <v>43</v>
      </c>
      <c r="S6" s="29" t="n">
        <v>2</v>
      </c>
      <c r="T6" s="24" t="inlineStr">
        <is>
          <t>dota2-tiered-elo-v5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>
        <v>-178</v>
      </c>
      <c r="AA6" s="28" t="n">
        <v>0.64</v>
      </c>
      <c r="AB6" s="28" t="n">
        <v>-0.000288</v>
      </c>
      <c r="AC6" s="30" t="n">
        <v>-2</v>
      </c>
      <c r="AD6" s="24" t="inlineStr">
        <is>
          <t>2026-08-01T13:41:26.204467Z</t>
        </is>
      </c>
      <c r="AE6" s="31" t="inlineStr">
        <is>
          <t>Neutral Elo baseline; executable ask 0.6400 (market_slug=aec-dota2-re-pla-2026-08-01).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PlayTime</t>
        </is>
      </c>
      <c r="AQ6" s="24" t="inlineStr">
        <is>
          <t>PlayTime</t>
        </is>
      </c>
      <c r="AR6" s="24" t="inlineStr">
        <is>
          <t>PlayTime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752abd49fc5066bbf6c0b57bc44412069a390e80fbe7ec7ad0c39f984fb62854</t>
        </is>
      </c>
      <c r="BB6" s="24" t="inlineStr">
        <is>
          <t>neutral_elo</t>
        </is>
      </c>
      <c r="BC6" s="24" t="inlineStr">
        <is>
          <t>dota2-tiered-elo-v5</t>
        </is>
      </c>
      <c r="BD6" s="24" t="inlineStr">
        <is>
          <t>752abd49fc5066bbf6c0b57bc44412069a390e80fbe7ec7ad0c39f984fb62854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dota2-tiered-elo-v5</t>
        </is>
      </c>
      <c r="BH6" s="24" t="inlineStr">
        <is>
          <t>2026-08-01T06:42:13.849047Z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/>
      <c r="BO6" s="28" t="n"/>
      <c r="BP6" s="25" t="n"/>
      <c r="BQ6" s="27" t="n">
        <v>1.561798</v>
      </c>
      <c r="BR6" s="28" t="n">
        <v>0.64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ed3b2bbfc78f4fd7</t>
        </is>
      </c>
      <c r="B7" s="24" t="inlineStr">
        <is>
          <t>2026-08-02T07:16:32.312595Z</t>
        </is>
      </c>
      <c r="C7" s="24" t="inlineStr">
        <is>
          <t>2026-08-02T08:00:00Z</t>
        </is>
      </c>
      <c r="D7" s="24" t="inlineStr">
        <is>
          <t>68446</t>
        </is>
      </c>
      <c r="E7" s="24" t="inlineStr">
        <is>
          <t>DOTA2</t>
        </is>
      </c>
      <c r="F7" s="24" t="inlineStr">
        <is>
          <t>Team Resilience</t>
        </is>
      </c>
      <c r="G7" s="24" t="inlineStr">
        <is>
          <t>Yellow Submarine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0.576085</v>
      </c>
      <c r="P7" s="28" t="n"/>
      <c r="Q7" s="28" t="n">
        <v>0.135556</v>
      </c>
      <c r="R7" s="26" t="n">
        <v>88</v>
      </c>
      <c r="S7" s="29" t="n">
        <v>1.25</v>
      </c>
      <c r="T7" s="24" t="inlineStr">
        <is>
          <t>dota2-tiered-elo-v5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127</v>
      </c>
      <c r="AA7" s="28" t="n">
        <v>0.44</v>
      </c>
      <c r="AB7" s="28" t="n">
        <v>-0.000529</v>
      </c>
      <c r="AC7" s="30" t="n">
        <v>-1.25</v>
      </c>
      <c r="AD7" s="24" t="inlineStr">
        <is>
          <t>2026-08-02T15:53:37.832218Z</t>
        </is>
      </c>
      <c r="AE7" s="31" t="inlineStr">
        <is>
          <t>Neutral Elo baseline; executable ask 0.4400 (market_slug=aec-dota2-yes-tr-2026-08-02).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Team Resilience</t>
        </is>
      </c>
      <c r="AQ7" s="24" t="inlineStr">
        <is>
          <t>Team Resilience</t>
        </is>
      </c>
      <c r="AR7" s="24" t="inlineStr">
        <is>
          <t>Team Resilience</t>
        </is>
      </c>
      <c r="AS7" s="24" t="inlineStr">
        <is>
          <t>Yellow Submarine</t>
        </is>
      </c>
      <c r="AT7" s="24" t="inlineStr">
        <is>
          <t>Yellow Submarine</t>
        </is>
      </c>
      <c r="AU7" s="24" t="inlineStr">
        <is>
          <t>Yellow Submarine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9e5f3e455da6fe4a2d8dcc8c9466846303c6541f69893fd12aeb76cf2c918868</t>
        </is>
      </c>
      <c r="BB7" s="24" t="inlineStr">
        <is>
          <t>neutral_elo</t>
        </is>
      </c>
      <c r="BC7" s="24" t="inlineStr">
        <is>
          <t>dota2-tiered-elo-v5</t>
        </is>
      </c>
      <c r="BD7" s="24" t="inlineStr">
        <is>
          <t>9e5f3e455da6fe4a2d8dcc8c9466846303c6541f69893fd12aeb76cf2c918868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dota2-tiered-elo-v5</t>
        </is>
      </c>
      <c r="BH7" s="24" t="inlineStr">
        <is>
          <t>2026-08-02T07:16:30.813424Z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>
        <v>2.27</v>
      </c>
      <c r="BR7" s="28" t="n">
        <v>0.44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74d7b0ae490e40d2</t>
        </is>
      </c>
      <c r="B8" s="24" t="inlineStr">
        <is>
          <t>2026-08-02T10:00:11.648885Z</t>
        </is>
      </c>
      <c r="C8" s="24" t="inlineStr">
        <is>
          <t>2026-08-02T11:00:00Z</t>
        </is>
      </c>
      <c r="D8" s="24" t="inlineStr">
        <is>
          <t>69232</t>
        </is>
      </c>
      <c r="E8" s="24" t="inlineStr">
        <is>
          <t>DOTA2</t>
        </is>
      </c>
      <c r="F8" s="24" t="inlineStr">
        <is>
          <t>Yakult Brothers</t>
        </is>
      </c>
      <c r="G8" s="24" t="inlineStr">
        <is>
          <t>REKONIX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104</v>
      </c>
      <c r="M8" s="27" t="n">
        <v>2.04</v>
      </c>
      <c r="N8" s="28" t="n">
        <v>0.490196</v>
      </c>
      <c r="O8" s="28" t="n">
        <v>0.702765</v>
      </c>
      <c r="P8" s="28" t="n"/>
      <c r="Q8" s="28" t="n">
        <v>0.212569</v>
      </c>
      <c r="R8" s="26" t="n">
        <v>100</v>
      </c>
      <c r="S8" s="29" t="n">
        <v>2</v>
      </c>
      <c r="T8" s="24" t="inlineStr">
        <is>
          <t>dota2-tiered-elo-v5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0.4900 (market_slug=aec-dota2-rnx-yb-2026-08-02).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Yakult Brothers</t>
        </is>
      </c>
      <c r="AQ8" s="24" t="inlineStr">
        <is>
          <t>Yakult Brothers</t>
        </is>
      </c>
      <c r="AR8" s="24" t="inlineStr">
        <is>
          <t>Yakult Brothers</t>
        </is>
      </c>
      <c r="AS8" s="24" t="inlineStr">
        <is>
          <t>REKONIX</t>
        </is>
      </c>
      <c r="AT8" s="24" t="inlineStr">
        <is>
          <t>REKONIX</t>
        </is>
      </c>
      <c r="AU8" s="24" t="inlineStr">
        <is>
          <t>REKONIX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d60687e602976b4a2779a4ff6a5f8f825a178fa4df1e53dc8ee5e3eeffcc3d8b</t>
        </is>
      </c>
      <c r="BB8" s="24" t="inlineStr">
        <is>
          <t>neutral_elo</t>
        </is>
      </c>
      <c r="BC8" s="24" t="inlineStr">
        <is>
          <t>dota2-tiered-elo-v5</t>
        </is>
      </c>
      <c r="BD8" s="24" t="inlineStr">
        <is>
          <t>d60687e602976b4a2779a4ff6a5f8f825a178fa4df1e53dc8ee5e3eeffcc3d8b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dota2-tiered-elo-v5</t>
        </is>
      </c>
      <c r="BH8" s="24" t="inlineStr">
        <is>
          <t>2026-08-02T10:00:10.645047Z</t>
        </is>
      </c>
      <c r="BI8" s="24" t="inlineStr">
        <is>
          <t>["same_event","same_team_same_day","same_league_same_day"]</t>
        </is>
      </c>
      <c r="BJ8" s="25" t="n"/>
      <c r="BK8" s="26" t="n">
        <v>104</v>
      </c>
      <c r="BL8" s="27" t="n">
        <v>2.04</v>
      </c>
      <c r="BM8" s="28" t="n">
        <v>0.490196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33a58505413e4951</t>
        </is>
      </c>
      <c r="B9" s="24" t="inlineStr">
        <is>
          <t>2026-08-02T16:15:20.632773Z</t>
        </is>
      </c>
      <c r="C9" s="24" t="inlineStr">
        <is>
          <t>2026-08-03T05:00:00Z</t>
        </is>
      </c>
      <c r="D9" s="24" t="inlineStr">
        <is>
          <t>69530</t>
        </is>
      </c>
      <c r="E9" s="24" t="inlineStr">
        <is>
          <t>DOTA2</t>
        </is>
      </c>
      <c r="F9" s="24" t="inlineStr">
        <is>
          <t>GLYPH</t>
        </is>
      </c>
      <c r="G9" s="24" t="inlineStr">
        <is>
          <t>PlayTime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0.687866</v>
      </c>
      <c r="P9" s="28" t="n"/>
      <c r="Q9" s="28" t="n">
        <v>0.128395</v>
      </c>
      <c r="R9" s="26" t="n">
        <v>84</v>
      </c>
      <c r="S9" s="29" t="n">
        <v>2</v>
      </c>
      <c r="T9" s="24" t="inlineStr">
        <is>
          <t>dota2-tiered-elo-v5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0.5600 (market_slug=aec-dota2-pla-glyph-2026-08-03).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GLYPH</t>
        </is>
      </c>
      <c r="AQ9" s="24" t="inlineStr">
        <is>
          <t>GLYPH</t>
        </is>
      </c>
      <c r="AR9" s="24" t="inlineStr">
        <is>
          <t>GLYPH</t>
        </is>
      </c>
      <c r="AS9" s="24" t="inlineStr">
        <is>
          <t>PlayTime</t>
        </is>
      </c>
      <c r="AT9" s="24" t="inlineStr">
        <is>
          <t>PlayTime</t>
        </is>
      </c>
      <c r="AU9" s="24" t="inlineStr">
        <is>
          <t>PlayTime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dd15133f8ac3980e0e8f9507ceb080d57ad35a633e2d504e0df7fc9cdc098a3f</t>
        </is>
      </c>
      <c r="BB9" s="24" t="inlineStr">
        <is>
          <t>neutral_elo</t>
        </is>
      </c>
      <c r="BC9" s="24" t="inlineStr">
        <is>
          <t>dota2-tiered-elo-v5</t>
        </is>
      </c>
      <c r="BD9" s="24" t="inlineStr">
        <is>
          <t>dd15133f8ac3980e0e8f9507ceb080d57ad35a633e2d504e0df7fc9cdc098a3f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dota2-tiered-elo-v5</t>
        </is>
      </c>
      <c r="BH9" s="24" t="inlineStr">
        <is>
          <t>2026-08-02T16:15:20.152893Z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2026-08-02T16:20:05Z</dcterms:created>
  <dcterms:modified xsi:type="dcterms:W3CDTF">2026-08-02T16:20:05Z</dcterms:modified>
</cp:coreProperties>
</file>