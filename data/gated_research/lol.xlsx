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8" headerRowCount="1">
  <autoFilter ref="A1:CQ18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COUNTA('Picks'!$A$2:$A$18)</f>
        <v/>
      </c>
      <c r="C4" s="6">
        <f>COUNTIF('Picks'!$U$2:$U$18,"open")</f>
        <v/>
      </c>
      <c r="E4" s="6">
        <f>COUNTIF('Picks'!$U$2:$U$18,"settled")</f>
        <v/>
      </c>
      <c r="G4" s="6">
        <f>IF(COUNTIFS('Picks'!$U$2:$U$18,"settled",'Picks'!$V$2:$V$18,"win")+COUNTIFS('Picks'!$U$2:$U$18,"settled",'Picks'!$V$2:$V$18,"loss")&gt;=$L$2,"Ready","Insufficient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COUNTIF('Picks'!$BX$2:$BX$18,"&gt;0")</f>
        <v/>
      </c>
      <c r="C7" s="6">
        <f>COUNTIFS('Picks'!$BX$2:$BX$18,"&gt;0",'Picks'!$V$2:$V$18,"win")&amp;"-"&amp;COUNTIFS('Picks'!$BX$2:$BX$18,"&gt;0",'Picks'!$V$2:$V$18,"loss")</f>
        <v/>
      </c>
      <c r="E7" s="7">
        <f>IFERROR(COUNTIFS('Picks'!$BX$2:$BX$18,"&gt;0",'Picks'!$V$2:$V$18,"win")/(COUNTIFS('Picks'!$BX$2:$BX$18,"&gt;0",'Picks'!$V$2:$V$18,"win")+COUNTIFS('Picks'!$BX$2:$BX$18,"&gt;0",'Picks'!$V$2:$V$18,"loss")),0)</f>
        <v/>
      </c>
      <c r="G7" s="7">
        <f>IFERROR(SUM('Picks'!$BY$2:$BY$18)/SUM('Picks'!$BX$2:$BX$18),0)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SUM('Picks'!$BY$2:$BY$18)</f>
        <v/>
      </c>
      <c r="C10" s="9">
        <f>IFERROR(AVERAGEIF('Picks'!$AB$2:$AB$18,"&lt;&gt;",'Picks'!$AB$2:$AB$18),0)</f>
        <v/>
      </c>
      <c r="E10" s="6">
        <f>COUNTIFS('Picks'!$AM$2:$AM$18,"QUALIFIED_SHADOW_CALL",'Picks'!$U$2:$U$18,"settled")</f>
        <v/>
      </c>
      <c r="G10" s="8">
        <f>SUMIFS('Picks'!$AC$2:$AC$18,'Picks'!$AM$2:$AM$18,"QUALIFIED_SHADOW_CALL")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COUNTIFS('Picks'!$H$2:$H$18,$A14,'Picks'!$U$2:$U$18,"settled")</f>
        <v/>
      </c>
      <c r="C14" s="13">
        <f>COUNTIFS('Picks'!$H$2:$H$18,$A14,'Picks'!$U$2:$U$18,"settled",'Picks'!$V$2:$V$18,"win")</f>
        <v/>
      </c>
      <c r="D14" s="13">
        <f>COUNTIFS('Picks'!$H$2:$H$18,$A14,'Picks'!$U$2:$U$18,"settled",'Picks'!$V$2:$V$18,"loss")</f>
        <v/>
      </c>
      <c r="E14" s="14">
        <f>IFERROR(C14/(C14+D14),0)</f>
        <v/>
      </c>
      <c r="F14" s="15">
        <f>SUMIFS('Picks'!$BY$2:$BY$18,'Picks'!$H$2:$H$18,$A14)</f>
        <v/>
      </c>
      <c r="G14" s="16">
        <f>IFERROR(AVERAGEIFS('Picks'!$AB$2:$AB$18,'Picks'!$H$2:$H$18,$A14,'Picks'!$U$2:$U$18,"settled"),0)</f>
        <v/>
      </c>
    </row>
    <row r="15">
      <c r="A15" s="17" t="inlineStr">
        <is>
          <t>spread</t>
        </is>
      </c>
      <c r="B15" s="18">
        <f>COUNTIFS('Picks'!$H$2:$H$18,$A15,'Picks'!$U$2:$U$18,"settled")</f>
        <v/>
      </c>
      <c r="C15" s="18">
        <f>COUNTIFS('Picks'!$H$2:$H$18,$A15,'Picks'!$U$2:$U$18,"settled",'Picks'!$V$2:$V$18,"win")</f>
        <v/>
      </c>
      <c r="D15" s="18">
        <f>COUNTIFS('Picks'!$H$2:$H$18,$A15,'Picks'!$U$2:$U$18,"settled",'Picks'!$V$2:$V$18,"loss")</f>
        <v/>
      </c>
      <c r="E15" s="19">
        <f>IFERROR(C15/(C15+D15),0)</f>
        <v/>
      </c>
      <c r="F15" s="20">
        <f>SUMIFS('Picks'!$BY$2:$BY$18,'Picks'!$H$2:$H$18,$A15)</f>
        <v/>
      </c>
      <c r="G15" s="21">
        <f>IFERROR(AVERAGEIFS('Picks'!$AB$2:$AB$18,'Picks'!$H$2:$H$18,$A15,'Picks'!$U$2:$U$18,"settled"),0)</f>
        <v/>
      </c>
    </row>
    <row r="16">
      <c r="A16" s="12" t="inlineStr">
        <is>
          <t>total</t>
        </is>
      </c>
      <c r="B16" s="13">
        <f>COUNTIFS('Picks'!$H$2:$H$18,$A16,'Picks'!$U$2:$U$18,"settled")</f>
        <v/>
      </c>
      <c r="C16" s="13">
        <f>COUNTIFS('Picks'!$H$2:$H$18,$A16,'Picks'!$U$2:$U$18,"settled",'Picks'!$V$2:$V$18,"win")</f>
        <v/>
      </c>
      <c r="D16" s="13">
        <f>COUNTIFS('Picks'!$H$2:$H$18,$A16,'Picks'!$U$2:$U$18,"settled",'Picks'!$V$2:$V$18,"loss")</f>
        <v/>
      </c>
      <c r="E16" s="14">
        <f>IFERROR(C16/(C16+D16),0)</f>
        <v/>
      </c>
      <c r="F16" s="15">
        <f>SUMIFS('Picks'!$BY$2:$BY$18,'Picks'!$H$2:$H$18,$A16)</f>
        <v/>
      </c>
      <c r="G16" s="16">
        <f>IFERROR(AVERAGEIFS('Picks'!$AB$2:$AB$18,'Picks'!$H$2:$H$18,$A16,'Picks'!$U$2:$U$18,"settled"),0)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2528510b1bec48eb</t>
        </is>
      </c>
      <c r="B2" s="24" t="inlineStr">
        <is>
          <t>2026-08-01T06:41:46.814528Z</t>
        </is>
      </c>
      <c r="C2" s="24" t="inlineStr">
        <is>
          <t>2026-08-01T08:00:00Z</t>
        </is>
      </c>
      <c r="D2" s="24" t="inlineStr">
        <is>
          <t>65819</t>
        </is>
      </c>
      <c r="E2" s="24" t="inlineStr">
        <is>
          <t>LOL</t>
        </is>
      </c>
      <c r="F2" s="24" t="inlineStr">
        <is>
          <t>BNK FEARX</t>
        </is>
      </c>
      <c r="G2" s="24" t="inlineStr">
        <is>
          <t>Nongshim Red Force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0.556975</v>
      </c>
      <c r="P2" s="28" t="n"/>
      <c r="Q2" s="28" t="n">
        <v>0.096146</v>
      </c>
      <c r="R2" s="26" t="n">
        <v>68</v>
      </c>
      <c r="S2" s="29" t="n">
        <v>1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117</v>
      </c>
      <c r="AA2" s="28" t="n">
        <v>0.46</v>
      </c>
      <c r="AB2" s="28" t="n">
        <v>-0.000829</v>
      </c>
      <c r="AC2" s="30" t="n">
        <v>1.17</v>
      </c>
      <c r="AD2" s="24" t="inlineStr">
        <is>
          <t>2026-08-01T13:41:27.326548Z</t>
        </is>
      </c>
      <c r="AE2" s="31" t="inlineStr">
        <is>
          <t>Neutral Elo baseline; executable ask 0.4600 (market_slug=aec-lol-ns-bfx-2026-08-01).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BNK FEARX</t>
        </is>
      </c>
      <c r="AQ2" s="24" t="inlineStr">
        <is>
          <t>BNK FEARX</t>
        </is>
      </c>
      <c r="AR2" s="24" t="inlineStr">
        <is>
          <t>BNK FEARX</t>
        </is>
      </c>
      <c r="AS2" s="24" t="inlineStr">
        <is>
          <t>Nongshim Red Force</t>
        </is>
      </c>
      <c r="AT2" s="24" t="inlineStr">
        <is>
          <t>Nongshim Red Force</t>
        </is>
      </c>
      <c r="AU2" s="24" t="inlineStr">
        <is>
          <t>Nongshim Red Force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c61cc9d3c53952a2d4111be692cacdf7a1a440dd2df7c5d30197b2be280180db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c61cc9d3c53952a2d4111be692cacdf7a1a440dd2df7c5d30197b2be280180db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2026-08-01T06:41:28.116348Z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2b526eb0bb454527</t>
        </is>
      </c>
      <c r="B3" s="24" t="inlineStr">
        <is>
          <t>2026-08-01T13:46:26.991370Z</t>
        </is>
      </c>
      <c r="C3" s="24" t="inlineStr">
        <is>
          <t>2026-08-01T15:00:00Z</t>
        </is>
      </c>
      <c r="D3" s="24" t="inlineStr">
        <is>
          <t>65952</t>
        </is>
      </c>
      <c r="E3" s="24" t="inlineStr">
        <is>
          <t>LOL</t>
        </is>
      </c>
      <c r="F3" s="24" t="inlineStr">
        <is>
          <t>SK Gaming</t>
        </is>
      </c>
      <c r="G3" s="24" t="inlineStr">
        <is>
          <t>GIANTX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-186</v>
      </c>
      <c r="M3" s="27" t="n">
        <v>1.537634</v>
      </c>
      <c r="N3" s="28" t="n">
        <v>0.65035</v>
      </c>
      <c r="O3" s="28" t="n">
        <v>0.749744</v>
      </c>
      <c r="P3" s="28" t="n"/>
      <c r="Q3" s="28" t="n">
        <v>0.099394</v>
      </c>
      <c r="R3" s="26" t="n">
        <v>70</v>
      </c>
      <c r="S3" s="29" t="n">
        <v>2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-186</v>
      </c>
      <c r="AA3" s="28" t="n">
        <v>0.65</v>
      </c>
      <c r="AB3" s="28" t="n">
        <v>-0.00035</v>
      </c>
      <c r="AC3" s="30" t="n">
        <v>-2</v>
      </c>
      <c r="AD3" s="24" t="inlineStr">
        <is>
          <t>2026-08-01T18:35:44.779601Z</t>
        </is>
      </c>
      <c r="AE3" s="31" t="inlineStr">
        <is>
          <t>Neutral Elo baseline; executable ask 0.6500 (market_slug=aec-lol-gx-sk-2026-08-01).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SK Gaming</t>
        </is>
      </c>
      <c r="AQ3" s="24" t="inlineStr">
        <is>
          <t>SK Gaming</t>
        </is>
      </c>
      <c r="AR3" s="24" t="inlineStr">
        <is>
          <t>SK Gaming</t>
        </is>
      </c>
      <c r="AS3" s="24" t="inlineStr">
        <is>
          <t>GIANTX</t>
        </is>
      </c>
      <c r="AT3" s="24" t="inlineStr">
        <is>
          <t>GIANTX</t>
        </is>
      </c>
      <c r="AU3" s="24" t="inlineStr">
        <is>
          <t>GIANTX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a0225de77fed9ecff6db7a91aa1fb133fedb181174eece235a4505669cc54dc3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a0225de77fed9ecff6db7a91aa1fb133fedb181174eece235a4505669cc54dc3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2026-08-01T13:46:15.238583Z</t>
        </is>
      </c>
      <c r="BI3" s="24" t="inlineStr">
        <is>
          <t>["same_event","same_team_same_day","same_league_same_day"]</t>
        </is>
      </c>
      <c r="BJ3" s="25" t="n"/>
      <c r="BK3" s="26" t="n">
        <v>-186</v>
      </c>
      <c r="BL3" s="27" t="n">
        <v>1.537634</v>
      </c>
      <c r="BM3" s="28" t="n">
        <v>0.65035</v>
      </c>
      <c r="BN3" s="28" t="n"/>
      <c r="BO3" s="28" t="n"/>
      <c r="BP3" s="25" t="n"/>
      <c r="BQ3" s="27" t="n">
        <v>1.537634</v>
      </c>
      <c r="BR3" s="28" t="n">
        <v>0.65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cbe1e98602f44c34</t>
        </is>
      </c>
      <c r="B4" s="24" t="inlineStr">
        <is>
          <t>2026-08-01T13:46:26.991370Z</t>
        </is>
      </c>
      <c r="C4" s="24" t="inlineStr">
        <is>
          <t>2026-08-01T16:00:00Z</t>
        </is>
      </c>
      <c r="D4" s="24" t="inlineStr">
        <is>
          <t>66008</t>
        </is>
      </c>
      <c r="E4" s="24" t="inlineStr">
        <is>
          <t>LOL</t>
        </is>
      </c>
      <c r="F4" s="24" t="inlineStr">
        <is>
          <t>FURIA Esports</t>
        </is>
      </c>
      <c r="G4" s="24" t="inlineStr">
        <is>
          <t>Vivo Keyd Stars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0.557751</v>
      </c>
      <c r="P4" s="28" t="n"/>
      <c r="Q4" s="28" t="n">
        <v>0.027235</v>
      </c>
      <c r="R4" s="26" t="n">
        <v>34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-113</v>
      </c>
      <c r="AA4" s="28" t="n">
        <v>0.53</v>
      </c>
      <c r="AB4" s="28" t="n">
        <v>-0.000516</v>
      </c>
      <c r="AC4" s="30" t="n">
        <v>-1</v>
      </c>
      <c r="AD4" s="24" t="inlineStr">
        <is>
          <t>2026-08-01T18:35:45.870837Z</t>
        </is>
      </c>
      <c r="AE4" s="31" t="inlineStr">
        <is>
          <t>Neutral Elo baseline; executable ask 0.5300 (market_slug=aec-lol-vks-fur-2026-08-01).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FURIA Esports</t>
        </is>
      </c>
      <c r="AQ4" s="24" t="inlineStr">
        <is>
          <t>FURIA Esports</t>
        </is>
      </c>
      <c r="AR4" s="24" t="inlineStr">
        <is>
          <t>FURIA Esports</t>
        </is>
      </c>
      <c r="AS4" s="24" t="inlineStr">
        <is>
          <t>Vivo Keyd Stars</t>
        </is>
      </c>
      <c r="AT4" s="24" t="inlineStr">
        <is>
          <t>Vivo Keyd Stars</t>
        </is>
      </c>
      <c r="AU4" s="24" t="inlineStr">
        <is>
          <t>Vivo Keyd Stars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a0225de77fed9ecff6db7a91aa1fb133fedb181174eece235a4505669cc54dc3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a0225de77fed9ecff6db7a91aa1fb133fedb181174eece235a4505669cc54dc3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2026-08-01T13:46:15.747699Z</t>
        </is>
      </c>
      <c r="BI4" s="24" t="inlineStr">
        <is>
          <t>["same_event","same_team_same_day","same_league_same_day"]</t>
        </is>
      </c>
      <c r="BJ4" s="25" t="n"/>
      <c r="BK4" s="26" t="n">
        <v>-113</v>
      </c>
      <c r="BL4" s="27" t="n">
        <v>1.884956</v>
      </c>
      <c r="BM4" s="28" t="n">
        <v>0.530516</v>
      </c>
      <c r="BN4" s="28" t="n"/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5c6e531064f34f1f</t>
        </is>
      </c>
      <c r="B5" s="24" t="inlineStr">
        <is>
          <t>2026-08-02T09:59:37.296167Z</t>
        </is>
      </c>
      <c r="C5" s="24" t="inlineStr">
        <is>
          <t>2026-08-02T10:00:00Z</t>
        </is>
      </c>
      <c r="D5" s="24" t="inlineStr">
        <is>
          <t>66811</t>
        </is>
      </c>
      <c r="E5" s="24" t="inlineStr">
        <is>
          <t>LOL</t>
        </is>
      </c>
      <c r="F5" s="24" t="inlineStr">
        <is>
          <t>Ancient Ones</t>
        </is>
      </c>
      <c r="G5" s="24" t="inlineStr">
        <is>
          <t>Crystal Rose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0.614494</v>
      </c>
      <c r="P5" s="28" t="n"/>
      <c r="Q5" s="28" t="n">
        <v>0.14501</v>
      </c>
      <c r="R5" s="26" t="n">
        <v>93</v>
      </c>
      <c r="S5" s="29" t="n">
        <v>1.5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113</v>
      </c>
      <c r="AA5" s="28" t="n">
        <v>0.47</v>
      </c>
      <c r="AB5" s="28" t="n">
        <v>0.000516</v>
      </c>
      <c r="AC5" s="30" t="n">
        <v>1.695</v>
      </c>
      <c r="AD5" s="24" t="inlineStr">
        <is>
          <t>2026-08-02T11:45:33.659531Z</t>
        </is>
      </c>
      <c r="AE5" s="31" t="inlineStr">
        <is>
          <t>Neutral Elo baseline; executable ask 0.4700 (market_slug=aec-lol-cr-ao-2026-08-02).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Ancient Ones</t>
        </is>
      </c>
      <c r="AQ5" s="24" t="inlineStr">
        <is>
          <t>Ancient Ones</t>
        </is>
      </c>
      <c r="AR5" s="24" t="inlineStr">
        <is>
          <t>Ancient Ones</t>
        </is>
      </c>
      <c r="AS5" s="24" t="inlineStr">
        <is>
          <t>Crystal Rose</t>
        </is>
      </c>
      <c r="AT5" s="24" t="inlineStr">
        <is>
          <t>Crystal Rose</t>
        </is>
      </c>
      <c r="AU5" s="24" t="inlineStr">
        <is>
          <t>Crystal Rose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872990f5864d469e34c183f4364739fd3897540762b962f4ec2e55405665b2e8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872990f5864d469e34c183f4364739fd3897540762b962f4ec2e55405665b2e8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2026-08-02T09:59:22.583724Z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>
        <v>2.13</v>
      </c>
      <c r="BR5" s="28" t="n">
        <v>0.47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cb4570603d6b43e3</t>
        </is>
      </c>
      <c r="B6" s="24" t="inlineStr">
        <is>
          <t>2026-08-02T09:59:37.296167Z</t>
        </is>
      </c>
      <c r="C6" s="24" t="inlineStr">
        <is>
          <t>2026-08-02T11:00:00Z</t>
        </is>
      </c>
      <c r="D6" s="24" t="inlineStr">
        <is>
          <t>66837</t>
        </is>
      </c>
      <c r="E6" s="24" t="inlineStr">
        <is>
          <t>LOL</t>
        </is>
      </c>
      <c r="F6" s="24" t="inlineStr">
        <is>
          <t>Lille Esport</t>
        </is>
      </c>
      <c r="G6" s="24" t="inlineStr">
        <is>
          <t>Lausanne-Sport Esports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0.586093</v>
      </c>
      <c r="P6" s="28" t="n"/>
      <c r="Q6" s="28" t="n">
        <v>0.086093</v>
      </c>
      <c r="R6" s="26" t="n">
        <v>63</v>
      </c>
      <c r="S6" s="29" t="n">
        <v>1.25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100</v>
      </c>
      <c r="AA6" s="28" t="n">
        <v>0.5</v>
      </c>
      <c r="AB6" s="28" t="n">
        <v>0</v>
      </c>
      <c r="AC6" s="30" t="n">
        <v>-1.25</v>
      </c>
      <c r="AD6" s="24" t="inlineStr">
        <is>
          <t>2026-08-02T11:45:34.762056Z</t>
        </is>
      </c>
      <c r="AE6" s="31" t="inlineStr">
        <is>
          <t>Neutral Elo baseline; executable ask 0.5000 (market_slug=aec-lol-els-lil-2026-08-02).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Lille Esport</t>
        </is>
      </c>
      <c r="AQ6" s="24" t="inlineStr">
        <is>
          <t>Lille Esport</t>
        </is>
      </c>
      <c r="AR6" s="24" t="inlineStr">
        <is>
          <t>Lille Esport</t>
        </is>
      </c>
      <c r="AS6" s="24" t="inlineStr">
        <is>
          <t>Lausanne-Sport Esports</t>
        </is>
      </c>
      <c r="AT6" s="24" t="inlineStr">
        <is>
          <t>Lausanne-Sport Esports</t>
        </is>
      </c>
      <c r="AU6" s="24" t="inlineStr">
        <is>
          <t>Lausanne-Sport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872990f5864d469e34c183f4364739fd3897540762b962f4ec2e55405665b2e8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872990f5864d469e34c183f4364739fd3897540762b962f4ec2e55405665b2e8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2026-08-02T09:59:23.587864Z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/>
      <c r="BO6" s="28" t="n"/>
      <c r="BP6" s="25" t="n"/>
      <c r="BQ6" s="27" t="n">
        <v>2</v>
      </c>
      <c r="BR6" s="28" t="n">
        <v>0.5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96a22c8745e44e42</t>
        </is>
      </c>
      <c r="B7" s="24" t="inlineStr">
        <is>
          <t>2026-08-02T15:51:19.985321Z</t>
        </is>
      </c>
      <c r="C7" s="24" t="inlineStr">
        <is>
          <t>2026-08-02T16:00:00Z</t>
        </is>
      </c>
      <c r="D7" s="24" t="inlineStr">
        <is>
          <t>66902</t>
        </is>
      </c>
      <c r="E7" s="24" t="inlineStr">
        <is>
          <t>LOL</t>
        </is>
      </c>
      <c r="F7" s="24" t="inlineStr">
        <is>
          <t>LOUD</t>
        </is>
      </c>
      <c r="G7" s="24" t="inlineStr">
        <is>
          <t>Fluxo W7M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0.558818</v>
      </c>
      <c r="P7" s="28" t="n"/>
      <c r="Q7" s="28" t="n">
        <v>0.019647</v>
      </c>
      <c r="R7" s="26" t="n">
        <v>30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>
        <v>-117</v>
      </c>
      <c r="AA7" s="28" t="n">
        <v>0.54</v>
      </c>
      <c r="AB7" s="28" t="n">
        <v>0.000829</v>
      </c>
      <c r="AC7" s="30" t="n">
        <v>0.8547</v>
      </c>
      <c r="AD7" s="24" t="inlineStr">
        <is>
          <t>2026-08-02T17:34:59.847525Z</t>
        </is>
      </c>
      <c r="AE7" s="31" t="inlineStr">
        <is>
          <t>Neutral Elo baseline; executable ask 0.5400 (market_slug=aec-lol-fxw7-lll-2026-08-02).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LOUD</t>
        </is>
      </c>
      <c r="AQ7" s="24" t="inlineStr">
        <is>
          <t>LOUD</t>
        </is>
      </c>
      <c r="AR7" s="24" t="inlineStr">
        <is>
          <t>LOUD</t>
        </is>
      </c>
      <c r="AS7" s="24" t="inlineStr">
        <is>
          <t>Fluxo W7M</t>
        </is>
      </c>
      <c r="AT7" s="24" t="inlineStr">
        <is>
          <t>Fluxo W7M</t>
        </is>
      </c>
      <c r="AU7" s="24" t="inlineStr">
        <is>
          <t>Fluxo W7M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4ef0b19fe97fa070abfaae40ffb41addfe8947e35583480b0b6feebe14b9f7ac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4ef0b19fe97fa070abfaae40ffb41addfe8947e35583480b0b6feebe14b9f7ac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2026-08-02T15:51:09.199778Z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>
        <v>1.854701</v>
      </c>
      <c r="BR7" s="28" t="n">
        <v>0.54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inlineStr">
        <is>
          <t>True</t>
        </is>
      </c>
    </row>
    <row r="8" ht="36" customHeight="1">
      <c r="A8" s="24" t="inlineStr">
        <is>
          <t>55b34ffe3b5d4fe1</t>
        </is>
      </c>
      <c r="B8" s="24" t="inlineStr">
        <is>
          <t>2026-08-03T06:30:34.654651Z</t>
        </is>
      </c>
      <c r="C8" s="24" t="inlineStr">
        <is>
          <t>2026-08-03T10:00:00Z</t>
        </is>
      </c>
      <c r="D8" s="24" t="inlineStr">
        <is>
          <t>67511</t>
        </is>
      </c>
      <c r="E8" s="24" t="inlineStr">
        <is>
          <t>LOL</t>
        </is>
      </c>
      <c r="F8" s="24" t="inlineStr">
        <is>
          <t>Dplus KIA Challengers</t>
        </is>
      </c>
      <c r="G8" s="24" t="inlineStr">
        <is>
          <t>DN SOOPers Challengers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0.703892</v>
      </c>
      <c r="P8" s="28" t="n"/>
      <c r="Q8" s="28" t="n">
        <v>0.07426199999999999</v>
      </c>
      <c r="R8" s="26" t="n">
        <v>57</v>
      </c>
      <c r="S8" s="29" t="n">
        <v>2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0</v>
      </c>
      <c r="X8" s="26" t="n">
        <v>1</v>
      </c>
      <c r="Y8" s="25" t="n"/>
      <c r="Z8" s="26" t="n">
        <v>-170</v>
      </c>
      <c r="AA8" s="28" t="n">
        <v>0.63</v>
      </c>
      <c r="AB8" s="28" t="n">
        <v>0.00037</v>
      </c>
      <c r="AC8" s="30" t="n">
        <v>-2</v>
      </c>
      <c r="AD8" s="24" t="inlineStr">
        <is>
          <t>2026-08-03T13:27:36.882808Z</t>
        </is>
      </c>
      <c r="AE8" s="31" t="inlineStr">
        <is>
          <t>Neutral Elo baseline; executable ask 0.6300 (market_slug=aec-lol-dnsc-dkc-2026-08-03).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Dplus KIA Challengers</t>
        </is>
      </c>
      <c r="AQ8" s="24" t="inlineStr">
        <is>
          <t>Dplus KIA Challengers</t>
        </is>
      </c>
      <c r="AR8" s="24" t="inlineStr">
        <is>
          <t>Dplus KIA Challengers</t>
        </is>
      </c>
      <c r="AS8" s="24" t="inlineStr">
        <is>
          <t>DN SOOPers Challengers</t>
        </is>
      </c>
      <c r="AT8" s="24" t="inlineStr">
        <is>
          <t>DN SOOPers Challengers</t>
        </is>
      </c>
      <c r="AU8" s="24" t="inlineStr">
        <is>
          <t>DN SOOPers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ff2b770f59073a39e60976cbc1ae4f05ce9c0ac0477f1609e756119cbdd7431b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ff2b770f59073a39e60976cbc1ae4f05ce9c0ac0477f1609e756119cbdd7431b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2026-08-03T06:30:13.245481Z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>
        <v>1.588235</v>
      </c>
      <c r="BR8" s="28" t="n">
        <v>0.63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inlineStr">
        <is>
          <t>True</t>
        </is>
      </c>
    </row>
    <row r="9" ht="36" customHeight="1">
      <c r="A9" s="24" t="inlineStr">
        <is>
          <t>1d9cd56d3c7b4494</t>
        </is>
      </c>
      <c r="B9" s="24" t="inlineStr">
        <is>
          <t>2026-08-03T13:30:58.881408Z</t>
        </is>
      </c>
      <c r="C9" s="24" t="inlineStr">
        <is>
          <t>2026-08-03T15:00:00Z</t>
        </is>
      </c>
      <c r="D9" s="24" t="inlineStr">
        <is>
          <t>67566</t>
        </is>
      </c>
      <c r="E9" s="24" t="inlineStr">
        <is>
          <t>LOL</t>
        </is>
      </c>
      <c r="F9" s="24" t="inlineStr">
        <is>
          <t>Shifters</t>
        </is>
      </c>
      <c r="G9" s="24" t="inlineStr">
        <is>
          <t>Natus Vincere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-223</v>
      </c>
      <c r="M9" s="27" t="n">
        <v>1.44843</v>
      </c>
      <c r="N9" s="28" t="n">
        <v>0.690402</v>
      </c>
      <c r="O9" s="28" t="n">
        <v>0.745478</v>
      </c>
      <c r="P9" s="28" t="n"/>
      <c r="Q9" s="28" t="n">
        <v>0.055076</v>
      </c>
      <c r="R9" s="26" t="n">
        <v>48</v>
      </c>
      <c r="S9" s="29" t="n">
        <v>2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-223</v>
      </c>
      <c r="AA9" s="28" t="n">
        <v>0.6899999999999999</v>
      </c>
      <c r="AB9" s="28" t="n">
        <v>-0.000402</v>
      </c>
      <c r="AC9" s="30" t="n">
        <v>0.8969</v>
      </c>
      <c r="AD9" s="24" t="inlineStr">
        <is>
          <t>2026-08-03T16:48:25.231418Z</t>
        </is>
      </c>
      <c r="AE9" s="31" t="inlineStr">
        <is>
          <t>Neutral Elo baseline; executable ask 0.6900 (market_slug=aec-lol-navi-shft-2026-08-03).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Shifters</t>
        </is>
      </c>
      <c r="AQ9" s="24" t="inlineStr">
        <is>
          <t>Shifters</t>
        </is>
      </c>
      <c r="AR9" s="24" t="inlineStr">
        <is>
          <t>Shifters</t>
        </is>
      </c>
      <c r="AS9" s="24" t="inlineStr">
        <is>
          <t>Natus Vincere</t>
        </is>
      </c>
      <c r="AT9" s="24" t="inlineStr">
        <is>
          <t>Natus Vincere</t>
        </is>
      </c>
      <c r="AU9" s="24" t="inlineStr">
        <is>
          <t>Natus Vincere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8e100718c38982e9b6a67d6c835251aad775fa6c0f7d64cbcae66021f2cd7f9c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8e100718c38982e9b6a67d6c835251aad775fa6c0f7d64cbcae66021f2cd7f9c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2026-08-03T13:30:33.645010Z</t>
        </is>
      </c>
      <c r="BI9" s="24" t="inlineStr">
        <is>
          <t>["same_event","same_team_same_day","same_league_same_day"]</t>
        </is>
      </c>
      <c r="BJ9" s="25" t="n"/>
      <c r="BK9" s="26" t="n">
        <v>-223</v>
      </c>
      <c r="BL9" s="27" t="n">
        <v>1.44843</v>
      </c>
      <c r="BM9" s="28" t="n">
        <v>0.690402</v>
      </c>
      <c r="BN9" s="28" t="n"/>
      <c r="BO9" s="28" t="n"/>
      <c r="BP9" s="25" t="n"/>
      <c r="BQ9" s="27" t="n">
        <v>1.44843</v>
      </c>
      <c r="BR9" s="28" t="n">
        <v>0.6899999999999999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inlineStr">
        <is>
          <t>True</t>
        </is>
      </c>
    </row>
    <row r="10" ht="36" customHeight="1">
      <c r="A10" s="24" t="inlineStr">
        <is>
          <t>919f9bf38a784742</t>
        </is>
      </c>
      <c r="B10" s="24" t="inlineStr">
        <is>
          <t>2026-08-03T17:09:03.086605Z</t>
        </is>
      </c>
      <c r="C10" s="24" t="inlineStr">
        <is>
          <t>2026-08-03T19:00:00Z</t>
        </is>
      </c>
      <c r="D10" s="24" t="inlineStr">
        <is>
          <t>63451</t>
        </is>
      </c>
      <c r="E10" s="24" t="inlineStr">
        <is>
          <t>LOL</t>
        </is>
      </c>
      <c r="F10" s="24" t="inlineStr">
        <is>
          <t>Vivo Keyd Stars Academy</t>
        </is>
      </c>
      <c r="G10" s="24" t="inlineStr">
        <is>
          <t>Team Solid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0.727674</v>
      </c>
      <c r="P10" s="28" t="n"/>
      <c r="Q10" s="28" t="n">
        <v>0.037272</v>
      </c>
      <c r="R10" s="26" t="n">
        <v>39</v>
      </c>
      <c r="S10" s="29" t="n">
        <v>2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-2</v>
      </c>
      <c r="AD10" s="24" t="inlineStr">
        <is>
          <t>2026-08-03T19:52:17.207636Z</t>
        </is>
      </c>
      <c r="AE10" s="31" t="inlineStr">
        <is>
          <t>Neutral Elo baseline; executable ask 0.6900 (market_slug=aec-lol-tse-vksa-2026-07-30).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Vivo Keyd Stars Academy</t>
        </is>
      </c>
      <c r="AQ10" s="24" t="inlineStr">
        <is>
          <t>Vivo Keyd Stars Academy</t>
        </is>
      </c>
      <c r="AR10" s="24" t="inlineStr">
        <is>
          <t>Vivo Keyd Stars Academy</t>
        </is>
      </c>
      <c r="AS10" s="24" t="inlineStr">
        <is>
          <t>Team Solid</t>
        </is>
      </c>
      <c r="AT10" s="24" t="inlineStr">
        <is>
          <t>Team Solid</t>
        </is>
      </c>
      <c r="AU10" s="24" t="inlineStr">
        <is>
          <t>Team Solid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efcbb93ea7594fbafcf9325219d1c95ecb0ddde1698943dd2007a07a55350fa4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efcbb93ea7594fbafcf9325219d1c95ecb0ddde1698943dd2007a07a55350fa4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2026-08-03T17:08:43.723243Z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inlineStr">
        <is>
          <t>True</t>
        </is>
      </c>
    </row>
    <row r="11" ht="36" customHeight="1">
      <c r="A11" s="24" t="inlineStr">
        <is>
          <t>d2515bfa54a74d5f</t>
        </is>
      </c>
      <c r="B11" s="24" t="inlineStr">
        <is>
          <t>2026-08-04T02:00:56.302645Z</t>
        </is>
      </c>
      <c r="C11" s="24" t="inlineStr">
        <is>
          <t>2026-08-04T15:00:00Z</t>
        </is>
      </c>
      <c r="D11" s="24" t="inlineStr">
        <is>
          <t>70566</t>
        </is>
      </c>
      <c r="E11" s="24" t="inlineStr">
        <is>
          <t>LOL</t>
        </is>
      </c>
      <c r="F11" s="24" t="inlineStr">
        <is>
          <t>Barcząca Esports</t>
        </is>
      </c>
      <c r="G11" s="24" t="inlineStr">
        <is>
          <t>Lodis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223</v>
      </c>
      <c r="M11" s="27" t="n">
        <v>3.23</v>
      </c>
      <c r="N11" s="28" t="n">
        <v>0.309598</v>
      </c>
      <c r="O11" s="28" t="n">
        <v>0.69409</v>
      </c>
      <c r="P11" s="28" t="n"/>
      <c r="Q11" s="28" t="n">
        <v>0.384492</v>
      </c>
      <c r="R11" s="26" t="n">
        <v>100</v>
      </c>
      <c r="S11" s="29" t="n">
        <v>2</v>
      </c>
      <c r="T11" s="24" t="inlineStr">
        <is>
          <t>lol-tiered-elo-v5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0.3100 (market_slug=aec-lol-lds-bce-2026-08-04).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Barcząca Esports</t>
        </is>
      </c>
      <c r="AQ11" s="24" t="inlineStr">
        <is>
          <t>Barcząca Esports</t>
        </is>
      </c>
      <c r="AR11" s="24" t="inlineStr">
        <is>
          <t>Barcząca Esports</t>
        </is>
      </c>
      <c r="AS11" s="24" t="inlineStr">
        <is>
          <t>Lodis</t>
        </is>
      </c>
      <c r="AT11" s="24" t="inlineStr">
        <is>
          <t>Lodis</t>
        </is>
      </c>
      <c r="AU11" s="24" t="inlineStr">
        <is>
          <t>Lodis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c0f2a708ccc94d5696faff9ca4ff9d58f719424636136d100ed9404e22178026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c0f2a708ccc94d5696faff9ca4ff9d58f719424636136d100ed9404e22178026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2026-08-04T02:00:43.286617Z</t>
        </is>
      </c>
      <c r="BI11" s="24" t="inlineStr">
        <is>
          <t>["same_event","same_team_same_day","same_league_same_day"]</t>
        </is>
      </c>
      <c r="BJ11" s="25" t="n"/>
      <c r="BK11" s="26" t="n">
        <v>223</v>
      </c>
      <c r="BL11" s="27" t="n">
        <v>3.23</v>
      </c>
      <c r="BM11" s="28" t="n">
        <v>0.309598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inlineStr">
        <is>
          <t>True</t>
        </is>
      </c>
    </row>
    <row r="12" ht="36" customHeight="1">
      <c r="A12" s="24" t="inlineStr">
        <is>
          <t>b6d267763de14a95</t>
        </is>
      </c>
      <c r="B12" s="24" t="inlineStr">
        <is>
          <t>2026-08-04T02:00:56.302645Z</t>
        </is>
      </c>
      <c r="C12" s="24" t="inlineStr">
        <is>
          <t>2026-08-04T16:00:00Z</t>
        </is>
      </c>
      <c r="D12" s="24" t="inlineStr">
        <is>
          <t>68509</t>
        </is>
      </c>
      <c r="E12" s="24" t="inlineStr">
        <is>
          <t>LOL</t>
        </is>
      </c>
      <c r="F12" s="24" t="inlineStr">
        <is>
          <t>Skillcamp Esport</t>
        </is>
      </c>
      <c r="G12" s="24" t="inlineStr">
        <is>
          <t>Ici Japon Corp. Esport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0.631317</v>
      </c>
      <c r="P12" s="28" t="n"/>
      <c r="Q12" s="28" t="n">
        <v>0.121513</v>
      </c>
      <c r="R12" s="26" t="n">
        <v>81</v>
      </c>
      <c r="S12" s="29" t="n">
        <v>1.5</v>
      </c>
      <c r="T12" s="24" t="inlineStr">
        <is>
          <t>lol-tiered-elo-v5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0.5100 (market_slug=aec-lol-ijc-sc-2026-08-04).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Skillcamp Esport</t>
        </is>
      </c>
      <c r="AQ12" s="24" t="inlineStr">
        <is>
          <t>Skillcamp Esport</t>
        </is>
      </c>
      <c r="AR12" s="24" t="inlineStr">
        <is>
          <t>Skillcamp Esport</t>
        </is>
      </c>
      <c r="AS12" s="24" t="inlineStr">
        <is>
          <t>Ici Japon Corp. Esport</t>
        </is>
      </c>
      <c r="AT12" s="24" t="inlineStr">
        <is>
          <t>Ici Japon Corp. Esport</t>
        </is>
      </c>
      <c r="AU12" s="24" t="inlineStr">
        <is>
          <t>Ici Japon Corp. Esport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c0f2a708ccc94d5696faff9ca4ff9d58f719424636136d100ed9404e22178026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c0f2a708ccc94d5696faff9ca4ff9d58f719424636136d100ed9404e22178026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2026-08-04T02:00:44.932625Z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inlineStr">
        <is>
          <t>True</t>
        </is>
      </c>
    </row>
    <row r="13" ht="36" customHeight="1">
      <c r="A13" s="24" t="inlineStr">
        <is>
          <t>7aa2d8ba6e944aab</t>
        </is>
      </c>
      <c r="B13" s="24" t="inlineStr">
        <is>
          <t>2026-08-04T02:00:56.302645Z</t>
        </is>
      </c>
      <c r="C13" s="24" t="inlineStr">
        <is>
          <t>2026-08-04T18:00:00Z</t>
        </is>
      </c>
      <c r="D13" s="24" t="inlineStr">
        <is>
          <t>68689</t>
        </is>
      </c>
      <c r="E13" s="24" t="inlineStr">
        <is>
          <t>LOL</t>
        </is>
      </c>
      <c r="F13" s="24" t="inlineStr">
        <is>
          <t>Way Gaming Esports</t>
        </is>
      </c>
      <c r="G13" s="24" t="inlineStr">
        <is>
          <t>Capybara Esports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-133</v>
      </c>
      <c r="M13" s="27" t="n">
        <v>1.75188</v>
      </c>
      <c r="N13" s="28" t="n">
        <v>0.570815</v>
      </c>
      <c r="O13" s="28" t="n">
        <v>0.5739340000000001</v>
      </c>
      <c r="P13" s="28" t="n"/>
      <c r="Q13" s="28" t="n">
        <v>0.003119</v>
      </c>
      <c r="R13" s="26" t="n">
        <v>22</v>
      </c>
      <c r="S13" s="29" t="n">
        <v>1.25</v>
      </c>
      <c r="T13" s="24" t="inlineStr">
        <is>
          <t>lol-tiered-elo-v5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0.5700 (market_slug=aec-lol-capy-wge-2026-08-04).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Way Gaming Esports</t>
        </is>
      </c>
      <c r="AQ13" s="24" t="inlineStr">
        <is>
          <t>Way Gaming Esports</t>
        </is>
      </c>
      <c r="AR13" s="24" t="inlineStr">
        <is>
          <t>Way Gaming Esports</t>
        </is>
      </c>
      <c r="AS13" s="24" t="inlineStr">
        <is>
          <t>Capybara Esports</t>
        </is>
      </c>
      <c r="AT13" s="24" t="inlineStr">
        <is>
          <t>Capybara Esports</t>
        </is>
      </c>
      <c r="AU13" s="24" t="inlineStr">
        <is>
          <t>Capybara Esports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c0f2a708ccc94d5696faff9ca4ff9d58f719424636136d100ed9404e22178026</t>
        </is>
      </c>
      <c r="BB13" s="24" t="inlineStr">
        <is>
          <t>neutral_elo</t>
        </is>
      </c>
      <c r="BC13" s="24" t="inlineStr">
        <is>
          <t>lol-tiered-elo-v5</t>
        </is>
      </c>
      <c r="BD13" s="24" t="inlineStr">
        <is>
          <t>c0f2a708ccc94d5696faff9ca4ff9d58f719424636136d100ed9404e22178026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lol-tiered-elo-v5</t>
        </is>
      </c>
      <c r="BH13" s="24" t="inlineStr">
        <is>
          <t>2026-08-04T02:00:48.567590Z</t>
        </is>
      </c>
      <c r="BI13" s="24" t="inlineStr">
        <is>
          <t>["same_event","same_team_same_day","same_league_same_day"]</t>
        </is>
      </c>
      <c r="BJ13" s="25" t="n"/>
      <c r="BK13" s="26" t="n">
        <v>-133</v>
      </c>
      <c r="BL13" s="27" t="n">
        <v>1.75188</v>
      </c>
      <c r="BM13" s="28" t="n">
        <v>0.570815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inlineStr">
        <is>
          <t>True</t>
        </is>
      </c>
    </row>
    <row r="14" ht="36" customHeight="1">
      <c r="A14" s="24" t="inlineStr">
        <is>
          <t>a499fd2d6bc242b4</t>
        </is>
      </c>
      <c r="B14" s="24" t="inlineStr">
        <is>
          <t>2026-08-04T02:00:56.302645Z</t>
        </is>
      </c>
      <c r="C14" s="24" t="inlineStr">
        <is>
          <t>2026-08-04T18:00:00Z</t>
        </is>
      </c>
      <c r="D14" s="24" t="inlineStr">
        <is>
          <t>68690</t>
        </is>
      </c>
      <c r="E14" s="24" t="inlineStr">
        <is>
          <t>LOL</t>
        </is>
      </c>
      <c r="F14" s="24" t="inlineStr">
        <is>
          <t>Lupus Esports</t>
        </is>
      </c>
      <c r="G14" s="24" t="inlineStr">
        <is>
          <t xml:space="preserve">Croatian Flair x RLX 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-122</v>
      </c>
      <c r="M14" s="27" t="n">
        <v>1.819672</v>
      </c>
      <c r="N14" s="28" t="n">
        <v>0.54955</v>
      </c>
      <c r="O14" s="28" t="n">
        <v>0.55055</v>
      </c>
      <c r="P14" s="28" t="n"/>
      <c r="Q14" s="28" t="n">
        <v>0.001</v>
      </c>
      <c r="R14" s="26" t="n">
        <v>21</v>
      </c>
      <c r="S14" s="29" t="n">
        <v>1</v>
      </c>
      <c r="T14" s="24" t="inlineStr">
        <is>
          <t>lol-tiered-elo-v5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0.5500 (market_slug=aec-lol-cfxr-lps-2026-08-04).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Lupus Esports</t>
        </is>
      </c>
      <c r="AQ14" s="24" t="inlineStr">
        <is>
          <t>Lupus Esports</t>
        </is>
      </c>
      <c r="AR14" s="24" t="inlineStr">
        <is>
          <t>Lupus Esports</t>
        </is>
      </c>
      <c r="AS14" s="24" t="inlineStr">
        <is>
          <t xml:space="preserve">Croatian Flair x RLX </t>
        </is>
      </c>
      <c r="AT14" s="24" t="inlineStr">
        <is>
          <t xml:space="preserve">Croatian Flair x RLX </t>
        </is>
      </c>
      <c r="AU14" s="24" t="inlineStr">
        <is>
          <t xml:space="preserve">Croatian Flair x RLX 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c0f2a708ccc94d5696faff9ca4ff9d58f719424636136d100ed9404e22178026</t>
        </is>
      </c>
      <c r="BB14" s="24" t="inlineStr">
        <is>
          <t>neutral_elo</t>
        </is>
      </c>
      <c r="BC14" s="24" t="inlineStr">
        <is>
          <t>lol-tiered-elo-v5</t>
        </is>
      </c>
      <c r="BD14" s="24" t="inlineStr">
        <is>
          <t>c0f2a708ccc94d5696faff9ca4ff9d58f719424636136d100ed9404e22178026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lol-tiered-elo-v5</t>
        </is>
      </c>
      <c r="BH14" s="24" t="inlineStr">
        <is>
          <t>2026-08-04T02:00:49.613554Z</t>
        </is>
      </c>
      <c r="BI14" s="24" t="inlineStr">
        <is>
          <t>["same_event","same_team_same_day","same_league_same_day"]</t>
        </is>
      </c>
      <c r="BJ14" s="25" t="n"/>
      <c r="BK14" s="26" t="n">
        <v>-122</v>
      </c>
      <c r="BL14" s="27" t="n">
        <v>1.819672</v>
      </c>
      <c r="BM14" s="28" t="n">
        <v>0.54955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inlineStr">
        <is>
          <t>True</t>
        </is>
      </c>
    </row>
    <row r="15" ht="36" customHeight="1">
      <c r="A15" s="24" t="inlineStr">
        <is>
          <t>6e8643739e154f97</t>
        </is>
      </c>
      <c r="B15" s="24" t="inlineStr">
        <is>
          <t>2026-08-04T02:00:56.302645Z</t>
        </is>
      </c>
      <c r="C15" s="24" t="inlineStr">
        <is>
          <t>2026-08-04T20:00:00Z</t>
        </is>
      </c>
      <c r="D15" s="24" t="inlineStr">
        <is>
          <t>69143</t>
        </is>
      </c>
      <c r="E15" s="24" t="inlineStr">
        <is>
          <t>LOL</t>
        </is>
      </c>
      <c r="F15" s="24" t="inlineStr">
        <is>
          <t>Malvinas Gaming</t>
        </is>
      </c>
      <c r="G15" s="24" t="inlineStr">
        <is>
          <t>Maze Gaming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-163</v>
      </c>
      <c r="M15" s="27" t="n">
        <v>1.613497</v>
      </c>
      <c r="N15" s="28" t="n">
        <v>0.619772</v>
      </c>
      <c r="O15" s="28" t="n">
        <v>0.624143</v>
      </c>
      <c r="P15" s="28" t="n"/>
      <c r="Q15" s="28" t="n">
        <v>0.004371</v>
      </c>
      <c r="R15" s="26" t="n">
        <v>22</v>
      </c>
      <c r="S15" s="29" t="n">
        <v>1.5</v>
      </c>
      <c r="T15" s="24" t="inlineStr">
        <is>
          <t>lol-tiered-elo-v5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0.6200 (market_slug=aec-lol-maz-mg-2026-08-04).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Malvinas Gaming</t>
        </is>
      </c>
      <c r="AQ15" s="24" t="inlineStr">
        <is>
          <t>Malvinas Gaming</t>
        </is>
      </c>
      <c r="AR15" s="24" t="inlineStr">
        <is>
          <t>Malvinas Gaming</t>
        </is>
      </c>
      <c r="AS15" s="24" t="inlineStr">
        <is>
          <t>Maze Gaming</t>
        </is>
      </c>
      <c r="AT15" s="24" t="inlineStr">
        <is>
          <t>Maze Gaming</t>
        </is>
      </c>
      <c r="AU15" s="24" t="inlineStr">
        <is>
          <t>Maze Gaming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c0f2a708ccc94d5696faff9ca4ff9d58f719424636136d100ed9404e22178026</t>
        </is>
      </c>
      <c r="BB15" s="24" t="inlineStr">
        <is>
          <t>neutral_elo</t>
        </is>
      </c>
      <c r="BC15" s="24" t="inlineStr">
        <is>
          <t>lol-tiered-elo-v5</t>
        </is>
      </c>
      <c r="BD15" s="24" t="inlineStr">
        <is>
          <t>c0f2a708ccc94d5696faff9ca4ff9d58f719424636136d100ed9404e22178026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lol-tiered-elo-v5</t>
        </is>
      </c>
      <c r="BH15" s="24" t="inlineStr">
        <is>
          <t>2026-08-04T02:00:52.417381Z</t>
        </is>
      </c>
      <c r="BI15" s="24" t="inlineStr">
        <is>
          <t>["same_event","same_team_same_day","same_league_same_day"]</t>
        </is>
      </c>
      <c r="BJ15" s="25" t="n"/>
      <c r="BK15" s="26" t="n">
        <v>-163</v>
      </c>
      <c r="BL15" s="27" t="n">
        <v>1.613497</v>
      </c>
      <c r="BM15" s="28" t="n">
        <v>0.619772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inlineStr">
        <is>
          <t>True</t>
        </is>
      </c>
    </row>
    <row r="16" ht="36" customHeight="1">
      <c r="A16" s="24" t="inlineStr">
        <is>
          <t>c3cba5c251004ed2</t>
        </is>
      </c>
      <c r="B16" s="24" t="inlineStr">
        <is>
          <t>2026-08-04T02:00:56.302645Z</t>
        </is>
      </c>
      <c r="C16" s="24" t="inlineStr">
        <is>
          <t>2026-08-04T20:00:00Z</t>
        </is>
      </c>
      <c r="D16" s="24" t="inlineStr">
        <is>
          <t>69144</t>
        </is>
      </c>
      <c r="E16" s="24" t="inlineStr">
        <is>
          <t>LOL</t>
        </is>
      </c>
      <c r="F16" s="24" t="inlineStr">
        <is>
          <t>INTZ e-Sports</t>
        </is>
      </c>
      <c r="G16" s="24" t="inlineStr">
        <is>
          <t>Vivo Keyd Stars Academy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0.591618</v>
      </c>
      <c r="P16" s="28" t="n"/>
      <c r="Q16" s="28" t="n">
        <v>0.032147</v>
      </c>
      <c r="R16" s="26" t="n">
        <v>36</v>
      </c>
      <c r="S16" s="29" t="n">
        <v>1.25</v>
      </c>
      <c r="T16" s="24" t="inlineStr">
        <is>
          <t>lol-tiered-elo-v5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0.5600 (market_slug=aec-lol-vksa-itz-2026-08-04).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INTZ e-Sports</t>
        </is>
      </c>
      <c r="AQ16" s="24" t="inlineStr">
        <is>
          <t>INTZ e-Sports</t>
        </is>
      </c>
      <c r="AR16" s="24" t="inlineStr">
        <is>
          <t>INTZ e-Sports</t>
        </is>
      </c>
      <c r="AS16" s="24" t="inlineStr">
        <is>
          <t>Vivo Keyd Stars Academy</t>
        </is>
      </c>
      <c r="AT16" s="24" t="inlineStr">
        <is>
          <t>Vivo Keyd Stars Academy</t>
        </is>
      </c>
      <c r="AU16" s="24" t="inlineStr">
        <is>
          <t>Vivo Keyd Stars Academy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c0f2a708ccc94d5696faff9ca4ff9d58f719424636136d100ed9404e22178026</t>
        </is>
      </c>
      <c r="BB16" s="24" t="inlineStr">
        <is>
          <t>neutral_elo</t>
        </is>
      </c>
      <c r="BC16" s="24" t="inlineStr">
        <is>
          <t>lol-tiered-elo-v5</t>
        </is>
      </c>
      <c r="BD16" s="24" t="inlineStr">
        <is>
          <t>c0f2a708ccc94d5696faff9ca4ff9d58f719424636136d100ed9404e22178026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lol-tiered-elo-v5</t>
        </is>
      </c>
      <c r="BH16" s="24" t="inlineStr">
        <is>
          <t>2026-08-04T02:00:53.026230Z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inlineStr">
        <is>
          <t>True</t>
        </is>
      </c>
    </row>
    <row r="17" ht="36" customHeight="1">
      <c r="A17" s="24" t="inlineStr">
        <is>
          <t>6dfc92e9643446e9</t>
        </is>
      </c>
      <c r="B17" s="24" t="inlineStr">
        <is>
          <t>2026-08-04T02:00:56.302645Z</t>
        </is>
      </c>
      <c r="C17" s="24" t="inlineStr">
        <is>
          <t>2026-08-04T22:00:00Z</t>
        </is>
      </c>
      <c r="D17" s="24" t="inlineStr">
        <is>
          <t>69273</t>
        </is>
      </c>
      <c r="E17" s="24" t="inlineStr">
        <is>
          <t>LOL</t>
        </is>
      </c>
      <c r="F17" s="24" t="inlineStr">
        <is>
          <t>RMD Gaming</t>
        </is>
      </c>
      <c r="G17" s="24" t="inlineStr">
        <is>
          <t>7REX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-150</v>
      </c>
      <c r="M17" s="27" t="n">
        <v>1.666667</v>
      </c>
      <c r="N17" s="28" t="n">
        <v>0.6</v>
      </c>
      <c r="O17" s="28" t="n">
        <v>0.604656</v>
      </c>
      <c r="P17" s="28" t="n"/>
      <c r="Q17" s="28" t="n">
        <v>0.004656</v>
      </c>
      <c r="R17" s="26" t="n">
        <v>22</v>
      </c>
      <c r="S17" s="29" t="n">
        <v>1.25</v>
      </c>
      <c r="T17" s="24" t="inlineStr">
        <is>
          <t>lol-tiered-elo-v5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0.6000 (market_slug=aec-lol-7rex-rmd-2026-08-04).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RMD Gaming</t>
        </is>
      </c>
      <c r="AQ17" s="24" t="inlineStr">
        <is>
          <t>RMD Gaming</t>
        </is>
      </c>
      <c r="AR17" s="24" t="inlineStr">
        <is>
          <t>RMD Gaming</t>
        </is>
      </c>
      <c r="AS17" s="24" t="inlineStr">
        <is>
          <t>7REX</t>
        </is>
      </c>
      <c r="AT17" s="24" t="inlineStr">
        <is>
          <t>7REX</t>
        </is>
      </c>
      <c r="AU17" s="24" t="inlineStr">
        <is>
          <t>7REX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c0f2a708ccc94d5696faff9ca4ff9d58f719424636136d100ed9404e22178026</t>
        </is>
      </c>
      <c r="BB17" s="24" t="inlineStr">
        <is>
          <t>neutral_elo</t>
        </is>
      </c>
      <c r="BC17" s="24" t="inlineStr">
        <is>
          <t>lol-tiered-elo-v5</t>
        </is>
      </c>
      <c r="BD17" s="24" t="inlineStr">
        <is>
          <t>c0f2a708ccc94d5696faff9ca4ff9d58f719424636136d100ed9404e22178026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lol-tiered-elo-v5</t>
        </is>
      </c>
      <c r="BH17" s="24" t="inlineStr">
        <is>
          <t>2026-08-04T02:00:55.187744Z</t>
        </is>
      </c>
      <c r="BI17" s="24" t="inlineStr">
        <is>
          <t>["same_event","same_team_same_day","same_league_same_day"]</t>
        </is>
      </c>
      <c r="BJ17" s="25" t="n"/>
      <c r="BK17" s="26" t="n">
        <v>-150</v>
      </c>
      <c r="BL17" s="27" t="n">
        <v>1.666667</v>
      </c>
      <c r="BM17" s="28" t="n">
        <v>0.6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inlineStr">
        <is>
          <t>True</t>
        </is>
      </c>
    </row>
    <row r="18" ht="36" customHeight="1">
      <c r="A18" s="24" t="inlineStr">
        <is>
          <t>8e5dc7d15614471b</t>
        </is>
      </c>
      <c r="B18" s="24" t="inlineStr">
        <is>
          <t>2026-08-04T02:00:56.302645Z</t>
        </is>
      </c>
      <c r="C18" s="24" t="inlineStr">
        <is>
          <t>2026-08-05T00:00:00Z</t>
        </is>
      </c>
      <c r="D18" s="24" t="inlineStr">
        <is>
          <t>69336</t>
        </is>
      </c>
      <c r="E18" s="24" t="inlineStr">
        <is>
          <t>LOL</t>
        </is>
      </c>
      <c r="F18" s="24" t="inlineStr">
        <is>
          <t>Ei Nerd Esports</t>
        </is>
      </c>
      <c r="G18" s="24" t="inlineStr">
        <is>
          <t>Estral Esports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-203</v>
      </c>
      <c r="M18" s="27" t="n">
        <v>1.492611</v>
      </c>
      <c r="N18" s="28" t="n">
        <v>0.669967</v>
      </c>
      <c r="O18" s="28" t="n">
        <v>0.74222</v>
      </c>
      <c r="P18" s="28" t="n"/>
      <c r="Q18" s="28" t="n">
        <v>0.072253</v>
      </c>
      <c r="R18" s="26" t="n">
        <v>56</v>
      </c>
      <c r="S18" s="29" t="n">
        <v>2</v>
      </c>
      <c r="T18" s="24" t="inlineStr">
        <is>
          <t>lol-tiered-elo-v5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0.6700 (market_slug=aec-lol-est-nerd-2026-08-05).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Ei Nerd Esports</t>
        </is>
      </c>
      <c r="AQ18" s="24" t="inlineStr">
        <is>
          <t>Ei Nerd Esports</t>
        </is>
      </c>
      <c r="AR18" s="24" t="inlineStr">
        <is>
          <t>Ei Nerd Esports</t>
        </is>
      </c>
      <c r="AS18" s="24" t="inlineStr">
        <is>
          <t>Estral Esports</t>
        </is>
      </c>
      <c r="AT18" s="24" t="inlineStr">
        <is>
          <t>Estral Esports</t>
        </is>
      </c>
      <c r="AU18" s="24" t="inlineStr">
        <is>
          <t>Estral Esports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c0f2a708ccc94d5696faff9ca4ff9d58f719424636136d100ed9404e22178026</t>
        </is>
      </c>
      <c r="BB18" s="24" t="inlineStr">
        <is>
          <t>neutral_elo</t>
        </is>
      </c>
      <c r="BC18" s="24" t="inlineStr">
        <is>
          <t>lol-tiered-elo-v5</t>
        </is>
      </c>
      <c r="BD18" s="24" t="inlineStr">
        <is>
          <t>c0f2a708ccc94d5696faff9ca4ff9d58f719424636136d100ed9404e22178026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lol-tiered-elo-v5</t>
        </is>
      </c>
      <c r="BH18" s="24" t="inlineStr">
        <is>
          <t>2026-08-04T02:00:56.301588Z</t>
        </is>
      </c>
      <c r="BI18" s="24" t="inlineStr">
        <is>
          <t>["same_event","same_team_same_day","same_league_same_day"]</t>
        </is>
      </c>
      <c r="BJ18" s="25" t="n"/>
      <c r="BK18" s="26" t="n">
        <v>-203</v>
      </c>
      <c r="BL18" s="27" t="n">
        <v>1.492611</v>
      </c>
      <c r="BM18" s="28" t="n">
        <v>0.669967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2026-08-04T02:01:04Z</dcterms:created>
  <dcterms:modified xsi:type="dcterms:W3CDTF">2026-08-04T02:01:04Z</dcterms:modified>
</cp:coreProperties>
</file>