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9" headerRowCount="1">
  <autoFilter ref="A1:CO9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COUNTA('Picks'!$A$2:$A$9)</f>
        <v/>
      </c>
      <c r="C4" s="6">
        <f>COUNTIF('Picks'!$U$2:$U$9,"open")</f>
        <v/>
      </c>
      <c r="E4" s="6">
        <f>COUNTIF('Picks'!$U$2:$U$9,"settled")</f>
        <v/>
      </c>
      <c r="G4" s="6">
        <f>IF(COUNTIFS('Picks'!$U$2:$U$9,"settled",'Picks'!$V$2:$V$9,"win")+COUNTIFS('Picks'!$U$2:$U$9,"settled",'Picks'!$V$2:$V$9,"loss")&gt;=$L$2,"Ready","Insufficient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COUNTIF('Picks'!$BX$2:$BX$9,"&gt;0")</f>
        <v/>
      </c>
      <c r="C7" s="6">
        <f>COUNTIFS('Picks'!$BX$2:$BX$9,"&gt;0",'Picks'!$V$2:$V$9,"win")&amp;"-"&amp;COUNTIFS('Picks'!$BX$2:$BX$9,"&gt;0",'Picks'!$V$2:$V$9,"loss")</f>
        <v/>
      </c>
      <c r="E7" s="7">
        <f>IFERROR(COUNTIFS('Picks'!$BX$2:$BX$9,"&gt;0",'Picks'!$V$2:$V$9,"win")/(COUNTIFS('Picks'!$BX$2:$BX$9,"&gt;0",'Picks'!$V$2:$V$9,"win")+COUNTIFS('Picks'!$BX$2:$BX$9,"&gt;0",'Picks'!$V$2:$V$9,"loss")),0)</f>
        <v/>
      </c>
      <c r="G7" s="7">
        <f>IFERROR(SUM('Picks'!$BY$2:$BY$9)/SUM('Picks'!$BX$2:$BX$9),0)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SUM('Picks'!$BY$2:$BY$9)</f>
        <v/>
      </c>
      <c r="C10" s="9">
        <f>IFERROR(AVERAGEIF('Picks'!$AB$2:$AB$9,"&lt;&gt;",'Picks'!$AB$2:$AB$9),0)</f>
        <v/>
      </c>
      <c r="E10" s="6">
        <f>COUNTIFS('Picks'!$AM$2:$AM$9,"QUALIFIED_SHADOW_CALL",'Picks'!$U$2:$U$9,"settled")</f>
        <v/>
      </c>
      <c r="G10" s="8">
        <f>SUMIFS('Picks'!$AC$2:$AC$9,'Picks'!$AM$2:$AM$9,"QUALIFIED_SHADOW_CALL")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COUNTIFS('Picks'!$H$2:$H$9,$A14,'Picks'!$U$2:$U$9,"settled")</f>
        <v/>
      </c>
      <c r="C14" s="13">
        <f>COUNTIFS('Picks'!$H$2:$H$9,$A14,'Picks'!$U$2:$U$9,"settled",'Picks'!$V$2:$V$9,"win")</f>
        <v/>
      </c>
      <c r="D14" s="13">
        <f>COUNTIFS('Picks'!$H$2:$H$9,$A14,'Picks'!$U$2:$U$9,"settled",'Picks'!$V$2:$V$9,"loss")</f>
        <v/>
      </c>
      <c r="E14" s="14">
        <f>IFERROR(C14/(C14+D14),0)</f>
        <v/>
      </c>
      <c r="F14" s="15">
        <f>SUMIFS('Picks'!$BY$2:$BY$9,'Picks'!$H$2:$H$9,$A14)</f>
        <v/>
      </c>
      <c r="G14" s="16">
        <f>IFERROR(AVERAGEIFS('Picks'!$AB$2:$AB$9,'Picks'!$H$2:$H$9,$A14,'Picks'!$U$2:$U$9,"settled"),0)</f>
        <v/>
      </c>
    </row>
    <row r="15">
      <c r="A15" s="17" t="inlineStr">
        <is>
          <t>spread</t>
        </is>
      </c>
      <c r="B15" s="18">
        <f>COUNTIFS('Picks'!$H$2:$H$9,$A15,'Picks'!$U$2:$U$9,"settled")</f>
        <v/>
      </c>
      <c r="C15" s="18">
        <f>COUNTIFS('Picks'!$H$2:$H$9,$A15,'Picks'!$U$2:$U$9,"settled",'Picks'!$V$2:$V$9,"win")</f>
        <v/>
      </c>
      <c r="D15" s="18">
        <f>COUNTIFS('Picks'!$H$2:$H$9,$A15,'Picks'!$U$2:$U$9,"settled",'Picks'!$V$2:$V$9,"loss")</f>
        <v/>
      </c>
      <c r="E15" s="19">
        <f>IFERROR(C15/(C15+D15),0)</f>
        <v/>
      </c>
      <c r="F15" s="20">
        <f>SUMIFS('Picks'!$BY$2:$BY$9,'Picks'!$H$2:$H$9,$A15)</f>
        <v/>
      </c>
      <c r="G15" s="21">
        <f>IFERROR(AVERAGEIFS('Picks'!$AB$2:$AB$9,'Picks'!$H$2:$H$9,$A15,'Picks'!$U$2:$U$9,"settled"),0)</f>
        <v/>
      </c>
    </row>
    <row r="16">
      <c r="A16" s="12" t="inlineStr">
        <is>
          <t>total</t>
        </is>
      </c>
      <c r="B16" s="13">
        <f>COUNTIFS('Picks'!$H$2:$H$9,$A16,'Picks'!$U$2:$U$9,"settled")</f>
        <v/>
      </c>
      <c r="C16" s="13">
        <f>COUNTIFS('Picks'!$H$2:$H$9,$A16,'Picks'!$U$2:$U$9,"settled",'Picks'!$V$2:$V$9,"win")</f>
        <v/>
      </c>
      <c r="D16" s="13">
        <f>COUNTIFS('Picks'!$H$2:$H$9,$A16,'Picks'!$U$2:$U$9,"settled",'Picks'!$V$2:$V$9,"loss")</f>
        <v/>
      </c>
      <c r="E16" s="14">
        <f>IFERROR(C16/(C16+D16),0)</f>
        <v/>
      </c>
      <c r="F16" s="15">
        <f>SUMIFS('Picks'!$BY$2:$BY$9,'Picks'!$H$2:$H$9,$A16)</f>
        <v/>
      </c>
      <c r="G16" s="16">
        <f>IFERROR(AVERAGEIFS('Picks'!$AB$2:$AB$9,'Picks'!$H$2:$H$9,$A16,'Picks'!$U$2:$U$9,"settled"),0)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635c46b99f6e4aee</t>
        </is>
      </c>
      <c r="B2" s="24" t="inlineStr">
        <is>
          <t>2026-07-25T16:16:17.517287Z</t>
        </is>
      </c>
      <c r="C2" s="24" t="inlineStr">
        <is>
          <t>2026-07-25T17:00:00Z</t>
        </is>
      </c>
      <c r="D2" s="24" t="inlineStr">
        <is>
          <t>59392</t>
        </is>
      </c>
      <c r="E2" s="24" t="inlineStr">
        <is>
          <t>LOL</t>
        </is>
      </c>
      <c r="F2" s="24" t="inlineStr">
        <is>
          <t>Movistar KOI</t>
        </is>
      </c>
      <c r="G2" s="24" t="inlineStr">
        <is>
          <t>Karmine Corp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-203</v>
      </c>
      <c r="M2" s="27" t="n">
        <v>1.492611</v>
      </c>
      <c r="N2" s="28" t="n">
        <v>0.669967</v>
      </c>
      <c r="O2" s="28" t="n">
        <v>0.761127</v>
      </c>
      <c r="P2" s="28" t="n"/>
      <c r="Q2" s="28" t="n">
        <v>0.09116</v>
      </c>
      <c r="R2" s="26" t="n">
        <v>66</v>
      </c>
      <c r="S2" s="29" t="n">
        <v>2</v>
      </c>
      <c r="T2" s="24" t="inlineStr">
        <is>
          <t>lol-tiered-elo-v4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0.9852</v>
      </c>
      <c r="AD2" s="24" t="inlineStr">
        <is>
          <t>2026-07-25T19:18:15.146692Z</t>
        </is>
      </c>
      <c r="AE2" s="31" t="inlineStr">
        <is>
          <t>Neutral Elo baseline; executable ask 0.6700 (market_slug=aec-lol-kc-mkoi-2026-07-25).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Movistar KOI</t>
        </is>
      </c>
      <c r="AQ2" s="24" t="inlineStr">
        <is>
          <t>Movistar KOI</t>
        </is>
      </c>
      <c r="AR2" s="24" t="inlineStr">
        <is>
          <t>Movistar KOI</t>
        </is>
      </c>
      <c r="AS2" s="24" t="inlineStr">
        <is>
          <t>Karmine Corp</t>
        </is>
      </c>
      <c r="AT2" s="24" t="inlineStr">
        <is>
          <t>Karmine Corp</t>
        </is>
      </c>
      <c r="AU2" s="24" t="inlineStr">
        <is>
          <t>Karmine Corp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35087e828a0053011a97024de693e2ee7eb80eb03024c91d28d254de09d93778</t>
        </is>
      </c>
      <c r="BB2" s="24" t="inlineStr">
        <is>
          <t>neutral_elo</t>
        </is>
      </c>
      <c r="BC2" s="24" t="inlineStr">
        <is>
          <t>lol-tiered-elo-v4</t>
        </is>
      </c>
      <c r="BD2" s="24" t="inlineStr">
        <is>
          <t>35087e828a0053011a97024de693e2ee7eb80eb03024c91d28d254de09d93778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lol-tiered-elo-v4</t>
        </is>
      </c>
      <c r="BH2" s="24" t="inlineStr">
        <is>
          <t>2026-07-25T16:16:06.872882Z</t>
        </is>
      </c>
      <c r="BI2" s="24" t="inlineStr">
        <is>
          <t>["same_event","same_team_same_day","same_league_same_day"]</t>
        </is>
      </c>
      <c r="BJ2" s="25" t="n"/>
      <c r="BK2" s="26" t="n">
        <v>-203</v>
      </c>
      <c r="BL2" s="27" t="n">
        <v>1.492611</v>
      </c>
      <c r="BM2" s="28" t="n">
        <v>0.669967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46dc1bd359354ed3</t>
        </is>
      </c>
      <c r="B3" s="24" t="inlineStr">
        <is>
          <t>2026-07-26T12:49:32.359065Z</t>
        </is>
      </c>
      <c r="C3" s="24" t="inlineStr">
        <is>
          <t>2026-07-26T13:00:00Z</t>
        </is>
      </c>
      <c r="D3" s="24" t="inlineStr">
        <is>
          <t>60120</t>
        </is>
      </c>
      <c r="E3" s="24" t="inlineStr">
        <is>
          <t>LOL</t>
        </is>
      </c>
      <c r="F3" s="24" t="inlineStr">
        <is>
          <t>Team High Ground</t>
        </is>
      </c>
      <c r="G3" s="24" t="inlineStr">
        <is>
          <t>Galions Sharks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144</v>
      </c>
      <c r="M3" s="27" t="n">
        <v>2.44</v>
      </c>
      <c r="N3" s="28" t="n">
        <v>0.409836</v>
      </c>
      <c r="O3" s="28" t="n">
        <v>0.5456</v>
      </c>
      <c r="P3" s="28" t="n"/>
      <c r="Q3" s="28" t="n">
        <v>0.135764</v>
      </c>
      <c r="R3" s="26" t="n">
        <v>88</v>
      </c>
      <c r="S3" s="29" t="n">
        <v>1</v>
      </c>
      <c r="T3" s="24" t="inlineStr">
        <is>
          <t>lol-tiered-elo-v4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-1</v>
      </c>
      <c r="AD3" s="24" t="inlineStr">
        <is>
          <t>2026-07-26T17:52:57.201845Z</t>
        </is>
      </c>
      <c r="AE3" s="31" t="inlineStr">
        <is>
          <t>Neutral Elo baseline; executable ask 0.4100 (market_slug=aec-lol-gls-thg-2026-07-26).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Team High Ground</t>
        </is>
      </c>
      <c r="AQ3" s="24" t="inlineStr">
        <is>
          <t>Team High Ground</t>
        </is>
      </c>
      <c r="AR3" s="24" t="inlineStr">
        <is>
          <t>Team High Ground</t>
        </is>
      </c>
      <c r="AS3" s="24" t="inlineStr">
        <is>
          <t>Galions Sharks</t>
        </is>
      </c>
      <c r="AT3" s="24" t="inlineStr">
        <is>
          <t>Galions Sharks</t>
        </is>
      </c>
      <c r="AU3" s="24" t="inlineStr">
        <is>
          <t>Galions Sharks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35087e828a0053011a97024de693e2ee7eb80eb03024c91d28d254de09d93778</t>
        </is>
      </c>
      <c r="BB3" s="24" t="inlineStr">
        <is>
          <t>neutral_elo</t>
        </is>
      </c>
      <c r="BC3" s="24" t="inlineStr">
        <is>
          <t>lol-tiered-elo-v4</t>
        </is>
      </c>
      <c r="BD3" s="24" t="inlineStr">
        <is>
          <t>35087e828a0053011a97024de693e2ee7eb80eb03024c91d28d254de09d93778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lol-tiered-elo-v4</t>
        </is>
      </c>
      <c r="BH3" s="24" t="inlineStr">
        <is>
          <t>2026-07-26T12:49:10.049609Z</t>
        </is>
      </c>
      <c r="BI3" s="24" t="inlineStr">
        <is>
          <t>["same_event","same_team_same_day","same_league_same_day"]</t>
        </is>
      </c>
      <c r="BJ3" s="25" t="n"/>
      <c r="BK3" s="26" t="n">
        <v>144</v>
      </c>
      <c r="BL3" s="27" t="n">
        <v>2.44</v>
      </c>
      <c r="BM3" s="28" t="n">
        <v>0.409836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7015fea8b1eb49d6</t>
        </is>
      </c>
      <c r="B4" s="24" t="inlineStr">
        <is>
          <t>2026-07-26T12:49:32.359065Z</t>
        </is>
      </c>
      <c r="C4" s="24" t="inlineStr">
        <is>
          <t>2026-07-26T17:00:00Z</t>
        </is>
      </c>
      <c r="D4" s="24" t="inlineStr">
        <is>
          <t>60180</t>
        </is>
      </c>
      <c r="E4" s="24" t="inlineStr">
        <is>
          <t>LOL</t>
        </is>
      </c>
      <c r="F4" s="24" t="inlineStr">
        <is>
          <t>Karmine Corp</t>
        </is>
      </c>
      <c r="G4" s="24" t="inlineStr">
        <is>
          <t>G2 Esports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0.621842</v>
      </c>
      <c r="P4" s="28" t="n"/>
      <c r="Q4" s="28" t="n">
        <v>0.221842</v>
      </c>
      <c r="R4" s="26" t="n">
        <v>100</v>
      </c>
      <c r="S4" s="29" t="n">
        <v>1.75</v>
      </c>
      <c r="T4" s="24" t="inlineStr">
        <is>
          <t>lol-tiered-elo-v4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2.625</v>
      </c>
      <c r="AD4" s="24" t="inlineStr">
        <is>
          <t>2026-07-27T01:52:07.189795Z</t>
        </is>
      </c>
      <c r="AE4" s="31" t="inlineStr">
        <is>
          <t>Neutral Elo baseline; executable ask 0.4000 (market_slug=aec-lol-g2-kc-2026-07-26).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Karmine Corp</t>
        </is>
      </c>
      <c r="AQ4" s="24" t="inlineStr">
        <is>
          <t>Karmine Corp</t>
        </is>
      </c>
      <c r="AR4" s="24" t="inlineStr">
        <is>
          <t>Karmine Corp</t>
        </is>
      </c>
      <c r="AS4" s="24" t="inlineStr">
        <is>
          <t>G2 Esports</t>
        </is>
      </c>
      <c r="AT4" s="24" t="inlineStr">
        <is>
          <t>G2 Esports</t>
        </is>
      </c>
      <c r="AU4" s="24" t="inlineStr">
        <is>
          <t>G2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35087e828a0053011a97024de693e2ee7eb80eb03024c91d28d254de09d93778</t>
        </is>
      </c>
      <c r="BB4" s="24" t="inlineStr">
        <is>
          <t>neutral_elo</t>
        </is>
      </c>
      <c r="BC4" s="24" t="inlineStr">
        <is>
          <t>lol-tiered-elo-v4</t>
        </is>
      </c>
      <c r="BD4" s="24" t="inlineStr">
        <is>
          <t>35087e828a0053011a97024de693e2ee7eb80eb03024c91d28d254de09d93778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lol-tiered-elo-v4</t>
        </is>
      </c>
      <c r="BH4" s="24" t="inlineStr">
        <is>
          <t>2026-07-26T12:49:13.248928Z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3def3110a6224ef6</t>
        </is>
      </c>
      <c r="B5" s="24" t="inlineStr">
        <is>
          <t>2026-07-26T19:32:06.087195Z</t>
        </is>
      </c>
      <c r="C5" s="24" t="inlineStr">
        <is>
          <t>2026-07-26T20:00:00Z</t>
        </is>
      </c>
      <c r="D5" s="24" t="inlineStr">
        <is>
          <t>60465</t>
        </is>
      </c>
      <c r="E5" s="24" t="inlineStr">
        <is>
          <t>LOL</t>
        </is>
      </c>
      <c r="F5" s="24" t="inlineStr">
        <is>
          <t>Cloud9</t>
        </is>
      </c>
      <c r="G5" s="24" t="inlineStr">
        <is>
          <t>Team Liquid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-144</v>
      </c>
      <c r="M5" s="27" t="n">
        <v>1.694444</v>
      </c>
      <c r="N5" s="28" t="n">
        <v>0.590164</v>
      </c>
      <c r="O5" s="28" t="n">
        <v>0.723066</v>
      </c>
      <c r="P5" s="28" t="n"/>
      <c r="Q5" s="28" t="n">
        <v>0.132902</v>
      </c>
      <c r="R5" s="26" t="n">
        <v>86</v>
      </c>
      <c r="S5" s="29" t="n">
        <v>2</v>
      </c>
      <c r="T5" s="24" t="inlineStr">
        <is>
          <t>lol-tiered-elo-v4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1.3889</v>
      </c>
      <c r="AD5" s="24" t="inlineStr">
        <is>
          <t>2026-07-27T01:52:14.005524Z</t>
        </is>
      </c>
      <c r="AE5" s="31" t="inlineStr">
        <is>
          <t>Neutral Elo baseline; executable ask 0.5900 (market_slug=aec-lol-tl-c9-2026-07-26).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Cloud9</t>
        </is>
      </c>
      <c r="AQ5" s="24" t="inlineStr">
        <is>
          <t>Cloud9</t>
        </is>
      </c>
      <c r="AR5" s="24" t="inlineStr">
        <is>
          <t>Cloud9</t>
        </is>
      </c>
      <c r="AS5" s="24" t="inlineStr">
        <is>
          <t>Team Liquid</t>
        </is>
      </c>
      <c r="AT5" s="24" t="inlineStr">
        <is>
          <t>Team Liquid</t>
        </is>
      </c>
      <c r="AU5" s="24" t="inlineStr">
        <is>
          <t>Team Liquid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35087e828a0053011a97024de693e2ee7eb80eb03024c91d28d254de09d93778</t>
        </is>
      </c>
      <c r="BB5" s="24" t="inlineStr">
        <is>
          <t>neutral_elo</t>
        </is>
      </c>
      <c r="BC5" s="24" t="inlineStr">
        <is>
          <t>lol-tiered-elo-v4</t>
        </is>
      </c>
      <c r="BD5" s="24" t="inlineStr">
        <is>
          <t>35087e828a0053011a97024de693e2ee7eb80eb03024c91d28d254de09d93778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lol-tiered-elo-v4</t>
        </is>
      </c>
      <c r="BH5" s="24" t="inlineStr">
        <is>
          <t>2026-07-26T19:31:54.450139Z</t>
        </is>
      </c>
      <c r="BI5" s="24" t="inlineStr">
        <is>
          <t>["same_event","same_team_same_day","same_league_same_day"]</t>
        </is>
      </c>
      <c r="BJ5" s="25" t="n"/>
      <c r="BK5" s="26" t="n">
        <v>-144</v>
      </c>
      <c r="BL5" s="27" t="n">
        <v>1.694444</v>
      </c>
      <c r="BM5" s="28" t="n">
        <v>0.590164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0472512025f74cf2</t>
        </is>
      </c>
      <c r="B6" s="24" t="inlineStr">
        <is>
          <t>2026-07-27T17:37:52.168845Z</t>
        </is>
      </c>
      <c r="C6" s="24" t="inlineStr">
        <is>
          <t>2026-07-27T18:00:00Z</t>
        </is>
      </c>
      <c r="D6" s="24" t="inlineStr">
        <is>
          <t>60818</t>
        </is>
      </c>
      <c r="E6" s="24" t="inlineStr">
        <is>
          <t>LOL</t>
        </is>
      </c>
      <c r="F6" s="24" t="inlineStr">
        <is>
          <t>Bulldog Esports</t>
        </is>
      </c>
      <c r="G6" s="24" t="inlineStr">
        <is>
          <t>Arctic Pandas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-104</v>
      </c>
      <c r="M6" s="27" t="n">
        <v>1.961538</v>
      </c>
      <c r="N6" s="28" t="n">
        <v>0.509804</v>
      </c>
      <c r="O6" s="28" t="n">
        <v>0.596094</v>
      </c>
      <c r="P6" s="28" t="n"/>
      <c r="Q6" s="28" t="n">
        <v>0.08629000000000001</v>
      </c>
      <c r="R6" s="26" t="n">
        <v>63</v>
      </c>
      <c r="S6" s="29" t="n">
        <v>1.5</v>
      </c>
      <c r="T6" s="24" t="inlineStr">
        <is>
          <t>lol-tiered-elo-v4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-1.5</v>
      </c>
      <c r="AD6" s="24" t="inlineStr">
        <is>
          <t>2026-07-27T19:47:37.962153Z</t>
        </is>
      </c>
      <c r="AE6" s="31" t="inlineStr">
        <is>
          <t>Neutral Elo baseline; executable ask 0.5100 (market_slug=aec-lol-ap-bld-2026-07-27).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Bulldog Esports</t>
        </is>
      </c>
      <c r="AQ6" s="24" t="inlineStr">
        <is>
          <t>Bulldog Esports</t>
        </is>
      </c>
      <c r="AR6" s="24" t="inlineStr">
        <is>
          <t>Bulldog Esports</t>
        </is>
      </c>
      <c r="AS6" s="24" t="inlineStr">
        <is>
          <t>Arctic Pandas</t>
        </is>
      </c>
      <c r="AT6" s="24" t="inlineStr">
        <is>
          <t>Arctic Pandas</t>
        </is>
      </c>
      <c r="AU6" s="24" t="inlineStr">
        <is>
          <t>Arctic Pandas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181f161eadbc9c7936d57f0cb930b26b3363dbf664c19f1b39e954282aa7d3a8</t>
        </is>
      </c>
      <c r="BB6" s="24" t="inlineStr">
        <is>
          <t>neutral_elo</t>
        </is>
      </c>
      <c r="BC6" s="24" t="inlineStr">
        <is>
          <t>lol-tiered-elo-v4</t>
        </is>
      </c>
      <c r="BD6" s="24" t="inlineStr">
        <is>
          <t>181f161eadbc9c7936d57f0cb930b26b3363dbf664c19f1b39e954282aa7d3a8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lol-tiered-elo-v4</t>
        </is>
      </c>
      <c r="BH6" s="24" t="inlineStr">
        <is>
          <t>2026-07-27T17:37:32.913782Z</t>
        </is>
      </c>
      <c r="BI6" s="24" t="inlineStr">
        <is>
          <t>["same_event","same_team_same_day","same_league_same_day"]</t>
        </is>
      </c>
      <c r="BJ6" s="25" t="n"/>
      <c r="BK6" s="26" t="n">
        <v>-104</v>
      </c>
      <c r="BL6" s="27" t="n">
        <v>1.961538</v>
      </c>
      <c r="BM6" s="28" t="n">
        <v>0.509804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24b53e6e44c343dd</t>
        </is>
      </c>
      <c r="B7" s="24" t="inlineStr">
        <is>
          <t>2026-07-27T19:51:04.764967Z</t>
        </is>
      </c>
      <c r="C7" s="24" t="inlineStr">
        <is>
          <t>2026-07-27T21:00:00Z</t>
        </is>
      </c>
      <c r="D7" s="24" t="inlineStr">
        <is>
          <t>61044</t>
        </is>
      </c>
      <c r="E7" s="24" t="inlineStr">
        <is>
          <t>LOL</t>
        </is>
      </c>
      <c r="F7" s="24" t="inlineStr">
        <is>
          <t>Ei Nerd Esports</t>
        </is>
      </c>
      <c r="G7" s="24" t="inlineStr">
        <is>
          <t>paiN Gaming Academy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-178</v>
      </c>
      <c r="M7" s="27" t="n">
        <v>1.561798</v>
      </c>
      <c r="N7" s="28" t="n">
        <v>0.640288</v>
      </c>
      <c r="O7" s="28" t="n">
        <v>0.654099</v>
      </c>
      <c r="P7" s="28" t="n"/>
      <c r="Q7" s="28" t="n">
        <v>0.013811</v>
      </c>
      <c r="R7" s="26" t="n">
        <v>27</v>
      </c>
      <c r="S7" s="29" t="n">
        <v>2</v>
      </c>
      <c r="T7" s="24" t="inlineStr">
        <is>
          <t>lol-tiered-elo-v4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1.1236</v>
      </c>
      <c r="AD7" s="24" t="inlineStr">
        <is>
          <t>2026-07-27T22:52:07.555566Z</t>
        </is>
      </c>
      <c r="AE7" s="31" t="inlineStr">
        <is>
          <t>Neutral Elo baseline; executable ask 0.6400 (market_slug=aec-lol-pnga-nerd-2026-07-27).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Ei Nerd Esports</t>
        </is>
      </c>
      <c r="AQ7" s="24" t="inlineStr">
        <is>
          <t>Ei Nerd Esports</t>
        </is>
      </c>
      <c r="AR7" s="24" t="inlineStr">
        <is>
          <t>Ei Nerd Esports</t>
        </is>
      </c>
      <c r="AS7" s="24" t="inlineStr">
        <is>
          <t>paiN Gaming Academy</t>
        </is>
      </c>
      <c r="AT7" s="24" t="inlineStr">
        <is>
          <t>paiN Gaming Academy</t>
        </is>
      </c>
      <c r="AU7" s="24" t="inlineStr">
        <is>
          <t>paiN Gaming Academy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a1ec01e655fe8c74e1a10624d033e1ed3a28f75c65521824090c359f6c375c81</t>
        </is>
      </c>
      <c r="BB7" s="24" t="inlineStr">
        <is>
          <t>neutral_elo</t>
        </is>
      </c>
      <c r="BC7" s="24" t="inlineStr">
        <is>
          <t>lol-tiered-elo-v4</t>
        </is>
      </c>
      <c r="BD7" s="24" t="inlineStr">
        <is>
          <t>a1ec01e655fe8c74e1a10624d033e1ed3a28f75c65521824090c359f6c375c81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lol-tiered-elo-v4</t>
        </is>
      </c>
      <c r="BH7" s="24" t="inlineStr">
        <is>
          <t>2026-07-27T19:50:48.466474Z</t>
        </is>
      </c>
      <c r="BI7" s="24" t="inlineStr">
        <is>
          <t>["same_event","same_team_same_day","same_league_same_day"]</t>
        </is>
      </c>
      <c r="BJ7" s="25" t="n"/>
      <c r="BK7" s="26" t="n">
        <v>-178</v>
      </c>
      <c r="BL7" s="27" t="n">
        <v>1.561798</v>
      </c>
      <c r="BM7" s="28" t="n">
        <v>0.640288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488d777722074f1d</t>
        </is>
      </c>
      <c r="B8" s="24" t="inlineStr">
        <is>
          <t>2026-07-28T05:05:19.448075Z</t>
        </is>
      </c>
      <c r="C8" s="24" t="inlineStr">
        <is>
          <t>2026-07-28T08:00:00Z</t>
        </is>
      </c>
      <c r="D8" s="24" t="inlineStr">
        <is>
          <t>61376</t>
        </is>
      </c>
      <c r="E8" s="24" t="inlineStr">
        <is>
          <t>LOL</t>
        </is>
      </c>
      <c r="F8" s="24" t="inlineStr">
        <is>
          <t>HANJIN BRION Challengers</t>
        </is>
      </c>
      <c r="G8" s="24" t="inlineStr">
        <is>
          <t>Hanwha Life Esports Challengers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-178</v>
      </c>
      <c r="M8" s="27" t="n">
        <v>1.561798</v>
      </c>
      <c r="N8" s="28" t="n">
        <v>0.640288</v>
      </c>
      <c r="O8" s="28" t="n">
        <v>0.6502599999999999</v>
      </c>
      <c r="P8" s="28" t="n"/>
      <c r="Q8" s="28" t="n">
        <v>0.009972</v>
      </c>
      <c r="R8" s="26" t="n">
        <v>25</v>
      </c>
      <c r="S8" s="29" t="n">
        <v>2</v>
      </c>
      <c r="T8" s="24" t="inlineStr">
        <is>
          <t>lol-tiered-elo-v4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-2</v>
      </c>
      <c r="AD8" s="24" t="inlineStr">
        <is>
          <t>2026-07-28T11:12:46.133762Z</t>
        </is>
      </c>
      <c r="AE8" s="31" t="inlineStr">
        <is>
          <t>Neutral Elo baseline; executable ask 0.6400 (market_slug=aec-lol-hlec-hbc-2026-07-28).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HANJIN BRION Challengers</t>
        </is>
      </c>
      <c r="AQ8" s="24" t="inlineStr">
        <is>
          <t>HANJIN BRION Challengers</t>
        </is>
      </c>
      <c r="AR8" s="24" t="inlineStr">
        <is>
          <t>HANJIN BRION Challengers</t>
        </is>
      </c>
      <c r="AS8" s="24" t="inlineStr">
        <is>
          <t>Hanwha Life Esports Challengers</t>
        </is>
      </c>
      <c r="AT8" s="24" t="inlineStr">
        <is>
          <t>Hanwha Life Esports Challengers</t>
        </is>
      </c>
      <c r="AU8" s="24" t="inlineStr">
        <is>
          <t>Hanwha Life Esports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9a599be054d1f2f2548e59017ab201f151d7f9e118fd5b364d64e4e515bcc72a</t>
        </is>
      </c>
      <c r="BB8" s="24" t="inlineStr">
        <is>
          <t>neutral_elo</t>
        </is>
      </c>
      <c r="BC8" s="24" t="inlineStr">
        <is>
          <t>lol-tiered-elo-v4</t>
        </is>
      </c>
      <c r="BD8" s="24" t="inlineStr">
        <is>
          <t>9a599be054d1f2f2548e59017ab201f151d7f9e118fd5b364d64e4e515bcc72a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lol-tiered-elo-v4</t>
        </is>
      </c>
      <c r="BH8" s="24" t="inlineStr">
        <is>
          <t>2026-07-28T05:04:47.620446Z</t>
        </is>
      </c>
      <c r="BI8" s="24" t="inlineStr">
        <is>
          <t>["same_event","same_team_same_day","same_league_same_day"]</t>
        </is>
      </c>
      <c r="BJ8" s="25" t="n"/>
      <c r="BK8" s="26" t="n">
        <v>-178</v>
      </c>
      <c r="BL8" s="27" t="n">
        <v>1.561798</v>
      </c>
      <c r="BM8" s="28" t="n">
        <v>0.640288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10e16627bdcf4d3b</t>
        </is>
      </c>
      <c r="B9" s="24" t="inlineStr">
        <is>
          <t>2026-07-28T08:11:25.230149Z</t>
        </is>
      </c>
      <c r="C9" s="24" t="inlineStr">
        <is>
          <t>2026-07-28T10:00:00Z</t>
        </is>
      </c>
      <c r="D9" s="24" t="inlineStr">
        <is>
          <t>61400</t>
        </is>
      </c>
      <c r="E9" s="24" t="inlineStr">
        <is>
          <t>LOL</t>
        </is>
      </c>
      <c r="F9" s="24" t="inlineStr">
        <is>
          <t>Dplus KIA Challengers</t>
        </is>
      </c>
      <c r="G9" s="24" t="inlineStr">
        <is>
          <t>KT Rolster Challengers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113</v>
      </c>
      <c r="M9" s="27" t="n">
        <v>2.13</v>
      </c>
      <c r="N9" s="28" t="n">
        <v>0.469484</v>
      </c>
      <c r="O9" s="28" t="n">
        <v>0.659678</v>
      </c>
      <c r="P9" s="28" t="n"/>
      <c r="Q9" s="28" t="n">
        <v>0.190194</v>
      </c>
      <c r="R9" s="26" t="n">
        <v>100</v>
      </c>
      <c r="S9" s="29" t="n">
        <v>2</v>
      </c>
      <c r="T9" s="24" t="inlineStr">
        <is>
          <t>lol-tiered-elo-v4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2.26</v>
      </c>
      <c r="AD9" s="24" t="inlineStr">
        <is>
          <t>2026-07-28T14:18:51.185275Z</t>
        </is>
      </c>
      <c r="AE9" s="31" t="inlineStr">
        <is>
          <t>Neutral Elo baseline; executable ask 0.4700 (market_slug=aec-lol-ktc-dkc-2026-07-28).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Dplus KIA Challengers</t>
        </is>
      </c>
      <c r="AQ9" s="24" t="inlineStr">
        <is>
          <t>Dplus KIA Challengers</t>
        </is>
      </c>
      <c r="AR9" s="24" t="inlineStr">
        <is>
          <t>Dplus KIA Challengers</t>
        </is>
      </c>
      <c r="AS9" s="24" t="inlineStr">
        <is>
          <t>KT Rolster Challengers</t>
        </is>
      </c>
      <c r="AT9" s="24" t="inlineStr">
        <is>
          <t>KT Rolster Challengers</t>
        </is>
      </c>
      <c r="AU9" s="24" t="inlineStr">
        <is>
          <t>KT Rolster Challengers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f70c60dff382bbc12c8f4c5f7776a2ae9cb7c56547818c66aa81fe255bb5bb7d</t>
        </is>
      </c>
      <c r="BB9" s="24" t="inlineStr">
        <is>
          <t>neutral_elo</t>
        </is>
      </c>
      <c r="BC9" s="24" t="inlineStr">
        <is>
          <t>lol-tiered-elo-v4</t>
        </is>
      </c>
      <c r="BD9" s="24" t="inlineStr">
        <is>
          <t>f70c60dff382bbc12c8f4c5f7776a2ae9cb7c56547818c66aa81fe255bb5bb7d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lol-tiered-elo-v4</t>
        </is>
      </c>
      <c r="BH9" s="24" t="inlineStr">
        <is>
          <t>2026-07-28T08:10:53.411585Z</t>
        </is>
      </c>
      <c r="BI9" s="24" t="inlineStr">
        <is>
          <t>["same_event","same_team_same_day","same_league_same_day"]</t>
        </is>
      </c>
      <c r="BJ9" s="25" t="n"/>
      <c r="BK9" s="26" t="n">
        <v>113</v>
      </c>
      <c r="BL9" s="27" t="n">
        <v>2.13</v>
      </c>
      <c r="BM9" s="28" t="n">
        <v>0.469484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2026-07-28T15:00:51Z</dcterms:created>
  <dcterms:modified xsi:type="dcterms:W3CDTF">2026-07-28T15:00:51Z</dcterms:modified>
</cp:coreProperties>
</file>