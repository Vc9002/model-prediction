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7" headerRowCount="1">
  <autoFilter ref="A1:CQ7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COUNTA('Picks'!$A$2:$A$7)</f>
        <v/>
      </c>
      <c r="C4" s="6">
        <f>COUNTIF('Picks'!$U$2:$U$7,"open")</f>
        <v/>
      </c>
      <c r="E4" s="6">
        <f>COUNTIF('Picks'!$U$2:$U$7,"settled")</f>
        <v/>
      </c>
      <c r="G4" s="6">
        <f>IF(COUNTIFS('Picks'!$U$2:$U$7,"settled",'Picks'!$V$2:$V$7,"win")+COUNTIFS('Picks'!$U$2:$U$7,"settled",'Picks'!$V$2:$V$7,"loss")&gt;=$L$2,"Ready","Insufficient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COUNTIF('Picks'!$BX$2:$BX$7,"&gt;0")</f>
        <v/>
      </c>
      <c r="C7" s="6">
        <f>COUNTIFS('Picks'!$BX$2:$BX$7,"&gt;0",'Picks'!$V$2:$V$7,"win")&amp;"-"&amp;COUNTIFS('Picks'!$BX$2:$BX$7,"&gt;0",'Picks'!$V$2:$V$7,"loss")</f>
        <v/>
      </c>
      <c r="E7" s="7">
        <f>IFERROR(COUNTIFS('Picks'!$BX$2:$BX$7,"&gt;0",'Picks'!$V$2:$V$7,"win")/(COUNTIFS('Picks'!$BX$2:$BX$7,"&gt;0",'Picks'!$V$2:$V$7,"win")+COUNTIFS('Picks'!$BX$2:$BX$7,"&gt;0",'Picks'!$V$2:$V$7,"loss")),0)</f>
        <v/>
      </c>
      <c r="G7" s="7">
        <f>IFERROR(SUM('Picks'!$BY$2:$BY$7)/SUM('Picks'!$BX$2:$BX$7),0)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SUM('Picks'!$BY$2:$BY$7)</f>
        <v/>
      </c>
      <c r="C10" s="9">
        <f>IFERROR(AVERAGEIF('Picks'!$AB$2:$AB$7,"&lt;&gt;",'Picks'!$AB$2:$AB$7),0)</f>
        <v/>
      </c>
      <c r="E10" s="6">
        <f>COUNTIFS('Picks'!$AM$2:$AM$7,"QUALIFIED_SHADOW_CALL",'Picks'!$U$2:$U$7,"settled")</f>
        <v/>
      </c>
      <c r="G10" s="8">
        <f>SUMIFS('Picks'!$AC$2:$AC$7,'Picks'!$AM$2:$AM$7,"QUALIFIED_SHADOW_CALL")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COUNTIFS('Picks'!$H$2:$H$7,$A14,'Picks'!$U$2:$U$7,"settled")</f>
        <v/>
      </c>
      <c r="C14" s="13">
        <f>COUNTIFS('Picks'!$H$2:$H$7,$A14,'Picks'!$U$2:$U$7,"settled",'Picks'!$V$2:$V$7,"win")</f>
        <v/>
      </c>
      <c r="D14" s="13">
        <f>COUNTIFS('Picks'!$H$2:$H$7,$A14,'Picks'!$U$2:$U$7,"settled",'Picks'!$V$2:$V$7,"loss")</f>
        <v/>
      </c>
      <c r="E14" s="14">
        <f>IFERROR(C14/(C14+D14),0)</f>
        <v/>
      </c>
      <c r="F14" s="15">
        <f>SUMIFS('Picks'!$BY$2:$BY$7,'Picks'!$H$2:$H$7,$A14)</f>
        <v/>
      </c>
      <c r="G14" s="16">
        <f>IFERROR(AVERAGEIFS('Picks'!$AB$2:$AB$7,'Picks'!$H$2:$H$7,$A14,'Picks'!$U$2:$U$7,"settled"),0)</f>
        <v/>
      </c>
    </row>
    <row r="15">
      <c r="A15" s="17" t="inlineStr">
        <is>
          <t>spread</t>
        </is>
      </c>
      <c r="B15" s="18">
        <f>COUNTIFS('Picks'!$H$2:$H$7,$A15,'Picks'!$U$2:$U$7,"settled")</f>
        <v/>
      </c>
      <c r="C15" s="18">
        <f>COUNTIFS('Picks'!$H$2:$H$7,$A15,'Picks'!$U$2:$U$7,"settled",'Picks'!$V$2:$V$7,"win")</f>
        <v/>
      </c>
      <c r="D15" s="18">
        <f>COUNTIFS('Picks'!$H$2:$H$7,$A15,'Picks'!$U$2:$U$7,"settled",'Picks'!$V$2:$V$7,"loss")</f>
        <v/>
      </c>
      <c r="E15" s="19">
        <f>IFERROR(C15/(C15+D15),0)</f>
        <v/>
      </c>
      <c r="F15" s="20">
        <f>SUMIFS('Picks'!$BY$2:$BY$7,'Picks'!$H$2:$H$7,$A15)</f>
        <v/>
      </c>
      <c r="G15" s="21">
        <f>IFERROR(AVERAGEIFS('Picks'!$AB$2:$AB$7,'Picks'!$H$2:$H$7,$A15,'Picks'!$U$2:$U$7,"settled"),0)</f>
        <v/>
      </c>
    </row>
    <row r="16">
      <c r="A16" s="12" t="inlineStr">
        <is>
          <t>total</t>
        </is>
      </c>
      <c r="B16" s="13">
        <f>COUNTIFS('Picks'!$H$2:$H$7,$A16,'Picks'!$U$2:$U$7,"settled")</f>
        <v/>
      </c>
      <c r="C16" s="13">
        <f>COUNTIFS('Picks'!$H$2:$H$7,$A16,'Picks'!$U$2:$U$7,"settled",'Picks'!$V$2:$V$7,"win")</f>
        <v/>
      </c>
      <c r="D16" s="13">
        <f>COUNTIFS('Picks'!$H$2:$H$7,$A16,'Picks'!$U$2:$U$7,"settled",'Picks'!$V$2:$V$7,"loss")</f>
        <v/>
      </c>
      <c r="E16" s="14">
        <f>IFERROR(C16/(C16+D16),0)</f>
        <v/>
      </c>
      <c r="F16" s="15">
        <f>SUMIFS('Picks'!$BY$2:$BY$7,'Picks'!$H$2:$H$7,$A16)</f>
        <v/>
      </c>
      <c r="G16" s="16">
        <f>IFERROR(AVERAGEIFS('Picks'!$AB$2:$AB$7,'Picks'!$H$2:$H$7,$A16,'Picks'!$U$2:$U$7,"settled"),0)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5c6e531064f34f1f</t>
        </is>
      </c>
      <c r="B5" s="24" t="inlineStr">
        <is>
          <t>2026-08-02T09:59:37.296167Z</t>
        </is>
      </c>
      <c r="C5" s="24" t="inlineStr">
        <is>
          <t>2026-08-02T10:00:00Z</t>
        </is>
      </c>
      <c r="D5" s="24" t="inlineStr">
        <is>
          <t>66811</t>
        </is>
      </c>
      <c r="E5" s="24" t="inlineStr">
        <is>
          <t>LOL</t>
        </is>
      </c>
      <c r="F5" s="24" t="inlineStr">
        <is>
          <t>Ancient Ones</t>
        </is>
      </c>
      <c r="G5" s="24" t="inlineStr">
        <is>
          <t>Crystal Rose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0.614494</v>
      </c>
      <c r="P5" s="28" t="n"/>
      <c r="Q5" s="28" t="n">
        <v>0.14501</v>
      </c>
      <c r="R5" s="26" t="n">
        <v>93</v>
      </c>
      <c r="S5" s="29" t="n">
        <v>1.5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113</v>
      </c>
      <c r="AA5" s="28" t="n">
        <v>0.47</v>
      </c>
      <c r="AB5" s="28" t="n">
        <v>0.000516</v>
      </c>
      <c r="AC5" s="30" t="n">
        <v>1.695</v>
      </c>
      <c r="AD5" s="24" t="inlineStr">
        <is>
          <t>2026-08-02T11:45:33.659531Z</t>
        </is>
      </c>
      <c r="AE5" s="31" t="inlineStr">
        <is>
          <t>Neutral Elo baseline; executable ask 0.4700 (market_slug=aec-lol-cr-ao-2026-08-02).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Ancient Ones</t>
        </is>
      </c>
      <c r="AQ5" s="24" t="inlineStr">
        <is>
          <t>Ancient Ones</t>
        </is>
      </c>
      <c r="AR5" s="24" t="inlineStr">
        <is>
          <t>Ancient Ones</t>
        </is>
      </c>
      <c r="AS5" s="24" t="inlineStr">
        <is>
          <t>Crystal Rose</t>
        </is>
      </c>
      <c r="AT5" s="24" t="inlineStr">
        <is>
          <t>Crystal Rose</t>
        </is>
      </c>
      <c r="AU5" s="24" t="inlineStr">
        <is>
          <t>Crystal Rose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872990f5864d469e34c183f4364739fd3897540762b962f4ec2e55405665b2e8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872990f5864d469e34c183f4364739fd3897540762b962f4ec2e55405665b2e8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2026-08-02T09:59:22.583724Z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>
        <v>2.13</v>
      </c>
      <c r="BR5" s="28" t="n">
        <v>0.47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cb4570603d6b43e3</t>
        </is>
      </c>
      <c r="B6" s="24" t="inlineStr">
        <is>
          <t>2026-08-02T09:59:37.296167Z</t>
        </is>
      </c>
      <c r="C6" s="24" t="inlineStr">
        <is>
          <t>2026-08-02T11:00:00Z</t>
        </is>
      </c>
      <c r="D6" s="24" t="inlineStr">
        <is>
          <t>66837</t>
        </is>
      </c>
      <c r="E6" s="24" t="inlineStr">
        <is>
          <t>LOL</t>
        </is>
      </c>
      <c r="F6" s="24" t="inlineStr">
        <is>
          <t>Lille Esport</t>
        </is>
      </c>
      <c r="G6" s="24" t="inlineStr">
        <is>
          <t>Lausanne-Sport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0.586093</v>
      </c>
      <c r="P6" s="28" t="n"/>
      <c r="Q6" s="28" t="n">
        <v>0.086093</v>
      </c>
      <c r="R6" s="26" t="n">
        <v>63</v>
      </c>
      <c r="S6" s="29" t="n">
        <v>1.25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100</v>
      </c>
      <c r="AA6" s="28" t="n">
        <v>0.5</v>
      </c>
      <c r="AB6" s="28" t="n">
        <v>0</v>
      </c>
      <c r="AC6" s="30" t="n">
        <v>-1.25</v>
      </c>
      <c r="AD6" s="24" t="inlineStr">
        <is>
          <t>2026-08-02T11:45:34.762056Z</t>
        </is>
      </c>
      <c r="AE6" s="31" t="inlineStr">
        <is>
          <t>Neutral Elo baseline; executable ask 0.5000 (market_slug=aec-lol-els-lil-2026-08-02).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Lille Esport</t>
        </is>
      </c>
      <c r="AQ6" s="24" t="inlineStr">
        <is>
          <t>Lille Esport</t>
        </is>
      </c>
      <c r="AR6" s="24" t="inlineStr">
        <is>
          <t>Lille Esport</t>
        </is>
      </c>
      <c r="AS6" s="24" t="inlineStr">
        <is>
          <t>Lausanne-Sport Esports</t>
        </is>
      </c>
      <c r="AT6" s="24" t="inlineStr">
        <is>
          <t>Lausanne-Sport Esports</t>
        </is>
      </c>
      <c r="AU6" s="24" t="inlineStr">
        <is>
          <t>Lausanne-Sport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872990f5864d469e34c183f4364739fd3897540762b962f4ec2e55405665b2e8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872990f5864d469e34c183f4364739fd3897540762b962f4ec2e55405665b2e8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2026-08-02T09:59:23.587864Z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>
        <v>2</v>
      </c>
      <c r="BR6" s="28" t="n">
        <v>0.5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96a22c8745e44e42</t>
        </is>
      </c>
      <c r="B7" s="24" t="inlineStr">
        <is>
          <t>2026-08-02T15:51:19.985321Z</t>
        </is>
      </c>
      <c r="C7" s="24" t="inlineStr">
        <is>
          <t>2026-08-02T16:00:00Z</t>
        </is>
      </c>
      <c r="D7" s="24" t="inlineStr">
        <is>
          <t>66902</t>
        </is>
      </c>
      <c r="E7" s="24" t="inlineStr">
        <is>
          <t>LOL</t>
        </is>
      </c>
      <c r="F7" s="24" t="inlineStr">
        <is>
          <t>LOUD</t>
        </is>
      </c>
      <c r="G7" s="24" t="inlineStr">
        <is>
          <t>Fluxo W7M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0.558818</v>
      </c>
      <c r="P7" s="28" t="n"/>
      <c r="Q7" s="28" t="n">
        <v>0.019647</v>
      </c>
      <c r="R7" s="26" t="n">
        <v>30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-117</v>
      </c>
      <c r="AA7" s="28" t="n">
        <v>0.54</v>
      </c>
      <c r="AB7" s="28" t="n">
        <v>0.000829</v>
      </c>
      <c r="AC7" s="30" t="n">
        <v>0.8547</v>
      </c>
      <c r="AD7" s="24" t="inlineStr">
        <is>
          <t>2026-08-02T17:34:59.847525Z</t>
        </is>
      </c>
      <c r="AE7" s="31" t="inlineStr">
        <is>
          <t>Neutral Elo baseline; executable ask 0.5400 (market_slug=aec-lol-fxw7-lll-2026-08-02).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LOUD</t>
        </is>
      </c>
      <c r="AQ7" s="24" t="inlineStr">
        <is>
          <t>LOUD</t>
        </is>
      </c>
      <c r="AR7" s="24" t="inlineStr">
        <is>
          <t>LOUD</t>
        </is>
      </c>
      <c r="AS7" s="24" t="inlineStr">
        <is>
          <t>Fluxo W7M</t>
        </is>
      </c>
      <c r="AT7" s="24" t="inlineStr">
        <is>
          <t>Fluxo W7M</t>
        </is>
      </c>
      <c r="AU7" s="24" t="inlineStr">
        <is>
          <t>Fluxo W7M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4ef0b19fe97fa070abfaae40ffb41addfe8947e35583480b0b6feebe14b9f7ac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4ef0b19fe97fa070abfaae40ffb41addfe8947e35583480b0b6feebe14b9f7ac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2026-08-02T15:51:09.199778Z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>
        <v>1.854701</v>
      </c>
      <c r="BR7" s="28" t="n">
        <v>0.54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2026-08-02T18:21:05Z</dcterms:created>
  <dcterms:modified xsi:type="dcterms:W3CDTF">2026-08-02T18:21:05Z</dcterms:modified>
</cp:coreProperties>
</file>