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2" headerRowCount="1">
  <autoFilter ref="A1:CP12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COUNTA('Picks'!$A$2:$A$12)</f>
        <v/>
      </c>
      <c r="C4" s="6">
        <f>COUNTIF('Picks'!$U$2:$U$12,"open")</f>
        <v/>
      </c>
      <c r="E4" s="6">
        <f>COUNTIF('Picks'!$U$2:$U$12,"settled")</f>
        <v/>
      </c>
      <c r="G4" s="6">
        <f>IF(COUNTIFS('Picks'!$U$2:$U$12,"settled",'Picks'!$V$2:$V$12,"win")+COUNTIFS('Picks'!$U$2:$U$12,"settled",'Picks'!$V$2:$V$12,"loss")&gt;=$L$2,"Ready","Insufficient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COUNTIF('Picks'!$BX$2:$BX$12,"&gt;0")</f>
        <v/>
      </c>
      <c r="C7" s="6">
        <f>COUNTIFS('Picks'!$BX$2:$BX$12,"&gt;0",'Picks'!$V$2:$V$12,"win")&amp;"-"&amp;COUNTIFS('Picks'!$BX$2:$BX$12,"&gt;0",'Picks'!$V$2:$V$12,"loss")</f>
        <v/>
      </c>
      <c r="E7" s="7">
        <f>IFERROR(COUNTIFS('Picks'!$BX$2:$BX$12,"&gt;0",'Picks'!$V$2:$V$12,"win")/(COUNTIFS('Picks'!$BX$2:$BX$12,"&gt;0",'Picks'!$V$2:$V$12,"win")+COUNTIFS('Picks'!$BX$2:$BX$12,"&gt;0",'Picks'!$V$2:$V$12,"loss")),0)</f>
        <v/>
      </c>
      <c r="G7" s="7">
        <f>IFERROR(SUM('Picks'!$BY$2:$BY$12)/SUM('Picks'!$BX$2:$BX$12),0)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SUM('Picks'!$BY$2:$BY$12)</f>
        <v/>
      </c>
      <c r="C10" s="9">
        <f>IFERROR(AVERAGEIF('Picks'!$AB$2:$AB$12,"&lt;&gt;",'Picks'!$AB$2:$AB$12),0)</f>
        <v/>
      </c>
      <c r="E10" s="6">
        <f>COUNTIFS('Picks'!$AM$2:$AM$12,"QUALIFIED_SHADOW_CALL",'Picks'!$U$2:$U$12,"settled")</f>
        <v/>
      </c>
      <c r="G10" s="8">
        <f>SUMIFS('Picks'!$AC$2:$AC$12,'Picks'!$AM$2:$AM$12,"QUALIFIED_SHADOW_CALL")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COUNTIFS('Picks'!$H$2:$H$12,$A14,'Picks'!$U$2:$U$12,"settled")</f>
        <v/>
      </c>
      <c r="C14" s="13">
        <f>COUNTIFS('Picks'!$H$2:$H$12,$A14,'Picks'!$U$2:$U$12,"settled",'Picks'!$V$2:$V$12,"win")</f>
        <v/>
      </c>
      <c r="D14" s="13">
        <f>COUNTIFS('Picks'!$H$2:$H$12,$A14,'Picks'!$U$2:$U$12,"settled",'Picks'!$V$2:$V$12,"loss")</f>
        <v/>
      </c>
      <c r="E14" s="14">
        <f>IFERROR(C14/(C14+D14),0)</f>
        <v/>
      </c>
      <c r="F14" s="15">
        <f>SUMIFS('Picks'!$BY$2:$BY$12,'Picks'!$H$2:$H$12,$A14)</f>
        <v/>
      </c>
      <c r="G14" s="16">
        <f>IFERROR(AVERAGEIFS('Picks'!$AB$2:$AB$12,'Picks'!$H$2:$H$12,$A14,'Picks'!$U$2:$U$12,"settled"),0)</f>
        <v/>
      </c>
    </row>
    <row r="15">
      <c r="A15" s="17" t="inlineStr">
        <is>
          <t>spread</t>
        </is>
      </c>
      <c r="B15" s="18">
        <f>COUNTIFS('Picks'!$H$2:$H$12,$A15,'Picks'!$U$2:$U$12,"settled")</f>
        <v/>
      </c>
      <c r="C15" s="18">
        <f>COUNTIFS('Picks'!$H$2:$H$12,$A15,'Picks'!$U$2:$U$12,"settled",'Picks'!$V$2:$V$12,"win")</f>
        <v/>
      </c>
      <c r="D15" s="18">
        <f>COUNTIFS('Picks'!$H$2:$H$12,$A15,'Picks'!$U$2:$U$12,"settled",'Picks'!$V$2:$V$12,"loss")</f>
        <v/>
      </c>
      <c r="E15" s="19">
        <f>IFERROR(C15/(C15+D15),0)</f>
        <v/>
      </c>
      <c r="F15" s="20">
        <f>SUMIFS('Picks'!$BY$2:$BY$12,'Picks'!$H$2:$H$12,$A15)</f>
        <v/>
      </c>
      <c r="G15" s="21">
        <f>IFERROR(AVERAGEIFS('Picks'!$AB$2:$AB$12,'Picks'!$H$2:$H$12,$A15,'Picks'!$U$2:$U$12,"settled"),0)</f>
        <v/>
      </c>
    </row>
    <row r="16">
      <c r="A16" s="12" t="inlineStr">
        <is>
          <t>total</t>
        </is>
      </c>
      <c r="B16" s="13">
        <f>COUNTIFS('Picks'!$H$2:$H$12,$A16,'Picks'!$U$2:$U$12,"settled")</f>
        <v/>
      </c>
      <c r="C16" s="13">
        <f>COUNTIFS('Picks'!$H$2:$H$12,$A16,'Picks'!$U$2:$U$12,"settled",'Picks'!$V$2:$V$12,"win")</f>
        <v/>
      </c>
      <c r="D16" s="13">
        <f>COUNTIFS('Picks'!$H$2:$H$12,$A16,'Picks'!$U$2:$U$12,"settled",'Picks'!$V$2:$V$12,"loss")</f>
        <v/>
      </c>
      <c r="E16" s="14">
        <f>IFERROR(C16/(C16+D16),0)</f>
        <v/>
      </c>
      <c r="F16" s="15">
        <f>SUMIFS('Picks'!$BY$2:$BY$12,'Picks'!$H$2:$H$12,$A16)</f>
        <v/>
      </c>
      <c r="G16" s="16">
        <f>IFERROR(AVERAGEIFS('Picks'!$AB$2:$AB$12,'Picks'!$H$2:$H$12,$A16,'Picks'!$U$2:$U$12,"settled"),0)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8e559255db5a4b49</t>
        </is>
      </c>
      <c r="B7" s="24" t="inlineStr">
        <is>
          <t>2026-08-02T13:07:30.652675Z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0.5584440000000001</v>
      </c>
      <c r="P7" s="28" t="n"/>
      <c r="Q7" s="28" t="n">
        <v>0.008894000000000001</v>
      </c>
      <c r="R7" s="26" t="n">
        <v>24</v>
      </c>
      <c r="S7" s="29" t="n">
        <v>1</v>
      </c>
      <c r="T7" s="24" t="inlineStr">
        <is>
          <t>lol-tiered-elo-v5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0.5500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20de1d712cda0a66426c95ed103aa2e610c5fbde0bd61721abf492218cad1cd2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20de1d712cda0a66426c95ed103aa2e610c5fbde0bd61721abf492218cad1cd2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2026-08-02T13:07:19.930355Z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d9a97e5dcb334bb3</t>
        </is>
      </c>
      <c r="B8" s="24" t="inlineStr">
        <is>
          <t>2026-08-02T13:07:30.652675Z</t>
        </is>
      </c>
      <c r="C8" s="24" t="inlineStr">
        <is>
          <t>2026-08-03T08:00:00Z</t>
        </is>
      </c>
      <c r="D8" s="24" t="inlineStr">
        <is>
          <t>67491</t>
        </is>
      </c>
      <c r="E8" s="24" t="inlineStr">
        <is>
          <t>LOL</t>
        </is>
      </c>
      <c r="F8" s="24" t="inlineStr">
        <is>
          <t>Hanwha Life Esports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-133</v>
      </c>
      <c r="M8" s="27" t="n">
        <v>1.75188</v>
      </c>
      <c r="N8" s="28" t="n">
        <v>0.570815</v>
      </c>
      <c r="O8" s="28" t="n">
        <v>0.58052</v>
      </c>
      <c r="P8" s="28" t="n"/>
      <c r="Q8" s="28" t="n">
        <v>0.009705</v>
      </c>
      <c r="R8" s="26" t="n">
        <v>25</v>
      </c>
      <c r="S8" s="29" t="n">
        <v>1.25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0.5700 (market_slug=aec-lol-gen-hle-2026-08-03).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Hanwha Life Esports</t>
        </is>
      </c>
      <c r="AQ8" s="24" t="inlineStr">
        <is>
          <t>Hanwha Life Esports</t>
        </is>
      </c>
      <c r="AR8" s="24" t="inlineStr">
        <is>
          <t>Hanwha Life Esports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20de1d712cda0a66426c95ed103aa2e610c5fbde0bd61721abf492218cad1cd2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20de1d712cda0a66426c95ed103aa2e610c5fbde0bd61721abf492218cad1cd2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2026-08-02T13:07:22.606056Z</t>
        </is>
      </c>
      <c r="BI8" s="24" t="inlineStr">
        <is>
          <t>["same_event","same_team_same_day","same_league_same_day"]</t>
        </is>
      </c>
      <c r="BJ8" s="25" t="n"/>
      <c r="BK8" s="26" t="n">
        <v>-133</v>
      </c>
      <c r="BL8" s="27" t="n">
        <v>1.75188</v>
      </c>
      <c r="BM8" s="28" t="n">
        <v>0.570815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e502908325784a88</t>
        </is>
      </c>
      <c r="B9" s="24" t="inlineStr">
        <is>
          <t>2026-08-02T13:07:30.652675Z</t>
        </is>
      </c>
      <c r="C9" s="24" t="inlineStr">
        <is>
          <t>2026-08-03T10:00:00Z</t>
        </is>
      </c>
      <c r="D9" s="24" t="inlineStr">
        <is>
          <t>67511</t>
        </is>
      </c>
      <c r="E9" s="24" t="inlineStr">
        <is>
          <t>LOL</t>
        </is>
      </c>
      <c r="F9" s="24" t="inlineStr">
        <is>
          <t>Dplus KIA Challengers</t>
        </is>
      </c>
      <c r="G9" s="24" t="inlineStr">
        <is>
          <t>DN SOOPers Challengers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0.703234</v>
      </c>
      <c r="P9" s="28" t="n"/>
      <c r="Q9" s="28" t="n">
        <v>0.012832</v>
      </c>
      <c r="R9" s="26" t="n">
        <v>26</v>
      </c>
      <c r="S9" s="29" t="n">
        <v>2</v>
      </c>
      <c r="T9" s="24" t="inlineStr">
        <is>
          <t>lol-tiered-elo-v5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0.6900 (market_slug=aec-lol-dnsc-dkc-2026-08-03).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Dplus KIA Challengers</t>
        </is>
      </c>
      <c r="AQ9" s="24" t="inlineStr">
        <is>
          <t>Dplus KIA Challengers</t>
        </is>
      </c>
      <c r="AR9" s="24" t="inlineStr">
        <is>
          <t>Dplus KIA Challengers</t>
        </is>
      </c>
      <c r="AS9" s="24" t="inlineStr">
        <is>
          <t>DN SOOPers Challengers</t>
        </is>
      </c>
      <c r="AT9" s="24" t="inlineStr">
        <is>
          <t>DN SOOPers Challengers</t>
        </is>
      </c>
      <c r="AU9" s="24" t="inlineStr">
        <is>
          <t>DN SOOPers Challengers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20de1d712cda0a66426c95ed103aa2e610c5fbde0bd61721abf492218cad1cd2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20de1d712cda0a66426c95ed103aa2e610c5fbde0bd61721abf492218cad1cd2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2026-08-02T13:07:23.605808Z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2168ff7cf0e74ae2</t>
        </is>
      </c>
      <c r="B10" s="24" t="inlineStr">
        <is>
          <t>2026-08-02T13:07:30.652675Z</t>
        </is>
      </c>
      <c r="C10" s="24" t="inlineStr">
        <is>
          <t>2026-08-03T10:30:00Z</t>
        </is>
      </c>
      <c r="D10" s="24" t="inlineStr">
        <is>
          <t>67515</t>
        </is>
      </c>
      <c r="E10" s="24" t="inlineStr">
        <is>
          <t>LOL</t>
        </is>
      </c>
      <c r="F10" s="24" t="inlineStr">
        <is>
          <t>T1</t>
        </is>
      </c>
      <c r="G10" s="24" t="inlineStr">
        <is>
          <t>Nongshim Red Force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-170</v>
      </c>
      <c r="M10" s="27" t="n">
        <v>1.588235</v>
      </c>
      <c r="N10" s="28" t="n">
        <v>0.62963</v>
      </c>
      <c r="O10" s="28" t="n">
        <v>0.746484</v>
      </c>
      <c r="P10" s="28" t="n"/>
      <c r="Q10" s="28" t="n">
        <v>0.116854</v>
      </c>
      <c r="R10" s="26" t="n">
        <v>78</v>
      </c>
      <c r="S10" s="29" t="n">
        <v>2</v>
      </c>
      <c r="T10" s="24" t="inlineStr">
        <is>
          <t>lol-tiered-elo-v5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0.6300 (market_slug=aec-lol-ns-t1-2026-08-03).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T1</t>
        </is>
      </c>
      <c r="AQ10" s="24" t="inlineStr">
        <is>
          <t>T1</t>
        </is>
      </c>
      <c r="AR10" s="24" t="inlineStr">
        <is>
          <t>T1</t>
        </is>
      </c>
      <c r="AS10" s="24" t="inlineStr">
        <is>
          <t>Nongshim Red Force</t>
        </is>
      </c>
      <c r="AT10" s="24" t="inlineStr">
        <is>
          <t>Nongshim Red Force</t>
        </is>
      </c>
      <c r="AU10" s="24" t="inlineStr">
        <is>
          <t>Nongshim Red Force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20de1d712cda0a66426c95ed103aa2e610c5fbde0bd61721abf492218cad1cd2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20de1d712cda0a66426c95ed103aa2e610c5fbde0bd61721abf492218cad1cd2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2026-08-02T13:07:24.188851Z</t>
        </is>
      </c>
      <c r="BI10" s="24" t="inlineStr">
        <is>
          <t>["same_event","same_team_same_day","same_league_same_day"]</t>
        </is>
      </c>
      <c r="BJ10" s="25" t="n"/>
      <c r="BK10" s="26" t="n">
        <v>-170</v>
      </c>
      <c r="BL10" s="27" t="n">
        <v>1.588235</v>
      </c>
      <c r="BM10" s="28" t="n">
        <v>0.62963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2ba7a93152ac4650</t>
        </is>
      </c>
      <c r="B11" s="24" t="inlineStr">
        <is>
          <t>2026-08-02T13:07:30.652675Z</t>
        </is>
      </c>
      <c r="C11" s="24" t="inlineStr">
        <is>
          <t>2026-08-03T15:00:00Z</t>
        </is>
      </c>
      <c r="D11" s="24" t="inlineStr">
        <is>
          <t>67566</t>
        </is>
      </c>
      <c r="E11" s="24" t="inlineStr">
        <is>
          <t>LOL</t>
        </is>
      </c>
      <c r="F11" s="24" t="inlineStr">
        <is>
          <t>Shifters</t>
        </is>
      </c>
      <c r="G11" s="24" t="inlineStr">
        <is>
          <t>Natus Vincere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0.74769</v>
      </c>
      <c r="P11" s="28" t="n"/>
      <c r="Q11" s="28" t="n">
        <v>0.04799</v>
      </c>
      <c r="R11" s="26" t="n">
        <v>44</v>
      </c>
      <c r="S11" s="29" t="n">
        <v>2</v>
      </c>
      <c r="T11" s="24" t="inlineStr">
        <is>
          <t>lol-tiered-elo-v5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0.7000 (market_slug=aec-lol-navi-shft-2026-08-03).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Shifters</t>
        </is>
      </c>
      <c r="AQ11" s="24" t="inlineStr">
        <is>
          <t>Shifters</t>
        </is>
      </c>
      <c r="AR11" s="24" t="inlineStr">
        <is>
          <t>Shifters</t>
        </is>
      </c>
      <c r="AS11" s="24" t="inlineStr">
        <is>
          <t>Natus Vincere</t>
        </is>
      </c>
      <c r="AT11" s="24" t="inlineStr">
        <is>
          <t>Natus Vincere</t>
        </is>
      </c>
      <c r="AU11" s="24" t="inlineStr">
        <is>
          <t>Natus Vincere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20de1d712cda0a66426c95ed103aa2e610c5fbde0bd61721abf492218cad1cd2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20de1d712cda0a66426c95ed103aa2e610c5fbde0bd61721abf492218cad1cd2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2026-08-02T13:07:24.702936Z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5cd6021b574a43bf</t>
        </is>
      </c>
      <c r="B12" s="24" t="inlineStr">
        <is>
          <t>2026-08-02T13:07:30.652675Z</t>
        </is>
      </c>
      <c r="C12" s="24" t="inlineStr">
        <is>
          <t>2026-08-03T20:00:00Z</t>
        </is>
      </c>
      <c r="D12" s="24" t="inlineStr">
        <is>
          <t>67937</t>
        </is>
      </c>
      <c r="E12" s="24" t="inlineStr">
        <is>
          <t>LOL</t>
        </is>
      </c>
      <c r="F12" s="24" t="inlineStr">
        <is>
          <t>Docta Esports</t>
        </is>
      </c>
      <c r="G12" s="24" t="inlineStr">
        <is>
          <t>Volticons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-144</v>
      </c>
      <c r="M12" s="27" t="n">
        <v>1.694444</v>
      </c>
      <c r="N12" s="28" t="n">
        <v>0.590164</v>
      </c>
      <c r="O12" s="28" t="n">
        <v>0.650601</v>
      </c>
      <c r="P12" s="28" t="n"/>
      <c r="Q12" s="28" t="n">
        <v>0.060437</v>
      </c>
      <c r="R12" s="26" t="n">
        <v>50</v>
      </c>
      <c r="S12" s="29" t="n">
        <v>1.75</v>
      </c>
      <c r="T12" s="24" t="inlineStr">
        <is>
          <t>lol-tiered-elo-v5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0.5900 (market_slug=aec-lol-vtc-doh-2026-08-03).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Docta Esports</t>
        </is>
      </c>
      <c r="AQ12" s="24" t="inlineStr">
        <is>
          <t>Docta Esports</t>
        </is>
      </c>
      <c r="AR12" s="24" t="inlineStr">
        <is>
          <t>Docta Esports</t>
        </is>
      </c>
      <c r="AS12" s="24" t="inlineStr">
        <is>
          <t>Volticons</t>
        </is>
      </c>
      <c r="AT12" s="24" t="inlineStr">
        <is>
          <t>Volticons</t>
        </is>
      </c>
      <c r="AU12" s="24" t="inlineStr">
        <is>
          <t>Volticons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20de1d712cda0a66426c95ed103aa2e610c5fbde0bd61721abf492218cad1cd2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20de1d712cda0a66426c95ed103aa2e610c5fbde0bd61721abf492218cad1cd2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2026-08-02T13:07:28.257607Z</t>
        </is>
      </c>
      <c r="BI12" s="24" t="inlineStr">
        <is>
          <t>["same_event","same_team_same_day","same_league_same_day"]</t>
        </is>
      </c>
      <c r="BJ12" s="25" t="n"/>
      <c r="BK12" s="26" t="n">
        <v>-144</v>
      </c>
      <c r="BL12" s="27" t="n">
        <v>1.694444</v>
      </c>
      <c r="BM12" s="28" t="n">
        <v>0.590164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2026-08-02T13:07:31Z</dcterms:created>
  <dcterms:modified xsi:type="dcterms:W3CDTF">2026-08-02T13:07:31Z</dcterms:modified>
</cp:coreProperties>
</file>