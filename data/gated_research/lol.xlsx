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8" headerRowCount="1">
  <autoFilter ref="A1:CS3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COUNTA('Picks'!$A$2:$A$38)</f>
        <v/>
      </c>
      <c r="C4" s="6">
        <f>COUNTIF('Picks'!$U$2:$U$38,"open")</f>
        <v/>
      </c>
      <c r="E4" s="6">
        <f>COUNTIF('Picks'!$U$2:$U$38,"settled")</f>
        <v/>
      </c>
      <c r="G4" s="6">
        <f>IF(COUNTIFS('Picks'!$U$2:$U$38,"settled",'Picks'!$V$2:$V$38,"win")+COUNTIFS('Picks'!$U$2:$U$38,"settled",'Picks'!$V$2:$V$38,"loss")&gt;=$L$2,"Ready","Insufficient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COUNTIF('Picks'!$BX$2:$BX$38,"&gt;0")</f>
        <v/>
      </c>
      <c r="C7" s="6">
        <f>COUNTIFS('Picks'!$BX$2:$BX$38,"&gt;0",'Picks'!$V$2:$V$38,"win")&amp;"-"&amp;COUNTIFS('Picks'!$BX$2:$BX$38,"&gt;0",'Picks'!$V$2:$V$38,"loss")</f>
        <v/>
      </c>
      <c r="E7" s="7">
        <f>IFERROR(COUNTIFS('Picks'!$BX$2:$BX$38,"&gt;0",'Picks'!$V$2:$V$38,"win")/(COUNTIFS('Picks'!$BX$2:$BX$38,"&gt;0",'Picks'!$V$2:$V$38,"win")+COUNTIFS('Picks'!$BX$2:$BX$38,"&gt;0",'Picks'!$V$2:$V$38,"loss")),0)</f>
        <v/>
      </c>
      <c r="G7" s="7">
        <f>IFERROR(SUM('Picks'!$BY$2:$BY$38)/SUM('Picks'!$BX$2:$BX$38),0)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SUM('Picks'!$BY$2:$BY$38)</f>
        <v/>
      </c>
      <c r="C10" s="9">
        <f>IFERROR(AVERAGEIF('Picks'!$AB$2:$AB$38,"&lt;&gt;",'Picks'!$AB$2:$AB$38),0)</f>
        <v/>
      </c>
      <c r="E10" s="6">
        <f>COUNTIFS('Picks'!$AM$2:$AM$38,"QUALIFIED_SHADOW_CALL",'Picks'!$U$2:$U$38,"settled")</f>
        <v/>
      </c>
      <c r="G10" s="8">
        <f>SUMIFS('Picks'!$AC$2:$AC$38,'Picks'!$AM$2:$AM$38,"QUALIFIED_SHADOW_CALL")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COUNTIFS('Picks'!$H$2:$H$38,$A14,'Picks'!$U$2:$U$38,"settled")</f>
        <v/>
      </c>
      <c r="C14" s="13">
        <f>COUNTIFS('Picks'!$H$2:$H$38,$A14,'Picks'!$U$2:$U$38,"settled",'Picks'!$V$2:$V$38,"win")</f>
        <v/>
      </c>
      <c r="D14" s="13">
        <f>COUNTIFS('Picks'!$H$2:$H$38,$A14,'Picks'!$U$2:$U$38,"settled",'Picks'!$V$2:$V$38,"loss")</f>
        <v/>
      </c>
      <c r="E14" s="14">
        <f>IFERROR(C14/(C14+D14),0)</f>
        <v/>
      </c>
      <c r="F14" s="15">
        <f>SUMIFS('Picks'!$BY$2:$BY$38,'Picks'!$H$2:$H$38,$A14)</f>
        <v/>
      </c>
      <c r="G14" s="16">
        <f>IFERROR(AVERAGEIFS('Picks'!$AB$2:$AB$38,'Picks'!$H$2:$H$38,$A14,'Picks'!$U$2:$U$38,"settled"),0)</f>
        <v/>
      </c>
    </row>
    <row r="15">
      <c r="A15" s="17" t="inlineStr">
        <is>
          <t>spread</t>
        </is>
      </c>
      <c r="B15" s="18">
        <f>COUNTIFS('Picks'!$H$2:$H$38,$A15,'Picks'!$U$2:$U$38,"settled")</f>
        <v/>
      </c>
      <c r="C15" s="18">
        <f>COUNTIFS('Picks'!$H$2:$H$38,$A15,'Picks'!$U$2:$U$38,"settled",'Picks'!$V$2:$V$38,"win")</f>
        <v/>
      </c>
      <c r="D15" s="18">
        <f>COUNTIFS('Picks'!$H$2:$H$38,$A15,'Picks'!$U$2:$U$38,"settled",'Picks'!$V$2:$V$38,"loss")</f>
        <v/>
      </c>
      <c r="E15" s="19">
        <f>IFERROR(C15/(C15+D15),0)</f>
        <v/>
      </c>
      <c r="F15" s="20">
        <f>SUMIFS('Picks'!$BY$2:$BY$38,'Picks'!$H$2:$H$38,$A15)</f>
        <v/>
      </c>
      <c r="G15" s="21">
        <f>IFERROR(AVERAGEIFS('Picks'!$AB$2:$AB$38,'Picks'!$H$2:$H$38,$A15,'Picks'!$U$2:$U$38,"settled"),0)</f>
        <v/>
      </c>
    </row>
    <row r="16">
      <c r="A16" s="12" t="inlineStr">
        <is>
          <t>total</t>
        </is>
      </c>
      <c r="B16" s="13">
        <f>COUNTIFS('Picks'!$H$2:$H$38,$A16,'Picks'!$U$2:$U$38,"settled")</f>
        <v/>
      </c>
      <c r="C16" s="13">
        <f>COUNTIFS('Picks'!$H$2:$H$38,$A16,'Picks'!$U$2:$U$38,"settled",'Picks'!$V$2:$V$38,"win")</f>
        <v/>
      </c>
      <c r="D16" s="13">
        <f>COUNTIFS('Picks'!$H$2:$H$38,$A16,'Picks'!$U$2:$U$38,"settled",'Picks'!$V$2:$V$38,"loss")</f>
        <v/>
      </c>
      <c r="E16" s="14">
        <f>IFERROR(C16/(C16+D16),0)</f>
        <v/>
      </c>
      <c r="F16" s="15">
        <f>SUMIFS('Picks'!$BY$2:$BY$38,'Picks'!$H$2:$H$38,$A16)</f>
        <v/>
      </c>
      <c r="G16" s="16">
        <f>IFERROR(AVERAGEIFS('Picks'!$AB$2:$AB$38,'Picks'!$H$2:$H$38,$A16,'Picks'!$U$2:$U$38,"settled"),0)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2026-08-02T17:34:59.847525Z</t>
        </is>
      </c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55b34ffe3b5d4fe1</t>
        </is>
      </c>
      <c r="B8" s="24" t="inlineStr">
        <is>
          <t>2026-08-03T06:30:34.654651Z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0.703892</v>
      </c>
      <c r="P8" s="28" t="n"/>
      <c r="Q8" s="28" t="n">
        <v>0.07426199999999999</v>
      </c>
      <c r="R8" s="26" t="n">
        <v>57</v>
      </c>
      <c r="S8" s="29" t="n">
        <v>2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-170</v>
      </c>
      <c r="AA8" s="28" t="n">
        <v>0.63</v>
      </c>
      <c r="AB8" s="28" t="n">
        <v>0.00037</v>
      </c>
      <c r="AC8" s="30" t="n">
        <v>-2</v>
      </c>
      <c r="AD8" s="24" t="inlineStr">
        <is>
          <t>2026-08-03T13:27:36.882808Z</t>
        </is>
      </c>
      <c r="AE8" s="31" t="inlineStr">
        <is>
          <t>Neutral Elo baseline; executable ask 0.6300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ff2b770f59073a39e60976cbc1ae4f05ce9c0ac0477f1609e756119cbdd7431b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ff2b770f59073a39e60976cbc1ae4f05ce9c0ac0477f1609e756119cbdd7431b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2026-08-03T06:30:13.245481Z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>
        <v>1.588235</v>
      </c>
      <c r="BR8" s="28" t="n">
        <v>0.63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1d9cd56d3c7b4494</t>
        </is>
      </c>
      <c r="B9" s="24" t="inlineStr">
        <is>
          <t>2026-08-03T13:30:58.881408Z</t>
        </is>
      </c>
      <c r="C9" s="24" t="inlineStr">
        <is>
          <t>2026-08-03T15:00:00Z</t>
        </is>
      </c>
      <c r="D9" s="24" t="inlineStr">
        <is>
          <t>67566</t>
        </is>
      </c>
      <c r="E9" s="24" t="inlineStr">
        <is>
          <t>LOL</t>
        </is>
      </c>
      <c r="F9" s="24" t="inlineStr">
        <is>
          <t>Shifters</t>
        </is>
      </c>
      <c r="G9" s="24" t="inlineStr">
        <is>
          <t>Natus Vincere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0.745478</v>
      </c>
      <c r="P9" s="28" t="n"/>
      <c r="Q9" s="28" t="n">
        <v>0.055076</v>
      </c>
      <c r="R9" s="26" t="n">
        <v>48</v>
      </c>
      <c r="S9" s="29" t="n">
        <v>2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2026-08-03T16:48:25.231418Z</t>
        </is>
      </c>
      <c r="AE9" s="31" t="inlineStr">
        <is>
          <t>Neutral Elo baseline; executable ask 0.6900 (market_slug=aec-lol-navi-shft-2026-08-03).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Shifters</t>
        </is>
      </c>
      <c r="AQ9" s="24" t="inlineStr">
        <is>
          <t>Shifters</t>
        </is>
      </c>
      <c r="AR9" s="24" t="inlineStr">
        <is>
          <t>Shifters</t>
        </is>
      </c>
      <c r="AS9" s="24" t="inlineStr">
        <is>
          <t>Natus Vincere</t>
        </is>
      </c>
      <c r="AT9" s="24" t="inlineStr">
        <is>
          <t>Natus Vincere</t>
        </is>
      </c>
      <c r="AU9" s="24" t="inlineStr">
        <is>
          <t>Natus Vincere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8e100718c38982e9b6a67d6c835251aad775fa6c0f7d64cbcae66021f2cd7f9c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8e100718c38982e9b6a67d6c835251aad775fa6c0f7d64cbcae66021f2cd7f9c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2026-08-03T13:30:33.645010Z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919f9bf38a784742</t>
        </is>
      </c>
      <c r="B10" s="24" t="inlineStr">
        <is>
          <t>2026-08-03T17:09:03.086605Z</t>
        </is>
      </c>
      <c r="C10" s="24" t="inlineStr">
        <is>
          <t>2026-08-03T19:00:00Z</t>
        </is>
      </c>
      <c r="D10" s="24" t="inlineStr">
        <is>
          <t>63451</t>
        </is>
      </c>
      <c r="E10" s="24" t="inlineStr">
        <is>
          <t>LOL</t>
        </is>
      </c>
      <c r="F10" s="24" t="inlineStr">
        <is>
          <t>Vivo Keyd Stars Academy</t>
        </is>
      </c>
      <c r="G10" s="24" t="inlineStr">
        <is>
          <t>Team Solid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0.727674</v>
      </c>
      <c r="P10" s="28" t="n"/>
      <c r="Q10" s="28" t="n">
        <v>0.037272</v>
      </c>
      <c r="R10" s="26" t="n">
        <v>39</v>
      </c>
      <c r="S10" s="29" t="n">
        <v>2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-2</v>
      </c>
      <c r="AD10" s="24" t="inlineStr">
        <is>
          <t>2026-08-03T19:52:17.207636Z</t>
        </is>
      </c>
      <c r="AE10" s="31" t="inlineStr">
        <is>
          <t>Neutral Elo baseline; executable ask 0.6900 (market_slug=aec-lol-tse-vksa-2026-07-30).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Vivo Keyd Stars Academy</t>
        </is>
      </c>
      <c r="AQ10" s="24" t="inlineStr">
        <is>
          <t>Vivo Keyd Stars Academy</t>
        </is>
      </c>
      <c r="AR10" s="24" t="inlineStr">
        <is>
          <t>Vivo Keyd Stars Academy</t>
        </is>
      </c>
      <c r="AS10" s="24" t="inlineStr">
        <is>
          <t>Team Solid</t>
        </is>
      </c>
      <c r="AT10" s="24" t="inlineStr">
        <is>
          <t>Team Solid</t>
        </is>
      </c>
      <c r="AU10" s="24" t="inlineStr">
        <is>
          <t>Team Solid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efcbb93ea7594fbafcf9325219d1c95ecb0ddde1698943dd2007a07a55350fa4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efcbb93ea7594fbafcf9325219d1c95ecb0ddde1698943dd2007a07a55350fa4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2026-08-03T17:08:43.723243Z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be2db88654a24a40</t>
        </is>
      </c>
      <c r="B11" s="24" t="inlineStr">
        <is>
          <t>2026-08-04T15:04:56.339784Z</t>
        </is>
      </c>
      <c r="C11" s="24" t="inlineStr">
        <is>
          <t>2026-08-04T16:00:00Z</t>
        </is>
      </c>
      <c r="D11" s="24" t="inlineStr">
        <is>
          <t>68509</t>
        </is>
      </c>
      <c r="E11" s="24" t="inlineStr">
        <is>
          <t>LOL</t>
        </is>
      </c>
      <c r="F11" s="24" t="inlineStr">
        <is>
          <t>Skillcamp Esport</t>
        </is>
      </c>
      <c r="G11" s="24" t="inlineStr">
        <is>
          <t>Ici Japon Corp. Esport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-138</v>
      </c>
      <c r="M11" s="27" t="n">
        <v>1.724638</v>
      </c>
      <c r="N11" s="28" t="n">
        <v>0.579832</v>
      </c>
      <c r="O11" s="28" t="n">
        <v>0.631258</v>
      </c>
      <c r="P11" s="28" t="n"/>
      <c r="Q11" s="28" t="n">
        <v>0.051426</v>
      </c>
      <c r="R11" s="26" t="n">
        <v>46</v>
      </c>
      <c r="S11" s="29" t="n">
        <v>1.5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-138</v>
      </c>
      <c r="AA11" s="28" t="n">
        <v>0.58</v>
      </c>
      <c r="AB11" s="28" t="n">
        <v>0.000168</v>
      </c>
      <c r="AC11" s="30" t="n">
        <v>-1.5</v>
      </c>
      <c r="AD11" s="24" t="inlineStr">
        <is>
          <t>2026-08-04T18:04:51.571209Z</t>
        </is>
      </c>
      <c r="AE11" s="31" t="inlineStr">
        <is>
          <t>Neutral Elo baseline; executable ask 0.5800 (market_slug=aec-lol-ijc-sc-2026-08-04).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Skillcamp Esport</t>
        </is>
      </c>
      <c r="AQ11" s="24" t="inlineStr">
        <is>
          <t>Skillcamp Esport</t>
        </is>
      </c>
      <c r="AR11" s="24" t="inlineStr">
        <is>
          <t>Skillcamp Esport</t>
        </is>
      </c>
      <c r="AS11" s="24" t="inlineStr">
        <is>
          <t>Ici Japon Corp. Esport</t>
        </is>
      </c>
      <c r="AT11" s="24" t="inlineStr">
        <is>
          <t>Ici Japon Corp. Esport</t>
        </is>
      </c>
      <c r="AU11" s="24" t="inlineStr">
        <is>
          <t>Ici Japon Corp. Esport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70926375efdbac84dce8c51337c5a10529e7ee005d64ab556a8536dd0bdf8d2f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70926375efdbac84dce8c51337c5a10529e7ee005d64ab556a8536dd0bdf8d2f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2026-08-04T15:04:19.459782Z</t>
        </is>
      </c>
      <c r="BI11" s="24" t="inlineStr">
        <is>
          <t>["same_event","same_team_same_day","same_league_same_day"]</t>
        </is>
      </c>
      <c r="BJ11" s="25" t="n"/>
      <c r="BK11" s="26" t="n">
        <v>-138</v>
      </c>
      <c r="BL11" s="27" t="n">
        <v>1.724638</v>
      </c>
      <c r="BM11" s="28" t="n">
        <v>0.579832</v>
      </c>
      <c r="BN11" s="28" t="n"/>
      <c r="BO11" s="28" t="n"/>
      <c r="BP11" s="25" t="n"/>
      <c r="BQ11" s="27" t="n">
        <v>1.724638</v>
      </c>
      <c r="BR11" s="28" t="n">
        <v>0.58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e7b27a6351004271</t>
        </is>
      </c>
      <c r="B12" s="24" t="inlineStr">
        <is>
          <t>2026-08-04T16:54:52.896251Z</t>
        </is>
      </c>
      <c r="C12" s="24" t="inlineStr">
        <is>
          <t>2026-08-04T18:00:00Z</t>
        </is>
      </c>
      <c r="D12" s="24" t="inlineStr">
        <is>
          <t>68688</t>
        </is>
      </c>
      <c r="E12" s="24" t="inlineStr">
        <is>
          <t>LOL</t>
        </is>
      </c>
      <c r="F12" s="24" t="inlineStr">
        <is>
          <t>Joblife</t>
        </is>
      </c>
      <c r="G12" s="24" t="inlineStr">
        <is>
          <t>ZYB Esport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0.530674</v>
      </c>
      <c r="P12" s="28" t="n"/>
      <c r="Q12" s="28" t="n">
        <v>0.02087</v>
      </c>
      <c r="R12" s="26" t="n">
        <v>30</v>
      </c>
      <c r="S12" s="29" t="n">
        <v>1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>
        <v>-104</v>
      </c>
      <c r="AA12" s="28" t="n">
        <v>0.51</v>
      </c>
      <c r="AB12" s="28" t="n">
        <v>0.000196</v>
      </c>
      <c r="AC12" s="30" t="n">
        <v>0.9615</v>
      </c>
      <c r="AD12" s="24" t="inlineStr">
        <is>
          <t>2026-08-04T22:00:06.736199Z</t>
        </is>
      </c>
      <c r="AE12" s="31" t="inlineStr">
        <is>
          <t>Neutral Elo baseline; executable ask 0.5100 (market_slug=aec-lol-zyb-jl-2026-08-04).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Joblife</t>
        </is>
      </c>
      <c r="AQ12" s="24" t="inlineStr">
        <is>
          <t>Joblife</t>
        </is>
      </c>
      <c r="AR12" s="24" t="inlineStr">
        <is>
          <t>Joblife</t>
        </is>
      </c>
      <c r="AS12" s="24" t="inlineStr">
        <is>
          <t>ZYB Esport</t>
        </is>
      </c>
      <c r="AT12" s="24" t="inlineStr">
        <is>
          <t>ZYB Esport</t>
        </is>
      </c>
      <c r="AU12" s="24" t="inlineStr">
        <is>
          <t>ZYB Esport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5bcf4e232e6e233164ffd78633a5487d986e0433e7ea70b93f7ff1c53933694d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5bcf4e232e6e233164ffd78633a5487d986e0433e7ea70b93f7ff1c53933694d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2026-08-04T16:54:19.630031Z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>
        <v>1.961538</v>
      </c>
      <c r="BR12" s="28" t="n">
        <v>0.51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3f74d898ac9646d8</t>
        </is>
      </c>
      <c r="B13" s="24" t="inlineStr">
        <is>
          <t>2026-08-04T18:08:50.279200Z</t>
        </is>
      </c>
      <c r="C13" s="24" t="inlineStr">
        <is>
          <t>2026-08-04T20:00:00Z</t>
        </is>
      </c>
      <c r="D13" s="24" t="inlineStr">
        <is>
          <t>69144</t>
        </is>
      </c>
      <c r="E13" s="24" t="inlineStr">
        <is>
          <t>LOL</t>
        </is>
      </c>
      <c r="F13" s="24" t="inlineStr">
        <is>
          <t>INTZ e-Sports</t>
        </is>
      </c>
      <c r="G13" s="24" t="inlineStr">
        <is>
          <t>Vivo Keyd Stars Academy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0.56541</v>
      </c>
      <c r="P13" s="28" t="n"/>
      <c r="Q13" s="28" t="n">
        <v>0.11496</v>
      </c>
      <c r="R13" s="26" t="n">
        <v>77</v>
      </c>
      <c r="S13" s="29" t="n">
        <v>1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122</v>
      </c>
      <c r="AA13" s="28" t="n">
        <v>0.45</v>
      </c>
      <c r="AB13" s="28" t="n">
        <v>-0.00045</v>
      </c>
      <c r="AC13" s="30" t="n">
        <v>-1</v>
      </c>
      <c r="AD13" s="24" t="inlineStr">
        <is>
          <t>2026-08-04T22:00:08.029029Z</t>
        </is>
      </c>
      <c r="AE13" s="31" t="inlineStr">
        <is>
          <t>Neutral Elo baseline; executable ask 0.4500 (market_slug=aec-lol-vksa-itz-2026-08-04).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INTZ e-Sports</t>
        </is>
      </c>
      <c r="AQ13" s="24" t="inlineStr">
        <is>
          <t>INTZ e-Sports</t>
        </is>
      </c>
      <c r="AR13" s="24" t="inlineStr">
        <is>
          <t>INTZ e-Sports</t>
        </is>
      </c>
      <c r="AS13" s="24" t="inlineStr">
        <is>
          <t>Vivo Keyd Stars Academy</t>
        </is>
      </c>
      <c r="AT13" s="24" t="inlineStr">
        <is>
          <t>Vivo Keyd Stars Academy</t>
        </is>
      </c>
      <c r="AU13" s="24" t="inlineStr">
        <is>
          <t>Vivo Keyd Stars Academy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581bb511aff842f9af01d132a2c739b65878388c9d1d8f1182f28b3c271e9a2c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581bb511aff842f9af01d132a2c739b65878388c9d1d8f1182f28b3c271e9a2c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2026-08-04T18:08:14.538966Z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>
        <v>2.22</v>
      </c>
      <c r="BR13" s="28" t="n">
        <v>0.45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826e1c0eddf0473f</t>
        </is>
      </c>
      <c r="B14" s="24" t="inlineStr">
        <is>
          <t>2026-08-04T18:08:50.279200Z</t>
        </is>
      </c>
      <c r="C14" s="24" t="inlineStr">
        <is>
          <t>2026-08-04T20:00:00Z</t>
        </is>
      </c>
      <c r="D14" s="24" t="inlineStr">
        <is>
          <t>69141</t>
        </is>
      </c>
      <c r="E14" s="24" t="inlineStr">
        <is>
          <t>LOL</t>
        </is>
      </c>
      <c r="F14" s="24" t="inlineStr">
        <is>
          <t>Vitality.Bee</t>
        </is>
      </c>
      <c r="G14" s="24" t="inlineStr">
        <is>
          <t>Karmine Corp Blue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0.663313</v>
      </c>
      <c r="P14" s="28" t="n"/>
      <c r="Q14" s="28" t="n">
        <v>0.003449</v>
      </c>
      <c r="R14" s="26" t="n">
        <v>22</v>
      </c>
      <c r="S14" s="29" t="n">
        <v>1.75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-194</v>
      </c>
      <c r="AA14" s="28" t="n">
        <v>0.66</v>
      </c>
      <c r="AB14" s="28" t="n">
        <v>0.000136</v>
      </c>
      <c r="AC14" s="30" t="n">
        <v>0.9021</v>
      </c>
      <c r="AD14" s="24" t="inlineStr">
        <is>
          <t>2026-08-04T22:00:09.282327Z</t>
        </is>
      </c>
      <c r="AE14" s="31" t="inlineStr">
        <is>
          <t>Neutral Elo baseline; executable ask 0.6600 (market_slug=aec-lol-kcb-vitb-2026-08-04).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Vitality.Bee</t>
        </is>
      </c>
      <c r="AQ14" s="24" t="inlineStr">
        <is>
          <t>Vitality.Bee</t>
        </is>
      </c>
      <c r="AR14" s="24" t="inlineStr">
        <is>
          <t>Vitality.Bee</t>
        </is>
      </c>
      <c r="AS14" s="24" t="inlineStr">
        <is>
          <t>Karmine Corp Blue</t>
        </is>
      </c>
      <c r="AT14" s="24" t="inlineStr">
        <is>
          <t>Karmine Corp Blue</t>
        </is>
      </c>
      <c r="AU14" s="24" t="inlineStr">
        <is>
          <t>Karmine Corp Blue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581bb511aff842f9af01d132a2c739b65878388c9d1d8f1182f28b3c271e9a2c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581bb511aff842f9af01d132a2c739b65878388c9d1d8f1182f28b3c271e9a2c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2026-08-04T18:08:15.286337Z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>
        <v>1.515464</v>
      </c>
      <c r="BR14" s="28" t="n">
        <v>0.66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e87b40da89ed44aa</t>
        </is>
      </c>
      <c r="B15" s="24" t="inlineStr">
        <is>
          <t>2026-08-04T18:08:50.279200Z</t>
        </is>
      </c>
      <c r="C15" s="24" t="inlineStr">
        <is>
          <t>2026-08-04T21:00:00Z</t>
        </is>
      </c>
      <c r="D15" s="24" t="inlineStr">
        <is>
          <t>69233</t>
        </is>
      </c>
      <c r="E15" s="24" t="inlineStr">
        <is>
          <t>LOL</t>
        </is>
      </c>
      <c r="F15" s="24" t="inlineStr">
        <is>
          <t>Team Solid</t>
        </is>
      </c>
      <c r="G15" s="24" t="inlineStr">
        <is>
          <t>RED Academy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203</v>
      </c>
      <c r="M15" s="27" t="n">
        <v>3.03</v>
      </c>
      <c r="N15" s="28" t="n">
        <v>0.330033</v>
      </c>
      <c r="O15" s="28" t="n">
        <v>0.552115</v>
      </c>
      <c r="P15" s="28" t="n"/>
      <c r="Q15" s="28" t="n">
        <v>0.222082</v>
      </c>
      <c r="R15" s="26" t="n">
        <v>100</v>
      </c>
      <c r="S15" s="29" t="n">
        <v>1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203</v>
      </c>
      <c r="AA15" s="28" t="n">
        <v>0.33</v>
      </c>
      <c r="AB15" s="28" t="n">
        <v>-3.3e-05</v>
      </c>
      <c r="AC15" s="30" t="n">
        <v>-1</v>
      </c>
      <c r="AD15" s="24" t="inlineStr">
        <is>
          <t>2026-08-05T01:06:40.231508Z</t>
        </is>
      </c>
      <c r="AE15" s="31" t="inlineStr">
        <is>
          <t>Neutral Elo baseline; executable ask 0.3300 (market_slug=aec-lol-reda-tse-2026-08-04).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Solid</t>
        </is>
      </c>
      <c r="AQ15" s="24" t="inlineStr">
        <is>
          <t>Team Solid</t>
        </is>
      </c>
      <c r="AR15" s="24" t="inlineStr">
        <is>
          <t>Team Solid</t>
        </is>
      </c>
      <c r="AS15" s="24" t="inlineStr">
        <is>
          <t>RED Academy</t>
        </is>
      </c>
      <c r="AT15" s="24" t="inlineStr">
        <is>
          <t>RED Academy</t>
        </is>
      </c>
      <c r="AU15" s="24" t="inlineStr">
        <is>
          <t>RED Academy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581bb511aff842f9af01d132a2c739b65878388c9d1d8f1182f28b3c271e9a2c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581bb511aff842f9af01d132a2c739b65878388c9d1d8f1182f28b3c271e9a2c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2026-08-04T18:08:16.814975Z</t>
        </is>
      </c>
      <c r="BI15" s="24" t="inlineStr">
        <is>
          <t>["same_event","same_team_same_day","same_league_same_day"]</t>
        </is>
      </c>
      <c r="BJ15" s="25" t="n"/>
      <c r="BK15" s="26" t="n">
        <v>203</v>
      </c>
      <c r="BL15" s="27" t="n">
        <v>3.03</v>
      </c>
      <c r="BM15" s="28" t="n">
        <v>0.330033</v>
      </c>
      <c r="BN15" s="28" t="n"/>
      <c r="BO15" s="28" t="n"/>
      <c r="BP15" s="25" t="n"/>
      <c r="BQ15" s="27" t="n">
        <v>3.03</v>
      </c>
      <c r="BR15" s="28" t="n">
        <v>0.33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74ff8cb85b6c4687</t>
        </is>
      </c>
      <c r="B16" s="24" t="inlineStr">
        <is>
          <t>2026-08-04T18:08:50.279200Z</t>
        </is>
      </c>
      <c r="C16" s="24" t="inlineStr">
        <is>
          <t>2026-08-04T22:00:00Z</t>
        </is>
      </c>
      <c r="D16" s="24" t="inlineStr">
        <is>
          <t>69273</t>
        </is>
      </c>
      <c r="E16" s="24" t="inlineStr">
        <is>
          <t>LOL</t>
        </is>
      </c>
      <c r="F16" s="24" t="inlineStr">
        <is>
          <t>RMD Gaming</t>
        </is>
      </c>
      <c r="G16" s="24" t="inlineStr">
        <is>
          <t>7REX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0.610688</v>
      </c>
      <c r="P16" s="28" t="n"/>
      <c r="Q16" s="28" t="n">
        <v>0.08017199999999999</v>
      </c>
      <c r="R16" s="26" t="n">
        <v>60</v>
      </c>
      <c r="S16" s="29" t="n">
        <v>1.5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1.3274</v>
      </c>
      <c r="AD16" s="24" t="inlineStr">
        <is>
          <t>2026-08-05T01:06:42.280534Z</t>
        </is>
      </c>
      <c r="AE16" s="31" t="inlineStr">
        <is>
          <t>Neutral Elo baseline; executable ask 0.5300 (market_slug=aec-lol-7rex-rmd-2026-08-04).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RMD Gaming</t>
        </is>
      </c>
      <c r="AQ16" s="24" t="inlineStr">
        <is>
          <t>RMD Gaming</t>
        </is>
      </c>
      <c r="AR16" s="24" t="inlineStr">
        <is>
          <t>RMD Gaming</t>
        </is>
      </c>
      <c r="AS16" s="24" t="inlineStr">
        <is>
          <t>7REX</t>
        </is>
      </c>
      <c r="AT16" s="24" t="inlineStr">
        <is>
          <t>7REX</t>
        </is>
      </c>
      <c r="AU16" s="24" t="inlineStr">
        <is>
          <t>7REX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581bb511aff842f9af01d132a2c739b65878388c9d1d8f1182f28b3c271e9a2c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581bb511aff842f9af01d132a2c739b65878388c9d1d8f1182f28b3c271e9a2c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2026-08-04T18:08:17.591273Z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3e2ddc0f60084cb5</t>
        </is>
      </c>
      <c r="B17" s="24" t="inlineStr">
        <is>
          <t>2026-08-04T22:03:07.434111Z</t>
        </is>
      </c>
      <c r="C17" s="24" t="inlineStr">
        <is>
          <t>2026-08-04T23:00:00Z</t>
        </is>
      </c>
      <c r="D17" s="24" t="inlineStr">
        <is>
          <t>69304</t>
        </is>
      </c>
      <c r="E17" s="24" t="inlineStr">
        <is>
          <t>LOL</t>
        </is>
      </c>
      <c r="F17" s="24" t="inlineStr">
        <is>
          <t>paiN Gaming Academy</t>
        </is>
      </c>
      <c r="G17" s="24" t="inlineStr">
        <is>
          <t>KaBuM! Ilha das Lendas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-117</v>
      </c>
      <c r="M17" s="27" t="n">
        <v>1.854701</v>
      </c>
      <c r="N17" s="28" t="n">
        <v>0.539171</v>
      </c>
      <c r="O17" s="28" t="n">
        <v>0.542093</v>
      </c>
      <c r="P17" s="28" t="n"/>
      <c r="Q17" s="28" t="n">
        <v>0.002922</v>
      </c>
      <c r="R17" s="26" t="n">
        <v>21</v>
      </c>
      <c r="S17" s="29" t="n">
        <v>1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-117</v>
      </c>
      <c r="AA17" s="28" t="n">
        <v>0.54</v>
      </c>
      <c r="AB17" s="28" t="n">
        <v>0.000829</v>
      </c>
      <c r="AC17" s="30" t="n">
        <v>-1</v>
      </c>
      <c r="AD17" s="24" t="inlineStr">
        <is>
          <t>2026-08-05T01:06:44.159759Z</t>
        </is>
      </c>
      <c r="AE17" s="31" t="inlineStr">
        <is>
          <t>Neutral Elo baseline; executable ask 0.5400 (market_slug=aec-lol-kbm-pnga-2026-08-04).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paiN Gaming Academy</t>
        </is>
      </c>
      <c r="AQ17" s="24" t="inlineStr">
        <is>
          <t>paiN Gaming Academy</t>
        </is>
      </c>
      <c r="AR17" s="24" t="inlineStr">
        <is>
          <t>paiN Gaming Academy</t>
        </is>
      </c>
      <c r="AS17" s="24" t="inlineStr">
        <is>
          <t>KaBuM! Ilha das Lendas</t>
        </is>
      </c>
      <c r="AT17" s="24" t="inlineStr">
        <is>
          <t>KaBuM! Ilha das Lendas</t>
        </is>
      </c>
      <c r="AU17" s="24" t="inlineStr">
        <is>
          <t>KaBuM! Ilha das Lendas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97b6e7d388d98e9492a794fb2cdef05114fd516a988a71f95285158326a46434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97b6e7d388d98e9492a794fb2cdef05114fd516a988a71f95285158326a46434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2026-08-04T22:02:38.695907Z</t>
        </is>
      </c>
      <c r="BI17" s="24" t="inlineStr">
        <is>
          <t>["same_event","same_team_same_day","same_league_same_day"]</t>
        </is>
      </c>
      <c r="BJ17" s="25" t="n"/>
      <c r="BK17" s="26" t="n">
        <v>-117</v>
      </c>
      <c r="BL17" s="27" t="n">
        <v>1.854701</v>
      </c>
      <c r="BM17" s="28" t="n">
        <v>0.539171</v>
      </c>
      <c r="BN17" s="28" t="n"/>
      <c r="BO17" s="28" t="n"/>
      <c r="BP17" s="25" t="n"/>
      <c r="BQ17" s="27" t="n">
        <v>1.854701</v>
      </c>
      <c r="BR17" s="28" t="n">
        <v>0.54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2ed3a33fa9b847a4</t>
        </is>
      </c>
      <c r="B18" s="24" t="inlineStr">
        <is>
          <t>2026-08-05T04:39:12.089327Z</t>
        </is>
      </c>
      <c r="C18" s="24" t="inlineStr">
        <is>
          <t>2026-08-05T05:00:00Z</t>
        </is>
      </c>
      <c r="D18" s="24" t="inlineStr">
        <is>
          <t>69507</t>
        </is>
      </c>
      <c r="E18" s="24" t="inlineStr">
        <is>
          <t>LOL</t>
        </is>
      </c>
      <c r="F18" s="24" t="inlineStr">
        <is>
          <t>Nongshim Esports Academy</t>
        </is>
      </c>
      <c r="G18" s="24" t="inlineStr">
        <is>
          <t>Dplus KIA Challengers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0.675544</v>
      </c>
      <c r="P18" s="28" t="n"/>
      <c r="Q18" s="28" t="n">
        <v>0.16574</v>
      </c>
      <c r="R18" s="26" t="n">
        <v>100</v>
      </c>
      <c r="S18" s="29" t="n">
        <v>1.75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-104</v>
      </c>
      <c r="AA18" s="28" t="n">
        <v>0.51</v>
      </c>
      <c r="AB18" s="28" t="n">
        <v>0.000196</v>
      </c>
      <c r="AC18" s="30" t="n">
        <v>1.6827</v>
      </c>
      <c r="AD18" s="24" t="inlineStr">
        <is>
          <t>2026-08-05T10:18:21.257965Z</t>
        </is>
      </c>
      <c r="AE18" s="31" t="inlineStr">
        <is>
          <t>Neutral Elo baseline; executable ask 0.5100 (market_slug=aec-lol-dkc-nsea-2026-08-05).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Nongshim Esports Academy</t>
        </is>
      </c>
      <c r="AQ18" s="24" t="inlineStr">
        <is>
          <t>Nongshim Esports Academy</t>
        </is>
      </c>
      <c r="AR18" s="24" t="inlineStr">
        <is>
          <t>Nongshim Esports Academy</t>
        </is>
      </c>
      <c r="AS18" s="24" t="inlineStr">
        <is>
          <t>Dplus KIA Challengers</t>
        </is>
      </c>
      <c r="AT18" s="24" t="inlineStr">
        <is>
          <t>Dplus KIA Challengers</t>
        </is>
      </c>
      <c r="AU18" s="24" t="inlineStr">
        <is>
          <t>Dplus KIA Challengers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9a8d5ad7f045de5eb1cb17aea82bbcf9812b40ca30a6256eba6436fea9a94482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9a8d5ad7f045de5eb1cb17aea82bbcf9812b40ca30a6256eba6436fea9a94482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2026-08-05T04:38:10.815485Z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b9619cd820234cc5</t>
        </is>
      </c>
      <c r="B19" s="24" t="inlineStr">
        <is>
          <t>2026-08-05T04:39:12.089327Z</t>
        </is>
      </c>
      <c r="C19" s="24" t="inlineStr">
        <is>
          <t>2026-08-05T08:00:00Z</t>
        </is>
      </c>
      <c r="D19" s="24" t="inlineStr">
        <is>
          <t>69511</t>
        </is>
      </c>
      <c r="E19" s="24" t="inlineStr">
        <is>
          <t>LOL</t>
        </is>
      </c>
      <c r="F19" s="24" t="inlineStr">
        <is>
          <t>New Meta</t>
        </is>
      </c>
      <c r="G19" s="24" t="inlineStr">
        <is>
          <t>FENNEL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1.44843</v>
      </c>
      <c r="N19" s="28" t="n">
        <v>0.690402</v>
      </c>
      <c r="O19" s="28" t="n">
        <v>0.692195</v>
      </c>
      <c r="P19" s="28" t="n"/>
      <c r="Q19" s="28" t="n">
        <v>0.001793</v>
      </c>
      <c r="R19" s="26" t="n">
        <v>21</v>
      </c>
      <c r="S19" s="29" t="n">
        <v>2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-223</v>
      </c>
      <c r="AA19" s="28" t="n">
        <v>0.6899999999999999</v>
      </c>
      <c r="AB19" s="28" t="n">
        <v>-0.000402</v>
      </c>
      <c r="AC19" s="30" t="n">
        <v>0.8969</v>
      </c>
      <c r="AD19" s="24" t="inlineStr">
        <is>
          <t>2026-08-05T10:41:50.735529Z</t>
        </is>
      </c>
      <c r="AE19" s="31" t="inlineStr">
        <is>
          <t>Neutral Elo baseline; executable ask 0.6900 (market_slug=aec-lol-fnl-nme-2026-08-05).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New Meta</t>
        </is>
      </c>
      <c r="AQ19" s="24" t="inlineStr">
        <is>
          <t>New Meta</t>
        </is>
      </c>
      <c r="AR19" s="24" t="inlineStr">
        <is>
          <t>New Meta</t>
        </is>
      </c>
      <c r="AS19" s="24" t="inlineStr">
        <is>
          <t>FENNEL</t>
        </is>
      </c>
      <c r="AT19" s="24" t="inlineStr">
        <is>
          <t>FENNEL</t>
        </is>
      </c>
      <c r="AU19" s="24" t="inlineStr">
        <is>
          <t>FENNEL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9a8d5ad7f045de5eb1cb17aea82bbcf9812b40ca30a6256eba6436fea9a94482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9a8d5ad7f045de5eb1cb17aea82bbcf9812b40ca30a6256eba6436fea9a94482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2026-08-05T04:38:12.003217Z</t>
        </is>
      </c>
      <c r="BI19" s="24" t="inlineStr">
        <is>
          <t>["same_event","same_team_same_day","same_league_same_day"]</t>
        </is>
      </c>
      <c r="BJ19" s="25" t="n"/>
      <c r="BK19" s="26" t="n">
        <v>-223</v>
      </c>
      <c r="BL19" s="27" t="n">
        <v>1.44843</v>
      </c>
      <c r="BM19" s="28" t="n">
        <v>0.690402</v>
      </c>
      <c r="BN19" s="28" t="n"/>
      <c r="BO19" s="28" t="n"/>
      <c r="BP19" s="25" t="n"/>
      <c r="BQ19" s="27" t="n">
        <v>1.44843</v>
      </c>
      <c r="BR19" s="28" t="n">
        <v>0.6899999999999999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628efea63f93409f</t>
        </is>
      </c>
      <c r="B20" s="24" t="inlineStr">
        <is>
          <t>2026-08-05T04:39:12.089327Z</t>
        </is>
      </c>
      <c r="C20" s="24" t="inlineStr">
        <is>
          <t>2026-08-05T08:00:00Z</t>
        </is>
      </c>
      <c r="D20" s="24" t="inlineStr">
        <is>
          <t>69512</t>
        </is>
      </c>
      <c r="E20" s="24" t="inlineStr">
        <is>
          <t>LOL</t>
        </is>
      </c>
      <c r="F20" s="24" t="inlineStr">
        <is>
          <t>Nongshim Red Force</t>
        </is>
      </c>
      <c r="G20" s="24" t="inlineStr">
        <is>
          <t>HANJIN BRION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-233</v>
      </c>
      <c r="M20" s="27" t="n">
        <v>1.429185</v>
      </c>
      <c r="N20" s="28" t="n">
        <v>0.6997</v>
      </c>
      <c r="O20" s="28" t="n">
        <v>0.7818929999999999</v>
      </c>
      <c r="P20" s="28" t="n"/>
      <c r="Q20" s="28" t="n">
        <v>0.082193</v>
      </c>
      <c r="R20" s="26" t="n">
        <v>61</v>
      </c>
      <c r="S20" s="29" t="n">
        <v>2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>
        <v>-233</v>
      </c>
      <c r="AA20" s="28" t="n">
        <v>0.7</v>
      </c>
      <c r="AB20" s="28" t="n">
        <v>0.0003</v>
      </c>
      <c r="AC20" s="30" t="n">
        <v>-2</v>
      </c>
      <c r="AD20" s="24" t="inlineStr">
        <is>
          <t>2026-08-05T10:41:52.466844Z</t>
        </is>
      </c>
      <c r="AE20" s="31" t="inlineStr">
        <is>
          <t>Neutral Elo baseline; executable ask 0.7000 (market_slug=aec-lol-bro-ns-2026-08-05).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Nongshim Red Force</t>
        </is>
      </c>
      <c r="AQ20" s="24" t="inlineStr">
        <is>
          <t>Nongshim Red Force</t>
        </is>
      </c>
      <c r="AR20" s="24" t="inlineStr">
        <is>
          <t>Nongshim Red Force</t>
        </is>
      </c>
      <c r="AS20" s="24" t="inlineStr">
        <is>
          <t>HANJIN BRION</t>
        </is>
      </c>
      <c r="AT20" s="24" t="inlineStr">
        <is>
          <t>HANJIN BRION</t>
        </is>
      </c>
      <c r="AU20" s="24" t="inlineStr">
        <is>
          <t>HANJIN BRION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9a8d5ad7f045de5eb1cb17aea82bbcf9812b40ca30a6256eba6436fea9a94482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9a8d5ad7f045de5eb1cb17aea82bbcf9812b40ca30a6256eba6436fea9a94482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2026-08-05T04:38:12.947438Z</t>
        </is>
      </c>
      <c r="BI20" s="24" t="inlineStr">
        <is>
          <t>["same_event","same_team_same_day","same_league_same_day"]</t>
        </is>
      </c>
      <c r="BJ20" s="25" t="n"/>
      <c r="BK20" s="26" t="n">
        <v>-233</v>
      </c>
      <c r="BL20" s="27" t="n">
        <v>1.429185</v>
      </c>
      <c r="BM20" s="28" t="n">
        <v>0.6997</v>
      </c>
      <c r="BN20" s="28" t="n"/>
      <c r="BO20" s="28" t="n"/>
      <c r="BP20" s="25" t="n"/>
      <c r="BQ20" s="27" t="n">
        <v>1.429185</v>
      </c>
      <c r="BR20" s="28" t="n">
        <v>0.7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27ca4687f26448c7</t>
        </is>
      </c>
      <c r="B21" s="24" t="inlineStr">
        <is>
          <t>2026-08-05T04:39:12.089327Z</t>
        </is>
      </c>
      <c r="C21" s="24" t="inlineStr">
        <is>
          <t>2026-08-05T10:00:00Z</t>
        </is>
      </c>
      <c r="D21" s="24" t="inlineStr">
        <is>
          <t>69539</t>
        </is>
      </c>
      <c r="E21" s="24" t="inlineStr">
        <is>
          <t>LOL</t>
        </is>
      </c>
      <c r="F21" s="24" t="inlineStr">
        <is>
          <t>Gen.G</t>
        </is>
      </c>
      <c r="G21" s="24" t="inlineStr">
        <is>
          <t>Hanwha Life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-108</v>
      </c>
      <c r="M21" s="27" t="n">
        <v>1.925926</v>
      </c>
      <c r="N21" s="28" t="n">
        <v>0.519231</v>
      </c>
      <c r="O21" s="28" t="n">
        <v>0.6212029999999999</v>
      </c>
      <c r="P21" s="28" t="n"/>
      <c r="Q21" s="28" t="n">
        <v>0.101972</v>
      </c>
      <c r="R21" s="26" t="n">
        <v>71</v>
      </c>
      <c r="S21" s="29" t="n">
        <v>1.5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-108</v>
      </c>
      <c r="AA21" s="28" t="n">
        <v>0.52</v>
      </c>
      <c r="AB21" s="28" t="n">
        <v>0.000769</v>
      </c>
      <c r="AC21" s="30" t="n">
        <v>-1.5</v>
      </c>
      <c r="AD21" s="24" t="inlineStr">
        <is>
          <t>2026-08-05T17:01:20.926489Z</t>
        </is>
      </c>
      <c r="AE21" s="31" t="inlineStr">
        <is>
          <t>Neutral Elo baseline; executable ask 0.5200 (market_slug=aec-lol-hle-gen-2026-08-05).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Gen.G</t>
        </is>
      </c>
      <c r="AQ21" s="24" t="inlineStr">
        <is>
          <t>Gen.G</t>
        </is>
      </c>
      <c r="AR21" s="24" t="inlineStr">
        <is>
          <t>Gen.G</t>
        </is>
      </c>
      <c r="AS21" s="24" t="inlineStr">
        <is>
          <t>Hanwha Life Esports</t>
        </is>
      </c>
      <c r="AT21" s="24" t="inlineStr">
        <is>
          <t>Hanwha Life Esports</t>
        </is>
      </c>
      <c r="AU21" s="24" t="inlineStr">
        <is>
          <t>Hanwha Life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9a8d5ad7f045de5eb1cb17aea82bbcf9812b40ca30a6256eba6436fea9a94482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9a8d5ad7f045de5eb1cb17aea82bbcf9812b40ca30a6256eba6436fea9a94482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2026-08-05T04:38:15.141988Z</t>
        </is>
      </c>
      <c r="BI21" s="24" t="inlineStr">
        <is>
          <t>["same_event","same_team_same_day","same_league_same_day"]</t>
        </is>
      </c>
      <c r="BJ21" s="25" t="n"/>
      <c r="BK21" s="26" t="n">
        <v>-108</v>
      </c>
      <c r="BL21" s="27" t="n">
        <v>1.925926</v>
      </c>
      <c r="BM21" s="28" t="n">
        <v>0.519231</v>
      </c>
      <c r="BN21" s="28" t="n"/>
      <c r="BO21" s="28" t="n"/>
      <c r="BP21" s="25" t="n"/>
      <c r="BQ21" s="27" t="n">
        <v>1.925926</v>
      </c>
      <c r="BR21" s="28" t="n">
        <v>0.52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6e173ced17ed423c</t>
        </is>
      </c>
      <c r="B22" s="24" t="inlineStr">
        <is>
          <t>2026-08-05T13:56:43.896254Z</t>
        </is>
      </c>
      <c r="C22" s="24" t="inlineStr">
        <is>
          <t>2026-08-05T17:00:00Z</t>
        </is>
      </c>
      <c r="D22" s="24" t="inlineStr">
        <is>
          <t>69871</t>
        </is>
      </c>
      <c r="E22" s="24" t="inlineStr">
        <is>
          <t>LOL</t>
        </is>
      </c>
      <c r="F22" s="24" t="inlineStr">
        <is>
          <t>Kaufland Hangry Knights</t>
        </is>
      </c>
      <c r="G22" s="24" t="inlineStr">
        <is>
          <t>TeamOrangeGaming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104</v>
      </c>
      <c r="M22" s="27" t="n">
        <v>2.04</v>
      </c>
      <c r="N22" s="28" t="n">
        <v>0.490196</v>
      </c>
      <c r="O22" s="28" t="n">
        <v>0.54899</v>
      </c>
      <c r="P22" s="28" t="n"/>
      <c r="Q22" s="28" t="n">
        <v>0.058794</v>
      </c>
      <c r="R22" s="26" t="n">
        <v>49</v>
      </c>
      <c r="S22" s="29" t="n">
        <v>1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104</v>
      </c>
      <c r="AA22" s="28" t="n">
        <v>0.49</v>
      </c>
      <c r="AB22" s="28" t="n">
        <v>-0.000196</v>
      </c>
      <c r="AC22" s="30" t="n">
        <v>1.04</v>
      </c>
      <c r="AD22" s="24" t="inlineStr">
        <is>
          <t>2026-08-05T21:00:26.797637Z</t>
        </is>
      </c>
      <c r="AE22" s="31" t="inlineStr">
        <is>
          <t>Neutral Elo baseline; executable ask 0.4900 (market_slug=aec-lol-tog-khk-2026-08-05).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Kaufland Hangry Knights</t>
        </is>
      </c>
      <c r="AQ22" s="24" t="inlineStr">
        <is>
          <t>Kaufland Hangry Knights</t>
        </is>
      </c>
      <c r="AR22" s="24" t="inlineStr">
        <is>
          <t>Kaufland Hangry Knights</t>
        </is>
      </c>
      <c r="AS22" s="24" t="inlineStr">
        <is>
          <t>TeamOrangeGaming</t>
        </is>
      </c>
      <c r="AT22" s="24" t="inlineStr">
        <is>
          <t>TeamOrangeGaming</t>
        </is>
      </c>
      <c r="AU22" s="24" t="inlineStr">
        <is>
          <t>TeamOrangeGaming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3b2b7fa569f62411a6dc2753c695e98717a67f225e8074aac963d117b250c28b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3b2b7fa569f62411a6dc2753c695e98717a67f225e8074aac963d117b250c28b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2026-08-05T13:56:13.554249Z</t>
        </is>
      </c>
      <c r="BI22" s="24" t="inlineStr">
        <is>
          <t>["same_event","same_team_same_day","same_league_same_day"]</t>
        </is>
      </c>
      <c r="BJ22" s="25" t="n"/>
      <c r="BK22" s="26" t="n">
        <v>104</v>
      </c>
      <c r="BL22" s="27" t="n">
        <v>2.04</v>
      </c>
      <c r="BM22" s="28" t="n">
        <v>0.490196</v>
      </c>
      <c r="BN22" s="28" t="n"/>
      <c r="BO22" s="28" t="n"/>
      <c r="BP22" s="25" t="n"/>
      <c r="BQ22" s="27" t="n">
        <v>2.04</v>
      </c>
      <c r="BR22" s="28" t="n">
        <v>0.49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9576f1967f7d4d0a</t>
        </is>
      </c>
      <c r="B23" s="24" t="inlineStr">
        <is>
          <t>2026-08-05T13:56:43.896254Z</t>
        </is>
      </c>
      <c r="C23" s="24" t="inlineStr">
        <is>
          <t>2026-08-05T17:00:00Z</t>
        </is>
      </c>
      <c r="D23" s="24" t="inlineStr">
        <is>
          <t>70569</t>
        </is>
      </c>
      <c r="E23" s="24" t="inlineStr">
        <is>
          <t>LOL</t>
        </is>
      </c>
      <c r="F23" s="24" t="inlineStr">
        <is>
          <t>devils.one inStreamly</t>
        </is>
      </c>
      <c r="G23" s="24" t="inlineStr">
        <is>
          <t>BOMBA Team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-113</v>
      </c>
      <c r="M23" s="27" t="n">
        <v>1.884956</v>
      </c>
      <c r="N23" s="28" t="n">
        <v>0.530516</v>
      </c>
      <c r="O23" s="28" t="n">
        <v>0.761043</v>
      </c>
      <c r="P23" s="28" t="n"/>
      <c r="Q23" s="28" t="n">
        <v>0.230527</v>
      </c>
      <c r="R23" s="26" t="n">
        <v>100</v>
      </c>
      <c r="S23" s="29" t="n">
        <v>2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-113</v>
      </c>
      <c r="AA23" s="28" t="n">
        <v>0.53</v>
      </c>
      <c r="AB23" s="28" t="n">
        <v>-0.000516</v>
      </c>
      <c r="AC23" s="30" t="n">
        <v>-2</v>
      </c>
      <c r="AD23" s="24" t="inlineStr">
        <is>
          <t>2026-08-05T21:00:28.179885Z</t>
        </is>
      </c>
      <c r="AE23" s="31" t="inlineStr">
        <is>
          <t>Neutral Elo baseline; executable ask 0.5300 (market_slug=aec-lol-boom-dv1-2026-08-05).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devils.one inStreamly</t>
        </is>
      </c>
      <c r="AQ23" s="24" t="inlineStr">
        <is>
          <t>devils.one inStreamly</t>
        </is>
      </c>
      <c r="AR23" s="24" t="inlineStr">
        <is>
          <t>devils.one inStreamly</t>
        </is>
      </c>
      <c r="AS23" s="24" t="inlineStr">
        <is>
          <t>BOMBA Team</t>
        </is>
      </c>
      <c r="AT23" s="24" t="inlineStr">
        <is>
          <t>BOMBA Team</t>
        </is>
      </c>
      <c r="AU23" s="24" t="inlineStr">
        <is>
          <t>BOMBA Team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3b2b7fa569f62411a6dc2753c695e98717a67f225e8074aac963d117b250c28b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3b2b7fa569f62411a6dc2753c695e98717a67f225e8074aac963d117b250c28b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2026-08-05T13:56:15.101150Z</t>
        </is>
      </c>
      <c r="BI23" s="24" t="inlineStr">
        <is>
          <t>["same_event","same_team_same_day","same_league_same_day"]</t>
        </is>
      </c>
      <c r="BJ23" s="25" t="n"/>
      <c r="BK23" s="26" t="n">
        <v>-113</v>
      </c>
      <c r="BL23" s="27" t="n">
        <v>1.884956</v>
      </c>
      <c r="BM23" s="28" t="n">
        <v>0.530516</v>
      </c>
      <c r="BN23" s="28" t="n"/>
      <c r="BO23" s="28" t="n"/>
      <c r="BP23" s="25" t="n"/>
      <c r="BQ23" s="27" t="n">
        <v>1.884956</v>
      </c>
      <c r="BR23" s="28" t="n">
        <v>0.53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5aba4246ebc54cde</t>
        </is>
      </c>
      <c r="B24" s="24" t="inlineStr">
        <is>
          <t>2026-08-05T17:05:09.750488Z</t>
        </is>
      </c>
      <c r="C24" s="24" t="inlineStr">
        <is>
          <t>2026-08-05T17:30:00Z</t>
        </is>
      </c>
      <c r="D24" s="24" t="inlineStr">
        <is>
          <t>69931</t>
        </is>
      </c>
      <c r="E24" s="24" t="inlineStr">
        <is>
          <t>LOL</t>
        </is>
      </c>
      <c r="F24" s="24" t="inlineStr">
        <is>
          <t>⁠Movistar KOI Fénix</t>
        </is>
      </c>
      <c r="G24" s="24" t="inlineStr">
        <is>
          <t>UCAM Esports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104</v>
      </c>
      <c r="M24" s="27" t="n">
        <v>2.04</v>
      </c>
      <c r="N24" s="28" t="n">
        <v>0.490196</v>
      </c>
      <c r="O24" s="28" t="n">
        <v>0.597761</v>
      </c>
      <c r="P24" s="28" t="n"/>
      <c r="Q24" s="28" t="n">
        <v>0.107565</v>
      </c>
      <c r="R24" s="26" t="n">
        <v>74</v>
      </c>
      <c r="S24" s="29" t="n">
        <v>1.25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104</v>
      </c>
      <c r="AA24" s="28" t="n">
        <v>0.49</v>
      </c>
      <c r="AB24" s="28" t="n">
        <v>-0.000196</v>
      </c>
      <c r="AC24" s="30" t="n">
        <v>-1.25</v>
      </c>
      <c r="AD24" s="24" t="inlineStr">
        <is>
          <t>2026-08-06T00:22:39.894311Z</t>
        </is>
      </c>
      <c r="AE24" s="31" t="inlineStr">
        <is>
          <t>Neutral Elo baseline; executable ask 0.4900 (market_slug=aec-lol-ucam-mkf-2026-08-05).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⁠Movistar KOI Fénix</t>
        </is>
      </c>
      <c r="AQ24" s="24" t="inlineStr">
        <is>
          <t>⁠Movistar KOI Fénix</t>
        </is>
      </c>
      <c r="AR24" s="24" t="inlineStr">
        <is>
          <t>⁠Movistar KOI Fénix</t>
        </is>
      </c>
      <c r="AS24" s="24" t="inlineStr">
        <is>
          <t>UCAM Esports Club</t>
        </is>
      </c>
      <c r="AT24" s="24" t="inlineStr">
        <is>
          <t>UCAM Esports Club</t>
        </is>
      </c>
      <c r="AU24" s="24" t="inlineStr">
        <is>
          <t>UCAM Esports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4863ace20696b49ac8d86afb992436652bb1bb2b13aa3380a50818cc662a18c0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4863ace20696b49ac8d86afb992436652bb1bb2b13aa3380a50818cc662a18c0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2026-08-05T17:04:41.345485Z</t>
        </is>
      </c>
      <c r="BI24" s="24" t="inlineStr">
        <is>
          <t>["same_event","same_team_same_day","same_league_same_day"]</t>
        </is>
      </c>
      <c r="BJ24" s="25" t="n"/>
      <c r="BK24" s="26" t="n">
        <v>104</v>
      </c>
      <c r="BL24" s="27" t="n">
        <v>2.04</v>
      </c>
      <c r="BM24" s="28" t="n">
        <v>0.490196</v>
      </c>
      <c r="BN24" s="28" t="n"/>
      <c r="BO24" s="28" t="n"/>
      <c r="BP24" s="25" t="n"/>
      <c r="BQ24" s="27" t="n">
        <v>2.04</v>
      </c>
      <c r="BR24" s="28" t="n">
        <v>0.49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fd5dccee94bf4dc4</t>
        </is>
      </c>
      <c r="B25" s="24" t="inlineStr">
        <is>
          <t>2026-08-05T17:05:09.750488Z</t>
        </is>
      </c>
      <c r="C25" s="24" t="inlineStr">
        <is>
          <t>2026-08-05T19:00:00Z</t>
        </is>
      </c>
      <c r="D25" s="24" t="inlineStr">
        <is>
          <t>70045</t>
        </is>
      </c>
      <c r="E25" s="24" t="inlineStr">
        <is>
          <t>LOL</t>
        </is>
      </c>
      <c r="F25" s="24" t="inlineStr">
        <is>
          <t>Ici Japon Corp. Esport</t>
        </is>
      </c>
      <c r="G25" s="24" t="inlineStr">
        <is>
          <t>ZYB Esport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104</v>
      </c>
      <c r="M25" s="27" t="n">
        <v>2.04</v>
      </c>
      <c r="N25" s="28" t="n">
        <v>0.490196</v>
      </c>
      <c r="O25" s="28" t="n">
        <v>0.598437</v>
      </c>
      <c r="P25" s="28" t="n"/>
      <c r="Q25" s="28" t="n">
        <v>0.108241</v>
      </c>
      <c r="R25" s="26" t="n">
        <v>74</v>
      </c>
      <c r="S25" s="29" t="n">
        <v>1.25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104</v>
      </c>
      <c r="AA25" s="28" t="n">
        <v>0.49</v>
      </c>
      <c r="AB25" s="28" t="n">
        <v>-0.000196</v>
      </c>
      <c r="AC25" s="30" t="n">
        <v>1.3</v>
      </c>
      <c r="AD25" s="24" t="inlineStr">
        <is>
          <t>2026-08-05T21:00:30.682074Z</t>
        </is>
      </c>
      <c r="AE25" s="31" t="inlineStr">
        <is>
          <t>Neutral Elo baseline; executable ask 0.4900 (market_slug=aec-lol-zyb-ijc-2026-08-05).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Ici Japon Corp. Esport</t>
        </is>
      </c>
      <c r="AQ25" s="24" t="inlineStr">
        <is>
          <t>Ici Japon Corp. Esport</t>
        </is>
      </c>
      <c r="AR25" s="24" t="inlineStr">
        <is>
          <t>Ici Japon Corp. Esport</t>
        </is>
      </c>
      <c r="AS25" s="24" t="inlineStr">
        <is>
          <t>ZYB Esport</t>
        </is>
      </c>
      <c r="AT25" s="24" t="inlineStr">
        <is>
          <t>ZYB Esport</t>
        </is>
      </c>
      <c r="AU25" s="24" t="inlineStr">
        <is>
          <t>ZYB Esport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4863ace20696b49ac8d86afb992436652bb1bb2b13aa3380a50818cc662a18c0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4863ace20696b49ac8d86afb992436652bb1bb2b13aa3380a50818cc662a18c0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2026-08-05T17:04:46.146013Z</t>
        </is>
      </c>
      <c r="BI25" s="24" t="inlineStr">
        <is>
          <t>["same_event","same_team_same_day","same_league_same_day"]</t>
        </is>
      </c>
      <c r="BJ25" s="25" t="n"/>
      <c r="BK25" s="26" t="n">
        <v>104</v>
      </c>
      <c r="BL25" s="27" t="n">
        <v>2.04</v>
      </c>
      <c r="BM25" s="28" t="n">
        <v>0.490196</v>
      </c>
      <c r="BN25" s="28" t="n"/>
      <c r="BO25" s="28" t="n"/>
      <c r="BP25" s="25" t="n"/>
      <c r="BQ25" s="27" t="n">
        <v>2.04</v>
      </c>
      <c r="BR25" s="28" t="n">
        <v>0.49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f748468d26b045e0</t>
        </is>
      </c>
      <c r="B26" s="24" t="inlineStr">
        <is>
          <t>2026-08-05T17:05:09.750488Z</t>
        </is>
      </c>
      <c r="C26" s="24" t="inlineStr">
        <is>
          <t>2026-08-05T21:00:00Z</t>
        </is>
      </c>
      <c r="D26" s="24" t="inlineStr">
        <is>
          <t>70349</t>
        </is>
      </c>
      <c r="E26" s="24" t="inlineStr">
        <is>
          <t>LOL</t>
        </is>
      </c>
      <c r="F26" s="24" t="inlineStr">
        <is>
          <t>Winthrop University</t>
        </is>
      </c>
      <c r="G26" s="24" t="inlineStr">
        <is>
          <t>Blue Otter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-138</v>
      </c>
      <c r="M26" s="27" t="n">
        <v>1.724638</v>
      </c>
      <c r="N26" s="28" t="n">
        <v>0.579832</v>
      </c>
      <c r="O26" s="28" t="n">
        <v>0.67052</v>
      </c>
      <c r="P26" s="28" t="n"/>
      <c r="Q26" s="28" t="n">
        <v>0.090688</v>
      </c>
      <c r="R26" s="26" t="n">
        <v>65</v>
      </c>
      <c r="S26" s="29" t="n">
        <v>1.75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0</v>
      </c>
      <c r="Y26" s="25" t="n"/>
      <c r="Z26" s="26" t="n">
        <v>-138</v>
      </c>
      <c r="AA26" s="28" t="n">
        <v>0.58</v>
      </c>
      <c r="AB26" s="28" t="n">
        <v>0.000168</v>
      </c>
      <c r="AC26" s="30" t="n">
        <v>1.2681</v>
      </c>
      <c r="AD26" s="24" t="inlineStr">
        <is>
          <t>2026-08-06T00:22:41.224121Z</t>
        </is>
      </c>
      <c r="AE26" s="31" t="inlineStr">
        <is>
          <t>Neutral Elo baseline; executable ask 0.5800 (market_slug=aec-lol-blue-wu-2026-08-05).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Winthrop University</t>
        </is>
      </c>
      <c r="AQ26" s="24" t="inlineStr">
        <is>
          <t>Winthrop University</t>
        </is>
      </c>
      <c r="AR26" s="24" t="inlineStr">
        <is>
          <t>Winthrop University</t>
        </is>
      </c>
      <c r="AS26" s="24" t="inlineStr">
        <is>
          <t>Blue Otter</t>
        </is>
      </c>
      <c r="AT26" s="24" t="inlineStr">
        <is>
          <t>Blue Otter</t>
        </is>
      </c>
      <c r="AU26" s="24" t="inlineStr">
        <is>
          <t>Blue Otter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4863ace20696b49ac8d86afb992436652bb1bb2b13aa3380a50818cc662a18c0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4863ace20696b49ac8d86afb992436652bb1bb2b13aa3380a50818cc662a18c0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2026-08-05T17:04:49.037567Z</t>
        </is>
      </c>
      <c r="BI26" s="24" t="inlineStr">
        <is>
          <t>["same_event","same_team_same_day","same_league_same_day"]</t>
        </is>
      </c>
      <c r="BJ26" s="25" t="n"/>
      <c r="BK26" s="26" t="n">
        <v>-138</v>
      </c>
      <c r="BL26" s="27" t="n">
        <v>1.724638</v>
      </c>
      <c r="BM26" s="28" t="n">
        <v>0.579832</v>
      </c>
      <c r="BN26" s="28" t="n"/>
      <c r="BO26" s="28" t="n"/>
      <c r="BP26" s="25" t="n"/>
      <c r="BQ26" s="27" t="n">
        <v>1.724638</v>
      </c>
      <c r="BR26" s="28" t="n">
        <v>0.58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2eb7c6071ec843f9</t>
        </is>
      </c>
      <c r="B27" s="24" t="inlineStr">
        <is>
          <t>2026-08-06T00:24:51.570056Z</t>
        </is>
      </c>
      <c r="C27" s="24" t="inlineStr">
        <is>
          <t>2026-08-06T07:00:00Z</t>
        </is>
      </c>
      <c r="D27" s="24" t="inlineStr">
        <is>
          <t>70560</t>
        </is>
      </c>
      <c r="E27" s="24" t="inlineStr">
        <is>
          <t>LOL</t>
        </is>
      </c>
      <c r="F27" s="24" t="inlineStr">
        <is>
          <t>ThunderTalk Gaming</t>
        </is>
      </c>
      <c r="G27" s="24" t="inlineStr">
        <is>
          <t>LGD Gaming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-108</v>
      </c>
      <c r="M27" s="27" t="n">
        <v>1.925926</v>
      </c>
      <c r="N27" s="28" t="n">
        <v>0.519231</v>
      </c>
      <c r="O27" s="28" t="n">
        <v>0.601292</v>
      </c>
      <c r="P27" s="28" t="n"/>
      <c r="Q27" s="28" t="n">
        <v>0.082061</v>
      </c>
      <c r="R27" s="26" t="n">
        <v>61</v>
      </c>
      <c r="S27" s="29" t="n">
        <v>1.25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-1.25</v>
      </c>
      <c r="AD27" s="24" t="inlineStr">
        <is>
          <t>2026-08-06T18:57:07.746334Z</t>
        </is>
      </c>
      <c r="AE27" s="31" t="inlineStr">
        <is>
          <t>Neutral Elo baseline; executable ask 0.5200 (market_slug=aec-lol-lgd-tt-2026-08-06).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ThunderTalk Gaming</t>
        </is>
      </c>
      <c r="AQ27" s="24" t="inlineStr">
        <is>
          <t>ThunderTalk Gaming</t>
        </is>
      </c>
      <c r="AR27" s="24" t="inlineStr">
        <is>
          <t>ThunderTalk Gaming</t>
        </is>
      </c>
      <c r="AS27" s="24" t="inlineStr">
        <is>
          <t>LGD Gaming</t>
        </is>
      </c>
      <c r="AT27" s="24" t="inlineStr">
        <is>
          <t>LGD Gaming</t>
        </is>
      </c>
      <c r="AU27" s="24" t="inlineStr">
        <is>
          <t>LGD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4304963c152f1e881f634fa0b66ab59152f3edd6692257c1d27d76a5cb0a3df3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4304963c152f1e881f634fa0b66ab59152f3edd6692257c1d27d76a5cb0a3df3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2026-08-06T00:24:36.724531Z</t>
        </is>
      </c>
      <c r="BI27" s="24" t="inlineStr">
        <is>
          <t>["same_event","same_team_same_day","same_league_same_day"]</t>
        </is>
      </c>
      <c r="BJ27" s="25" t="n"/>
      <c r="BK27" s="26" t="n">
        <v>-108</v>
      </c>
      <c r="BL27" s="27" t="n">
        <v>1.925926</v>
      </c>
      <c r="BM27" s="28" t="n">
        <v>0.519231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0808601b9aa64343</t>
        </is>
      </c>
      <c r="B28" s="24" t="inlineStr">
        <is>
          <t>2026-08-06T00:24:51.570056Z</t>
        </is>
      </c>
      <c r="C28" s="24" t="inlineStr">
        <is>
          <t>2026-08-06T09:00:00Z</t>
        </is>
      </c>
      <c r="D28" s="24" t="inlineStr">
        <is>
          <t>70573</t>
        </is>
      </c>
      <c r="E28" s="24" t="inlineStr">
        <is>
          <t>LOL</t>
        </is>
      </c>
      <c r="F28" s="24" t="inlineStr">
        <is>
          <t>Ground Zero Gaming</t>
        </is>
      </c>
      <c r="G28" s="24" t="inlineStr">
        <is>
          <t>Fukuoka SoftBank Hawks Gaming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117</v>
      </c>
      <c r="M28" s="27" t="n">
        <v>2.17</v>
      </c>
      <c r="N28" s="28" t="n">
        <v>0.460829</v>
      </c>
      <c r="O28" s="28" t="n">
        <v>0.677029</v>
      </c>
      <c r="P28" s="28" t="n"/>
      <c r="Q28" s="28" t="n">
        <v>0.2162</v>
      </c>
      <c r="R28" s="26" t="n">
        <v>100</v>
      </c>
      <c r="S28" s="29" t="n">
        <v>1.75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-1.75</v>
      </c>
      <c r="AD28" s="24" t="inlineStr">
        <is>
          <t>2026-08-06T18:57:09.560328Z</t>
        </is>
      </c>
      <c r="AE28" s="31" t="inlineStr">
        <is>
          <t>Neutral Elo baseline; executable ask 0.4600 (market_slug=aec-lol-shg-gz-2026-08-06).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Ground Zero Gaming</t>
        </is>
      </c>
      <c r="AQ28" s="24" t="inlineStr">
        <is>
          <t>Ground Zero Gaming</t>
        </is>
      </c>
      <c r="AR28" s="24" t="inlineStr">
        <is>
          <t>Ground Zero Gaming</t>
        </is>
      </c>
      <c r="AS28" s="24" t="inlineStr">
        <is>
          <t>Fukuoka SoftBank Hawks Gaming</t>
        </is>
      </c>
      <c r="AT28" s="24" t="inlineStr">
        <is>
          <t>Fukuoka SoftBank Hawks Gaming</t>
        </is>
      </c>
      <c r="AU28" s="24" t="inlineStr">
        <is>
          <t>Fukuoka SoftBank Hawks Gaming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4304963c152f1e881f634fa0b66ab59152f3edd6692257c1d27d76a5cb0a3df3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4304963c152f1e881f634fa0b66ab59152f3edd6692257c1d27d76a5cb0a3df3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2026-08-06T00:24:37.742493Z</t>
        </is>
      </c>
      <c r="BI28" s="24" t="inlineStr">
        <is>
          <t>["same_event","same_team_same_day","same_league_same_day"]</t>
        </is>
      </c>
      <c r="BJ28" s="25" t="n"/>
      <c r="BK28" s="26" t="n">
        <v>117</v>
      </c>
      <c r="BL28" s="27" t="n">
        <v>2.17</v>
      </c>
      <c r="BM28" s="28" t="n">
        <v>0.460829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f337824fc1014320</t>
        </is>
      </c>
      <c r="B29" s="24" t="inlineStr">
        <is>
          <t>2026-08-06T00:24:51.570056Z</t>
        </is>
      </c>
      <c r="C29" s="24" t="inlineStr">
        <is>
          <t>2026-08-06T16:00:00Z</t>
        </is>
      </c>
      <c r="D29" s="24" t="inlineStr">
        <is>
          <t>70790</t>
        </is>
      </c>
      <c r="E29" s="24" t="inlineStr">
        <is>
          <t>LOL</t>
        </is>
      </c>
      <c r="F29" s="24" t="inlineStr">
        <is>
          <t>Baam Esports</t>
        </is>
      </c>
      <c r="G29" s="24" t="inlineStr">
        <is>
          <t>One More Esports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-144</v>
      </c>
      <c r="M29" s="27" t="n">
        <v>1.694444</v>
      </c>
      <c r="N29" s="28" t="n">
        <v>0.590164</v>
      </c>
      <c r="O29" s="28" t="n">
        <v>0.764249</v>
      </c>
      <c r="P29" s="28" t="n"/>
      <c r="Q29" s="28" t="n">
        <v>0.174085</v>
      </c>
      <c r="R29" s="26" t="n">
        <v>100</v>
      </c>
      <c r="S29" s="29" t="n">
        <v>2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1.3889</v>
      </c>
      <c r="AD29" s="24" t="inlineStr">
        <is>
          <t>2026-08-06T18:57:11.315585Z</t>
        </is>
      </c>
      <c r="AE29" s="31" t="inlineStr">
        <is>
          <t>Neutral Elo baseline; executable ask 0.5900 (market_slug=aec-lol-one-bam-2026-08-06).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Baam Esports</t>
        </is>
      </c>
      <c r="AQ29" s="24" t="inlineStr">
        <is>
          <t>Baam Esports</t>
        </is>
      </c>
      <c r="AR29" s="24" t="inlineStr">
        <is>
          <t>Baam Esports</t>
        </is>
      </c>
      <c r="AS29" s="24" t="inlineStr">
        <is>
          <t>One More Esports</t>
        </is>
      </c>
      <c r="AT29" s="24" t="inlineStr">
        <is>
          <t>One More Esports</t>
        </is>
      </c>
      <c r="AU29" s="24" t="inlineStr">
        <is>
          <t>One More Esports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4304963c152f1e881f634fa0b66ab59152f3edd6692257c1d27d76a5cb0a3df3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4304963c152f1e881f634fa0b66ab59152f3edd6692257c1d27d76a5cb0a3df3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2026-08-06T00:24:42.381233Z</t>
        </is>
      </c>
      <c r="BI29" s="24" t="inlineStr">
        <is>
          <t>["same_event","same_team_same_day","same_league_same_day"]</t>
        </is>
      </c>
      <c r="BJ29" s="25" t="n"/>
      <c r="BK29" s="26" t="n">
        <v>-144</v>
      </c>
      <c r="BL29" s="27" t="n">
        <v>1.694444</v>
      </c>
      <c r="BM29" s="28" t="n">
        <v>0.590164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19c128d8df7b49bb</t>
        </is>
      </c>
      <c r="B30" s="24" t="inlineStr">
        <is>
          <t>2026-08-06T00:24:51.570056Z</t>
        </is>
      </c>
      <c r="C30" s="24" t="inlineStr">
        <is>
          <t>2026-08-06T17:00:00Z</t>
        </is>
      </c>
      <c r="D30" s="24" t="inlineStr">
        <is>
          <t>70860</t>
        </is>
      </c>
      <c r="E30" s="24" t="inlineStr">
        <is>
          <t>LOL</t>
        </is>
      </c>
      <c r="F30" s="24" t="inlineStr">
        <is>
          <t>Skillcamp Esport</t>
        </is>
      </c>
      <c r="G30" s="24" t="inlineStr">
        <is>
          <t>Karmine Corp Blue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-150</v>
      </c>
      <c r="M30" s="27" t="n">
        <v>1.666667</v>
      </c>
      <c r="N30" s="28" t="n">
        <v>0.6</v>
      </c>
      <c r="O30" s="28" t="n">
        <v>0.742815</v>
      </c>
      <c r="P30" s="28" t="n"/>
      <c r="Q30" s="28" t="n">
        <v>0.142815</v>
      </c>
      <c r="R30" s="26" t="n">
        <v>91</v>
      </c>
      <c r="S30" s="29" t="n">
        <v>2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-2</v>
      </c>
      <c r="AD30" s="24" t="inlineStr">
        <is>
          <t>2026-08-06T18:57:13.006126Z</t>
        </is>
      </c>
      <c r="AE30" s="31" t="inlineStr">
        <is>
          <t>Neutral Elo baseline; executable ask 0.6000 (market_slug=aec-lol-kcb-sc-2026-08-06).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Skillcamp Esport</t>
        </is>
      </c>
      <c r="AQ30" s="24" t="inlineStr">
        <is>
          <t>Skillcamp Esport</t>
        </is>
      </c>
      <c r="AR30" s="24" t="inlineStr">
        <is>
          <t>Skillcamp Esport</t>
        </is>
      </c>
      <c r="AS30" s="24" t="inlineStr">
        <is>
          <t>Karmine Corp Blue</t>
        </is>
      </c>
      <c r="AT30" s="24" t="inlineStr">
        <is>
          <t>Karmine Corp Blue</t>
        </is>
      </c>
      <c r="AU30" s="24" t="inlineStr">
        <is>
          <t>Karmine Corp Blue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4304963c152f1e881f634fa0b66ab59152f3edd6692257c1d27d76a5cb0a3df3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4304963c152f1e881f634fa0b66ab59152f3edd6692257c1d27d76a5cb0a3df3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2026-08-06T00:24:43.466107Z</t>
        </is>
      </c>
      <c r="BI30" s="24" t="inlineStr">
        <is>
          <t>["same_event","same_team_same_day","same_league_same_day"]</t>
        </is>
      </c>
      <c r="BJ30" s="25" t="n"/>
      <c r="BK30" s="26" t="n">
        <v>-150</v>
      </c>
      <c r="BL30" s="27" t="n">
        <v>1.666667</v>
      </c>
      <c r="BM30" s="28" t="n">
        <v>0.6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fab2311131514378</t>
        </is>
      </c>
      <c r="B31" s="24" t="inlineStr">
        <is>
          <t>2026-08-06T00:24:51.570056Z</t>
        </is>
      </c>
      <c r="C31" s="24" t="inlineStr">
        <is>
          <t>2026-08-06T18:00:00Z</t>
        </is>
      </c>
      <c r="D31" s="24" t="inlineStr">
        <is>
          <t>70903</t>
        </is>
      </c>
      <c r="E31" s="24" t="inlineStr">
        <is>
          <t>LOL</t>
        </is>
      </c>
      <c r="F31" s="24" t="inlineStr">
        <is>
          <t>Zena Esports</t>
        </is>
      </c>
      <c r="G31" s="24" t="inlineStr">
        <is>
          <t>GMBLERS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113</v>
      </c>
      <c r="M31" s="27" t="n">
        <v>2.13</v>
      </c>
      <c r="N31" s="28" t="n">
        <v>0.469484</v>
      </c>
      <c r="O31" s="28" t="n">
        <v>0.630956</v>
      </c>
      <c r="P31" s="28" t="n"/>
      <c r="Q31" s="28" t="n">
        <v>0.161472</v>
      </c>
      <c r="R31" s="26" t="n">
        <v>100</v>
      </c>
      <c r="S31" s="29" t="n">
        <v>1.5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1.695</v>
      </c>
      <c r="AD31" s="24" t="inlineStr">
        <is>
          <t>2026-08-06T18:57:14.772492Z</t>
        </is>
      </c>
      <c r="AE31" s="31" t="inlineStr">
        <is>
          <t>Neutral Elo baseline; executable ask 0.4700 (market_slug=aec-lol-gmb-zena-2026-08-06).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Zena Esports</t>
        </is>
      </c>
      <c r="AQ31" s="24" t="inlineStr">
        <is>
          <t>Zena Esports</t>
        </is>
      </c>
      <c r="AR31" s="24" t="inlineStr">
        <is>
          <t>Zena Esports</t>
        </is>
      </c>
      <c r="AS31" s="24" t="inlineStr">
        <is>
          <t>GMBLERS ESPORTS</t>
        </is>
      </c>
      <c r="AT31" s="24" t="inlineStr">
        <is>
          <t>GMBLERS ESPORTS</t>
        </is>
      </c>
      <c r="AU31" s="24" t="inlineStr">
        <is>
          <t>GMBLERS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4304963c152f1e881f634fa0b66ab59152f3edd6692257c1d27d76a5cb0a3df3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4304963c152f1e881f634fa0b66ab59152f3edd6692257c1d27d76a5cb0a3df3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2026-08-06T00:24:47.491847Z</t>
        </is>
      </c>
      <c r="BI31" s="24" t="inlineStr">
        <is>
          <t>["same_event","same_team_same_day","same_league_same_day"]</t>
        </is>
      </c>
      <c r="BJ31" s="25" t="n"/>
      <c r="BK31" s="26" t="n">
        <v>113</v>
      </c>
      <c r="BL31" s="27" t="n">
        <v>2.13</v>
      </c>
      <c r="BM31" s="28" t="n">
        <v>0.469484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a2df408e417748e0</t>
        </is>
      </c>
      <c r="B32" s="24" t="inlineStr">
        <is>
          <t>2026-08-07T15:24:10.407714Z</t>
        </is>
      </c>
      <c r="C32" s="24" t="inlineStr">
        <is>
          <t>2026-08-07T16:00:00Z</t>
        </is>
      </c>
      <c r="D32" s="24" t="inlineStr">
        <is>
          <t>71980</t>
        </is>
      </c>
      <c r="E32" s="24" t="inlineStr">
        <is>
          <t>LOL</t>
        </is>
      </c>
      <c r="F32" s="24" t="inlineStr">
        <is>
          <t>TITANS</t>
        </is>
      </c>
      <c r="G32" s="24" t="inlineStr">
        <is>
          <t>Aeterna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-117</v>
      </c>
      <c r="M32" s="27" t="n">
        <v>1.854701</v>
      </c>
      <c r="N32" s="28" t="n">
        <v>0.539171</v>
      </c>
      <c r="O32" s="28" t="n">
        <v>0.637212</v>
      </c>
      <c r="P32" s="28" t="n"/>
      <c r="Q32" s="28" t="n">
        <v>0.098041</v>
      </c>
      <c r="R32" s="26" t="n">
        <v>69</v>
      </c>
      <c r="S32" s="29" t="n">
        <v>1.5</v>
      </c>
      <c r="T32" s="24" t="inlineStr">
        <is>
          <t>lol-tiered-elo-v6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-117</v>
      </c>
      <c r="AA32" s="28" t="n">
        <v>0.54</v>
      </c>
      <c r="AB32" s="28" t="n">
        <v>0.000829</v>
      </c>
      <c r="AC32" s="30" t="n">
        <v>1.2821</v>
      </c>
      <c r="AD32" s="24" t="inlineStr">
        <is>
          <t>2026-08-07T18:27:28.802280Z</t>
        </is>
      </c>
      <c r="AE32" s="31" t="inlineStr">
        <is>
          <t>Neutral Elo baseline; executable ask 0.5400 (market_slug=aec-lol-aee-tts-2026-08-07).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TITANS</t>
        </is>
      </c>
      <c r="AQ32" s="24" t="inlineStr">
        <is>
          <t>TITANS</t>
        </is>
      </c>
      <c r="AR32" s="24" t="inlineStr">
        <is>
          <t>TITANS</t>
        </is>
      </c>
      <c r="AS32" s="24" t="inlineStr">
        <is>
          <t>Aeterna Esports</t>
        </is>
      </c>
      <c r="AT32" s="24" t="inlineStr">
        <is>
          <t>Aeterna Esports</t>
        </is>
      </c>
      <c r="AU32" s="24" t="inlineStr">
        <is>
          <t>Aeterna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326a42c58f2a208dee1dc4f634e9901156f475883f7f16a3237a5e1b513fa5f9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326a42c58f2a208dee1dc4f634e9901156f475883f7f16a3237a5e1b513fa5f9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2026-08-07T15:23:54.049058Z</t>
        </is>
      </c>
      <c r="BI32" s="24" t="inlineStr">
        <is>
          <t>["same_event","same_team_same_day","same_league_same_day"]</t>
        </is>
      </c>
      <c r="BJ32" s="25" t="n"/>
      <c r="BK32" s="26" t="n">
        <v>-117</v>
      </c>
      <c r="BL32" s="27" t="n">
        <v>1.854701</v>
      </c>
      <c r="BM32" s="28" t="n">
        <v>0.539171</v>
      </c>
      <c r="BN32" s="28" t="n"/>
      <c r="BO32" s="28" t="n"/>
      <c r="BP32" s="25" t="n"/>
      <c r="BQ32" s="27" t="n">
        <v>1.854701</v>
      </c>
      <c r="BR32" s="28" t="n">
        <v>0.54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08d6e9eb272449c2</t>
        </is>
      </c>
      <c r="B33" s="24" t="inlineStr">
        <is>
          <t>2026-08-07T18:31:20.691239Z</t>
        </is>
      </c>
      <c r="C33" s="24" t="inlineStr">
        <is>
          <t>2026-08-07T19:00:00Z</t>
        </is>
      </c>
      <c r="D33" s="24" t="inlineStr">
        <is>
          <t>72342</t>
        </is>
      </c>
      <c r="E33" s="24" t="inlineStr">
        <is>
          <t>LOL</t>
        </is>
      </c>
      <c r="F33" s="24" t="inlineStr">
        <is>
          <t>Colossal Gaming</t>
        </is>
      </c>
      <c r="G33" s="24" t="inlineStr">
        <is>
          <t>GMBLERS ESPORTS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0.576862</v>
      </c>
      <c r="P33" s="28" t="n"/>
      <c r="Q33" s="28" t="n">
        <v>0.116033</v>
      </c>
      <c r="R33" s="26" t="n">
        <v>78</v>
      </c>
      <c r="S33" s="29" t="n">
        <v>1.25</v>
      </c>
      <c r="T33" s="24" t="inlineStr">
        <is>
          <t>lol-tiered-elo-v6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0.4600 (market_slug=aec-lol-gmb-cg-2026-08-07).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Colossal Gaming</t>
        </is>
      </c>
      <c r="AQ33" s="24" t="inlineStr">
        <is>
          <t>Colossal Gaming</t>
        </is>
      </c>
      <c r="AR33" s="24" t="inlineStr">
        <is>
          <t>Colossal Gaming</t>
        </is>
      </c>
      <c r="AS33" s="24" t="inlineStr">
        <is>
          <t>GMBLERS ESPORTS</t>
        </is>
      </c>
      <c r="AT33" s="24" t="inlineStr">
        <is>
          <t>GMBLERS ESPORTS</t>
        </is>
      </c>
      <c r="AU33" s="24" t="inlineStr">
        <is>
          <t>GMBLERS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d3791916ff32605dd2265e280637577dccc694ea8768ae90edb98370e9029821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d3791916ff32605dd2265e280637577dccc694ea8768ae90edb98370e9029821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2026-08-07T18:31:07.695348Z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61b949111ab54871</t>
        </is>
      </c>
      <c r="B34" s="24" t="inlineStr">
        <is>
          <t>2026-08-07T18:31:20.691239Z</t>
        </is>
      </c>
      <c r="C34" s="24" t="inlineStr">
        <is>
          <t>2026-08-07T21:00:00Z</t>
        </is>
      </c>
      <c r="D34" s="24" t="inlineStr">
        <is>
          <t>72428</t>
        </is>
      </c>
      <c r="E34" s="24" t="inlineStr">
        <is>
          <t>LOL</t>
        </is>
      </c>
      <c r="F34" s="24" t="inlineStr">
        <is>
          <t>Fluxo W7M</t>
        </is>
      </c>
      <c r="G34" s="24" t="inlineStr">
        <is>
          <t>Vivo Keyd Stars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108</v>
      </c>
      <c r="M34" s="27" t="n">
        <v>2.08</v>
      </c>
      <c r="N34" s="28" t="n">
        <v>0.480769</v>
      </c>
      <c r="O34" s="28" t="n">
        <v>0.695648</v>
      </c>
      <c r="P34" s="28" t="n"/>
      <c r="Q34" s="28" t="n">
        <v>0.214879</v>
      </c>
      <c r="R34" s="26" t="n">
        <v>100</v>
      </c>
      <c r="S34" s="29" t="n">
        <v>2</v>
      </c>
      <c r="T34" s="24" t="inlineStr">
        <is>
          <t>lol-tiered-elo-v6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0.4800 (market_slug=aec-lol-vks-fxw7-2026-08-07).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Fluxo W7M</t>
        </is>
      </c>
      <c r="AQ34" s="24" t="inlineStr">
        <is>
          <t>Fluxo W7M</t>
        </is>
      </c>
      <c r="AR34" s="24" t="inlineStr">
        <is>
          <t>Fluxo W7M</t>
        </is>
      </c>
      <c r="AS34" s="24" t="inlineStr">
        <is>
          <t>Vivo Keyd Stars</t>
        </is>
      </c>
      <c r="AT34" s="24" t="inlineStr">
        <is>
          <t>Vivo Keyd Stars</t>
        </is>
      </c>
      <c r="AU34" s="24" t="inlineStr">
        <is>
          <t>Vivo Keyd Stars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d3791916ff32605dd2265e280637577dccc694ea8768ae90edb98370e9029821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d3791916ff32605dd2265e280637577dccc694ea8768ae90edb98370e9029821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2026-08-07T18:31:08.212012Z</t>
        </is>
      </c>
      <c r="BI34" s="24" t="inlineStr">
        <is>
          <t>["same_event","same_team_same_day","same_league_same_day"]</t>
        </is>
      </c>
      <c r="BJ34" s="25" t="n"/>
      <c r="BK34" s="26" t="n">
        <v>108</v>
      </c>
      <c r="BL34" s="27" t="n">
        <v>2.08</v>
      </c>
      <c r="BM34" s="28" t="n">
        <v>0.480769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b2976f2bae944bad</t>
        </is>
      </c>
      <c r="B35" s="24" t="inlineStr">
        <is>
          <t>2026-08-07T18:31:20.691239Z</t>
        </is>
      </c>
      <c r="C35" s="24" t="inlineStr">
        <is>
          <t>2026-08-07T21:00:00Z</t>
        </is>
      </c>
      <c r="D35" s="24" t="inlineStr">
        <is>
          <t>72438</t>
        </is>
      </c>
      <c r="E35" s="24" t="inlineStr">
        <is>
          <t>LOL</t>
        </is>
      </c>
      <c r="F35" s="24" t="inlineStr">
        <is>
          <t>Dorado Gaming</t>
        </is>
      </c>
      <c r="G35" s="24" t="inlineStr">
        <is>
          <t>Blue Otter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108</v>
      </c>
      <c r="M35" s="27" t="n">
        <v>2.08</v>
      </c>
      <c r="N35" s="28" t="n">
        <v>0.480769</v>
      </c>
      <c r="O35" s="28" t="n">
        <v>0.627171</v>
      </c>
      <c r="P35" s="28" t="n"/>
      <c r="Q35" s="28" t="n">
        <v>0.146402</v>
      </c>
      <c r="R35" s="26" t="n">
        <v>93</v>
      </c>
      <c r="S35" s="29" t="n">
        <v>1.5</v>
      </c>
      <c r="T35" s="24" t="inlineStr">
        <is>
          <t>lol-tiered-elo-v6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0.4800 (market_slug=aec-lol-blue-dog-2026-08-07).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Dorado Gaming</t>
        </is>
      </c>
      <c r="AQ35" s="24" t="inlineStr">
        <is>
          <t>Dorado Gaming</t>
        </is>
      </c>
      <c r="AR35" s="24" t="inlineStr">
        <is>
          <t>Dorado Gaming</t>
        </is>
      </c>
      <c r="AS35" s="24" t="inlineStr">
        <is>
          <t>Blue Otter</t>
        </is>
      </c>
      <c r="AT35" s="24" t="inlineStr">
        <is>
          <t>Blue Otter</t>
        </is>
      </c>
      <c r="AU35" s="24" t="inlineStr">
        <is>
          <t>Blue Otter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d3791916ff32605dd2265e280637577dccc694ea8768ae90edb98370e9029821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d3791916ff32605dd2265e280637577dccc694ea8768ae90edb98370e9029821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2026-08-07T18:31:08.974236Z</t>
        </is>
      </c>
      <c r="BI35" s="24" t="inlineStr">
        <is>
          <t>["same_event","same_team_same_day","same_league_same_day"]</t>
        </is>
      </c>
      <c r="BJ35" s="25" t="n"/>
      <c r="BK35" s="26" t="n">
        <v>108</v>
      </c>
      <c r="BL35" s="27" t="n">
        <v>2.08</v>
      </c>
      <c r="BM35" s="28" t="n">
        <v>0.480769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56161deaedb746eb</t>
        </is>
      </c>
      <c r="B36" s="24" t="inlineStr">
        <is>
          <t>2026-08-07T18:31:20.691239Z</t>
        </is>
      </c>
      <c r="C36" s="24" t="inlineStr">
        <is>
          <t>2026-08-08T08:00:00Z</t>
        </is>
      </c>
      <c r="D36" s="24" t="inlineStr">
        <is>
          <t>72722</t>
        </is>
      </c>
      <c r="E36" s="24" t="inlineStr">
        <is>
          <t>LOL</t>
        </is>
      </c>
      <c r="F36" s="24" t="inlineStr">
        <is>
          <t>Hanwha Life Esports</t>
        </is>
      </c>
      <c r="G36" s="24" t="inlineStr">
        <is>
          <t>T1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104</v>
      </c>
      <c r="M36" s="27" t="n">
        <v>2.04</v>
      </c>
      <c r="N36" s="28" t="n">
        <v>0.490196</v>
      </c>
      <c r="O36" s="28" t="n">
        <v>0.605845</v>
      </c>
      <c r="P36" s="28" t="n"/>
      <c r="Q36" s="28" t="n">
        <v>0.115649</v>
      </c>
      <c r="R36" s="26" t="n">
        <v>78</v>
      </c>
      <c r="S36" s="29" t="n">
        <v>1.25</v>
      </c>
      <c r="T36" s="24" t="inlineStr">
        <is>
          <t>lol-tiered-elo-v6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0.4900 (market_slug=aec-lol-t1-hle-2026-08-08).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Hanwha Life Esports</t>
        </is>
      </c>
      <c r="AQ36" s="24" t="inlineStr">
        <is>
          <t>Hanwha Life Esports</t>
        </is>
      </c>
      <c r="AR36" s="24" t="inlineStr">
        <is>
          <t>Hanwha Life Esports</t>
        </is>
      </c>
      <c r="AS36" s="24" t="inlineStr">
        <is>
          <t>T1</t>
        </is>
      </c>
      <c r="AT36" s="24" t="inlineStr">
        <is>
          <t>T1</t>
        </is>
      </c>
      <c r="AU36" s="24" t="inlineStr">
        <is>
          <t>T1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d3791916ff32605dd2265e280637577dccc694ea8768ae90edb98370e9029821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d3791916ff32605dd2265e280637577dccc694ea8768ae90edb98370e9029821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2026-08-07T18:31:11.080798Z</t>
        </is>
      </c>
      <c r="BI36" s="24" t="inlineStr">
        <is>
          <t>["same_event","same_team_same_day","same_league_same_day"]</t>
        </is>
      </c>
      <c r="BJ36" s="25" t="n"/>
      <c r="BK36" s="26" t="n">
        <v>104</v>
      </c>
      <c r="BL36" s="27" t="n">
        <v>2.04</v>
      </c>
      <c r="BM36" s="28" t="n">
        <v>0.490196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906dd91507e34909</t>
        </is>
      </c>
      <c r="B37" s="24" t="inlineStr">
        <is>
          <t>2026-08-07T18:31:20.691239Z</t>
        </is>
      </c>
      <c r="C37" s="24" t="inlineStr">
        <is>
          <t>2026-08-08T11:00:00Z</t>
        </is>
      </c>
      <c r="D37" s="24" t="inlineStr">
        <is>
          <t>72752</t>
        </is>
      </c>
      <c r="E37" s="24" t="inlineStr">
        <is>
          <t>LOL</t>
        </is>
      </c>
      <c r="F37" s="24" t="inlineStr">
        <is>
          <t>Lausanne-Sport Esports</t>
        </is>
      </c>
      <c r="G37" s="24" t="inlineStr">
        <is>
          <t>Galions Sharks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-138</v>
      </c>
      <c r="M37" s="27" t="n">
        <v>1.724638</v>
      </c>
      <c r="N37" s="28" t="n">
        <v>0.579832</v>
      </c>
      <c r="O37" s="28" t="n">
        <v>0.675074</v>
      </c>
      <c r="P37" s="28" t="n"/>
      <c r="Q37" s="28" t="n">
        <v>0.09524199999999999</v>
      </c>
      <c r="R37" s="26" t="n">
        <v>68</v>
      </c>
      <c r="S37" s="29" t="n">
        <v>1.75</v>
      </c>
      <c r="T37" s="24" t="inlineStr">
        <is>
          <t>lol-tiered-elo-v6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0.5800 (market_slug=aec-lol-gls-els-2026-08-08).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Lausanne-Sport Esports</t>
        </is>
      </c>
      <c r="AQ37" s="24" t="inlineStr">
        <is>
          <t>Lausanne-Sport Esports</t>
        </is>
      </c>
      <c r="AR37" s="24" t="inlineStr">
        <is>
          <t>Lausanne-Sport Esports</t>
        </is>
      </c>
      <c r="AS37" s="24" t="inlineStr">
        <is>
          <t>Galions Sharks</t>
        </is>
      </c>
      <c r="AT37" s="24" t="inlineStr">
        <is>
          <t>Galions Sharks</t>
        </is>
      </c>
      <c r="AU37" s="24" t="inlineStr">
        <is>
          <t>Galions Sharks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d3791916ff32605dd2265e280637577dccc694ea8768ae90edb98370e9029821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d3791916ff32605dd2265e280637577dccc694ea8768ae90edb98370e9029821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2026-08-07T18:31:14.111862Z</t>
        </is>
      </c>
      <c r="BI37" s="24" t="inlineStr">
        <is>
          <t>["same_event","same_team_same_day","same_league_same_day"]</t>
        </is>
      </c>
      <c r="BJ37" s="25" t="n"/>
      <c r="BK37" s="26" t="n">
        <v>-138</v>
      </c>
      <c r="BL37" s="27" t="n">
        <v>1.724638</v>
      </c>
      <c r="BM37" s="28" t="n">
        <v>0.579832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c051521d6c394e62</t>
        </is>
      </c>
      <c r="B38" s="24" t="inlineStr">
        <is>
          <t>2026-08-07T18:31:20.691239Z</t>
        </is>
      </c>
      <c r="C38" s="24" t="inlineStr">
        <is>
          <t>2026-08-08T16:00:00Z</t>
        </is>
      </c>
      <c r="D38" s="24" t="inlineStr">
        <is>
          <t>72871</t>
        </is>
      </c>
      <c r="E38" s="24" t="inlineStr">
        <is>
          <t>LOL</t>
        </is>
      </c>
      <c r="F38" s="24" t="inlineStr">
        <is>
          <t>paiN Gaming</t>
        </is>
      </c>
      <c r="G38" s="24" t="inlineStr">
        <is>
          <t>RED Canids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104</v>
      </c>
      <c r="M38" s="27" t="n">
        <v>2.04</v>
      </c>
      <c r="N38" s="28" t="n">
        <v>0.490196</v>
      </c>
      <c r="O38" s="28" t="n">
        <v>0.6928530000000001</v>
      </c>
      <c r="P38" s="28" t="n"/>
      <c r="Q38" s="28" t="n">
        <v>0.202657</v>
      </c>
      <c r="R38" s="26" t="n">
        <v>100</v>
      </c>
      <c r="S38" s="29" t="n">
        <v>2</v>
      </c>
      <c r="T38" s="24" t="inlineStr">
        <is>
          <t>lol-tiered-elo-v6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0.4900 (market_slug=aec-lol-red-png-2026-08-08).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paiN Gaming</t>
        </is>
      </c>
      <c r="AQ38" s="24" t="inlineStr">
        <is>
          <t>paiN Gaming</t>
        </is>
      </c>
      <c r="AR38" s="24" t="inlineStr">
        <is>
          <t>paiN Gaming</t>
        </is>
      </c>
      <c r="AS38" s="24" t="inlineStr">
        <is>
          <t>RED Canids</t>
        </is>
      </c>
      <c r="AT38" s="24" t="inlineStr">
        <is>
          <t>RED Canids</t>
        </is>
      </c>
      <c r="AU38" s="24" t="inlineStr">
        <is>
          <t>RED Canids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d3791916ff32605dd2265e280637577dccc694ea8768ae90edb98370e9029821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d3791916ff32605dd2265e280637577dccc694ea8768ae90edb98370e9029821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2026-08-07T18:31:18.039096Z</t>
        </is>
      </c>
      <c r="BI38" s="24" t="inlineStr">
        <is>
          <t>["same_event","same_team_same_day","same_league_same_day"]</t>
        </is>
      </c>
      <c r="BJ38" s="25" t="n"/>
      <c r="BK38" s="26" t="n">
        <v>104</v>
      </c>
      <c r="BL38" s="27" t="n">
        <v>2.04</v>
      </c>
      <c r="BM38" s="28" t="n">
        <v>0.490196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2026-08-07T18:32:20Z</dcterms:created>
  <dcterms:modified xmlns:dcterms="http://purl.org/dc/terms/" xmlns:xsi="http://www.w3.org/2001/XMLSchema-instance" xsi:type="dcterms:W3CDTF">2026-08-07T18:32:20Z</dcterms:modified>
</cp:coreProperties>
</file>