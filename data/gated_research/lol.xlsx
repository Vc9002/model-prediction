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" headerRowCount="1">
  <autoFilter ref="A1:CO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COUNTA('Picks'!$A$2:$A$8)</f>
        <v/>
      </c>
      <c r="C4" s="6">
        <f>COUNTIF('Picks'!$U$2:$U$8,"open")</f>
        <v/>
      </c>
      <c r="E4" s="6">
        <f>COUNTIF('Picks'!$U$2:$U$8,"settled")</f>
        <v/>
      </c>
      <c r="G4" s="6">
        <f>IF(COUNTIFS('Picks'!$U$2:$U$8,"settled",'Picks'!$V$2:$V$8,"win")+COUNTIFS('Picks'!$U$2:$U$8,"settled",'Picks'!$V$2:$V$8,"loss")&gt;=$L$2,"Ready","Insufficient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COUNTIF('Picks'!$BX$2:$BX$8,"&gt;0")</f>
        <v/>
      </c>
      <c r="C7" s="6">
        <f>COUNTIFS('Picks'!$BX$2:$BX$8,"&gt;0",'Picks'!$V$2:$V$8,"win")&amp;"-"&amp;COUNTIFS('Picks'!$BX$2:$BX$8,"&gt;0",'Picks'!$V$2:$V$8,"loss")</f>
        <v/>
      </c>
      <c r="E7" s="7">
        <f>IFERROR(COUNTIFS('Picks'!$BX$2:$BX$8,"&gt;0",'Picks'!$V$2:$V$8,"win")/(COUNTIFS('Picks'!$BX$2:$BX$8,"&gt;0",'Picks'!$V$2:$V$8,"win")+COUNTIFS('Picks'!$BX$2:$BX$8,"&gt;0",'Picks'!$V$2:$V$8,"loss")),0)</f>
        <v/>
      </c>
      <c r="G7" s="7">
        <f>IFERROR(SUM('Picks'!$BY$2:$BY$8)/SUM('Picks'!$BX$2:$BX$8),0)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SUM('Picks'!$BY$2:$BY$8)</f>
        <v/>
      </c>
      <c r="C10" s="9">
        <f>IFERROR(AVERAGEIF('Picks'!$AB$2:$AB$8,"&lt;&gt;",'Picks'!$AB$2:$AB$8),0)</f>
        <v/>
      </c>
      <c r="E10" s="6">
        <f>COUNTIFS('Picks'!$AM$2:$AM$8,"QUALIFIED_SHADOW_CALL",'Picks'!$U$2:$U$8,"settled")</f>
        <v/>
      </c>
      <c r="G10" s="8">
        <f>SUMIFS('Picks'!$AC$2:$AC$8,'Picks'!$AM$2:$AM$8,"QUALIFIED_SHADOW_CALL")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COUNTIFS('Picks'!$H$2:$H$8,$A14,'Picks'!$U$2:$U$8,"settled")</f>
        <v/>
      </c>
      <c r="C14" s="13">
        <f>COUNTIFS('Picks'!$H$2:$H$8,$A14,'Picks'!$U$2:$U$8,"settled",'Picks'!$V$2:$V$8,"win")</f>
        <v/>
      </c>
      <c r="D14" s="13">
        <f>COUNTIFS('Picks'!$H$2:$H$8,$A14,'Picks'!$U$2:$U$8,"settled",'Picks'!$V$2:$V$8,"loss")</f>
        <v/>
      </c>
      <c r="E14" s="14">
        <f>IFERROR(C14/(C14+D14),0)</f>
        <v/>
      </c>
      <c r="F14" s="15">
        <f>SUMIFS('Picks'!$BY$2:$BY$8,'Picks'!$H$2:$H$8,$A14)</f>
        <v/>
      </c>
      <c r="G14" s="16">
        <f>IFERROR(AVERAGEIFS('Picks'!$AB$2:$AB$8,'Picks'!$H$2:$H$8,$A14,'Picks'!$U$2:$U$8,"settled"),0)</f>
        <v/>
      </c>
    </row>
    <row r="15">
      <c r="A15" s="17" t="inlineStr">
        <is>
          <t>spread</t>
        </is>
      </c>
      <c r="B15" s="18">
        <f>COUNTIFS('Picks'!$H$2:$H$8,$A15,'Picks'!$U$2:$U$8,"settled")</f>
        <v/>
      </c>
      <c r="C15" s="18">
        <f>COUNTIFS('Picks'!$H$2:$H$8,$A15,'Picks'!$U$2:$U$8,"settled",'Picks'!$V$2:$V$8,"win")</f>
        <v/>
      </c>
      <c r="D15" s="18">
        <f>COUNTIFS('Picks'!$H$2:$H$8,$A15,'Picks'!$U$2:$U$8,"settled",'Picks'!$V$2:$V$8,"loss")</f>
        <v/>
      </c>
      <c r="E15" s="19">
        <f>IFERROR(C15/(C15+D15),0)</f>
        <v/>
      </c>
      <c r="F15" s="20">
        <f>SUMIFS('Picks'!$BY$2:$BY$8,'Picks'!$H$2:$H$8,$A15)</f>
        <v/>
      </c>
      <c r="G15" s="21">
        <f>IFERROR(AVERAGEIFS('Picks'!$AB$2:$AB$8,'Picks'!$H$2:$H$8,$A15,'Picks'!$U$2:$U$8,"settled"),0)</f>
        <v/>
      </c>
    </row>
    <row r="16">
      <c r="A16" s="12" t="inlineStr">
        <is>
          <t>total</t>
        </is>
      </c>
      <c r="B16" s="13">
        <f>COUNTIFS('Picks'!$H$2:$H$8,$A16,'Picks'!$U$2:$U$8,"settled")</f>
        <v/>
      </c>
      <c r="C16" s="13">
        <f>COUNTIFS('Picks'!$H$2:$H$8,$A16,'Picks'!$U$2:$U$8,"settled",'Picks'!$V$2:$V$8,"win")</f>
        <v/>
      </c>
      <c r="D16" s="13">
        <f>COUNTIFS('Picks'!$H$2:$H$8,$A16,'Picks'!$U$2:$U$8,"settled",'Picks'!$V$2:$V$8,"loss")</f>
        <v/>
      </c>
      <c r="E16" s="14">
        <f>IFERROR(C16/(C16+D16),0)</f>
        <v/>
      </c>
      <c r="F16" s="15">
        <f>SUMIFS('Picks'!$BY$2:$BY$8,'Picks'!$H$2:$H$8,$A16)</f>
        <v/>
      </c>
      <c r="G16" s="16">
        <f>IFERROR(AVERAGEIFS('Picks'!$AB$2:$AB$8,'Picks'!$H$2:$H$8,$A16,'Picks'!$U$2:$U$8,"settled"),0)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46af7b85baba4c8a</t>
        </is>
      </c>
      <c r="B5" s="24" t="inlineStr">
        <is>
          <t>2026-08-01T20:32:32.284273Z</t>
        </is>
      </c>
      <c r="C5" s="24" t="inlineStr">
        <is>
          <t>2026-08-03T08:00:00Z</t>
        </is>
      </c>
      <c r="D5" s="24" t="inlineStr">
        <is>
          <t>67491</t>
        </is>
      </c>
      <c r="E5" s="24" t="inlineStr">
        <is>
          <t>LOL</t>
        </is>
      </c>
      <c r="F5" s="24" t="inlineStr">
        <is>
          <t>Hanwha Life Esports</t>
        </is>
      </c>
      <c r="G5" s="24" t="inlineStr">
        <is>
          <t>Gen.G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0.581905</v>
      </c>
      <c r="P5" s="28" t="n"/>
      <c r="Q5" s="28" t="n">
        <v>0.042734</v>
      </c>
      <c r="R5" s="26" t="n">
        <v>41</v>
      </c>
      <c r="S5" s="29" t="n">
        <v>1.25</v>
      </c>
      <c r="T5" s="24" t="inlineStr">
        <is>
          <t>lol-tiered-elo-v5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0.5400 (market_slug=aec-lol-gen-hle-2026-08-03).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Life Esports</t>
        </is>
      </c>
      <c r="AQ5" s="24" t="inlineStr">
        <is>
          <t>Hanwha Life Esports</t>
        </is>
      </c>
      <c r="AR5" s="24" t="inlineStr">
        <is>
          <t>Hanwha Life Esports</t>
        </is>
      </c>
      <c r="AS5" s="24" t="inlineStr">
        <is>
          <t>Gen.G</t>
        </is>
      </c>
      <c r="AT5" s="24" t="inlineStr">
        <is>
          <t>Gen.G</t>
        </is>
      </c>
      <c r="AU5" s="24" t="inlineStr">
        <is>
          <t>Gen.G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229baf64b9a74bdaa3fee70ecd0bde2986f6e2d651a8f5efad46c765670e1ff3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229baf64b9a74bdaa3fee70ecd0bde2986f6e2d651a8f5efad46c765670e1ff3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2026-08-01T20:32:24.237849Z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9e794033f37e431f</t>
        </is>
      </c>
      <c r="B6" s="24" t="inlineStr">
        <is>
          <t>2026-08-01T20:32:32.284273Z</t>
        </is>
      </c>
      <c r="C6" s="24" t="inlineStr">
        <is>
          <t>2026-08-03T10:00:00Z</t>
        </is>
      </c>
      <c r="D6" s="24" t="inlineStr">
        <is>
          <t>67511</t>
        </is>
      </c>
      <c r="E6" s="24" t="inlineStr">
        <is>
          <t>LOL</t>
        </is>
      </c>
      <c r="F6" s="24" t="inlineStr">
        <is>
          <t>Dplus KIA Challengers</t>
        </is>
      </c>
      <c r="G6" s="24" t="inlineStr">
        <is>
          <t>DN SOOPers Challengers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-223</v>
      </c>
      <c r="M6" s="27" t="n">
        <v>1.44843</v>
      </c>
      <c r="N6" s="28" t="n">
        <v>0.690402</v>
      </c>
      <c r="O6" s="28" t="n">
        <v>0.705384</v>
      </c>
      <c r="P6" s="28" t="n"/>
      <c r="Q6" s="28" t="n">
        <v>0.014982</v>
      </c>
      <c r="R6" s="26" t="n">
        <v>27</v>
      </c>
      <c r="S6" s="29" t="n">
        <v>2</v>
      </c>
      <c r="T6" s="24" t="inlineStr">
        <is>
          <t>lol-tiered-elo-v5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0.6900 (market_slug=aec-lol-dnsc-dkc-2026-08-03).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Dplus KIA Challengers</t>
        </is>
      </c>
      <c r="AQ6" s="24" t="inlineStr">
        <is>
          <t>Dplus KIA Challengers</t>
        </is>
      </c>
      <c r="AR6" s="24" t="inlineStr">
        <is>
          <t>Dplus KIA Challengers</t>
        </is>
      </c>
      <c r="AS6" s="24" t="inlineStr">
        <is>
          <t>DN SOOPers Challengers</t>
        </is>
      </c>
      <c r="AT6" s="24" t="inlineStr">
        <is>
          <t>DN SOOPers Challengers</t>
        </is>
      </c>
      <c r="AU6" s="24" t="inlineStr">
        <is>
          <t>DN SOOPers Challengers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229baf64b9a74bdaa3fee70ecd0bde2986f6e2d651a8f5efad46c765670e1ff3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229baf64b9a74bdaa3fee70ecd0bde2986f6e2d651a8f5efad46c765670e1ff3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2026-08-01T20:32:25.226163Z</t>
        </is>
      </c>
      <c r="BI6" s="24" t="inlineStr">
        <is>
          <t>["same_event","same_team_same_day","same_league_same_day"]</t>
        </is>
      </c>
      <c r="BJ6" s="25" t="n"/>
      <c r="BK6" s="26" t="n">
        <v>-223</v>
      </c>
      <c r="BL6" s="27" t="n">
        <v>1.44843</v>
      </c>
      <c r="BM6" s="28" t="n">
        <v>0.690402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1e0703e3a5b049d5</t>
        </is>
      </c>
      <c r="B7" s="24" t="inlineStr">
        <is>
          <t>2026-08-01T20:32:32.284273Z</t>
        </is>
      </c>
      <c r="C7" s="24" t="inlineStr">
        <is>
          <t>2026-08-03T10:30:00Z</t>
        </is>
      </c>
      <c r="D7" s="24" t="inlineStr">
        <is>
          <t>67515</t>
        </is>
      </c>
      <c r="E7" s="24" t="inlineStr">
        <is>
          <t>LOL</t>
        </is>
      </c>
      <c r="F7" s="24" t="inlineStr">
        <is>
          <t>T1</t>
        </is>
      </c>
      <c r="G7" s="24" t="inlineStr">
        <is>
          <t>Nongshim Red Force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-170</v>
      </c>
      <c r="M7" s="27" t="n">
        <v>1.588235</v>
      </c>
      <c r="N7" s="28" t="n">
        <v>0.62963</v>
      </c>
      <c r="O7" s="28" t="n">
        <v>0.748331</v>
      </c>
      <c r="P7" s="28" t="n"/>
      <c r="Q7" s="28" t="n">
        <v>0.118701</v>
      </c>
      <c r="R7" s="26" t="n">
        <v>79</v>
      </c>
      <c r="S7" s="29" t="n">
        <v>2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0.6300 (market_slug=aec-lol-ns-t1-2026-08-03).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T1</t>
        </is>
      </c>
      <c r="AQ7" s="24" t="inlineStr">
        <is>
          <t>T1</t>
        </is>
      </c>
      <c r="AR7" s="24" t="inlineStr">
        <is>
          <t>T1</t>
        </is>
      </c>
      <c r="AS7" s="24" t="inlineStr">
        <is>
          <t>Nongshim Red Force</t>
        </is>
      </c>
      <c r="AT7" s="24" t="inlineStr">
        <is>
          <t>Nongshim Red Force</t>
        </is>
      </c>
      <c r="AU7" s="24" t="inlineStr">
        <is>
          <t>Nongshim Red Force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229baf64b9a74bdaa3fee70ecd0bde2986f6e2d651a8f5efad46c765670e1ff3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229baf64b9a74bdaa3fee70ecd0bde2986f6e2d651a8f5efad46c765670e1ff3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2026-08-01T20:32:25.741380Z</t>
        </is>
      </c>
      <c r="BI7" s="24" t="inlineStr">
        <is>
          <t>["same_event","same_team_same_day","same_league_same_day"]</t>
        </is>
      </c>
      <c r="BJ7" s="25" t="n"/>
      <c r="BK7" s="26" t="n">
        <v>-170</v>
      </c>
      <c r="BL7" s="27" t="n">
        <v>1.588235</v>
      </c>
      <c r="BM7" s="28" t="n">
        <v>0.62963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9a121ede1ef54826</t>
        </is>
      </c>
      <c r="B8" s="24" t="inlineStr">
        <is>
          <t>2026-08-01T20:32:32.284273Z</t>
        </is>
      </c>
      <c r="C8" s="24" t="inlineStr">
        <is>
          <t>2026-08-03T20:00:00Z</t>
        </is>
      </c>
      <c r="D8" s="24" t="inlineStr">
        <is>
          <t>67937</t>
        </is>
      </c>
      <c r="E8" s="24" t="inlineStr">
        <is>
          <t>LOL</t>
        </is>
      </c>
      <c r="F8" s="24" t="inlineStr">
        <is>
          <t>Docta Esports</t>
        </is>
      </c>
      <c r="G8" s="24" t="inlineStr">
        <is>
          <t>Volticons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0.651311</v>
      </c>
      <c r="P8" s="28" t="n"/>
      <c r="Q8" s="28" t="n">
        <v>0.061147</v>
      </c>
      <c r="R8" s="26" t="n">
        <v>51</v>
      </c>
      <c r="S8" s="29" t="n">
        <v>1.75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0.5900 (market_slug=aec-lol-vtc-doh-2026-08-03).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Docta Esports</t>
        </is>
      </c>
      <c r="AQ8" s="24" t="inlineStr">
        <is>
          <t>Docta Esports</t>
        </is>
      </c>
      <c r="AR8" s="24" t="inlineStr">
        <is>
          <t>Docta Esports</t>
        </is>
      </c>
      <c r="AS8" s="24" t="inlineStr">
        <is>
          <t>Volticons</t>
        </is>
      </c>
      <c r="AT8" s="24" t="inlineStr">
        <is>
          <t>Volticons</t>
        </is>
      </c>
      <c r="AU8" s="24" t="inlineStr">
        <is>
          <t>Volticons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229baf64b9a74bdaa3fee70ecd0bde2986f6e2d651a8f5efad46c765670e1ff3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229baf64b9a74bdaa3fee70ecd0bde2986f6e2d651a8f5efad46c765670e1ff3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2026-08-01T20:32:29.680102Z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2026-08-01T20:32:34Z</dcterms:created>
  <dcterms:modified xsi:type="dcterms:W3CDTF">2026-08-01T20:32:34Z</dcterms:modified>
</cp:coreProperties>
</file>