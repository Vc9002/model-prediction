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37" headerRowCount="1">
  <autoFilter ref="A1:CO37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COUNTA('Picks'!$A$2:$A$37)</f>
        <v/>
      </c>
      <c r="C4" s="6">
        <f>COUNTIF('Picks'!$U$2:$U$37,"open")</f>
        <v/>
      </c>
      <c r="E4" s="6">
        <f>COUNTIF('Picks'!$U$2:$U$37,"settled")</f>
        <v/>
      </c>
      <c r="G4" s="6">
        <f>IF(COUNTIFS('Picks'!$U$2:$U$37,"settled",'Picks'!$V$2:$V$37,"win")+COUNTIFS('Picks'!$U$2:$U$37,"settled",'Picks'!$V$2:$V$37,"loss")&gt;=$L$2,"Ready","Insufficient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COUNTIF('Picks'!$BX$2:$BX$37,"&gt;0")</f>
        <v/>
      </c>
      <c r="C7" s="6">
        <f>COUNTIFS('Picks'!$BX$2:$BX$37,"&gt;0",'Picks'!$V$2:$V$37,"win")&amp;"-"&amp;COUNTIFS('Picks'!$BX$2:$BX$37,"&gt;0",'Picks'!$V$2:$V$37,"loss")</f>
        <v/>
      </c>
      <c r="E7" s="7">
        <f>IFERROR(COUNTIFS('Picks'!$BX$2:$BX$37,"&gt;0",'Picks'!$V$2:$V$37,"win")/(COUNTIFS('Picks'!$BX$2:$BX$37,"&gt;0",'Picks'!$V$2:$V$37,"win")+COUNTIFS('Picks'!$BX$2:$BX$37,"&gt;0",'Picks'!$V$2:$V$37,"loss")),0)</f>
        <v/>
      </c>
      <c r="G7" s="7">
        <f>IFERROR(SUM('Picks'!$BY$2:$BY$37)/SUM('Picks'!$BX$2:$BX$37),0)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SUM('Picks'!$BY$2:$BY$37)</f>
        <v/>
      </c>
      <c r="C10" s="9">
        <f>IFERROR(AVERAGEIF('Picks'!$AB$2:$AB$37,"&lt;&gt;",'Picks'!$AB$2:$AB$37),0)</f>
        <v/>
      </c>
      <c r="E10" s="6">
        <f>COUNTIFS('Picks'!$AM$2:$AM$37,"QUALIFIED_SHADOW_CALL",'Picks'!$U$2:$U$37,"settled")</f>
        <v/>
      </c>
      <c r="G10" s="8">
        <f>SUMIFS('Picks'!$AC$2:$AC$37,'Picks'!$AM$2:$AM$37,"QUALIFIED_SHADOW_CALL")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COUNTIFS('Picks'!$H$2:$H$37,$A14,'Picks'!$U$2:$U$37,"settled")</f>
        <v/>
      </c>
      <c r="C14" s="13">
        <f>COUNTIFS('Picks'!$H$2:$H$37,$A14,'Picks'!$U$2:$U$37,"settled",'Picks'!$V$2:$V$37,"win")</f>
        <v/>
      </c>
      <c r="D14" s="13">
        <f>COUNTIFS('Picks'!$H$2:$H$37,$A14,'Picks'!$U$2:$U$37,"settled",'Picks'!$V$2:$V$37,"loss")</f>
        <v/>
      </c>
      <c r="E14" s="14">
        <f>IFERROR(C14/(C14+D14),0)</f>
        <v/>
      </c>
      <c r="F14" s="15">
        <f>SUMIFS('Picks'!$BY$2:$BY$37,'Picks'!$H$2:$H$37,$A14)</f>
        <v/>
      </c>
      <c r="G14" s="16">
        <f>IFERROR(AVERAGEIFS('Picks'!$AB$2:$AB$37,'Picks'!$H$2:$H$37,$A14,'Picks'!$U$2:$U$37,"settled"),0)</f>
        <v/>
      </c>
    </row>
    <row r="15">
      <c r="A15" s="17" t="inlineStr">
        <is>
          <t>spread</t>
        </is>
      </c>
      <c r="B15" s="18">
        <f>COUNTIFS('Picks'!$H$2:$H$37,$A15,'Picks'!$U$2:$U$37,"settled")</f>
        <v/>
      </c>
      <c r="C15" s="18">
        <f>COUNTIFS('Picks'!$H$2:$H$37,$A15,'Picks'!$U$2:$U$37,"settled",'Picks'!$V$2:$V$37,"win")</f>
        <v/>
      </c>
      <c r="D15" s="18">
        <f>COUNTIFS('Picks'!$H$2:$H$37,$A15,'Picks'!$U$2:$U$37,"settled",'Picks'!$V$2:$V$37,"loss")</f>
        <v/>
      </c>
      <c r="E15" s="19">
        <f>IFERROR(C15/(C15+D15),0)</f>
        <v/>
      </c>
      <c r="F15" s="20">
        <f>SUMIFS('Picks'!$BY$2:$BY$37,'Picks'!$H$2:$H$37,$A15)</f>
        <v/>
      </c>
      <c r="G15" s="21">
        <f>IFERROR(AVERAGEIFS('Picks'!$AB$2:$AB$37,'Picks'!$H$2:$H$37,$A15,'Picks'!$U$2:$U$37,"settled"),0)</f>
        <v/>
      </c>
    </row>
    <row r="16">
      <c r="A16" s="12" t="inlineStr">
        <is>
          <t>total</t>
        </is>
      </c>
      <c r="B16" s="13">
        <f>COUNTIFS('Picks'!$H$2:$H$37,$A16,'Picks'!$U$2:$U$37,"settled")</f>
        <v/>
      </c>
      <c r="C16" s="13">
        <f>COUNTIFS('Picks'!$H$2:$H$37,$A16,'Picks'!$U$2:$U$37,"settled",'Picks'!$V$2:$V$37,"win")</f>
        <v/>
      </c>
      <c r="D16" s="13">
        <f>COUNTIFS('Picks'!$H$2:$H$37,$A16,'Picks'!$U$2:$U$37,"settled",'Picks'!$V$2:$V$37,"loss")</f>
        <v/>
      </c>
      <c r="E16" s="14">
        <f>IFERROR(C16/(C16+D16),0)</f>
        <v/>
      </c>
      <c r="F16" s="15">
        <f>SUMIFS('Picks'!$BY$2:$BY$37,'Picks'!$H$2:$H$37,$A16)</f>
        <v/>
      </c>
      <c r="G16" s="16">
        <f>IFERROR(AVERAGEIFS('Picks'!$AB$2:$AB$37,'Picks'!$H$2:$H$37,$A16,'Picks'!$U$2:$U$37,"settled"),0)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635c46b99f6e4aee</t>
        </is>
      </c>
      <c r="B2" s="24" t="inlineStr">
        <is>
          <t>2026-07-25T16:16:17.517287Z</t>
        </is>
      </c>
      <c r="C2" s="24" t="inlineStr">
        <is>
          <t>2026-07-25T17:00:00Z</t>
        </is>
      </c>
      <c r="D2" s="24" t="inlineStr">
        <is>
          <t>59392</t>
        </is>
      </c>
      <c r="E2" s="24" t="inlineStr">
        <is>
          <t>LOL</t>
        </is>
      </c>
      <c r="F2" s="24" t="inlineStr">
        <is>
          <t>Movistar KOI</t>
        </is>
      </c>
      <c r="G2" s="24" t="inlineStr">
        <is>
          <t>Karmine Corp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-203</v>
      </c>
      <c r="M2" s="27" t="n">
        <v>1.492611</v>
      </c>
      <c r="N2" s="28" t="n">
        <v>0.669967</v>
      </c>
      <c r="O2" s="28" t="n">
        <v>0.761127</v>
      </c>
      <c r="P2" s="28" t="n"/>
      <c r="Q2" s="28" t="n">
        <v>0.09116</v>
      </c>
      <c r="R2" s="26" t="n">
        <v>66</v>
      </c>
      <c r="S2" s="29" t="n">
        <v>2</v>
      </c>
      <c r="T2" s="24" t="inlineStr">
        <is>
          <t>lol-tiered-elo-v4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0.9852</v>
      </c>
      <c r="AD2" s="24" t="inlineStr">
        <is>
          <t>2026-07-25T19:18:15.146692Z</t>
        </is>
      </c>
      <c r="AE2" s="31" t="inlineStr">
        <is>
          <t>Neutral Elo baseline; executable ask 0.6700 (market_slug=aec-lol-kc-mkoi-2026-07-25).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Movistar KOI</t>
        </is>
      </c>
      <c r="AQ2" s="24" t="inlineStr">
        <is>
          <t>Movistar KOI</t>
        </is>
      </c>
      <c r="AR2" s="24" t="inlineStr">
        <is>
          <t>Movistar KOI</t>
        </is>
      </c>
      <c r="AS2" s="24" t="inlineStr">
        <is>
          <t>Karmine Corp</t>
        </is>
      </c>
      <c r="AT2" s="24" t="inlineStr">
        <is>
          <t>Karmine Corp</t>
        </is>
      </c>
      <c r="AU2" s="24" t="inlineStr">
        <is>
          <t>Karmine Corp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35087e828a0053011a97024de693e2ee7eb80eb03024c91d28d254de09d93778</t>
        </is>
      </c>
      <c r="BB2" s="24" t="inlineStr">
        <is>
          <t>neutral_elo</t>
        </is>
      </c>
      <c r="BC2" s="24" t="inlineStr">
        <is>
          <t>lol-tiered-elo-v4</t>
        </is>
      </c>
      <c r="BD2" s="24" t="inlineStr">
        <is>
          <t>35087e828a0053011a97024de693e2ee7eb80eb03024c91d28d254de09d93778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lol-tiered-elo-v4</t>
        </is>
      </c>
      <c r="BH2" s="24" t="inlineStr">
        <is>
          <t>2026-07-25T16:16:06.872882Z</t>
        </is>
      </c>
      <c r="BI2" s="24" t="inlineStr">
        <is>
          <t>["same_event","same_team_same_day","same_league_same_day"]</t>
        </is>
      </c>
      <c r="BJ2" s="25" t="n"/>
      <c r="BK2" s="26" t="n">
        <v>-203</v>
      </c>
      <c r="BL2" s="27" t="n">
        <v>1.492611</v>
      </c>
      <c r="BM2" s="28" t="n">
        <v>0.669967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46dc1bd359354ed3</t>
        </is>
      </c>
      <c r="B3" s="24" t="inlineStr">
        <is>
          <t>2026-07-26T12:49:32.359065Z</t>
        </is>
      </c>
      <c r="C3" s="24" t="inlineStr">
        <is>
          <t>2026-07-26T13:00:00Z</t>
        </is>
      </c>
      <c r="D3" s="24" t="inlineStr">
        <is>
          <t>60120</t>
        </is>
      </c>
      <c r="E3" s="24" t="inlineStr">
        <is>
          <t>LOL</t>
        </is>
      </c>
      <c r="F3" s="24" t="inlineStr">
        <is>
          <t>Team High Ground</t>
        </is>
      </c>
      <c r="G3" s="24" t="inlineStr">
        <is>
          <t>Galions Sharks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144</v>
      </c>
      <c r="M3" s="27" t="n">
        <v>2.44</v>
      </c>
      <c r="N3" s="28" t="n">
        <v>0.409836</v>
      </c>
      <c r="O3" s="28" t="n">
        <v>0.5456</v>
      </c>
      <c r="P3" s="28" t="n"/>
      <c r="Q3" s="28" t="n">
        <v>0.135764</v>
      </c>
      <c r="R3" s="26" t="n">
        <v>88</v>
      </c>
      <c r="S3" s="29" t="n">
        <v>1</v>
      </c>
      <c r="T3" s="24" t="inlineStr">
        <is>
          <t>lol-tiered-elo-v4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-1</v>
      </c>
      <c r="AD3" s="24" t="inlineStr">
        <is>
          <t>2026-07-26T17:52:57.201845Z</t>
        </is>
      </c>
      <c r="AE3" s="31" t="inlineStr">
        <is>
          <t>Neutral Elo baseline; executable ask 0.4100 (market_slug=aec-lol-gls-thg-2026-07-26).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Team High Ground</t>
        </is>
      </c>
      <c r="AQ3" s="24" t="inlineStr">
        <is>
          <t>Team High Ground</t>
        </is>
      </c>
      <c r="AR3" s="24" t="inlineStr">
        <is>
          <t>Team High Ground</t>
        </is>
      </c>
      <c r="AS3" s="24" t="inlineStr">
        <is>
          <t>Galions Sharks</t>
        </is>
      </c>
      <c r="AT3" s="24" t="inlineStr">
        <is>
          <t>Galions Sharks</t>
        </is>
      </c>
      <c r="AU3" s="24" t="inlineStr">
        <is>
          <t>Galions Sharks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35087e828a0053011a97024de693e2ee7eb80eb03024c91d28d254de09d93778</t>
        </is>
      </c>
      <c r="BB3" s="24" t="inlineStr">
        <is>
          <t>neutral_elo</t>
        </is>
      </c>
      <c r="BC3" s="24" t="inlineStr">
        <is>
          <t>lol-tiered-elo-v4</t>
        </is>
      </c>
      <c r="BD3" s="24" t="inlineStr">
        <is>
          <t>35087e828a0053011a97024de693e2ee7eb80eb03024c91d28d254de09d93778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lol-tiered-elo-v4</t>
        </is>
      </c>
      <c r="BH3" s="24" t="inlineStr">
        <is>
          <t>2026-07-26T12:49:10.049609Z</t>
        </is>
      </c>
      <c r="BI3" s="24" t="inlineStr">
        <is>
          <t>["same_event","same_team_same_day","same_league_same_day"]</t>
        </is>
      </c>
      <c r="BJ3" s="25" t="n"/>
      <c r="BK3" s="26" t="n">
        <v>144</v>
      </c>
      <c r="BL3" s="27" t="n">
        <v>2.44</v>
      </c>
      <c r="BM3" s="28" t="n">
        <v>0.409836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7015fea8b1eb49d6</t>
        </is>
      </c>
      <c r="B4" s="24" t="inlineStr">
        <is>
          <t>2026-07-26T12:49:32.359065Z</t>
        </is>
      </c>
      <c r="C4" s="24" t="inlineStr">
        <is>
          <t>2026-07-26T17:00:00Z</t>
        </is>
      </c>
      <c r="D4" s="24" t="inlineStr">
        <is>
          <t>60180</t>
        </is>
      </c>
      <c r="E4" s="24" t="inlineStr">
        <is>
          <t>LOL</t>
        </is>
      </c>
      <c r="F4" s="24" t="inlineStr">
        <is>
          <t>Karmine Corp</t>
        </is>
      </c>
      <c r="G4" s="24" t="inlineStr">
        <is>
          <t>G2 Esports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0.621842</v>
      </c>
      <c r="P4" s="28" t="n"/>
      <c r="Q4" s="28" t="n">
        <v>0.221842</v>
      </c>
      <c r="R4" s="26" t="n">
        <v>100</v>
      </c>
      <c r="S4" s="29" t="n">
        <v>1.75</v>
      </c>
      <c r="T4" s="24" t="inlineStr">
        <is>
          <t>lol-tiered-elo-v4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2.625</v>
      </c>
      <c r="AD4" s="24" t="inlineStr">
        <is>
          <t>2026-07-27T01:52:07.189795Z</t>
        </is>
      </c>
      <c r="AE4" s="31" t="inlineStr">
        <is>
          <t>Neutral Elo baseline; executable ask 0.4000 (market_slug=aec-lol-g2-kc-2026-07-26).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Karmine Corp</t>
        </is>
      </c>
      <c r="AQ4" s="24" t="inlineStr">
        <is>
          <t>Karmine Corp</t>
        </is>
      </c>
      <c r="AR4" s="24" t="inlineStr">
        <is>
          <t>Karmine Corp</t>
        </is>
      </c>
      <c r="AS4" s="24" t="inlineStr">
        <is>
          <t>G2 Esports</t>
        </is>
      </c>
      <c r="AT4" s="24" t="inlineStr">
        <is>
          <t>G2 Esports</t>
        </is>
      </c>
      <c r="AU4" s="24" t="inlineStr">
        <is>
          <t>G2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35087e828a0053011a97024de693e2ee7eb80eb03024c91d28d254de09d93778</t>
        </is>
      </c>
      <c r="BB4" s="24" t="inlineStr">
        <is>
          <t>neutral_elo</t>
        </is>
      </c>
      <c r="BC4" s="24" t="inlineStr">
        <is>
          <t>lol-tiered-elo-v4</t>
        </is>
      </c>
      <c r="BD4" s="24" t="inlineStr">
        <is>
          <t>35087e828a0053011a97024de693e2ee7eb80eb03024c91d28d254de09d93778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lol-tiered-elo-v4</t>
        </is>
      </c>
      <c r="BH4" s="24" t="inlineStr">
        <is>
          <t>2026-07-26T12:49:13.248928Z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3def3110a6224ef6</t>
        </is>
      </c>
      <c r="B5" s="24" t="inlineStr">
        <is>
          <t>2026-07-26T19:32:06.087195Z</t>
        </is>
      </c>
      <c r="C5" s="24" t="inlineStr">
        <is>
          <t>2026-07-26T20:00:00Z</t>
        </is>
      </c>
      <c r="D5" s="24" t="inlineStr">
        <is>
          <t>60465</t>
        </is>
      </c>
      <c r="E5" s="24" t="inlineStr">
        <is>
          <t>LOL</t>
        </is>
      </c>
      <c r="F5" s="24" t="inlineStr">
        <is>
          <t>Cloud9</t>
        </is>
      </c>
      <c r="G5" s="24" t="inlineStr">
        <is>
          <t>Team Liquid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-144</v>
      </c>
      <c r="M5" s="27" t="n">
        <v>1.694444</v>
      </c>
      <c r="N5" s="28" t="n">
        <v>0.590164</v>
      </c>
      <c r="O5" s="28" t="n">
        <v>0.723066</v>
      </c>
      <c r="P5" s="28" t="n"/>
      <c r="Q5" s="28" t="n">
        <v>0.132902</v>
      </c>
      <c r="R5" s="26" t="n">
        <v>86</v>
      </c>
      <c r="S5" s="29" t="n">
        <v>2</v>
      </c>
      <c r="T5" s="24" t="inlineStr">
        <is>
          <t>lol-tiered-elo-v4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1.3889</v>
      </c>
      <c r="AD5" s="24" t="inlineStr">
        <is>
          <t>2026-07-27T01:52:14.005524Z</t>
        </is>
      </c>
      <c r="AE5" s="31" t="inlineStr">
        <is>
          <t>Neutral Elo baseline; executable ask 0.5900 (market_slug=aec-lol-tl-c9-2026-07-26).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Cloud9</t>
        </is>
      </c>
      <c r="AQ5" s="24" t="inlineStr">
        <is>
          <t>Cloud9</t>
        </is>
      </c>
      <c r="AR5" s="24" t="inlineStr">
        <is>
          <t>Cloud9</t>
        </is>
      </c>
      <c r="AS5" s="24" t="inlineStr">
        <is>
          <t>Team Liquid</t>
        </is>
      </c>
      <c r="AT5" s="24" t="inlineStr">
        <is>
          <t>Team Liquid</t>
        </is>
      </c>
      <c r="AU5" s="24" t="inlineStr">
        <is>
          <t>Team Liquid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35087e828a0053011a97024de693e2ee7eb80eb03024c91d28d254de09d93778</t>
        </is>
      </c>
      <c r="BB5" s="24" t="inlineStr">
        <is>
          <t>neutral_elo</t>
        </is>
      </c>
      <c r="BC5" s="24" t="inlineStr">
        <is>
          <t>lol-tiered-elo-v4</t>
        </is>
      </c>
      <c r="BD5" s="24" t="inlineStr">
        <is>
          <t>35087e828a0053011a97024de693e2ee7eb80eb03024c91d28d254de09d93778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lol-tiered-elo-v4</t>
        </is>
      </c>
      <c r="BH5" s="24" t="inlineStr">
        <is>
          <t>2026-07-26T19:31:54.450139Z</t>
        </is>
      </c>
      <c r="BI5" s="24" t="inlineStr">
        <is>
          <t>["same_event","same_team_same_day","same_league_same_day"]</t>
        </is>
      </c>
      <c r="BJ5" s="25" t="n"/>
      <c r="BK5" s="26" t="n">
        <v>-144</v>
      </c>
      <c r="BL5" s="27" t="n">
        <v>1.694444</v>
      </c>
      <c r="BM5" s="28" t="n">
        <v>0.590164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0472512025f74cf2</t>
        </is>
      </c>
      <c r="B6" s="24" t="inlineStr">
        <is>
          <t>2026-07-27T17:37:52.168845Z</t>
        </is>
      </c>
      <c r="C6" s="24" t="inlineStr">
        <is>
          <t>2026-07-27T18:00:00Z</t>
        </is>
      </c>
      <c r="D6" s="24" t="inlineStr">
        <is>
          <t>60818</t>
        </is>
      </c>
      <c r="E6" s="24" t="inlineStr">
        <is>
          <t>LOL</t>
        </is>
      </c>
      <c r="F6" s="24" t="inlineStr">
        <is>
          <t>Bulldog Esports</t>
        </is>
      </c>
      <c r="G6" s="24" t="inlineStr">
        <is>
          <t>Arctic Pandas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0.596094</v>
      </c>
      <c r="P6" s="28" t="n"/>
      <c r="Q6" s="28" t="n">
        <v>0.08629000000000001</v>
      </c>
      <c r="R6" s="26" t="n">
        <v>63</v>
      </c>
      <c r="S6" s="29" t="n">
        <v>1.5</v>
      </c>
      <c r="T6" s="24" t="inlineStr">
        <is>
          <t>lol-tiered-elo-v4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-1.5</v>
      </c>
      <c r="AD6" s="24" t="inlineStr">
        <is>
          <t>2026-07-27T19:47:37.962153Z</t>
        </is>
      </c>
      <c r="AE6" s="31" t="inlineStr">
        <is>
          <t>Neutral Elo baseline; executable ask 0.5100 (market_slug=aec-lol-ap-bld-2026-07-27).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Bulldog Esports</t>
        </is>
      </c>
      <c r="AQ6" s="24" t="inlineStr">
        <is>
          <t>Bulldog Esports</t>
        </is>
      </c>
      <c r="AR6" s="24" t="inlineStr">
        <is>
          <t>Bulldog Esports</t>
        </is>
      </c>
      <c r="AS6" s="24" t="inlineStr">
        <is>
          <t>Arctic Pandas</t>
        </is>
      </c>
      <c r="AT6" s="24" t="inlineStr">
        <is>
          <t>Arctic Pandas</t>
        </is>
      </c>
      <c r="AU6" s="24" t="inlineStr">
        <is>
          <t>Arctic Pandas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181f161eadbc9c7936d57f0cb930b26b3363dbf664c19f1b39e954282aa7d3a8</t>
        </is>
      </c>
      <c r="BB6" s="24" t="inlineStr">
        <is>
          <t>neutral_elo</t>
        </is>
      </c>
      <c r="BC6" s="24" t="inlineStr">
        <is>
          <t>lol-tiered-elo-v4</t>
        </is>
      </c>
      <c r="BD6" s="24" t="inlineStr">
        <is>
          <t>181f161eadbc9c7936d57f0cb930b26b3363dbf664c19f1b39e954282aa7d3a8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lol-tiered-elo-v4</t>
        </is>
      </c>
      <c r="BH6" s="24" t="inlineStr">
        <is>
          <t>2026-07-27T17:37:32.913782Z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24b53e6e44c343dd</t>
        </is>
      </c>
      <c r="B7" s="24" t="inlineStr">
        <is>
          <t>2026-07-27T19:51:04.764967Z</t>
        </is>
      </c>
      <c r="C7" s="24" t="inlineStr">
        <is>
          <t>2026-07-27T21:00:00Z</t>
        </is>
      </c>
      <c r="D7" s="24" t="inlineStr">
        <is>
          <t>61044</t>
        </is>
      </c>
      <c r="E7" s="24" t="inlineStr">
        <is>
          <t>LOL</t>
        </is>
      </c>
      <c r="F7" s="24" t="inlineStr">
        <is>
          <t>Ei Nerd Esports</t>
        </is>
      </c>
      <c r="G7" s="24" t="inlineStr">
        <is>
          <t>paiN Gaming Academy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-178</v>
      </c>
      <c r="M7" s="27" t="n">
        <v>1.561798</v>
      </c>
      <c r="N7" s="28" t="n">
        <v>0.640288</v>
      </c>
      <c r="O7" s="28" t="n">
        <v>0.654099</v>
      </c>
      <c r="P7" s="28" t="n"/>
      <c r="Q7" s="28" t="n">
        <v>0.013811</v>
      </c>
      <c r="R7" s="26" t="n">
        <v>27</v>
      </c>
      <c r="S7" s="29" t="n">
        <v>2</v>
      </c>
      <c r="T7" s="24" t="inlineStr">
        <is>
          <t>lol-tiered-elo-v4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1.1236</v>
      </c>
      <c r="AD7" s="24" t="inlineStr">
        <is>
          <t>2026-07-27T22:52:07.555566Z</t>
        </is>
      </c>
      <c r="AE7" s="31" t="inlineStr">
        <is>
          <t>Neutral Elo baseline; executable ask 0.6400 (market_slug=aec-lol-pnga-nerd-2026-07-27).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Ei Nerd Esports</t>
        </is>
      </c>
      <c r="AQ7" s="24" t="inlineStr">
        <is>
          <t>Ei Nerd Esports</t>
        </is>
      </c>
      <c r="AR7" s="24" t="inlineStr">
        <is>
          <t>Ei Nerd Esports</t>
        </is>
      </c>
      <c r="AS7" s="24" t="inlineStr">
        <is>
          <t>paiN Gaming Academy</t>
        </is>
      </c>
      <c r="AT7" s="24" t="inlineStr">
        <is>
          <t>paiN Gaming Academy</t>
        </is>
      </c>
      <c r="AU7" s="24" t="inlineStr">
        <is>
          <t>paiN Gaming Academy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a1ec01e655fe8c74e1a10624d033e1ed3a28f75c65521824090c359f6c375c81</t>
        </is>
      </c>
      <c r="BB7" s="24" t="inlineStr">
        <is>
          <t>neutral_elo</t>
        </is>
      </c>
      <c r="BC7" s="24" t="inlineStr">
        <is>
          <t>lol-tiered-elo-v4</t>
        </is>
      </c>
      <c r="BD7" s="24" t="inlineStr">
        <is>
          <t>a1ec01e655fe8c74e1a10624d033e1ed3a28f75c65521824090c359f6c375c81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lol-tiered-elo-v4</t>
        </is>
      </c>
      <c r="BH7" s="24" t="inlineStr">
        <is>
          <t>2026-07-27T19:50:48.466474Z</t>
        </is>
      </c>
      <c r="BI7" s="24" t="inlineStr">
        <is>
          <t>["same_event","same_team_same_day","same_league_same_day"]</t>
        </is>
      </c>
      <c r="BJ7" s="25" t="n"/>
      <c r="BK7" s="26" t="n">
        <v>-178</v>
      </c>
      <c r="BL7" s="27" t="n">
        <v>1.561798</v>
      </c>
      <c r="BM7" s="28" t="n">
        <v>0.640288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488d777722074f1d</t>
        </is>
      </c>
      <c r="B8" s="24" t="inlineStr">
        <is>
          <t>2026-07-28T05:05:19.448075Z</t>
        </is>
      </c>
      <c r="C8" s="24" t="inlineStr">
        <is>
          <t>2026-07-28T08:00:00Z</t>
        </is>
      </c>
      <c r="D8" s="24" t="inlineStr">
        <is>
          <t>61376</t>
        </is>
      </c>
      <c r="E8" s="24" t="inlineStr">
        <is>
          <t>LOL</t>
        </is>
      </c>
      <c r="F8" s="24" t="inlineStr">
        <is>
          <t>HANJIN BRION Challengers</t>
        </is>
      </c>
      <c r="G8" s="24" t="inlineStr">
        <is>
          <t>Hanwha Life Esports Challengers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-178</v>
      </c>
      <c r="M8" s="27" t="n">
        <v>1.561798</v>
      </c>
      <c r="N8" s="28" t="n">
        <v>0.640288</v>
      </c>
      <c r="O8" s="28" t="n">
        <v>0.6502599999999999</v>
      </c>
      <c r="P8" s="28" t="n"/>
      <c r="Q8" s="28" t="n">
        <v>0.009972</v>
      </c>
      <c r="R8" s="26" t="n">
        <v>25</v>
      </c>
      <c r="S8" s="29" t="n">
        <v>2</v>
      </c>
      <c r="T8" s="24" t="inlineStr">
        <is>
          <t>lol-tiered-elo-v4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-2</v>
      </c>
      <c r="AD8" s="24" t="inlineStr">
        <is>
          <t>2026-07-28T11:12:46.133762Z</t>
        </is>
      </c>
      <c r="AE8" s="31" t="inlineStr">
        <is>
          <t>Neutral Elo baseline; executable ask 0.6400 (market_slug=aec-lol-hlec-hbc-2026-07-28).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HANJIN BRION Challengers</t>
        </is>
      </c>
      <c r="AQ8" s="24" t="inlineStr">
        <is>
          <t>HANJIN BRION Challengers</t>
        </is>
      </c>
      <c r="AR8" s="24" t="inlineStr">
        <is>
          <t>HANJIN BRION Challengers</t>
        </is>
      </c>
      <c r="AS8" s="24" t="inlineStr">
        <is>
          <t>Hanwha Life Esports Challengers</t>
        </is>
      </c>
      <c r="AT8" s="24" t="inlineStr">
        <is>
          <t>Hanwha Life Esports Challengers</t>
        </is>
      </c>
      <c r="AU8" s="24" t="inlineStr">
        <is>
          <t>Hanwha Life Esports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9a599be054d1f2f2548e59017ab201f151d7f9e118fd5b364d64e4e515bcc72a</t>
        </is>
      </c>
      <c r="BB8" s="24" t="inlineStr">
        <is>
          <t>neutral_elo</t>
        </is>
      </c>
      <c r="BC8" s="24" t="inlineStr">
        <is>
          <t>lol-tiered-elo-v4</t>
        </is>
      </c>
      <c r="BD8" s="24" t="inlineStr">
        <is>
          <t>9a599be054d1f2f2548e59017ab201f151d7f9e118fd5b364d64e4e515bcc72a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lol-tiered-elo-v4</t>
        </is>
      </c>
      <c r="BH8" s="24" t="inlineStr">
        <is>
          <t>2026-07-28T05:04:47.620446Z</t>
        </is>
      </c>
      <c r="BI8" s="24" t="inlineStr">
        <is>
          <t>["same_event","same_team_same_day","same_league_same_day"]</t>
        </is>
      </c>
      <c r="BJ8" s="25" t="n"/>
      <c r="BK8" s="26" t="n">
        <v>-178</v>
      </c>
      <c r="BL8" s="27" t="n">
        <v>1.561798</v>
      </c>
      <c r="BM8" s="28" t="n">
        <v>0.640288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10e16627bdcf4d3b</t>
        </is>
      </c>
      <c r="B9" s="24" t="inlineStr">
        <is>
          <t>2026-07-28T08:11:25.230149Z</t>
        </is>
      </c>
      <c r="C9" s="24" t="inlineStr">
        <is>
          <t>2026-07-28T10:00:00Z</t>
        </is>
      </c>
      <c r="D9" s="24" t="inlineStr">
        <is>
          <t>61400</t>
        </is>
      </c>
      <c r="E9" s="24" t="inlineStr">
        <is>
          <t>LOL</t>
        </is>
      </c>
      <c r="F9" s="24" t="inlineStr">
        <is>
          <t>Dplus KIA Challengers</t>
        </is>
      </c>
      <c r="G9" s="24" t="inlineStr">
        <is>
          <t>KT Rolster Challengers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113</v>
      </c>
      <c r="M9" s="27" t="n">
        <v>2.13</v>
      </c>
      <c r="N9" s="28" t="n">
        <v>0.469484</v>
      </c>
      <c r="O9" s="28" t="n">
        <v>0.659678</v>
      </c>
      <c r="P9" s="28" t="n"/>
      <c r="Q9" s="28" t="n">
        <v>0.190194</v>
      </c>
      <c r="R9" s="26" t="n">
        <v>100</v>
      </c>
      <c r="S9" s="29" t="n">
        <v>2</v>
      </c>
      <c r="T9" s="24" t="inlineStr">
        <is>
          <t>lol-tiered-elo-v4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2.26</v>
      </c>
      <c r="AD9" s="24" t="inlineStr">
        <is>
          <t>2026-07-28T14:18:51.185275Z</t>
        </is>
      </c>
      <c r="AE9" s="31" t="inlineStr">
        <is>
          <t>Neutral Elo baseline; executable ask 0.4700 (market_slug=aec-lol-ktc-dkc-2026-07-28).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Dplus KIA Challengers</t>
        </is>
      </c>
      <c r="AQ9" s="24" t="inlineStr">
        <is>
          <t>Dplus KIA Challengers</t>
        </is>
      </c>
      <c r="AR9" s="24" t="inlineStr">
        <is>
          <t>Dplus KIA Challengers</t>
        </is>
      </c>
      <c r="AS9" s="24" t="inlineStr">
        <is>
          <t>KT Rolster Challengers</t>
        </is>
      </c>
      <c r="AT9" s="24" t="inlineStr">
        <is>
          <t>KT Rolster Challengers</t>
        </is>
      </c>
      <c r="AU9" s="24" t="inlineStr">
        <is>
          <t>KT Rolster Challengers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f70c60dff382bbc12c8f4c5f7776a2ae9cb7c56547818c66aa81fe255bb5bb7d</t>
        </is>
      </c>
      <c r="BB9" s="24" t="inlineStr">
        <is>
          <t>neutral_elo</t>
        </is>
      </c>
      <c r="BC9" s="24" t="inlineStr">
        <is>
          <t>lol-tiered-elo-v4</t>
        </is>
      </c>
      <c r="BD9" s="24" t="inlineStr">
        <is>
          <t>f70c60dff382bbc12c8f4c5f7776a2ae9cb7c56547818c66aa81fe255bb5bb7d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lol-tiered-elo-v4</t>
        </is>
      </c>
      <c r="BH9" s="24" t="inlineStr">
        <is>
          <t>2026-07-28T08:10:53.411585Z</t>
        </is>
      </c>
      <c r="BI9" s="24" t="inlineStr">
        <is>
          <t>["same_event","same_team_same_day","same_league_same_day"]</t>
        </is>
      </c>
      <c r="BJ9" s="25" t="n"/>
      <c r="BK9" s="26" t="n">
        <v>113</v>
      </c>
      <c r="BL9" s="27" t="n">
        <v>2.13</v>
      </c>
      <c r="BM9" s="28" t="n">
        <v>0.469484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d4ace68e8c6f4e36</t>
        </is>
      </c>
      <c r="B10" s="24" t="inlineStr">
        <is>
          <t>2026-07-28T16:35:07.279987Z</t>
        </is>
      </c>
      <c r="C10" s="24" t="inlineStr">
        <is>
          <t>2026-07-28T17:00:00Z</t>
        </is>
      </c>
      <c r="D10" s="24" t="inlineStr">
        <is>
          <t>61611</t>
        </is>
      </c>
      <c r="E10" s="24" t="inlineStr">
        <is>
          <t>LOL</t>
        </is>
      </c>
      <c r="F10" s="24" t="inlineStr">
        <is>
          <t>Esprit Shōnen</t>
        </is>
      </c>
      <c r="G10" s="24" t="inlineStr">
        <is>
          <t>ZYB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194</v>
      </c>
      <c r="M10" s="27" t="n">
        <v>2.94</v>
      </c>
      <c r="N10" s="28" t="n">
        <v>0.340136</v>
      </c>
      <c r="O10" s="28" t="n">
        <v>0.513798</v>
      </c>
      <c r="P10" s="28" t="n"/>
      <c r="Q10" s="28" t="n">
        <v>0.173662</v>
      </c>
      <c r="R10" s="26" t="n">
        <v>100</v>
      </c>
      <c r="S10" s="29" t="n">
        <v>0.75</v>
      </c>
      <c r="T10" s="24" t="inlineStr">
        <is>
          <t>lol-tiered-elo-v4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-0.75</v>
      </c>
      <c r="AD10" s="24" t="inlineStr">
        <is>
          <t>2026-07-28T20:31:33.364616Z</t>
        </is>
      </c>
      <c r="AE10" s="31" t="inlineStr">
        <is>
          <t>Neutral Elo baseline; executable ask 0.3400 (market_slug=aec-lol-zyb-ess-2026-07-28).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Esprit Shōnen</t>
        </is>
      </c>
      <c r="AQ10" s="24" t="inlineStr">
        <is>
          <t>Esprit Shōnen</t>
        </is>
      </c>
      <c r="AR10" s="24" t="inlineStr">
        <is>
          <t>Esprit Shōnen</t>
        </is>
      </c>
      <c r="AS10" s="24" t="inlineStr">
        <is>
          <t>ZYB Esport</t>
        </is>
      </c>
      <c r="AT10" s="24" t="inlineStr">
        <is>
          <t>ZYB Esport</t>
        </is>
      </c>
      <c r="AU10" s="24" t="inlineStr">
        <is>
          <t>ZYB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74a5af5bf46639ae7286081d768cab75a1c1ed3b6a99ec6b80a7cea74053e951</t>
        </is>
      </c>
      <c r="BB10" s="24" t="inlineStr">
        <is>
          <t>neutral_elo</t>
        </is>
      </c>
      <c r="BC10" s="24" t="inlineStr">
        <is>
          <t>lol-tiered-elo-v4</t>
        </is>
      </c>
      <c r="BD10" s="24" t="inlineStr">
        <is>
          <t>74a5af5bf46639ae7286081d768cab75a1c1ed3b6a99ec6b80a7cea74053e951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lol-tiered-elo-v4</t>
        </is>
      </c>
      <c r="BH10" s="24" t="inlineStr">
        <is>
          <t>2026-07-28T16:34:40.783646Z</t>
        </is>
      </c>
      <c r="BI10" s="24" t="inlineStr">
        <is>
          <t>["same_event","same_team_same_day","same_league_same_day"]</t>
        </is>
      </c>
      <c r="BJ10" s="25" t="n"/>
      <c r="BK10" s="26" t="n">
        <v>194</v>
      </c>
      <c r="BL10" s="27" t="n">
        <v>2.94</v>
      </c>
      <c r="BM10" s="28" t="n">
        <v>0.340136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e71716f563e14979</t>
        </is>
      </c>
      <c r="B11" s="24" t="inlineStr">
        <is>
          <t>2026-07-28T17:29:53.885043Z</t>
        </is>
      </c>
      <c r="C11" s="24" t="inlineStr">
        <is>
          <t>2026-07-28T18:30:00Z</t>
        </is>
      </c>
      <c r="D11" s="24" t="inlineStr">
        <is>
          <t>61810</t>
        </is>
      </c>
      <c r="E11" s="24" t="inlineStr">
        <is>
          <t>LOL</t>
        </is>
      </c>
      <c r="F11" s="24" t="inlineStr">
        <is>
          <t>Pyramid IV Esports</t>
        </is>
      </c>
      <c r="G11" s="24" t="inlineStr">
        <is>
          <t>One More Esports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-194</v>
      </c>
      <c r="M11" s="27" t="n">
        <v>1.515464</v>
      </c>
      <c r="N11" s="28" t="n">
        <v>0.659864</v>
      </c>
      <c r="O11" s="28" t="n">
        <v>0.665039</v>
      </c>
      <c r="P11" s="28" t="n"/>
      <c r="Q11" s="28" t="n">
        <v>0.005175</v>
      </c>
      <c r="R11" s="26" t="n">
        <v>23</v>
      </c>
      <c r="S11" s="29" t="n">
        <v>2</v>
      </c>
      <c r="T11" s="24" t="inlineStr">
        <is>
          <t>lol-tiered-elo-v4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1.0309</v>
      </c>
      <c r="AD11" s="24" t="inlineStr">
        <is>
          <t>2026-07-28T20:31:34.473196Z</t>
        </is>
      </c>
      <c r="AE11" s="31" t="inlineStr">
        <is>
          <t>Neutral Elo baseline; executable ask 0.6600 (market_slug=aec-lol-one-piv-2026-07-28).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Pyramid IV Esports</t>
        </is>
      </c>
      <c r="AQ11" s="24" t="inlineStr">
        <is>
          <t>Pyramid IV Esports</t>
        </is>
      </c>
      <c r="AR11" s="24" t="inlineStr">
        <is>
          <t>Pyramid IV Esports</t>
        </is>
      </c>
      <c r="AS11" s="24" t="inlineStr">
        <is>
          <t>One More Esports</t>
        </is>
      </c>
      <c r="AT11" s="24" t="inlineStr">
        <is>
          <t>One More Esports</t>
        </is>
      </c>
      <c r="AU11" s="24" t="inlineStr">
        <is>
          <t>One More Esports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6d0c3a7af78df69e418afd83ce19024c6ff8c9299585780de553338ecc64dbde</t>
        </is>
      </c>
      <c r="BB11" s="24" t="inlineStr">
        <is>
          <t>neutral_elo</t>
        </is>
      </c>
      <c r="BC11" s="24" t="inlineStr">
        <is>
          <t>lol-tiered-elo-v4</t>
        </is>
      </c>
      <c r="BD11" s="24" t="inlineStr">
        <is>
          <t>6d0c3a7af78df69e418afd83ce19024c6ff8c9299585780de553338ecc64dbde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lol-tiered-elo-v4</t>
        </is>
      </c>
      <c r="BH11" s="24" t="inlineStr">
        <is>
          <t>2026-07-28T17:29:21.403877Z</t>
        </is>
      </c>
      <c r="BI11" s="24" t="inlineStr">
        <is>
          <t>["same_event","same_team_same_day","same_league_same_day"]</t>
        </is>
      </c>
      <c r="BJ11" s="25" t="n"/>
      <c r="BK11" s="26" t="n">
        <v>-194</v>
      </c>
      <c r="BL11" s="27" t="n">
        <v>1.515464</v>
      </c>
      <c r="BM11" s="28" t="n">
        <v>0.659864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620ed68dd27041a8</t>
        </is>
      </c>
      <c r="B12" s="24" t="inlineStr">
        <is>
          <t>2026-07-28T17:29:53.885043Z</t>
        </is>
      </c>
      <c r="C12" s="24" t="inlineStr">
        <is>
          <t>2026-07-28T19:00:00Z</t>
        </is>
      </c>
      <c r="D12" s="24" t="inlineStr">
        <is>
          <t>63045</t>
        </is>
      </c>
      <c r="E12" s="24" t="inlineStr">
        <is>
          <t>LOL</t>
        </is>
      </c>
      <c r="F12" s="24" t="inlineStr">
        <is>
          <t>GD Esports</t>
        </is>
      </c>
      <c r="G12" s="24" t="inlineStr">
        <is>
          <t>NORTHERNGRADE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127</v>
      </c>
      <c r="M12" s="27" t="n">
        <v>2.27</v>
      </c>
      <c r="N12" s="28" t="n">
        <v>0.440529</v>
      </c>
      <c r="O12" s="28" t="n">
        <v>0.618086</v>
      </c>
      <c r="P12" s="28" t="n"/>
      <c r="Q12" s="28" t="n">
        <v>0.177557</v>
      </c>
      <c r="R12" s="26" t="n">
        <v>100</v>
      </c>
      <c r="S12" s="29" t="n">
        <v>1.75</v>
      </c>
      <c r="T12" s="24" t="inlineStr">
        <is>
          <t>lol-tiered-elo-v4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2.2225</v>
      </c>
      <c r="AD12" s="24" t="inlineStr">
        <is>
          <t>2026-07-28T20:31:35.558657Z</t>
        </is>
      </c>
      <c r="AE12" s="31" t="inlineStr">
        <is>
          <t>Neutral Elo baseline; executable ask 0.4400 (market_slug=aec-lol-nort-gde-2026-07-28).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GD Esports</t>
        </is>
      </c>
      <c r="AQ12" s="24" t="inlineStr">
        <is>
          <t>GD Esports</t>
        </is>
      </c>
      <c r="AR12" s="24" t="inlineStr">
        <is>
          <t>GD Esports</t>
        </is>
      </c>
      <c r="AS12" s="24" t="inlineStr">
        <is>
          <t>NORTHERNGRADE ESPORTS</t>
        </is>
      </c>
      <c r="AT12" s="24" t="inlineStr">
        <is>
          <t>NORTHERNGRADE ESPORTS</t>
        </is>
      </c>
      <c r="AU12" s="24" t="inlineStr">
        <is>
          <t>NORTHERNGRADE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6d0c3a7af78df69e418afd83ce19024c6ff8c9299585780de553338ecc64dbde</t>
        </is>
      </c>
      <c r="BB12" s="24" t="inlineStr">
        <is>
          <t>neutral_elo</t>
        </is>
      </c>
      <c r="BC12" s="24" t="inlineStr">
        <is>
          <t>lol-tiered-elo-v4</t>
        </is>
      </c>
      <c r="BD12" s="24" t="inlineStr">
        <is>
          <t>6d0c3a7af78df69e418afd83ce19024c6ff8c9299585780de553338ecc64dbde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lol-tiered-elo-v4</t>
        </is>
      </c>
      <c r="BH12" s="24" t="inlineStr">
        <is>
          <t>2026-07-28T17:29:22.452664Z</t>
        </is>
      </c>
      <c r="BI12" s="24" t="inlineStr">
        <is>
          <t>["same_event","same_team_same_day","same_league_same_day"]</t>
        </is>
      </c>
      <c r="BJ12" s="25" t="n"/>
      <c r="BK12" s="26" t="n">
        <v>127</v>
      </c>
      <c r="BL12" s="27" t="n">
        <v>2.27</v>
      </c>
      <c r="BM12" s="28" t="n">
        <v>0.440529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95b8a51af6134fba</t>
        </is>
      </c>
      <c r="B13" s="24" t="inlineStr">
        <is>
          <t>2026-07-28T17:29:53.885043Z</t>
        </is>
      </c>
      <c r="C13" s="24" t="inlineStr">
        <is>
          <t>2026-07-28T19:00:00Z</t>
        </is>
      </c>
      <c r="D13" s="24" t="inlineStr">
        <is>
          <t>61851</t>
        </is>
      </c>
      <c r="E13" s="24" t="inlineStr">
        <is>
          <t>LOL</t>
        </is>
      </c>
      <c r="F13" s="24" t="inlineStr">
        <is>
          <t>Vitality.Bee</t>
        </is>
      </c>
      <c r="G13" s="24" t="inlineStr">
        <is>
          <t>Joblife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150</v>
      </c>
      <c r="M13" s="27" t="n">
        <v>2.5</v>
      </c>
      <c r="N13" s="28" t="n">
        <v>0.4</v>
      </c>
      <c r="O13" s="28" t="n">
        <v>0.547972</v>
      </c>
      <c r="P13" s="28" t="n"/>
      <c r="Q13" s="28" t="n">
        <v>0.147972</v>
      </c>
      <c r="R13" s="26" t="n">
        <v>94</v>
      </c>
      <c r="S13" s="29" t="n">
        <v>1</v>
      </c>
      <c r="T13" s="24" t="inlineStr">
        <is>
          <t>lol-tiered-elo-v4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-1</v>
      </c>
      <c r="AD13" s="24" t="inlineStr">
        <is>
          <t>2026-07-28T20:31:36.786403Z</t>
        </is>
      </c>
      <c r="AE13" s="31" t="inlineStr">
        <is>
          <t>Neutral Elo baseline; executable ask 0.4000 (market_slug=aec-lol-jl-vitb-2026-07-28).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Vitality.Bee</t>
        </is>
      </c>
      <c r="AQ13" s="24" t="inlineStr">
        <is>
          <t>Vitality.Bee</t>
        </is>
      </c>
      <c r="AR13" s="24" t="inlineStr">
        <is>
          <t>Vitality.Bee</t>
        </is>
      </c>
      <c r="AS13" s="24" t="inlineStr">
        <is>
          <t>Joblife</t>
        </is>
      </c>
      <c r="AT13" s="24" t="inlineStr">
        <is>
          <t>Joblife</t>
        </is>
      </c>
      <c r="AU13" s="24" t="inlineStr">
        <is>
          <t>Joblife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6d0c3a7af78df69e418afd83ce19024c6ff8c9299585780de553338ecc64dbde</t>
        </is>
      </c>
      <c r="BB13" s="24" t="inlineStr">
        <is>
          <t>neutral_elo</t>
        </is>
      </c>
      <c r="BC13" s="24" t="inlineStr">
        <is>
          <t>lol-tiered-elo-v4</t>
        </is>
      </c>
      <c r="BD13" s="24" t="inlineStr">
        <is>
          <t>6d0c3a7af78df69e418afd83ce19024c6ff8c9299585780de553338ecc64dbde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lol-tiered-elo-v4</t>
        </is>
      </c>
      <c r="BH13" s="24" t="inlineStr">
        <is>
          <t>2026-07-28T17:29:22.971954Z</t>
        </is>
      </c>
      <c r="BI13" s="24" t="inlineStr">
        <is>
          <t>["same_event","same_team_same_day","same_league_same_day"]</t>
        </is>
      </c>
      <c r="BJ13" s="25" t="n"/>
      <c r="BK13" s="26" t="n">
        <v>150</v>
      </c>
      <c r="BL13" s="27" t="n">
        <v>2.5</v>
      </c>
      <c r="BM13" s="28" t="n">
        <v>0.4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52aa5653437940f5</t>
        </is>
      </c>
      <c r="B14" s="24" t="inlineStr">
        <is>
          <t>2026-07-28T17:29:53.885043Z</t>
        </is>
      </c>
      <c r="C14" s="24" t="inlineStr">
        <is>
          <t>2026-07-28T20:00:00Z</t>
        </is>
      </c>
      <c r="D14" s="24" t="inlineStr">
        <is>
          <t>62171</t>
        </is>
      </c>
      <c r="E14" s="24" t="inlineStr">
        <is>
          <t>LOL</t>
        </is>
      </c>
      <c r="F14" s="24" t="inlineStr">
        <is>
          <t>Team Solid</t>
        </is>
      </c>
      <c r="G14" s="24" t="inlineStr">
        <is>
          <t>paiN Gaming Academy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-223</v>
      </c>
      <c r="M14" s="27" t="n">
        <v>1.44843</v>
      </c>
      <c r="N14" s="28" t="n">
        <v>0.690402</v>
      </c>
      <c r="O14" s="28" t="n">
        <v>0.774271</v>
      </c>
      <c r="P14" s="28" t="n"/>
      <c r="Q14" s="28" t="n">
        <v>0.083869</v>
      </c>
      <c r="R14" s="26" t="n">
        <v>62</v>
      </c>
      <c r="S14" s="29" t="n">
        <v>2</v>
      </c>
      <c r="T14" s="24" t="inlineStr">
        <is>
          <t>lol-tiered-elo-v4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-2</v>
      </c>
      <c r="AD14" s="24" t="inlineStr">
        <is>
          <t>2026-07-28T23:37:13.927152Z</t>
        </is>
      </c>
      <c r="AE14" s="31" t="inlineStr">
        <is>
          <t>Neutral Elo baseline; executable ask 0.6900 (market_slug=aec-lol-pnga-tse-2026-07-28).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Team Solid</t>
        </is>
      </c>
      <c r="AQ14" s="24" t="inlineStr">
        <is>
          <t>Team Solid</t>
        </is>
      </c>
      <c r="AR14" s="24" t="inlineStr">
        <is>
          <t>Team Solid</t>
        </is>
      </c>
      <c r="AS14" s="24" t="inlineStr">
        <is>
          <t>paiN Gaming Academy</t>
        </is>
      </c>
      <c r="AT14" s="24" t="inlineStr">
        <is>
          <t>paiN Gaming Academy</t>
        </is>
      </c>
      <c r="AU14" s="24" t="inlineStr">
        <is>
          <t>paiN Gaming Academy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6d0c3a7af78df69e418afd83ce19024c6ff8c9299585780de553338ecc64dbde</t>
        </is>
      </c>
      <c r="BB14" s="24" t="inlineStr">
        <is>
          <t>neutral_elo</t>
        </is>
      </c>
      <c r="BC14" s="24" t="inlineStr">
        <is>
          <t>lol-tiered-elo-v4</t>
        </is>
      </c>
      <c r="BD14" s="24" t="inlineStr">
        <is>
          <t>6d0c3a7af78df69e418afd83ce19024c6ff8c9299585780de553338ecc64dbde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lol-tiered-elo-v4</t>
        </is>
      </c>
      <c r="BH14" s="24" t="inlineStr">
        <is>
          <t>2026-07-28T17:29:23.487478Z</t>
        </is>
      </c>
      <c r="BI14" s="24" t="inlineStr">
        <is>
          <t>["same_event","same_team_same_day","same_league_same_day"]</t>
        </is>
      </c>
      <c r="BJ14" s="25" t="n"/>
      <c r="BK14" s="26" t="n">
        <v>-223</v>
      </c>
      <c r="BL14" s="27" t="n">
        <v>1.44843</v>
      </c>
      <c r="BM14" s="28" t="n">
        <v>0.690402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60e6836e6d8840d0</t>
        </is>
      </c>
      <c r="B15" s="24" t="inlineStr">
        <is>
          <t>2026-07-28T20:36:09.952142Z</t>
        </is>
      </c>
      <c r="C15" s="24" t="inlineStr">
        <is>
          <t>2026-07-28T23:00:00Z</t>
        </is>
      </c>
      <c r="D15" s="24" t="inlineStr">
        <is>
          <t>62314</t>
        </is>
      </c>
      <c r="E15" s="24" t="inlineStr">
        <is>
          <t>LOL</t>
        </is>
      </c>
      <c r="F15" s="24" t="inlineStr">
        <is>
          <t>KaBuM! Ilha das Lendas</t>
        </is>
      </c>
      <c r="G15" s="24" t="inlineStr">
        <is>
          <t>7REX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194</v>
      </c>
      <c r="M15" s="27" t="n">
        <v>2.94</v>
      </c>
      <c r="N15" s="28" t="n">
        <v>0.340136</v>
      </c>
      <c r="O15" s="28" t="n">
        <v>0.51757</v>
      </c>
      <c r="P15" s="28" t="n"/>
      <c r="Q15" s="28" t="n">
        <v>0.177434</v>
      </c>
      <c r="R15" s="26" t="n">
        <v>100</v>
      </c>
      <c r="S15" s="29" t="n">
        <v>0.75</v>
      </c>
      <c r="T15" s="24" t="inlineStr">
        <is>
          <t>lol-tiered-elo-v4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-0.75</v>
      </c>
      <c r="AD15" s="24" t="inlineStr">
        <is>
          <t>2026-07-28T23:37:15.268348Z</t>
        </is>
      </c>
      <c r="AE15" s="31" t="inlineStr">
        <is>
          <t>Neutral Elo baseline; executable ask 0.3400 (market_slug=aec-lol-7rex-kbm-2026-07-28).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KaBuM! Ilha das Lendas</t>
        </is>
      </c>
      <c r="AQ15" s="24" t="inlineStr">
        <is>
          <t>KaBuM! Ilha das Lendas</t>
        </is>
      </c>
      <c r="AR15" s="24" t="inlineStr">
        <is>
          <t>KaBuM! Ilha das Lendas</t>
        </is>
      </c>
      <c r="AS15" s="24" t="inlineStr">
        <is>
          <t>7REX</t>
        </is>
      </c>
      <c r="AT15" s="24" t="inlineStr">
        <is>
          <t>7REX</t>
        </is>
      </c>
      <c r="AU15" s="24" t="inlineStr">
        <is>
          <t>7REX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ca96831d4d0156d686c75e5e8f59ac6f6feb9c94633c5ba148d00eae5d31c0c3</t>
        </is>
      </c>
      <c r="BB15" s="24" t="inlineStr">
        <is>
          <t>neutral_elo</t>
        </is>
      </c>
      <c r="BC15" s="24" t="inlineStr">
        <is>
          <t>lol-tiered-elo-v4</t>
        </is>
      </c>
      <c r="BD15" s="24" t="inlineStr">
        <is>
          <t>ca96831d4d0156d686c75e5e8f59ac6f6feb9c94633c5ba148d00eae5d31c0c3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lol-tiered-elo-v4</t>
        </is>
      </c>
      <c r="BH15" s="24" t="inlineStr">
        <is>
          <t>2026-07-28T20:35:49.039716Z</t>
        </is>
      </c>
      <c r="BI15" s="24" t="inlineStr">
        <is>
          <t>["same_event","same_team_same_day","same_league_same_day"]</t>
        </is>
      </c>
      <c r="BJ15" s="25" t="n"/>
      <c r="BK15" s="26" t="n">
        <v>194</v>
      </c>
      <c r="BL15" s="27" t="n">
        <v>2.94</v>
      </c>
      <c r="BM15" s="28" t="n">
        <v>0.340136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00d9443e356c444d</t>
        </is>
      </c>
      <c r="B16" s="24" t="inlineStr">
        <is>
          <t>2026-07-29T02:44:13.908658Z</t>
        </is>
      </c>
      <c r="C16" s="24" t="inlineStr">
        <is>
          <t>2026-07-29T05:00:00Z</t>
        </is>
      </c>
      <c r="D16" s="24" t="inlineStr">
        <is>
          <t>62490</t>
        </is>
      </c>
      <c r="E16" s="24" t="inlineStr">
        <is>
          <t>LOL</t>
        </is>
      </c>
      <c r="F16" s="24" t="inlineStr">
        <is>
          <t>DN SOOPers Challengers</t>
        </is>
      </c>
      <c r="G16" s="24" t="inlineStr">
        <is>
          <t>Nongshim Esports Academy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144</v>
      </c>
      <c r="M16" s="27" t="n">
        <v>2.44</v>
      </c>
      <c r="N16" s="28" t="n">
        <v>0.409836</v>
      </c>
      <c r="O16" s="28" t="n">
        <v>0.543978</v>
      </c>
      <c r="P16" s="28" t="n"/>
      <c r="Q16" s="28" t="n">
        <v>0.134142</v>
      </c>
      <c r="R16" s="26" t="n">
        <v>87</v>
      </c>
      <c r="S16" s="29" t="n">
        <v>1</v>
      </c>
      <c r="T16" s="24" t="inlineStr">
        <is>
          <t>lol-tiered-elo-v4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-1</v>
      </c>
      <c r="AD16" s="24" t="inlineStr">
        <is>
          <t>2026-07-29T08:51:53.561895Z</t>
        </is>
      </c>
      <c r="AE16" s="31" t="inlineStr">
        <is>
          <t>Neutral Elo baseline; executable ask 0.4100 (market_slug=aec-lol-nsea-dnsc-2026-07-29).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DN SOOPers Challengers</t>
        </is>
      </c>
      <c r="AQ16" s="24" t="inlineStr">
        <is>
          <t>DN SOOPers Challengers</t>
        </is>
      </c>
      <c r="AR16" s="24" t="inlineStr">
        <is>
          <t>DN SOOPers Challengers</t>
        </is>
      </c>
      <c r="AS16" s="24" t="inlineStr">
        <is>
          <t>Nongshim Esports Academy</t>
        </is>
      </c>
      <c r="AT16" s="24" t="inlineStr">
        <is>
          <t>Nongshim Esports Academy</t>
        </is>
      </c>
      <c r="AU16" s="24" t="inlineStr">
        <is>
          <t>Nongshim Esports Academy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95f3613dbfb3114393b75af6d3fac88d9067109e47362829064271715e48ec1c</t>
        </is>
      </c>
      <c r="BB16" s="24" t="inlineStr">
        <is>
          <t>neutral_elo</t>
        </is>
      </c>
      <c r="BC16" s="24" t="inlineStr">
        <is>
          <t>lol-tiered-elo-v4</t>
        </is>
      </c>
      <c r="BD16" s="24" t="inlineStr">
        <is>
          <t>95f3613dbfb3114393b75af6d3fac88d9067109e47362829064271715e48ec1c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lol-tiered-elo-v4</t>
        </is>
      </c>
      <c r="BH16" s="24" t="inlineStr">
        <is>
          <t>2026-07-29T02:43:54.644174Z</t>
        </is>
      </c>
      <c r="BI16" s="24" t="inlineStr">
        <is>
          <t>["same_event","same_team_same_day","same_league_same_day"]</t>
        </is>
      </c>
      <c r="BJ16" s="25" t="n"/>
      <c r="BK16" s="26" t="n">
        <v>144</v>
      </c>
      <c r="BL16" s="27" t="n">
        <v>2.44</v>
      </c>
      <c r="BM16" s="28" t="n">
        <v>0.409836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1b5b478c211044fa</t>
        </is>
      </c>
      <c r="B17" s="24" t="inlineStr">
        <is>
          <t>2026-07-29T15:09:15.415515Z</t>
        </is>
      </c>
      <c r="C17" s="24" t="inlineStr">
        <is>
          <t>2026-07-29T16:00:00Z</t>
        </is>
      </c>
      <c r="D17" s="24" t="inlineStr">
        <is>
          <t>62733</t>
        </is>
      </c>
      <c r="E17" s="24" t="inlineStr">
        <is>
          <t>LOL</t>
        </is>
      </c>
      <c r="F17" s="24" t="inlineStr">
        <is>
          <t>Absolved</t>
        </is>
      </c>
      <c r="G17" s="24" t="inlineStr">
        <is>
          <t>B2U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144</v>
      </c>
      <c r="M17" s="27" t="n">
        <v>2.44</v>
      </c>
      <c r="N17" s="28" t="n">
        <v>0.409836</v>
      </c>
      <c r="O17" s="28" t="n">
        <v>0.523531</v>
      </c>
      <c r="P17" s="28" t="n"/>
      <c r="Q17" s="28" t="n">
        <v>0.113695</v>
      </c>
      <c r="R17" s="26" t="n">
        <v>77</v>
      </c>
      <c r="S17" s="29" t="n">
        <v>0.75</v>
      </c>
      <c r="T17" s="24" t="inlineStr">
        <is>
          <t>lol-tiered-elo-v4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-0.75</v>
      </c>
      <c r="AD17" s="24" t="inlineStr">
        <is>
          <t>2026-07-29T17:49:07.097307Z</t>
        </is>
      </c>
      <c r="AE17" s="31" t="inlineStr">
        <is>
          <t>Neutral Elo baseline; executable ask 0.4100 (market_slug=aec-lol-b2u-abs-2026-07-29).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Absolved</t>
        </is>
      </c>
      <c r="AQ17" s="24" t="inlineStr">
        <is>
          <t>Absolved</t>
        </is>
      </c>
      <c r="AR17" s="24" t="inlineStr">
        <is>
          <t>Absolved</t>
        </is>
      </c>
      <c r="AS17" s="24" t="inlineStr">
        <is>
          <t>B2U</t>
        </is>
      </c>
      <c r="AT17" s="24" t="inlineStr">
        <is>
          <t>B2U</t>
        </is>
      </c>
      <c r="AU17" s="24" t="inlineStr">
        <is>
          <t>B2U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be1d38db8d7bacf5b86ce795a0ed5e44d5c9f7175af7e8ac6c799cd004175803</t>
        </is>
      </c>
      <c r="BB17" s="24" t="inlineStr">
        <is>
          <t>neutral_elo</t>
        </is>
      </c>
      <c r="BC17" s="24" t="inlineStr">
        <is>
          <t>lol-tiered-elo-v4</t>
        </is>
      </c>
      <c r="BD17" s="24" t="inlineStr">
        <is>
          <t>be1d38db8d7bacf5b86ce795a0ed5e44d5c9f7175af7e8ac6c799cd004175803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lol-tiered-elo-v4</t>
        </is>
      </c>
      <c r="BH17" s="24" t="inlineStr">
        <is>
          <t>2026-07-29T15:08:42.947251Z</t>
        </is>
      </c>
      <c r="BI17" s="24" t="inlineStr">
        <is>
          <t>["same_event","same_team_same_day","same_league_same_day"]</t>
        </is>
      </c>
      <c r="BJ17" s="25" t="n"/>
      <c r="BK17" s="26" t="n">
        <v>144</v>
      </c>
      <c r="BL17" s="27" t="n">
        <v>2.44</v>
      </c>
      <c r="BM17" s="28" t="n">
        <v>0.409836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2f325a2de1c04a5d</t>
        </is>
      </c>
      <c r="B18" s="24" t="inlineStr">
        <is>
          <t>2026-07-29T15:09:15.415515Z</t>
        </is>
      </c>
      <c r="C18" s="24" t="inlineStr">
        <is>
          <t>2026-07-29T16:00:00Z</t>
        </is>
      </c>
      <c r="D18" s="24" t="inlineStr">
        <is>
          <t>62730</t>
        </is>
      </c>
      <c r="E18" s="24" t="inlineStr">
        <is>
          <t>LOL</t>
        </is>
      </c>
      <c r="F18" s="24" t="inlineStr">
        <is>
          <t>ZYB Esport</t>
        </is>
      </c>
      <c r="G18" s="24" t="inlineStr">
        <is>
          <t>TLN Pirates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-144</v>
      </c>
      <c r="M18" s="27" t="n">
        <v>1.694444</v>
      </c>
      <c r="N18" s="28" t="n">
        <v>0.590164</v>
      </c>
      <c r="O18" s="28" t="n">
        <v>0.721241</v>
      </c>
      <c r="P18" s="28" t="n"/>
      <c r="Q18" s="28" t="n">
        <v>0.131077</v>
      </c>
      <c r="R18" s="26" t="n">
        <v>86</v>
      </c>
      <c r="S18" s="29" t="n">
        <v>2</v>
      </c>
      <c r="T18" s="24" t="inlineStr">
        <is>
          <t>lol-tiered-elo-v4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/>
      <c r="AA18" s="28" t="n"/>
      <c r="AB18" s="28" t="n"/>
      <c r="AC18" s="30" t="n">
        <v>-2</v>
      </c>
      <c r="AD18" s="24" t="inlineStr">
        <is>
          <t>2026-07-29T17:34:54.080506Z</t>
        </is>
      </c>
      <c r="AE18" s="31" t="inlineStr">
        <is>
          <t>Neutral Elo baseline; executable ask 0.5900 (market_slug=aec-lol-tlnp-zyb-2026-07-29).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ZYB Esport</t>
        </is>
      </c>
      <c r="AQ18" s="24" t="inlineStr">
        <is>
          <t>ZYB Esport</t>
        </is>
      </c>
      <c r="AR18" s="24" t="inlineStr">
        <is>
          <t>ZYB Esport</t>
        </is>
      </c>
      <c r="AS18" s="24" t="inlineStr">
        <is>
          <t>TLN Pirates</t>
        </is>
      </c>
      <c r="AT18" s="24" t="inlineStr">
        <is>
          <t>TLN Pirates</t>
        </is>
      </c>
      <c r="AU18" s="24" t="inlineStr">
        <is>
          <t>TLN Pirates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be1d38db8d7bacf5b86ce795a0ed5e44d5c9f7175af7e8ac6c799cd004175803</t>
        </is>
      </c>
      <c r="BB18" s="24" t="inlineStr">
        <is>
          <t>neutral_elo</t>
        </is>
      </c>
      <c r="BC18" s="24" t="inlineStr">
        <is>
          <t>lol-tiered-elo-v4</t>
        </is>
      </c>
      <c r="BD18" s="24" t="inlineStr">
        <is>
          <t>be1d38db8d7bacf5b86ce795a0ed5e44d5c9f7175af7e8ac6c799cd004175803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lol-tiered-elo-v4</t>
        </is>
      </c>
      <c r="BH18" s="24" t="inlineStr">
        <is>
          <t>2026-07-29T15:08:43.458610Z</t>
        </is>
      </c>
      <c r="BI18" s="24" t="inlineStr">
        <is>
          <t>["same_event","same_team_same_day","same_league_same_day"]</t>
        </is>
      </c>
      <c r="BJ18" s="25" t="n"/>
      <c r="BK18" s="26" t="n">
        <v>-144</v>
      </c>
      <c r="BL18" s="27" t="n">
        <v>1.694444</v>
      </c>
      <c r="BM18" s="28" t="n">
        <v>0.590164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2c57be300d944a1d</t>
        </is>
      </c>
      <c r="B19" s="24" t="inlineStr">
        <is>
          <t>2026-07-29T15:09:15.415515Z</t>
        </is>
      </c>
      <c r="C19" s="24" t="inlineStr">
        <is>
          <t>2026-07-29T16:00:00Z</t>
        </is>
      </c>
      <c r="D19" s="24" t="inlineStr">
        <is>
          <t>62732</t>
        </is>
      </c>
      <c r="E19" s="24" t="inlineStr">
        <is>
          <t>LOL</t>
        </is>
      </c>
      <c r="F19" s="24" t="inlineStr">
        <is>
          <t>Rich Gang</t>
        </is>
      </c>
      <c r="G19" s="24" t="inlineStr">
        <is>
          <t>LEO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163</v>
      </c>
      <c r="M19" s="27" t="n">
        <v>2.63</v>
      </c>
      <c r="N19" s="28" t="n">
        <v>0.380228</v>
      </c>
      <c r="O19" s="28" t="n">
        <v>0.608007</v>
      </c>
      <c r="P19" s="28" t="n"/>
      <c r="Q19" s="28" t="n">
        <v>0.227779</v>
      </c>
      <c r="R19" s="26" t="n">
        <v>100</v>
      </c>
      <c r="S19" s="29" t="n">
        <v>1.5</v>
      </c>
      <c r="T19" s="24" t="inlineStr">
        <is>
          <t>lol-tiered-elo-v4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/>
      <c r="AA19" s="28" t="n"/>
      <c r="AB19" s="28" t="n"/>
      <c r="AC19" s="30" t="n">
        <v>-1.5</v>
      </c>
      <c r="AD19" s="24" t="inlineStr">
        <is>
          <t>2026-07-30T04:13:08.944368Z</t>
        </is>
      </c>
      <c r="AE19" s="31" t="inlineStr">
        <is>
          <t>Neutral Elo baseline; executable ask 0.3800 (market_slug=aec-lol-leo-rgi-2026-07-29).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Rich Gang</t>
        </is>
      </c>
      <c r="AQ19" s="24" t="inlineStr">
        <is>
          <t>Rich Gang</t>
        </is>
      </c>
      <c r="AR19" s="24" t="inlineStr">
        <is>
          <t>Rich Gang</t>
        </is>
      </c>
      <c r="AS19" s="24" t="inlineStr">
        <is>
          <t>LEO</t>
        </is>
      </c>
      <c r="AT19" s="24" t="inlineStr">
        <is>
          <t>LEO</t>
        </is>
      </c>
      <c r="AU19" s="24" t="inlineStr">
        <is>
          <t>LEO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be1d38db8d7bacf5b86ce795a0ed5e44d5c9f7175af7e8ac6c799cd004175803</t>
        </is>
      </c>
      <c r="BB19" s="24" t="inlineStr">
        <is>
          <t>neutral_elo</t>
        </is>
      </c>
      <c r="BC19" s="24" t="inlineStr">
        <is>
          <t>lol-tiered-elo-v4</t>
        </is>
      </c>
      <c r="BD19" s="24" t="inlineStr">
        <is>
          <t>be1d38db8d7bacf5b86ce795a0ed5e44d5c9f7175af7e8ac6c799cd004175803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lol-tiered-elo-v4</t>
        </is>
      </c>
      <c r="BH19" s="24" t="inlineStr">
        <is>
          <t>2026-07-29T15:08:44.013442Z</t>
        </is>
      </c>
      <c r="BI19" s="24" t="inlineStr">
        <is>
          <t>["same_event","same_team_same_day","same_league_same_day"]</t>
        </is>
      </c>
      <c r="BJ19" s="25" t="n"/>
      <c r="BK19" s="26" t="n">
        <v>163</v>
      </c>
      <c r="BL19" s="27" t="n">
        <v>2.63</v>
      </c>
      <c r="BM19" s="28" t="n">
        <v>0.380228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ab246910d33c4261</t>
        </is>
      </c>
      <c r="B20" s="24" t="inlineStr">
        <is>
          <t>2026-07-29T15:09:15.415515Z</t>
        </is>
      </c>
      <c r="C20" s="24" t="inlineStr">
        <is>
          <t>2026-07-29T16:00:00Z</t>
        </is>
      </c>
      <c r="D20" s="24" t="inlineStr">
        <is>
          <t>65111</t>
        </is>
      </c>
      <c r="E20" s="24" t="inlineStr">
        <is>
          <t>LOL</t>
        </is>
      </c>
      <c r="F20" s="24" t="inlineStr">
        <is>
          <t>SK Gaming Avarosa</t>
        </is>
      </c>
      <c r="G20" s="24" t="inlineStr">
        <is>
          <t>G2 HEL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0.543596</v>
      </c>
      <c r="P20" s="28" t="n"/>
      <c r="Q20" s="28" t="n">
        <v>0.193946</v>
      </c>
      <c r="R20" s="26" t="n">
        <v>100</v>
      </c>
      <c r="S20" s="29" t="n">
        <v>1</v>
      </c>
      <c r="T20" s="24" t="inlineStr">
        <is>
          <t>lol-tiered-elo-v4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-1</v>
      </c>
      <c r="AD20" s="24" t="inlineStr">
        <is>
          <t>2026-07-30T04:13:10.171086Z</t>
        </is>
      </c>
      <c r="AE20" s="31" t="inlineStr">
        <is>
          <t>Neutral Elo baseline; executable ask 0.3500 (market_slug=aec-lol-g2h-ska-2026-07-29).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SK Gaming Avarosa</t>
        </is>
      </c>
      <c r="AQ20" s="24" t="inlineStr">
        <is>
          <t>SK Gaming Avarosa</t>
        </is>
      </c>
      <c r="AR20" s="24" t="inlineStr">
        <is>
          <t>SK Gaming Avarosa</t>
        </is>
      </c>
      <c r="AS20" s="24" t="inlineStr">
        <is>
          <t>G2 HEL</t>
        </is>
      </c>
      <c r="AT20" s="24" t="inlineStr">
        <is>
          <t>G2 HEL</t>
        </is>
      </c>
      <c r="AU20" s="24" t="inlineStr">
        <is>
          <t>G2 HEL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be1d38db8d7bacf5b86ce795a0ed5e44d5c9f7175af7e8ac6c799cd004175803</t>
        </is>
      </c>
      <c r="BB20" s="24" t="inlineStr">
        <is>
          <t>neutral_elo</t>
        </is>
      </c>
      <c r="BC20" s="24" t="inlineStr">
        <is>
          <t>lol-tiered-elo-v4</t>
        </is>
      </c>
      <c r="BD20" s="24" t="inlineStr">
        <is>
          <t>be1d38db8d7bacf5b86ce795a0ed5e44d5c9f7175af7e8ac6c799cd004175803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lol-tiered-elo-v4</t>
        </is>
      </c>
      <c r="BH20" s="24" t="inlineStr">
        <is>
          <t>2026-07-29T15:08:45.706081Z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3076aa7596c3480a</t>
        </is>
      </c>
      <c r="B21" s="24" t="inlineStr">
        <is>
          <t>2026-07-29T15:09:15.415515Z</t>
        </is>
      </c>
      <c r="C21" s="24" t="inlineStr">
        <is>
          <t>2026-07-29T17:00:00Z</t>
        </is>
      </c>
      <c r="D21" s="24" t="inlineStr">
        <is>
          <t>62812</t>
        </is>
      </c>
      <c r="E21" s="24" t="inlineStr">
        <is>
          <t>LOL</t>
        </is>
      </c>
      <c r="F21" s="24" t="inlineStr">
        <is>
          <t>Unicorns Of Love Sexy Edition</t>
        </is>
      </c>
      <c r="G21" s="24" t="inlineStr">
        <is>
          <t>TeamOrangeGaming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-223</v>
      </c>
      <c r="M21" s="27" t="n">
        <v>1.44843</v>
      </c>
      <c r="N21" s="28" t="n">
        <v>0.690402</v>
      </c>
      <c r="O21" s="28" t="n">
        <v>0.69857</v>
      </c>
      <c r="P21" s="28" t="n"/>
      <c r="Q21" s="28" t="n">
        <v>0.008168</v>
      </c>
      <c r="R21" s="26" t="n">
        <v>24</v>
      </c>
      <c r="S21" s="29" t="n">
        <v>2</v>
      </c>
      <c r="T21" s="24" t="inlineStr">
        <is>
          <t>lol-tiered-elo-v4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0.8969</v>
      </c>
      <c r="AD21" s="24" t="inlineStr">
        <is>
          <t>2026-07-30T04:13:11.249374Z</t>
        </is>
      </c>
      <c r="AE21" s="31" t="inlineStr">
        <is>
          <t>Neutral Elo baseline; executable ask 0.6900 (market_slug=aec-lol-tog-use-2026-07-29).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Unicorns Of Love Sexy Edition</t>
        </is>
      </c>
      <c r="AQ21" s="24" t="inlineStr">
        <is>
          <t>Unicorns Of Love Sexy Edition</t>
        </is>
      </c>
      <c r="AR21" s="24" t="inlineStr">
        <is>
          <t>Unicorns Of Love Sexy Edition</t>
        </is>
      </c>
      <c r="AS21" s="24" t="inlineStr">
        <is>
          <t>TeamOrangeGaming</t>
        </is>
      </c>
      <c r="AT21" s="24" t="inlineStr">
        <is>
          <t>TeamOrangeGaming</t>
        </is>
      </c>
      <c r="AU21" s="24" t="inlineStr">
        <is>
          <t>TeamOrangeGaming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be1d38db8d7bacf5b86ce795a0ed5e44d5c9f7175af7e8ac6c799cd004175803</t>
        </is>
      </c>
      <c r="BB21" s="24" t="inlineStr">
        <is>
          <t>neutral_elo</t>
        </is>
      </c>
      <c r="BC21" s="24" t="inlineStr">
        <is>
          <t>lol-tiered-elo-v4</t>
        </is>
      </c>
      <c r="BD21" s="24" t="inlineStr">
        <is>
          <t>be1d38db8d7bacf5b86ce795a0ed5e44d5c9f7175af7e8ac6c799cd004175803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lol-tiered-elo-v4</t>
        </is>
      </c>
      <c r="BH21" s="24" t="inlineStr">
        <is>
          <t>2026-07-29T15:08:46.262782Z</t>
        </is>
      </c>
      <c r="BI21" s="24" t="inlineStr">
        <is>
          <t>["same_event","same_team_same_day","same_league_same_day"]</t>
        </is>
      </c>
      <c r="BJ21" s="25" t="n"/>
      <c r="BK21" s="26" t="n">
        <v>-223</v>
      </c>
      <c r="BL21" s="27" t="n">
        <v>1.44843</v>
      </c>
      <c r="BM21" s="28" t="n">
        <v>0.690402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5cdbdf87aa92469c</t>
        </is>
      </c>
      <c r="B22" s="24" t="inlineStr">
        <is>
          <t>2026-07-29T15:09:15.415515Z</t>
        </is>
      </c>
      <c r="C22" s="24" t="inlineStr">
        <is>
          <t>2026-07-29T17:00:00Z</t>
        </is>
      </c>
      <c r="D22" s="24" t="inlineStr">
        <is>
          <t>62811</t>
        </is>
      </c>
      <c r="E22" s="24" t="inlineStr">
        <is>
          <t>LOL</t>
        </is>
      </c>
      <c r="F22" s="24" t="inlineStr">
        <is>
          <t>Vitality.Bee</t>
        </is>
      </c>
      <c r="G22" s="24" t="inlineStr">
        <is>
          <t>Ici Japon Corp. Esport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-133</v>
      </c>
      <c r="M22" s="27" t="n">
        <v>1.75188</v>
      </c>
      <c r="N22" s="28" t="n">
        <v>0.570815</v>
      </c>
      <c r="O22" s="28" t="n">
        <v>0.57328</v>
      </c>
      <c r="P22" s="28" t="n"/>
      <c r="Q22" s="28" t="n">
        <v>0.002465</v>
      </c>
      <c r="R22" s="26" t="n">
        <v>21</v>
      </c>
      <c r="S22" s="29" t="n">
        <v>1.25</v>
      </c>
      <c r="T22" s="24" t="inlineStr">
        <is>
          <t>lol-tiered-elo-v4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-1.25</v>
      </c>
      <c r="AD22" s="24" t="inlineStr">
        <is>
          <t>2026-07-30T04:13:12.422244Z</t>
        </is>
      </c>
      <c r="AE22" s="31" t="inlineStr">
        <is>
          <t>Neutral Elo baseline; executable ask 0.5700 (market_slug=aec-lol-ijc-vitb-2026-07-29).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Vitality.Bee</t>
        </is>
      </c>
      <c r="AQ22" s="24" t="inlineStr">
        <is>
          <t>Vitality.Bee</t>
        </is>
      </c>
      <c r="AR22" s="24" t="inlineStr">
        <is>
          <t>Vitality.Bee</t>
        </is>
      </c>
      <c r="AS22" s="24" t="inlineStr">
        <is>
          <t>Ici Japon Corp. Esport</t>
        </is>
      </c>
      <c r="AT22" s="24" t="inlineStr">
        <is>
          <t>Ici Japon Corp. Esport</t>
        </is>
      </c>
      <c r="AU22" s="24" t="inlineStr">
        <is>
          <t>Ici Japon Corp. Esport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be1d38db8d7bacf5b86ce795a0ed5e44d5c9f7175af7e8ac6c799cd004175803</t>
        </is>
      </c>
      <c r="BB22" s="24" t="inlineStr">
        <is>
          <t>neutral_elo</t>
        </is>
      </c>
      <c r="BC22" s="24" t="inlineStr">
        <is>
          <t>lol-tiered-elo-v4</t>
        </is>
      </c>
      <c r="BD22" s="24" t="inlineStr">
        <is>
          <t>be1d38db8d7bacf5b86ce795a0ed5e44d5c9f7175af7e8ac6c799cd004175803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lol-tiered-elo-v4</t>
        </is>
      </c>
      <c r="BH22" s="24" t="inlineStr">
        <is>
          <t>2026-07-29T15:08:46.735745Z</t>
        </is>
      </c>
      <c r="BI22" s="24" t="inlineStr">
        <is>
          <t>["same_event","same_team_same_day","same_league_same_day"]</t>
        </is>
      </c>
      <c r="BJ22" s="25" t="n"/>
      <c r="BK22" s="26" t="n">
        <v>-133</v>
      </c>
      <c r="BL22" s="27" t="n">
        <v>1.75188</v>
      </c>
      <c r="BM22" s="28" t="n">
        <v>0.570815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ec213993b10545c2</t>
        </is>
      </c>
      <c r="B23" s="24" t="inlineStr">
        <is>
          <t>2026-07-29T17:47:53.341995Z</t>
        </is>
      </c>
      <c r="C23" s="24" t="inlineStr">
        <is>
          <t>2026-07-29T18:30:00Z</t>
        </is>
      </c>
      <c r="D23" s="24" t="inlineStr">
        <is>
          <t>62999</t>
        </is>
      </c>
      <c r="E23" s="24" t="inlineStr">
        <is>
          <t>LOL</t>
        </is>
      </c>
      <c r="F23" s="24" t="inlineStr">
        <is>
          <t>Baam Esports</t>
        </is>
      </c>
      <c r="G23" s="24" t="inlineStr">
        <is>
          <t>Disruptors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163</v>
      </c>
      <c r="M23" s="27" t="n">
        <v>2.63</v>
      </c>
      <c r="N23" s="28" t="n">
        <v>0.380228</v>
      </c>
      <c r="O23" s="28" t="n">
        <v>0.537829</v>
      </c>
      <c r="P23" s="28" t="n"/>
      <c r="Q23" s="28" t="n">
        <v>0.157601</v>
      </c>
      <c r="R23" s="26" t="n">
        <v>99</v>
      </c>
      <c r="S23" s="29" t="n">
        <v>1</v>
      </c>
      <c r="T23" s="24" t="inlineStr">
        <is>
          <t>lol-tiered-elo-v4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</v>
      </c>
      <c r="AD23" s="24" t="inlineStr">
        <is>
          <t>2026-07-30T04:13:13.440852Z</t>
        </is>
      </c>
      <c r="AE23" s="31" t="inlineStr">
        <is>
          <t>Neutral Elo baseline; executable ask 0.3800 (market_slug=aec-lol-ds-bam-2026-07-29).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Baam Esports</t>
        </is>
      </c>
      <c r="AQ23" s="24" t="inlineStr">
        <is>
          <t>Baam Esports</t>
        </is>
      </c>
      <c r="AR23" s="24" t="inlineStr">
        <is>
          <t>Baam Esports</t>
        </is>
      </c>
      <c r="AS23" s="24" t="inlineStr">
        <is>
          <t>Disruptors</t>
        </is>
      </c>
      <c r="AT23" s="24" t="inlineStr">
        <is>
          <t>Disruptors</t>
        </is>
      </c>
      <c r="AU23" s="24" t="inlineStr">
        <is>
          <t>Disruptors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b5db55d44821936562fc7ca695a552e8c5a976b7d669055e90322ae075215cf1</t>
        </is>
      </c>
      <c r="BB23" s="24" t="inlineStr">
        <is>
          <t>neutral_elo</t>
        </is>
      </c>
      <c r="BC23" s="24" t="inlineStr">
        <is>
          <t>lol-tiered-elo-v4</t>
        </is>
      </c>
      <c r="BD23" s="24" t="inlineStr">
        <is>
          <t>b5db55d44821936562fc7ca695a552e8c5a976b7d669055e90322ae075215cf1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lol-tiered-elo-v4</t>
        </is>
      </c>
      <c r="BH23" s="24" t="inlineStr">
        <is>
          <t>2026-07-29T17:47:30.538258Z</t>
        </is>
      </c>
      <c r="BI23" s="24" t="inlineStr">
        <is>
          <t>["same_event","same_team_same_day","same_league_same_day"]</t>
        </is>
      </c>
      <c r="BJ23" s="25" t="n"/>
      <c r="BK23" s="26" t="n">
        <v>163</v>
      </c>
      <c r="BL23" s="27" t="n">
        <v>2.63</v>
      </c>
      <c r="BM23" s="28" t="n">
        <v>0.380228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35a013626b2d442b</t>
        </is>
      </c>
      <c r="B24" s="24" t="inlineStr">
        <is>
          <t>2026-07-29T17:47:53.341995Z</t>
        </is>
      </c>
      <c r="C24" s="24" t="inlineStr">
        <is>
          <t>2026-07-29T19:00:00Z</t>
        </is>
      </c>
      <c r="D24" s="24" t="inlineStr">
        <is>
          <t>63028</t>
        </is>
      </c>
      <c r="E24" s="24" t="inlineStr">
        <is>
          <t>LOL</t>
        </is>
      </c>
      <c r="F24" s="24" t="inlineStr">
        <is>
          <t>Joblife</t>
        </is>
      </c>
      <c r="G24" s="24" t="inlineStr">
        <is>
          <t>Karmine Corp Blue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-104</v>
      </c>
      <c r="M24" s="27" t="n">
        <v>1.961538</v>
      </c>
      <c r="N24" s="28" t="n">
        <v>0.509804</v>
      </c>
      <c r="O24" s="28" t="n">
        <v>0.6798070000000001</v>
      </c>
      <c r="P24" s="28" t="n"/>
      <c r="Q24" s="28" t="n">
        <v>0.170003</v>
      </c>
      <c r="R24" s="26" t="n">
        <v>100</v>
      </c>
      <c r="S24" s="29" t="n">
        <v>2</v>
      </c>
      <c r="T24" s="24" t="inlineStr">
        <is>
          <t>lol-tiered-elo-v4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1.9231</v>
      </c>
      <c r="AD24" s="24" t="inlineStr">
        <is>
          <t>2026-07-30T04:13:15.018338Z</t>
        </is>
      </c>
      <c r="AE24" s="31" t="inlineStr">
        <is>
          <t>Neutral Elo baseline; executable ask 0.5100 (market_slug=aec-lol-kcb-jl-2026-07-29).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Joblife</t>
        </is>
      </c>
      <c r="AQ24" s="24" t="inlineStr">
        <is>
          <t>Joblife</t>
        </is>
      </c>
      <c r="AR24" s="24" t="inlineStr">
        <is>
          <t>Joblife</t>
        </is>
      </c>
      <c r="AS24" s="24" t="inlineStr">
        <is>
          <t>Karmine Corp Blue</t>
        </is>
      </c>
      <c r="AT24" s="24" t="inlineStr">
        <is>
          <t>Karmine Corp Blue</t>
        </is>
      </c>
      <c r="AU24" s="24" t="inlineStr">
        <is>
          <t>Karmine Corp Blue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b5db55d44821936562fc7ca695a552e8c5a976b7d669055e90322ae075215cf1</t>
        </is>
      </c>
      <c r="BB24" s="24" t="inlineStr">
        <is>
          <t>neutral_elo</t>
        </is>
      </c>
      <c r="BC24" s="24" t="inlineStr">
        <is>
          <t>lol-tiered-elo-v4</t>
        </is>
      </c>
      <c r="BD24" s="24" t="inlineStr">
        <is>
          <t>b5db55d44821936562fc7ca695a552e8c5a976b7d669055e90322ae075215cf1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lol-tiered-elo-v4</t>
        </is>
      </c>
      <c r="BH24" s="24" t="inlineStr">
        <is>
          <t>2026-07-29T17:47:31.550767Z</t>
        </is>
      </c>
      <c r="BI24" s="24" t="inlineStr">
        <is>
          <t>["same_event","same_team_same_day","same_league_same_day"]</t>
        </is>
      </c>
      <c r="BJ24" s="25" t="n"/>
      <c r="BK24" s="26" t="n">
        <v>-104</v>
      </c>
      <c r="BL24" s="27" t="n">
        <v>1.961538</v>
      </c>
      <c r="BM24" s="28" t="n">
        <v>0.509804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67e4e0522b0946fa</t>
        </is>
      </c>
      <c r="B25" s="24" t="inlineStr">
        <is>
          <t>2026-07-29T17:47:53.341995Z</t>
        </is>
      </c>
      <c r="C25" s="24" t="inlineStr">
        <is>
          <t>2026-07-30T00:00:00Z</t>
        </is>
      </c>
      <c r="D25" s="24" t="inlineStr">
        <is>
          <t>63452</t>
        </is>
      </c>
      <c r="E25" s="24" t="inlineStr">
        <is>
          <t>LOL</t>
        </is>
      </c>
      <c r="F25" s="24" t="inlineStr">
        <is>
          <t>Contingent Esports</t>
        </is>
      </c>
      <c r="G25" s="24" t="inlineStr">
        <is>
          <t>Blue Otter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-127</v>
      </c>
      <c r="M25" s="27" t="n">
        <v>1.787402</v>
      </c>
      <c r="N25" s="28" t="n">
        <v>0.5594710000000001</v>
      </c>
      <c r="O25" s="28" t="n">
        <v>0.737425</v>
      </c>
      <c r="P25" s="28" t="n"/>
      <c r="Q25" s="28" t="n">
        <v>0.177954</v>
      </c>
      <c r="R25" s="26" t="n">
        <v>100</v>
      </c>
      <c r="S25" s="29" t="n">
        <v>2</v>
      </c>
      <c r="T25" s="24" t="inlineStr">
        <is>
          <t>lol-tiered-elo-v4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1.5748</v>
      </c>
      <c r="AD25" s="24" t="inlineStr">
        <is>
          <t>2026-07-30T04:13:16.135373Z</t>
        </is>
      </c>
      <c r="AE25" s="31" t="inlineStr">
        <is>
          <t>Neutral Elo baseline; executable ask 0.5600 (market_slug=aec-lol-blue-cont-2026-07-30).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Contingent Esports</t>
        </is>
      </c>
      <c r="AQ25" s="24" t="inlineStr">
        <is>
          <t>Contingent Esports</t>
        </is>
      </c>
      <c r="AR25" s="24" t="inlineStr">
        <is>
          <t>Contingent Esports</t>
        </is>
      </c>
      <c r="AS25" s="24" t="inlineStr">
        <is>
          <t>Blue Otter</t>
        </is>
      </c>
      <c r="AT25" s="24" t="inlineStr">
        <is>
          <t>Blue Otter</t>
        </is>
      </c>
      <c r="AU25" s="24" t="inlineStr">
        <is>
          <t>Blue Otter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b5db55d44821936562fc7ca695a552e8c5a976b7d669055e90322ae075215cf1</t>
        </is>
      </c>
      <c r="BB25" s="24" t="inlineStr">
        <is>
          <t>neutral_elo</t>
        </is>
      </c>
      <c r="BC25" s="24" t="inlineStr">
        <is>
          <t>lol-tiered-elo-v4</t>
        </is>
      </c>
      <c r="BD25" s="24" t="inlineStr">
        <is>
          <t>b5db55d44821936562fc7ca695a552e8c5a976b7d669055e90322ae075215cf1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lol-tiered-elo-v4</t>
        </is>
      </c>
      <c r="BH25" s="24" t="inlineStr">
        <is>
          <t>2026-07-29T17:47:36.207024Z</t>
        </is>
      </c>
      <c r="BI25" s="24" t="inlineStr">
        <is>
          <t>["same_event","same_team_same_day","same_league_same_day"]</t>
        </is>
      </c>
      <c r="BJ25" s="25" t="n"/>
      <c r="BK25" s="26" t="n">
        <v>-127</v>
      </c>
      <c r="BL25" s="27" t="n">
        <v>1.787402</v>
      </c>
      <c r="BM25" s="28" t="n">
        <v>0.5594710000000001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a29e29260daf4e3b</t>
        </is>
      </c>
      <c r="B26" s="24" t="inlineStr">
        <is>
          <t>2026-07-30T04:26:04.170318Z</t>
        </is>
      </c>
      <c r="C26" s="24" t="inlineStr">
        <is>
          <t>2026-07-30T05:00:00Z</t>
        </is>
      </c>
      <c r="D26" s="24" t="inlineStr">
        <is>
          <t>63576</t>
        </is>
      </c>
      <c r="E26" s="24" t="inlineStr">
        <is>
          <t>LOL</t>
        </is>
      </c>
      <c r="F26" s="24" t="inlineStr">
        <is>
          <t>T1 Academy</t>
        </is>
      </c>
      <c r="G26" s="24" t="inlineStr">
        <is>
          <t>Dplus KIA Challengers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194</v>
      </c>
      <c r="M26" s="27" t="n">
        <v>2.94</v>
      </c>
      <c r="N26" s="28" t="n">
        <v>0.340136</v>
      </c>
      <c r="O26" s="28" t="n">
        <v>0.620602</v>
      </c>
      <c r="P26" s="28" t="n"/>
      <c r="Q26" s="28" t="n">
        <v>0.280466</v>
      </c>
      <c r="R26" s="26" t="n">
        <v>100</v>
      </c>
      <c r="S26" s="29" t="n">
        <v>1.75</v>
      </c>
      <c r="T26" s="24" t="inlineStr">
        <is>
          <t>lol-tiered-elo-v4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3.395</v>
      </c>
      <c r="AD26" s="24" t="inlineStr">
        <is>
          <t>2026-07-30T10:25:11.927569Z</t>
        </is>
      </c>
      <c r="AE26" s="31" t="inlineStr">
        <is>
          <t>Neutral Elo baseline; executable ask 0.3400 (market_slug=aec-lol-dkc-t1a-2026-07-30).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T1 Academy</t>
        </is>
      </c>
      <c r="AQ26" s="24" t="inlineStr">
        <is>
          <t>T1 Academy</t>
        </is>
      </c>
      <c r="AR26" s="24" t="inlineStr">
        <is>
          <t>T1 Academy</t>
        </is>
      </c>
      <c r="AS26" s="24" t="inlineStr">
        <is>
          <t>Dplus KIA Challengers</t>
        </is>
      </c>
      <c r="AT26" s="24" t="inlineStr">
        <is>
          <t>Dplus KIA Challengers</t>
        </is>
      </c>
      <c r="AU26" s="24" t="inlineStr">
        <is>
          <t>Dplus KIA Challengers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dd258a11c5e1b4a7b9b28a6360625dd1d4d1b51714a72019d1b2152e3864f6eb</t>
        </is>
      </c>
      <c r="BB26" s="24" t="inlineStr">
        <is>
          <t>neutral_elo</t>
        </is>
      </c>
      <c r="BC26" s="24" t="inlineStr">
        <is>
          <t>lol-tiered-elo-v4</t>
        </is>
      </c>
      <c r="BD26" s="24" t="inlineStr">
        <is>
          <t>dd258a11c5e1b4a7b9b28a6360625dd1d4d1b51714a72019d1b2152e3864f6eb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lol-tiered-elo-v4</t>
        </is>
      </c>
      <c r="BH26" s="24" t="inlineStr">
        <is>
          <t>2026-07-30T04:25:34.617720Z</t>
        </is>
      </c>
      <c r="BI26" s="24" t="inlineStr">
        <is>
          <t>["same_event","same_team_same_day","same_league_same_day"]</t>
        </is>
      </c>
      <c r="BJ26" s="25" t="n"/>
      <c r="BK26" s="26" t="n">
        <v>194</v>
      </c>
      <c r="BL26" s="27" t="n">
        <v>2.94</v>
      </c>
      <c r="BM26" s="28" t="n">
        <v>0.340136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62d5dea298a242e3</t>
        </is>
      </c>
      <c r="B27" s="24" t="inlineStr">
        <is>
          <t>2026-07-30T05:45:28.536407Z</t>
        </is>
      </c>
      <c r="C27" s="24" t="inlineStr">
        <is>
          <t>2026-07-30T07:00:00Z</t>
        </is>
      </c>
      <c r="D27" s="24" t="inlineStr">
        <is>
          <t>63594</t>
        </is>
      </c>
      <c r="E27" s="24" t="inlineStr">
        <is>
          <t>LOL</t>
        </is>
      </c>
      <c r="F27" s="24" t="inlineStr">
        <is>
          <t>Weibo Gaming</t>
        </is>
      </c>
      <c r="G27" s="24" t="inlineStr">
        <is>
          <t>Ninjas in Pyjamas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150</v>
      </c>
      <c r="M27" s="27" t="n">
        <v>2.5</v>
      </c>
      <c r="N27" s="28" t="n">
        <v>0.4</v>
      </c>
      <c r="O27" s="28" t="n">
        <v>0.557132</v>
      </c>
      <c r="P27" s="28" t="n"/>
      <c r="Q27" s="28" t="n">
        <v>0.157132</v>
      </c>
      <c r="R27" s="26" t="n">
        <v>99</v>
      </c>
      <c r="S27" s="29" t="n">
        <v>1</v>
      </c>
      <c r="T27" s="24" t="inlineStr">
        <is>
          <t>lol-tiered-elo-v4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1.5</v>
      </c>
      <c r="AD27" s="24" t="inlineStr">
        <is>
          <t>2026-07-30T10:25:13.146094Z</t>
        </is>
      </c>
      <c r="AE27" s="31" t="inlineStr">
        <is>
          <t>Neutral Elo baseline; executable ask 0.4000 (market_slug=aec-lol-nip-wb-2026-07-30).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Weibo Gaming</t>
        </is>
      </c>
      <c r="AQ27" s="24" t="inlineStr">
        <is>
          <t>Weibo Gaming</t>
        </is>
      </c>
      <c r="AR27" s="24" t="inlineStr">
        <is>
          <t>Weibo Gaming</t>
        </is>
      </c>
      <c r="AS27" s="24" t="inlineStr">
        <is>
          <t>Ninjas in Pyjamas</t>
        </is>
      </c>
      <c r="AT27" s="24" t="inlineStr">
        <is>
          <t>Ninjas in Pyjamas</t>
        </is>
      </c>
      <c r="AU27" s="24" t="inlineStr">
        <is>
          <t>Ninjas in Pyjamas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4e04b49a5e708505d40da3e5240519971478fdddb80c40794b621c5f354963b6</t>
        </is>
      </c>
      <c r="BB27" s="24" t="inlineStr">
        <is>
          <t>neutral_elo</t>
        </is>
      </c>
      <c r="BC27" s="24" t="inlineStr">
        <is>
          <t>lol-tiered-elo-v4</t>
        </is>
      </c>
      <c r="BD27" s="24" t="inlineStr">
        <is>
          <t>4e04b49a5e708505d40da3e5240519971478fdddb80c40794b621c5f354963b6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lol-tiered-elo-v4</t>
        </is>
      </c>
      <c r="BH27" s="24" t="inlineStr">
        <is>
          <t>2026-07-30T05:45:06.490478Z</t>
        </is>
      </c>
      <c r="BI27" s="24" t="inlineStr">
        <is>
          <t>["same_event","same_team_same_day","same_league_same_day"]</t>
        </is>
      </c>
      <c r="BJ27" s="25" t="n"/>
      <c r="BK27" s="26" t="n">
        <v>150</v>
      </c>
      <c r="BL27" s="27" t="n">
        <v>2.5</v>
      </c>
      <c r="BM27" s="28" t="n">
        <v>0.4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809b9b83d7904fa5</t>
        </is>
      </c>
      <c r="B28" s="24" t="inlineStr">
        <is>
          <t>2026-07-30T07:23:43.318923Z</t>
        </is>
      </c>
      <c r="C28" s="24" t="inlineStr">
        <is>
          <t>2026-07-30T09:00:00Z</t>
        </is>
      </c>
      <c r="D28" s="24" t="inlineStr">
        <is>
          <t>63636</t>
        </is>
      </c>
      <c r="E28" s="24" t="inlineStr">
        <is>
          <t>LOL</t>
        </is>
      </c>
      <c r="F28" s="24" t="inlineStr">
        <is>
          <t>Team WE</t>
        </is>
      </c>
      <c r="G28" s="24" t="inlineStr">
        <is>
          <t>EDward Gaming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-223</v>
      </c>
      <c r="M28" s="27" t="n">
        <v>1.44843</v>
      </c>
      <c r="N28" s="28" t="n">
        <v>0.690402</v>
      </c>
      <c r="O28" s="28" t="n">
        <v>0.745706</v>
      </c>
      <c r="P28" s="28" t="n"/>
      <c r="Q28" s="28" t="n">
        <v>0.055304</v>
      </c>
      <c r="R28" s="26" t="n">
        <v>48</v>
      </c>
      <c r="S28" s="29" t="n">
        <v>2</v>
      </c>
      <c r="T28" s="24" t="inlineStr">
        <is>
          <t>lol-tiered-elo-v4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0.8969</v>
      </c>
      <c r="AD28" s="24" t="inlineStr">
        <is>
          <t>2026-07-30T13:31:04.023358Z</t>
        </is>
      </c>
      <c r="AE28" s="31" t="inlineStr">
        <is>
          <t>Neutral Elo baseline; executable ask 0.6900 (market_slug=aec-lol-edg-we-2026-07-30).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Team WE</t>
        </is>
      </c>
      <c r="AQ28" s="24" t="inlineStr">
        <is>
          <t>Team WE</t>
        </is>
      </c>
      <c r="AR28" s="24" t="inlineStr">
        <is>
          <t>Team WE</t>
        </is>
      </c>
      <c r="AS28" s="24" t="inlineStr">
        <is>
          <t>EDward Gaming</t>
        </is>
      </c>
      <c r="AT28" s="24" t="inlineStr">
        <is>
          <t>EDward Gaming</t>
        </is>
      </c>
      <c r="AU28" s="24" t="inlineStr">
        <is>
          <t>EDward Gaming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fc2ebfbbf3351a7d46eae71e144de048639f781bbcee83d0ea7ab1b24a6f8efd</t>
        </is>
      </c>
      <c r="BB28" s="24" t="inlineStr">
        <is>
          <t>neutral_elo</t>
        </is>
      </c>
      <c r="BC28" s="24" t="inlineStr">
        <is>
          <t>lol-tiered-elo-v4</t>
        </is>
      </c>
      <c r="BD28" s="24" t="inlineStr">
        <is>
          <t>fc2ebfbbf3351a7d46eae71e144de048639f781bbcee83d0ea7ab1b24a6f8efd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lol-tiered-elo-v4</t>
        </is>
      </c>
      <c r="BH28" s="24" t="inlineStr">
        <is>
          <t>2026-07-30T07:23:22.365823Z</t>
        </is>
      </c>
      <c r="BI28" s="24" t="inlineStr">
        <is>
          <t>["same_event","same_team_same_day","same_league_same_day"]</t>
        </is>
      </c>
      <c r="BJ28" s="25" t="n"/>
      <c r="BK28" s="26" t="n">
        <v>-223</v>
      </c>
      <c r="BL28" s="27" t="n">
        <v>1.44843</v>
      </c>
      <c r="BM28" s="28" t="n">
        <v>0.690402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5c389b2c65784390</t>
        </is>
      </c>
      <c r="B29" s="24" t="inlineStr">
        <is>
          <t>2026-07-30T07:23:43.318923Z</t>
        </is>
      </c>
      <c r="C29" s="24" t="inlineStr">
        <is>
          <t>2026-07-30T10:00:00Z</t>
        </is>
      </c>
      <c r="D29" s="24" t="inlineStr">
        <is>
          <t>63665</t>
        </is>
      </c>
      <c r="E29" s="24" t="inlineStr">
        <is>
          <t>LOL</t>
        </is>
      </c>
      <c r="F29" s="24" t="inlineStr">
        <is>
          <t>Dplus KIA</t>
        </is>
      </c>
      <c r="G29" s="24" t="inlineStr">
        <is>
          <t>Hanwha Life Esports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-213</v>
      </c>
      <c r="M29" s="27" t="n">
        <v>1.469484</v>
      </c>
      <c r="N29" s="28" t="n">
        <v>0.680511</v>
      </c>
      <c r="O29" s="28" t="n">
        <v>0.788986</v>
      </c>
      <c r="P29" s="28" t="n"/>
      <c r="Q29" s="28" t="n">
        <v>0.108475</v>
      </c>
      <c r="R29" s="26" t="n">
        <v>74</v>
      </c>
      <c r="S29" s="29" t="n">
        <v>2</v>
      </c>
      <c r="T29" s="24" t="inlineStr">
        <is>
          <t>lol-tiered-elo-v4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-2</v>
      </c>
      <c r="AD29" s="24" t="inlineStr">
        <is>
          <t>2026-07-30T13:31:05.339288Z</t>
        </is>
      </c>
      <c r="AE29" s="31" t="inlineStr">
        <is>
          <t>Neutral Elo baseline; executable ask 0.6800 (market_slug=aec-lol-hle-dk-2026-07-30).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Dplus KIA</t>
        </is>
      </c>
      <c r="AQ29" s="24" t="inlineStr">
        <is>
          <t>Dplus KIA</t>
        </is>
      </c>
      <c r="AR29" s="24" t="inlineStr">
        <is>
          <t>Dplus KIA</t>
        </is>
      </c>
      <c r="AS29" s="24" t="inlineStr">
        <is>
          <t>Hanwha Life Esports</t>
        </is>
      </c>
      <c r="AT29" s="24" t="inlineStr">
        <is>
          <t>Hanwha Life Esports</t>
        </is>
      </c>
      <c r="AU29" s="24" t="inlineStr">
        <is>
          <t>Hanwha Life Esports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fc2ebfbbf3351a7d46eae71e144de048639f781bbcee83d0ea7ab1b24a6f8efd</t>
        </is>
      </c>
      <c r="BB29" s="24" t="inlineStr">
        <is>
          <t>neutral_elo</t>
        </is>
      </c>
      <c r="BC29" s="24" t="inlineStr">
        <is>
          <t>lol-tiered-elo-v4</t>
        </is>
      </c>
      <c r="BD29" s="24" t="inlineStr">
        <is>
          <t>fc2ebfbbf3351a7d46eae71e144de048639f781bbcee83d0ea7ab1b24a6f8efd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lol-tiered-elo-v4</t>
        </is>
      </c>
      <c r="BH29" s="24" t="inlineStr">
        <is>
          <t>2026-07-30T07:23:22.907284Z</t>
        </is>
      </c>
      <c r="BI29" s="24" t="inlineStr">
        <is>
          <t>["same_event","same_team_same_day","same_league_same_day"]</t>
        </is>
      </c>
      <c r="BJ29" s="25" t="n"/>
      <c r="BK29" s="26" t="n">
        <v>-213</v>
      </c>
      <c r="BL29" s="27" t="n">
        <v>1.469484</v>
      </c>
      <c r="BM29" s="28" t="n">
        <v>0.680511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361e2c1264104cf3</t>
        </is>
      </c>
      <c r="B30" s="24" t="inlineStr">
        <is>
          <t>2026-07-30T13:35:19.313009Z</t>
        </is>
      </c>
      <c r="C30" s="24" t="inlineStr">
        <is>
          <t>2026-07-30T16:00:00Z</t>
        </is>
      </c>
      <c r="D30" s="24" t="inlineStr">
        <is>
          <t>63849</t>
        </is>
      </c>
      <c r="E30" s="24" t="inlineStr">
        <is>
          <t>LOL</t>
        </is>
      </c>
      <c r="F30" s="24" t="inlineStr">
        <is>
          <t>Ici Japon Corp. Esport</t>
        </is>
      </c>
      <c r="G30" s="24" t="inlineStr">
        <is>
          <t>Karmine Corp Blue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-194</v>
      </c>
      <c r="M30" s="27" t="n">
        <v>1.515464</v>
      </c>
      <c r="N30" s="28" t="n">
        <v>0.659864</v>
      </c>
      <c r="O30" s="28" t="n">
        <v>0.759185</v>
      </c>
      <c r="P30" s="28" t="n"/>
      <c r="Q30" s="28" t="n">
        <v>0.09932100000000001</v>
      </c>
      <c r="R30" s="26" t="n">
        <v>70</v>
      </c>
      <c r="S30" s="29" t="n">
        <v>2</v>
      </c>
      <c r="T30" s="24" t="inlineStr">
        <is>
          <t>lol-tiered-elo-v4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-2</v>
      </c>
      <c r="AD30" s="24" t="inlineStr">
        <is>
          <t>2026-07-30T17:23:04.983674Z</t>
        </is>
      </c>
      <c r="AE30" s="31" t="inlineStr">
        <is>
          <t>Neutral Elo baseline; executable ask 0.6600 (market_slug=aec-lol-kcb-ijc-2026-07-30).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Ici Japon Corp. Esport</t>
        </is>
      </c>
      <c r="AQ30" s="24" t="inlineStr">
        <is>
          <t>Ici Japon Corp. Esport</t>
        </is>
      </c>
      <c r="AR30" s="24" t="inlineStr">
        <is>
          <t>Ici Japon Corp. Esport</t>
        </is>
      </c>
      <c r="AS30" s="24" t="inlineStr">
        <is>
          <t>Karmine Corp Blue</t>
        </is>
      </c>
      <c r="AT30" s="24" t="inlineStr">
        <is>
          <t>Karmine Corp Blue</t>
        </is>
      </c>
      <c r="AU30" s="24" t="inlineStr">
        <is>
          <t>Karmine Corp Blue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f9717f767414f329842e741e7cbf2e7aa4999416b847989d6f05bb0e123a02fe</t>
        </is>
      </c>
      <c r="BB30" s="24" t="inlineStr">
        <is>
          <t>neutral_elo</t>
        </is>
      </c>
      <c r="BC30" s="24" t="inlineStr">
        <is>
          <t>lol-tiered-elo-v4</t>
        </is>
      </c>
      <c r="BD30" s="24" t="inlineStr">
        <is>
          <t>f9717f767414f329842e741e7cbf2e7aa4999416b847989d6f05bb0e123a02fe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lol-tiered-elo-v4</t>
        </is>
      </c>
      <c r="BH30" s="24" t="inlineStr">
        <is>
          <t>2026-07-30T13:35:02.282138Z</t>
        </is>
      </c>
      <c r="BI30" s="24" t="inlineStr">
        <is>
          <t>["same_event","same_team_same_day","same_league_same_day"]</t>
        </is>
      </c>
      <c r="BJ30" s="25" t="n"/>
      <c r="BK30" s="26" t="n">
        <v>-194</v>
      </c>
      <c r="BL30" s="27" t="n">
        <v>1.515464</v>
      </c>
      <c r="BM30" s="28" t="n">
        <v>0.659864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0472540c9b95447e</t>
        </is>
      </c>
      <c r="B31" s="24" t="inlineStr">
        <is>
          <t>2026-07-30T17:21:29.146399Z</t>
        </is>
      </c>
      <c r="C31" s="24" t="inlineStr">
        <is>
          <t>2026-07-30T17:30:00Z</t>
        </is>
      </c>
      <c r="D31" s="24" t="inlineStr">
        <is>
          <t>64797</t>
        </is>
      </c>
      <c r="E31" s="24" t="inlineStr">
        <is>
          <t>LOL</t>
        </is>
      </c>
      <c r="F31" s="24" t="inlineStr">
        <is>
          <t>Bushido Wildcats</t>
        </is>
      </c>
      <c r="G31" s="24" t="inlineStr">
        <is>
          <t>SU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0.652006</v>
      </c>
      <c r="P31" s="28" t="n"/>
      <c r="Q31" s="28" t="n">
        <v>0.032234</v>
      </c>
      <c r="R31" s="26" t="n">
        <v>36</v>
      </c>
      <c r="S31" s="29" t="n">
        <v>2</v>
      </c>
      <c r="T31" s="24" t="inlineStr">
        <is>
          <t>lol-tiered-elo-v4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0.6200 (market_slug=aec-lol-su-bw-2026-07-30).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Bushido Wildcats</t>
        </is>
      </c>
      <c r="AQ31" s="24" t="inlineStr">
        <is>
          <t>Bushido Wildcats</t>
        </is>
      </c>
      <c r="AR31" s="24" t="inlineStr">
        <is>
          <t>Bushido Wildcats</t>
        </is>
      </c>
      <c r="AS31" s="24" t="inlineStr">
        <is>
          <t>SU Esports</t>
        </is>
      </c>
      <c r="AT31" s="24" t="inlineStr">
        <is>
          <t>SU Esports</t>
        </is>
      </c>
      <c r="AU31" s="24" t="inlineStr">
        <is>
          <t>SU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be4f8256d05598c9d21c7a2ebe2351512630ea80ae3f06f1012082079379ce3a</t>
        </is>
      </c>
      <c r="BB31" s="24" t="inlineStr">
        <is>
          <t>neutral_elo</t>
        </is>
      </c>
      <c r="BC31" s="24" t="inlineStr">
        <is>
          <t>lol-tiered-elo-v4</t>
        </is>
      </c>
      <c r="BD31" s="24" t="inlineStr">
        <is>
          <t>be4f8256d05598c9d21c7a2ebe2351512630ea80ae3f06f1012082079379ce3a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lol-tiered-elo-v4</t>
        </is>
      </c>
      <c r="BH31" s="24" t="inlineStr">
        <is>
          <t>2026-07-30T17:21:16.453569Z</t>
        </is>
      </c>
      <c r="BI31" s="24" t="inlineStr">
        <is>
          <t>["same_event","same_team_same_day","same_league_same_day"]</t>
        </is>
      </c>
      <c r="BJ31" s="25" t="n"/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dec0c57beb794117</t>
        </is>
      </c>
      <c r="B32" s="24" t="inlineStr">
        <is>
          <t>2026-07-30T17:21:29.146399Z</t>
        </is>
      </c>
      <c r="C32" s="24" t="inlineStr">
        <is>
          <t>2026-07-30T18:00:00Z</t>
        </is>
      </c>
      <c r="D32" s="24" t="inlineStr">
        <is>
          <t>64019</t>
        </is>
      </c>
      <c r="E32" s="24" t="inlineStr">
        <is>
          <t>LOL</t>
        </is>
      </c>
      <c r="F32" s="24" t="inlineStr">
        <is>
          <t>Senshi Esports</t>
        </is>
      </c>
      <c r="G32" s="24" t="inlineStr">
        <is>
          <t>mCon esports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-133</v>
      </c>
      <c r="M32" s="27" t="n">
        <v>1.75188</v>
      </c>
      <c r="N32" s="28" t="n">
        <v>0.570815</v>
      </c>
      <c r="O32" s="28" t="n">
        <v>0.740872</v>
      </c>
      <c r="P32" s="28" t="n"/>
      <c r="Q32" s="28" t="n">
        <v>0.170057</v>
      </c>
      <c r="R32" s="26" t="n">
        <v>100</v>
      </c>
      <c r="S32" s="29" t="n">
        <v>2</v>
      </c>
      <c r="T32" s="24" t="inlineStr">
        <is>
          <t>lol-tiered-elo-v4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Neutral Elo baseline; executable ask 0.5700 (market_slug=aec-lol-mcn-sec-2026-07-30).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Senshi Esports</t>
        </is>
      </c>
      <c r="AQ32" s="24" t="inlineStr">
        <is>
          <t>Senshi Esports</t>
        </is>
      </c>
      <c r="AR32" s="24" t="inlineStr">
        <is>
          <t>Senshi Esports</t>
        </is>
      </c>
      <c r="AS32" s="24" t="inlineStr">
        <is>
          <t>mCon esports</t>
        </is>
      </c>
      <c r="AT32" s="24" t="inlineStr">
        <is>
          <t>mCon esports</t>
        </is>
      </c>
      <c r="AU32" s="24" t="inlineStr">
        <is>
          <t>mCon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be4f8256d05598c9d21c7a2ebe2351512630ea80ae3f06f1012082079379ce3a</t>
        </is>
      </c>
      <c r="BB32" s="24" t="inlineStr">
        <is>
          <t>neutral_elo</t>
        </is>
      </c>
      <c r="BC32" s="24" t="inlineStr">
        <is>
          <t>lol-tiered-elo-v4</t>
        </is>
      </c>
      <c r="BD32" s="24" t="inlineStr">
        <is>
          <t>be4f8256d05598c9d21c7a2ebe2351512630ea80ae3f06f1012082079379ce3a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lol-tiered-elo-v4</t>
        </is>
      </c>
      <c r="BH32" s="24" t="inlineStr">
        <is>
          <t>2026-07-30T17:21:17.395840Z</t>
        </is>
      </c>
      <c r="BI32" s="24" t="inlineStr">
        <is>
          <t>["same_event","same_team_same_day","same_league_same_day"]</t>
        </is>
      </c>
      <c r="BJ32" s="25" t="n"/>
      <c r="BK32" s="26" t="n">
        <v>-133</v>
      </c>
      <c r="BL32" s="27" t="n">
        <v>1.75188</v>
      </c>
      <c r="BM32" s="28" t="n">
        <v>0.570815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7d232df22b8c4d43</t>
        </is>
      </c>
      <c r="B33" s="24" t="inlineStr">
        <is>
          <t>2026-07-30T17:21:29.146399Z</t>
        </is>
      </c>
      <c r="C33" s="24" t="inlineStr">
        <is>
          <t>2026-07-30T18:30:00Z</t>
        </is>
      </c>
      <c r="D33" s="24" t="inlineStr">
        <is>
          <t>64075</t>
        </is>
      </c>
      <c r="E33" s="24" t="inlineStr">
        <is>
          <t>LOL</t>
        </is>
      </c>
      <c r="F33" s="24" t="inlineStr">
        <is>
          <t>JSK Esports</t>
        </is>
      </c>
      <c r="G33" s="24" t="inlineStr">
        <is>
          <t>GnG Amazigh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-122</v>
      </c>
      <c r="M33" s="27" t="n">
        <v>1.819672</v>
      </c>
      <c r="N33" s="28" t="n">
        <v>0.54955</v>
      </c>
      <c r="O33" s="28" t="n">
        <v>0.651531</v>
      </c>
      <c r="P33" s="28" t="n"/>
      <c r="Q33" s="28" t="n">
        <v>0.101981</v>
      </c>
      <c r="R33" s="26" t="n">
        <v>71</v>
      </c>
      <c r="S33" s="29" t="n">
        <v>2</v>
      </c>
      <c r="T33" s="24" t="inlineStr">
        <is>
          <t>lol-tiered-elo-v4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0.5500 (market_slug=aec-lol-gng-jsk-2026-07-30).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JSK Esports</t>
        </is>
      </c>
      <c r="AQ33" s="24" t="inlineStr">
        <is>
          <t>JSK Esports</t>
        </is>
      </c>
      <c r="AR33" s="24" t="inlineStr">
        <is>
          <t>JSK Esports</t>
        </is>
      </c>
      <c r="AS33" s="24" t="inlineStr">
        <is>
          <t>GnG Amazigh</t>
        </is>
      </c>
      <c r="AT33" s="24" t="inlineStr">
        <is>
          <t>GnG Amazigh</t>
        </is>
      </c>
      <c r="AU33" s="24" t="inlineStr">
        <is>
          <t>GnG Amazigh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be4f8256d05598c9d21c7a2ebe2351512630ea80ae3f06f1012082079379ce3a</t>
        </is>
      </c>
      <c r="BB33" s="24" t="inlineStr">
        <is>
          <t>neutral_elo</t>
        </is>
      </c>
      <c r="BC33" s="24" t="inlineStr">
        <is>
          <t>lol-tiered-elo-v4</t>
        </is>
      </c>
      <c r="BD33" s="24" t="inlineStr">
        <is>
          <t>be4f8256d05598c9d21c7a2ebe2351512630ea80ae3f06f1012082079379ce3a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lol-tiered-elo-v4</t>
        </is>
      </c>
      <c r="BH33" s="24" t="inlineStr">
        <is>
          <t>2026-07-30T17:21:18.840084Z</t>
        </is>
      </c>
      <c r="BI33" s="24" t="inlineStr">
        <is>
          <t>["same_event","same_team_same_day","same_league_same_day"]</t>
        </is>
      </c>
      <c r="BJ33" s="25" t="n"/>
      <c r="BK33" s="26" t="n">
        <v>-122</v>
      </c>
      <c r="BL33" s="27" t="n">
        <v>1.819672</v>
      </c>
      <c r="BM33" s="28" t="n">
        <v>0.54955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7e7293f2d14d4167</t>
        </is>
      </c>
      <c r="B34" s="24" t="inlineStr">
        <is>
          <t>2026-07-30T17:21:29.146399Z</t>
        </is>
      </c>
      <c r="C34" s="24" t="inlineStr">
        <is>
          <t>2026-07-31T05:00:00Z</t>
        </is>
      </c>
      <c r="D34" s="24" t="inlineStr">
        <is>
          <t>64670</t>
        </is>
      </c>
      <c r="E34" s="24" t="inlineStr">
        <is>
          <t>LOL</t>
        </is>
      </c>
      <c r="F34" s="24" t="inlineStr">
        <is>
          <t>DN SOOPers Challengers</t>
        </is>
      </c>
      <c r="G34" s="24" t="inlineStr">
        <is>
          <t>KT Rolster Challengers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-138</v>
      </c>
      <c r="M34" s="27" t="n">
        <v>1.724638</v>
      </c>
      <c r="N34" s="28" t="n">
        <v>0.579832</v>
      </c>
      <c r="O34" s="28" t="n">
        <v>0.5802349999999999</v>
      </c>
      <c r="P34" s="28" t="n"/>
      <c r="Q34" s="28" t="n">
        <v>0.000403</v>
      </c>
      <c r="R34" s="26" t="n">
        <v>20</v>
      </c>
      <c r="S34" s="29" t="n">
        <v>1.25</v>
      </c>
      <c r="T34" s="24" t="inlineStr">
        <is>
          <t>lol-tiered-elo-v4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0.5800 (market_slug=aec-lol-ktc-dnsc-2026-07-31).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DN SOOPers Challengers</t>
        </is>
      </c>
      <c r="AQ34" s="24" t="inlineStr">
        <is>
          <t>DN SOOPers Challengers</t>
        </is>
      </c>
      <c r="AR34" s="24" t="inlineStr">
        <is>
          <t>DN SOOPers Challengers</t>
        </is>
      </c>
      <c r="AS34" s="24" t="inlineStr">
        <is>
          <t>KT Rolster Challengers</t>
        </is>
      </c>
      <c r="AT34" s="24" t="inlineStr">
        <is>
          <t>KT Rolster Challengers</t>
        </is>
      </c>
      <c r="AU34" s="24" t="inlineStr">
        <is>
          <t>KT Rolster Challengers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be4f8256d05598c9d21c7a2ebe2351512630ea80ae3f06f1012082079379ce3a</t>
        </is>
      </c>
      <c r="BB34" s="24" t="inlineStr">
        <is>
          <t>neutral_elo</t>
        </is>
      </c>
      <c r="BC34" s="24" t="inlineStr">
        <is>
          <t>lol-tiered-elo-v4</t>
        </is>
      </c>
      <c r="BD34" s="24" t="inlineStr">
        <is>
          <t>be4f8256d05598c9d21c7a2ebe2351512630ea80ae3f06f1012082079379ce3a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lol-tiered-elo-v4</t>
        </is>
      </c>
      <c r="BH34" s="24" t="inlineStr">
        <is>
          <t>2026-07-30T17:21:21.662513Z</t>
        </is>
      </c>
      <c r="BI34" s="24" t="inlineStr">
        <is>
          <t>["same_event","same_team_same_day","same_league_same_day"]</t>
        </is>
      </c>
      <c r="BJ34" s="25" t="n"/>
      <c r="BK34" s="26" t="n">
        <v>-138</v>
      </c>
      <c r="BL34" s="27" t="n">
        <v>1.724638</v>
      </c>
      <c r="BM34" s="28" t="n">
        <v>0.579832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18a37ad2eea547a2</t>
        </is>
      </c>
      <c r="B35" s="24" t="inlineStr">
        <is>
          <t>2026-07-30T17:21:29.146399Z</t>
        </is>
      </c>
      <c r="C35" s="24" t="inlineStr">
        <is>
          <t>2026-07-31T11:30:00Z</t>
        </is>
      </c>
      <c r="D35" s="24" t="inlineStr">
        <is>
          <t>64844</t>
        </is>
      </c>
      <c r="E35" s="24" t="inlineStr">
        <is>
          <t>LOL</t>
        </is>
      </c>
      <c r="F35" s="24" t="inlineStr">
        <is>
          <t>GAM Esports</t>
        </is>
      </c>
      <c r="G35" s="24" t="inlineStr">
        <is>
          <t>CTBC Flying Oyster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-156</v>
      </c>
      <c r="M35" s="27" t="n">
        <v>1.641026</v>
      </c>
      <c r="N35" s="28" t="n">
        <v>0.609375</v>
      </c>
      <c r="O35" s="28" t="n">
        <v>0.649952</v>
      </c>
      <c r="P35" s="28" t="n"/>
      <c r="Q35" s="28" t="n">
        <v>0.040577</v>
      </c>
      <c r="R35" s="26" t="n">
        <v>40</v>
      </c>
      <c r="S35" s="29" t="n">
        <v>2</v>
      </c>
      <c r="T35" s="24" t="inlineStr">
        <is>
          <t>lol-tiered-elo-v4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0.6100 (market_slug=aec-lol-cfo-gam-2026-07-31).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GAM Esports</t>
        </is>
      </c>
      <c r="AQ35" s="24" t="inlineStr">
        <is>
          <t>GAM Esports</t>
        </is>
      </c>
      <c r="AR35" s="24" t="inlineStr">
        <is>
          <t>GAM Esports</t>
        </is>
      </c>
      <c r="AS35" s="24" t="inlineStr">
        <is>
          <t>CTBC Flying Oyster</t>
        </is>
      </c>
      <c r="AT35" s="24" t="inlineStr">
        <is>
          <t>CTBC Flying Oyster</t>
        </is>
      </c>
      <c r="AU35" s="24" t="inlineStr">
        <is>
          <t>CTBC Flying Oyster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be4f8256d05598c9d21c7a2ebe2351512630ea80ae3f06f1012082079379ce3a</t>
        </is>
      </c>
      <c r="BB35" s="24" t="inlineStr">
        <is>
          <t>neutral_elo</t>
        </is>
      </c>
      <c r="BC35" s="24" t="inlineStr">
        <is>
          <t>lol-tiered-elo-v4</t>
        </is>
      </c>
      <c r="BD35" s="24" t="inlineStr">
        <is>
          <t>be4f8256d05598c9d21c7a2ebe2351512630ea80ae3f06f1012082079379ce3a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lol-tiered-elo-v4</t>
        </is>
      </c>
      <c r="BH35" s="24" t="inlineStr">
        <is>
          <t>2026-07-30T17:21:25.109653Z</t>
        </is>
      </c>
      <c r="BI35" s="24" t="inlineStr">
        <is>
          <t>["same_event","same_team_same_day","same_league_same_day"]</t>
        </is>
      </c>
      <c r="BJ35" s="25" t="n"/>
      <c r="BK35" s="26" t="n">
        <v>-156</v>
      </c>
      <c r="BL35" s="27" t="n">
        <v>1.641026</v>
      </c>
      <c r="BM35" s="28" t="n">
        <v>0.609375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7a93ca5c50f94dcd</t>
        </is>
      </c>
      <c r="B36" s="24" t="inlineStr">
        <is>
          <t>2026-07-30T17:21:29.146399Z</t>
        </is>
      </c>
      <c r="C36" s="24" t="inlineStr">
        <is>
          <t>2026-07-31T16:00:00Z</t>
        </is>
      </c>
      <c r="D36" s="24" t="inlineStr">
        <is>
          <t>65014</t>
        </is>
      </c>
      <c r="E36" s="24" t="inlineStr">
        <is>
          <t>LOL</t>
        </is>
      </c>
      <c r="F36" s="24" t="inlineStr">
        <is>
          <t>GMBLERS ESPORTS</t>
        </is>
      </c>
      <c r="G36" s="24" t="inlineStr">
        <is>
          <t>EKO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144</v>
      </c>
      <c r="M36" s="27" t="n">
        <v>2.44</v>
      </c>
      <c r="N36" s="28" t="n">
        <v>0.409836</v>
      </c>
      <c r="O36" s="28" t="n">
        <v>0.582579</v>
      </c>
      <c r="P36" s="28" t="n"/>
      <c r="Q36" s="28" t="n">
        <v>0.172743</v>
      </c>
      <c r="R36" s="26" t="n">
        <v>100</v>
      </c>
      <c r="S36" s="29" t="n">
        <v>1.25</v>
      </c>
      <c r="T36" s="24" t="inlineStr">
        <is>
          <t>lol-tiered-elo-v4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0.4100 (market_slug=aec-lol-eko-gmb-2026-07-31).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GMBLERS ESPORTS</t>
        </is>
      </c>
      <c r="AQ36" s="24" t="inlineStr">
        <is>
          <t>GMBLERS ESPORTS</t>
        </is>
      </c>
      <c r="AR36" s="24" t="inlineStr">
        <is>
          <t>GMBLERS ESPORTS</t>
        </is>
      </c>
      <c r="AS36" s="24" t="inlineStr">
        <is>
          <t>EKO Esports</t>
        </is>
      </c>
      <c r="AT36" s="24" t="inlineStr">
        <is>
          <t>EKO Esports</t>
        </is>
      </c>
      <c r="AU36" s="24" t="inlineStr">
        <is>
          <t>EKO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be4f8256d05598c9d21c7a2ebe2351512630ea80ae3f06f1012082079379ce3a</t>
        </is>
      </c>
      <c r="BB36" s="24" t="inlineStr">
        <is>
          <t>neutral_elo</t>
        </is>
      </c>
      <c r="BC36" s="24" t="inlineStr">
        <is>
          <t>lol-tiered-elo-v4</t>
        </is>
      </c>
      <c r="BD36" s="24" t="inlineStr">
        <is>
          <t>be4f8256d05598c9d21c7a2ebe2351512630ea80ae3f06f1012082079379ce3a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lol-tiered-elo-v4</t>
        </is>
      </c>
      <c r="BH36" s="24" t="inlineStr">
        <is>
          <t>2026-07-30T17:21:26.089989Z</t>
        </is>
      </c>
      <c r="BI36" s="24" t="inlineStr">
        <is>
          <t>["same_event","same_team_same_day","same_league_same_day"]</t>
        </is>
      </c>
      <c r="BJ36" s="25" t="n"/>
      <c r="BK36" s="26" t="n">
        <v>144</v>
      </c>
      <c r="BL36" s="27" t="n">
        <v>2.44</v>
      </c>
      <c r="BM36" s="28" t="n">
        <v>0.409836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a7fc679fa7f84dee</t>
        </is>
      </c>
      <c r="B37" s="24" t="inlineStr">
        <is>
          <t>2026-07-30T17:21:29.146399Z</t>
        </is>
      </c>
      <c r="C37" s="24" t="inlineStr">
        <is>
          <t>2026-07-31T21:00:00Z</t>
        </is>
      </c>
      <c r="D37" s="24" t="inlineStr">
        <is>
          <t>65517</t>
        </is>
      </c>
      <c r="E37" s="24" t="inlineStr">
        <is>
          <t>LOL</t>
        </is>
      </c>
      <c r="F37" s="24" t="inlineStr">
        <is>
          <t>Cupid Esports</t>
        </is>
      </c>
      <c r="G37" s="24" t="inlineStr">
        <is>
          <t>Maryville University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0.616673</v>
      </c>
      <c r="P37" s="28" t="n"/>
      <c r="Q37" s="28" t="n">
        <v>0.016673</v>
      </c>
      <c r="R37" s="26" t="n">
        <v>28</v>
      </c>
      <c r="S37" s="29" t="n">
        <v>1.75</v>
      </c>
      <c r="T37" s="24" t="inlineStr">
        <is>
          <t>lol-tiered-elo-v4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0.6000 (market_slug=aec-lol-mvu-cpd-2026-07-31).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Cupid Esports</t>
        </is>
      </c>
      <c r="AQ37" s="24" t="inlineStr">
        <is>
          <t>Cupid Esports</t>
        </is>
      </c>
      <c r="AR37" s="24" t="inlineStr">
        <is>
          <t>Cupid Esports</t>
        </is>
      </c>
      <c r="AS37" s="24" t="inlineStr">
        <is>
          <t>Maryville University</t>
        </is>
      </c>
      <c r="AT37" s="24" t="inlineStr">
        <is>
          <t>Maryville University</t>
        </is>
      </c>
      <c r="AU37" s="24" t="inlineStr">
        <is>
          <t>Maryville University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be4f8256d05598c9d21c7a2ebe2351512630ea80ae3f06f1012082079379ce3a</t>
        </is>
      </c>
      <c r="BB37" s="24" t="inlineStr">
        <is>
          <t>neutral_elo</t>
        </is>
      </c>
      <c r="BC37" s="24" t="inlineStr">
        <is>
          <t>lol-tiered-elo-v4</t>
        </is>
      </c>
      <c r="BD37" s="24" t="inlineStr">
        <is>
          <t>be4f8256d05598c9d21c7a2ebe2351512630ea80ae3f06f1012082079379ce3a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lol-tiered-elo-v4</t>
        </is>
      </c>
      <c r="BH37" s="24" t="inlineStr">
        <is>
          <t>2026-07-30T17:21:28.657597Z</t>
        </is>
      </c>
      <c r="BI37" s="24" t="inlineStr">
        <is>
          <t>["same_event","same_team_same_day","same_league_same_day"]</t>
        </is>
      </c>
      <c r="BJ37" s="25" t="n"/>
      <c r="BK37" s="26" t="n">
        <v>-150</v>
      </c>
      <c r="BL37" s="27" t="n">
        <v>1.666667</v>
      </c>
      <c r="BM37" s="28" t="n">
        <v>0.6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2026-07-30T17:23:04Z</dcterms:created>
  <dcterms:modified xsi:type="dcterms:W3CDTF">2026-07-30T17:23:05Z</dcterms:modified>
</cp:coreProperties>
</file>