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" headerRowCount="1">
  <autoFilter ref="A1:CQ11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COUNTA('Picks'!$A$2:$A$11)</f>
        <v/>
      </c>
      <c r="C4" s="6">
        <f>COUNTIF('Picks'!$U$2:$U$11,"open")</f>
        <v/>
      </c>
      <c r="E4" s="6">
        <f>COUNTIF('Picks'!$U$2:$U$11,"settled")</f>
        <v/>
      </c>
      <c r="G4" s="6">
        <f>IF(COUNTIFS('Picks'!$U$2:$U$11,"settled",'Picks'!$V$2:$V$11,"win")+COUNTIFS('Picks'!$U$2:$U$11,"settled",'Picks'!$V$2:$V$11,"loss")&gt;=$L$2,"Ready","Insufficient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COUNTIF('Picks'!$BX$2:$BX$11,"&gt;0")</f>
        <v/>
      </c>
      <c r="C7" s="6">
        <f>COUNTIFS('Picks'!$BX$2:$BX$11,"&gt;0",'Picks'!$V$2:$V$11,"win")&amp;"-"&amp;COUNTIFS('Picks'!$BX$2:$BX$11,"&gt;0",'Picks'!$V$2:$V$11,"loss")</f>
        <v/>
      </c>
      <c r="E7" s="7">
        <f>IFERROR(COUNTIFS('Picks'!$BX$2:$BX$11,"&gt;0",'Picks'!$V$2:$V$11,"win")/(COUNTIFS('Picks'!$BX$2:$BX$11,"&gt;0",'Picks'!$V$2:$V$11,"win")+COUNTIFS('Picks'!$BX$2:$BX$11,"&gt;0",'Picks'!$V$2:$V$11,"loss")),0)</f>
        <v/>
      </c>
      <c r="G7" s="7">
        <f>IFERROR(SUM('Picks'!$BY$2:$BY$11)/SUM('Picks'!$BX$2:$BX$11),0)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SUM('Picks'!$BY$2:$BY$11)</f>
        <v/>
      </c>
      <c r="C10" s="9">
        <f>IFERROR(AVERAGEIF('Picks'!$AB$2:$AB$11,"&lt;&gt;",'Picks'!$AB$2:$AB$11),0)</f>
        <v/>
      </c>
      <c r="E10" s="6">
        <f>COUNTIFS('Picks'!$AM$2:$AM$11,"QUALIFIED_SHADOW_CALL",'Picks'!$U$2:$U$11,"settled")</f>
        <v/>
      </c>
      <c r="G10" s="8">
        <f>SUMIFS('Picks'!$AC$2:$AC$11,'Picks'!$AM$2:$AM$11,"QUALIFIED_SHADOW_CALL")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COUNTIFS('Picks'!$H$2:$H$11,$A14,'Picks'!$U$2:$U$11,"settled")</f>
        <v/>
      </c>
      <c r="C14" s="13">
        <f>COUNTIFS('Picks'!$H$2:$H$11,$A14,'Picks'!$U$2:$U$11,"settled",'Picks'!$V$2:$V$11,"win")</f>
        <v/>
      </c>
      <c r="D14" s="13">
        <f>COUNTIFS('Picks'!$H$2:$H$11,$A14,'Picks'!$U$2:$U$11,"settled",'Picks'!$V$2:$V$11,"loss")</f>
        <v/>
      </c>
      <c r="E14" s="14">
        <f>IFERROR(C14/(C14+D14),0)</f>
        <v/>
      </c>
      <c r="F14" s="15">
        <f>SUMIFS('Picks'!$BY$2:$BY$11,'Picks'!$H$2:$H$11,$A14)</f>
        <v/>
      </c>
      <c r="G14" s="16">
        <f>IFERROR(AVERAGEIFS('Picks'!$AB$2:$AB$11,'Picks'!$H$2:$H$11,$A14,'Picks'!$U$2:$U$11,"settled"),0)</f>
        <v/>
      </c>
    </row>
    <row r="15">
      <c r="A15" s="17" t="inlineStr">
        <is>
          <t>spread</t>
        </is>
      </c>
      <c r="B15" s="18">
        <f>COUNTIFS('Picks'!$H$2:$H$11,$A15,'Picks'!$U$2:$U$11,"settled")</f>
        <v/>
      </c>
      <c r="C15" s="18">
        <f>COUNTIFS('Picks'!$H$2:$H$11,$A15,'Picks'!$U$2:$U$11,"settled",'Picks'!$V$2:$V$11,"win")</f>
        <v/>
      </c>
      <c r="D15" s="18">
        <f>COUNTIFS('Picks'!$H$2:$H$11,$A15,'Picks'!$U$2:$U$11,"settled",'Picks'!$V$2:$V$11,"loss")</f>
        <v/>
      </c>
      <c r="E15" s="19">
        <f>IFERROR(C15/(C15+D15),0)</f>
        <v/>
      </c>
      <c r="F15" s="20">
        <f>SUMIFS('Picks'!$BY$2:$BY$11,'Picks'!$H$2:$H$11,$A15)</f>
        <v/>
      </c>
      <c r="G15" s="21">
        <f>IFERROR(AVERAGEIFS('Picks'!$AB$2:$AB$11,'Picks'!$H$2:$H$11,$A15,'Picks'!$U$2:$U$11,"settled"),0)</f>
        <v/>
      </c>
    </row>
    <row r="16">
      <c r="A16" s="12" t="inlineStr">
        <is>
          <t>total</t>
        </is>
      </c>
      <c r="B16" s="13">
        <f>COUNTIFS('Picks'!$H$2:$H$11,$A16,'Picks'!$U$2:$U$11,"settled")</f>
        <v/>
      </c>
      <c r="C16" s="13">
        <f>COUNTIFS('Picks'!$H$2:$H$11,$A16,'Picks'!$U$2:$U$11,"settled",'Picks'!$V$2:$V$11,"win")</f>
        <v/>
      </c>
      <c r="D16" s="13">
        <f>COUNTIFS('Picks'!$H$2:$H$11,$A16,'Picks'!$U$2:$U$11,"settled",'Picks'!$V$2:$V$11,"loss")</f>
        <v/>
      </c>
      <c r="E16" s="14">
        <f>IFERROR(C16/(C16+D16),0)</f>
        <v/>
      </c>
      <c r="F16" s="15">
        <f>SUMIFS('Picks'!$BY$2:$BY$11,'Picks'!$H$2:$H$11,$A16)</f>
        <v/>
      </c>
      <c r="G16" s="16">
        <f>IFERROR(AVERAGEIFS('Picks'!$AB$2:$AB$11,'Picks'!$H$2:$H$11,$A16,'Picks'!$U$2:$U$11,"settled"),0)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inlineStr">
        <is>
          <t>True</t>
        </is>
      </c>
    </row>
    <row r="8" ht="36" customHeight="1">
      <c r="A8" s="24" t="inlineStr">
        <is>
          <t>93e6957068f54f9a</t>
        </is>
      </c>
      <c r="B8" s="24" t="inlineStr">
        <is>
          <t>2026-08-02T18:12:25.393675Z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-223</v>
      </c>
      <c r="M8" s="27" t="n">
        <v>1.44843</v>
      </c>
      <c r="N8" s="28" t="n">
        <v>0.690402</v>
      </c>
      <c r="O8" s="28" t="n">
        <v>0.70331</v>
      </c>
      <c r="P8" s="28" t="n"/>
      <c r="Q8" s="28" t="n">
        <v>0.012908</v>
      </c>
      <c r="R8" s="26" t="n">
        <v>26</v>
      </c>
      <c r="S8" s="29" t="n">
        <v>2</v>
      </c>
      <c r="T8" s="24" t="inlineStr">
        <is>
          <t>lol-tiered-elo-v5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0.6900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4f36308eb4ef5b33d9e3dc1ce778f2d60fa81380dd8ffa234241836516487e8e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4f36308eb4ef5b33d9e3dc1ce778f2d60fa81380dd8ffa234241836516487e8e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2026-08-02T18:12:18.085863Z</t>
        </is>
      </c>
      <c r="BI8" s="24" t="inlineStr">
        <is>
          <t>["same_event","same_team_same_day","same_league_same_day"]</t>
        </is>
      </c>
      <c r="BJ8" s="25" t="n"/>
      <c r="BK8" s="26" t="n">
        <v>-223</v>
      </c>
      <c r="BL8" s="27" t="n">
        <v>1.44843</v>
      </c>
      <c r="BM8" s="28" t="n">
        <v>0.690402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inlineStr">
        <is>
          <t>True</t>
        </is>
      </c>
    </row>
    <row r="9" ht="36" customHeight="1">
      <c r="A9" s="24" t="inlineStr">
        <is>
          <t>44df308626db4f59</t>
        </is>
      </c>
      <c r="B9" s="24" t="inlineStr">
        <is>
          <t>2026-08-02T18:12:25.393675Z</t>
        </is>
      </c>
      <c r="C9" s="24" t="inlineStr">
        <is>
          <t>2026-08-03T10:30:00Z</t>
        </is>
      </c>
      <c r="D9" s="24" t="inlineStr">
        <is>
          <t>67515</t>
        </is>
      </c>
      <c r="E9" s="24" t="inlineStr">
        <is>
          <t>LOL</t>
        </is>
      </c>
      <c r="F9" s="24" t="inlineStr">
        <is>
          <t>T1</t>
        </is>
      </c>
      <c r="G9" s="24" t="inlineStr">
        <is>
          <t>Nongshim Red Force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0.746406</v>
      </c>
      <c r="P9" s="28" t="n"/>
      <c r="Q9" s="28" t="n">
        <v>0.137031</v>
      </c>
      <c r="R9" s="26" t="n">
        <v>89</v>
      </c>
      <c r="S9" s="29" t="n">
        <v>2</v>
      </c>
      <c r="T9" s="24" t="inlineStr">
        <is>
          <t>lol-tiered-elo-v5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0.6100 (market_slug=aec-lol-ns-t1-2026-08-03).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T1</t>
        </is>
      </c>
      <c r="AQ9" s="24" t="inlineStr">
        <is>
          <t>T1</t>
        </is>
      </c>
      <c r="AR9" s="24" t="inlineStr">
        <is>
          <t>T1</t>
        </is>
      </c>
      <c r="AS9" s="24" t="inlineStr">
        <is>
          <t>Nongshim Red Force</t>
        </is>
      </c>
      <c r="AT9" s="24" t="inlineStr">
        <is>
          <t>Nongshim Red Force</t>
        </is>
      </c>
      <c r="AU9" s="24" t="inlineStr">
        <is>
          <t>Nongshim Red Force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4f36308eb4ef5b33d9e3dc1ce778f2d60fa81380dd8ffa234241836516487e8e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4f36308eb4ef5b33d9e3dc1ce778f2d60fa81380dd8ffa234241836516487e8e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2026-08-02T18:12:18.584911Z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  <row r="10" ht="36" customHeight="1">
      <c r="A10" s="24" t="inlineStr">
        <is>
          <t>2620d69bf9fa4526</t>
        </is>
      </c>
      <c r="B10" s="24" t="inlineStr">
        <is>
          <t>2026-08-02T18:12:25.393675Z</t>
        </is>
      </c>
      <c r="C10" s="24" t="inlineStr">
        <is>
          <t>2026-08-03T15:00:00Z</t>
        </is>
      </c>
      <c r="D10" s="24" t="inlineStr">
        <is>
          <t>67566</t>
        </is>
      </c>
      <c r="E10" s="24" t="inlineStr">
        <is>
          <t>LOL</t>
        </is>
      </c>
      <c r="F10" s="24" t="inlineStr">
        <is>
          <t>Shifters</t>
        </is>
      </c>
      <c r="G10" s="24" t="inlineStr">
        <is>
          <t>Natus Vincere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-233</v>
      </c>
      <c r="M10" s="27" t="n">
        <v>1.429185</v>
      </c>
      <c r="N10" s="28" t="n">
        <v>0.6997</v>
      </c>
      <c r="O10" s="28" t="n">
        <v>0.746125</v>
      </c>
      <c r="P10" s="28" t="n"/>
      <c r="Q10" s="28" t="n">
        <v>0.046425</v>
      </c>
      <c r="R10" s="26" t="n">
        <v>43</v>
      </c>
      <c r="S10" s="29" t="n">
        <v>2</v>
      </c>
      <c r="T10" s="24" t="inlineStr">
        <is>
          <t>lol-tiered-elo-v5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0.7000 (market_slug=aec-lol-navi-shft-2026-08-03).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Shifters</t>
        </is>
      </c>
      <c r="AQ10" s="24" t="inlineStr">
        <is>
          <t>Shifters</t>
        </is>
      </c>
      <c r="AR10" s="24" t="inlineStr">
        <is>
          <t>Shifters</t>
        </is>
      </c>
      <c r="AS10" s="24" t="inlineStr">
        <is>
          <t>Natus Vincere</t>
        </is>
      </c>
      <c r="AT10" s="24" t="inlineStr">
        <is>
          <t>Natus Vincere</t>
        </is>
      </c>
      <c r="AU10" s="24" t="inlineStr">
        <is>
          <t>Natus Vincere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4f36308eb4ef5b33d9e3dc1ce778f2d60fa81380dd8ffa234241836516487e8e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4f36308eb4ef5b33d9e3dc1ce778f2d60fa81380dd8ffa234241836516487e8e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2026-08-02T18:12:19.163906Z</t>
        </is>
      </c>
      <c r="BI10" s="24" t="inlineStr">
        <is>
          <t>["same_event","same_team_same_day","same_league_same_day"]</t>
        </is>
      </c>
      <c r="BJ10" s="25" t="n"/>
      <c r="BK10" s="26" t="n">
        <v>-233</v>
      </c>
      <c r="BL10" s="27" t="n">
        <v>1.429185</v>
      </c>
      <c r="BM10" s="28" t="n">
        <v>0.6997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inlineStr">
        <is>
          <t>True</t>
        </is>
      </c>
    </row>
    <row r="11" ht="36" customHeight="1">
      <c r="A11" s="24" t="inlineStr">
        <is>
          <t>7d592c48ea8e4cbd</t>
        </is>
      </c>
      <c r="B11" s="24" t="inlineStr">
        <is>
          <t>2026-08-02T18:12:25.393675Z</t>
        </is>
      </c>
      <c r="C11" s="24" t="inlineStr">
        <is>
          <t>2026-08-03T20:00:00Z</t>
        </is>
      </c>
      <c r="D11" s="24" t="inlineStr">
        <is>
          <t>67937</t>
        </is>
      </c>
      <c r="E11" s="24" t="inlineStr">
        <is>
          <t>LOL</t>
        </is>
      </c>
      <c r="F11" s="24" t="inlineStr">
        <is>
          <t>Docta Esports</t>
        </is>
      </c>
      <c r="G11" s="24" t="inlineStr">
        <is>
          <t>Volticons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0.649195</v>
      </c>
      <c r="P11" s="28" t="n"/>
      <c r="Q11" s="28" t="n">
        <v>0.059031</v>
      </c>
      <c r="R11" s="26" t="n">
        <v>50</v>
      </c>
      <c r="S11" s="29" t="n">
        <v>1.75</v>
      </c>
      <c r="T11" s="24" t="inlineStr">
        <is>
          <t>lol-tiered-elo-v5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0.5900 (market_slug=aec-lol-vtc-doh-2026-08-03).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Docta Esports</t>
        </is>
      </c>
      <c r="AQ11" s="24" t="inlineStr">
        <is>
          <t>Docta Esports</t>
        </is>
      </c>
      <c r="AR11" s="24" t="inlineStr">
        <is>
          <t>Docta Esports</t>
        </is>
      </c>
      <c r="AS11" s="24" t="inlineStr">
        <is>
          <t>Volticons</t>
        </is>
      </c>
      <c r="AT11" s="24" t="inlineStr">
        <is>
          <t>Volticons</t>
        </is>
      </c>
      <c r="AU11" s="24" t="inlineStr">
        <is>
          <t>Volticons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4f36308eb4ef5b33d9e3dc1ce778f2d60fa81380dd8ffa234241836516487e8e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4f36308eb4ef5b33d9e3dc1ce778f2d60fa81380dd8ffa234241836516487e8e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2026-08-02T18:12:22.895388Z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2026-08-02T18:12:33Z</dcterms:created>
  <dcterms:modified xsi:type="dcterms:W3CDTF">2026-08-02T18:12:33Z</dcterms:modified>
</cp:coreProperties>
</file>