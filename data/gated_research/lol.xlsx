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37" headerRowCount="1">
  <autoFilter ref="A1:CS3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COUNTA('Picks'!$A$2:$A$37)</f>
        <v/>
      </c>
      <c r="C4" s="6">
        <f>COUNTIF('Picks'!$U$2:$U$37,"open")</f>
        <v/>
      </c>
      <c r="E4" s="6">
        <f>COUNTIF('Picks'!$U$2:$U$37,"settled")</f>
        <v/>
      </c>
      <c r="G4" s="6">
        <f>IF(COUNTIFS('Picks'!$U$2:$U$37,"settled",'Picks'!$V$2:$V$37,"win")+COUNTIFS('Picks'!$U$2:$U$37,"settled",'Picks'!$V$2:$V$37,"loss")&gt;=$L$2,"Ready","Insufficient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COUNTIF('Picks'!$BX$2:$BX$37,"&gt;0")</f>
        <v/>
      </c>
      <c r="C7" s="6">
        <f>COUNTIFS('Picks'!$BX$2:$BX$37,"&gt;0",'Picks'!$V$2:$V$37,"win")&amp;"-"&amp;COUNTIFS('Picks'!$BX$2:$BX$37,"&gt;0",'Picks'!$V$2:$V$37,"loss")</f>
        <v/>
      </c>
      <c r="E7" s="7">
        <f>IFERROR(COUNTIFS('Picks'!$BX$2:$BX$37,"&gt;0",'Picks'!$V$2:$V$37,"win")/(COUNTIFS('Picks'!$BX$2:$BX$37,"&gt;0",'Picks'!$V$2:$V$37,"win")+COUNTIFS('Picks'!$BX$2:$BX$37,"&gt;0",'Picks'!$V$2:$V$37,"loss")),0)</f>
        <v/>
      </c>
      <c r="G7" s="7">
        <f>IFERROR(SUM('Picks'!$BY$2:$BY$37)/SUM('Picks'!$BX$2:$BX$37),0)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SUM('Picks'!$BY$2:$BY$37)</f>
        <v/>
      </c>
      <c r="C10" s="9">
        <f>IFERROR(AVERAGEIF('Picks'!$AB$2:$AB$37,"&lt;&gt;",'Picks'!$AB$2:$AB$37),0)</f>
        <v/>
      </c>
      <c r="E10" s="6">
        <f>COUNTIFS('Picks'!$AM$2:$AM$37,"QUALIFIED_SHADOW_CALL",'Picks'!$U$2:$U$37,"settled")</f>
        <v/>
      </c>
      <c r="G10" s="8">
        <f>SUMIFS('Picks'!$AC$2:$AC$37,'Picks'!$AM$2:$AM$37,"QUALIFIED_SHADOW_CALL")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COUNTIFS('Picks'!$H$2:$H$37,$A14,'Picks'!$U$2:$U$37,"settled")</f>
        <v/>
      </c>
      <c r="C14" s="13">
        <f>COUNTIFS('Picks'!$H$2:$H$37,$A14,'Picks'!$U$2:$U$37,"settled",'Picks'!$V$2:$V$37,"win")</f>
        <v/>
      </c>
      <c r="D14" s="13">
        <f>COUNTIFS('Picks'!$H$2:$H$37,$A14,'Picks'!$U$2:$U$37,"settled",'Picks'!$V$2:$V$37,"loss")</f>
        <v/>
      </c>
      <c r="E14" s="14">
        <f>IFERROR(C14/(C14+D14),0)</f>
        <v/>
      </c>
      <c r="F14" s="15">
        <f>SUMIFS('Picks'!$BY$2:$BY$37,'Picks'!$H$2:$H$37,$A14)</f>
        <v/>
      </c>
      <c r="G14" s="16">
        <f>IFERROR(AVERAGEIFS('Picks'!$AB$2:$AB$37,'Picks'!$H$2:$H$37,$A14,'Picks'!$U$2:$U$37,"settled"),0)</f>
        <v/>
      </c>
    </row>
    <row r="15">
      <c r="A15" s="17" t="inlineStr">
        <is>
          <t>spread</t>
        </is>
      </c>
      <c r="B15" s="18">
        <f>COUNTIFS('Picks'!$H$2:$H$37,$A15,'Picks'!$U$2:$U$37,"settled")</f>
        <v/>
      </c>
      <c r="C15" s="18">
        <f>COUNTIFS('Picks'!$H$2:$H$37,$A15,'Picks'!$U$2:$U$37,"settled",'Picks'!$V$2:$V$37,"win")</f>
        <v/>
      </c>
      <c r="D15" s="18">
        <f>COUNTIFS('Picks'!$H$2:$H$37,$A15,'Picks'!$U$2:$U$37,"settled",'Picks'!$V$2:$V$37,"loss")</f>
        <v/>
      </c>
      <c r="E15" s="19">
        <f>IFERROR(C15/(C15+D15),0)</f>
        <v/>
      </c>
      <c r="F15" s="20">
        <f>SUMIFS('Picks'!$BY$2:$BY$37,'Picks'!$H$2:$H$37,$A15)</f>
        <v/>
      </c>
      <c r="G15" s="21">
        <f>IFERROR(AVERAGEIFS('Picks'!$AB$2:$AB$37,'Picks'!$H$2:$H$37,$A15,'Picks'!$U$2:$U$37,"settled"),0)</f>
        <v/>
      </c>
    </row>
    <row r="16">
      <c r="A16" s="12" t="inlineStr">
        <is>
          <t>total</t>
        </is>
      </c>
      <c r="B16" s="13">
        <f>COUNTIFS('Picks'!$H$2:$H$37,$A16,'Picks'!$U$2:$U$37,"settled")</f>
        <v/>
      </c>
      <c r="C16" s="13">
        <f>COUNTIFS('Picks'!$H$2:$H$37,$A16,'Picks'!$U$2:$U$37,"settled",'Picks'!$V$2:$V$37,"win")</f>
        <v/>
      </c>
      <c r="D16" s="13">
        <f>COUNTIFS('Picks'!$H$2:$H$37,$A16,'Picks'!$U$2:$U$37,"settled",'Picks'!$V$2:$V$37,"loss")</f>
        <v/>
      </c>
      <c r="E16" s="14">
        <f>IFERROR(C16/(C16+D16),0)</f>
        <v/>
      </c>
      <c r="F16" s="15">
        <f>SUMIFS('Picks'!$BY$2:$BY$37,'Picks'!$H$2:$H$37,$A16)</f>
        <v/>
      </c>
      <c r="G16" s="16">
        <f>IFERROR(AVERAGEIFS('Picks'!$AB$2:$AB$37,'Picks'!$H$2:$H$37,$A16,'Picks'!$U$2:$U$37,"settled"),0)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be2db88654a24a40</t>
        </is>
      </c>
      <c r="B11" s="24" t="inlineStr">
        <is>
          <t>2026-08-04T15:04:56.339784Z</t>
        </is>
      </c>
      <c r="C11" s="24" t="inlineStr">
        <is>
          <t>2026-08-04T16:00:00Z</t>
        </is>
      </c>
      <c r="D11" s="24" t="inlineStr">
        <is>
          <t>68509</t>
        </is>
      </c>
      <c r="E11" s="24" t="inlineStr">
        <is>
          <t>LOL</t>
        </is>
      </c>
      <c r="F11" s="24" t="inlineStr">
        <is>
          <t>Skillcamp Esport</t>
        </is>
      </c>
      <c r="G11" s="24" t="inlineStr">
        <is>
          <t>Ici Japon Corp. Esport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-138</v>
      </c>
      <c r="M11" s="27" t="n">
        <v>1.724638</v>
      </c>
      <c r="N11" s="28" t="n">
        <v>0.579832</v>
      </c>
      <c r="O11" s="28" t="n">
        <v>0.631258</v>
      </c>
      <c r="P11" s="28" t="n"/>
      <c r="Q11" s="28" t="n">
        <v>0.051426</v>
      </c>
      <c r="R11" s="26" t="n">
        <v>46</v>
      </c>
      <c r="S11" s="29" t="n">
        <v>1.5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-138</v>
      </c>
      <c r="AA11" s="28" t="n">
        <v>0.58</v>
      </c>
      <c r="AB11" s="28" t="n">
        <v>0.000168</v>
      </c>
      <c r="AC11" s="30" t="n">
        <v>-1.5</v>
      </c>
      <c r="AD11" s="24" t="inlineStr">
        <is>
          <t>2026-08-04T18:04:51.571209Z</t>
        </is>
      </c>
      <c r="AE11" s="31" t="inlineStr">
        <is>
          <t>Neutral Elo baseline; executable ask 0.5800 (market_slug=aec-lol-ijc-sc-2026-08-04).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Skillcamp Esport</t>
        </is>
      </c>
      <c r="AQ11" s="24" t="inlineStr">
        <is>
          <t>Skillcamp Esport</t>
        </is>
      </c>
      <c r="AR11" s="24" t="inlineStr">
        <is>
          <t>Skillcamp Esport</t>
        </is>
      </c>
      <c r="AS11" s="24" t="inlineStr">
        <is>
          <t>Ici Japon Corp. Esport</t>
        </is>
      </c>
      <c r="AT11" s="24" t="inlineStr">
        <is>
          <t>Ici Japon Corp. Esport</t>
        </is>
      </c>
      <c r="AU11" s="24" t="inlineStr">
        <is>
          <t>Ici Japon Corp.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70926375efdbac84dce8c51337c5a10529e7ee005d64ab556a8536dd0bdf8d2f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70926375efdbac84dce8c51337c5a10529e7ee005d64ab556a8536dd0bdf8d2f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2026-08-04T15:04:19.459782Z</t>
        </is>
      </c>
      <c r="BI11" s="24" t="inlineStr">
        <is>
          <t>["same_event","same_team_same_day","same_league_same_day"]</t>
        </is>
      </c>
      <c r="BJ11" s="25" t="n"/>
      <c r="BK11" s="26" t="n">
        <v>-138</v>
      </c>
      <c r="BL11" s="27" t="n">
        <v>1.724638</v>
      </c>
      <c r="BM11" s="28" t="n">
        <v>0.579832</v>
      </c>
      <c r="BN11" s="28" t="n"/>
      <c r="BO11" s="28" t="n"/>
      <c r="BP11" s="25" t="n"/>
      <c r="BQ11" s="27" t="n">
        <v>1.724638</v>
      </c>
      <c r="BR11" s="28" t="n">
        <v>0.58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e7b27a6351004271</t>
        </is>
      </c>
      <c r="B12" s="24" t="inlineStr">
        <is>
          <t>2026-08-04T16:54:52.896251Z</t>
        </is>
      </c>
      <c r="C12" s="24" t="inlineStr">
        <is>
          <t>2026-08-04T18:00:00Z</t>
        </is>
      </c>
      <c r="D12" s="24" t="inlineStr">
        <is>
          <t>68688</t>
        </is>
      </c>
      <c r="E12" s="24" t="inlineStr">
        <is>
          <t>LOL</t>
        </is>
      </c>
      <c r="F12" s="24" t="inlineStr">
        <is>
          <t>Joblife</t>
        </is>
      </c>
      <c r="G12" s="24" t="inlineStr">
        <is>
          <t>ZYB Esport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0.530674</v>
      </c>
      <c r="P12" s="28" t="n"/>
      <c r="Q12" s="28" t="n">
        <v>0.02087</v>
      </c>
      <c r="R12" s="26" t="n">
        <v>30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-104</v>
      </c>
      <c r="AA12" s="28" t="n">
        <v>0.51</v>
      </c>
      <c r="AB12" s="28" t="n">
        <v>0.000196</v>
      </c>
      <c r="AC12" s="30" t="n">
        <v>0.9615</v>
      </c>
      <c r="AD12" s="24" t="inlineStr">
        <is>
          <t>2026-08-04T22:00:06.736199Z</t>
        </is>
      </c>
      <c r="AE12" s="31" t="inlineStr">
        <is>
          <t>Neutral Elo baseline; executable ask 0.5100 (market_slug=aec-lol-zyb-jl-2026-08-04).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Joblife</t>
        </is>
      </c>
      <c r="AQ12" s="24" t="inlineStr">
        <is>
          <t>Joblife</t>
        </is>
      </c>
      <c r="AR12" s="24" t="inlineStr">
        <is>
          <t>Joblife</t>
        </is>
      </c>
      <c r="AS12" s="24" t="inlineStr">
        <is>
          <t>ZYB Esport</t>
        </is>
      </c>
      <c r="AT12" s="24" t="inlineStr">
        <is>
          <t>ZYB Esport</t>
        </is>
      </c>
      <c r="AU12" s="24" t="inlineStr">
        <is>
          <t>ZYB Esport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5bcf4e232e6e233164ffd78633a5487d986e0433e7ea70b93f7ff1c53933694d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5bcf4e232e6e233164ffd78633a5487d986e0433e7ea70b93f7ff1c53933694d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2026-08-04T16:54:19.630031Z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3f74d898ac9646d8</t>
        </is>
      </c>
      <c r="B13" s="24" t="inlineStr">
        <is>
          <t>2026-08-04T18:08:50.279200Z</t>
        </is>
      </c>
      <c r="C13" s="24" t="inlineStr">
        <is>
          <t>2026-08-04T20:00:00Z</t>
        </is>
      </c>
      <c r="D13" s="24" t="inlineStr">
        <is>
          <t>69144</t>
        </is>
      </c>
      <c r="E13" s="24" t="inlineStr">
        <is>
          <t>LOL</t>
        </is>
      </c>
      <c r="F13" s="24" t="inlineStr">
        <is>
          <t>INTZ e-Sports</t>
        </is>
      </c>
      <c r="G13" s="24" t="inlineStr">
        <is>
          <t>Vivo Keyd Stars Academy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0.56541</v>
      </c>
      <c r="P13" s="28" t="n"/>
      <c r="Q13" s="28" t="n">
        <v>0.11496</v>
      </c>
      <c r="R13" s="26" t="n">
        <v>77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-1</v>
      </c>
      <c r="AD13" s="24" t="inlineStr">
        <is>
          <t>2026-08-04T22:00:08.029029Z</t>
        </is>
      </c>
      <c r="AE13" s="31" t="inlineStr">
        <is>
          <t>Neutral Elo baseline; executable ask 0.4500 (market_slug=aec-lol-vksa-itz-2026-08-04).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INTZ e-Sports</t>
        </is>
      </c>
      <c r="AQ13" s="24" t="inlineStr">
        <is>
          <t>INTZ e-Sports</t>
        </is>
      </c>
      <c r="AR13" s="24" t="inlineStr">
        <is>
          <t>INTZ e-Sports</t>
        </is>
      </c>
      <c r="AS13" s="24" t="inlineStr">
        <is>
          <t>Vivo Keyd Stars Academy</t>
        </is>
      </c>
      <c r="AT13" s="24" t="inlineStr">
        <is>
          <t>Vivo Keyd Stars Academy</t>
        </is>
      </c>
      <c r="AU13" s="24" t="inlineStr">
        <is>
          <t>Vivo Keyd Stars Academy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581bb511aff842f9af01d132a2c739b65878388c9d1d8f1182f28b3c271e9a2c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581bb511aff842f9af01d132a2c739b65878388c9d1d8f1182f28b3c271e9a2c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2026-08-04T18:08:14.538966Z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826e1c0eddf0473f</t>
        </is>
      </c>
      <c r="B14" s="24" t="inlineStr">
        <is>
          <t>2026-08-04T18:08:50.279200Z</t>
        </is>
      </c>
      <c r="C14" s="24" t="inlineStr">
        <is>
          <t>2026-08-04T20:00:00Z</t>
        </is>
      </c>
      <c r="D14" s="24" t="inlineStr">
        <is>
          <t>69141</t>
        </is>
      </c>
      <c r="E14" s="24" t="inlineStr">
        <is>
          <t>LOL</t>
        </is>
      </c>
      <c r="F14" s="24" t="inlineStr">
        <is>
          <t>Vitality.Bee</t>
        </is>
      </c>
      <c r="G14" s="24" t="inlineStr">
        <is>
          <t>Karmine Corp Blue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0.663313</v>
      </c>
      <c r="P14" s="28" t="n"/>
      <c r="Q14" s="28" t="n">
        <v>0.003449</v>
      </c>
      <c r="R14" s="26" t="n">
        <v>22</v>
      </c>
      <c r="S14" s="29" t="n">
        <v>1.75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-194</v>
      </c>
      <c r="AA14" s="28" t="n">
        <v>0.66</v>
      </c>
      <c r="AB14" s="28" t="n">
        <v>0.000136</v>
      </c>
      <c r="AC14" s="30" t="n">
        <v>0.9021</v>
      </c>
      <c r="AD14" s="24" t="inlineStr">
        <is>
          <t>2026-08-04T22:00:09.282327Z</t>
        </is>
      </c>
      <c r="AE14" s="31" t="inlineStr">
        <is>
          <t>Neutral Elo baseline; executable ask 0.6600 (market_slug=aec-lol-kcb-vitb-2026-08-04).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Vitality.Bee</t>
        </is>
      </c>
      <c r="AQ14" s="24" t="inlineStr">
        <is>
          <t>Vitality.Bee</t>
        </is>
      </c>
      <c r="AR14" s="24" t="inlineStr">
        <is>
          <t>Vitality.Bee</t>
        </is>
      </c>
      <c r="AS14" s="24" t="inlineStr">
        <is>
          <t>Karmine Corp Blue</t>
        </is>
      </c>
      <c r="AT14" s="24" t="inlineStr">
        <is>
          <t>Karmine Corp Blue</t>
        </is>
      </c>
      <c r="AU14" s="24" t="inlineStr">
        <is>
          <t>Karmine Corp Blue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581bb511aff842f9af01d132a2c739b65878388c9d1d8f1182f28b3c271e9a2c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581bb511aff842f9af01d132a2c739b65878388c9d1d8f1182f28b3c271e9a2c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2026-08-04T18:08:15.286337Z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>
        <v>1.515464</v>
      </c>
      <c r="BR14" s="28" t="n">
        <v>0.66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e87b40da89ed44aa</t>
        </is>
      </c>
      <c r="B15" s="24" t="inlineStr">
        <is>
          <t>2026-08-04T18:08:50.279200Z</t>
        </is>
      </c>
      <c r="C15" s="24" t="inlineStr">
        <is>
          <t>2026-08-04T21:00:00Z</t>
        </is>
      </c>
      <c r="D15" s="24" t="inlineStr">
        <is>
          <t>69233</t>
        </is>
      </c>
      <c r="E15" s="24" t="inlineStr">
        <is>
          <t>LOL</t>
        </is>
      </c>
      <c r="F15" s="24" t="inlineStr">
        <is>
          <t>Team Solid</t>
        </is>
      </c>
      <c r="G15" s="24" t="inlineStr">
        <is>
          <t>RED Academy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0.552115</v>
      </c>
      <c r="P15" s="28" t="n"/>
      <c r="Q15" s="28" t="n">
        <v>0.222082</v>
      </c>
      <c r="R15" s="26" t="n">
        <v>100</v>
      </c>
      <c r="S15" s="29" t="n">
        <v>1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2026-08-05T01:06:40.231508Z</t>
        </is>
      </c>
      <c r="AE15" s="31" t="inlineStr">
        <is>
          <t>Neutral Elo baseline; executable ask 0.3300 (market_slug=aec-lol-reda-tse-2026-08-04).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Solid</t>
        </is>
      </c>
      <c r="AQ15" s="24" t="inlineStr">
        <is>
          <t>Team Solid</t>
        </is>
      </c>
      <c r="AR15" s="24" t="inlineStr">
        <is>
          <t>Team Solid</t>
        </is>
      </c>
      <c r="AS15" s="24" t="inlineStr">
        <is>
          <t>RED Academy</t>
        </is>
      </c>
      <c r="AT15" s="24" t="inlineStr">
        <is>
          <t>RED Academy</t>
        </is>
      </c>
      <c r="AU15" s="24" t="inlineStr">
        <is>
          <t>RED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581bb511aff842f9af01d132a2c739b65878388c9d1d8f1182f28b3c271e9a2c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581bb511aff842f9af01d132a2c739b65878388c9d1d8f1182f28b3c271e9a2c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2026-08-04T18:08:16.814975Z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74ff8cb85b6c4687</t>
        </is>
      </c>
      <c r="B16" s="24" t="inlineStr">
        <is>
          <t>2026-08-04T18:08:50.279200Z</t>
        </is>
      </c>
      <c r="C16" s="24" t="inlineStr">
        <is>
          <t>2026-08-04T22:00:00Z</t>
        </is>
      </c>
      <c r="D16" s="24" t="inlineStr">
        <is>
          <t>69273</t>
        </is>
      </c>
      <c r="E16" s="24" t="inlineStr">
        <is>
          <t>LOL</t>
        </is>
      </c>
      <c r="F16" s="24" t="inlineStr">
        <is>
          <t>RMD Gaming</t>
        </is>
      </c>
      <c r="G16" s="24" t="inlineStr">
        <is>
          <t>7REX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0.610688</v>
      </c>
      <c r="P16" s="28" t="n"/>
      <c r="Q16" s="28" t="n">
        <v>0.08017199999999999</v>
      </c>
      <c r="R16" s="26" t="n">
        <v>60</v>
      </c>
      <c r="S16" s="29" t="n">
        <v>1.5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1.3274</v>
      </c>
      <c r="AD16" s="24" t="inlineStr">
        <is>
          <t>2026-08-05T01:06:42.280534Z</t>
        </is>
      </c>
      <c r="AE16" s="31" t="inlineStr">
        <is>
          <t>Neutral Elo baseline; executable ask 0.5300 (market_slug=aec-lol-7rex-rmd-2026-08-04).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RMD Gaming</t>
        </is>
      </c>
      <c r="AQ16" s="24" t="inlineStr">
        <is>
          <t>RMD Gaming</t>
        </is>
      </c>
      <c r="AR16" s="24" t="inlineStr">
        <is>
          <t>RMD Gaming</t>
        </is>
      </c>
      <c r="AS16" s="24" t="inlineStr">
        <is>
          <t>7REX</t>
        </is>
      </c>
      <c r="AT16" s="24" t="inlineStr">
        <is>
          <t>7REX</t>
        </is>
      </c>
      <c r="AU16" s="24" t="inlineStr">
        <is>
          <t>7REX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581bb511aff842f9af01d132a2c739b65878388c9d1d8f1182f28b3c271e9a2c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581bb511aff842f9af01d132a2c739b65878388c9d1d8f1182f28b3c271e9a2c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2026-08-04T18:08:17.591273Z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3e2ddc0f60084cb5</t>
        </is>
      </c>
      <c r="B17" s="24" t="inlineStr">
        <is>
          <t>2026-08-04T22:03:07.434111Z</t>
        </is>
      </c>
      <c r="C17" s="24" t="inlineStr">
        <is>
          <t>2026-08-04T23:00:00Z</t>
        </is>
      </c>
      <c r="D17" s="24" t="inlineStr">
        <is>
          <t>69304</t>
        </is>
      </c>
      <c r="E17" s="24" t="inlineStr">
        <is>
          <t>LOL</t>
        </is>
      </c>
      <c r="F17" s="24" t="inlineStr">
        <is>
          <t>paiN Gaming Academy</t>
        </is>
      </c>
      <c r="G17" s="24" t="inlineStr">
        <is>
          <t>KaBuM! Ilha das Lendas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-117</v>
      </c>
      <c r="M17" s="27" t="n">
        <v>1.854701</v>
      </c>
      <c r="N17" s="28" t="n">
        <v>0.539171</v>
      </c>
      <c r="O17" s="28" t="n">
        <v>0.542093</v>
      </c>
      <c r="P17" s="28" t="n"/>
      <c r="Q17" s="28" t="n">
        <v>0.002922</v>
      </c>
      <c r="R17" s="26" t="n">
        <v>21</v>
      </c>
      <c r="S17" s="29" t="n">
        <v>1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-117</v>
      </c>
      <c r="AA17" s="28" t="n">
        <v>0.54</v>
      </c>
      <c r="AB17" s="28" t="n">
        <v>0.000829</v>
      </c>
      <c r="AC17" s="30" t="n">
        <v>-1</v>
      </c>
      <c r="AD17" s="24" t="inlineStr">
        <is>
          <t>2026-08-05T01:06:44.159759Z</t>
        </is>
      </c>
      <c r="AE17" s="31" t="inlineStr">
        <is>
          <t>Neutral Elo baseline; executable ask 0.5400 (market_slug=aec-lol-kbm-pnga-2026-08-04).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paiN Gaming Academy</t>
        </is>
      </c>
      <c r="AQ17" s="24" t="inlineStr">
        <is>
          <t>paiN Gaming Academy</t>
        </is>
      </c>
      <c r="AR17" s="24" t="inlineStr">
        <is>
          <t>paiN Gaming Academy</t>
        </is>
      </c>
      <c r="AS17" s="24" t="inlineStr">
        <is>
          <t>KaBuM! Ilha das Lendas</t>
        </is>
      </c>
      <c r="AT17" s="24" t="inlineStr">
        <is>
          <t>KaBuM! Ilha das Lendas</t>
        </is>
      </c>
      <c r="AU17" s="24" t="inlineStr">
        <is>
          <t>KaBuM! Ilha das Lendas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97b6e7d388d98e9492a794fb2cdef05114fd516a988a71f95285158326a46434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97b6e7d388d98e9492a794fb2cdef05114fd516a988a71f95285158326a46434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2026-08-04T22:02:38.695907Z</t>
        </is>
      </c>
      <c r="BI17" s="24" t="inlineStr">
        <is>
          <t>["same_event","same_team_same_day","same_league_same_day"]</t>
        </is>
      </c>
      <c r="BJ17" s="25" t="n"/>
      <c r="BK17" s="26" t="n">
        <v>-117</v>
      </c>
      <c r="BL17" s="27" t="n">
        <v>1.854701</v>
      </c>
      <c r="BM17" s="28" t="n">
        <v>0.539171</v>
      </c>
      <c r="BN17" s="28" t="n"/>
      <c r="BO17" s="28" t="n"/>
      <c r="BP17" s="25" t="n"/>
      <c r="BQ17" s="27" t="n">
        <v>1.854701</v>
      </c>
      <c r="BR17" s="28" t="n">
        <v>0.54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2ed3a33fa9b847a4</t>
        </is>
      </c>
      <c r="B18" s="24" t="inlineStr">
        <is>
          <t>2026-08-05T04:39:12.089327Z</t>
        </is>
      </c>
      <c r="C18" s="24" t="inlineStr">
        <is>
          <t>2026-08-05T05:00:00Z</t>
        </is>
      </c>
      <c r="D18" s="24" t="inlineStr">
        <is>
          <t>69507</t>
        </is>
      </c>
      <c r="E18" s="24" t="inlineStr">
        <is>
          <t>LOL</t>
        </is>
      </c>
      <c r="F18" s="24" t="inlineStr">
        <is>
          <t>Nongshim Esports Academy</t>
        </is>
      </c>
      <c r="G18" s="24" t="inlineStr">
        <is>
          <t>Dplus KIA Challengers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0.675544</v>
      </c>
      <c r="P18" s="28" t="n"/>
      <c r="Q18" s="28" t="n">
        <v>0.16574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0.5100 (market_slug=aec-lol-dkc-nsea-2026-08-05).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Nongshim Esports Academy</t>
        </is>
      </c>
      <c r="AQ18" s="24" t="inlineStr">
        <is>
          <t>Nongshim Esports Academy</t>
        </is>
      </c>
      <c r="AR18" s="24" t="inlineStr">
        <is>
          <t>Nongshim Esports Academy</t>
        </is>
      </c>
      <c r="AS18" s="24" t="inlineStr">
        <is>
          <t>Dplus KIA Challengers</t>
        </is>
      </c>
      <c r="AT18" s="24" t="inlineStr">
        <is>
          <t>Dplus KIA Challengers</t>
        </is>
      </c>
      <c r="AU18" s="24" t="inlineStr">
        <is>
          <t>Dplus KIA Challengers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2026-08-05T04:38:10.815485Z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b9619cd820234cc5</t>
        </is>
      </c>
      <c r="B19" s="24" t="inlineStr">
        <is>
          <t>2026-08-05T04:39:12.089327Z</t>
        </is>
      </c>
      <c r="C19" s="24" t="inlineStr">
        <is>
          <t>2026-08-05T08:00:00Z</t>
        </is>
      </c>
      <c r="D19" s="24" t="inlineStr">
        <is>
          <t>69511</t>
        </is>
      </c>
      <c r="E19" s="24" t="inlineStr">
        <is>
          <t>LOL</t>
        </is>
      </c>
      <c r="F19" s="24" t="inlineStr">
        <is>
          <t>New Meta</t>
        </is>
      </c>
      <c r="G19" s="24" t="inlineStr">
        <is>
          <t>FENNEL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0.692195</v>
      </c>
      <c r="P19" s="28" t="n"/>
      <c r="Q19" s="28" t="n">
        <v>0.001793</v>
      </c>
      <c r="R19" s="26" t="n">
        <v>21</v>
      </c>
      <c r="S19" s="29" t="n">
        <v>2</v>
      </c>
      <c r="T19" s="24" t="inlineStr">
        <is>
          <t>lol-tiered-elo-v6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0.6900 (market_slug=aec-lol-fnl-nme-2026-08-05).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New Meta</t>
        </is>
      </c>
      <c r="AQ19" s="24" t="inlineStr">
        <is>
          <t>New Meta</t>
        </is>
      </c>
      <c r="AR19" s="24" t="inlineStr">
        <is>
          <t>New Meta</t>
        </is>
      </c>
      <c r="AS19" s="24" t="inlineStr">
        <is>
          <t>FENNEL</t>
        </is>
      </c>
      <c r="AT19" s="24" t="inlineStr">
        <is>
          <t>FENNEL</t>
        </is>
      </c>
      <c r="AU19" s="24" t="inlineStr">
        <is>
          <t>FENNEL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9a8d5ad7f045de5eb1cb17aea82bbcf9812b40ca30a6256eba6436fea9a94482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9a8d5ad7f045de5eb1cb17aea82bbcf9812b40ca30a6256eba6436fea9a94482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2026-08-05T04:38:12.003217Z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628efea63f93409f</t>
        </is>
      </c>
      <c r="B20" s="24" t="inlineStr">
        <is>
          <t>2026-08-05T04:39:12.089327Z</t>
        </is>
      </c>
      <c r="C20" s="24" t="inlineStr">
        <is>
          <t>2026-08-05T08:00:00Z</t>
        </is>
      </c>
      <c r="D20" s="24" t="inlineStr">
        <is>
          <t>69512</t>
        </is>
      </c>
      <c r="E20" s="24" t="inlineStr">
        <is>
          <t>LOL</t>
        </is>
      </c>
      <c r="F20" s="24" t="inlineStr">
        <is>
          <t>Nongshim Red Force</t>
        </is>
      </c>
      <c r="G20" s="24" t="inlineStr">
        <is>
          <t>HANJIN BRION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0.7818929999999999</v>
      </c>
      <c r="P20" s="28" t="n"/>
      <c r="Q20" s="28" t="n">
        <v>0.082193</v>
      </c>
      <c r="R20" s="26" t="n">
        <v>61</v>
      </c>
      <c r="S20" s="29" t="n">
        <v>2</v>
      </c>
      <c r="T20" s="24" t="inlineStr">
        <is>
          <t>lol-tiered-elo-v6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0.7000 (market_slug=aec-lol-bro-ns-2026-08-05).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Nongshim Red Force</t>
        </is>
      </c>
      <c r="AQ20" s="24" t="inlineStr">
        <is>
          <t>Nongshim Red Force</t>
        </is>
      </c>
      <c r="AR20" s="24" t="inlineStr">
        <is>
          <t>Nongshim Red Force</t>
        </is>
      </c>
      <c r="AS20" s="24" t="inlineStr">
        <is>
          <t>HANJIN BRION</t>
        </is>
      </c>
      <c r="AT20" s="24" t="inlineStr">
        <is>
          <t>HANJIN BRION</t>
        </is>
      </c>
      <c r="AU20" s="24" t="inlineStr">
        <is>
          <t>HANJIN BRION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9a8d5ad7f045de5eb1cb17aea82bbcf9812b40ca30a6256eba6436fea9a94482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9a8d5ad7f045de5eb1cb17aea82bbcf9812b40ca30a6256eba6436fea9a94482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2026-08-05T04:38:12.947438Z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27ca4687f26448c7</t>
        </is>
      </c>
      <c r="B21" s="24" t="inlineStr">
        <is>
          <t>2026-08-05T04:39:12.089327Z</t>
        </is>
      </c>
      <c r="C21" s="24" t="inlineStr">
        <is>
          <t>2026-08-05T10:00:00Z</t>
        </is>
      </c>
      <c r="D21" s="24" t="inlineStr">
        <is>
          <t>69539</t>
        </is>
      </c>
      <c r="E21" s="24" t="inlineStr">
        <is>
          <t>LOL</t>
        </is>
      </c>
      <c r="F21" s="24" t="inlineStr">
        <is>
          <t>Gen.G</t>
        </is>
      </c>
      <c r="G21" s="24" t="inlineStr">
        <is>
          <t>Hanwha Life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-108</v>
      </c>
      <c r="M21" s="27" t="n">
        <v>1.925926</v>
      </c>
      <c r="N21" s="28" t="n">
        <v>0.519231</v>
      </c>
      <c r="O21" s="28" t="n">
        <v>0.6212029999999999</v>
      </c>
      <c r="P21" s="28" t="n"/>
      <c r="Q21" s="28" t="n">
        <v>0.101972</v>
      </c>
      <c r="R21" s="26" t="n">
        <v>71</v>
      </c>
      <c r="S21" s="29" t="n">
        <v>1.5</v>
      </c>
      <c r="T21" s="24" t="inlineStr">
        <is>
          <t>lol-tiered-elo-v6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0.5200 (market_slug=aec-lol-hle-gen-2026-08-05).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Gen.G</t>
        </is>
      </c>
      <c r="AQ21" s="24" t="inlineStr">
        <is>
          <t>Gen.G</t>
        </is>
      </c>
      <c r="AR21" s="24" t="inlineStr">
        <is>
          <t>Gen.G</t>
        </is>
      </c>
      <c r="AS21" s="24" t="inlineStr">
        <is>
          <t>Hanwha Life Esports</t>
        </is>
      </c>
      <c r="AT21" s="24" t="inlineStr">
        <is>
          <t>Hanwha Life Esports</t>
        </is>
      </c>
      <c r="AU21" s="24" t="inlineStr">
        <is>
          <t>Hanwha Life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9a8d5ad7f045de5eb1cb17aea82bbcf9812b40ca30a6256eba6436fea9a94482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9a8d5ad7f045de5eb1cb17aea82bbcf9812b40ca30a6256eba6436fea9a94482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2026-08-05T04:38:15.141988Z</t>
        </is>
      </c>
      <c r="BI21" s="24" t="inlineStr">
        <is>
          <t>["same_event","same_team_same_day","same_league_same_day"]</t>
        </is>
      </c>
      <c r="BJ21" s="25" t="n"/>
      <c r="BK21" s="26" t="n">
        <v>-108</v>
      </c>
      <c r="BL21" s="27" t="n">
        <v>1.925926</v>
      </c>
      <c r="BM21" s="28" t="n">
        <v>0.519231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7e1b6884e2e441f9</t>
        </is>
      </c>
      <c r="B22" s="24" t="inlineStr">
        <is>
          <t>2026-08-05T04:39:12.089327Z</t>
        </is>
      </c>
      <c r="C22" s="24" t="inlineStr">
        <is>
          <t>2026-08-05T17:00:00Z</t>
        </is>
      </c>
      <c r="D22" s="24" t="inlineStr">
        <is>
          <t>69871</t>
        </is>
      </c>
      <c r="E22" s="24" t="inlineStr">
        <is>
          <t>LOL</t>
        </is>
      </c>
      <c r="F22" s="24" t="inlineStr">
        <is>
          <t>Kaufland Hangry Knights</t>
        </is>
      </c>
      <c r="G22" s="24" t="inlineStr">
        <is>
          <t>TeamOrangeGaming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0.549408</v>
      </c>
      <c r="P22" s="28" t="n"/>
      <c r="Q22" s="28" t="n">
        <v>0.06863900000000001</v>
      </c>
      <c r="R22" s="26" t="n">
        <v>54</v>
      </c>
      <c r="S22" s="29" t="n">
        <v>1</v>
      </c>
      <c r="T22" s="24" t="inlineStr">
        <is>
          <t>lol-tiered-elo-v6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0.4800 (market_slug=aec-lol-tog-khk-2026-08-05).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Kaufland Hangry Knights</t>
        </is>
      </c>
      <c r="AQ22" s="24" t="inlineStr">
        <is>
          <t>Kaufland Hangry Knights</t>
        </is>
      </c>
      <c r="AR22" s="24" t="inlineStr">
        <is>
          <t>Kaufland Hangry Knights</t>
        </is>
      </c>
      <c r="AS22" s="24" t="inlineStr">
        <is>
          <t>TeamOrangeGaming</t>
        </is>
      </c>
      <c r="AT22" s="24" t="inlineStr">
        <is>
          <t>TeamOrangeGaming</t>
        </is>
      </c>
      <c r="AU22" s="24" t="inlineStr">
        <is>
          <t>TeamOrangeGaming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9a8d5ad7f045de5eb1cb17aea82bbcf9812b40ca30a6256eba6436fea9a94482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9a8d5ad7f045de5eb1cb17aea82bbcf9812b40ca30a6256eba6436fea9a94482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2026-08-05T04:38:24.231605Z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50b509ced0b64ae4</t>
        </is>
      </c>
      <c r="B23" s="24" t="inlineStr">
        <is>
          <t>2026-08-05T04:39:12.089327Z</t>
        </is>
      </c>
      <c r="C23" s="24" t="inlineStr">
        <is>
          <t>2026-08-05T17:00:00Z</t>
        </is>
      </c>
      <c r="D23" s="24" t="inlineStr">
        <is>
          <t>70569</t>
        </is>
      </c>
      <c r="E23" s="24" t="inlineStr">
        <is>
          <t>LOL</t>
        </is>
      </c>
      <c r="F23" s="24" t="inlineStr">
        <is>
          <t>devils.one inStreamly</t>
        </is>
      </c>
      <c r="G23" s="24" t="inlineStr">
        <is>
          <t>BOMBA Team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0.761888</v>
      </c>
      <c r="P23" s="28" t="n"/>
      <c r="Q23" s="28" t="n">
        <v>0.231372</v>
      </c>
      <c r="R23" s="26" t="n">
        <v>100</v>
      </c>
      <c r="S23" s="29" t="n">
        <v>2</v>
      </c>
      <c r="T23" s="24" t="inlineStr">
        <is>
          <t>lol-tiered-elo-v6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0.5300 (market_slug=aec-lol-boom-dv1-2026-08-05).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devils.one inStreamly</t>
        </is>
      </c>
      <c r="AQ23" s="24" t="inlineStr">
        <is>
          <t>devils.one inStreamly</t>
        </is>
      </c>
      <c r="AR23" s="24" t="inlineStr">
        <is>
          <t>devils.one inStreamly</t>
        </is>
      </c>
      <c r="AS23" s="24" t="inlineStr">
        <is>
          <t>BOMBA Team</t>
        </is>
      </c>
      <c r="AT23" s="24" t="inlineStr">
        <is>
          <t>BOMBA Team</t>
        </is>
      </c>
      <c r="AU23" s="24" t="inlineStr">
        <is>
          <t>BOMBA Team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9a8d5ad7f045de5eb1cb17aea82bbcf9812b40ca30a6256eba6436fea9a94482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9a8d5ad7f045de5eb1cb17aea82bbcf9812b40ca30a6256eba6436fea9a94482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2026-08-05T04:38:25.035543Z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9a6437e5e30145e8</t>
        </is>
      </c>
      <c r="B24" s="24" t="inlineStr">
        <is>
          <t>2026-08-05T04:39:12.089327Z</t>
        </is>
      </c>
      <c r="C24" s="24" t="inlineStr">
        <is>
          <t>2026-08-05T17:30:00Z</t>
        </is>
      </c>
      <c r="D24" s="24" t="inlineStr">
        <is>
          <t>69930</t>
        </is>
      </c>
      <c r="E24" s="24" t="inlineStr">
        <is>
          <t>LOL</t>
        </is>
      </c>
      <c r="F24" s="24" t="inlineStr">
        <is>
          <t>Bushido Wildcats</t>
        </is>
      </c>
      <c r="G24" s="24" t="inlineStr">
        <is>
          <t xml:space="preserve">PCIFIC 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127</v>
      </c>
      <c r="M24" s="27" t="n">
        <v>2.27</v>
      </c>
      <c r="N24" s="28" t="n">
        <v>0.440529</v>
      </c>
      <c r="O24" s="28" t="n">
        <v>0.560145</v>
      </c>
      <c r="P24" s="28" t="n"/>
      <c r="Q24" s="28" t="n">
        <v>0.119616</v>
      </c>
      <c r="R24" s="26" t="n">
        <v>80</v>
      </c>
      <c r="S24" s="29" t="n">
        <v>1</v>
      </c>
      <c r="T24" s="24" t="inlineStr">
        <is>
          <t>lol-tiered-elo-v6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0.4400 (market_slug=aec-lol-pcific-bw-2026-08-05).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Bushido Wildcats</t>
        </is>
      </c>
      <c r="AQ24" s="24" t="inlineStr">
        <is>
          <t>Bushido Wildcats</t>
        </is>
      </c>
      <c r="AR24" s="24" t="inlineStr">
        <is>
          <t>Bushido Wildcats</t>
        </is>
      </c>
      <c r="AS24" s="24" t="inlineStr">
        <is>
          <t xml:space="preserve">PCIFIC </t>
        </is>
      </c>
      <c r="AT24" s="24" t="inlineStr">
        <is>
          <t xml:space="preserve">PCIFIC </t>
        </is>
      </c>
      <c r="AU24" s="24" t="inlineStr">
        <is>
          <t xml:space="preserve">PCIFIC 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9a8d5ad7f045de5eb1cb17aea82bbcf9812b40ca30a6256eba6436fea9a94482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9a8d5ad7f045de5eb1cb17aea82bbcf9812b40ca30a6256eba6436fea9a94482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2026-08-05T04:38:26.738098Z</t>
        </is>
      </c>
      <c r="BI24" s="24" t="inlineStr">
        <is>
          <t>["same_event","same_team_same_day","same_league_same_day"]</t>
        </is>
      </c>
      <c r="BJ24" s="25" t="n"/>
      <c r="BK24" s="26" t="n">
        <v>127</v>
      </c>
      <c r="BL24" s="27" t="n">
        <v>2.27</v>
      </c>
      <c r="BM24" s="28" t="n">
        <v>0.440529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51b544c9d37c4db2</t>
        </is>
      </c>
      <c r="B25" s="24" t="inlineStr">
        <is>
          <t>2026-08-05T04:39:12.089327Z</t>
        </is>
      </c>
      <c r="C25" s="24" t="inlineStr">
        <is>
          <t>2026-08-05T17:30:00Z</t>
        </is>
      </c>
      <c r="D25" s="24" t="inlineStr">
        <is>
          <t>69931</t>
        </is>
      </c>
      <c r="E25" s="24" t="inlineStr">
        <is>
          <t>LOL</t>
        </is>
      </c>
      <c r="F25" s="24" t="inlineStr">
        <is>
          <t>⁠Movistar KOI Fénix</t>
        </is>
      </c>
      <c r="G25" s="24" t="inlineStr">
        <is>
          <t>UCAM Esports Club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113</v>
      </c>
      <c r="M25" s="27" t="n">
        <v>2.13</v>
      </c>
      <c r="N25" s="28" t="n">
        <v>0.469484</v>
      </c>
      <c r="O25" s="28" t="n">
        <v>0.599621</v>
      </c>
      <c r="P25" s="28" t="n"/>
      <c r="Q25" s="28" t="n">
        <v>0.130137</v>
      </c>
      <c r="R25" s="26" t="n">
        <v>85</v>
      </c>
      <c r="S25" s="29" t="n">
        <v>1.25</v>
      </c>
      <c r="T25" s="24" t="inlineStr">
        <is>
          <t>lol-tiered-elo-v6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0.4700 (market_slug=aec-lol-ucam-mkf-2026-08-05).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⁠Movistar KOI Fénix</t>
        </is>
      </c>
      <c r="AQ25" s="24" t="inlineStr">
        <is>
          <t>⁠Movistar KOI Fénix</t>
        </is>
      </c>
      <c r="AR25" s="24" t="inlineStr">
        <is>
          <t>⁠Movistar KOI Fénix</t>
        </is>
      </c>
      <c r="AS25" s="24" t="inlineStr">
        <is>
          <t>UCAM Esports Club</t>
        </is>
      </c>
      <c r="AT25" s="24" t="inlineStr">
        <is>
          <t>UCAM Esports Club</t>
        </is>
      </c>
      <c r="AU25" s="24" t="inlineStr">
        <is>
          <t>UCAM Esports Club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9a8d5ad7f045de5eb1cb17aea82bbcf9812b40ca30a6256eba6436fea9a94482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9a8d5ad7f045de5eb1cb17aea82bbcf9812b40ca30a6256eba6436fea9a94482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2026-08-05T04:38:27.650106Z</t>
        </is>
      </c>
      <c r="BI25" s="24" t="inlineStr">
        <is>
          <t>["same_event","same_team_same_day","same_league_same_day"]</t>
        </is>
      </c>
      <c r="BJ25" s="25" t="n"/>
      <c r="BK25" s="26" t="n">
        <v>113</v>
      </c>
      <c r="BL25" s="27" t="n">
        <v>2.13</v>
      </c>
      <c r="BM25" s="28" t="n">
        <v>0.469484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74650767110d4f6b</t>
        </is>
      </c>
      <c r="B26" s="24" t="inlineStr">
        <is>
          <t>2026-08-05T04:39:12.089327Z</t>
        </is>
      </c>
      <c r="C26" s="24" t="inlineStr">
        <is>
          <t>2026-08-05T19:00:00Z</t>
        </is>
      </c>
      <c r="D26" s="24" t="inlineStr">
        <is>
          <t>70045</t>
        </is>
      </c>
      <c r="E26" s="24" t="inlineStr">
        <is>
          <t>LOL</t>
        </is>
      </c>
      <c r="F26" s="24" t="inlineStr">
        <is>
          <t>Ici Japon Corp. Esport</t>
        </is>
      </c>
      <c r="G26" s="24" t="inlineStr">
        <is>
          <t>ZYB Esport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144</v>
      </c>
      <c r="M26" s="27" t="n">
        <v>2.44</v>
      </c>
      <c r="N26" s="28" t="n">
        <v>0.409836</v>
      </c>
      <c r="O26" s="28" t="n">
        <v>0.598431</v>
      </c>
      <c r="P26" s="28" t="n"/>
      <c r="Q26" s="28" t="n">
        <v>0.188595</v>
      </c>
      <c r="R26" s="26" t="n">
        <v>100</v>
      </c>
      <c r="S26" s="29" t="n">
        <v>1.25</v>
      </c>
      <c r="T26" s="24" t="inlineStr">
        <is>
          <t>lol-tiered-elo-v6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0.4100 (market_slug=aec-lol-zyb-ijc-2026-08-05).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Ici Japon Corp. Esport</t>
        </is>
      </c>
      <c r="AQ26" s="24" t="inlineStr">
        <is>
          <t>Ici Japon Corp. Esport</t>
        </is>
      </c>
      <c r="AR26" s="24" t="inlineStr">
        <is>
          <t>Ici Japon Corp. Esport</t>
        </is>
      </c>
      <c r="AS26" s="24" t="inlineStr">
        <is>
          <t>ZYB Esport</t>
        </is>
      </c>
      <c r="AT26" s="24" t="inlineStr">
        <is>
          <t>ZYB Esport</t>
        </is>
      </c>
      <c r="AU26" s="24" t="inlineStr">
        <is>
          <t>ZYB Esport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9a8d5ad7f045de5eb1cb17aea82bbcf9812b40ca30a6256eba6436fea9a94482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9a8d5ad7f045de5eb1cb17aea82bbcf9812b40ca30a6256eba6436fea9a94482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2026-08-05T04:38:33.888149Z</t>
        </is>
      </c>
      <c r="BI26" s="24" t="inlineStr">
        <is>
          <t>["same_event","same_team_same_day","same_league_same_day"]</t>
        </is>
      </c>
      <c r="BJ26" s="25" t="n"/>
      <c r="BK26" s="26" t="n">
        <v>144</v>
      </c>
      <c r="BL26" s="27" t="n">
        <v>2.44</v>
      </c>
      <c r="BM26" s="28" t="n">
        <v>0.409836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8cec84b5ebcf4e06</t>
        </is>
      </c>
      <c r="B27" s="24" t="inlineStr">
        <is>
          <t>2026-08-05T04:39:12.089327Z</t>
        </is>
      </c>
      <c r="C27" s="24" t="inlineStr">
        <is>
          <t>2026-08-05T20:00:00Z</t>
        </is>
      </c>
      <c r="D27" s="24" t="inlineStr">
        <is>
          <t>70301</t>
        </is>
      </c>
      <c r="E27" s="24" t="inlineStr">
        <is>
          <t>LOL</t>
        </is>
      </c>
      <c r="F27" s="24" t="inlineStr">
        <is>
          <t>Skillcamp Esport</t>
        </is>
      </c>
      <c r="G27" s="24" t="inlineStr">
        <is>
          <t>Vitality.Bee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100</v>
      </c>
      <c r="M27" s="27" t="n">
        <v>2</v>
      </c>
      <c r="N27" s="28" t="n">
        <v>0.5</v>
      </c>
      <c r="O27" s="28" t="n">
        <v>0.5853390000000001</v>
      </c>
      <c r="P27" s="28" t="n"/>
      <c r="Q27" s="28" t="n">
        <v>0.085339</v>
      </c>
      <c r="R27" s="26" t="n">
        <v>63</v>
      </c>
      <c r="S27" s="29" t="n">
        <v>1.25</v>
      </c>
      <c r="T27" s="24" t="inlineStr">
        <is>
          <t>lol-tiered-elo-v6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0.5000 (market_slug=aec-lol-vitb-sc-2026-08-05).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Skillcamp Esport</t>
        </is>
      </c>
      <c r="AQ27" s="24" t="inlineStr">
        <is>
          <t>Skillcamp Esport</t>
        </is>
      </c>
      <c r="AR27" s="24" t="inlineStr">
        <is>
          <t>Skillcamp Esport</t>
        </is>
      </c>
      <c r="AS27" s="24" t="inlineStr">
        <is>
          <t>Vitality.Bee</t>
        </is>
      </c>
      <c r="AT27" s="24" t="inlineStr">
        <is>
          <t>Vitality.Bee</t>
        </is>
      </c>
      <c r="AU27" s="24" t="inlineStr">
        <is>
          <t>Vitality.Bee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9a8d5ad7f045de5eb1cb17aea82bbcf9812b40ca30a6256eba6436fea9a94482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9a8d5ad7f045de5eb1cb17aea82bbcf9812b40ca30a6256eba6436fea9a94482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2026-08-05T04:38:34.793544Z</t>
        </is>
      </c>
      <c r="BI27" s="24" t="inlineStr">
        <is>
          <t>["same_event","same_team_same_day","same_league_same_day"]</t>
        </is>
      </c>
      <c r="BJ27" s="25" t="n"/>
      <c r="BK27" s="26" t="n">
        <v>100</v>
      </c>
      <c r="BL27" s="27" t="n">
        <v>2</v>
      </c>
      <c r="BM27" s="28" t="n">
        <v>0.5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39d923067e3f455d</t>
        </is>
      </c>
      <c r="B28" s="24" t="inlineStr">
        <is>
          <t>2026-08-05T04:39:12.089327Z</t>
        </is>
      </c>
      <c r="C28" s="24" t="inlineStr">
        <is>
          <t>2026-08-05T22:00:00Z</t>
        </is>
      </c>
      <c r="D28" s="24" t="inlineStr">
        <is>
          <t>70379</t>
        </is>
      </c>
      <c r="E28" s="24" t="inlineStr">
        <is>
          <t>LOL</t>
        </is>
      </c>
      <c r="F28" s="24" t="inlineStr">
        <is>
          <t>KaBuM! Ilha das Lendas</t>
        </is>
      </c>
      <c r="G28" s="24" t="inlineStr">
        <is>
          <t>Ei Nerd Esports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127</v>
      </c>
      <c r="M28" s="27" t="n">
        <v>2.27</v>
      </c>
      <c r="N28" s="28" t="n">
        <v>0.440529</v>
      </c>
      <c r="O28" s="28" t="n">
        <v>0.616766</v>
      </c>
      <c r="P28" s="28" t="n"/>
      <c r="Q28" s="28" t="n">
        <v>0.176237</v>
      </c>
      <c r="R28" s="26" t="n">
        <v>100</v>
      </c>
      <c r="S28" s="29" t="n">
        <v>1.5</v>
      </c>
      <c r="T28" s="24" t="inlineStr">
        <is>
          <t>lol-tiered-elo-v6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0.4400 (market_slug=aec-lol-nerd-kbm-2026-08-05).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KaBuM! Ilha das Lendas</t>
        </is>
      </c>
      <c r="AQ28" s="24" t="inlineStr">
        <is>
          <t>KaBuM! Ilha das Lendas</t>
        </is>
      </c>
      <c r="AR28" s="24" t="inlineStr">
        <is>
          <t>KaBuM! Ilha das Lendas</t>
        </is>
      </c>
      <c r="AS28" s="24" t="inlineStr">
        <is>
          <t>Ei Nerd Esports</t>
        </is>
      </c>
      <c r="AT28" s="24" t="inlineStr">
        <is>
          <t>Ei Nerd Esports</t>
        </is>
      </c>
      <c r="AU28" s="24" t="inlineStr">
        <is>
          <t>Ei Nerd Esports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9a8d5ad7f045de5eb1cb17aea82bbcf9812b40ca30a6256eba6436fea9a94482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9a8d5ad7f045de5eb1cb17aea82bbcf9812b40ca30a6256eba6436fea9a94482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2026-08-05T04:38:38.992546Z</t>
        </is>
      </c>
      <c r="BI28" s="24" t="inlineStr">
        <is>
          <t>["same_event","same_team_same_day","same_league_same_day"]</t>
        </is>
      </c>
      <c r="BJ28" s="25" t="n"/>
      <c r="BK28" s="26" t="n">
        <v>127</v>
      </c>
      <c r="BL28" s="27" t="n">
        <v>2.27</v>
      </c>
      <c r="BM28" s="28" t="n">
        <v>0.440529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a6f3dbba50e1408a</t>
        </is>
      </c>
      <c r="B29" s="24" t="inlineStr">
        <is>
          <t>2026-08-05T04:39:12.089327Z</t>
        </is>
      </c>
      <c r="C29" s="24" t="inlineStr">
        <is>
          <t>2026-08-06T07:00:00Z</t>
        </is>
      </c>
      <c r="D29" s="24" t="inlineStr">
        <is>
          <t>70560</t>
        </is>
      </c>
      <c r="E29" s="24" t="inlineStr">
        <is>
          <t>LOL</t>
        </is>
      </c>
      <c r="F29" s="24" t="inlineStr">
        <is>
          <t>ThunderTalk Gaming</t>
        </is>
      </c>
      <c r="G29" s="24" t="inlineStr">
        <is>
          <t>LGD Gaming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0.620532</v>
      </c>
      <c r="P29" s="28" t="n"/>
      <c r="Q29" s="28" t="n">
        <v>0.170082</v>
      </c>
      <c r="R29" s="26" t="n">
        <v>100</v>
      </c>
      <c r="S29" s="29" t="n">
        <v>1.5</v>
      </c>
      <c r="T29" s="24" t="inlineStr">
        <is>
          <t>lol-tiered-elo-v6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0.4500 (market_slug=aec-lol-lgd-tt-2026-08-06).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ThunderTalk Gaming</t>
        </is>
      </c>
      <c r="AQ29" s="24" t="inlineStr">
        <is>
          <t>ThunderTalk Gaming</t>
        </is>
      </c>
      <c r="AR29" s="24" t="inlineStr">
        <is>
          <t>ThunderTalk Gaming</t>
        </is>
      </c>
      <c r="AS29" s="24" t="inlineStr">
        <is>
          <t>LGD Gaming</t>
        </is>
      </c>
      <c r="AT29" s="24" t="inlineStr">
        <is>
          <t>LGD Gaming</t>
        </is>
      </c>
      <c r="AU29" s="24" t="inlineStr">
        <is>
          <t>LGD Gaming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9a8d5ad7f045de5eb1cb17aea82bbcf9812b40ca30a6256eba6436fea9a94482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9a8d5ad7f045de5eb1cb17aea82bbcf9812b40ca30a6256eba6436fea9a94482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2026-08-05T04:38:44.488114Z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e818bcad4f834ec4</t>
        </is>
      </c>
      <c r="B30" s="24" t="inlineStr">
        <is>
          <t>2026-08-05T04:39:12.089327Z</t>
        </is>
      </c>
      <c r="C30" s="24" t="inlineStr">
        <is>
          <t>2026-08-06T09:00:00Z</t>
        </is>
      </c>
      <c r="D30" s="24" t="inlineStr">
        <is>
          <t>70573</t>
        </is>
      </c>
      <c r="E30" s="24" t="inlineStr">
        <is>
          <t>LOL</t>
        </is>
      </c>
      <c r="F30" s="24" t="inlineStr">
        <is>
          <t>Ground Zero Gaming</t>
        </is>
      </c>
      <c r="G30" s="24" t="inlineStr">
        <is>
          <t>Fukuoka SoftBank Hawks Gaming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144</v>
      </c>
      <c r="M30" s="27" t="n">
        <v>2.44</v>
      </c>
      <c r="N30" s="28" t="n">
        <v>0.409836</v>
      </c>
      <c r="O30" s="28" t="n">
        <v>0.678987</v>
      </c>
      <c r="P30" s="28" t="n"/>
      <c r="Q30" s="28" t="n">
        <v>0.269151</v>
      </c>
      <c r="R30" s="26" t="n">
        <v>100</v>
      </c>
      <c r="S30" s="29" t="n">
        <v>1.75</v>
      </c>
      <c r="T30" s="24" t="inlineStr">
        <is>
          <t>lol-tiered-elo-v6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0.4100 (market_slug=aec-lol-shg-gz-2026-08-06).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Ground Zero Gaming</t>
        </is>
      </c>
      <c r="AQ30" s="24" t="inlineStr">
        <is>
          <t>Ground Zero Gaming</t>
        </is>
      </c>
      <c r="AR30" s="24" t="inlineStr">
        <is>
          <t>Ground Zero Gaming</t>
        </is>
      </c>
      <c r="AS30" s="24" t="inlineStr">
        <is>
          <t>Fukuoka SoftBank Hawks Gaming</t>
        </is>
      </c>
      <c r="AT30" s="24" t="inlineStr">
        <is>
          <t>Fukuoka SoftBank Hawks Gaming</t>
        </is>
      </c>
      <c r="AU30" s="24" t="inlineStr">
        <is>
          <t>Fukuoka SoftBank Hawks Gaming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9a8d5ad7f045de5eb1cb17aea82bbcf9812b40ca30a6256eba6436fea9a94482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9a8d5ad7f045de5eb1cb17aea82bbcf9812b40ca30a6256eba6436fea9a94482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2026-08-05T04:38:46.091265Z</t>
        </is>
      </c>
      <c r="BI30" s="24" t="inlineStr">
        <is>
          <t>["same_event","same_team_same_day","same_league_same_day"]</t>
        </is>
      </c>
      <c r="BJ30" s="25" t="n"/>
      <c r="BK30" s="26" t="n">
        <v>144</v>
      </c>
      <c r="BL30" s="27" t="n">
        <v>2.44</v>
      </c>
      <c r="BM30" s="28" t="n">
        <v>0.409836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c6af2c10cea0402d</t>
        </is>
      </c>
      <c r="B31" s="24" t="inlineStr">
        <is>
          <t>2026-08-05T04:39:12.089327Z</t>
        </is>
      </c>
      <c r="C31" s="24" t="inlineStr">
        <is>
          <t>2026-08-06T10:00:00Z</t>
        </is>
      </c>
      <c r="D31" s="24" t="inlineStr">
        <is>
          <t>70594</t>
        </is>
      </c>
      <c r="E31" s="24" t="inlineStr">
        <is>
          <t>LOL</t>
        </is>
      </c>
      <c r="F31" s="24" t="inlineStr">
        <is>
          <t>T1</t>
        </is>
      </c>
      <c r="G31" s="24" t="inlineStr">
        <is>
          <t>Dplus KIA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-108</v>
      </c>
      <c r="M31" s="27" t="n">
        <v>1.925926</v>
      </c>
      <c r="N31" s="28" t="n">
        <v>0.519231</v>
      </c>
      <c r="O31" s="28" t="n">
        <v>0.55358</v>
      </c>
      <c r="P31" s="28" t="n"/>
      <c r="Q31" s="28" t="n">
        <v>0.034349</v>
      </c>
      <c r="R31" s="26" t="n">
        <v>37</v>
      </c>
      <c r="S31" s="29" t="n">
        <v>1</v>
      </c>
      <c r="T31" s="24" t="inlineStr">
        <is>
          <t>lol-tiered-elo-v6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0.5200 (market_slug=aec-lol-dk-t1-2026-08-06).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T1</t>
        </is>
      </c>
      <c r="AQ31" s="24" t="inlineStr">
        <is>
          <t>T1</t>
        </is>
      </c>
      <c r="AR31" s="24" t="inlineStr">
        <is>
          <t>T1</t>
        </is>
      </c>
      <c r="AS31" s="24" t="inlineStr">
        <is>
          <t>Dplus KIA</t>
        </is>
      </c>
      <c r="AT31" s="24" t="inlineStr">
        <is>
          <t>Dplus KIA</t>
        </is>
      </c>
      <c r="AU31" s="24" t="inlineStr">
        <is>
          <t>Dplus KIA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9a8d5ad7f045de5eb1cb17aea82bbcf9812b40ca30a6256eba6436fea9a94482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9a8d5ad7f045de5eb1cb17aea82bbcf9812b40ca30a6256eba6436fea9a94482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2026-08-05T04:38:47.837724Z</t>
        </is>
      </c>
      <c r="BI31" s="24" t="inlineStr">
        <is>
          <t>["same_event","same_team_same_day","same_league_same_day"]</t>
        </is>
      </c>
      <c r="BJ31" s="25" t="n"/>
      <c r="BK31" s="26" t="n">
        <v>-108</v>
      </c>
      <c r="BL31" s="27" t="n">
        <v>1.925926</v>
      </c>
      <c r="BM31" s="28" t="n">
        <v>0.519231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c7d1133479764dd3</t>
        </is>
      </c>
      <c r="B32" s="24" t="inlineStr">
        <is>
          <t>2026-08-05T04:39:12.089327Z</t>
        </is>
      </c>
      <c r="C32" s="24" t="inlineStr">
        <is>
          <t>2026-08-06T16:00:00Z</t>
        </is>
      </c>
      <c r="D32" s="24" t="inlineStr">
        <is>
          <t>70788</t>
        </is>
      </c>
      <c r="E32" s="24" t="inlineStr">
        <is>
          <t>LOL</t>
        </is>
      </c>
      <c r="F32" s="24" t="inlineStr">
        <is>
          <t>Esprit Shōnen</t>
        </is>
      </c>
      <c r="G32" s="24" t="inlineStr">
        <is>
          <t>Ici Japon Corp. Esport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-213</v>
      </c>
      <c r="M32" s="27" t="n">
        <v>1.469484</v>
      </c>
      <c r="N32" s="28" t="n">
        <v>0.680511</v>
      </c>
      <c r="O32" s="28" t="n">
        <v>0.6935249999999999</v>
      </c>
      <c r="P32" s="28" t="n"/>
      <c r="Q32" s="28" t="n">
        <v>0.013014</v>
      </c>
      <c r="R32" s="26" t="n">
        <v>27</v>
      </c>
      <c r="S32" s="29" t="n">
        <v>2</v>
      </c>
      <c r="T32" s="24" t="inlineStr">
        <is>
          <t>lol-tiered-elo-v6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0.6800 (market_slug=aec-lol-ijc-ess-2026-08-06).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Esprit Shōnen</t>
        </is>
      </c>
      <c r="AQ32" s="24" t="inlineStr">
        <is>
          <t>Esprit Shōnen</t>
        </is>
      </c>
      <c r="AR32" s="24" t="inlineStr">
        <is>
          <t>Esprit Shōnen</t>
        </is>
      </c>
      <c r="AS32" s="24" t="inlineStr">
        <is>
          <t>Ici Japon Corp. Esport</t>
        </is>
      </c>
      <c r="AT32" s="24" t="inlineStr">
        <is>
          <t>Ici Japon Corp. Esport</t>
        </is>
      </c>
      <c r="AU32" s="24" t="inlineStr">
        <is>
          <t>Ici Japon Corp. Esport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9a8d5ad7f045de5eb1cb17aea82bbcf9812b40ca30a6256eba6436fea9a94482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9a8d5ad7f045de5eb1cb17aea82bbcf9812b40ca30a6256eba6436fea9a94482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2026-08-05T04:38:53.039362Z</t>
        </is>
      </c>
      <c r="BI32" s="24" t="inlineStr">
        <is>
          <t>["same_event","same_team_same_day","same_league_same_day"]</t>
        </is>
      </c>
      <c r="BJ32" s="25" t="n"/>
      <c r="BK32" s="26" t="n">
        <v>-213</v>
      </c>
      <c r="BL32" s="27" t="n">
        <v>1.469484</v>
      </c>
      <c r="BM32" s="28" t="n">
        <v>0.680511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3670638ee218445f</t>
        </is>
      </c>
      <c r="B33" s="24" t="inlineStr">
        <is>
          <t>2026-08-05T04:39:12.089327Z</t>
        </is>
      </c>
      <c r="C33" s="24" t="inlineStr">
        <is>
          <t>2026-08-06T16:00:00Z</t>
        </is>
      </c>
      <c r="D33" s="24" t="inlineStr">
        <is>
          <t>70790</t>
        </is>
      </c>
      <c r="E33" s="24" t="inlineStr">
        <is>
          <t>LOL</t>
        </is>
      </c>
      <c r="F33" s="24" t="inlineStr">
        <is>
          <t>Baam Esports</t>
        </is>
      </c>
      <c r="G33" s="24" t="inlineStr">
        <is>
          <t>One More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0.765346</v>
      </c>
      <c r="P33" s="28" t="n"/>
      <c r="Q33" s="28" t="n">
        <v>0.175182</v>
      </c>
      <c r="R33" s="26" t="n">
        <v>100</v>
      </c>
      <c r="S33" s="29" t="n">
        <v>2</v>
      </c>
      <c r="T33" s="24" t="inlineStr">
        <is>
          <t>lol-tiered-elo-v6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0.5900 (market_slug=aec-lol-one-bam-2026-08-06).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Baam Esports</t>
        </is>
      </c>
      <c r="AQ33" s="24" t="inlineStr">
        <is>
          <t>Baam Esports</t>
        </is>
      </c>
      <c r="AR33" s="24" t="inlineStr">
        <is>
          <t>Baam Esports</t>
        </is>
      </c>
      <c r="AS33" s="24" t="inlineStr">
        <is>
          <t>One More Esports</t>
        </is>
      </c>
      <c r="AT33" s="24" t="inlineStr">
        <is>
          <t>One More Esports</t>
        </is>
      </c>
      <c r="AU33" s="24" t="inlineStr">
        <is>
          <t>One More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9a8d5ad7f045de5eb1cb17aea82bbcf9812b40ca30a6256eba6436fea9a94482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9a8d5ad7f045de5eb1cb17aea82bbcf9812b40ca30a6256eba6436fea9a94482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2026-08-05T04:38:55.077551Z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0a8707f1a18c45e1</t>
        </is>
      </c>
      <c r="B34" s="24" t="inlineStr">
        <is>
          <t>2026-08-05T04:39:12.089327Z</t>
        </is>
      </c>
      <c r="C34" s="24" t="inlineStr">
        <is>
          <t>2026-08-06T17:00:00Z</t>
        </is>
      </c>
      <c r="D34" s="24" t="inlineStr">
        <is>
          <t>70860</t>
        </is>
      </c>
      <c r="E34" s="24" t="inlineStr">
        <is>
          <t>LOL</t>
        </is>
      </c>
      <c r="F34" s="24" t="inlineStr">
        <is>
          <t>Skillcamp Esport</t>
        </is>
      </c>
      <c r="G34" s="24" t="inlineStr">
        <is>
          <t>Karmine Corp Blue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-150</v>
      </c>
      <c r="M34" s="27" t="n">
        <v>1.666667</v>
      </c>
      <c r="N34" s="28" t="n">
        <v>0.6</v>
      </c>
      <c r="O34" s="28" t="n">
        <v>0.745171</v>
      </c>
      <c r="P34" s="28" t="n"/>
      <c r="Q34" s="28" t="n">
        <v>0.145171</v>
      </c>
      <c r="R34" s="26" t="n">
        <v>93</v>
      </c>
      <c r="S34" s="29" t="n">
        <v>2</v>
      </c>
      <c r="T34" s="24" t="inlineStr">
        <is>
          <t>lol-tiered-elo-v6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0.6000 (market_slug=aec-lol-kcb-sc-2026-08-06).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Skillcamp Esport</t>
        </is>
      </c>
      <c r="AQ34" s="24" t="inlineStr">
        <is>
          <t>Skillcamp Esport</t>
        </is>
      </c>
      <c r="AR34" s="24" t="inlineStr">
        <is>
          <t>Skillcamp Esport</t>
        </is>
      </c>
      <c r="AS34" s="24" t="inlineStr">
        <is>
          <t>Karmine Corp Blue</t>
        </is>
      </c>
      <c r="AT34" s="24" t="inlineStr">
        <is>
          <t>Karmine Corp Blue</t>
        </is>
      </c>
      <c r="AU34" s="24" t="inlineStr">
        <is>
          <t>Karmine Corp Blue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9a8d5ad7f045de5eb1cb17aea82bbcf9812b40ca30a6256eba6436fea9a94482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9a8d5ad7f045de5eb1cb17aea82bbcf9812b40ca30a6256eba6436fea9a94482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2026-08-05T04:38:56.857849Z</t>
        </is>
      </c>
      <c r="BI34" s="24" t="inlineStr">
        <is>
          <t>["same_event","same_team_same_day","same_league_same_day"]</t>
        </is>
      </c>
      <c r="BJ34" s="25" t="n"/>
      <c r="BK34" s="26" t="n">
        <v>-150</v>
      </c>
      <c r="BL34" s="27" t="n">
        <v>1.666667</v>
      </c>
      <c r="BM34" s="28" t="n">
        <v>0.6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a3cee766cadf4f11</t>
        </is>
      </c>
      <c r="B35" s="24" t="inlineStr">
        <is>
          <t>2026-08-05T04:39:12.089327Z</t>
        </is>
      </c>
      <c r="C35" s="24" t="inlineStr">
        <is>
          <t>2026-08-06T17:00:00Z</t>
        </is>
      </c>
      <c r="D35" s="24" t="inlineStr">
        <is>
          <t>70862</t>
        </is>
      </c>
      <c r="E35" s="24" t="inlineStr">
        <is>
          <t>LOL</t>
        </is>
      </c>
      <c r="F35" s="24" t="inlineStr">
        <is>
          <t>EKO Esports</t>
        </is>
      </c>
      <c r="G35" s="24" t="inlineStr">
        <is>
          <t>Colossal Gaming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0.698972</v>
      </c>
      <c r="P35" s="28" t="n"/>
      <c r="Q35" s="28" t="n">
        <v>0.029005</v>
      </c>
      <c r="R35" s="26" t="n">
        <v>35</v>
      </c>
      <c r="S35" s="29" t="n">
        <v>2</v>
      </c>
      <c r="T35" s="24" t="inlineStr">
        <is>
          <t>lol-tiered-elo-v6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0.6700 (market_slug=aec-lol-cg-eko-2026-08-06).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EKO Esports</t>
        </is>
      </c>
      <c r="AQ35" s="24" t="inlineStr">
        <is>
          <t>EKO Esports</t>
        </is>
      </c>
      <c r="AR35" s="24" t="inlineStr">
        <is>
          <t>EKO Esports</t>
        </is>
      </c>
      <c r="AS35" s="24" t="inlineStr">
        <is>
          <t>Colossal Gaming</t>
        </is>
      </c>
      <c r="AT35" s="24" t="inlineStr">
        <is>
          <t>Colossal Gaming</t>
        </is>
      </c>
      <c r="AU35" s="24" t="inlineStr">
        <is>
          <t>Colossal Gaming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9a8d5ad7f045de5eb1cb17aea82bbcf9812b40ca30a6256eba6436fea9a94482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9a8d5ad7f045de5eb1cb17aea82bbcf9812b40ca30a6256eba6436fea9a94482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2026-08-05T04:38:57.734148Z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8ef77081c6334c10</t>
        </is>
      </c>
      <c r="B36" s="24" t="inlineStr">
        <is>
          <t>2026-08-05T04:39:12.089327Z</t>
        </is>
      </c>
      <c r="C36" s="24" t="inlineStr">
        <is>
          <t>2026-08-06T18:00:00Z</t>
        </is>
      </c>
      <c r="D36" s="24" t="inlineStr">
        <is>
          <t>70903</t>
        </is>
      </c>
      <c r="E36" s="24" t="inlineStr">
        <is>
          <t>LOL</t>
        </is>
      </c>
      <c r="F36" s="24" t="inlineStr">
        <is>
          <t>Zena Esports</t>
        </is>
      </c>
      <c r="G36" s="24" t="inlineStr">
        <is>
          <t>GMBLERS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-150</v>
      </c>
      <c r="M36" s="27" t="n">
        <v>1.666667</v>
      </c>
      <c r="N36" s="28" t="n">
        <v>0.6</v>
      </c>
      <c r="O36" s="28" t="n">
        <v>0.632681</v>
      </c>
      <c r="P36" s="28" t="n"/>
      <c r="Q36" s="28" t="n">
        <v>0.032681</v>
      </c>
      <c r="R36" s="26" t="n">
        <v>36</v>
      </c>
      <c r="S36" s="29" t="n">
        <v>1.5</v>
      </c>
      <c r="T36" s="24" t="inlineStr">
        <is>
          <t>lol-tiered-elo-v6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0.6000 (market_slug=aec-lol-gmb-zena-2026-08-06).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Zena Esports</t>
        </is>
      </c>
      <c r="AQ36" s="24" t="inlineStr">
        <is>
          <t>Zena Esports</t>
        </is>
      </c>
      <c r="AR36" s="24" t="inlineStr">
        <is>
          <t>Zena Esports</t>
        </is>
      </c>
      <c r="AS36" s="24" t="inlineStr">
        <is>
          <t>GMBLERS ESPORTS</t>
        </is>
      </c>
      <c r="AT36" s="24" t="inlineStr">
        <is>
          <t>GMBLERS ESPORTS</t>
        </is>
      </c>
      <c r="AU36" s="24" t="inlineStr">
        <is>
          <t>GMBLERS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9a8d5ad7f045de5eb1cb17aea82bbcf9812b40ca30a6256eba6436fea9a94482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9a8d5ad7f045de5eb1cb17aea82bbcf9812b40ca30a6256eba6436fea9a94482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2026-08-05T04:39:05.384864Z</t>
        </is>
      </c>
      <c r="BI36" s="24" t="inlineStr">
        <is>
          <t>["same_event","same_team_same_day","same_league_same_day"]</t>
        </is>
      </c>
      <c r="BJ36" s="25" t="n"/>
      <c r="BK36" s="26" t="n">
        <v>-150</v>
      </c>
      <c r="BL36" s="27" t="n">
        <v>1.666667</v>
      </c>
      <c r="BM36" s="28" t="n">
        <v>0.6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e2b2a460c5eb4f44</t>
        </is>
      </c>
      <c r="B37" s="24" t="inlineStr">
        <is>
          <t>2026-08-05T04:39:12.089327Z</t>
        </is>
      </c>
      <c r="C37" s="24" t="inlineStr">
        <is>
          <t>2026-08-06T20:00:00Z</t>
        </is>
      </c>
      <c r="D37" s="24" t="inlineStr">
        <is>
          <t>71214</t>
        </is>
      </c>
      <c r="E37" s="24" t="inlineStr">
        <is>
          <t>LOL</t>
        </is>
      </c>
      <c r="F37" s="24" t="inlineStr">
        <is>
          <t>Vitality.Bee</t>
        </is>
      </c>
      <c r="G37" s="24" t="inlineStr">
        <is>
          <t>ZYB Esport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-127</v>
      </c>
      <c r="M37" s="27" t="n">
        <v>1.787402</v>
      </c>
      <c r="N37" s="28" t="n">
        <v>0.5594710000000001</v>
      </c>
      <c r="O37" s="28" t="n">
        <v>0.639259</v>
      </c>
      <c r="P37" s="28" t="n"/>
      <c r="Q37" s="28" t="n">
        <v>0.079788</v>
      </c>
      <c r="R37" s="26" t="n">
        <v>60</v>
      </c>
      <c r="S37" s="29" t="n">
        <v>1.5</v>
      </c>
      <c r="T37" s="24" t="inlineStr">
        <is>
          <t>lol-tiered-elo-v6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0.5600 (market_slug=aec-lol-zyb-vitb-2026-08-06).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Vitality.Bee</t>
        </is>
      </c>
      <c r="AQ37" s="24" t="inlineStr">
        <is>
          <t>Vitality.Bee</t>
        </is>
      </c>
      <c r="AR37" s="24" t="inlineStr">
        <is>
          <t>Vitality.Bee</t>
        </is>
      </c>
      <c r="AS37" s="24" t="inlineStr">
        <is>
          <t>ZYB Esport</t>
        </is>
      </c>
      <c r="AT37" s="24" t="inlineStr">
        <is>
          <t>ZYB Esport</t>
        </is>
      </c>
      <c r="AU37" s="24" t="inlineStr">
        <is>
          <t>ZYB Esport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9a8d5ad7f045de5eb1cb17aea82bbcf9812b40ca30a6256eba6436fea9a94482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9a8d5ad7f045de5eb1cb17aea82bbcf9812b40ca30a6256eba6436fea9a94482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2026-08-05T04:39:09.483653Z</t>
        </is>
      </c>
      <c r="BI37" s="24" t="inlineStr">
        <is>
          <t>["same_event","same_team_same_day","same_league_same_day"]</t>
        </is>
      </c>
      <c r="BJ37" s="25" t="n"/>
      <c r="BK37" s="26" t="n">
        <v>-127</v>
      </c>
      <c r="BL37" s="27" t="n">
        <v>1.787402</v>
      </c>
      <c r="BM37" s="28" t="n">
        <v>0.5594710000000001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2026-08-05T04:40:26Z</dcterms:created>
  <dcterms:modified xsi:type="dcterms:W3CDTF">2026-08-05T04:40:26Z</dcterms:modified>
</cp:coreProperties>
</file>