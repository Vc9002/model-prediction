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50" headerRowCount="1">
  <autoFilter ref="A1:CS5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COUNTA('Picks'!$A$2:$A$50)</f>
        <v/>
      </c>
      <c r="C4" s="6">
        <f>COUNTIF('Picks'!$U$2:$U$50,"open")</f>
        <v/>
      </c>
      <c r="E4" s="6">
        <f>COUNTIF('Picks'!$U$2:$U$50,"settled")</f>
        <v/>
      </c>
      <c r="G4" s="6">
        <f>IF(COUNTIFS('Picks'!$U$2:$U$50,"settled",'Picks'!$V$2:$V$50,"win")+COUNTIFS('Picks'!$U$2:$U$50,"settled",'Picks'!$V$2:$V$50,"loss")&gt;=$L$2,"Ready","Insufficient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COUNTIF('Picks'!$BX$2:$BX$50,"&gt;0")</f>
        <v/>
      </c>
      <c r="C7" s="6">
        <f>COUNTIFS('Picks'!$BX$2:$BX$50,"&gt;0",'Picks'!$V$2:$V$50,"win")&amp;"-"&amp;COUNTIFS('Picks'!$BX$2:$BX$50,"&gt;0",'Picks'!$V$2:$V$50,"loss")</f>
        <v/>
      </c>
      <c r="E7" s="7">
        <f>IFERROR(COUNTIFS('Picks'!$BX$2:$BX$50,"&gt;0",'Picks'!$V$2:$V$50,"win")/(COUNTIFS('Picks'!$BX$2:$BX$50,"&gt;0",'Picks'!$V$2:$V$50,"win")+COUNTIFS('Picks'!$BX$2:$BX$50,"&gt;0",'Picks'!$V$2:$V$50,"loss")),0)</f>
        <v/>
      </c>
      <c r="G7" s="7">
        <f>IFERROR(SUM('Picks'!$BY$2:$BY$50)/SUM('Picks'!$BX$2:$BX$50),0)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SUM('Picks'!$BY$2:$BY$50)</f>
        <v/>
      </c>
      <c r="C10" s="9">
        <f>IFERROR(AVERAGEIF('Picks'!$AB$2:$AB$50,"&lt;&gt;",'Picks'!$AB$2:$AB$50),0)</f>
        <v/>
      </c>
      <c r="E10" s="6">
        <f>COUNTIFS('Picks'!$AM$2:$AM$50,"QUALIFIED_SHADOW_CALL",'Picks'!$U$2:$U$50,"settled")</f>
        <v/>
      </c>
      <c r="G10" s="8">
        <f>SUMIFS('Picks'!$AC$2:$AC$50,'Picks'!$AM$2:$AM$50,"QUALIFIED_SHADOW_CALL")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COUNTIFS('Picks'!$H$2:$H$50,$A14,'Picks'!$U$2:$U$50,"settled")</f>
        <v/>
      </c>
      <c r="C14" s="13">
        <f>COUNTIFS('Picks'!$H$2:$H$50,$A14,'Picks'!$U$2:$U$50,"settled",'Picks'!$V$2:$V$50,"win")</f>
        <v/>
      </c>
      <c r="D14" s="13">
        <f>COUNTIFS('Picks'!$H$2:$H$50,$A14,'Picks'!$U$2:$U$50,"settled",'Picks'!$V$2:$V$50,"loss")</f>
        <v/>
      </c>
      <c r="E14" s="14">
        <f>IFERROR(C14/(C14+D14),0)</f>
        <v/>
      </c>
      <c r="F14" s="15">
        <f>SUMIFS('Picks'!$BY$2:$BY$50,'Picks'!$H$2:$H$50,$A14)</f>
        <v/>
      </c>
      <c r="G14" s="16">
        <f>IFERROR(AVERAGEIFS('Picks'!$AB$2:$AB$50,'Picks'!$H$2:$H$50,$A14,'Picks'!$U$2:$U$50,"settled"),0)</f>
        <v/>
      </c>
    </row>
    <row r="15">
      <c r="A15" s="17" t="inlineStr">
        <is>
          <t>spread</t>
        </is>
      </c>
      <c r="B15" s="18">
        <f>COUNTIFS('Picks'!$H$2:$H$50,$A15,'Picks'!$U$2:$U$50,"settled")</f>
        <v/>
      </c>
      <c r="C15" s="18">
        <f>COUNTIFS('Picks'!$H$2:$H$50,$A15,'Picks'!$U$2:$U$50,"settled",'Picks'!$V$2:$V$50,"win")</f>
        <v/>
      </c>
      <c r="D15" s="18">
        <f>COUNTIFS('Picks'!$H$2:$H$50,$A15,'Picks'!$U$2:$U$50,"settled",'Picks'!$V$2:$V$50,"loss")</f>
        <v/>
      </c>
      <c r="E15" s="19">
        <f>IFERROR(C15/(C15+D15),0)</f>
        <v/>
      </c>
      <c r="F15" s="20">
        <f>SUMIFS('Picks'!$BY$2:$BY$50,'Picks'!$H$2:$H$50,$A15)</f>
        <v/>
      </c>
      <c r="G15" s="21">
        <f>IFERROR(AVERAGEIFS('Picks'!$AB$2:$AB$50,'Picks'!$H$2:$H$50,$A15,'Picks'!$U$2:$U$50,"settled"),0)</f>
        <v/>
      </c>
    </row>
    <row r="16">
      <c r="A16" s="12" t="inlineStr">
        <is>
          <t>total</t>
        </is>
      </c>
      <c r="B16" s="13">
        <f>COUNTIFS('Picks'!$H$2:$H$50,$A16,'Picks'!$U$2:$U$50,"settled")</f>
        <v/>
      </c>
      <c r="C16" s="13">
        <f>COUNTIFS('Picks'!$H$2:$H$50,$A16,'Picks'!$U$2:$U$50,"settled",'Picks'!$V$2:$V$50,"win")</f>
        <v/>
      </c>
      <c r="D16" s="13">
        <f>COUNTIFS('Picks'!$H$2:$H$50,$A16,'Picks'!$U$2:$U$50,"settled",'Picks'!$V$2:$V$50,"loss")</f>
        <v/>
      </c>
      <c r="E16" s="14">
        <f>IFERROR(C16/(C16+D16),0)</f>
        <v/>
      </c>
      <c r="F16" s="15">
        <f>SUMIFS('Picks'!$BY$2:$BY$50,'Picks'!$H$2:$H$50,$A16)</f>
        <v/>
      </c>
      <c r="G16" s="16">
        <f>IFERROR(AVERAGEIFS('Picks'!$AB$2:$AB$50,'Picks'!$H$2:$H$50,$A16,'Picks'!$U$2:$U$50,"settled"),0)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e7b27a6351004271</t>
        </is>
      </c>
      <c r="B2" s="24" t="inlineStr">
        <is>
          <t>2026-08-04T16:54:52.896251Z</t>
        </is>
      </c>
      <c r="C2" s="24" t="inlineStr">
        <is>
          <t>2026-08-04T18:00:00Z</t>
        </is>
      </c>
      <c r="D2" s="24" t="inlineStr">
        <is>
          <t>68688</t>
        </is>
      </c>
      <c r="E2" s="24" t="inlineStr">
        <is>
          <t>LOL</t>
        </is>
      </c>
      <c r="F2" s="24" t="inlineStr">
        <is>
          <t>Joblife</t>
        </is>
      </c>
      <c r="G2" s="24" t="inlineStr">
        <is>
          <t>ZYB Esport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-104</v>
      </c>
      <c r="M2" s="27" t="n">
        <v>1.961538</v>
      </c>
      <c r="N2" s="28" t="n">
        <v>0.509804</v>
      </c>
      <c r="O2" s="28" t="n">
        <v>0.530674</v>
      </c>
      <c r="P2" s="28" t="n"/>
      <c r="Q2" s="28" t="n">
        <v>0.02087</v>
      </c>
      <c r="R2" s="26" t="n">
        <v>30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-104</v>
      </c>
      <c r="AA2" s="28" t="n">
        <v>0.51</v>
      </c>
      <c r="AB2" s="28" t="n">
        <v>0.000196</v>
      </c>
      <c r="AC2" s="30" t="n">
        <v>0.9615</v>
      </c>
      <c r="AD2" s="24" t="inlineStr">
        <is>
          <t>2026-08-04T22:00:06.736199Z</t>
        </is>
      </c>
      <c r="AE2" s="31" t="inlineStr">
        <is>
          <t>Neutral Elo baseline; executable ask 0.5100 (market_slug=aec-lol-zyb-jl-2026-08-04).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Joblife</t>
        </is>
      </c>
      <c r="AQ2" s="24" t="inlineStr">
        <is>
          <t>Joblife</t>
        </is>
      </c>
      <c r="AR2" s="24" t="inlineStr">
        <is>
          <t>Joblife</t>
        </is>
      </c>
      <c r="AS2" s="24" t="inlineStr">
        <is>
          <t>ZYB Esport</t>
        </is>
      </c>
      <c r="AT2" s="24" t="inlineStr">
        <is>
          <t>ZYB Esport</t>
        </is>
      </c>
      <c r="AU2" s="24" t="inlineStr">
        <is>
          <t>ZYB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2026-08-04T16:54:19.630031Z</t>
        </is>
      </c>
      <c r="BI2" s="24" t="inlineStr">
        <is>
          <t>["same_event","same_team_same_day","same_league_same_day"]</t>
        </is>
      </c>
      <c r="BJ2" s="25" t="n"/>
      <c r="BK2" s="26" t="n">
        <v>-104</v>
      </c>
      <c r="BL2" s="27" t="n">
        <v>1.961538</v>
      </c>
      <c r="BM2" s="28" t="n">
        <v>0.509804</v>
      </c>
      <c r="BN2" s="28" t="n"/>
      <c r="BO2" s="28" t="n"/>
      <c r="BP2" s="25" t="n"/>
      <c r="BQ2" s="27" t="n">
        <v>1.961538</v>
      </c>
      <c r="BR2" s="28" t="n">
        <v>0.51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3f74d898ac9646d8</t>
        </is>
      </c>
      <c r="B3" s="24" t="inlineStr">
        <is>
          <t>2026-08-04T18:08:50.279200Z</t>
        </is>
      </c>
      <c r="C3" s="24" t="inlineStr">
        <is>
          <t>2026-08-04T20:00:00Z</t>
        </is>
      </c>
      <c r="D3" s="24" t="inlineStr">
        <is>
          <t>69144</t>
        </is>
      </c>
      <c r="E3" s="24" t="inlineStr">
        <is>
          <t>LOL</t>
        </is>
      </c>
      <c r="F3" s="24" t="inlineStr">
        <is>
          <t>INTZ e-Sports</t>
        </is>
      </c>
      <c r="G3" s="24" t="inlineStr">
        <is>
          <t>Vivo Keyd Stars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0.56541</v>
      </c>
      <c r="P3" s="28" t="n"/>
      <c r="Q3" s="28" t="n">
        <v>0.11496</v>
      </c>
      <c r="R3" s="26" t="n">
        <v>77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122</v>
      </c>
      <c r="AA3" s="28" t="n">
        <v>0.45</v>
      </c>
      <c r="AB3" s="28" t="n">
        <v>-0.00045</v>
      </c>
      <c r="AC3" s="30" t="n">
        <v>-1</v>
      </c>
      <c r="AD3" s="24" t="inlineStr">
        <is>
          <t>2026-08-04T22:00:08.029029Z</t>
        </is>
      </c>
      <c r="AE3" s="31" t="inlineStr">
        <is>
          <t>Neutral Elo baseline; executable ask 0.4500 (market_slug=aec-lol-vksa-itz-2026-08-04).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INTZ e-Sports</t>
        </is>
      </c>
      <c r="AQ3" s="24" t="inlineStr">
        <is>
          <t>INTZ e-Sports</t>
        </is>
      </c>
      <c r="AR3" s="24" t="inlineStr">
        <is>
          <t>INTZ e-Sports</t>
        </is>
      </c>
      <c r="AS3" s="24" t="inlineStr">
        <is>
          <t>Vivo Keyd Stars Academy</t>
        </is>
      </c>
      <c r="AT3" s="24" t="inlineStr">
        <is>
          <t>Vivo Keyd Stars Academy</t>
        </is>
      </c>
      <c r="AU3" s="24" t="inlineStr">
        <is>
          <t>Vivo Keyd Stars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581bb511aff842f9af01d132a2c739b65878388c9d1d8f1182f28b3c271e9a2c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581bb511aff842f9af01d132a2c739b65878388c9d1d8f1182f28b3c271e9a2c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2026-08-04T18:08:14.538966Z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826e1c0eddf0473f</t>
        </is>
      </c>
      <c r="B4" s="24" t="inlineStr">
        <is>
          <t>2026-08-04T18:08:50.279200Z</t>
        </is>
      </c>
      <c r="C4" s="24" t="inlineStr">
        <is>
          <t>2026-08-04T20:00:00Z</t>
        </is>
      </c>
      <c r="D4" s="24" t="inlineStr">
        <is>
          <t>69141</t>
        </is>
      </c>
      <c r="E4" s="24" t="inlineStr">
        <is>
          <t>LOL</t>
        </is>
      </c>
      <c r="F4" s="24" t="inlineStr">
        <is>
          <t>Vitality.Bee</t>
        </is>
      </c>
      <c r="G4" s="24" t="inlineStr">
        <is>
          <t>Karmine Corp Blue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0.663313</v>
      </c>
      <c r="P4" s="28" t="n"/>
      <c r="Q4" s="28" t="n">
        <v>0.003449</v>
      </c>
      <c r="R4" s="26" t="n">
        <v>22</v>
      </c>
      <c r="S4" s="29" t="n">
        <v>1.75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-194</v>
      </c>
      <c r="AA4" s="28" t="n">
        <v>0.66</v>
      </c>
      <c r="AB4" s="28" t="n">
        <v>0.000136</v>
      </c>
      <c r="AC4" s="30" t="n">
        <v>0.9021</v>
      </c>
      <c r="AD4" s="24" t="inlineStr">
        <is>
          <t>2026-08-04T22:00:09.282327Z</t>
        </is>
      </c>
      <c r="AE4" s="31" t="inlineStr">
        <is>
          <t>Neutral Elo baseline; executable ask 0.6600 (market_slug=aec-lol-kcb-vitb-2026-08-04).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Vitality.Bee</t>
        </is>
      </c>
      <c r="AQ4" s="24" t="inlineStr">
        <is>
          <t>Vitality.Bee</t>
        </is>
      </c>
      <c r="AR4" s="24" t="inlineStr">
        <is>
          <t>Vitality.Bee</t>
        </is>
      </c>
      <c r="AS4" s="24" t="inlineStr">
        <is>
          <t>Karmine Corp Blue</t>
        </is>
      </c>
      <c r="AT4" s="24" t="inlineStr">
        <is>
          <t>Karmine Corp Blue</t>
        </is>
      </c>
      <c r="AU4" s="24" t="inlineStr">
        <is>
          <t>Karmine Corp Blue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581bb511aff842f9af01d132a2c739b65878388c9d1d8f1182f28b3c271e9a2c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581bb511aff842f9af01d132a2c739b65878388c9d1d8f1182f28b3c271e9a2c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2026-08-04T18:08:15.286337Z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1.515464</v>
      </c>
      <c r="BR4" s="28" t="n">
        <v>0.66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e87b40da89ed44aa</t>
        </is>
      </c>
      <c r="B5" s="24" t="inlineStr">
        <is>
          <t>2026-08-04T18:08:50.279200Z</t>
        </is>
      </c>
      <c r="C5" s="24" t="inlineStr">
        <is>
          <t>2026-08-04T21:00:00Z</t>
        </is>
      </c>
      <c r="D5" s="24" t="inlineStr">
        <is>
          <t>69233</t>
        </is>
      </c>
      <c r="E5" s="24" t="inlineStr">
        <is>
          <t>LOL</t>
        </is>
      </c>
      <c r="F5" s="24" t="inlineStr">
        <is>
          <t>Team Solid</t>
        </is>
      </c>
      <c r="G5" s="24" t="inlineStr">
        <is>
          <t>RED Academy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0.552115</v>
      </c>
      <c r="P5" s="28" t="n"/>
      <c r="Q5" s="28" t="n">
        <v>0.222082</v>
      </c>
      <c r="R5" s="26" t="n">
        <v>100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203</v>
      </c>
      <c r="AA5" s="28" t="n">
        <v>0.33</v>
      </c>
      <c r="AB5" s="28" t="n">
        <v>-3.3e-05</v>
      </c>
      <c r="AC5" s="30" t="n">
        <v>-1</v>
      </c>
      <c r="AD5" s="24" t="inlineStr">
        <is>
          <t>2026-08-05T01:06:40.231508Z</t>
        </is>
      </c>
      <c r="AE5" s="31" t="inlineStr">
        <is>
          <t>Neutral Elo baseline; executable ask 0.3300 (market_slug=aec-lol-reda-tse-2026-08-04).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Solid</t>
        </is>
      </c>
      <c r="AQ5" s="24" t="inlineStr">
        <is>
          <t>Team Solid</t>
        </is>
      </c>
      <c r="AR5" s="24" t="inlineStr">
        <is>
          <t>Team Solid</t>
        </is>
      </c>
      <c r="AS5" s="24" t="inlineStr">
        <is>
          <t>RED Academy</t>
        </is>
      </c>
      <c r="AT5" s="24" t="inlineStr">
        <is>
          <t>RED Academy</t>
        </is>
      </c>
      <c r="AU5" s="24" t="inlineStr">
        <is>
          <t>RED Academy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581bb511aff842f9af01d132a2c739b65878388c9d1d8f1182f28b3c271e9a2c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581bb511aff842f9af01d132a2c739b65878388c9d1d8f1182f28b3c271e9a2c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2026-08-04T18:08:16.814975Z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>
        <v>3.03</v>
      </c>
      <c r="BR5" s="28" t="n">
        <v>0.33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74ff8cb85b6c4687</t>
        </is>
      </c>
      <c r="B6" s="24" t="inlineStr">
        <is>
          <t>2026-08-04T18:08:50.279200Z</t>
        </is>
      </c>
      <c r="C6" s="24" t="inlineStr">
        <is>
          <t>2026-08-04T22:00:00Z</t>
        </is>
      </c>
      <c r="D6" s="24" t="inlineStr">
        <is>
          <t>69273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7REX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-113</v>
      </c>
      <c r="M6" s="27" t="n">
        <v>1.884956</v>
      </c>
      <c r="N6" s="28" t="n">
        <v>0.530516</v>
      </c>
      <c r="O6" s="28" t="n">
        <v>0.610688</v>
      </c>
      <c r="P6" s="28" t="n"/>
      <c r="Q6" s="28" t="n">
        <v>0.08017199999999999</v>
      </c>
      <c r="R6" s="26" t="n">
        <v>60</v>
      </c>
      <c r="S6" s="29" t="n">
        <v>1.5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-113</v>
      </c>
      <c r="AA6" s="28" t="n">
        <v>0.53</v>
      </c>
      <c r="AB6" s="28" t="n">
        <v>-0.000516</v>
      </c>
      <c r="AC6" s="30" t="n">
        <v>1.3274</v>
      </c>
      <c r="AD6" s="24" t="inlineStr">
        <is>
          <t>2026-08-05T01:06:42.280534Z</t>
        </is>
      </c>
      <c r="AE6" s="31" t="inlineStr">
        <is>
          <t>Neutral Elo baseline; executable ask 0.5300 (market_slug=aec-lol-7rex-rmd-2026-08-04).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7REX</t>
        </is>
      </c>
      <c r="AT6" s="24" t="inlineStr">
        <is>
          <t>7REX</t>
        </is>
      </c>
      <c r="AU6" s="24" t="inlineStr">
        <is>
          <t>7REX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581bb511aff842f9af01d132a2c739b65878388c9d1d8f1182f28b3c271e9a2c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581bb511aff842f9af01d132a2c739b65878388c9d1d8f1182f28b3c271e9a2c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2026-08-04T18:08:17.591273Z</t>
        </is>
      </c>
      <c r="BI6" s="24" t="inlineStr">
        <is>
          <t>["same_event","same_team_same_day","same_league_same_day"]</t>
        </is>
      </c>
      <c r="BJ6" s="25" t="n"/>
      <c r="BK6" s="26" t="n">
        <v>-113</v>
      </c>
      <c r="BL6" s="27" t="n">
        <v>1.884956</v>
      </c>
      <c r="BM6" s="28" t="n">
        <v>0.530516</v>
      </c>
      <c r="BN6" s="28" t="n"/>
      <c r="BO6" s="28" t="n"/>
      <c r="BP6" s="25" t="n"/>
      <c r="BQ6" s="27" t="n">
        <v>1.884956</v>
      </c>
      <c r="BR6" s="28" t="n">
        <v>0.53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3e2ddc0f60084cb5</t>
        </is>
      </c>
      <c r="B7" s="24" t="inlineStr">
        <is>
          <t>2026-08-04T22:03:07.434111Z</t>
        </is>
      </c>
      <c r="C7" s="24" t="inlineStr">
        <is>
          <t>2026-08-04T23:00:00Z</t>
        </is>
      </c>
      <c r="D7" s="24" t="inlineStr">
        <is>
          <t>69304</t>
        </is>
      </c>
      <c r="E7" s="24" t="inlineStr">
        <is>
          <t>LOL</t>
        </is>
      </c>
      <c r="F7" s="24" t="inlineStr">
        <is>
          <t>paiN Gaming Academy</t>
        </is>
      </c>
      <c r="G7" s="24" t="inlineStr">
        <is>
          <t>KaBuM! Ilha das Lendas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0.542093</v>
      </c>
      <c r="P7" s="28" t="n"/>
      <c r="Q7" s="28" t="n">
        <v>0.002922</v>
      </c>
      <c r="R7" s="26" t="n">
        <v>21</v>
      </c>
      <c r="S7" s="29" t="n">
        <v>1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-117</v>
      </c>
      <c r="AA7" s="28" t="n">
        <v>0.54</v>
      </c>
      <c r="AB7" s="28" t="n">
        <v>0.000829</v>
      </c>
      <c r="AC7" s="30" t="n">
        <v>-1</v>
      </c>
      <c r="AD7" s="24" t="inlineStr">
        <is>
          <t>2026-08-05T01:06:44.159759Z</t>
        </is>
      </c>
      <c r="AE7" s="31" t="inlineStr">
        <is>
          <t>Neutral Elo baseline; executable ask 0.5400 (market_slug=aec-lol-kbm-pnga-2026-08-04).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paiN Gaming Academy</t>
        </is>
      </c>
      <c r="AQ7" s="24" t="inlineStr">
        <is>
          <t>paiN Gaming Academy</t>
        </is>
      </c>
      <c r="AR7" s="24" t="inlineStr">
        <is>
          <t>paiN Gaming Academy</t>
        </is>
      </c>
      <c r="AS7" s="24" t="inlineStr">
        <is>
          <t>KaBuM! Ilha das Lendas</t>
        </is>
      </c>
      <c r="AT7" s="24" t="inlineStr">
        <is>
          <t>KaBuM! Ilha das Lendas</t>
        </is>
      </c>
      <c r="AU7" s="24" t="inlineStr">
        <is>
          <t>KaBuM! Ilha das Lendas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97b6e7d388d98e9492a794fb2cdef05114fd516a988a71f95285158326a46434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97b6e7d388d98e9492a794fb2cdef05114fd516a988a71f95285158326a46434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2026-08-04T22:02:38.695907Z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2ed3a33fa9b847a4</t>
        </is>
      </c>
      <c r="B8" s="24" t="inlineStr">
        <is>
          <t>2026-08-05T04:39:12.089327Z</t>
        </is>
      </c>
      <c r="C8" s="24" t="inlineStr">
        <is>
          <t>2026-08-05T05:00:00Z</t>
        </is>
      </c>
      <c r="D8" s="24" t="inlineStr">
        <is>
          <t>69507</t>
        </is>
      </c>
      <c r="E8" s="24" t="inlineStr">
        <is>
          <t>LOL</t>
        </is>
      </c>
      <c r="F8" s="24" t="inlineStr">
        <is>
          <t>Nongshim Esports Academy</t>
        </is>
      </c>
      <c r="G8" s="24" t="inlineStr">
        <is>
          <t>Dplus KIA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-104</v>
      </c>
      <c r="M8" s="27" t="n">
        <v>1.961538</v>
      </c>
      <c r="N8" s="28" t="n">
        <v>0.509804</v>
      </c>
      <c r="O8" s="28" t="n">
        <v>0.675544</v>
      </c>
      <c r="P8" s="28" t="n"/>
      <c r="Q8" s="28" t="n">
        <v>0.16574</v>
      </c>
      <c r="R8" s="26" t="n">
        <v>100</v>
      </c>
      <c r="S8" s="29" t="n">
        <v>1.75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-104</v>
      </c>
      <c r="AA8" s="28" t="n">
        <v>0.51</v>
      </c>
      <c r="AB8" s="28" t="n">
        <v>0.000196</v>
      </c>
      <c r="AC8" s="30" t="n">
        <v>1.6827</v>
      </c>
      <c r="AD8" s="24" t="inlineStr">
        <is>
          <t>2026-08-05T10:18:21.257965Z</t>
        </is>
      </c>
      <c r="AE8" s="31" t="inlineStr">
        <is>
          <t>Neutral Elo baseline; executable ask 0.5100 (market_slug=aec-lol-dkc-nsea-2026-08-05).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Nongshim Esports Academy</t>
        </is>
      </c>
      <c r="AQ8" s="24" t="inlineStr">
        <is>
          <t>Nongshim Esports Academy</t>
        </is>
      </c>
      <c r="AR8" s="24" t="inlineStr">
        <is>
          <t>Nongshim Esports Academy</t>
        </is>
      </c>
      <c r="AS8" s="24" t="inlineStr">
        <is>
          <t>Dplus KIA Challengers</t>
        </is>
      </c>
      <c r="AT8" s="24" t="inlineStr">
        <is>
          <t>Dplus KIA Challengers</t>
        </is>
      </c>
      <c r="AU8" s="24" t="inlineStr">
        <is>
          <t>Dplus KIA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9a8d5ad7f045de5eb1cb17aea82bbcf9812b40ca30a6256eba6436fea9a94482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9a8d5ad7f045de5eb1cb17aea82bbcf9812b40ca30a6256eba6436fea9a94482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2026-08-05T04:38:10.815485Z</t>
        </is>
      </c>
      <c r="BI8" s="24" t="inlineStr">
        <is>
          <t>["same_event","same_team_same_day","same_league_same_day"]</t>
        </is>
      </c>
      <c r="BJ8" s="25" t="n"/>
      <c r="BK8" s="26" t="n">
        <v>-104</v>
      </c>
      <c r="BL8" s="27" t="n">
        <v>1.961538</v>
      </c>
      <c r="BM8" s="28" t="n">
        <v>0.509804</v>
      </c>
      <c r="BN8" s="28" t="n"/>
      <c r="BO8" s="28" t="n"/>
      <c r="BP8" s="25" t="n"/>
      <c r="BQ8" s="27" t="n">
        <v>1.961538</v>
      </c>
      <c r="BR8" s="28" t="n">
        <v>0.51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b9619cd820234cc5</t>
        </is>
      </c>
      <c r="B9" s="24" t="inlineStr">
        <is>
          <t>2026-08-05T04:39:12.089327Z</t>
        </is>
      </c>
      <c r="C9" s="24" t="inlineStr">
        <is>
          <t>2026-08-05T08:00:00Z</t>
        </is>
      </c>
      <c r="D9" s="24" t="inlineStr">
        <is>
          <t>69511</t>
        </is>
      </c>
      <c r="E9" s="24" t="inlineStr">
        <is>
          <t>LOL</t>
        </is>
      </c>
      <c r="F9" s="24" t="inlineStr">
        <is>
          <t>New Meta</t>
        </is>
      </c>
      <c r="G9" s="24" t="inlineStr">
        <is>
          <t>FENNEL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0.692195</v>
      </c>
      <c r="P9" s="28" t="n"/>
      <c r="Q9" s="28" t="n">
        <v>0.001793</v>
      </c>
      <c r="R9" s="26" t="n">
        <v>21</v>
      </c>
      <c r="S9" s="29" t="n">
        <v>2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2026-08-05T10:41:50.735529Z</t>
        </is>
      </c>
      <c r="AE9" s="31" t="inlineStr">
        <is>
          <t>Neutral Elo baseline; executable ask 0.6900 (market_slug=aec-lol-fnl-nme-2026-08-05).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Meta</t>
        </is>
      </c>
      <c r="AQ9" s="24" t="inlineStr">
        <is>
          <t>New Meta</t>
        </is>
      </c>
      <c r="AR9" s="24" t="inlineStr">
        <is>
          <t>New Meta</t>
        </is>
      </c>
      <c r="AS9" s="24" t="inlineStr">
        <is>
          <t>FENNEL</t>
        </is>
      </c>
      <c r="AT9" s="24" t="inlineStr">
        <is>
          <t>FENNEL</t>
        </is>
      </c>
      <c r="AU9" s="24" t="inlineStr">
        <is>
          <t>FENNEL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9a8d5ad7f045de5eb1cb17aea82bbcf9812b40ca30a6256eba6436fea9a94482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9a8d5ad7f045de5eb1cb17aea82bbcf9812b40ca30a6256eba6436fea9a94482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2026-08-05T04:38:12.003217Z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628efea63f93409f</t>
        </is>
      </c>
      <c r="B10" s="24" t="inlineStr">
        <is>
          <t>2026-08-05T04:39:12.089327Z</t>
        </is>
      </c>
      <c r="C10" s="24" t="inlineStr">
        <is>
          <t>2026-08-05T08:00:00Z</t>
        </is>
      </c>
      <c r="D10" s="24" t="inlineStr">
        <is>
          <t>69512</t>
        </is>
      </c>
      <c r="E10" s="24" t="inlineStr">
        <is>
          <t>LOL</t>
        </is>
      </c>
      <c r="F10" s="24" t="inlineStr">
        <is>
          <t>Nongshim Red Force</t>
        </is>
      </c>
      <c r="G10" s="24" t="inlineStr">
        <is>
          <t>HANJIN BRION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0.7818929999999999</v>
      </c>
      <c r="P10" s="28" t="n"/>
      <c r="Q10" s="28" t="n">
        <v>0.082193</v>
      </c>
      <c r="R10" s="26" t="n">
        <v>61</v>
      </c>
      <c r="S10" s="29" t="n">
        <v>2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-233</v>
      </c>
      <c r="AA10" s="28" t="n">
        <v>0.7</v>
      </c>
      <c r="AB10" s="28" t="n">
        <v>0.0003</v>
      </c>
      <c r="AC10" s="30" t="n">
        <v>-2</v>
      </c>
      <c r="AD10" s="24" t="inlineStr">
        <is>
          <t>2026-08-05T10:41:52.466844Z</t>
        </is>
      </c>
      <c r="AE10" s="31" t="inlineStr">
        <is>
          <t>Neutral Elo baseline; executable ask 0.7000 (market_slug=aec-lol-bro-ns-2026-08-05).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Nongshim Red Force</t>
        </is>
      </c>
      <c r="AQ10" s="24" t="inlineStr">
        <is>
          <t>Nongshim Red Force</t>
        </is>
      </c>
      <c r="AR10" s="24" t="inlineStr">
        <is>
          <t>Nongshim Red Force</t>
        </is>
      </c>
      <c r="AS10" s="24" t="inlineStr">
        <is>
          <t>HANJIN BRION</t>
        </is>
      </c>
      <c r="AT10" s="24" t="inlineStr">
        <is>
          <t>HANJIN BRION</t>
        </is>
      </c>
      <c r="AU10" s="24" t="inlineStr">
        <is>
          <t>HANJIN BRION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9a8d5ad7f045de5eb1cb17aea82bbcf9812b40ca30a6256eba6436fea9a94482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9a8d5ad7f045de5eb1cb17aea82bbcf9812b40ca30a6256eba6436fea9a94482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2026-08-05T04:38:12.947438Z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>
        <v>1.429185</v>
      </c>
      <c r="BR10" s="28" t="n">
        <v>0.7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27ca4687f26448c7</t>
        </is>
      </c>
      <c r="B11" s="24" t="inlineStr">
        <is>
          <t>2026-08-05T04:39:12.089327Z</t>
        </is>
      </c>
      <c r="C11" s="24" t="inlineStr">
        <is>
          <t>2026-08-05T10:00:00Z</t>
        </is>
      </c>
      <c r="D11" s="24" t="inlineStr">
        <is>
          <t>69539</t>
        </is>
      </c>
      <c r="E11" s="24" t="inlineStr">
        <is>
          <t>LOL</t>
        </is>
      </c>
      <c r="F11" s="24" t="inlineStr">
        <is>
          <t>Gen.G</t>
        </is>
      </c>
      <c r="G11" s="24" t="inlineStr">
        <is>
          <t>Hanwha Life Esports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0.6212029999999999</v>
      </c>
      <c r="P11" s="28" t="n"/>
      <c r="Q11" s="28" t="n">
        <v>0.101972</v>
      </c>
      <c r="R11" s="26" t="n">
        <v>71</v>
      </c>
      <c r="S11" s="29" t="n">
        <v>1.5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-108</v>
      </c>
      <c r="AA11" s="28" t="n">
        <v>0.52</v>
      </c>
      <c r="AB11" s="28" t="n">
        <v>0.000769</v>
      </c>
      <c r="AC11" s="30" t="n">
        <v>-1.5</v>
      </c>
      <c r="AD11" s="24" t="inlineStr">
        <is>
          <t>2026-08-05T17:01:20.926489Z</t>
        </is>
      </c>
      <c r="AE11" s="31" t="inlineStr">
        <is>
          <t>Neutral Elo baseline; executable ask 0.5200 (market_slug=aec-lol-hle-gen-2026-08-05).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</t>
        </is>
      </c>
      <c r="AQ11" s="24" t="inlineStr">
        <is>
          <t>Gen.G</t>
        </is>
      </c>
      <c r="AR11" s="24" t="inlineStr">
        <is>
          <t>Gen.G</t>
        </is>
      </c>
      <c r="AS11" s="24" t="inlineStr">
        <is>
          <t>Hanwha Life Esports</t>
        </is>
      </c>
      <c r="AT11" s="24" t="inlineStr">
        <is>
          <t>Hanwha Life Esports</t>
        </is>
      </c>
      <c r="AU11" s="24" t="inlineStr">
        <is>
          <t>Hanwha Life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9a8d5ad7f045de5eb1cb17aea82bbcf9812b40ca30a6256eba6436fea9a94482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9a8d5ad7f045de5eb1cb17aea82bbcf9812b40ca30a6256eba6436fea9a94482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2026-08-05T04:38:15.141988Z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>
        <v>1.925926</v>
      </c>
      <c r="BR11" s="28" t="n">
        <v>0.52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6e173ced17ed423c</t>
        </is>
      </c>
      <c r="B12" s="24" t="inlineStr">
        <is>
          <t>2026-08-05T13:56:43.896254Z</t>
        </is>
      </c>
      <c r="C12" s="24" t="inlineStr">
        <is>
          <t>2026-08-05T17:00:00Z</t>
        </is>
      </c>
      <c r="D12" s="24" t="inlineStr">
        <is>
          <t>69871</t>
        </is>
      </c>
      <c r="E12" s="24" t="inlineStr">
        <is>
          <t>LOL</t>
        </is>
      </c>
      <c r="F12" s="24" t="inlineStr">
        <is>
          <t>Kaufland Hangry Knights</t>
        </is>
      </c>
      <c r="G12" s="24" t="inlineStr">
        <is>
          <t>TeamOrangeGaming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0.54899</v>
      </c>
      <c r="P12" s="28" t="n"/>
      <c r="Q12" s="28" t="n">
        <v>0.058794</v>
      </c>
      <c r="R12" s="26" t="n">
        <v>49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104</v>
      </c>
      <c r="AA12" s="28" t="n">
        <v>0.49</v>
      </c>
      <c r="AB12" s="28" t="n">
        <v>-0.000196</v>
      </c>
      <c r="AC12" s="30" t="n">
        <v>1.04</v>
      </c>
      <c r="AD12" s="24" t="inlineStr">
        <is>
          <t>2026-08-05T21:00:26.797637Z</t>
        </is>
      </c>
      <c r="AE12" s="31" t="inlineStr">
        <is>
          <t>Neutral Elo baseline; executable ask 0.4900 (market_slug=aec-lol-tog-khk-2026-08-05).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Kaufland Hangry Knights</t>
        </is>
      </c>
      <c r="AQ12" s="24" t="inlineStr">
        <is>
          <t>Kaufland Hangry Knights</t>
        </is>
      </c>
      <c r="AR12" s="24" t="inlineStr">
        <is>
          <t>Kaufland Hangry Knights</t>
        </is>
      </c>
      <c r="AS12" s="24" t="inlineStr">
        <is>
          <t>TeamOrangeGaming</t>
        </is>
      </c>
      <c r="AT12" s="24" t="inlineStr">
        <is>
          <t>TeamOrangeGaming</t>
        </is>
      </c>
      <c r="AU12" s="24" t="inlineStr">
        <is>
          <t>TeamOrangeGaming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3b2b7fa569f62411a6dc2753c695e98717a67f225e8074aac963d117b250c28b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3b2b7fa569f62411a6dc2753c695e98717a67f225e8074aac963d117b250c28b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2026-08-05T13:56:13.554249Z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2.04</v>
      </c>
      <c r="BR12" s="28" t="n">
        <v>0.49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9576f1967f7d4d0a</t>
        </is>
      </c>
      <c r="B13" s="24" t="inlineStr">
        <is>
          <t>2026-08-05T13:56:43.896254Z</t>
        </is>
      </c>
      <c r="C13" s="24" t="inlineStr">
        <is>
          <t>2026-08-05T17:00:00Z</t>
        </is>
      </c>
      <c r="D13" s="24" t="inlineStr">
        <is>
          <t>70569</t>
        </is>
      </c>
      <c r="E13" s="24" t="inlineStr">
        <is>
          <t>LOL</t>
        </is>
      </c>
      <c r="F13" s="24" t="inlineStr">
        <is>
          <t>devils.one inStreamly</t>
        </is>
      </c>
      <c r="G13" s="24" t="inlineStr">
        <is>
          <t>BOMBA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0.761043</v>
      </c>
      <c r="P13" s="28" t="n"/>
      <c r="Q13" s="28" t="n">
        <v>0.230527</v>
      </c>
      <c r="R13" s="26" t="n">
        <v>100</v>
      </c>
      <c r="S13" s="29" t="n">
        <v>2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-113</v>
      </c>
      <c r="AA13" s="28" t="n">
        <v>0.53</v>
      </c>
      <c r="AB13" s="28" t="n">
        <v>-0.000516</v>
      </c>
      <c r="AC13" s="30" t="n">
        <v>-2</v>
      </c>
      <c r="AD13" s="24" t="inlineStr">
        <is>
          <t>2026-08-05T21:00:28.179885Z</t>
        </is>
      </c>
      <c r="AE13" s="31" t="inlineStr">
        <is>
          <t>Neutral Elo baseline; executable ask 0.5300 (market_slug=aec-lol-boom-dv1-2026-08-05).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devils.one inStreamly</t>
        </is>
      </c>
      <c r="AQ13" s="24" t="inlineStr">
        <is>
          <t>devils.one inStreamly</t>
        </is>
      </c>
      <c r="AR13" s="24" t="inlineStr">
        <is>
          <t>devils.one inStreamly</t>
        </is>
      </c>
      <c r="AS13" s="24" t="inlineStr">
        <is>
          <t>BOMBA Team</t>
        </is>
      </c>
      <c r="AT13" s="24" t="inlineStr">
        <is>
          <t>BOMBA Team</t>
        </is>
      </c>
      <c r="AU13" s="24" t="inlineStr">
        <is>
          <t>BOMBA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3b2b7fa569f62411a6dc2753c695e98717a67f225e8074aac963d117b250c28b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3b2b7fa569f62411a6dc2753c695e98717a67f225e8074aac963d117b250c28b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2026-08-05T13:56:15.101150Z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>
        <v>1.884956</v>
      </c>
      <c r="BR13" s="28" t="n">
        <v>0.53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5aba4246ebc54cde</t>
        </is>
      </c>
      <c r="B14" s="24" t="inlineStr">
        <is>
          <t>2026-08-05T17:05:09.750488Z</t>
        </is>
      </c>
      <c r="C14" s="24" t="inlineStr">
        <is>
          <t>2026-08-05T17:30:00Z</t>
        </is>
      </c>
      <c r="D14" s="24" t="inlineStr">
        <is>
          <t>69931</t>
        </is>
      </c>
      <c r="E14" s="24" t="inlineStr">
        <is>
          <t>LOL</t>
        </is>
      </c>
      <c r="F14" s="24" t="inlineStr">
        <is>
          <t>⁠Movistar KOI Fénix</t>
        </is>
      </c>
      <c r="G14" s="24" t="inlineStr">
        <is>
          <t>UCAM Esports 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104</v>
      </c>
      <c r="M14" s="27" t="n">
        <v>2.04</v>
      </c>
      <c r="N14" s="28" t="n">
        <v>0.490196</v>
      </c>
      <c r="O14" s="28" t="n">
        <v>0.597761</v>
      </c>
      <c r="P14" s="28" t="n"/>
      <c r="Q14" s="28" t="n">
        <v>0.107565</v>
      </c>
      <c r="R14" s="26" t="n">
        <v>74</v>
      </c>
      <c r="S14" s="29" t="n">
        <v>1.25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104</v>
      </c>
      <c r="AA14" s="28" t="n">
        <v>0.49</v>
      </c>
      <c r="AB14" s="28" t="n">
        <v>-0.000196</v>
      </c>
      <c r="AC14" s="30" t="n">
        <v>-1.25</v>
      </c>
      <c r="AD14" s="24" t="inlineStr">
        <is>
          <t>2026-08-06T00:22:39.894311Z</t>
        </is>
      </c>
      <c r="AE14" s="31" t="inlineStr">
        <is>
          <t>Neutral Elo baseline; executable ask 0.4900 (market_slug=aec-lol-ucam-mkf-2026-08-05).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⁠Movistar KOI Fénix</t>
        </is>
      </c>
      <c r="AQ14" s="24" t="inlineStr">
        <is>
          <t>⁠Movistar KOI Fénix</t>
        </is>
      </c>
      <c r="AR14" s="24" t="inlineStr">
        <is>
          <t>⁠Movistar KOI Fénix</t>
        </is>
      </c>
      <c r="AS14" s="24" t="inlineStr">
        <is>
          <t>UCAM Esports Club</t>
        </is>
      </c>
      <c r="AT14" s="24" t="inlineStr">
        <is>
          <t>UCAM Esports Club</t>
        </is>
      </c>
      <c r="AU14" s="24" t="inlineStr">
        <is>
          <t>UCAM Esports 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4863ace20696b49ac8d86afb992436652bb1bb2b13aa3380a50818cc662a18c0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4863ace20696b49ac8d86afb992436652bb1bb2b13aa3380a50818cc662a18c0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2026-08-05T17:04:41.345485Z</t>
        </is>
      </c>
      <c r="BI14" s="24" t="inlineStr">
        <is>
          <t>["same_event","same_team_same_day","same_league_same_day"]</t>
        </is>
      </c>
      <c r="BJ14" s="25" t="n"/>
      <c r="BK14" s="26" t="n">
        <v>104</v>
      </c>
      <c r="BL14" s="27" t="n">
        <v>2.04</v>
      </c>
      <c r="BM14" s="28" t="n">
        <v>0.490196</v>
      </c>
      <c r="BN14" s="28" t="n"/>
      <c r="BO14" s="28" t="n"/>
      <c r="BP14" s="25" t="n"/>
      <c r="BQ14" s="27" t="n">
        <v>2.04</v>
      </c>
      <c r="BR14" s="28" t="n">
        <v>0.49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fd5dccee94bf4dc4</t>
        </is>
      </c>
      <c r="B15" s="24" t="inlineStr">
        <is>
          <t>2026-08-05T17:05:09.750488Z</t>
        </is>
      </c>
      <c r="C15" s="24" t="inlineStr">
        <is>
          <t>2026-08-05T19:00:00Z</t>
        </is>
      </c>
      <c r="D15" s="24" t="inlineStr">
        <is>
          <t>70045</t>
        </is>
      </c>
      <c r="E15" s="24" t="inlineStr">
        <is>
          <t>LOL</t>
        </is>
      </c>
      <c r="F15" s="24" t="inlineStr">
        <is>
          <t>Ici Japon Corp. Esport</t>
        </is>
      </c>
      <c r="G15" s="24" t="inlineStr">
        <is>
          <t>ZYB Esport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0.598437</v>
      </c>
      <c r="P15" s="28" t="n"/>
      <c r="Q15" s="28" t="n">
        <v>0.108241</v>
      </c>
      <c r="R15" s="26" t="n">
        <v>74</v>
      </c>
      <c r="S15" s="29" t="n">
        <v>1.25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104</v>
      </c>
      <c r="AA15" s="28" t="n">
        <v>0.49</v>
      </c>
      <c r="AB15" s="28" t="n">
        <v>-0.000196</v>
      </c>
      <c r="AC15" s="30" t="n">
        <v>1.3</v>
      </c>
      <c r="AD15" s="24" t="inlineStr">
        <is>
          <t>2026-08-05T21:00:30.682074Z</t>
        </is>
      </c>
      <c r="AE15" s="31" t="inlineStr">
        <is>
          <t>Neutral Elo baseline; executable ask 0.4900 (market_slug=aec-lol-zyb-ijc-2026-08-05).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Ici Japon Corp. Esport</t>
        </is>
      </c>
      <c r="AQ15" s="24" t="inlineStr">
        <is>
          <t>Ici Japon Corp. Esport</t>
        </is>
      </c>
      <c r="AR15" s="24" t="inlineStr">
        <is>
          <t>Ici Japon Corp. Esport</t>
        </is>
      </c>
      <c r="AS15" s="24" t="inlineStr">
        <is>
          <t>ZYB Esport</t>
        </is>
      </c>
      <c r="AT15" s="24" t="inlineStr">
        <is>
          <t>ZYB Esport</t>
        </is>
      </c>
      <c r="AU15" s="24" t="inlineStr">
        <is>
          <t>ZYB Esport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4863ace20696b49ac8d86afb992436652bb1bb2b13aa3380a50818cc662a18c0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4863ace20696b49ac8d86afb992436652bb1bb2b13aa3380a50818cc662a18c0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2026-08-05T17:04:46.146013Z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>
        <v>2.04</v>
      </c>
      <c r="BR15" s="28" t="n">
        <v>0.49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f748468d26b045e0</t>
        </is>
      </c>
      <c r="B16" s="24" t="inlineStr">
        <is>
          <t>2026-08-05T17:05:09.750488Z</t>
        </is>
      </c>
      <c r="C16" s="24" t="inlineStr">
        <is>
          <t>2026-08-05T21:00:00Z</t>
        </is>
      </c>
      <c r="D16" s="24" t="inlineStr">
        <is>
          <t>70349</t>
        </is>
      </c>
      <c r="E16" s="24" t="inlineStr">
        <is>
          <t>LOL</t>
        </is>
      </c>
      <c r="F16" s="24" t="inlineStr">
        <is>
          <t>Winthrop University</t>
        </is>
      </c>
      <c r="G16" s="24" t="inlineStr">
        <is>
          <t>Blue Otter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0.67052</v>
      </c>
      <c r="P16" s="28" t="n"/>
      <c r="Q16" s="28" t="n">
        <v>0.090688</v>
      </c>
      <c r="R16" s="26" t="n">
        <v>65</v>
      </c>
      <c r="S16" s="29" t="n">
        <v>1.75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-138</v>
      </c>
      <c r="AA16" s="28" t="n">
        <v>0.58</v>
      </c>
      <c r="AB16" s="28" t="n">
        <v>0.000168</v>
      </c>
      <c r="AC16" s="30" t="n">
        <v>1.2681</v>
      </c>
      <c r="AD16" s="24" t="inlineStr">
        <is>
          <t>2026-08-06T00:22:41.224121Z</t>
        </is>
      </c>
      <c r="AE16" s="31" t="inlineStr">
        <is>
          <t>Neutral Elo baseline; executable ask 0.5800 (market_slug=aec-lol-blue-wu-2026-08-05).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Winthrop University</t>
        </is>
      </c>
      <c r="AQ16" s="24" t="inlineStr">
        <is>
          <t>Winthrop University</t>
        </is>
      </c>
      <c r="AR16" s="24" t="inlineStr">
        <is>
          <t>Winthrop University</t>
        </is>
      </c>
      <c r="AS16" s="24" t="inlineStr">
        <is>
          <t>Blue Otter</t>
        </is>
      </c>
      <c r="AT16" s="24" t="inlineStr">
        <is>
          <t>Blue Otter</t>
        </is>
      </c>
      <c r="AU16" s="24" t="inlineStr">
        <is>
          <t>Blue Otter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4863ace20696b49ac8d86afb992436652bb1bb2b13aa3380a50818cc662a18c0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4863ace20696b49ac8d86afb992436652bb1bb2b13aa3380a50818cc662a18c0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2026-08-05T17:04:49.037567Z</t>
        </is>
      </c>
      <c r="BI16" s="24" t="inlineStr">
        <is>
          <t>["same_event","same_team_same_day","same_league_same_day"]</t>
        </is>
      </c>
      <c r="BJ16" s="25" t="n"/>
      <c r="BK16" s="26" t="n">
        <v>-138</v>
      </c>
      <c r="BL16" s="27" t="n">
        <v>1.724638</v>
      </c>
      <c r="BM16" s="28" t="n">
        <v>0.579832</v>
      </c>
      <c r="BN16" s="28" t="n"/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2eb7c6071ec843f9</t>
        </is>
      </c>
      <c r="B17" s="24" t="inlineStr">
        <is>
          <t>2026-08-06T00:24:51.570056Z</t>
        </is>
      </c>
      <c r="C17" s="24" t="inlineStr">
        <is>
          <t>2026-08-06T07:00:00Z</t>
        </is>
      </c>
      <c r="D17" s="24" t="inlineStr">
        <is>
          <t>70560</t>
        </is>
      </c>
      <c r="E17" s="24" t="inlineStr">
        <is>
          <t>LOL</t>
        </is>
      </c>
      <c r="F17" s="24" t="inlineStr">
        <is>
          <t>ThunderTalk Gaming</t>
        </is>
      </c>
      <c r="G17" s="24" t="inlineStr">
        <is>
          <t>LGD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0.601292</v>
      </c>
      <c r="P17" s="28" t="n"/>
      <c r="Q17" s="28" t="n">
        <v>0.082061</v>
      </c>
      <c r="R17" s="26" t="n">
        <v>61</v>
      </c>
      <c r="S17" s="29" t="n">
        <v>1.25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2026-08-06T18:57:07.746334Z</t>
        </is>
      </c>
      <c r="AE17" s="31" t="inlineStr">
        <is>
          <t>Neutral Elo baseline; executable ask 0.5200 (market_slug=aec-lol-lgd-tt-2026-08-06).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ThunderTalk Gaming</t>
        </is>
      </c>
      <c r="AQ17" s="24" t="inlineStr">
        <is>
          <t>ThunderTalk Gaming</t>
        </is>
      </c>
      <c r="AR17" s="24" t="inlineStr">
        <is>
          <t>ThunderTalk Gaming</t>
        </is>
      </c>
      <c r="AS17" s="24" t="inlineStr">
        <is>
          <t>LGD Gaming</t>
        </is>
      </c>
      <c r="AT17" s="24" t="inlineStr">
        <is>
          <t>LGD Gaming</t>
        </is>
      </c>
      <c r="AU17" s="24" t="inlineStr">
        <is>
          <t>LGD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4304963c152f1e881f634fa0b66ab59152f3edd6692257c1d27d76a5cb0a3df3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4304963c152f1e881f634fa0b66ab59152f3edd6692257c1d27d76a5cb0a3df3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2026-08-06T00:24:36.724531Z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0808601b9aa64343</t>
        </is>
      </c>
      <c r="B18" s="24" t="inlineStr">
        <is>
          <t>2026-08-06T00:24:51.570056Z</t>
        </is>
      </c>
      <c r="C18" s="24" t="inlineStr">
        <is>
          <t>2026-08-06T09:00:00Z</t>
        </is>
      </c>
      <c r="D18" s="24" t="inlineStr">
        <is>
          <t>70573</t>
        </is>
      </c>
      <c r="E18" s="24" t="inlineStr">
        <is>
          <t>LOL</t>
        </is>
      </c>
      <c r="F18" s="24" t="inlineStr">
        <is>
          <t>Ground Zero Gaming</t>
        </is>
      </c>
      <c r="G18" s="24" t="inlineStr">
        <is>
          <t>Fukuoka SoftBank Hawks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0.677029</v>
      </c>
      <c r="P18" s="28" t="n"/>
      <c r="Q18" s="28" t="n">
        <v>0.2162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-1.75</v>
      </c>
      <c r="AD18" s="24" t="inlineStr">
        <is>
          <t>2026-08-06T18:57:09.560328Z</t>
        </is>
      </c>
      <c r="AE18" s="31" t="inlineStr">
        <is>
          <t>Neutral Elo baseline; executable ask 0.4600 (market_slug=aec-lol-shg-gz-2026-08-06).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Ground Zero Gaming</t>
        </is>
      </c>
      <c r="AQ18" s="24" t="inlineStr">
        <is>
          <t>Ground Zero Gaming</t>
        </is>
      </c>
      <c r="AR18" s="24" t="inlineStr">
        <is>
          <t>Ground Zero Gaming</t>
        </is>
      </c>
      <c r="AS18" s="24" t="inlineStr">
        <is>
          <t>Fukuoka SoftBank Hawks Gaming</t>
        </is>
      </c>
      <c r="AT18" s="24" t="inlineStr">
        <is>
          <t>Fukuoka SoftBank Hawks Gaming</t>
        </is>
      </c>
      <c r="AU18" s="24" t="inlineStr">
        <is>
          <t>Fukuoka SoftBank Hawks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4304963c152f1e881f634fa0b66ab59152f3edd6692257c1d27d76a5cb0a3df3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4304963c152f1e881f634fa0b66ab59152f3edd6692257c1d27d76a5cb0a3df3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2026-08-06T00:24:37.742493Z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f337824fc1014320</t>
        </is>
      </c>
      <c r="B19" s="24" t="inlineStr">
        <is>
          <t>2026-08-06T00:24:51.570056Z</t>
        </is>
      </c>
      <c r="C19" s="24" t="inlineStr">
        <is>
          <t>2026-08-06T16:00:00Z</t>
        </is>
      </c>
      <c r="D19" s="24" t="inlineStr">
        <is>
          <t>70790</t>
        </is>
      </c>
      <c r="E19" s="24" t="inlineStr">
        <is>
          <t>LOL</t>
        </is>
      </c>
      <c r="F19" s="24" t="inlineStr">
        <is>
          <t>Baam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0.764249</v>
      </c>
      <c r="P19" s="28" t="n"/>
      <c r="Q19" s="28" t="n">
        <v>0.174085</v>
      </c>
      <c r="R19" s="26" t="n">
        <v>100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1.3889</v>
      </c>
      <c r="AD19" s="24" t="inlineStr">
        <is>
          <t>2026-08-06T18:57:11.315585Z</t>
        </is>
      </c>
      <c r="AE19" s="31" t="inlineStr">
        <is>
          <t>Neutral Elo baseline; executable ask 0.5900 (market_slug=aec-lol-one-bam-2026-08-06).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Baam Esports</t>
        </is>
      </c>
      <c r="AQ19" s="24" t="inlineStr">
        <is>
          <t>Baam Esports</t>
        </is>
      </c>
      <c r="AR19" s="24" t="inlineStr">
        <is>
          <t>Baam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4304963c152f1e881f634fa0b66ab59152f3edd6692257c1d27d76a5cb0a3df3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4304963c152f1e881f634fa0b66ab59152f3edd6692257c1d27d76a5cb0a3df3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2026-08-06T00:24:42.381233Z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19c128d8df7b49bb</t>
        </is>
      </c>
      <c r="B20" s="24" t="inlineStr">
        <is>
          <t>2026-08-06T00:24:51.570056Z</t>
        </is>
      </c>
      <c r="C20" s="24" t="inlineStr">
        <is>
          <t>2026-08-06T17:00:00Z</t>
        </is>
      </c>
      <c r="D20" s="24" t="inlineStr">
        <is>
          <t>70860</t>
        </is>
      </c>
      <c r="E20" s="24" t="inlineStr">
        <is>
          <t>LOL</t>
        </is>
      </c>
      <c r="F20" s="24" t="inlineStr">
        <is>
          <t>Skillcamp Esport</t>
        </is>
      </c>
      <c r="G20" s="24" t="inlineStr">
        <is>
          <t>Karmine Corp Blue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-150</v>
      </c>
      <c r="M20" s="27" t="n">
        <v>1.666667</v>
      </c>
      <c r="N20" s="28" t="n">
        <v>0.6</v>
      </c>
      <c r="O20" s="28" t="n">
        <v>0.742815</v>
      </c>
      <c r="P20" s="28" t="n"/>
      <c r="Q20" s="28" t="n">
        <v>0.142815</v>
      </c>
      <c r="R20" s="26" t="n">
        <v>91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-2</v>
      </c>
      <c r="AD20" s="24" t="inlineStr">
        <is>
          <t>2026-08-06T18:57:13.006126Z</t>
        </is>
      </c>
      <c r="AE20" s="31" t="inlineStr">
        <is>
          <t>Neutral Elo baseline; executable ask 0.6000 (market_slug=aec-lol-kcb-sc-2026-08-06).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Skillcamp Esport</t>
        </is>
      </c>
      <c r="AQ20" s="24" t="inlineStr">
        <is>
          <t>Skillcamp Esport</t>
        </is>
      </c>
      <c r="AR20" s="24" t="inlineStr">
        <is>
          <t>Skillcamp Esport</t>
        </is>
      </c>
      <c r="AS20" s="24" t="inlineStr">
        <is>
          <t>Karmine Corp Blue</t>
        </is>
      </c>
      <c r="AT20" s="24" t="inlineStr">
        <is>
          <t>Karmine Corp Blue</t>
        </is>
      </c>
      <c r="AU20" s="24" t="inlineStr">
        <is>
          <t>Karmine Corp Blue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4304963c152f1e881f634fa0b66ab59152f3edd6692257c1d27d76a5cb0a3df3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4304963c152f1e881f634fa0b66ab59152f3edd6692257c1d27d76a5cb0a3df3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2026-08-06T00:24:43.466107Z</t>
        </is>
      </c>
      <c r="BI20" s="24" t="inlineStr">
        <is>
          <t>["same_event","same_team_same_day","same_league_same_day"]</t>
        </is>
      </c>
      <c r="BJ20" s="25" t="n"/>
      <c r="BK20" s="26" t="n">
        <v>-150</v>
      </c>
      <c r="BL20" s="27" t="n">
        <v>1.666667</v>
      </c>
      <c r="BM20" s="28" t="n">
        <v>0.6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fab2311131514378</t>
        </is>
      </c>
      <c r="B21" s="24" t="inlineStr">
        <is>
          <t>2026-08-06T00:24:51.570056Z</t>
        </is>
      </c>
      <c r="C21" s="24" t="inlineStr">
        <is>
          <t>2026-08-06T18:00:00Z</t>
        </is>
      </c>
      <c r="D21" s="24" t="inlineStr">
        <is>
          <t>70903</t>
        </is>
      </c>
      <c r="E21" s="24" t="inlineStr">
        <is>
          <t>LOL</t>
        </is>
      </c>
      <c r="F21" s="24" t="inlineStr">
        <is>
          <t>Zena Esports</t>
        </is>
      </c>
      <c r="G21" s="24" t="inlineStr">
        <is>
          <t>GMBLERS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113</v>
      </c>
      <c r="M21" s="27" t="n">
        <v>2.13</v>
      </c>
      <c r="N21" s="28" t="n">
        <v>0.469484</v>
      </c>
      <c r="O21" s="28" t="n">
        <v>0.630956</v>
      </c>
      <c r="P21" s="28" t="n"/>
      <c r="Q21" s="28" t="n">
        <v>0.161472</v>
      </c>
      <c r="R21" s="26" t="n">
        <v>100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1.695</v>
      </c>
      <c r="AD21" s="24" t="inlineStr">
        <is>
          <t>2026-08-06T18:57:14.772492Z</t>
        </is>
      </c>
      <c r="AE21" s="31" t="inlineStr">
        <is>
          <t>Neutral Elo baseline; executable ask 0.4700 (market_slug=aec-lol-gmb-zena-2026-08-06).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Zena Esports</t>
        </is>
      </c>
      <c r="AQ21" s="24" t="inlineStr">
        <is>
          <t>Zena Esports</t>
        </is>
      </c>
      <c r="AR21" s="24" t="inlineStr">
        <is>
          <t>Zena Esports</t>
        </is>
      </c>
      <c r="AS21" s="24" t="inlineStr">
        <is>
          <t>GMBLERS ESPORTS</t>
        </is>
      </c>
      <c r="AT21" s="24" t="inlineStr">
        <is>
          <t>GMBLERS ESPORTS</t>
        </is>
      </c>
      <c r="AU21" s="24" t="inlineStr">
        <is>
          <t>GMBLERS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4304963c152f1e881f634fa0b66ab59152f3edd6692257c1d27d76a5cb0a3df3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4304963c152f1e881f634fa0b66ab59152f3edd6692257c1d27d76a5cb0a3df3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2026-08-06T00:24:47.491847Z</t>
        </is>
      </c>
      <c r="BI21" s="24" t="inlineStr">
        <is>
          <t>["same_event","same_team_same_day","same_league_same_day"]</t>
        </is>
      </c>
      <c r="BJ21" s="25" t="n"/>
      <c r="BK21" s="26" t="n">
        <v>113</v>
      </c>
      <c r="BL21" s="27" t="n">
        <v>2.13</v>
      </c>
      <c r="BM21" s="28" t="n">
        <v>0.469484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a2df408e417748e0</t>
        </is>
      </c>
      <c r="B22" s="24" t="inlineStr">
        <is>
          <t>2026-08-07T15:24:10.407714Z</t>
        </is>
      </c>
      <c r="C22" s="24" t="inlineStr">
        <is>
          <t>2026-08-07T16:00:00Z</t>
        </is>
      </c>
      <c r="D22" s="24" t="inlineStr">
        <is>
          <t>71980</t>
        </is>
      </c>
      <c r="E22" s="24" t="inlineStr">
        <is>
          <t>LOL</t>
        </is>
      </c>
      <c r="F22" s="24" t="inlineStr">
        <is>
          <t>TITANS</t>
        </is>
      </c>
      <c r="G22" s="24" t="inlineStr">
        <is>
          <t>Aeterna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0.637212</v>
      </c>
      <c r="P22" s="28" t="n"/>
      <c r="Q22" s="28" t="n">
        <v>0.098041</v>
      </c>
      <c r="R22" s="26" t="n">
        <v>69</v>
      </c>
      <c r="S22" s="29" t="n">
        <v>1.5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-117</v>
      </c>
      <c r="AA22" s="28" t="n">
        <v>0.54</v>
      </c>
      <c r="AB22" s="28" t="n">
        <v>0.000829</v>
      </c>
      <c r="AC22" s="30" t="n">
        <v>1.2821</v>
      </c>
      <c r="AD22" s="24" t="inlineStr">
        <is>
          <t>2026-08-07T18:27:28.802280Z</t>
        </is>
      </c>
      <c r="AE22" s="31" t="inlineStr">
        <is>
          <t>Neutral Elo baseline; executable ask 0.5400 (market_slug=aec-lol-aee-tts-2026-08-07).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TITANS</t>
        </is>
      </c>
      <c r="AQ22" s="24" t="inlineStr">
        <is>
          <t>TITANS</t>
        </is>
      </c>
      <c r="AR22" s="24" t="inlineStr">
        <is>
          <t>TITANS</t>
        </is>
      </c>
      <c r="AS22" s="24" t="inlineStr">
        <is>
          <t>Aeterna Esports</t>
        </is>
      </c>
      <c r="AT22" s="24" t="inlineStr">
        <is>
          <t>Aeterna Esports</t>
        </is>
      </c>
      <c r="AU22" s="24" t="inlineStr">
        <is>
          <t>Aeterna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326a42c58f2a208dee1dc4f634e9901156f475883f7f16a3237a5e1b513fa5f9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326a42c58f2a208dee1dc4f634e9901156f475883f7f16a3237a5e1b513fa5f9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2026-08-07T15:23:54.049058Z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>
        <v>1.854701</v>
      </c>
      <c r="BR22" s="28" t="n">
        <v>0.54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08d6e9eb272449c2</t>
        </is>
      </c>
      <c r="B23" s="24" t="inlineStr">
        <is>
          <t>2026-08-07T18:31:20.691239Z</t>
        </is>
      </c>
      <c r="C23" s="24" t="inlineStr">
        <is>
          <t>2026-08-07T19:00:00Z</t>
        </is>
      </c>
      <c r="D23" s="24" t="inlineStr">
        <is>
          <t>72342</t>
        </is>
      </c>
      <c r="E23" s="24" t="inlineStr">
        <is>
          <t>LOL</t>
        </is>
      </c>
      <c r="F23" s="24" t="inlineStr">
        <is>
          <t>Colossal Gaming</t>
        </is>
      </c>
      <c r="G23" s="24" t="inlineStr">
        <is>
          <t>GMBLERS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0.576862</v>
      </c>
      <c r="P23" s="28" t="n"/>
      <c r="Q23" s="28" t="n">
        <v>0.116033</v>
      </c>
      <c r="R23" s="26" t="n">
        <v>78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-1.25</v>
      </c>
      <c r="AD23" s="24" t="inlineStr">
        <is>
          <t>2026-08-07T21:55:35.351876Z</t>
        </is>
      </c>
      <c r="AE23" s="31" t="inlineStr">
        <is>
          <t>Neutral Elo baseline; executable ask 0.4600 (market_slug=aec-lol-gmb-cg-2026-08-07).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Colossal Gaming</t>
        </is>
      </c>
      <c r="AQ23" s="24" t="inlineStr">
        <is>
          <t>Colossal Gaming</t>
        </is>
      </c>
      <c r="AR23" s="24" t="inlineStr">
        <is>
          <t>Colossal Gaming</t>
        </is>
      </c>
      <c r="AS23" s="24" t="inlineStr">
        <is>
          <t>GMBLERS ESPORTS</t>
        </is>
      </c>
      <c r="AT23" s="24" t="inlineStr">
        <is>
          <t>GMBLERS ESPORTS</t>
        </is>
      </c>
      <c r="AU23" s="24" t="inlineStr">
        <is>
          <t>GMBLERS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d3791916ff32605dd2265e280637577dccc694ea8768ae90edb98370e9029821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d3791916ff32605dd2265e280637577dccc694ea8768ae90edb98370e9029821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2026-08-07T18:31:07.695348Z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61b949111ab54871</t>
        </is>
      </c>
      <c r="B24" s="24" t="inlineStr">
        <is>
          <t>2026-08-07T18:31:20.691239Z</t>
        </is>
      </c>
      <c r="C24" s="24" t="inlineStr">
        <is>
          <t>2026-08-07T21:00:00Z</t>
        </is>
      </c>
      <c r="D24" s="24" t="inlineStr">
        <is>
          <t>72428</t>
        </is>
      </c>
      <c r="E24" s="24" t="inlineStr">
        <is>
          <t>LOL</t>
        </is>
      </c>
      <c r="F24" s="24" t="inlineStr">
        <is>
          <t>Fluxo W7M</t>
        </is>
      </c>
      <c r="G24" s="24" t="inlineStr">
        <is>
          <t>Vivo Keyd Stars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108</v>
      </c>
      <c r="M24" s="27" t="n">
        <v>2.08</v>
      </c>
      <c r="N24" s="28" t="n">
        <v>0.480769</v>
      </c>
      <c r="O24" s="28" t="n">
        <v>0.695648</v>
      </c>
      <c r="P24" s="28" t="n"/>
      <c r="Q24" s="28" t="n">
        <v>0.214879</v>
      </c>
      <c r="R24" s="26" t="n">
        <v>100</v>
      </c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108</v>
      </c>
      <c r="AA24" s="28" t="n">
        <v>0.48</v>
      </c>
      <c r="AB24" s="28" t="n">
        <v>-0.000769</v>
      </c>
      <c r="AC24" s="30" t="n">
        <v>2.16</v>
      </c>
      <c r="AD24" s="24" t="inlineStr">
        <is>
          <t>2026-08-08T01:00:24.091656Z</t>
        </is>
      </c>
      <c r="AE24" s="31" t="inlineStr">
        <is>
          <t>Neutral Elo baseline; executable ask 0.4800 (market_slug=aec-lol-vks-fxw7-2026-08-07).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Fluxo W7M</t>
        </is>
      </c>
      <c r="AQ24" s="24" t="inlineStr">
        <is>
          <t>Fluxo W7M</t>
        </is>
      </c>
      <c r="AR24" s="24" t="inlineStr">
        <is>
          <t>Fluxo W7M</t>
        </is>
      </c>
      <c r="AS24" s="24" t="inlineStr">
        <is>
          <t>Vivo Keyd Stars</t>
        </is>
      </c>
      <c r="AT24" s="24" t="inlineStr">
        <is>
          <t>Vivo Keyd Stars</t>
        </is>
      </c>
      <c r="AU24" s="24" t="inlineStr">
        <is>
          <t>Vivo Keyd Stars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d3791916ff32605dd2265e280637577dccc694ea8768ae90edb98370e9029821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d3791916ff32605dd2265e280637577dccc694ea8768ae90edb98370e9029821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2026-08-07T18:31:08.212012Z</t>
        </is>
      </c>
      <c r="BI24" s="24" t="inlineStr">
        <is>
          <t>["same_event","same_team_same_day","same_league_same_day"]</t>
        </is>
      </c>
      <c r="BJ24" s="25" t="n"/>
      <c r="BK24" s="26" t="n">
        <v>108</v>
      </c>
      <c r="BL24" s="27" t="n">
        <v>2.08</v>
      </c>
      <c r="BM24" s="28" t="n">
        <v>0.480769</v>
      </c>
      <c r="BN24" s="28" t="n"/>
      <c r="BO24" s="28" t="n"/>
      <c r="BP24" s="25" t="n"/>
      <c r="BQ24" s="27" t="n">
        <v>2.08</v>
      </c>
      <c r="BR24" s="28" t="n">
        <v>0.48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b2976f2bae944bad</t>
        </is>
      </c>
      <c r="B25" s="24" t="inlineStr">
        <is>
          <t>2026-08-07T18:31:20.691239Z</t>
        </is>
      </c>
      <c r="C25" s="24" t="inlineStr">
        <is>
          <t>2026-08-07T21:00:00Z</t>
        </is>
      </c>
      <c r="D25" s="24" t="inlineStr">
        <is>
          <t>72438</t>
        </is>
      </c>
      <c r="E25" s="24" t="inlineStr">
        <is>
          <t>LOL</t>
        </is>
      </c>
      <c r="F25" s="24" t="inlineStr">
        <is>
          <t>Dorado Gaming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108</v>
      </c>
      <c r="M25" s="27" t="n">
        <v>2.08</v>
      </c>
      <c r="N25" s="28" t="n">
        <v>0.480769</v>
      </c>
      <c r="O25" s="28" t="n">
        <v>0.627171</v>
      </c>
      <c r="P25" s="28" t="n"/>
      <c r="Q25" s="28" t="n">
        <v>0.146402</v>
      </c>
      <c r="R25" s="26" t="n">
        <v>93</v>
      </c>
      <c r="S25" s="29" t="n">
        <v>1.5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108</v>
      </c>
      <c r="AA25" s="28" t="n">
        <v>0.48</v>
      </c>
      <c r="AB25" s="28" t="n">
        <v>-0.000769</v>
      </c>
      <c r="AC25" s="30" t="n">
        <v>1.62</v>
      </c>
      <c r="AD25" s="24" t="inlineStr">
        <is>
          <t>2026-08-08T01:00:25.636641Z</t>
        </is>
      </c>
      <c r="AE25" s="31" t="inlineStr">
        <is>
          <t>Neutral Elo baseline; executable ask 0.4800 (market_slug=aec-lol-blue-dog-2026-08-07).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Dorado Gaming</t>
        </is>
      </c>
      <c r="AQ25" s="24" t="inlineStr">
        <is>
          <t>Dorado Gaming</t>
        </is>
      </c>
      <c r="AR25" s="24" t="inlineStr">
        <is>
          <t>Dorado Gaming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d3791916ff32605dd2265e280637577dccc694ea8768ae90edb98370e9029821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d3791916ff32605dd2265e280637577dccc694ea8768ae90edb98370e9029821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2026-08-07T18:31:08.974236Z</t>
        </is>
      </c>
      <c r="BI25" s="24" t="inlineStr">
        <is>
          <t>["same_event","same_team_same_day","same_league_same_day"]</t>
        </is>
      </c>
      <c r="BJ25" s="25" t="n"/>
      <c r="BK25" s="26" t="n">
        <v>108</v>
      </c>
      <c r="BL25" s="27" t="n">
        <v>2.08</v>
      </c>
      <c r="BM25" s="28" t="n">
        <v>0.480769</v>
      </c>
      <c r="BN25" s="28" t="n"/>
      <c r="BO25" s="28" t="n"/>
      <c r="BP25" s="25" t="n"/>
      <c r="BQ25" s="27" t="n">
        <v>2.08</v>
      </c>
      <c r="BR25" s="28" t="n">
        <v>0.48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aff095fa71c54ac3</t>
        </is>
      </c>
      <c r="B26" s="24" t="inlineStr">
        <is>
          <t>2026-08-08T04:08:13.997006Z</t>
        </is>
      </c>
      <c r="C26" s="24" t="inlineStr">
        <is>
          <t>2026-08-08T08:00:00Z</t>
        </is>
      </c>
      <c r="D26" s="24" t="inlineStr">
        <is>
          <t>72722</t>
        </is>
      </c>
      <c r="E26" s="24" t="inlineStr">
        <is>
          <t>LOL</t>
        </is>
      </c>
      <c r="F26" s="24" t="inlineStr">
        <is>
          <t>Hanwha Life Esports</t>
        </is>
      </c>
      <c r="G26" s="24" t="inlineStr">
        <is>
          <t>T1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0.6042650000000001</v>
      </c>
      <c r="P26" s="28" t="n"/>
      <c r="Q26" s="28" t="n">
        <v>0.085034</v>
      </c>
      <c r="R26" s="26" t="n">
        <v>63</v>
      </c>
      <c r="S26" s="29" t="n">
        <v>1.25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-108</v>
      </c>
      <c r="AA26" s="28" t="n">
        <v>0.52</v>
      </c>
      <c r="AB26" s="28" t="n">
        <v>0.000769</v>
      </c>
      <c r="AC26" s="30" t="n">
        <v>-1.25</v>
      </c>
      <c r="AD26" s="24" t="inlineStr">
        <is>
          <t>2026-08-08T18:35:17.621067Z</t>
        </is>
      </c>
      <c r="AE26" s="31" t="inlineStr">
        <is>
          <t>Neutral Elo baseline; executable ask 0.5200 (market_slug=aec-lol-t1-hle-2026-08-08).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Hanwha Life Esports</t>
        </is>
      </c>
      <c r="AQ26" s="24" t="inlineStr">
        <is>
          <t>Hanwha Life Esports</t>
        </is>
      </c>
      <c r="AR26" s="24" t="inlineStr">
        <is>
          <t>Hanwha Life Esports</t>
        </is>
      </c>
      <c r="AS26" s="24" t="inlineStr">
        <is>
          <t>T1</t>
        </is>
      </c>
      <c r="AT26" s="24" t="inlineStr">
        <is>
          <t>T1</t>
        </is>
      </c>
      <c r="AU26" s="24" t="inlineStr">
        <is>
          <t>T1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bf9cdce4c802d1882a68b32132fa41472ff922cbbe74a73c6db7662d3c059566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bf9cdce4c802d1882a68b32132fa41472ff922cbbe74a73c6db7662d3c059566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2026-08-08T04:07:52.255455Z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>
        <v>1.925926</v>
      </c>
      <c r="BR26" s="28" t="n">
        <v>0.52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ef76fb2f21f24ad2</t>
        </is>
      </c>
      <c r="B27" s="24" t="inlineStr">
        <is>
          <t>2026-08-09T05:18:45.420775Z</t>
        </is>
      </c>
      <c r="C27" s="24" t="inlineStr">
        <is>
          <t>2026-08-09T09:00:00Z</t>
        </is>
      </c>
      <c r="D27" s="24" t="inlineStr">
        <is>
          <t>74251</t>
        </is>
      </c>
      <c r="E27" s="24" t="inlineStr">
        <is>
          <t>LOL</t>
        </is>
      </c>
      <c r="F27" s="24" t="inlineStr">
        <is>
          <t>Ground Zero Gaming</t>
        </is>
      </c>
      <c r="G27" s="24" t="inlineStr">
        <is>
          <t>CTBC Flying Oyster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0.729245</v>
      </c>
      <c r="P27" s="28" t="n"/>
      <c r="Q27" s="28" t="n">
        <v>0.099615</v>
      </c>
      <c r="R27" s="26" t="n">
        <v>70</v>
      </c>
      <c r="S27" s="29" t="n">
        <v>2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1.1765</v>
      </c>
      <c r="AD27" s="24" t="inlineStr">
        <is>
          <t>2026-08-09T13:57:33.774019Z</t>
        </is>
      </c>
      <c r="AE27" s="31" t="inlineStr">
        <is>
          <t>Neutral Elo baseline; executable ask 0.6300 (market_slug=aec-lol-cfo-gz-2026-08-09).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Ground Zero Gaming</t>
        </is>
      </c>
      <c r="AQ27" s="24" t="inlineStr">
        <is>
          <t>Ground Zero Gaming</t>
        </is>
      </c>
      <c r="AR27" s="24" t="inlineStr">
        <is>
          <t>Ground Zero Gaming</t>
        </is>
      </c>
      <c r="AS27" s="24" t="inlineStr">
        <is>
          <t>CTBC Flying Oyster</t>
        </is>
      </c>
      <c r="AT27" s="24" t="inlineStr">
        <is>
          <t>CTBC Flying Oyster</t>
        </is>
      </c>
      <c r="AU27" s="24" t="inlineStr">
        <is>
          <t>CTBC Flying Oyster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d1af9b18c2d3ace9d47f74a1570e11714c592a6d92bd30ded3db42a502b40cf2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d1af9b18c2d3ace9d47f74a1570e11714c592a6d92bd30ded3db42a502b40cf2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2026-08-09T05:18:28.821389Z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263f1c6669de4b3d</t>
        </is>
      </c>
      <c r="B28" s="24" t="inlineStr">
        <is>
          <t>2026-08-09T05:18:45.420775Z</t>
        </is>
      </c>
      <c r="C28" s="24" t="inlineStr">
        <is>
          <t>2026-08-09T10:00:00Z</t>
        </is>
      </c>
      <c r="D28" s="24" t="inlineStr">
        <is>
          <t>73672</t>
        </is>
      </c>
      <c r="E28" s="24" t="inlineStr">
        <is>
          <t>LOL</t>
        </is>
      </c>
      <c r="F28" s="24" t="inlineStr">
        <is>
          <t>Lille Esport</t>
        </is>
      </c>
      <c r="G28" s="24" t="inlineStr">
        <is>
          <t>Crystal Rose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0.582694</v>
      </c>
      <c r="P28" s="28" t="n"/>
      <c r="Q28" s="28" t="n">
        <v>0.132244</v>
      </c>
      <c r="R28" s="26" t="n">
        <v>86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122</v>
      </c>
      <c r="AA28" s="28" t="n">
        <v>0.45</v>
      </c>
      <c r="AB28" s="28" t="n">
        <v>-0.00045</v>
      </c>
      <c r="AC28" s="30" t="n">
        <v>-1.25</v>
      </c>
      <c r="AD28" s="24" t="inlineStr">
        <is>
          <t>2026-08-09T13:57:35.640453Z</t>
        </is>
      </c>
      <c r="AE28" s="31" t="inlineStr">
        <is>
          <t>Neutral Elo baseline; executable ask 0.4500 (market_slug=aec-lol-cr-lil-2026-08-09).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Lille Esport</t>
        </is>
      </c>
      <c r="AQ28" s="24" t="inlineStr">
        <is>
          <t>Lille Esport</t>
        </is>
      </c>
      <c r="AR28" s="24" t="inlineStr">
        <is>
          <t>Lille Esport</t>
        </is>
      </c>
      <c r="AS28" s="24" t="inlineStr">
        <is>
          <t>Crystal Rose</t>
        </is>
      </c>
      <c r="AT28" s="24" t="inlineStr">
        <is>
          <t>Crystal Rose</t>
        </is>
      </c>
      <c r="AU28" s="24" t="inlineStr">
        <is>
          <t>Crystal Rose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d1af9b18c2d3ace9d47f74a1570e11714c592a6d92bd30ded3db42a502b40cf2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d1af9b18c2d3ace9d47f74a1570e11714c592a6d92bd30ded3db42a502b40cf2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2026-08-09T05:18:30.559189Z</t>
        </is>
      </c>
      <c r="BI28" s="24" t="inlineStr">
        <is>
          <t>["same_event","same_team_same_day","same_league_same_day"]</t>
        </is>
      </c>
      <c r="BJ28" s="25" t="n"/>
      <c r="BK28" s="26" t="n">
        <v>122</v>
      </c>
      <c r="BL28" s="27" t="n">
        <v>2.22</v>
      </c>
      <c r="BM28" s="28" t="n">
        <v>0.45045</v>
      </c>
      <c r="BN28" s="28" t="n"/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24df49f279214e35</t>
        </is>
      </c>
      <c r="B29" s="24" t="inlineStr">
        <is>
          <t>2026-08-09T05:18:45.420775Z</t>
        </is>
      </c>
      <c r="C29" s="24" t="inlineStr">
        <is>
          <t>2026-08-09T11:00:00Z</t>
        </is>
      </c>
      <c r="D29" s="24" t="inlineStr">
        <is>
          <t>73685</t>
        </is>
      </c>
      <c r="E29" s="24" t="inlineStr">
        <is>
          <t>LOL</t>
        </is>
      </c>
      <c r="F29" s="24" t="inlineStr">
        <is>
          <t>Caldya Esport</t>
        </is>
      </c>
      <c r="G29" s="24" t="inlineStr">
        <is>
          <t>Team High Ground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194</v>
      </c>
      <c r="M29" s="27" t="n">
        <v>2.94</v>
      </c>
      <c r="N29" s="28" t="n">
        <v>0.340136</v>
      </c>
      <c r="O29" s="28" t="n">
        <v>0.596541</v>
      </c>
      <c r="P29" s="28" t="n"/>
      <c r="Q29" s="28" t="n">
        <v>0.256405</v>
      </c>
      <c r="R29" s="26" t="n">
        <v>100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194</v>
      </c>
      <c r="AA29" s="28" t="n">
        <v>0.34</v>
      </c>
      <c r="AB29" s="28" t="n">
        <v>-0.000136</v>
      </c>
      <c r="AC29" s="30" t="n">
        <v>2.425</v>
      </c>
      <c r="AD29" s="24" t="inlineStr">
        <is>
          <t>2026-08-09T13:57:37.478717Z</t>
        </is>
      </c>
      <c r="AE29" s="31" t="inlineStr">
        <is>
          <t>Neutral Elo baseline; executable ask 0.3400 (market_slug=aec-lol-thg-cla-2026-08-09).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Caldya Esport</t>
        </is>
      </c>
      <c r="AQ29" s="24" t="inlineStr">
        <is>
          <t>Caldya Esport</t>
        </is>
      </c>
      <c r="AR29" s="24" t="inlineStr">
        <is>
          <t>Caldya Esport</t>
        </is>
      </c>
      <c r="AS29" s="24" t="inlineStr">
        <is>
          <t>Team High Ground</t>
        </is>
      </c>
      <c r="AT29" s="24" t="inlineStr">
        <is>
          <t>Team High Ground</t>
        </is>
      </c>
      <c r="AU29" s="24" t="inlineStr">
        <is>
          <t>Team High Ground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d1af9b18c2d3ace9d47f74a1570e11714c592a6d92bd30ded3db42a502b40cf2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d1af9b18c2d3ace9d47f74a1570e11714c592a6d92bd30ded3db42a502b40cf2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2026-08-09T05:18:32.128818Z</t>
        </is>
      </c>
      <c r="BI29" s="24" t="inlineStr">
        <is>
          <t>["same_event","same_team_same_day","same_league_same_day"]</t>
        </is>
      </c>
      <c r="BJ29" s="25" t="n"/>
      <c r="BK29" s="26" t="n">
        <v>194</v>
      </c>
      <c r="BL29" s="27" t="n">
        <v>2.94</v>
      </c>
      <c r="BM29" s="28" t="n">
        <v>0.340136</v>
      </c>
      <c r="BN29" s="28" t="n"/>
      <c r="BO29" s="28" t="n"/>
      <c r="BP29" s="25" t="n"/>
      <c r="BQ29" s="27" t="n">
        <v>2.94</v>
      </c>
      <c r="BR29" s="28" t="n">
        <v>0.34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5f002fe33b814e96</t>
        </is>
      </c>
      <c r="B30" s="24" t="inlineStr">
        <is>
          <t>2026-08-09T05:18:45.420775Z</t>
        </is>
      </c>
      <c r="C30" s="24" t="inlineStr">
        <is>
          <t>2026-08-09T12:00:00Z</t>
        </is>
      </c>
      <c r="D30" s="24" t="inlineStr">
        <is>
          <t>73703</t>
        </is>
      </c>
      <c r="E30" s="24" t="inlineStr">
        <is>
          <t>LOL</t>
        </is>
      </c>
      <c r="F30" s="24" t="inlineStr">
        <is>
          <t>Karmine Corp Blue Stars</t>
        </is>
      </c>
      <c r="G30" s="24" t="inlineStr">
        <is>
          <t>Ancient Ones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0.530903</v>
      </c>
      <c r="P30" s="28" t="n"/>
      <c r="Q30" s="28" t="n">
        <v>0.101718</v>
      </c>
      <c r="R30" s="26" t="n">
        <v>71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133</v>
      </c>
      <c r="AA30" s="28" t="n">
        <v>0.43</v>
      </c>
      <c r="AB30" s="28" t="n">
        <v>0.000815</v>
      </c>
      <c r="AC30" s="30" t="n">
        <v>-1</v>
      </c>
      <c r="AD30" s="24" t="inlineStr">
        <is>
          <t>2026-08-09T13:57:39.316962Z</t>
        </is>
      </c>
      <c r="AE30" s="31" t="inlineStr">
        <is>
          <t>Neutral Elo baseline; executable ask 0.4300 (market_slug=aec-lol-ao-kcbs-2026-08-09).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Karmine Corp Blue Stars</t>
        </is>
      </c>
      <c r="AQ30" s="24" t="inlineStr">
        <is>
          <t>Karmine Corp Blue Stars</t>
        </is>
      </c>
      <c r="AR30" s="24" t="inlineStr">
        <is>
          <t>Karmine Corp Blue Stars</t>
        </is>
      </c>
      <c r="AS30" s="24" t="inlineStr">
        <is>
          <t>Ancient Ones</t>
        </is>
      </c>
      <c r="AT30" s="24" t="inlineStr">
        <is>
          <t>Ancient Ones</t>
        </is>
      </c>
      <c r="AU30" s="24" t="inlineStr">
        <is>
          <t>Ancient Ones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d1af9b18c2d3ace9d47f74a1570e11714c592a6d92bd30ded3db42a502b40cf2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d1af9b18c2d3ace9d47f74a1570e11714c592a6d92bd30ded3db42a502b40cf2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2026-08-09T05:18:32.672561Z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>
        <v>2.33</v>
      </c>
      <c r="BR30" s="28" t="n">
        <v>0.43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edd341c8b9284f91</t>
        </is>
      </c>
      <c r="B31" s="24" t="inlineStr">
        <is>
          <t>2026-08-09T14:01:53.524228Z</t>
        </is>
      </c>
      <c r="C31" s="24" t="inlineStr">
        <is>
          <t>2026-08-09T16:00:00Z</t>
        </is>
      </c>
      <c r="D31" s="24" t="inlineStr">
        <is>
          <t>73792</t>
        </is>
      </c>
      <c r="E31" s="24" t="inlineStr">
        <is>
          <t>LOL</t>
        </is>
      </c>
      <c r="F31" s="24" t="inlineStr">
        <is>
          <t>Vivo Keyd Stars</t>
        </is>
      </c>
      <c r="G31" s="24" t="inlineStr">
        <is>
          <t>LOUD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0.565457</v>
      </c>
      <c r="P31" s="28" t="n"/>
      <c r="Q31" s="28" t="n">
        <v>0.136272</v>
      </c>
      <c r="R31" s="26" t="n">
        <v>88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>
        <v>133</v>
      </c>
      <c r="AA31" s="28" t="n">
        <v>0.43</v>
      </c>
      <c r="AB31" s="28" t="n">
        <v>0.000815</v>
      </c>
      <c r="AC31" s="30" t="n">
        <v>-1</v>
      </c>
      <c r="AD31" s="24" t="inlineStr">
        <is>
          <t>2026-08-09T20:26:22.511553Z</t>
        </is>
      </c>
      <c r="AE31" s="31" t="inlineStr">
        <is>
          <t>Neutral Elo baseline; executable ask 0.4300 (market_slug=aec-lol-lll-vks-2026-08-09).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Vivo Keyd Stars</t>
        </is>
      </c>
      <c r="AQ31" s="24" t="inlineStr">
        <is>
          <t>Vivo Keyd Stars</t>
        </is>
      </c>
      <c r="AR31" s="24" t="inlineStr">
        <is>
          <t>Vivo Keyd Stars</t>
        </is>
      </c>
      <c r="AS31" s="24" t="inlineStr">
        <is>
          <t>LOUD</t>
        </is>
      </c>
      <c r="AT31" s="24" t="inlineStr">
        <is>
          <t>LOUD</t>
        </is>
      </c>
      <c r="AU31" s="24" t="inlineStr">
        <is>
          <t>LOUD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b58ac9e03c1a5d9a8ba8b54127b580955d4aa64f9a40d7b31d028c52dfb61e0d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b58ac9e03c1a5d9a8ba8b54127b580955d4aa64f9a40d7b31d028c52dfb61e0d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2026-08-09T14:01:44.268334Z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>
        <v>2.33</v>
      </c>
      <c r="BR31" s="28" t="n">
        <v>0.43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c01c667fc7be4da6</t>
        </is>
      </c>
      <c r="B32" s="24" t="inlineStr">
        <is>
          <t>2026-08-10T05:41:28.453324Z</t>
        </is>
      </c>
      <c r="C32" s="24" t="inlineStr">
        <is>
          <t>2026-08-10T06:00:00Z</t>
        </is>
      </c>
      <c r="D32" s="24" t="inlineStr">
        <is>
          <t>74303</t>
        </is>
      </c>
      <c r="E32" s="24" t="inlineStr">
        <is>
          <t>LOL</t>
        </is>
      </c>
      <c r="F32" s="24" t="inlineStr">
        <is>
          <t>Gen.G</t>
        </is>
      </c>
      <c r="G32" s="24" t="inlineStr">
        <is>
          <t>Hanwha Life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0.555268</v>
      </c>
      <c r="P32" s="28" t="n"/>
      <c r="Q32" s="28" t="n">
        <v>0.145432</v>
      </c>
      <c r="R32" s="26" t="n">
        <v>93</v>
      </c>
      <c r="S32" s="29" t="n">
        <v>1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144</v>
      </c>
      <c r="AA32" s="28" t="n">
        <v>0.41</v>
      </c>
      <c r="AB32" s="28" t="n">
        <v>0.000164</v>
      </c>
      <c r="AC32" s="30" t="n">
        <v>1.44</v>
      </c>
      <c r="AD32" s="24" t="inlineStr">
        <is>
          <t>2026-08-10T16:33:38.329597Z</t>
        </is>
      </c>
      <c r="AE32" s="31" t="inlineStr">
        <is>
          <t>Neutral Elo baseline; executable ask 0.4100 (market_slug=aec-lol-hle-gen-2026-08-10).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Gen.G</t>
        </is>
      </c>
      <c r="AQ32" s="24" t="inlineStr">
        <is>
          <t>Gen.G</t>
        </is>
      </c>
      <c r="AR32" s="24" t="inlineStr">
        <is>
          <t>Gen.G</t>
        </is>
      </c>
      <c r="AS32" s="24" t="inlineStr">
        <is>
          <t>Hanwha Life Esports</t>
        </is>
      </c>
      <c r="AT32" s="24" t="inlineStr">
        <is>
          <t>Hanwha Life Esports</t>
        </is>
      </c>
      <c r="AU32" s="24" t="inlineStr">
        <is>
          <t>Hanwha Life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1315e3fd57f39b5e423c7478ae4d488c4fac6a7f2c4f64188933b2184d22eecf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1315e3fd57f39b5e423c7478ae4d488c4fac6a7f2c4f64188933b2184d22eecf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2026-08-10T05:41:12.074053Z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>
        <v>2.44</v>
      </c>
      <c r="BR32" s="28" t="n">
        <v>0.41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df6a5dbff3d0458c</t>
        </is>
      </c>
      <c r="B33" s="24" t="inlineStr">
        <is>
          <t>2026-08-10T05:41:28.453324Z</t>
        </is>
      </c>
      <c r="C33" s="24" t="inlineStr">
        <is>
          <t>2026-08-10T15:00:00Z</t>
        </is>
      </c>
      <c r="D33" s="24" t="inlineStr">
        <is>
          <t>74409</t>
        </is>
      </c>
      <c r="E33" s="24" t="inlineStr">
        <is>
          <t>LOL</t>
        </is>
      </c>
      <c r="F33" s="24" t="inlineStr">
        <is>
          <t>Team Vitality</t>
        </is>
      </c>
      <c r="G33" s="24" t="inlineStr">
        <is>
          <t>SK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0.702856</v>
      </c>
      <c r="P33" s="28" t="n"/>
      <c r="Q33" s="28" t="n">
        <v>0.042992</v>
      </c>
      <c r="R33" s="26" t="n">
        <v>41</v>
      </c>
      <c r="S33" s="29" t="n">
        <v>2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-194</v>
      </c>
      <c r="AA33" s="28" t="n">
        <v>0.66</v>
      </c>
      <c r="AB33" s="28" t="n">
        <v>0.000136</v>
      </c>
      <c r="AC33" s="30" t="n">
        <v>1.0309</v>
      </c>
      <c r="AD33" s="24" t="inlineStr">
        <is>
          <t>2026-08-10T16:33:39.823234Z</t>
        </is>
      </c>
      <c r="AE33" s="31" t="inlineStr">
        <is>
          <t>Neutral Elo baseline; executable ask 0.6600 (market_slug=aec-lol-sk-vit-2026-08-10).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Vitality</t>
        </is>
      </c>
      <c r="AQ33" s="24" t="inlineStr">
        <is>
          <t>Team Vitality</t>
        </is>
      </c>
      <c r="AR33" s="24" t="inlineStr">
        <is>
          <t>Team Vitality</t>
        </is>
      </c>
      <c r="AS33" s="24" t="inlineStr">
        <is>
          <t>SK Gaming</t>
        </is>
      </c>
      <c r="AT33" s="24" t="inlineStr">
        <is>
          <t>SK Gaming</t>
        </is>
      </c>
      <c r="AU33" s="24" t="inlineStr">
        <is>
          <t>SK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1315e3fd57f39b5e423c7478ae4d488c4fac6a7f2c4f64188933b2184d22eecf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1315e3fd57f39b5e423c7478ae4d488c4fac6a7f2c4f64188933b2184d22eecf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2026-08-10T05:41:14.500661Z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>
        <v>1.515464</v>
      </c>
      <c r="BR33" s="28" t="n">
        <v>0.66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4c4ec81221174a4b</t>
        </is>
      </c>
      <c r="B34" s="24" t="inlineStr">
        <is>
          <t>2026-08-10T16:36:52.218705Z</t>
        </is>
      </c>
      <c r="C34" s="24" t="inlineStr">
        <is>
          <t>2026-08-11T10:00:00Z</t>
        </is>
      </c>
      <c r="D34" s="24" t="inlineStr">
        <is>
          <t>75102</t>
        </is>
      </c>
      <c r="E34" s="24" t="inlineStr">
        <is>
          <t>LOL</t>
        </is>
      </c>
      <c r="F34" s="24" t="inlineStr">
        <is>
          <t>Dplus KIA Challengers</t>
        </is>
      </c>
      <c r="G34" s="24" t="inlineStr">
        <is>
          <t>Nongshim Esports Academy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0.600293</v>
      </c>
      <c r="P34" s="28" t="n"/>
      <c r="Q34" s="28" t="n">
        <v>0.110097</v>
      </c>
      <c r="R34" s="26" t="n">
        <v>75</v>
      </c>
      <c r="S34" s="29" t="n">
        <v>1.25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1.3</v>
      </c>
      <c r="AD34" s="24" t="inlineStr">
        <is>
          <t>2026-08-11T16:30:34.417488Z</t>
        </is>
      </c>
      <c r="AE34" s="31" t="inlineStr">
        <is>
          <t>Neutral Elo baseline; executable ask 0.4900 (market_slug=aec-lol-nsea-dkc-2026-08-11).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Dplus KIA Challengers</t>
        </is>
      </c>
      <c r="AQ34" s="24" t="inlineStr">
        <is>
          <t>Dplus KIA Challengers</t>
        </is>
      </c>
      <c r="AR34" s="24" t="inlineStr">
        <is>
          <t>Dplus KIA Challengers</t>
        </is>
      </c>
      <c r="AS34" s="24" t="inlineStr">
        <is>
          <t>Nongshim Esports Academy</t>
        </is>
      </c>
      <c r="AT34" s="24" t="inlineStr">
        <is>
          <t>Nongshim Esports Academy</t>
        </is>
      </c>
      <c r="AU34" s="24" t="inlineStr">
        <is>
          <t>Nongshim Esports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b17a7ad5927b03dc324401003ec664ab1757d0145d4b926e56b78e2895a058ba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b17a7ad5927b03dc324401003ec664ab1757d0145d4b926e56b78e2895a058ba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2026-08-10T16:36:37.130668Z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598b9f7e255a49a7</t>
        </is>
      </c>
      <c r="B35" s="24" t="inlineStr">
        <is>
          <t>2026-08-11T16:56:35.179095Z</t>
        </is>
      </c>
      <c r="C35" s="24" t="inlineStr">
        <is>
          <t>2026-08-11T17:00:00Z</t>
        </is>
      </c>
      <c r="D35" s="24" t="inlineStr">
        <is>
          <t>75397</t>
        </is>
      </c>
      <c r="E35" s="24" t="inlineStr">
        <is>
          <t>LOL</t>
        </is>
      </c>
      <c r="F35" s="24" t="inlineStr">
        <is>
          <t>Forsaken</t>
        </is>
      </c>
      <c r="G35" s="24" t="inlineStr">
        <is>
          <t>Lodis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0.758714</v>
      </c>
      <c r="P35" s="28" t="n"/>
      <c r="Q35" s="28" t="n">
        <v>0.368089</v>
      </c>
      <c r="R35" s="26" t="n">
        <v>100</v>
      </c>
      <c r="S35" s="29" t="n">
        <v>2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3.12</v>
      </c>
      <c r="AD35" s="24" t="inlineStr">
        <is>
          <t>2026-08-11T23:00:56.742225Z</t>
        </is>
      </c>
      <c r="AE35" s="31" t="inlineStr">
        <is>
          <t>Neutral Elo baseline; executable ask 0.3900 (market_slug=aec-lol-lds-fsk-2026-08-11).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Forsaken</t>
        </is>
      </c>
      <c r="AQ35" s="24" t="inlineStr">
        <is>
          <t>Forsaken</t>
        </is>
      </c>
      <c r="AR35" s="24" t="inlineStr">
        <is>
          <t>Forsaken</t>
        </is>
      </c>
      <c r="AS35" s="24" t="inlineStr">
        <is>
          <t>Lodis</t>
        </is>
      </c>
      <c r="AT35" s="24" t="inlineStr">
        <is>
          <t>Lodis</t>
        </is>
      </c>
      <c r="AU35" s="24" t="inlineStr">
        <is>
          <t>Lodis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ed7267b514f407c2093b515500eb4a8b26567d3f07ecbd95b89717fa166d10fd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ed7267b514f407c2093b515500eb4a8b26567d3f07ecbd95b89717fa166d10fd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2026-08-11T16:56:16.156478Z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a7431973bdd148ae</t>
        </is>
      </c>
      <c r="B36" s="24" t="inlineStr">
        <is>
          <t>2026-08-11T19:58:42.464012Z</t>
        </is>
      </c>
      <c r="C36" s="24" t="inlineStr">
        <is>
          <t>2026-08-11T20:00:00Z</t>
        </is>
      </c>
      <c r="D36" s="24" t="inlineStr">
        <is>
          <t>75895</t>
        </is>
      </c>
      <c r="E36" s="24" t="inlineStr">
        <is>
          <t>LOL</t>
        </is>
      </c>
      <c r="F36" s="24" t="inlineStr">
        <is>
          <t>7REX</t>
        </is>
      </c>
      <c r="G36" s="24" t="inlineStr">
        <is>
          <t>Team Solid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0.571583</v>
      </c>
      <c r="P36" s="28" t="n"/>
      <c r="Q36" s="28" t="n">
        <v>0.061779</v>
      </c>
      <c r="R36" s="26" t="n">
        <v>51</v>
      </c>
      <c r="S36" s="29" t="n">
        <v>1.25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-104</v>
      </c>
      <c r="AA36" s="28" t="n">
        <v>0.51</v>
      </c>
      <c r="AB36" s="28" t="n">
        <v>0.000196</v>
      </c>
      <c r="AC36" s="30" t="n">
        <v>1.2019</v>
      </c>
      <c r="AD36" s="24" t="inlineStr">
        <is>
          <t>2026-08-11T23:00:58.174000Z</t>
        </is>
      </c>
      <c r="AE36" s="31" t="inlineStr">
        <is>
          <t>Neutral Elo baseline; executable ask 0.5100 (market_slug=aec-lol-tse-7rex-2026-08-11).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7REX</t>
        </is>
      </c>
      <c r="AQ36" s="24" t="inlineStr">
        <is>
          <t>7REX</t>
        </is>
      </c>
      <c r="AR36" s="24" t="inlineStr">
        <is>
          <t>7REX</t>
        </is>
      </c>
      <c r="AS36" s="24" t="inlineStr">
        <is>
          <t>Team Solid</t>
        </is>
      </c>
      <c r="AT36" s="24" t="inlineStr">
        <is>
          <t>Team Solid</t>
        </is>
      </c>
      <c r="AU36" s="24" t="inlineStr">
        <is>
          <t>Team Solid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42520e1cbdeac477d4933d02c42aaf237b6f0d38e18175043ec37cabaabcb7e4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42520e1cbdeac477d4933d02c42aaf237b6f0d38e18175043ec37cabaabcb7e4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2026-08-11T19:58:26.471210Z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>
        <v>1.961538</v>
      </c>
      <c r="BR36" s="28" t="n">
        <v>0.51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301a5c1d3d894ace</t>
        </is>
      </c>
      <c r="B37" s="24" t="inlineStr">
        <is>
          <t>2026-08-11T19:58:42.464012Z</t>
        </is>
      </c>
      <c r="C37" s="24" t="inlineStr">
        <is>
          <t>2026-08-11T23:00:00Z</t>
        </is>
      </c>
      <c r="D37" s="24" t="inlineStr">
        <is>
          <t>76011</t>
        </is>
      </c>
      <c r="E37" s="24" t="inlineStr">
        <is>
          <t>LOL</t>
        </is>
      </c>
      <c r="F37" s="24" t="inlineStr">
        <is>
          <t>SDM Tigres</t>
        </is>
      </c>
      <c r="G37" s="24" t="inlineStr">
        <is>
          <t>Kits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0.546502</v>
      </c>
      <c r="P37" s="28" t="n"/>
      <c r="Q37" s="28" t="n">
        <v>0.036698</v>
      </c>
      <c r="R37" s="26" t="n">
        <v>38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2026-08-12T05:13:11.246785Z</t>
        </is>
      </c>
      <c r="AE37" s="31" t="inlineStr">
        <is>
          <t>Neutral Elo baseline; executable ask 0.5100 (market_slug=aec-lol-kits-sdm-2026-08-11).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SDM Tigres</t>
        </is>
      </c>
      <c r="AQ37" s="24" t="inlineStr">
        <is>
          <t>SDM Tigres</t>
        </is>
      </c>
      <c r="AR37" s="24" t="inlineStr">
        <is>
          <t>SDM Tigres</t>
        </is>
      </c>
      <c r="AS37" s="24" t="inlineStr">
        <is>
          <t>Kits Esports</t>
        </is>
      </c>
      <c r="AT37" s="24" t="inlineStr">
        <is>
          <t>Kits Esports</t>
        </is>
      </c>
      <c r="AU37" s="24" t="inlineStr">
        <is>
          <t>Kits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42520e1cbdeac477d4933d02c42aaf237b6f0d38e18175043ec37cabaabcb7e4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42520e1cbdeac477d4933d02c42aaf237b6f0d38e18175043ec37cabaabcb7e4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2026-08-11T19:58:26.927703Z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113fbe2b75544462</t>
        </is>
      </c>
      <c r="B38" s="24" t="inlineStr">
        <is>
          <t>2026-08-12T05:16:40.582345Z</t>
        </is>
      </c>
      <c r="C38" s="24" t="inlineStr">
        <is>
          <t>2026-08-12T08:00:00Z</t>
        </is>
      </c>
      <c r="D38" s="24" t="inlineStr">
        <is>
          <t>76176</t>
        </is>
      </c>
      <c r="E38" s="24" t="inlineStr">
        <is>
          <t>LOL</t>
        </is>
      </c>
      <c r="F38" s="24" t="inlineStr">
        <is>
          <t>Nongshim Red Force</t>
        </is>
      </c>
      <c r="G38" s="24" t="inlineStr">
        <is>
          <t>DN SOOPers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150</v>
      </c>
      <c r="M38" s="27" t="n">
        <v>2.5</v>
      </c>
      <c r="N38" s="28" t="n">
        <v>0.4</v>
      </c>
      <c r="O38" s="28" t="n">
        <v>0.538872</v>
      </c>
      <c r="P38" s="28" t="n"/>
      <c r="Q38" s="28" t="n">
        <v>0.138872</v>
      </c>
      <c r="R38" s="26" t="n">
        <v>89</v>
      </c>
      <c r="S38" s="29" t="n">
        <v>1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</v>
      </c>
      <c r="AC38" s="30" t="n">
        <v>1.5</v>
      </c>
      <c r="AD38" s="24" t="inlineStr">
        <is>
          <t>2026-08-12T11:26:18.269554Z</t>
        </is>
      </c>
      <c r="AE38" s="31" t="inlineStr">
        <is>
          <t>Neutral Elo baseline; executable ask 0.4000 (market_slug=aec-lol-dns-ns-2026-08-12).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Nongshim Red Force</t>
        </is>
      </c>
      <c r="AQ38" s="24" t="inlineStr">
        <is>
          <t>Nongshim Red Force</t>
        </is>
      </c>
      <c r="AR38" s="24" t="inlineStr">
        <is>
          <t>Nongshim Red Force</t>
        </is>
      </c>
      <c r="AS38" s="24" t="inlineStr">
        <is>
          <t>DN SOOPers</t>
        </is>
      </c>
      <c r="AT38" s="24" t="inlineStr">
        <is>
          <t>DN SOOPers</t>
        </is>
      </c>
      <c r="AU38" s="24" t="inlineStr">
        <is>
          <t>DN SOOPers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5fa3e5dd2ed25c20af7f0b7693e2291536f17559c47f3686346f2079d8e5866e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5fa3e5dd2ed25c20af7f0b7693e2291536f17559c47f3686346f2079d8e5866e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2026-08-12T05:16:07.484937Z</t>
        </is>
      </c>
      <c r="BI38" s="24" t="inlineStr">
        <is>
          <t>["same_event","same_team_same_day","same_league_same_day"]</t>
        </is>
      </c>
      <c r="BJ38" s="25" t="n"/>
      <c r="BK38" s="26" t="n">
        <v>150</v>
      </c>
      <c r="BL38" s="27" t="n">
        <v>2.5</v>
      </c>
      <c r="BM38" s="28" t="n">
        <v>0.4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9154cce1b7b7468f</t>
        </is>
      </c>
      <c r="B39" s="24" t="inlineStr">
        <is>
          <t>2026-08-12T11:30:32.213742Z</t>
        </is>
      </c>
      <c r="C39" s="24" t="inlineStr">
        <is>
          <t>2026-08-12T14:00:00Z</t>
        </is>
      </c>
      <c r="D39" s="24" t="inlineStr">
        <is>
          <t>78193</t>
        </is>
      </c>
      <c r="E39" s="24" t="inlineStr">
        <is>
          <t>LOL</t>
        </is>
      </c>
      <c r="F39" s="24" t="inlineStr">
        <is>
          <t>eSuba</t>
        </is>
      </c>
      <c r="G39" s="24" t="inlineStr">
        <is>
          <t>Onion Team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0.689456</v>
      </c>
      <c r="P39" s="28" t="n"/>
      <c r="Q39" s="28" t="n">
        <v>0.08945599999999999</v>
      </c>
      <c r="R39" s="26" t="n">
        <v>65</v>
      </c>
      <c r="S39" s="29" t="n">
        <v>2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>
        <v>-150</v>
      </c>
      <c r="AA39" s="28" t="n">
        <v>0.6</v>
      </c>
      <c r="AB39" s="28" t="n">
        <v>0</v>
      </c>
      <c r="AC39" s="30" t="n">
        <v>1.3333</v>
      </c>
      <c r="AD39" s="24" t="inlineStr">
        <is>
          <t>2026-08-12T16:41:26.981883Z</t>
        </is>
      </c>
      <c r="AE39" s="31" t="inlineStr">
        <is>
          <t>Neutral Elo baseline; executable ask 0.6000 (market_slug=aec-lol-ot-esb-2026-08-12).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eSuba</t>
        </is>
      </c>
      <c r="AQ39" s="24" t="inlineStr">
        <is>
          <t>eSuba</t>
        </is>
      </c>
      <c r="AR39" s="24" t="inlineStr">
        <is>
          <t>eSuba</t>
        </is>
      </c>
      <c r="AS39" s="24" t="inlineStr">
        <is>
          <t>Onion Team</t>
        </is>
      </c>
      <c r="AT39" s="24" t="inlineStr">
        <is>
          <t>Onion Team</t>
        </is>
      </c>
      <c r="AU39" s="24" t="inlineStr">
        <is>
          <t>Onion Team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4004f0e3360462f746285bc9ac60db48513fe8f4f57bf664e3db630f4bf8de66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4004f0e3360462f746285bc9ac60db48513fe8f4f57bf664e3db630f4bf8de66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2026-08-12T11:30:03.514727Z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9a893c5633794b3e</t>
        </is>
      </c>
      <c r="B40" s="24" t="inlineStr">
        <is>
          <t>2026-08-12T14:37:37.206527Z</t>
        </is>
      </c>
      <c r="C40" s="24" t="inlineStr">
        <is>
          <t>2026-08-12T16:00:00Z</t>
        </is>
      </c>
      <c r="D40" s="24" t="inlineStr">
        <is>
          <t>76408</t>
        </is>
      </c>
      <c r="E40" s="24" t="inlineStr">
        <is>
          <t>LOL</t>
        </is>
      </c>
      <c r="F40" s="24" t="inlineStr">
        <is>
          <t>JSK Esports</t>
        </is>
      </c>
      <c r="G40" s="24" t="inlineStr">
        <is>
          <t>Disruptors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194</v>
      </c>
      <c r="M40" s="27" t="n">
        <v>2.94</v>
      </c>
      <c r="N40" s="28" t="n">
        <v>0.340136</v>
      </c>
      <c r="O40" s="28" t="n">
        <v>0.540932</v>
      </c>
      <c r="P40" s="28" t="n"/>
      <c r="Q40" s="28" t="n">
        <v>0.200796</v>
      </c>
      <c r="R40" s="26" t="n">
        <v>100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194</v>
      </c>
      <c r="AA40" s="28" t="n">
        <v>0.34</v>
      </c>
      <c r="AB40" s="28" t="n">
        <v>-0.000136</v>
      </c>
      <c r="AC40" s="30" t="n">
        <v>-1</v>
      </c>
      <c r="AD40" s="24" t="inlineStr">
        <is>
          <t>2026-08-12T21:15:59.478824Z</t>
        </is>
      </c>
      <c r="AE40" s="31" t="inlineStr">
        <is>
          <t>Neutral Elo baseline; executable ask 0.3400 (market_slug=aec-lol-ds-jsk-2026-08-12).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JSK Esports</t>
        </is>
      </c>
      <c r="AQ40" s="24" t="inlineStr">
        <is>
          <t>JSK Esports</t>
        </is>
      </c>
      <c r="AR40" s="24" t="inlineStr">
        <is>
          <t>JSK Esports</t>
        </is>
      </c>
      <c r="AS40" s="24" t="inlineStr">
        <is>
          <t>Disruptors</t>
        </is>
      </c>
      <c r="AT40" s="24" t="inlineStr">
        <is>
          <t>Disruptors</t>
        </is>
      </c>
      <c r="AU40" s="24" t="inlineStr">
        <is>
          <t>Disruptors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5d984128685f3b64d7a3d96ad1f15678400010a71505611bcd09049cf2b58fdd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5d984128685f3b64d7a3d96ad1f15678400010a71505611bcd09049cf2b58fdd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2026-08-12T14:37:12.998440Z</t>
        </is>
      </c>
      <c r="BI40" s="24" t="inlineStr">
        <is>
          <t>["same_event","same_team_same_day","same_league_same_day"]</t>
        </is>
      </c>
      <c r="BJ40" s="25" t="n"/>
      <c r="BK40" s="26" t="n">
        <v>194</v>
      </c>
      <c r="BL40" s="27" t="n">
        <v>2.94</v>
      </c>
      <c r="BM40" s="28" t="n">
        <v>0.340136</v>
      </c>
      <c r="BN40" s="28" t="n"/>
      <c r="BO40" s="28" t="n"/>
      <c r="BP40" s="25" t="n"/>
      <c r="BQ40" s="27" t="n">
        <v>2.94</v>
      </c>
      <c r="BR40" s="28" t="n">
        <v>0.34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3d6389fbda8243e4</t>
        </is>
      </c>
      <c r="B41" s="24" t="inlineStr">
        <is>
          <t>2026-08-12T21:33:50.682408Z</t>
        </is>
      </c>
      <c r="C41" s="24" t="inlineStr">
        <is>
          <t>2026-08-13T05:00:00Z</t>
        </is>
      </c>
      <c r="D41" s="24" t="inlineStr">
        <is>
          <t>77155</t>
        </is>
      </c>
      <c r="E41" s="24" t="inlineStr">
        <is>
          <t>LOL</t>
        </is>
      </c>
      <c r="F41" s="24" t="inlineStr">
        <is>
          <t>Nongshim Esports Academy</t>
        </is>
      </c>
      <c r="G41" s="24" t="inlineStr">
        <is>
          <t>KT Rolster Challengers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0.54421</v>
      </c>
      <c r="P41" s="28" t="n"/>
      <c r="Q41" s="28" t="n">
        <v>0.103681</v>
      </c>
      <c r="R41" s="26" t="n">
        <v>72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1.27</v>
      </c>
      <c r="AD41" s="24" t="inlineStr">
        <is>
          <t>2026-08-13T07:29:38.262413Z</t>
        </is>
      </c>
      <c r="AE41" s="31" t="inlineStr">
        <is>
          <t>Neutral Elo baseline; executable ask 0.4400 (market_slug=aec-lol-ktc-nsea-2026-08-13).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Nongshim Esports Academy</t>
        </is>
      </c>
      <c r="AQ41" s="24" t="inlineStr">
        <is>
          <t>Nongshim Esports Academy</t>
        </is>
      </c>
      <c r="AR41" s="24" t="inlineStr">
        <is>
          <t>Nongshim Esports Academy</t>
        </is>
      </c>
      <c r="AS41" s="24" t="inlineStr">
        <is>
          <t>KT Rolster Challengers</t>
        </is>
      </c>
      <c r="AT41" s="24" t="inlineStr">
        <is>
          <t>KT Rolster Challengers</t>
        </is>
      </c>
      <c r="AU41" s="24" t="inlineStr">
        <is>
          <t>KT Rolster Challengers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2d532d5f60c2a7bfd12e6f32f876f72fdd16c8e21504e1273ad472f37a538927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2d532d5f60c2a7bfd12e6f32f876f72fdd16c8e21504e1273ad472f37a538927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2026-08-12T21:33:38.916292Z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047757794a44480f</t>
        </is>
      </c>
      <c r="B42" s="24" t="inlineStr">
        <is>
          <t>2026-08-12T21:33:50.682408Z</t>
        </is>
      </c>
      <c r="C42" s="24" t="inlineStr">
        <is>
          <t>2026-08-14T00:00:00Z</t>
        </is>
      </c>
      <c r="D42" s="24" t="inlineStr">
        <is>
          <t>78062</t>
        </is>
      </c>
      <c r="E42" s="24" t="inlineStr">
        <is>
          <t>LOL</t>
        </is>
      </c>
      <c r="F42" s="24" t="inlineStr">
        <is>
          <t>Dorado Gaming</t>
        </is>
      </c>
      <c r="G42" s="24" t="inlineStr">
        <is>
          <t>University of Mississippi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0.570554</v>
      </c>
      <c r="P42" s="28" t="n"/>
      <c r="Q42" s="28" t="n">
        <v>0.170554</v>
      </c>
      <c r="R42" s="26" t="n">
        <v>100</v>
      </c>
      <c r="S42" s="29" t="n">
        <v>1.25</v>
      </c>
      <c r="T42" s="24" t="inlineStr">
        <is>
          <t>lol-tiered-elo-v6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0.4000 (market_slug=aec-lol-miss-dog-2026-08-14).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Dorado Gaming</t>
        </is>
      </c>
      <c r="AQ42" s="24" t="inlineStr">
        <is>
          <t>Dorado Gaming</t>
        </is>
      </c>
      <c r="AR42" s="24" t="inlineStr">
        <is>
          <t>Dorado Gaming</t>
        </is>
      </c>
      <c r="AS42" s="24" t="inlineStr">
        <is>
          <t>University of Mississippi</t>
        </is>
      </c>
      <c r="AT42" s="24" t="inlineStr">
        <is>
          <t>University of Mississippi</t>
        </is>
      </c>
      <c r="AU42" s="24" t="inlineStr">
        <is>
          <t>University of Mississippi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2d532d5f60c2a7bfd12e6f32f876f72fdd16c8e21504e1273ad472f37a538927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2d532d5f60c2a7bfd12e6f32f876f72fdd16c8e21504e1273ad472f37a538927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2026-08-12T21:33:49.612741Z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174f2046c09a4ce8</t>
        </is>
      </c>
      <c r="B43" s="24" t="inlineStr">
        <is>
          <t>2026-08-13T07:33:45.748059Z</t>
        </is>
      </c>
      <c r="C43" s="24" t="inlineStr">
        <is>
          <t>2026-08-13T10:00:00Z</t>
        </is>
      </c>
      <c r="D43" s="24" t="inlineStr">
        <is>
          <t>77199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133</v>
      </c>
      <c r="M43" s="27" t="n">
        <v>2.33</v>
      </c>
      <c r="N43" s="28" t="n">
        <v>0.429185</v>
      </c>
      <c r="O43" s="28" t="n">
        <v>0.549515</v>
      </c>
      <c r="P43" s="28" t="n"/>
      <c r="Q43" s="28" t="n">
        <v>0.12033</v>
      </c>
      <c r="R43" s="26" t="n">
        <v>80</v>
      </c>
      <c r="S43" s="29" t="n">
        <v>1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133</v>
      </c>
      <c r="AA43" s="28" t="n">
        <v>0.43</v>
      </c>
      <c r="AB43" s="28" t="n">
        <v>0.000815</v>
      </c>
      <c r="AC43" s="30" t="n">
        <v>-1</v>
      </c>
      <c r="AD43" s="24" t="inlineStr">
        <is>
          <t>2026-08-13T13:43:44.689330Z</t>
        </is>
      </c>
      <c r="AE43" s="31" t="inlineStr">
        <is>
          <t>Neutral Elo baseline; executable ask 0.4300 (market_slug=aec-lol-gen-hle-2026-08-13).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ec253e009ebc51b870bf7dddd39f66de3de28259fdb77d4c257587dd29af8c61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ec253e009ebc51b870bf7dddd39f66de3de28259fdb77d4c257587dd29af8c61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2026-08-13T07:33:30.003386Z</t>
        </is>
      </c>
      <c r="BI43" s="24" t="inlineStr">
        <is>
          <t>["same_event","same_team_same_day","same_league_same_day"]</t>
        </is>
      </c>
      <c r="BJ43" s="25" t="n"/>
      <c r="BK43" s="26" t="n">
        <v>133</v>
      </c>
      <c r="BL43" s="27" t="n">
        <v>2.33</v>
      </c>
      <c r="BM43" s="28" t="n">
        <v>0.429185</v>
      </c>
      <c r="BN43" s="28" t="n"/>
      <c r="BO43" s="28" t="n"/>
      <c r="BP43" s="25" t="n"/>
      <c r="BQ43" s="27" t="n">
        <v>2.33</v>
      </c>
      <c r="BR43" s="28" t="n">
        <v>0.43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5d636ddf81e44d32</t>
        </is>
      </c>
      <c r="B44" s="24" t="inlineStr">
        <is>
          <t>2026-08-13T13:47:27.260608Z</t>
        </is>
      </c>
      <c r="C44" s="24" t="inlineStr">
        <is>
          <t>2026-08-13T14:30:00Z</t>
        </is>
      </c>
      <c r="D44" s="24" t="inlineStr">
        <is>
          <t>80404</t>
        </is>
      </c>
      <c r="E44" s="24" t="inlineStr">
        <is>
          <t>LOL</t>
        </is>
      </c>
      <c r="F44" s="24" t="inlineStr">
        <is>
          <t>Team Phoenix</t>
        </is>
      </c>
      <c r="G44" s="24" t="inlineStr">
        <is>
          <t>Shark Attack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203</v>
      </c>
      <c r="M44" s="27" t="n">
        <v>3.03</v>
      </c>
      <c r="N44" s="28" t="n">
        <v>0.330033</v>
      </c>
      <c r="O44" s="28" t="n">
        <v>0.597109</v>
      </c>
      <c r="P44" s="28" t="n"/>
      <c r="Q44" s="28" t="n">
        <v>0.267076</v>
      </c>
      <c r="R44" s="26" t="n">
        <v>100</v>
      </c>
      <c r="S44" s="29" t="n">
        <v>1.25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203</v>
      </c>
      <c r="AA44" s="28" t="n">
        <v>0.33</v>
      </c>
      <c r="AB44" s="28" t="n">
        <v>-3.3e-05</v>
      </c>
      <c r="AC44" s="30" t="n">
        <v>-1.25</v>
      </c>
      <c r="AD44" s="24" t="inlineStr">
        <is>
          <t>2026-08-13T16:50:23.337076Z</t>
        </is>
      </c>
      <c r="AE44" s="31" t="inlineStr">
        <is>
          <t>Neutral Elo baseline; executable ask 0.3300 (market_slug=aec-lol-sha-phx-2026-08-13).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Phoenix</t>
        </is>
      </c>
      <c r="AQ44" s="24" t="inlineStr">
        <is>
          <t>Team Phoenix</t>
        </is>
      </c>
      <c r="AR44" s="24" t="inlineStr">
        <is>
          <t>Team Phoenix</t>
        </is>
      </c>
      <c r="AS44" s="24" t="inlineStr">
        <is>
          <t>Shark Attack</t>
        </is>
      </c>
      <c r="AT44" s="24" t="inlineStr">
        <is>
          <t>Shark Attack</t>
        </is>
      </c>
      <c r="AU44" s="24" t="inlineStr">
        <is>
          <t>Shark Attack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6023d4021b40a650776f8cf8855b72ed9aa87236a16daed15de976c649ced69c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6023d4021b40a650776f8cf8855b72ed9aa87236a16daed15de976c649ced69c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2026-08-13T13:47:13.491111Z</t>
        </is>
      </c>
      <c r="BI44" s="24" t="inlineStr">
        <is>
          <t>["same_event","same_team_same_day","same_league_same_day"]</t>
        </is>
      </c>
      <c r="BJ44" s="25" t="n"/>
      <c r="BK44" s="26" t="n">
        <v>203</v>
      </c>
      <c r="BL44" s="27" t="n">
        <v>3.03</v>
      </c>
      <c r="BM44" s="28" t="n">
        <v>0.330033</v>
      </c>
      <c r="BN44" s="28" t="n"/>
      <c r="BO44" s="28" t="n"/>
      <c r="BP44" s="25" t="n"/>
      <c r="BQ44" s="27" t="n">
        <v>3.03</v>
      </c>
      <c r="BR44" s="28" t="n">
        <v>0.33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f900257e00cd4bfd</t>
        </is>
      </c>
      <c r="B45" s="24" t="inlineStr">
        <is>
          <t>2026-08-13T13:47:27.260608Z</t>
        </is>
      </c>
      <c r="C45" s="24" t="inlineStr">
        <is>
          <t>2026-08-13T15:00:00Z</t>
        </is>
      </c>
      <c r="D45" s="24" t="inlineStr">
        <is>
          <t>80391</t>
        </is>
      </c>
      <c r="E45" s="24" t="inlineStr">
        <is>
          <t>LOL</t>
        </is>
      </c>
      <c r="F45" s="24" t="inlineStr">
        <is>
          <t>ROSSMANN Centaurs</t>
        </is>
      </c>
      <c r="G45" s="24" t="inlineStr">
        <is>
          <t>E WIE EINFACH E-SPORTS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-186</v>
      </c>
      <c r="M45" s="27" t="n">
        <v>1.537634</v>
      </c>
      <c r="N45" s="28" t="n">
        <v>0.65035</v>
      </c>
      <c r="O45" s="28" t="n">
        <v>0.714326</v>
      </c>
      <c r="P45" s="28" t="n"/>
      <c r="Q45" s="28" t="n">
        <v>0.06397600000000001</v>
      </c>
      <c r="R45" s="26" t="n">
        <v>52</v>
      </c>
      <c r="S45" s="29" t="n">
        <v>2</v>
      </c>
      <c r="T45" s="24" t="inlineStr">
        <is>
          <t>lol-tiered-elo-v6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0.6500 (market_slug=aec-lol-ewi-ross-2026-08-13).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ROSSMANN Centaurs</t>
        </is>
      </c>
      <c r="AQ45" s="24" t="inlineStr">
        <is>
          <t>ROSSMANN Centaurs</t>
        </is>
      </c>
      <c r="AR45" s="24" t="inlineStr">
        <is>
          <t>ROSSMANN Centaurs</t>
        </is>
      </c>
      <c r="AS45" s="24" t="inlineStr">
        <is>
          <t>E WIE EINFACH E-SPORTS</t>
        </is>
      </c>
      <c r="AT45" s="24" t="inlineStr">
        <is>
          <t>E WIE EINFACH E-SPORTS</t>
        </is>
      </c>
      <c r="AU45" s="24" t="inlineStr">
        <is>
          <t>E WIE EINFACH E-SPORTS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6023d4021b40a650776f8cf8855b72ed9aa87236a16daed15de976c649ced69c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6023d4021b40a650776f8cf8855b72ed9aa87236a16daed15de976c649ced69c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2026-08-13T13:47:14.010731Z</t>
        </is>
      </c>
      <c r="BI45" s="24" t="inlineStr">
        <is>
          <t>["same_event","same_team_same_day","same_league_same_day"]</t>
        </is>
      </c>
      <c r="BJ45" s="25" t="n"/>
      <c r="BK45" s="26" t="n">
        <v>-186</v>
      </c>
      <c r="BL45" s="27" t="n">
        <v>1.537634</v>
      </c>
      <c r="BM45" s="28" t="n">
        <v>0.65035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07c10a8c4c1d4da0</t>
        </is>
      </c>
      <c r="B46" s="24" t="inlineStr">
        <is>
          <t>2026-08-13T17:16:31.277645Z</t>
        </is>
      </c>
      <c r="C46" s="24" t="inlineStr">
        <is>
          <t>2026-08-13T18:00:00Z</t>
        </is>
      </c>
      <c r="D46" s="24" t="inlineStr">
        <is>
          <t>77545</t>
        </is>
      </c>
      <c r="E46" s="24" t="inlineStr">
        <is>
          <t>LOL</t>
        </is>
      </c>
      <c r="F46" s="24" t="inlineStr">
        <is>
          <t>ZennIT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100</v>
      </c>
      <c r="M46" s="27" t="n">
        <v>2</v>
      </c>
      <c r="N46" s="28" t="n">
        <v>0.5</v>
      </c>
      <c r="O46" s="28" t="n">
        <v>0.570819</v>
      </c>
      <c r="P46" s="28" t="n"/>
      <c r="Q46" s="28" t="n">
        <v>0.07081899999999999</v>
      </c>
      <c r="R46" s="26" t="n">
        <v>55</v>
      </c>
      <c r="S46" s="29" t="n">
        <v>1.25</v>
      </c>
      <c r="T46" s="24" t="inlineStr">
        <is>
          <t>lol-tiered-elo-v6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0.5000 (market_slug=aec-lol-myth-znt-2026-08-13).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ZennIT</t>
        </is>
      </c>
      <c r="AQ46" s="24" t="inlineStr">
        <is>
          <t>ZennIT</t>
        </is>
      </c>
      <c r="AR46" s="24" t="inlineStr">
        <is>
          <t>ZennIT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4da8cf8556dcb2f8db0165b0df47f474a10ecbe34301ea2884cb4d2ea0ed7ec7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4da8cf8556dcb2f8db0165b0df47f474a10ecbe34301ea2884cb4d2ea0ed7ec7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2026-08-13T17:16:22.513568Z</t>
        </is>
      </c>
      <c r="BI46" s="24" t="inlineStr">
        <is>
          <t>["same_event","same_team_same_day","same_league_same_day"]</t>
        </is>
      </c>
      <c r="BJ46" s="25" t="n"/>
      <c r="BK46" s="26" t="n">
        <v>100</v>
      </c>
      <c r="BL46" s="27" t="n">
        <v>2</v>
      </c>
      <c r="BM46" s="28" t="n">
        <v>0.5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fb2ea444904541e1</t>
        </is>
      </c>
      <c r="B47" s="24" t="inlineStr">
        <is>
          <t>2026-08-13T17:16:31.277645Z</t>
        </is>
      </c>
      <c r="C47" s="24" t="inlineStr">
        <is>
          <t>2026-08-13T21:00:00Z</t>
        </is>
      </c>
      <c r="D47" s="24" t="inlineStr">
        <is>
          <t>77941</t>
        </is>
      </c>
      <c r="E47" s="24" t="inlineStr">
        <is>
          <t>LOL</t>
        </is>
      </c>
      <c r="F47" s="24" t="inlineStr">
        <is>
          <t>Role Swappers</t>
        </is>
      </c>
      <c r="G47" s="24" t="inlineStr">
        <is>
          <t>ZeroZone Gaming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170</v>
      </c>
      <c r="M47" s="27" t="n">
        <v>2.7</v>
      </c>
      <c r="N47" s="28" t="n">
        <v>0.37037</v>
      </c>
      <c r="O47" s="28" t="n">
        <v>0.588318</v>
      </c>
      <c r="P47" s="28" t="n"/>
      <c r="Q47" s="28" t="n">
        <v>0.217948</v>
      </c>
      <c r="R47" s="26" t="n">
        <v>100</v>
      </c>
      <c r="S47" s="29" t="n">
        <v>1.25</v>
      </c>
      <c r="T47" s="24" t="inlineStr">
        <is>
          <t>lol-tiered-elo-v6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0.3700 (market_slug=aec-lol-zzg-role-2026-08-13).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Role Swappers</t>
        </is>
      </c>
      <c r="AQ47" s="24" t="inlineStr">
        <is>
          <t>Role Swappers</t>
        </is>
      </c>
      <c r="AR47" s="24" t="inlineStr">
        <is>
          <t>Role Swappers</t>
        </is>
      </c>
      <c r="AS47" s="24" t="inlineStr">
        <is>
          <t>ZeroZone Gaming</t>
        </is>
      </c>
      <c r="AT47" s="24" t="inlineStr">
        <is>
          <t>ZeroZone Gaming</t>
        </is>
      </c>
      <c r="AU47" s="24" t="inlineStr">
        <is>
          <t>ZeroZone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4da8cf8556dcb2f8db0165b0df47f474a10ecbe34301ea2884cb4d2ea0ed7ec7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4da8cf8556dcb2f8db0165b0df47f474a10ecbe34301ea2884cb4d2ea0ed7ec7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2026-08-13T17:16:23.614461Z</t>
        </is>
      </c>
      <c r="BI47" s="24" t="inlineStr">
        <is>
          <t>["same_event","same_team_same_day","same_league_same_day"]</t>
        </is>
      </c>
      <c r="BJ47" s="25" t="n"/>
      <c r="BK47" s="26" t="n">
        <v>170</v>
      </c>
      <c r="BL47" s="27" t="n">
        <v>2.7</v>
      </c>
      <c r="BM47" s="28" t="n">
        <v>0.37037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232cec736f0a4e94</t>
        </is>
      </c>
      <c r="B48" s="24" t="inlineStr">
        <is>
          <t>2026-08-13T17:16:31.277645Z</t>
        </is>
      </c>
      <c r="C48" s="24" t="inlineStr">
        <is>
          <t>2026-08-14T05:00:00Z</t>
        </is>
      </c>
      <c r="D48" s="24" t="inlineStr">
        <is>
          <t>78185</t>
        </is>
      </c>
      <c r="E48" s="24" t="inlineStr">
        <is>
          <t>LOL</t>
        </is>
      </c>
      <c r="F48" s="24" t="inlineStr">
        <is>
          <t>HANJIN BRION Challengers</t>
        </is>
      </c>
      <c r="G48" s="24" t="inlineStr">
        <is>
          <t>BNK FearX Youth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-150</v>
      </c>
      <c r="M48" s="27" t="n">
        <v>1.666667</v>
      </c>
      <c r="N48" s="28" t="n">
        <v>0.6</v>
      </c>
      <c r="O48" s="28" t="n">
        <v>0.685345</v>
      </c>
      <c r="P48" s="28" t="n"/>
      <c r="Q48" s="28" t="n">
        <v>0.085345</v>
      </c>
      <c r="R48" s="26" t="n">
        <v>63</v>
      </c>
      <c r="S48" s="29" t="n">
        <v>2</v>
      </c>
      <c r="T48" s="24" t="inlineStr">
        <is>
          <t>lol-tiered-elo-v6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0.6000 (market_slug=aec-lol-foxy-hbc-2026-08-14).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HANJIN BRION Challengers</t>
        </is>
      </c>
      <c r="AQ48" s="24" t="inlineStr">
        <is>
          <t>HANJIN BRION Challengers</t>
        </is>
      </c>
      <c r="AR48" s="24" t="inlineStr">
        <is>
          <t>HANJIN BRION Challengers</t>
        </is>
      </c>
      <c r="AS48" s="24" t="inlineStr">
        <is>
          <t>BNK FearX Youth</t>
        </is>
      </c>
      <c r="AT48" s="24" t="inlineStr">
        <is>
          <t>BNK FearX Youth</t>
        </is>
      </c>
      <c r="AU48" s="24" t="inlineStr">
        <is>
          <t>BNK FearX Youth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4da8cf8556dcb2f8db0165b0df47f474a10ecbe34301ea2884cb4d2ea0ed7ec7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4da8cf8556dcb2f8db0165b0df47f474a10ecbe34301ea2884cb4d2ea0ed7ec7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2026-08-13T17:16:26.296608Z</t>
        </is>
      </c>
      <c r="BI48" s="24" t="inlineStr">
        <is>
          <t>["same_event","same_team_same_day","same_league_same_day"]</t>
        </is>
      </c>
      <c r="BJ48" s="25" t="n"/>
      <c r="BK48" s="26" t="n">
        <v>-150</v>
      </c>
      <c r="BL48" s="27" t="n">
        <v>1.666667</v>
      </c>
      <c r="BM48" s="28" t="n">
        <v>0.6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bbe97cfe3ccc45dc</t>
        </is>
      </c>
      <c r="B49" s="24" t="inlineStr">
        <is>
          <t>2026-08-13T17:16:31.277645Z</t>
        </is>
      </c>
      <c r="C49" s="24" t="inlineStr">
        <is>
          <t>2026-08-14T09:00:00Z</t>
        </is>
      </c>
      <c r="D49" s="24" t="inlineStr">
        <is>
          <t>78211</t>
        </is>
      </c>
      <c r="E49" s="24" t="inlineStr">
        <is>
          <t>LOL</t>
        </is>
      </c>
      <c r="F49" s="24" t="inlineStr">
        <is>
          <t>CTBC Flying Oyster</t>
        </is>
      </c>
      <c r="G49" s="24" t="inlineStr">
        <is>
          <t>MVK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-122</v>
      </c>
      <c r="M49" s="27" t="n">
        <v>1.819672</v>
      </c>
      <c r="N49" s="28" t="n">
        <v>0.54955</v>
      </c>
      <c r="O49" s="28" t="n">
        <v>0.562003</v>
      </c>
      <c r="P49" s="28" t="n"/>
      <c r="Q49" s="28" t="n">
        <v>0.012453</v>
      </c>
      <c r="R49" s="26" t="n">
        <v>26</v>
      </c>
      <c r="S49" s="29" t="n">
        <v>1</v>
      </c>
      <c r="T49" s="24" t="inlineStr">
        <is>
          <t>lol-tiered-elo-v6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0.5500 (market_slug=aec-lol-mvk-cfo-2026-08-14).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CTBC Flying Oyster</t>
        </is>
      </c>
      <c r="AQ49" s="24" t="inlineStr">
        <is>
          <t>CTBC Flying Oyster</t>
        </is>
      </c>
      <c r="AR49" s="24" t="inlineStr">
        <is>
          <t>CTBC Flying Oyster</t>
        </is>
      </c>
      <c r="AS49" s="24" t="inlineStr">
        <is>
          <t>MVK Esports</t>
        </is>
      </c>
      <c r="AT49" s="24" t="inlineStr">
        <is>
          <t>MVK Esports</t>
        </is>
      </c>
      <c r="AU49" s="24" t="inlineStr">
        <is>
          <t>MVK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4da8cf8556dcb2f8db0165b0df47f474a10ecbe34301ea2884cb4d2ea0ed7ec7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4da8cf8556dcb2f8db0165b0df47f474a10ecbe34301ea2884cb4d2ea0ed7ec7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2026-08-13T17:16:28.512681Z</t>
        </is>
      </c>
      <c r="BI49" s="24" t="inlineStr">
        <is>
          <t>["same_event","same_team_same_day","same_league_same_day"]</t>
        </is>
      </c>
      <c r="BJ49" s="25" t="n"/>
      <c r="BK49" s="26" t="n">
        <v>-122</v>
      </c>
      <c r="BL49" s="27" t="n">
        <v>1.819672</v>
      </c>
      <c r="BM49" s="28" t="n">
        <v>0.54955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4eb2d3effdc147d6</t>
        </is>
      </c>
      <c r="B50" s="24" t="inlineStr">
        <is>
          <t>2026-08-13T17:16:31.277645Z</t>
        </is>
      </c>
      <c r="C50" s="24" t="inlineStr">
        <is>
          <t>2026-08-14T10:00:00Z</t>
        </is>
      </c>
      <c r="D50" s="24" t="inlineStr">
        <is>
          <t>78233</t>
        </is>
      </c>
      <c r="E50" s="24" t="inlineStr">
        <is>
          <t>LOL</t>
        </is>
      </c>
      <c r="F50" s="24" t="inlineStr">
        <is>
          <t>HANJIN BRION</t>
        </is>
      </c>
      <c r="G50" s="24" t="inlineStr">
        <is>
          <t>Nongshim Red Force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-117</v>
      </c>
      <c r="M50" s="27" t="n">
        <v>1.854701</v>
      </c>
      <c r="N50" s="28" t="n">
        <v>0.539171</v>
      </c>
      <c r="O50" s="28" t="n">
        <v>0.620641</v>
      </c>
      <c r="P50" s="28" t="n"/>
      <c r="Q50" s="28" t="n">
        <v>0.08147</v>
      </c>
      <c r="R50" s="26" t="n">
        <v>61</v>
      </c>
      <c r="S50" s="29" t="n">
        <v>1.5</v>
      </c>
      <c r="T50" s="24" t="inlineStr">
        <is>
          <t>lol-tiered-elo-v6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0.5400 (market_slug=aec-lol-ns-bro-2026-08-14).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HANJIN BRION</t>
        </is>
      </c>
      <c r="AQ50" s="24" t="inlineStr">
        <is>
          <t>HANJIN BRION</t>
        </is>
      </c>
      <c r="AR50" s="24" t="inlineStr">
        <is>
          <t>HANJIN BRION</t>
        </is>
      </c>
      <c r="AS50" s="24" t="inlineStr">
        <is>
          <t>Nongshim Red Force</t>
        </is>
      </c>
      <c r="AT50" s="24" t="inlineStr">
        <is>
          <t>Nongshim Red Force</t>
        </is>
      </c>
      <c r="AU50" s="24" t="inlineStr">
        <is>
          <t>Nongshim Red Force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4da8cf8556dcb2f8db0165b0df47f474a10ecbe34301ea2884cb4d2ea0ed7ec7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4da8cf8556dcb2f8db0165b0df47f474a10ecbe34301ea2884cb4d2ea0ed7ec7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2026-08-13T17:16:29.006404Z</t>
        </is>
      </c>
      <c r="BI50" s="24" t="inlineStr">
        <is>
          <t>["same_event","same_team_same_day","same_league_same_day"]</t>
        </is>
      </c>
      <c r="BJ50" s="25" t="n"/>
      <c r="BK50" s="26" t="n">
        <v>-117</v>
      </c>
      <c r="BL50" s="27" t="n">
        <v>1.854701</v>
      </c>
      <c r="BM50" s="28" t="n">
        <v>0.539171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2026-08-13T17:16:40Z</dcterms:created>
  <dcterms:modified xmlns:dcterms="http://purl.org/dc/terms/" xmlns:xsi="http://www.w3.org/2001/XMLSchema-instance" xsi:type="dcterms:W3CDTF">2026-08-13T17:16:40Z</dcterms:modified>
</cp:coreProperties>
</file>